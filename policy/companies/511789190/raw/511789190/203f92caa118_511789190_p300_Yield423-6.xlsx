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i\Documents\גילה\עתודות\29.7.2024\"/>
    </mc:Choice>
  </mc:AlternateContent>
  <xr:revisionPtr revIDLastSave="0" documentId="13_ncr:1_{17CB0165-A801-47F5-ACB4-23B83A15DD7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פרסום מרכיבי תשואה" sheetId="1" r:id="rId1"/>
    <sheet name="מצטבר" sheetId="2" state="hidden" r:id="rId2"/>
  </sheets>
  <externalReferences>
    <externalReference r:id="rId3"/>
    <externalReference r:id="rId4"/>
  </externalReferences>
  <definedNames>
    <definedName name="Tsua">[1]תשואה!$A$6</definedName>
    <definedName name="tsua1">[2]תשואה!$A$6</definedName>
  </definedNames>
  <calcPr calcId="181029"/>
</workbook>
</file>

<file path=xl/calcChain.xml><?xml version="1.0" encoding="utf-8"?>
<calcChain xmlns="http://schemas.openxmlformats.org/spreadsheetml/2006/main">
  <c r="D30" i="2" l="1"/>
  <c r="D26" i="2"/>
  <c r="I29" i="2"/>
  <c r="I28" i="2"/>
  <c r="I25" i="2"/>
  <c r="I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G29" i="2"/>
  <c r="G28" i="2"/>
  <c r="G25" i="2"/>
  <c r="G2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E29" i="2"/>
  <c r="E28" i="2"/>
  <c r="E25" i="2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C29" i="2"/>
  <c r="C28" i="2"/>
  <c r="C25" i="2"/>
  <c r="C2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29" i="2"/>
  <c r="D29" i="2" s="1"/>
  <c r="B28" i="2"/>
  <c r="D28" i="2" s="1"/>
  <c r="B25" i="2"/>
  <c r="D25" i="2" s="1"/>
  <c r="B24" i="2"/>
  <c r="D24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B2" i="2"/>
  <c r="D2" i="2" s="1"/>
</calcChain>
</file>

<file path=xl/sharedStrings.xml><?xml version="1.0" encoding="utf-8"?>
<sst xmlns="http://schemas.openxmlformats.org/spreadsheetml/2006/main" count="126" uniqueCount="62">
  <si>
    <t>אפיקי השקעה: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</si>
  <si>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</si>
  <si>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</si>
  <si>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</si>
  <si>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</si>
  <si>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</si>
  <si>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</si>
  <si>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</si>
  <si>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</si>
  <si>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</si>
  <si>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</si>
  <si>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</si>
  <si>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</si>
  <si>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</si>
  <si>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</si>
  <si>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</si>
  <si>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</si>
  <si>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</si>
  <si>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</si>
  <si>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</si>
  <si>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</si>
  <si>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</si>
  <si>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</si>
  <si>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</si>
  <si>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</si>
  <si>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</si>
  <si>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</si>
  <si>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תשואה מצטברת</t>
  </si>
  <si>
    <t>הופק בתוכנת פריים זהב, מהדורה 5.20, פריים מערכות, טלפון 03-7760600, www.primesys.co.il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</si>
  <si>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</si>
  <si>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</si>
  <si>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</si>
  <si>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</si>
  <si>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</si>
  <si>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</si>
  <si>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</si>
  <si>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</si>
  <si>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</si>
  <si>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</si>
  <si>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</si>
  <si>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</si>
  <si>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</si>
  <si>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</si>
  <si>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</si>
  <si>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</si>
  <si>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</si>
  <si>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</si>
  <si>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</si>
  <si>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</si>
  <si>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</si>
  <si>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</si>
  <si>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</si>
  <si>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</si>
  <si>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</si>
  <si>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</si>
  <si>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</si>
  <si>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</si>
  <si>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</si>
  <si>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</si>
  <si>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</si>
  <si>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</si>
  <si>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פירוט תרומת אפיקי ההשקעה לתשואה הכוללת
עתודות
קרן עתודות ותיקה
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</si>
</sst>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10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  <family val="2"/>
    </font>
    <font>
      <b/>
      <sz val="10"/>
      <color theme="3" tint="-0.499984740745262"/>
      <name val="Ariel"/>
      <charset val="177"/>
    </font>
    <font>
      <sz val="10"/>
      <color theme="3" tint="-0.499984740745262"/>
      <name val="Arial"/>
      <family val="2"/>
      <charset val="177"/>
    </font>
    <font>
      <b/>
      <sz val="10"/>
      <color theme="3" tint="-0.499984740745262"/>
      <name val="Ariel"/>
    </font>
    <font>
      <sz val="10"/>
      <color theme="3" tint="-0.499984740745262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2" fillId="5" borderId="7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2" fillId="4" borderId="9" xfId="0" applyNumberFormat="1" applyFont="1" applyFill="1" applyBorder="1" applyAlignment="1">
      <alignment horizontal="right"/>
    </xf>
    <xf numFmtId="164" fontId="2" fillId="4" borderId="10" xfId="0" applyNumberFormat="1" applyFont="1" applyFill="1" applyBorder="1" applyAlignment="1">
      <alignment horizontal="right"/>
    </xf>
    <xf numFmtId="164" fontId="2" fillId="4" borderId="11" xfId="0" applyNumberFormat="1" applyFont="1" applyFill="1" applyBorder="1" applyAlignment="1">
      <alignment horizontal="right"/>
    </xf>
    <xf numFmtId="164" fontId="2" fillId="4" borderId="12" xfId="0" applyNumberFormat="1" applyFont="1" applyFill="1" applyBorder="1" applyAlignment="1">
      <alignment horizontal="right"/>
    </xf>
    <xf numFmtId="164" fontId="3" fillId="4" borderId="13" xfId="0" applyNumberFormat="1" applyFont="1" applyFill="1" applyBorder="1" applyAlignment="1">
      <alignment horizontal="right"/>
    </xf>
    <xf numFmtId="164" fontId="3" fillId="4" borderId="14" xfId="0" applyNumberFormat="1" applyFont="1" applyFill="1" applyBorder="1" applyAlignment="1">
      <alignment horizontal="right"/>
    </xf>
    <xf numFmtId="4" fontId="3" fillId="5" borderId="5" xfId="0" applyNumberFormat="1" applyFont="1" applyFill="1" applyBorder="1" applyAlignment="1">
      <alignment horizontal="right"/>
    </xf>
    <xf numFmtId="164" fontId="3" fillId="4" borderId="9" xfId="0" applyNumberFormat="1" applyFont="1" applyFill="1" applyBorder="1" applyAlignment="1">
      <alignment horizontal="center" vertical="center" wrapText="1" readingOrder="2"/>
    </xf>
    <xf numFmtId="164" fontId="3" fillId="4" borderId="10" xfId="0" applyNumberFormat="1" applyFont="1" applyFill="1" applyBorder="1" applyAlignment="1">
      <alignment horizontal="center" vertical="center" wrapText="1" readingOrder="2"/>
    </xf>
    <xf numFmtId="164" fontId="3" fillId="4" borderId="11" xfId="0" applyNumberFormat="1" applyFont="1" applyFill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4" fontId="3" fillId="4" borderId="13" xfId="0" applyNumberFormat="1" applyFont="1" applyFill="1" applyBorder="1" applyAlignment="1">
      <alignment horizontal="right"/>
    </xf>
    <xf numFmtId="4" fontId="3" fillId="4" borderId="14" xfId="0" applyNumberFormat="1" applyFont="1" applyFill="1" applyBorder="1" applyAlignment="1">
      <alignment horizontal="right" readingOrder="2"/>
    </xf>
    <xf numFmtId="164" fontId="2" fillId="5" borderId="9" xfId="0" applyNumberFormat="1" applyFont="1" applyFill="1" applyBorder="1" applyAlignment="1">
      <alignment horizontal="right"/>
    </xf>
    <xf numFmtId="164" fontId="2" fillId="5" borderId="10" xfId="0" applyNumberFormat="1" applyFont="1" applyFill="1" applyBorder="1" applyAlignment="1">
      <alignment horizontal="right"/>
    </xf>
    <xf numFmtId="164" fontId="2" fillId="5" borderId="11" xfId="0" applyNumberFormat="1" applyFont="1" applyFill="1" applyBorder="1" applyAlignment="1">
      <alignment horizontal="right"/>
    </xf>
    <xf numFmtId="164" fontId="2" fillId="5" borderId="12" xfId="0" applyNumberFormat="1" applyFont="1" applyFill="1" applyBorder="1" applyAlignment="1">
      <alignment horizontal="right"/>
    </xf>
    <xf numFmtId="164" fontId="3" fillId="5" borderId="14" xfId="0" applyNumberFormat="1" applyFont="1" applyFill="1" applyBorder="1" applyAlignment="1">
      <alignment horizontal="right"/>
    </xf>
    <xf numFmtId="164" fontId="2" fillId="5" borderId="13" xfId="0" applyNumberFormat="1" applyFont="1" applyFill="1" applyBorder="1" applyAlignment="1">
      <alignment horizontal="right"/>
    </xf>
    <xf numFmtId="0" fontId="2" fillId="0" borderId="0" xfId="2" applyFont="1" applyAlignment="1">
      <alignment horizontal="right" readingOrder="2"/>
    </xf>
    <xf numFmtId="0" fontId="5" fillId="0" borderId="0" xfId="2"/>
    <xf numFmtId="0" fontId="3" fillId="0" borderId="0" xfId="2" applyFont="1" applyAlignment="1">
      <alignment horizontal="right" readingOrder="2"/>
    </xf>
    <xf numFmtId="0" fontId="2" fillId="2" borderId="6" xfId="2" applyFont="1" applyFill="1" applyBorder="1" applyAlignment="1">
      <alignment horizontal="right" readingOrder="2"/>
    </xf>
    <xf numFmtId="164" fontId="2" fillId="4" borderId="7" xfId="2" applyNumberFormat="1" applyFont="1" applyFill="1" applyBorder="1" applyAlignment="1">
      <alignment horizontal="right"/>
    </xf>
    <xf numFmtId="164" fontId="2" fillId="4" borderId="0" xfId="2" applyNumberFormat="1" applyFont="1" applyFill="1" applyAlignment="1">
      <alignment horizontal="right"/>
    </xf>
    <xf numFmtId="164" fontId="2" fillId="5" borderId="7" xfId="2" applyNumberFormat="1" applyFont="1" applyFill="1" applyBorder="1" applyAlignment="1">
      <alignment horizontal="right"/>
    </xf>
    <xf numFmtId="164" fontId="2" fillId="5" borderId="0" xfId="2" applyNumberFormat="1" applyFont="1" applyFill="1" applyAlignment="1">
      <alignment horizontal="right"/>
    </xf>
    <xf numFmtId="164" fontId="2" fillId="5" borderId="1" xfId="2" applyNumberFormat="1" applyFont="1" applyFill="1" applyBorder="1" applyAlignment="1">
      <alignment horizontal="right"/>
    </xf>
    <xf numFmtId="0" fontId="2" fillId="2" borderId="7" xfId="2" applyFont="1" applyFill="1" applyBorder="1" applyAlignment="1">
      <alignment horizontal="right" readingOrder="2"/>
    </xf>
    <xf numFmtId="0" fontId="3" fillId="2" borderId="7" xfId="2" applyFont="1" applyFill="1" applyBorder="1" applyAlignment="1">
      <alignment horizontal="right" readingOrder="2"/>
    </xf>
    <xf numFmtId="164" fontId="3" fillId="4" borderId="7" xfId="2" applyNumberFormat="1" applyFont="1" applyFill="1" applyBorder="1" applyAlignment="1">
      <alignment horizontal="right"/>
    </xf>
    <xf numFmtId="164" fontId="3" fillId="5" borderId="7" xfId="2" applyNumberFormat="1" applyFont="1" applyFill="1" applyBorder="1" applyAlignment="1">
      <alignment horizontal="right"/>
    </xf>
    <xf numFmtId="164" fontId="3" fillId="5" borderId="1" xfId="2" applyNumberFormat="1" applyFont="1" applyFill="1" applyBorder="1" applyAlignment="1">
      <alignment horizontal="right"/>
    </xf>
    <xf numFmtId="164" fontId="2" fillId="4" borderId="6" xfId="2" applyNumberFormat="1" applyFont="1" applyFill="1" applyBorder="1" applyAlignment="1">
      <alignment horizontal="right"/>
    </xf>
    <xf numFmtId="164" fontId="2" fillId="4" borderId="4" xfId="2" applyNumberFormat="1" applyFont="1" applyFill="1" applyBorder="1" applyAlignment="1">
      <alignment horizontal="right"/>
    </xf>
    <xf numFmtId="164" fontId="2" fillId="5" borderId="6" xfId="2" applyNumberFormat="1" applyFont="1" applyFill="1" applyBorder="1" applyAlignment="1">
      <alignment horizontal="right"/>
    </xf>
    <xf numFmtId="164" fontId="2" fillId="5" borderId="4" xfId="2" applyNumberFormat="1" applyFont="1" applyFill="1" applyBorder="1" applyAlignment="1">
      <alignment horizontal="right"/>
    </xf>
    <xf numFmtId="164" fontId="2" fillId="5" borderId="2" xfId="2" applyNumberFormat="1" applyFont="1" applyFill="1" applyBorder="1" applyAlignment="1">
      <alignment horizontal="right"/>
    </xf>
    <xf numFmtId="4" fontId="5" fillId="0" borderId="0" xfId="2" applyNumberFormat="1"/>
    <xf numFmtId="10" fontId="0" fillId="0" borderId="0" xfId="3" applyNumberFormat="1" applyFont="1"/>
    <xf numFmtId="0" fontId="1" fillId="0" borderId="0" xfId="2" applyFont="1" applyAlignment="1">
      <alignment horizontal="right" readingOrder="2"/>
    </xf>
    <xf numFmtId="0" fontId="4" fillId="0" borderId="0" xfId="2" applyFont="1" applyAlignment="1">
      <alignment horizontal="right" wrapText="1" readingOrder="2"/>
    </xf>
    <xf numFmtId="164" fontId="3" fillId="4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>
      <alignment horizontal="right"/>
    </xf>
    <xf numFmtId="0" fontId="6" fillId="0" borderId="0" xfId="2" applyFont="1" applyAlignment="1">
      <alignment horizontal="right" readingOrder="2"/>
    </xf>
    <xf numFmtId="0" fontId="6" fillId="3" borderId="0" xfId="2" applyFont="1" applyFill="1" applyAlignment="1">
      <alignment horizontal="right" vertical="center" readingOrder="2"/>
    </xf>
    <xf numFmtId="164" fontId="6" fillId="4" borderId="6" xfId="2" applyNumberFormat="1" applyFont="1" applyFill="1" applyBorder="1" applyAlignment="1">
      <alignment horizontal="center" vertical="center" wrapText="1" readingOrder="2"/>
    </xf>
    <xf numFmtId="164" fontId="6" fillId="4" borderId="4" xfId="2" applyNumberFormat="1" applyFont="1" applyFill="1" applyBorder="1" applyAlignment="1">
      <alignment horizontal="center" vertical="center" wrapText="1" readingOrder="2"/>
    </xf>
    <xf numFmtId="164" fontId="6" fillId="5" borderId="6" xfId="2" applyNumberFormat="1" applyFont="1" applyFill="1" applyBorder="1" applyAlignment="1">
      <alignment horizontal="center" vertical="center" wrapText="1" readingOrder="2"/>
    </xf>
    <xf numFmtId="164" fontId="6" fillId="5" borderId="4" xfId="2" applyNumberFormat="1" applyFont="1" applyFill="1" applyBorder="1" applyAlignment="1">
      <alignment horizontal="center" vertical="center" wrapText="1" readingOrder="2"/>
    </xf>
    <xf numFmtId="164" fontId="6" fillId="5" borderId="2" xfId="2" applyNumberFormat="1" applyFont="1" applyFill="1" applyBorder="1" applyAlignment="1">
      <alignment horizontal="center" vertical="center" wrapText="1" readingOrder="2"/>
    </xf>
    <xf numFmtId="0" fontId="7" fillId="0" borderId="0" xfId="2" applyFont="1"/>
    <xf numFmtId="0" fontId="8" fillId="3" borderId="0" xfId="2" applyFont="1" applyFill="1" applyAlignment="1">
      <alignment horizontal="right" vertical="center" readingOrder="2"/>
    </xf>
    <xf numFmtId="164" fontId="8" fillId="4" borderId="6" xfId="2" applyNumberFormat="1" applyFont="1" applyFill="1" applyBorder="1" applyAlignment="1">
      <alignment horizontal="center" vertical="center" wrapText="1" readingOrder="2"/>
    </xf>
    <xf numFmtId="164" fontId="8" fillId="4" borderId="4" xfId="2" applyNumberFormat="1" applyFont="1" applyFill="1" applyBorder="1" applyAlignment="1">
      <alignment horizontal="center" vertical="center" wrapText="1" readingOrder="2"/>
    </xf>
    <xf numFmtId="164" fontId="8" fillId="5" borderId="6" xfId="2" applyNumberFormat="1" applyFont="1" applyFill="1" applyBorder="1" applyAlignment="1">
      <alignment horizontal="center" vertical="center" wrapText="1" readingOrder="2"/>
    </xf>
    <xf numFmtId="164" fontId="8" fillId="5" borderId="4" xfId="2" applyNumberFormat="1" applyFont="1" applyFill="1" applyBorder="1" applyAlignment="1">
      <alignment horizontal="center" vertical="center" wrapText="1" readingOrder="2"/>
    </xf>
    <xf numFmtId="164" fontId="8" fillId="5" borderId="9" xfId="2" applyNumberFormat="1" applyFont="1" applyFill="1" applyBorder="1" applyAlignment="1">
      <alignment horizontal="center" vertical="center" wrapText="1" readingOrder="2"/>
    </xf>
    <xf numFmtId="164" fontId="8" fillId="5" borderId="10" xfId="2" applyNumberFormat="1" applyFont="1" applyFill="1" applyBorder="1" applyAlignment="1">
      <alignment horizontal="center" vertical="center" wrapText="1" readingOrder="2"/>
    </xf>
    <xf numFmtId="0" fontId="9" fillId="2" borderId="6" xfId="2" applyFont="1" applyFill="1" applyBorder="1" applyAlignment="1">
      <alignment horizontal="right" readingOrder="2"/>
    </xf>
    <xf numFmtId="164" fontId="9" fillId="4" borderId="7" xfId="2" applyNumberFormat="1" applyFont="1" applyFill="1" applyBorder="1" applyAlignment="1">
      <alignment horizontal="right"/>
    </xf>
    <xf numFmtId="164" fontId="9" fillId="4" borderId="0" xfId="2" applyNumberFormat="1" applyFont="1" applyFill="1" applyAlignment="1">
      <alignment horizontal="right"/>
    </xf>
    <xf numFmtId="164" fontId="9" fillId="5" borderId="7" xfId="2" applyNumberFormat="1" applyFont="1" applyFill="1" applyBorder="1" applyAlignment="1">
      <alignment horizontal="right"/>
    </xf>
    <xf numFmtId="164" fontId="9" fillId="5" borderId="0" xfId="2" applyNumberFormat="1" applyFont="1" applyFill="1" applyAlignment="1">
      <alignment horizontal="right"/>
    </xf>
    <xf numFmtId="164" fontId="9" fillId="5" borderId="11" xfId="2" applyNumberFormat="1" applyFont="1" applyFill="1" applyBorder="1" applyAlignment="1">
      <alignment horizontal="right"/>
    </xf>
    <xf numFmtId="164" fontId="9" fillId="5" borderId="12" xfId="2" applyNumberFormat="1" applyFont="1" applyFill="1" applyBorder="1" applyAlignment="1">
      <alignment horizontal="right"/>
    </xf>
    <xf numFmtId="0" fontId="9" fillId="2" borderId="7" xfId="2" applyFont="1" applyFill="1" applyBorder="1" applyAlignment="1">
      <alignment horizontal="right" readingOrder="2"/>
    </xf>
    <xf numFmtId="0" fontId="8" fillId="2" borderId="7" xfId="2" applyFont="1" applyFill="1" applyBorder="1" applyAlignment="1">
      <alignment horizontal="right" readingOrder="2"/>
    </xf>
    <xf numFmtId="164" fontId="8" fillId="4" borderId="7" xfId="2" applyNumberFormat="1" applyFont="1" applyFill="1" applyBorder="1" applyAlignment="1">
      <alignment horizontal="right"/>
    </xf>
    <xf numFmtId="164" fontId="8" fillId="4" borderId="0" xfId="2" applyNumberFormat="1" applyFont="1" applyFill="1" applyAlignment="1">
      <alignment horizontal="right"/>
    </xf>
    <xf numFmtId="164" fontId="8" fillId="5" borderId="7" xfId="2" applyNumberFormat="1" applyFont="1" applyFill="1" applyBorder="1" applyAlignment="1">
      <alignment horizontal="right"/>
    </xf>
    <xf numFmtId="164" fontId="8" fillId="5" borderId="0" xfId="2" applyNumberFormat="1" applyFont="1" applyFill="1" applyAlignment="1">
      <alignment horizontal="right"/>
    </xf>
    <xf numFmtId="164" fontId="8" fillId="5" borderId="11" xfId="2" applyNumberFormat="1" applyFont="1" applyFill="1" applyBorder="1" applyAlignment="1">
      <alignment horizontal="right"/>
    </xf>
    <xf numFmtId="164" fontId="8" fillId="5" borderId="12" xfId="2" applyNumberFormat="1" applyFont="1" applyFill="1" applyBorder="1" applyAlignment="1">
      <alignment horizontal="right"/>
    </xf>
    <xf numFmtId="0" fontId="8" fillId="2" borderId="8" xfId="2" applyFont="1" applyFill="1" applyBorder="1" applyAlignment="1">
      <alignment horizontal="right" readingOrder="2"/>
    </xf>
    <xf numFmtId="4" fontId="8" fillId="4" borderId="8" xfId="2" applyNumberFormat="1" applyFont="1" applyFill="1" applyBorder="1" applyAlignment="1">
      <alignment horizontal="right"/>
    </xf>
    <xf numFmtId="4" fontId="8" fillId="4" borderId="5" xfId="2" applyNumberFormat="1" applyFont="1" applyFill="1" applyBorder="1" applyAlignment="1">
      <alignment horizontal="right" readingOrder="2"/>
    </xf>
    <xf numFmtId="4" fontId="8" fillId="5" borderId="8" xfId="2" applyNumberFormat="1" applyFont="1" applyFill="1" applyBorder="1" applyAlignment="1">
      <alignment horizontal="right"/>
    </xf>
    <xf numFmtId="4" fontId="8" fillId="5" borderId="5" xfId="2" applyNumberFormat="1" applyFont="1" applyFill="1" applyBorder="1" applyAlignment="1">
      <alignment horizontal="right" readingOrder="2"/>
    </xf>
    <xf numFmtId="4" fontId="8" fillId="5" borderId="13" xfId="2" applyNumberFormat="1" applyFont="1" applyFill="1" applyBorder="1" applyAlignment="1">
      <alignment horizontal="right"/>
    </xf>
    <xf numFmtId="4" fontId="8" fillId="5" borderId="14" xfId="2" applyNumberFormat="1" applyFont="1" applyFill="1" applyBorder="1" applyAlignment="1">
      <alignment horizontal="right" readingOrder="2"/>
    </xf>
    <xf numFmtId="0" fontId="9" fillId="0" borderId="0" xfId="2" applyFont="1" applyAlignment="1">
      <alignment horizontal="right" readingOrder="2"/>
    </xf>
    <xf numFmtId="164" fontId="9" fillId="4" borderId="9" xfId="2" applyNumberFormat="1" applyFont="1" applyFill="1" applyBorder="1" applyAlignment="1">
      <alignment horizontal="right"/>
    </xf>
    <xf numFmtId="164" fontId="9" fillId="4" borderId="10" xfId="2" applyNumberFormat="1" applyFont="1" applyFill="1" applyBorder="1" applyAlignment="1">
      <alignment horizontal="right"/>
    </xf>
    <xf numFmtId="164" fontId="9" fillId="5" borderId="4" xfId="2" applyNumberFormat="1" applyFont="1" applyFill="1" applyBorder="1" applyAlignment="1">
      <alignment horizontal="right"/>
    </xf>
    <xf numFmtId="164" fontId="9" fillId="5" borderId="9" xfId="2" applyNumberFormat="1" applyFont="1" applyFill="1" applyBorder="1" applyAlignment="1">
      <alignment horizontal="right"/>
    </xf>
    <xf numFmtId="164" fontId="9" fillId="5" borderId="10" xfId="2" applyNumberFormat="1" applyFont="1" applyFill="1" applyBorder="1" applyAlignment="1">
      <alignment horizontal="right"/>
    </xf>
    <xf numFmtId="164" fontId="9" fillId="4" borderId="11" xfId="2" applyNumberFormat="1" applyFont="1" applyFill="1" applyBorder="1" applyAlignment="1">
      <alignment horizontal="right"/>
    </xf>
    <xf numFmtId="164" fontId="9" fillId="4" borderId="12" xfId="2" applyNumberFormat="1" applyFont="1" applyFill="1" applyBorder="1" applyAlignment="1">
      <alignment horizontal="right"/>
    </xf>
    <xf numFmtId="164" fontId="8" fillId="4" borderId="13" xfId="2" applyNumberFormat="1" applyFont="1" applyFill="1" applyBorder="1" applyAlignment="1">
      <alignment horizontal="right"/>
    </xf>
    <xf numFmtId="164" fontId="8" fillId="4" borderId="14" xfId="2" applyNumberFormat="1" applyFont="1" applyFill="1" applyBorder="1" applyAlignment="1">
      <alignment horizontal="right"/>
    </xf>
    <xf numFmtId="164" fontId="8" fillId="5" borderId="5" xfId="2" applyNumberFormat="1" applyFont="1" applyFill="1" applyBorder="1" applyAlignment="1">
      <alignment horizontal="right"/>
    </xf>
    <xf numFmtId="164" fontId="8" fillId="5" borderId="13" xfId="2" applyNumberFormat="1" applyFont="1" applyFill="1" applyBorder="1" applyAlignment="1">
      <alignment horizontal="right"/>
    </xf>
    <xf numFmtId="164" fontId="8" fillId="5" borderId="14" xfId="2" applyNumberFormat="1" applyFont="1" applyFill="1" applyBorder="1" applyAlignment="1">
      <alignment horizontal="right"/>
    </xf>
    <xf numFmtId="0" fontId="6" fillId="2" borderId="7" xfId="2" applyFont="1" applyFill="1" applyBorder="1" applyAlignment="1">
      <alignment horizontal="right" readingOrder="2"/>
    </xf>
    <xf numFmtId="164" fontId="6" fillId="4" borderId="7" xfId="2" applyNumberFormat="1" applyFont="1" applyFill="1" applyBorder="1" applyAlignment="1">
      <alignment horizontal="right"/>
    </xf>
    <xf numFmtId="164" fontId="6" fillId="4" borderId="0" xfId="2" applyNumberFormat="1" applyFont="1" applyFill="1" applyAlignment="1">
      <alignment horizontal="right"/>
    </xf>
    <xf numFmtId="164" fontId="6" fillId="5" borderId="7" xfId="2" applyNumberFormat="1" applyFont="1" applyFill="1" applyBorder="1" applyAlignment="1">
      <alignment horizontal="right"/>
    </xf>
    <xf numFmtId="164" fontId="6" fillId="5" borderId="0" xfId="2" applyNumberFormat="1" applyFont="1" applyFill="1" applyAlignment="1">
      <alignment horizontal="right"/>
    </xf>
    <xf numFmtId="164" fontId="6" fillId="5" borderId="1" xfId="2" applyNumberFormat="1" applyFont="1" applyFill="1" applyBorder="1" applyAlignment="1">
      <alignment horizontal="right"/>
    </xf>
    <xf numFmtId="0" fontId="6" fillId="2" borderId="8" xfId="2" applyFont="1" applyFill="1" applyBorder="1" applyAlignment="1">
      <alignment horizontal="right" readingOrder="2"/>
    </xf>
    <xf numFmtId="4" fontId="6" fillId="4" borderId="8" xfId="2" applyNumberFormat="1" applyFont="1" applyFill="1" applyBorder="1" applyAlignment="1">
      <alignment horizontal="right"/>
    </xf>
    <xf numFmtId="4" fontId="6" fillId="4" borderId="5" xfId="2" applyNumberFormat="1" applyFont="1" applyFill="1" applyBorder="1" applyAlignment="1">
      <alignment horizontal="right" readingOrder="2"/>
    </xf>
    <xf numFmtId="4" fontId="6" fillId="5" borderId="8" xfId="2" applyNumberFormat="1" applyFont="1" applyFill="1" applyBorder="1" applyAlignment="1">
      <alignment horizontal="right"/>
    </xf>
    <xf numFmtId="4" fontId="6" fillId="5" borderId="5" xfId="2" applyNumberFormat="1" applyFont="1" applyFill="1" applyBorder="1" applyAlignment="1">
      <alignment horizontal="right" readingOrder="2"/>
    </xf>
    <xf numFmtId="4" fontId="6" fillId="5" borderId="3" xfId="2" applyNumberFormat="1" applyFont="1" applyFill="1" applyBorder="1" applyAlignment="1">
      <alignment horizontal="right" readingOrder="2"/>
    </xf>
    <xf numFmtId="164" fontId="6" fillId="4" borderId="8" xfId="2" applyNumberFormat="1" applyFont="1" applyFill="1" applyBorder="1" applyAlignment="1">
      <alignment horizontal="right"/>
    </xf>
    <xf numFmtId="164" fontId="6" fillId="4" borderId="5" xfId="2" applyNumberFormat="1" applyFont="1" applyFill="1" applyBorder="1" applyAlignment="1">
      <alignment horizontal="right"/>
    </xf>
    <xf numFmtId="164" fontId="6" fillId="5" borderId="8" xfId="2" applyNumberFormat="1" applyFont="1" applyFill="1" applyBorder="1" applyAlignment="1">
      <alignment horizontal="right"/>
    </xf>
    <xf numFmtId="164" fontId="6" fillId="5" borderId="5" xfId="2" applyNumberFormat="1" applyFont="1" applyFill="1" applyBorder="1" applyAlignment="1">
      <alignment horizontal="right"/>
    </xf>
    <xf numFmtId="164" fontId="6" fillId="5" borderId="3" xfId="2" applyNumberFormat="1" applyFont="1" applyFill="1" applyBorder="1" applyAlignment="1">
      <alignment horizontal="right"/>
    </xf>
  </cellXfs>
  <cellStyles count="4">
    <cellStyle name="Normal" xfId="0" builtinId="0"/>
    <cellStyle name="Normal 10 10" xfId="2" xr:uid="{00000000-0005-0000-0000-000001000000}"/>
    <cellStyle name="Normal 9" xfId="1" xr:uid="{00000000-0005-0000-0000-000002000000}"/>
    <cellStyle name="Percent 3" xfId="3" xr:uid="{00000000-0005-0000-0000-000003000000}"/>
  </cellStyles>
  <dxfs count="13">
    <dxf>
      <font>
        <strike val="0"/>
        <outline val="0"/>
        <shadow val="0"/>
        <u val="none"/>
        <vertAlign val="baseline"/>
        <sz val="10"/>
        <color theme="3" tint="-0.499984740745262"/>
        <charset val="177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font>
        <strike val="0"/>
        <outline val="0"/>
        <shadow val="0"/>
        <u val="none"/>
        <vertAlign val="baseline"/>
        <sz val="10"/>
        <color theme="3" tint="-0.499984740745262"/>
        <name val="Ariel"/>
        <scheme val="none"/>
      </font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&#1495;&#1491;&#1513;%20-%20&#1514;&#1513;&#1493;&#1488;&#1492;%20&#1500;&#1488;&#1508;&#1497;&#1511;&#1497;&#1501;%20-%20&#1497;&#1504;&#1493;&#1488;&#1512;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-%20&#1514;&#1513;&#1493;&#1488;&#1492;%20&#1500;&#1488;&#1508;&#1497;&#1511;&#1497;&#1501;%20-%2012-2020%20-%20&#1491;&#1497;&#1493;&#1493;&#1495;%20&#1502;&#1510;&#1496;&#1489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ספחים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  <sheetName val="פורמט להדבקת ערכים"/>
    </sheetNames>
    <sheetDataSet>
      <sheetData sheetId="0" refreshError="1"/>
      <sheetData sheetId="1" refreshError="1">
        <row r="6">
          <cell r="A6">
            <v>8.8610000000000008E-3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נספח א"/>
      <sheetName val="נספח ב"/>
      <sheetName val="נספח ג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</sheetNames>
    <sheetDataSet>
      <sheetData sheetId="0"/>
      <sheetData sheetId="1"/>
      <sheetData sheetId="2"/>
      <sheetData sheetId="3">
        <row r="6">
          <cell r="A6">
            <v>4.6843340632848784E-2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02E00-6F61-4028-AF36-16EB91A1DE3A}" name="טבלה2" displayName="טבלה2" ref="B2:Z31" totalsRowShown="0" headerRowDxfId="0" tableBorderDxfId="12">
  <autoFilter ref="B2:Z31" xr:uid="{0BC02E00-6F61-4028-AF36-16EB91A1DE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721B149-A974-4CCB-94D2-3E053D59507E}" name="אפיקי השקעה:"/>
    <tableColumn id="2" xr3:uid="{D4AB2A7D-1034-4B98-91BC-23026792FB1B}" name="התרומה לתשואה ינואר 2023"/>
    <tableColumn id="3" xr3:uid="{8D4E96C9-510C-4DDA-B3D1-947FEFEA1435}" name="שיעור מסך הנכסים ינואר 2023"/>
    <tableColumn id="4" xr3:uid="{C45EF22C-2CF6-418A-B4EF-C61DB181827D}" name="התרומה לתשואה פברואר 2023"/>
    <tableColumn id="5" xr3:uid="{FBE5A478-45DD-4B49-BA82-E821C2F4F832}" name="שיעור מסך הנכסים פברואר 2023"/>
    <tableColumn id="6" xr3:uid="{D3C905B5-8DD5-4C84-8195-E385C1BAAC47}" name="התרומה לתשואה מרץ 2023"/>
    <tableColumn id="7" xr3:uid="{0DAE6C77-DD2E-4EAC-933E-E384E973A1A0}" name="שיעור מסך הנכסים מרץ 2023"/>
    <tableColumn id="8" xr3:uid="{6D5F3BFE-5F11-421E-9170-C503D680FB6C}" name="התרומה לתשואה אפריל 2023"/>
    <tableColumn id="9" xr3:uid="{1DC2DB7F-687B-4C54-90DE-927BDCB2AB80}" name="שיעור מסך הנכסים אפריל 2023"/>
    <tableColumn id="10" xr3:uid="{E850EE8A-3294-4939-B049-9A8B2D4602F0}" name="התרומה לתשואה מאי 2023"/>
    <tableColumn id="11" xr3:uid="{656959C1-5B49-4A0D-8672-D633898ADE43}" name="שיעור מסך הנכסים מאי 2023"/>
    <tableColumn id="12" xr3:uid="{7637876B-46A7-4136-96EE-4D841B3EEB3D}" name="התרומה לתשואה יוני 2023"/>
    <tableColumn id="13" xr3:uid="{B73E6C60-7BB3-4E4F-80B0-BAD7E2F3BB95}" name="שיעור מסך הנכסים יוני 2023"/>
    <tableColumn id="14" xr3:uid="{5DF59B7D-D980-4CE5-A1CF-46F3A0C52D43}" name="התרומה לתשואה יולי 2023"/>
    <tableColumn id="15" xr3:uid="{0924504F-DD82-47C6-B7D1-0DC57B7E350F}" name="שיעור מסך הנכסים יולי 2023"/>
    <tableColumn id="16" xr3:uid="{B635249A-92A6-4520-916E-A7798DEF8DCA}" name="התרומה לתשואה אוגוסט 2023"/>
    <tableColumn id="17" xr3:uid="{83B59C1C-6DB8-4A00-A7EB-D7ADAB629B0F}" name="שיעור מסך הנכסים אוגוסט 2023"/>
    <tableColumn id="18" xr3:uid="{3DFED4D2-0C87-4C30-B815-C115E36EC82E}" name="התרומה לתשואה ספטמבר 2023"/>
    <tableColumn id="19" xr3:uid="{CB18ED47-F319-4486-8E42-61D260BF4FBE}" name="שיעור מסך הנכסים ספטמבר 2023"/>
    <tableColumn id="20" xr3:uid="{AFDA40B6-9855-412E-8871-C57C8E98E40E}" name="התרומה לתשואה אוקטובר 2023"/>
    <tableColumn id="21" xr3:uid="{E69153E6-475B-460F-B5A2-A64FC4CED7D7}" name="שיעור מסך הנכסים אוקטובר 2023"/>
    <tableColumn id="22" xr3:uid="{A7F9E31E-2AD3-4482-B890-0788F4CC9755}" name="התרומה לתשואה נובמבר 2023"/>
    <tableColumn id="23" xr3:uid="{042D74B9-4D22-4A55-912D-01E7523E77A7}" name="שיעור מסך הנכסים נובמבר 2023"/>
    <tableColumn id="24" xr3:uid="{5BB29B5B-6D2B-460F-B6CA-E84CB2F660CD}" name="התרומה לתשואה דצמבר 2023"/>
    <tableColumn id="25" xr3:uid="{D8E0CE6A-7211-4B68-9323-A33FDB0359A1}" name="שיעור מסך הנכסים דצמבר 20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C1B3D-4408-4DAD-BAA3-0854DFA79E8D}" name="טבלה3" displayName="טבלה3" ref="B33:J62" totalsRowShown="0" headerRowDxfId="2" dataDxfId="1">
  <autoFilter ref="B33:J62" xr:uid="{CC1C1B3D-4408-4DAD-BAA3-0854DFA79E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BCDEC87-211F-49C6-AF4C-594596945C3C}" name="נתונים מצטברים" dataDxfId="11"/>
    <tableColumn id="2" xr3:uid="{8ACB60CC-D1AC-4D4A-B40D-76910FFD8F50}" name="התרומה לתשואה ינואר-מרץ 2023" dataDxfId="10"/>
    <tableColumn id="3" xr3:uid="{E1F1169F-C330-42BB-B528-D4FBC5A74408}" name="שיעור מסך הנכסים ינואר-מרץ 2023" dataDxfId="9"/>
    <tableColumn id="4" xr3:uid="{EB0C5065-6D2F-4D58-90CB-4A9F5F76CC3A}" name="התרומה לתשואה ינואר-יוני 2023" dataDxfId="8"/>
    <tableColumn id="5" xr3:uid="{73FC7DB8-7346-4012-840D-7ED765AADD85}" name="שיעור מסך הנכסים ינואר-יוני 2023" dataDxfId="7"/>
    <tableColumn id="6" xr3:uid="{29A7D80D-6A5E-43EF-83A9-537FC061B853}" name="התרומה לתשואה ינואר-ספטמבר 2023" dataDxfId="6"/>
    <tableColumn id="7" xr3:uid="{695A7288-666F-4D67-96BA-56F6B3F3F611}" name="שיעור מסך הנכסים ינואר-ספטמבר 2023" dataDxfId="5"/>
    <tableColumn id="8" xr3:uid="{2715B233-5E1C-4BCB-9207-5FDD6E8F9929}" name="התרומה לתשואה ינואר-דצמבר 2023" dataDxfId="4"/>
    <tableColumn id="9" xr3:uid="{35B3C928-09C6-4E0B-ADC2-C7708EE3BA53}" name="שיעור מסך הנכסים ינואר-דצמבר 2023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rightToLeft="1" tabSelected="1" topLeftCell="B2" workbookViewId="0">
      <selection activeCell="B31" sqref="A31:XFD31"/>
    </sheetView>
  </sheetViews>
  <sheetFormatPr defaultColWidth="9.140625" defaultRowHeight="12.75"/>
  <cols>
    <col min="1" max="1" width="3.7109375" style="50" customWidth="1"/>
    <col min="2" max="2" width="34.7109375" style="50" customWidth="1"/>
    <col min="3" max="3" width="29.28515625" style="50" customWidth="1"/>
    <col min="4" max="4" width="30.5703125" style="50" customWidth="1"/>
    <col min="5" max="5" width="28.5703125" style="50" customWidth="1"/>
    <col min="6" max="6" width="29.85546875" style="50" customWidth="1"/>
    <col min="7" max="7" width="32.7109375" style="50" customWidth="1"/>
    <col min="8" max="8" width="34" style="50" customWidth="1"/>
    <col min="9" max="9" width="31.28515625" style="50" customWidth="1"/>
    <col min="10" max="10" width="32.5703125" style="50" customWidth="1"/>
    <col min="11" max="11" width="24.42578125" style="50" customWidth="1"/>
    <col min="12" max="12" width="25.7109375" style="50" customWidth="1"/>
    <col min="13" max="13" width="24" style="50" customWidth="1"/>
    <col min="14" max="14" width="25.28515625" style="50" customWidth="1"/>
    <col min="15" max="15" width="24.140625" style="50" customWidth="1"/>
    <col min="16" max="16" width="25.42578125" style="50" customWidth="1"/>
    <col min="17" max="17" width="27" style="50" customWidth="1"/>
    <col min="18" max="18" width="28.28515625" style="50" customWidth="1"/>
    <col min="19" max="19" width="28.140625" style="50" customWidth="1"/>
    <col min="20" max="20" width="29.42578125" style="50" customWidth="1"/>
    <col min="21" max="21" width="28.140625" style="50" customWidth="1"/>
    <col min="22" max="22" width="29.42578125" style="50" customWidth="1"/>
    <col min="23" max="23" width="27" style="50" customWidth="1"/>
    <col min="24" max="24" width="28.28515625" style="50" customWidth="1"/>
    <col min="25" max="25" width="26.7109375" style="50" customWidth="1"/>
    <col min="26" max="26" width="28" style="50" customWidth="1"/>
    <col min="27" max="16384" width="9.140625" style="50"/>
  </cols>
  <sheetData>
    <row r="1" spans="1:26" ht="90">
      <c r="A1" s="49"/>
      <c r="B1" s="71" t="s">
        <v>61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s="81" customFormat="1" ht="60" customHeight="1">
      <c r="A2" s="74"/>
      <c r="B2" s="75" t="s">
        <v>0</v>
      </c>
      <c r="C2" s="76" t="s">
        <v>29</v>
      </c>
      <c r="D2" s="77" t="s">
        <v>30</v>
      </c>
      <c r="E2" s="78" t="s">
        <v>31</v>
      </c>
      <c r="F2" s="79" t="s">
        <v>32</v>
      </c>
      <c r="G2" s="76" t="s">
        <v>33</v>
      </c>
      <c r="H2" s="77" t="s">
        <v>34</v>
      </c>
      <c r="I2" s="78" t="s">
        <v>35</v>
      </c>
      <c r="J2" s="79" t="s">
        <v>36</v>
      </c>
      <c r="K2" s="76" t="s">
        <v>37</v>
      </c>
      <c r="L2" s="77" t="s">
        <v>38</v>
      </c>
      <c r="M2" s="78" t="s">
        <v>39</v>
      </c>
      <c r="N2" s="79" t="s">
        <v>40</v>
      </c>
      <c r="O2" s="76" t="s">
        <v>41</v>
      </c>
      <c r="P2" s="77" t="s">
        <v>42</v>
      </c>
      <c r="Q2" s="78" t="s">
        <v>43</v>
      </c>
      <c r="R2" s="79" t="s">
        <v>44</v>
      </c>
      <c r="S2" s="76" t="s">
        <v>45</v>
      </c>
      <c r="T2" s="77" t="s">
        <v>46</v>
      </c>
      <c r="U2" s="78" t="s">
        <v>47</v>
      </c>
      <c r="V2" s="79" t="s">
        <v>48</v>
      </c>
      <c r="W2" s="76" t="s">
        <v>49</v>
      </c>
      <c r="X2" s="77" t="s">
        <v>50</v>
      </c>
      <c r="Y2" s="78" t="s">
        <v>51</v>
      </c>
      <c r="Z2" s="80" t="s">
        <v>52</v>
      </c>
    </row>
    <row r="3" spans="1:26">
      <c r="A3" s="49"/>
      <c r="B3" s="52" t="s">
        <v>1</v>
      </c>
      <c r="C3" s="53">
        <v>2.0210490016709284E-6</v>
      </c>
      <c r="D3" s="54">
        <v>1.3447070156767804E-2</v>
      </c>
      <c r="E3" s="55">
        <v>1.4318034940340169E-4</v>
      </c>
      <c r="F3" s="56">
        <v>1.5514533058356475E-2</v>
      </c>
      <c r="G3" s="53">
        <v>5.5042991810478856E-6</v>
      </c>
      <c r="H3" s="54">
        <v>1.1431228032121857E-2</v>
      </c>
      <c r="I3" s="55">
        <v>1.100941626226515E-4</v>
      </c>
      <c r="J3" s="56">
        <v>8.0532578304538197E-3</v>
      </c>
      <c r="K3" s="53">
        <v>3.7225505289971157E-5</v>
      </c>
      <c r="L3" s="54">
        <v>9.5722067088489533E-4</v>
      </c>
      <c r="M3" s="55">
        <v>3.7973505990023349E-5</v>
      </c>
      <c r="N3" s="56">
        <v>8.6326950826707879E-3</v>
      </c>
      <c r="O3" s="53">
        <v>8.3421006900459194E-5</v>
      </c>
      <c r="P3" s="54">
        <v>8.6326950826707879E-3</v>
      </c>
      <c r="Q3" s="55">
        <v>3.8971673422032827E-4</v>
      </c>
      <c r="R3" s="56">
        <v>2.4128487932464453E-2</v>
      </c>
      <c r="S3" s="53">
        <v>1.4423740832937291E-4</v>
      </c>
      <c r="T3" s="54">
        <v>2.5031134007253673E-2</v>
      </c>
      <c r="U3" s="53">
        <v>7.9166022918927088E-4</v>
      </c>
      <c r="V3" s="54">
        <v>2.90645162813639E-2</v>
      </c>
      <c r="W3" s="53">
        <v>-1.7037044004202838E-3</v>
      </c>
      <c r="X3" s="54">
        <v>2.0775243822678268E-2</v>
      </c>
      <c r="Y3" s="55">
        <v>-2.6515906019612283E-4</v>
      </c>
      <c r="Z3" s="57">
        <v>3.4824494561494931E-2</v>
      </c>
    </row>
    <row r="4" spans="1:26">
      <c r="A4" s="49"/>
      <c r="B4" s="58" t="s">
        <v>2</v>
      </c>
      <c r="C4" s="53">
        <v>1.1347981788220218E-2</v>
      </c>
      <c r="D4" s="54">
        <v>0.50612222992266886</v>
      </c>
      <c r="E4" s="55">
        <v>-1.5437334451920588E-2</v>
      </c>
      <c r="F4" s="56">
        <v>0.50231448997778749</v>
      </c>
      <c r="G4" s="53">
        <v>7.1191265428103608E-3</v>
      </c>
      <c r="H4" s="54">
        <v>0.50401156017596771</v>
      </c>
      <c r="I4" s="55">
        <v>-8.1633854307537699E-3</v>
      </c>
      <c r="J4" s="56">
        <v>0.49635134292415728</v>
      </c>
      <c r="K4" s="53">
        <v>1.483327308035806E-2</v>
      </c>
      <c r="L4" s="54">
        <v>0.49776424701932259</v>
      </c>
      <c r="M4" s="55">
        <v>3.2003889046953683E-3</v>
      </c>
      <c r="N4" s="56">
        <v>0.49069722825682727</v>
      </c>
      <c r="O4" s="53">
        <v>-1.3843437570586106E-3</v>
      </c>
      <c r="P4" s="54">
        <v>0.49069722825682727</v>
      </c>
      <c r="Q4" s="55">
        <v>-3.5771240096086625E-3</v>
      </c>
      <c r="R4" s="56">
        <v>0.48297229433928818</v>
      </c>
      <c r="S4" s="53">
        <v>-8.8355585494056602E-3</v>
      </c>
      <c r="T4" s="54">
        <v>0.47909407814907595</v>
      </c>
      <c r="U4" s="53">
        <v>-2.5491145702184071E-2</v>
      </c>
      <c r="V4" s="54">
        <v>0.47044621981164192</v>
      </c>
      <c r="W4" s="53">
        <v>2.1319775613685331E-2</v>
      </c>
      <c r="X4" s="54">
        <v>0.47543310875079536</v>
      </c>
      <c r="Y4" s="55">
        <v>8.0265261618795349E-3</v>
      </c>
      <c r="Z4" s="57">
        <v>0.47322123259091448</v>
      </c>
    </row>
    <row r="5" spans="1:26">
      <c r="A5" s="49"/>
      <c r="B5" s="58" t="s">
        <v>3</v>
      </c>
      <c r="C5" s="53">
        <v>0</v>
      </c>
      <c r="D5" s="54">
        <v>0</v>
      </c>
      <c r="E5" s="55">
        <v>0</v>
      </c>
      <c r="F5" s="56">
        <v>0</v>
      </c>
      <c r="G5" s="53">
        <v>0</v>
      </c>
      <c r="H5" s="54">
        <v>0</v>
      </c>
      <c r="I5" s="55">
        <v>0</v>
      </c>
      <c r="J5" s="56">
        <v>0</v>
      </c>
      <c r="K5" s="53">
        <v>0</v>
      </c>
      <c r="L5" s="54">
        <v>0</v>
      </c>
      <c r="M5" s="55">
        <v>0</v>
      </c>
      <c r="N5" s="56">
        <v>0</v>
      </c>
      <c r="O5" s="53">
        <v>0</v>
      </c>
      <c r="P5" s="54">
        <v>0</v>
      </c>
      <c r="Q5" s="55">
        <v>0</v>
      </c>
      <c r="R5" s="56">
        <v>0</v>
      </c>
      <c r="S5" s="53">
        <v>0</v>
      </c>
      <c r="T5" s="54">
        <v>0</v>
      </c>
      <c r="U5" s="53">
        <v>0</v>
      </c>
      <c r="V5" s="54">
        <v>0</v>
      </c>
      <c r="W5" s="53">
        <v>0</v>
      </c>
      <c r="X5" s="54">
        <v>0</v>
      </c>
      <c r="Y5" s="55">
        <v>0</v>
      </c>
      <c r="Z5" s="57">
        <v>0</v>
      </c>
    </row>
    <row r="6" spans="1:26">
      <c r="A6" s="49"/>
      <c r="B6" s="58" t="s">
        <v>4</v>
      </c>
      <c r="C6" s="53">
        <v>0</v>
      </c>
      <c r="D6" s="54">
        <v>0</v>
      </c>
      <c r="E6" s="55">
        <v>0</v>
      </c>
      <c r="F6" s="56">
        <v>0</v>
      </c>
      <c r="G6" s="53">
        <v>0</v>
      </c>
      <c r="H6" s="54">
        <v>0</v>
      </c>
      <c r="I6" s="55">
        <v>0</v>
      </c>
      <c r="J6" s="56">
        <v>0</v>
      </c>
      <c r="K6" s="53">
        <v>0</v>
      </c>
      <c r="L6" s="54">
        <v>0</v>
      </c>
      <c r="M6" s="55">
        <v>0</v>
      </c>
      <c r="N6" s="56">
        <v>0</v>
      </c>
      <c r="O6" s="53">
        <v>0</v>
      </c>
      <c r="P6" s="54">
        <v>0</v>
      </c>
      <c r="Q6" s="55">
        <v>0</v>
      </c>
      <c r="R6" s="56">
        <v>0</v>
      </c>
      <c r="S6" s="53">
        <v>0</v>
      </c>
      <c r="T6" s="54">
        <v>0</v>
      </c>
      <c r="U6" s="53">
        <v>0</v>
      </c>
      <c r="V6" s="54">
        <v>0</v>
      </c>
      <c r="W6" s="53">
        <v>0</v>
      </c>
      <c r="X6" s="54">
        <v>0</v>
      </c>
      <c r="Y6" s="55">
        <v>0</v>
      </c>
      <c r="Z6" s="57">
        <v>0</v>
      </c>
    </row>
    <row r="7" spans="1:26">
      <c r="A7" s="49"/>
      <c r="B7" s="58" t="s">
        <v>5</v>
      </c>
      <c r="C7" s="53">
        <v>2.585560072295955E-3</v>
      </c>
      <c r="D7" s="54">
        <v>0.12351698674182221</v>
      </c>
      <c r="E7" s="55">
        <v>-3.2215709302398218E-3</v>
      </c>
      <c r="F7" s="56">
        <v>0.12521730042610005</v>
      </c>
      <c r="G7" s="53">
        <v>1.2951708814299004E-3</v>
      </c>
      <c r="H7" s="54">
        <v>0.1273104555987481</v>
      </c>
      <c r="I7" s="55">
        <v>9.2397359228171578E-4</v>
      </c>
      <c r="J7" s="56">
        <v>0.12909304485143011</v>
      </c>
      <c r="K7" s="53">
        <v>2.8176988958734718E-3</v>
      </c>
      <c r="L7" s="54">
        <v>0.12842832656506689</v>
      </c>
      <c r="M7" s="55">
        <v>7.8964227803612333E-4</v>
      </c>
      <c r="N7" s="56">
        <v>0.13593721491743374</v>
      </c>
      <c r="O7" s="53">
        <v>7.9446263550322731E-4</v>
      </c>
      <c r="P7" s="54">
        <v>0.13593721491743374</v>
      </c>
      <c r="Q7" s="55">
        <v>2.4979736165802791E-4</v>
      </c>
      <c r="R7" s="56">
        <v>0.13226758340740441</v>
      </c>
      <c r="S7" s="53">
        <v>-1.1313147955610116E-3</v>
      </c>
      <c r="T7" s="54">
        <v>0.13278812841026694</v>
      </c>
      <c r="U7" s="53">
        <v>-2.8979957360837209E-3</v>
      </c>
      <c r="V7" s="54">
        <v>0.13666369000284639</v>
      </c>
      <c r="W7" s="53">
        <v>4.3879604754471658E-3</v>
      </c>
      <c r="X7" s="54">
        <v>0.13741649286828986</v>
      </c>
      <c r="Y7" s="55">
        <v>2.3383111066409938E-3</v>
      </c>
      <c r="Z7" s="57">
        <v>0.13664473998909268</v>
      </c>
    </row>
    <row r="8" spans="1:26">
      <c r="A8" s="49"/>
      <c r="B8" s="58" t="s">
        <v>6</v>
      </c>
      <c r="C8" s="53">
        <v>-1.4886770384519376E-5</v>
      </c>
      <c r="D8" s="54">
        <v>3.69798177891743E-2</v>
      </c>
      <c r="E8" s="55">
        <v>-6.7370101007293551E-4</v>
      </c>
      <c r="F8" s="56">
        <v>3.6583782331222427E-2</v>
      </c>
      <c r="G8" s="53">
        <v>3.657325602066601E-4</v>
      </c>
      <c r="H8" s="54">
        <v>3.6082544819518565E-2</v>
      </c>
      <c r="I8" s="55">
        <v>1.7001375416081019E-4</v>
      </c>
      <c r="J8" s="56">
        <v>3.6380876947717335E-2</v>
      </c>
      <c r="K8" s="53">
        <v>9.3733107598014244E-4</v>
      </c>
      <c r="L8" s="54">
        <v>3.6507950418890156E-2</v>
      </c>
      <c r="M8" s="55">
        <v>4.8085755031400931E-5</v>
      </c>
      <c r="N8" s="56">
        <v>3.5780371318897067E-2</v>
      </c>
      <c r="O8" s="53">
        <v>1.281245180908464E-4</v>
      </c>
      <c r="P8" s="54">
        <v>3.5780371318897067E-2</v>
      </c>
      <c r="Q8" s="55">
        <v>9.8277243994634631E-5</v>
      </c>
      <c r="R8" s="56">
        <v>2.493811245897145E-2</v>
      </c>
      <c r="S8" s="53">
        <v>-1.8027934167753057E-4</v>
      </c>
      <c r="T8" s="54">
        <v>2.5033628855270215E-2</v>
      </c>
      <c r="U8" s="53">
        <v>-1.0212495855541719E-3</v>
      </c>
      <c r="V8" s="54">
        <v>2.4974170116404886E-2</v>
      </c>
      <c r="W8" s="53">
        <v>1.2276561334992593E-3</v>
      </c>
      <c r="X8" s="54">
        <v>2.5418539747497852E-2</v>
      </c>
      <c r="Y8" s="55">
        <v>2.8239085480715609E-4</v>
      </c>
      <c r="Z8" s="57">
        <v>2.3606885844292266E-2</v>
      </c>
    </row>
    <row r="9" spans="1:26">
      <c r="A9" s="49"/>
      <c r="B9" s="58" t="s">
        <v>7</v>
      </c>
      <c r="C9" s="53">
        <v>1.9444700317622255E-3</v>
      </c>
      <c r="D9" s="54">
        <v>9.1041024561505271E-2</v>
      </c>
      <c r="E9" s="55">
        <v>-3.148487770459766E-3</v>
      </c>
      <c r="F9" s="56">
        <v>8.8571519576328486E-2</v>
      </c>
      <c r="G9" s="53">
        <v>-1.7682254662149666E-5</v>
      </c>
      <c r="H9" s="54">
        <v>8.2875920821225912E-2</v>
      </c>
      <c r="I9" s="55">
        <v>1.5707082911976442E-3</v>
      </c>
      <c r="J9" s="56">
        <v>8.4788628223541232E-2</v>
      </c>
      <c r="K9" s="53">
        <v>8.5803667496839201E-4</v>
      </c>
      <c r="L9" s="54">
        <v>8.4632916745032705E-2</v>
      </c>
      <c r="M9" s="55">
        <v>2.0641217805270878E-3</v>
      </c>
      <c r="N9" s="56">
        <v>8.0455696075382097E-2</v>
      </c>
      <c r="O9" s="53">
        <v>3.9197976477029399E-3</v>
      </c>
      <c r="P9" s="54">
        <v>8.0455696075382097E-2</v>
      </c>
      <c r="Q9" s="55">
        <v>-1.8673599717320378E-3</v>
      </c>
      <c r="R9" s="56">
        <v>7.9137085738916979E-2</v>
      </c>
      <c r="S9" s="53">
        <v>-8.2770471812659884E-4</v>
      </c>
      <c r="T9" s="54">
        <v>7.4820977733098384E-2</v>
      </c>
      <c r="U9" s="53">
        <v>-4.3602276958402851E-3</v>
      </c>
      <c r="V9" s="54">
        <v>7.5825160480406301E-2</v>
      </c>
      <c r="W9" s="53">
        <v>3.2673299675446354E-3</v>
      </c>
      <c r="X9" s="54">
        <v>7.7078934401071317E-2</v>
      </c>
      <c r="Y9" s="55">
        <v>3.1690098041066922E-3</v>
      </c>
      <c r="Z9" s="57">
        <v>7.0400179784930253E-2</v>
      </c>
    </row>
    <row r="10" spans="1:26">
      <c r="A10" s="49"/>
      <c r="B10" s="58" t="s">
        <v>8</v>
      </c>
      <c r="C10" s="53">
        <v>1.5981464377826644E-3</v>
      </c>
      <c r="D10" s="54">
        <v>4.932693374195217E-2</v>
      </c>
      <c r="E10" s="55">
        <v>-6.5835510833044358E-5</v>
      </c>
      <c r="F10" s="56">
        <v>4.8307847196928953E-2</v>
      </c>
      <c r="G10" s="53">
        <v>7.0780447777532104E-5</v>
      </c>
      <c r="H10" s="54">
        <v>5.067297153814751E-2</v>
      </c>
      <c r="I10" s="55">
        <v>1.1587730398222617E-3</v>
      </c>
      <c r="J10" s="56">
        <v>5.2920416572409743E-2</v>
      </c>
      <c r="K10" s="53">
        <v>-3.7620539292605628E-4</v>
      </c>
      <c r="L10" s="54">
        <v>5.4530665998105986E-2</v>
      </c>
      <c r="M10" s="55">
        <v>2.2037594615716203E-3</v>
      </c>
      <c r="N10" s="56">
        <v>5.2313054706020566E-2</v>
      </c>
      <c r="O10" s="53">
        <v>1.7978370622017518E-3</v>
      </c>
      <c r="P10" s="54">
        <v>5.2313054706020566E-2</v>
      </c>
      <c r="Q10" s="55">
        <v>9.4752521184212819E-6</v>
      </c>
      <c r="R10" s="56">
        <v>5.6125002312167854E-2</v>
      </c>
      <c r="S10" s="53">
        <v>-1.4570223713791853E-3</v>
      </c>
      <c r="T10" s="54">
        <v>6.6192013274478073E-2</v>
      </c>
      <c r="U10" s="53">
        <v>-6.6422534691062336E-5</v>
      </c>
      <c r="V10" s="54">
        <v>6.9494519713961825E-2</v>
      </c>
      <c r="W10" s="53">
        <v>3.1951766062289543E-4</v>
      </c>
      <c r="X10" s="54">
        <v>6.8468905375678152E-2</v>
      </c>
      <c r="Y10" s="55">
        <v>1.8652052991861914E-3</v>
      </c>
      <c r="Z10" s="57">
        <v>6.3552241466214313E-2</v>
      </c>
    </row>
    <row r="11" spans="1:26">
      <c r="A11" s="49"/>
      <c r="B11" s="58" t="s">
        <v>9</v>
      </c>
      <c r="C11" s="53">
        <v>3.5095592562704009E-4</v>
      </c>
      <c r="D11" s="54">
        <v>1.1303977647355816E-2</v>
      </c>
      <c r="E11" s="55">
        <v>4.0021670521988483E-4</v>
      </c>
      <c r="F11" s="56">
        <v>1.2017060413577049E-2</v>
      </c>
      <c r="G11" s="53">
        <v>-7.5419693069841458E-5</v>
      </c>
      <c r="H11" s="54">
        <v>1.2021443845705179E-2</v>
      </c>
      <c r="I11" s="55">
        <v>2.6158949740647842E-4</v>
      </c>
      <c r="J11" s="56">
        <v>1.2337659430371477E-2</v>
      </c>
      <c r="K11" s="53">
        <v>1.9720350456841742E-4</v>
      </c>
      <c r="L11" s="54">
        <v>1.2311227619480336E-2</v>
      </c>
      <c r="M11" s="55">
        <v>1.6694572069561798E-4</v>
      </c>
      <c r="N11" s="56">
        <v>1.2677310088180188E-2</v>
      </c>
      <c r="O11" s="53">
        <v>2.7765855748345856E-4</v>
      </c>
      <c r="P11" s="54">
        <v>1.2677310088180188E-2</v>
      </c>
      <c r="Q11" s="55">
        <v>2.6527491723237845E-4</v>
      </c>
      <c r="R11" s="56">
        <v>1.1149869569541929E-2</v>
      </c>
      <c r="S11" s="53">
        <v>-1.4967827567574941E-4</v>
      </c>
      <c r="T11" s="54">
        <v>1.0979274165295457E-2</v>
      </c>
      <c r="U11" s="53">
        <v>3.6939472988457996E-4</v>
      </c>
      <c r="V11" s="54">
        <v>1.1964698472508049E-2</v>
      </c>
      <c r="W11" s="53">
        <v>-3.1621080639830239E-4</v>
      </c>
      <c r="X11" s="54">
        <v>1.3397147620072684E-2</v>
      </c>
      <c r="Y11" s="55">
        <v>1.6582301335438056E-4</v>
      </c>
      <c r="Z11" s="57">
        <v>1.2656301367628185E-2</v>
      </c>
    </row>
    <row r="12" spans="1:26">
      <c r="A12" s="49"/>
      <c r="B12" s="58" t="s">
        <v>10</v>
      </c>
      <c r="C12" s="53">
        <v>-4.8868339223110855E-4</v>
      </c>
      <c r="D12" s="54">
        <v>7.223624585621391E-2</v>
      </c>
      <c r="E12" s="55">
        <v>3.1911527105011944E-3</v>
      </c>
      <c r="F12" s="56">
        <v>7.826527863017034E-2</v>
      </c>
      <c r="G12" s="53">
        <v>-3.801051283164646E-4</v>
      </c>
      <c r="H12" s="54">
        <v>7.8128079853295021E-2</v>
      </c>
      <c r="I12" s="55">
        <v>8.7625114498813953E-4</v>
      </c>
      <c r="J12" s="56">
        <v>8.0039229286495067E-2</v>
      </c>
      <c r="K12" s="53">
        <v>2.5599555645184702E-3</v>
      </c>
      <c r="L12" s="54">
        <v>8.281769291873943E-2</v>
      </c>
      <c r="M12" s="55">
        <v>7.8498842789197492E-4</v>
      </c>
      <c r="N12" s="56">
        <v>8.4349886723158934E-2</v>
      </c>
      <c r="O12" s="53">
        <v>4.5973433709848433E-4</v>
      </c>
      <c r="P12" s="54">
        <v>8.4349886723158934E-2</v>
      </c>
      <c r="Q12" s="55">
        <v>2.9247750671894351E-3</v>
      </c>
      <c r="R12" s="56">
        <v>8.9508920388955485E-2</v>
      </c>
      <c r="S12" s="53">
        <v>1.093547867741929E-4</v>
      </c>
      <c r="T12" s="54">
        <v>9.154279280125821E-2</v>
      </c>
      <c r="U12" s="53">
        <v>3.8548379772363598E-3</v>
      </c>
      <c r="V12" s="54">
        <v>0.10089651199628674</v>
      </c>
      <c r="W12" s="53">
        <v>-5.080752999374695E-3</v>
      </c>
      <c r="X12" s="54">
        <v>9.3685805036005626E-2</v>
      </c>
      <c r="Y12" s="55">
        <v>-1.6636736207474563E-3</v>
      </c>
      <c r="Z12" s="57">
        <v>9.1654333513206829E-2</v>
      </c>
    </row>
    <row r="13" spans="1:26">
      <c r="A13" s="49"/>
      <c r="B13" s="58" t="s">
        <v>11</v>
      </c>
      <c r="C13" s="53">
        <v>-4.0788033108502273E-6</v>
      </c>
      <c r="D13" s="54">
        <v>4.20626443750533E-5</v>
      </c>
      <c r="E13" s="55">
        <v>-5.9524692842859424E-6</v>
      </c>
      <c r="F13" s="56">
        <v>3.7096620714441196E-5</v>
      </c>
      <c r="G13" s="53">
        <v>-4.6527124158723958E-6</v>
      </c>
      <c r="H13" s="54">
        <v>3.2144618223562786E-5</v>
      </c>
      <c r="I13" s="55">
        <v>4.9851570721349809E-6</v>
      </c>
      <c r="J13" s="56">
        <v>3.7283065732513605E-5</v>
      </c>
      <c r="K13" s="53">
        <v>-1.1894624319303552E-5</v>
      </c>
      <c r="L13" s="54">
        <v>2.9131610958514783E-5</v>
      </c>
      <c r="M13" s="55">
        <v>3.1333267429877331E-6</v>
      </c>
      <c r="N13" s="56">
        <v>3.191280931465246E-5</v>
      </c>
      <c r="O13" s="53">
        <v>1.2987894126465128E-6</v>
      </c>
      <c r="P13" s="54">
        <v>3.191280931465246E-5</v>
      </c>
      <c r="Q13" s="55">
        <v>4.9515050243719839E-5</v>
      </c>
      <c r="R13" s="56">
        <v>6.0817500706571579E-5</v>
      </c>
      <c r="S13" s="53">
        <v>-8.8549560333124427E-7</v>
      </c>
      <c r="T13" s="54">
        <v>5.2970111673838175E-5</v>
      </c>
      <c r="U13" s="53">
        <v>-1.329780760479726E-5</v>
      </c>
      <c r="V13" s="54">
        <v>4.1653538741809115E-5</v>
      </c>
      <c r="W13" s="53">
        <v>8.0131674148056879E-6</v>
      </c>
      <c r="X13" s="54">
        <v>4.835341201363125E-5</v>
      </c>
      <c r="Y13" s="55">
        <v>1.3079729302146824E-4</v>
      </c>
      <c r="Z13" s="57">
        <v>1.7432644182079716E-4</v>
      </c>
    </row>
    <row r="14" spans="1:26">
      <c r="A14" s="49"/>
      <c r="B14" s="58" t="s">
        <v>12</v>
      </c>
      <c r="C14" s="53">
        <v>2.2885556184156185E-3</v>
      </c>
      <c r="D14" s="54">
        <v>-5.6005809373735199E-3</v>
      </c>
      <c r="E14" s="55">
        <v>-4.7208965277927102E-3</v>
      </c>
      <c r="F14" s="56">
        <v>-1.0166026235255237E-2</v>
      </c>
      <c r="G14" s="53">
        <v>1.3488613225224645E-3</v>
      </c>
      <c r="H14" s="54">
        <v>-6.1183979515091842E-3</v>
      </c>
      <c r="I14" s="55">
        <v>-4.1953263023504711E-4</v>
      </c>
      <c r="J14" s="56">
        <v>-6.6668120971564012E-3</v>
      </c>
      <c r="K14" s="53">
        <v>-9.1849985012581285E-3</v>
      </c>
      <c r="L14" s="54">
        <v>-2.1698848278565133E-3</v>
      </c>
      <c r="M14" s="55">
        <v>9.8372165843464135E-4</v>
      </c>
      <c r="N14" s="56">
        <v>-5.3729114974078772E-3</v>
      </c>
      <c r="O14" s="53">
        <v>1.1569451190385895E-3</v>
      </c>
      <c r="P14" s="54">
        <v>-5.3729114974078772E-3</v>
      </c>
      <c r="Q14" s="55">
        <v>-3.486104789041794E-3</v>
      </c>
      <c r="R14" s="56">
        <v>-4.5436170780597043E-3</v>
      </c>
      <c r="S14" s="53">
        <v>-1.7900390367961959E-3</v>
      </c>
      <c r="T14" s="54">
        <v>-6.8299790887917152E-3</v>
      </c>
      <c r="U14" s="53">
        <v>-5.9420716735665013E-3</v>
      </c>
      <c r="V14" s="54">
        <v>-1.3186012051907451E-2</v>
      </c>
      <c r="W14" s="53">
        <v>9.2445379113039166E-3</v>
      </c>
      <c r="X14" s="54">
        <v>-3.6719072134592644E-3</v>
      </c>
      <c r="Y14" s="55">
        <v>3.1414859495203598E-3</v>
      </c>
      <c r="Z14" s="57">
        <v>-1.5722282496941616E-3</v>
      </c>
    </row>
    <row r="15" spans="1:26">
      <c r="A15" s="49"/>
      <c r="B15" s="58" t="s">
        <v>13</v>
      </c>
      <c r="C15" s="53">
        <v>8.0285310715650727E-5</v>
      </c>
      <c r="D15" s="54">
        <v>3.8566797301968497E-4</v>
      </c>
      <c r="E15" s="55">
        <v>6.5397224363607535E-4</v>
      </c>
      <c r="F15" s="56">
        <v>5.6167740381670187E-4</v>
      </c>
      <c r="G15" s="53">
        <v>-1.4865241878357584E-4</v>
      </c>
      <c r="H15" s="54">
        <v>1.4983353562856262E-4</v>
      </c>
      <c r="I15" s="55">
        <v>-5.6361946219909735E-5</v>
      </c>
      <c r="J15" s="56">
        <v>-1.0652044391648914E-4</v>
      </c>
      <c r="K15" s="53">
        <v>-1.1620173503962051E-4</v>
      </c>
      <c r="L15" s="54">
        <v>1.5523219759836353E-4</v>
      </c>
      <c r="M15" s="55">
        <v>-2.1056506929655026E-4</v>
      </c>
      <c r="N15" s="56">
        <v>1.0797628570487723E-4</v>
      </c>
      <c r="O15" s="53">
        <v>1.6935745328159504E-5</v>
      </c>
      <c r="P15" s="54">
        <v>1.0797628570487723E-4</v>
      </c>
      <c r="Q15" s="55">
        <v>-1.9861145962132663E-4</v>
      </c>
      <c r="R15" s="56">
        <v>8.8978495528525012E-4</v>
      </c>
      <c r="S15" s="53">
        <v>8.5775862482491893E-4</v>
      </c>
      <c r="T15" s="54">
        <v>1.6536254721761514E-3</v>
      </c>
      <c r="U15" s="53">
        <v>2.7375968842526579E-4</v>
      </c>
      <c r="V15" s="54">
        <v>2.1176979595691875E-3</v>
      </c>
      <c r="W15" s="53">
        <v>-1.8051906232714944E-3</v>
      </c>
      <c r="X15" s="54">
        <v>2.6438037417875323E-4</v>
      </c>
      <c r="Y15" s="55">
        <v>-1.305996269205156E-4</v>
      </c>
      <c r="Z15" s="57">
        <v>1.6706436292173577E-4</v>
      </c>
    </row>
    <row r="16" spans="1:26">
      <c r="A16" s="49"/>
      <c r="B16" s="58" t="s">
        <v>14</v>
      </c>
      <c r="C16" s="53">
        <v>3.6225138676629038E-5</v>
      </c>
      <c r="D16" s="54">
        <v>8.5365142335089945E-4</v>
      </c>
      <c r="E16" s="55">
        <v>3.9663499119847133E-5</v>
      </c>
      <c r="F16" s="56">
        <v>9.1716735007153316E-4</v>
      </c>
      <c r="G16" s="53">
        <v>-4.7310701556578367E-5</v>
      </c>
      <c r="H16" s="54">
        <v>1.5570363973644138E-4</v>
      </c>
      <c r="I16" s="55">
        <v>1.4592646918582634E-6</v>
      </c>
      <c r="J16" s="56">
        <v>1.5786793007696289E-4</v>
      </c>
      <c r="K16" s="53">
        <v>3.2276966474553317E-6</v>
      </c>
      <c r="L16" s="54">
        <v>1.5798537758889014E-4</v>
      </c>
      <c r="M16" s="55">
        <v>1.1564311337223768E-6</v>
      </c>
      <c r="N16" s="56">
        <v>1.5742937367127391E-4</v>
      </c>
      <c r="O16" s="53">
        <v>9.0310136183637923E-7</v>
      </c>
      <c r="P16" s="54">
        <v>1.5742937367127391E-4</v>
      </c>
      <c r="Q16" s="55">
        <v>1.5314605555624773E-6</v>
      </c>
      <c r="R16" s="56">
        <v>1.688090779963228E-4</v>
      </c>
      <c r="S16" s="53">
        <v>1.1022934802106682E-6</v>
      </c>
      <c r="T16" s="54">
        <v>1.7196883589027512E-4</v>
      </c>
      <c r="U16" s="53">
        <v>0</v>
      </c>
      <c r="V16" s="54">
        <v>1.7896960966110642E-4</v>
      </c>
      <c r="W16" s="53">
        <v>8.5848691658012989E-7</v>
      </c>
      <c r="X16" s="54">
        <v>1.7466496820034357E-4</v>
      </c>
      <c r="Y16" s="55">
        <v>2.7476122430135951E-6</v>
      </c>
      <c r="Z16" s="57">
        <v>1.7383126066517897E-4</v>
      </c>
    </row>
    <row r="17" spans="1:26">
      <c r="A17" s="49"/>
      <c r="B17" s="58" t="s">
        <v>15</v>
      </c>
      <c r="C17" s="53">
        <v>7.7795070428570974E-4</v>
      </c>
      <c r="D17" s="54">
        <v>6.1453083537989339E-2</v>
      </c>
      <c r="E17" s="55">
        <v>-1.6397551852120646E-3</v>
      </c>
      <c r="F17" s="56">
        <v>5.8704234417263121E-2</v>
      </c>
      <c r="G17" s="53">
        <v>-2.5360088272100684E-4</v>
      </c>
      <c r="H17" s="54">
        <v>6.042595828482647E-2</v>
      </c>
      <c r="I17" s="55">
        <v>1.0538958405487836E-3</v>
      </c>
      <c r="J17" s="56">
        <v>6.1469925446294427E-2</v>
      </c>
      <c r="K17" s="53">
        <v>1.8572507745638642E-3</v>
      </c>
      <c r="L17" s="54">
        <v>6.1333633794066852E-2</v>
      </c>
      <c r="M17" s="55">
        <v>2.7636270666560146E-4</v>
      </c>
      <c r="N17" s="56">
        <v>6.042526364581214E-2</v>
      </c>
      <c r="O17" s="53">
        <v>5.669711244854959E-4</v>
      </c>
      <c r="P17" s="54">
        <v>6.042526364581214E-2</v>
      </c>
      <c r="Q17" s="55">
        <v>8.345927234056275E-4</v>
      </c>
      <c r="R17" s="56">
        <v>6.115131741565813E-2</v>
      </c>
      <c r="S17" s="53">
        <v>-2.8355500031089482E-4</v>
      </c>
      <c r="T17" s="54">
        <v>6.3064503449977549E-2</v>
      </c>
      <c r="U17" s="53">
        <v>-2.3046032900537988E-3</v>
      </c>
      <c r="V17" s="54">
        <v>6.3663775252856408E-2</v>
      </c>
      <c r="W17" s="53">
        <v>2.3061239189112286E-3</v>
      </c>
      <c r="X17" s="54">
        <v>6.421342567135313E-2</v>
      </c>
      <c r="Y17" s="55">
        <v>9.1908622915541183E-4</v>
      </c>
      <c r="Z17" s="57">
        <v>6.4650029276081974E-2</v>
      </c>
    </row>
    <row r="18" spans="1:26">
      <c r="A18" s="49"/>
      <c r="B18" s="58" t="s">
        <v>16</v>
      </c>
      <c r="C18" s="53">
        <v>-1.266354773133053E-4</v>
      </c>
      <c r="D18" s="54">
        <v>2.5075039926462345E-2</v>
      </c>
      <c r="E18" s="55">
        <v>4.9841746502865742E-4</v>
      </c>
      <c r="F18" s="56">
        <v>2.918050756172981E-2</v>
      </c>
      <c r="G18" s="53">
        <v>-5.6675661274089579E-5</v>
      </c>
      <c r="H18" s="54">
        <v>2.5850921985841515E-2</v>
      </c>
      <c r="I18" s="55">
        <v>1.9568789245290942E-4</v>
      </c>
      <c r="J18" s="56">
        <v>2.8412680532333513E-2</v>
      </c>
      <c r="K18" s="53">
        <v>5.7998336996490003E-4</v>
      </c>
      <c r="L18" s="54">
        <v>2.5817573517204429E-2</v>
      </c>
      <c r="M18" s="55">
        <v>-1.2592733964872287E-5</v>
      </c>
      <c r="N18" s="56">
        <v>2.4458601759744399E-2</v>
      </c>
      <c r="O18" s="53">
        <v>-5.1401781778863344E-5</v>
      </c>
      <c r="P18" s="54">
        <v>2.4458601759744399E-2</v>
      </c>
      <c r="Q18" s="55">
        <v>2.6783217113198154E-4</v>
      </c>
      <c r="R18" s="56">
        <v>2.2683886840641088E-2</v>
      </c>
      <c r="S18" s="53">
        <v>5.6840840168825344E-5</v>
      </c>
      <c r="T18" s="54">
        <v>2.4187798952732924E-2</v>
      </c>
      <c r="U18" s="53">
        <v>6.7883188450452685E-5</v>
      </c>
      <c r="V18" s="54">
        <v>1.5826479013030095E-2</v>
      </c>
      <c r="W18" s="53">
        <v>1.6190839637943009E-4</v>
      </c>
      <c r="X18" s="54">
        <v>1.5524625870234733E-2</v>
      </c>
      <c r="Y18" s="55">
        <v>-2.1954580455758139E-5</v>
      </c>
      <c r="Z18" s="57">
        <v>1.5214637590034738E-2</v>
      </c>
    </row>
    <row r="19" spans="1:26">
      <c r="A19" s="49"/>
      <c r="B19" s="58" t="s">
        <v>17</v>
      </c>
      <c r="C19" s="53">
        <v>0</v>
      </c>
      <c r="D19" s="54">
        <v>0</v>
      </c>
      <c r="E19" s="55">
        <v>0</v>
      </c>
      <c r="F19" s="56">
        <v>0</v>
      </c>
      <c r="G19" s="53">
        <v>0</v>
      </c>
      <c r="H19" s="54">
        <v>0</v>
      </c>
      <c r="I19" s="55">
        <v>0</v>
      </c>
      <c r="J19" s="56">
        <v>0</v>
      </c>
      <c r="K19" s="53">
        <v>0</v>
      </c>
      <c r="L19" s="54">
        <v>0</v>
      </c>
      <c r="M19" s="55">
        <v>0</v>
      </c>
      <c r="N19" s="56">
        <v>0</v>
      </c>
      <c r="O19" s="53">
        <v>0</v>
      </c>
      <c r="P19" s="54">
        <v>0</v>
      </c>
      <c r="Q19" s="55">
        <v>0</v>
      </c>
      <c r="R19" s="56">
        <v>0</v>
      </c>
      <c r="S19" s="53">
        <v>0</v>
      </c>
      <c r="T19" s="54">
        <v>0</v>
      </c>
      <c r="U19" s="53">
        <v>0</v>
      </c>
      <c r="V19" s="54">
        <v>0</v>
      </c>
      <c r="W19" s="53">
        <v>0</v>
      </c>
      <c r="X19" s="54">
        <v>0</v>
      </c>
      <c r="Y19" s="55">
        <v>0</v>
      </c>
      <c r="Z19" s="57">
        <v>0</v>
      </c>
    </row>
    <row r="20" spans="1:26">
      <c r="A20" s="49"/>
      <c r="B20" s="58" t="s">
        <v>18</v>
      </c>
      <c r="C20" s="53">
        <v>7.4442330431506765E-6</v>
      </c>
      <c r="D20" s="54">
        <v>3.9001849595941009E-3</v>
      </c>
      <c r="E20" s="55">
        <v>0</v>
      </c>
      <c r="F20" s="56">
        <v>4.0048342402273394E-3</v>
      </c>
      <c r="G20" s="53">
        <v>1.2782024019915654E-6</v>
      </c>
      <c r="H20" s="54">
        <v>3.9668659008821371E-3</v>
      </c>
      <c r="I20" s="55">
        <v>0</v>
      </c>
      <c r="J20" s="56">
        <v>3.9847664259950785E-3</v>
      </c>
      <c r="K20" s="53">
        <v>0</v>
      </c>
      <c r="L20" s="54">
        <v>3.9499391675764575E-3</v>
      </c>
      <c r="M20" s="55">
        <v>-1.0743145176931044E-5</v>
      </c>
      <c r="N20" s="56">
        <v>3.9062159619612405E-3</v>
      </c>
      <c r="O20" s="53">
        <v>1.222482844122065E-5</v>
      </c>
      <c r="P20" s="54">
        <v>3.9062159619612405E-3</v>
      </c>
      <c r="Q20" s="55">
        <v>1.5465243305384517E-6</v>
      </c>
      <c r="R20" s="56">
        <v>4.0118288937116718E-3</v>
      </c>
      <c r="S20" s="53">
        <v>5.8630797463559174E-7</v>
      </c>
      <c r="T20" s="54">
        <v>4.1095453824601781E-3</v>
      </c>
      <c r="U20" s="53">
        <v>4.1487249826585105E-6</v>
      </c>
      <c r="V20" s="54">
        <v>4.2854940100177591E-3</v>
      </c>
      <c r="W20" s="53">
        <v>-3.0104612430704314E-4</v>
      </c>
      <c r="X20" s="54">
        <v>4.0107637751439834E-3</v>
      </c>
      <c r="Y20" s="55">
        <v>2.5137249517648725E-4</v>
      </c>
      <c r="Z20" s="57">
        <v>4.1872537187686732E-3</v>
      </c>
    </row>
    <row r="21" spans="1:26">
      <c r="A21" s="49"/>
      <c r="B21" s="58" t="s">
        <v>19</v>
      </c>
      <c r="C21" s="53">
        <v>8.2435672434886574E-13</v>
      </c>
      <c r="D21" s="54">
        <v>9.9166040551217846E-3</v>
      </c>
      <c r="E21" s="55">
        <v>0</v>
      </c>
      <c r="F21" s="56">
        <v>9.968697030961194E-3</v>
      </c>
      <c r="G21" s="53">
        <v>-1.66087799080377E-12</v>
      </c>
      <c r="H21" s="54">
        <v>1.3002765301640441E-2</v>
      </c>
      <c r="I21" s="55">
        <v>-4.8888483141675774E-19</v>
      </c>
      <c r="J21" s="56">
        <v>1.2746353074064331E-2</v>
      </c>
      <c r="K21" s="53">
        <v>2.5208156415419462E-12</v>
      </c>
      <c r="L21" s="54">
        <v>1.2776141207340082E-2</v>
      </c>
      <c r="M21" s="55">
        <v>1.8284557875434255E-19</v>
      </c>
      <c r="N21" s="56">
        <v>1.5442054492628645E-2</v>
      </c>
      <c r="O21" s="53">
        <v>-1.0716671662778583E-19</v>
      </c>
      <c r="P21" s="54">
        <v>1.5442054492628645E-2</v>
      </c>
      <c r="Q21" s="55">
        <v>1.3348206908711079E-7</v>
      </c>
      <c r="R21" s="56">
        <v>1.5349816246350009E-2</v>
      </c>
      <c r="S21" s="53">
        <v>1.648007660033431E-7</v>
      </c>
      <c r="T21" s="54">
        <v>8.1075394878839802E-3</v>
      </c>
      <c r="U21" s="53">
        <v>1.4179052538144934E-6</v>
      </c>
      <c r="V21" s="54">
        <v>7.7424557926113677E-3</v>
      </c>
      <c r="W21" s="53">
        <v>-1.6864335550998668E-6</v>
      </c>
      <c r="X21" s="54">
        <v>7.7615155202454683E-3</v>
      </c>
      <c r="Y21" s="55">
        <v>-1.4281721939902761E-6</v>
      </c>
      <c r="Z21" s="57">
        <v>1.0444676481627047E-2</v>
      </c>
    </row>
    <row r="22" spans="1:26" s="81" customFormat="1">
      <c r="A22" s="74"/>
      <c r="B22" s="124" t="s">
        <v>20</v>
      </c>
      <c r="C22" s="125">
        <v>2.0385311867411104E-2</v>
      </c>
      <c r="D22" s="126">
        <v>1</v>
      </c>
      <c r="E22" s="127">
        <v>-2.3986930882906154E-2</v>
      </c>
      <c r="F22" s="128">
        <v>1</v>
      </c>
      <c r="G22" s="125">
        <v>9.2223548018694999E-3</v>
      </c>
      <c r="H22" s="126">
        <v>1</v>
      </c>
      <c r="I22" s="127">
        <v>-2.311848369963343E-3</v>
      </c>
      <c r="J22" s="128">
        <v>1</v>
      </c>
      <c r="K22" s="125">
        <v>1.4991885891710854E-2</v>
      </c>
      <c r="L22" s="126">
        <v>1</v>
      </c>
      <c r="M22" s="127">
        <v>1.0326379008977815E-2</v>
      </c>
      <c r="N22" s="128">
        <v>1</v>
      </c>
      <c r="O22" s="125">
        <v>7.7805689342116402E-3</v>
      </c>
      <c r="P22" s="126">
        <v>1</v>
      </c>
      <c r="Q22" s="127">
        <v>-4.0367322418540796E-3</v>
      </c>
      <c r="R22" s="128">
        <v>1</v>
      </c>
      <c r="S22" s="125">
        <v>-1.3485992522218E-2</v>
      </c>
      <c r="T22" s="126">
        <v>1</v>
      </c>
      <c r="U22" s="125">
        <v>-3.6733911582155998E-2</v>
      </c>
      <c r="V22" s="126">
        <v>1</v>
      </c>
      <c r="W22" s="125">
        <v>3.3035090344398332E-2</v>
      </c>
      <c r="X22" s="126">
        <v>1</v>
      </c>
      <c r="Y22" s="127">
        <v>1.8209940758577847E-2</v>
      </c>
      <c r="Z22" s="129">
        <v>1</v>
      </c>
    </row>
    <row r="23" spans="1:26" s="81" customFormat="1">
      <c r="A23" s="74"/>
      <c r="B23" s="130" t="s">
        <v>21</v>
      </c>
      <c r="C23" s="131">
        <v>247287.50631999999</v>
      </c>
      <c r="D23" s="132"/>
      <c r="E23" s="133">
        <v>-296278.99195999996</v>
      </c>
      <c r="F23" s="134"/>
      <c r="G23" s="131">
        <v>111053.98521295001</v>
      </c>
      <c r="H23" s="132"/>
      <c r="I23" s="133">
        <v>-28075.862234658201</v>
      </c>
      <c r="J23" s="134"/>
      <c r="K23" s="131">
        <v>118944.71600287201</v>
      </c>
      <c r="L23" s="132"/>
      <c r="M23" s="133">
        <v>126562.33374624001</v>
      </c>
      <c r="N23" s="134"/>
      <c r="O23" s="131">
        <v>92972.446243425904</v>
      </c>
      <c r="P23" s="132"/>
      <c r="Q23" s="133">
        <v>-43436.252122793303</v>
      </c>
      <c r="R23" s="134"/>
      <c r="S23" s="131">
        <v>-166737.54992987801</v>
      </c>
      <c r="T23" s="132"/>
      <c r="U23" s="131">
        <v>-448275.62684074801</v>
      </c>
      <c r="V23" s="132"/>
      <c r="W23" s="131">
        <v>387459.34067233402</v>
      </c>
      <c r="X23" s="132"/>
      <c r="Y23" s="133">
        <v>220161.94809827799</v>
      </c>
      <c r="Z23" s="135"/>
    </row>
    <row r="24" spans="1:26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>
      <c r="A25" s="49"/>
      <c r="B25" s="52" t="s">
        <v>22</v>
      </c>
      <c r="C25" s="63">
        <v>1.3968075929471248E-2</v>
      </c>
      <c r="D25" s="64">
        <v>0.83610147026160997</v>
      </c>
      <c r="E25" s="65">
        <v>-2.9069702702914087E-2</v>
      </c>
      <c r="F25" s="66">
        <v>0.82979927094775585</v>
      </c>
      <c r="G25" s="63">
        <v>8.2535478709334972E-3</v>
      </c>
      <c r="H25" s="64">
        <v>0.82701695778122764</v>
      </c>
      <c r="I25" s="65">
        <v>-4.9048774606538391E-3</v>
      </c>
      <c r="J25" s="66">
        <v>0.8216635127915457</v>
      </c>
      <c r="K25" s="63">
        <v>1.0999629052947419E-2</v>
      </c>
      <c r="L25" s="64">
        <v>0.81679848688508716</v>
      </c>
      <c r="M25" s="65">
        <v>5.2390550123146574E-3</v>
      </c>
      <c r="N25" s="66">
        <v>0.81692519269770469</v>
      </c>
      <c r="O25" s="63">
        <v>2.7332793735491854E-3</v>
      </c>
      <c r="P25" s="64">
        <v>0.81692519269770469</v>
      </c>
      <c r="Q25" s="65">
        <v>-5.6536372706340382E-3</v>
      </c>
      <c r="R25" s="66">
        <v>0.82327339540015942</v>
      </c>
      <c r="S25" s="63">
        <v>-8.8096775384688686E-3</v>
      </c>
      <c r="T25" s="64">
        <v>0.80670112798437354</v>
      </c>
      <c r="U25" s="63">
        <v>-4.2208338186305351E-2</v>
      </c>
      <c r="V25" s="64">
        <v>0.7787226110698392</v>
      </c>
      <c r="W25" s="63">
        <v>3.8169904361591081E-2</v>
      </c>
      <c r="X25" s="64">
        <v>0.78939984706429955</v>
      </c>
      <c r="Y25" s="65">
        <v>1.6022102409096697E-2</v>
      </c>
      <c r="Z25" s="67">
        <v>0.79418784624238514</v>
      </c>
    </row>
    <row r="26" spans="1:26">
      <c r="A26" s="49"/>
      <c r="B26" s="58" t="s">
        <v>23</v>
      </c>
      <c r="C26" s="53">
        <v>6.417235937939858E-3</v>
      </c>
      <c r="D26" s="54">
        <v>0.16389852973839</v>
      </c>
      <c r="E26" s="55">
        <v>5.0827718200079355E-3</v>
      </c>
      <c r="F26" s="56">
        <v>0.17020072905224412</v>
      </c>
      <c r="G26" s="53">
        <v>9.6880693093600256E-4</v>
      </c>
      <c r="H26" s="54">
        <v>0.17298304221877242</v>
      </c>
      <c r="I26" s="55">
        <v>2.5930290906904961E-3</v>
      </c>
      <c r="J26" s="56">
        <v>0.17833648720845424</v>
      </c>
      <c r="K26" s="53">
        <v>3.9922568387634359E-3</v>
      </c>
      <c r="L26" s="54">
        <v>0.18320151311491278</v>
      </c>
      <c r="M26" s="55">
        <v>5.0873239966631586E-3</v>
      </c>
      <c r="N26" s="56">
        <v>0.18307480730229536</v>
      </c>
      <c r="O26" s="53">
        <v>5.0472895606624539E-3</v>
      </c>
      <c r="P26" s="54">
        <v>0.18307480730229536</v>
      </c>
      <c r="Q26" s="55">
        <v>1.6169050287799592E-3</v>
      </c>
      <c r="R26" s="56">
        <v>0.17672660459984055</v>
      </c>
      <c r="S26" s="53">
        <v>-4.6763149837491334E-3</v>
      </c>
      <c r="T26" s="54">
        <v>0.19329887201562651</v>
      </c>
      <c r="U26" s="53">
        <v>5.4744266041493557E-3</v>
      </c>
      <c r="V26" s="54">
        <v>0.22127738893016088</v>
      </c>
      <c r="W26" s="53">
        <v>-5.1348140171927556E-3</v>
      </c>
      <c r="X26" s="54">
        <v>0.21060015293570045</v>
      </c>
      <c r="Y26" s="55">
        <v>2.1878383494811499E-3</v>
      </c>
      <c r="Z26" s="57">
        <v>0.20581215375761491</v>
      </c>
    </row>
    <row r="27" spans="1:26" s="81" customFormat="1">
      <c r="A27" s="74"/>
      <c r="B27" s="130" t="s">
        <v>20</v>
      </c>
      <c r="C27" s="136">
        <v>2.0385311867411104E-2</v>
      </c>
      <c r="D27" s="137">
        <v>1</v>
      </c>
      <c r="E27" s="138">
        <v>-2.3986930882906154E-2</v>
      </c>
      <c r="F27" s="139">
        <v>1</v>
      </c>
      <c r="G27" s="136">
        <v>9.2223548018694999E-3</v>
      </c>
      <c r="H27" s="137">
        <v>1</v>
      </c>
      <c r="I27" s="138">
        <v>-2.311848369963343E-3</v>
      </c>
      <c r="J27" s="139">
        <v>1</v>
      </c>
      <c r="K27" s="136">
        <v>1.4991885891710854E-2</v>
      </c>
      <c r="L27" s="137">
        <v>1</v>
      </c>
      <c r="M27" s="138">
        <v>1.0326379008977815E-2</v>
      </c>
      <c r="N27" s="139">
        <v>1</v>
      </c>
      <c r="O27" s="136">
        <v>7.7805689342116402E-3</v>
      </c>
      <c r="P27" s="137">
        <v>1</v>
      </c>
      <c r="Q27" s="138">
        <v>-4.0367322418540796E-3</v>
      </c>
      <c r="R27" s="139">
        <v>1</v>
      </c>
      <c r="S27" s="136">
        <v>-1.3485992522218E-2</v>
      </c>
      <c r="T27" s="137">
        <v>1</v>
      </c>
      <c r="U27" s="136">
        <v>-3.6733911582155998E-2</v>
      </c>
      <c r="V27" s="137">
        <v>1</v>
      </c>
      <c r="W27" s="136">
        <v>3.3035090344398332E-2</v>
      </c>
      <c r="X27" s="137">
        <v>1</v>
      </c>
      <c r="Y27" s="138">
        <v>1.8209940758577847E-2</v>
      </c>
      <c r="Z27" s="140">
        <v>1</v>
      </c>
    </row>
    <row r="28" spans="1:26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>
      <c r="A29" s="49"/>
      <c r="B29" s="52" t="s">
        <v>24</v>
      </c>
      <c r="C29" s="63">
        <v>1.3617903115528572E-2</v>
      </c>
      <c r="D29" s="64">
        <v>0.42067720467568304</v>
      </c>
      <c r="E29" s="65">
        <v>-1.2190022711087373E-2</v>
      </c>
      <c r="F29" s="66">
        <v>0.41829207987519101</v>
      </c>
      <c r="G29" s="63">
        <v>4.0037734343984456E-3</v>
      </c>
      <c r="H29" s="64">
        <v>0.41796661706043503</v>
      </c>
      <c r="I29" s="65">
        <v>5.1919311795091958E-4</v>
      </c>
      <c r="J29" s="66">
        <v>0.41734155888118324</v>
      </c>
      <c r="K29" s="63">
        <v>8.5138582634550364E-3</v>
      </c>
      <c r="L29" s="64">
        <v>0.4120935153511478</v>
      </c>
      <c r="M29" s="65">
        <v>7.4188975240425869E-3</v>
      </c>
      <c r="N29" s="66">
        <v>0.41841574175034313</v>
      </c>
      <c r="O29" s="63">
        <v>7.1837005541230689E-3</v>
      </c>
      <c r="P29" s="64">
        <v>0.41841574175034313</v>
      </c>
      <c r="Q29" s="65">
        <v>-4.7634206132776014E-3</v>
      </c>
      <c r="R29" s="66">
        <v>0.42856653712050374</v>
      </c>
      <c r="S29" s="63">
        <v>-8.6715528299370296E-3</v>
      </c>
      <c r="T29" s="64">
        <v>0.42369233954236302</v>
      </c>
      <c r="U29" s="63">
        <v>-2.1040618490179831E-2</v>
      </c>
      <c r="V29" s="64">
        <v>0.42392477428309855</v>
      </c>
      <c r="W29" s="63">
        <v>1.7674008384719803E-2</v>
      </c>
      <c r="X29" s="64">
        <v>0.42621858115156191</v>
      </c>
      <c r="Y29" s="65">
        <v>1.1641502966538582E-2</v>
      </c>
      <c r="Z29" s="67">
        <v>0.43044457791700685</v>
      </c>
    </row>
    <row r="30" spans="1:26">
      <c r="A30" s="49"/>
      <c r="B30" s="58" t="s">
        <v>25</v>
      </c>
      <c r="C30" s="53">
        <v>6.7674087518825336E-3</v>
      </c>
      <c r="D30" s="54">
        <v>0.57932279532431696</v>
      </c>
      <c r="E30" s="55">
        <v>-1.1796908171818781E-2</v>
      </c>
      <c r="F30" s="56">
        <v>0.58170792012480887</v>
      </c>
      <c r="G30" s="53">
        <v>5.2185813674710535E-3</v>
      </c>
      <c r="H30" s="54">
        <v>0.58203338293956497</v>
      </c>
      <c r="I30" s="55">
        <v>-2.8310414879142627E-3</v>
      </c>
      <c r="J30" s="56">
        <v>0.58265844111881671</v>
      </c>
      <c r="K30" s="53">
        <v>6.4780276282558188E-3</v>
      </c>
      <c r="L30" s="54">
        <v>0.5879064846488522</v>
      </c>
      <c r="M30" s="55">
        <v>2.9074814849352273E-3</v>
      </c>
      <c r="N30" s="56">
        <v>0.58158425824965676</v>
      </c>
      <c r="O30" s="53">
        <v>5.9686838008857093E-4</v>
      </c>
      <c r="P30" s="54">
        <v>0.58158425824965676</v>
      </c>
      <c r="Q30" s="55">
        <v>7.266883714235219E-4</v>
      </c>
      <c r="R30" s="56">
        <v>0.57143346287949615</v>
      </c>
      <c r="S30" s="53">
        <v>-4.8144396922809715E-3</v>
      </c>
      <c r="T30" s="54">
        <v>0.57630766045763693</v>
      </c>
      <c r="U30" s="53">
        <v>-1.5693293091976167E-2</v>
      </c>
      <c r="V30" s="54">
        <v>0.57607522571690151</v>
      </c>
      <c r="W30" s="53">
        <v>1.5361081959678528E-2</v>
      </c>
      <c r="X30" s="54">
        <v>0.57378141884843814</v>
      </c>
      <c r="Y30" s="55">
        <v>6.5684377920392665E-3</v>
      </c>
      <c r="Z30" s="57">
        <v>0.56955542208299303</v>
      </c>
    </row>
    <row r="31" spans="1:26">
      <c r="A31" s="51"/>
      <c r="B31" s="59" t="s">
        <v>20</v>
      </c>
      <c r="C31" s="60">
        <v>2.0385311867411104E-2</v>
      </c>
      <c r="D31" s="72">
        <v>1</v>
      </c>
      <c r="E31" s="61">
        <v>-2.3986930882906154E-2</v>
      </c>
      <c r="F31" s="73">
        <v>1</v>
      </c>
      <c r="G31" s="60">
        <v>9.2223548018694999E-3</v>
      </c>
      <c r="H31" s="72">
        <v>1</v>
      </c>
      <c r="I31" s="61">
        <v>-2.311848369963343E-3</v>
      </c>
      <c r="J31" s="73">
        <v>1</v>
      </c>
      <c r="K31" s="60">
        <v>1.4991885891710854E-2</v>
      </c>
      <c r="L31" s="72">
        <v>1</v>
      </c>
      <c r="M31" s="61">
        <v>1.0326379008977815E-2</v>
      </c>
      <c r="N31" s="73">
        <v>1</v>
      </c>
      <c r="O31" s="60">
        <v>7.7805689342116402E-3</v>
      </c>
      <c r="P31" s="72">
        <v>1</v>
      </c>
      <c r="Q31" s="61">
        <v>-4.0367322418540796E-3</v>
      </c>
      <c r="R31" s="73">
        <v>1</v>
      </c>
      <c r="S31" s="60">
        <v>-1.3485992522218E-2</v>
      </c>
      <c r="T31" s="72">
        <v>1</v>
      </c>
      <c r="U31" s="60">
        <v>-3.6733911582155998E-2</v>
      </c>
      <c r="V31" s="72">
        <v>1</v>
      </c>
      <c r="W31" s="60">
        <v>3.3035090344398332E-2</v>
      </c>
      <c r="X31" s="72">
        <v>1</v>
      </c>
      <c r="Y31" s="61">
        <v>1.8209940758577847E-2</v>
      </c>
      <c r="Z31" s="62">
        <v>1</v>
      </c>
    </row>
    <row r="32" spans="1:26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19" ht="60" customHeight="1">
      <c r="A33" s="51"/>
      <c r="B33" s="82" t="s">
        <v>26</v>
      </c>
      <c r="C33" s="83" t="s">
        <v>53</v>
      </c>
      <c r="D33" s="84" t="s">
        <v>54</v>
      </c>
      <c r="E33" s="85" t="s">
        <v>55</v>
      </c>
      <c r="F33" s="86" t="s">
        <v>56</v>
      </c>
      <c r="G33" s="83" t="s">
        <v>57</v>
      </c>
      <c r="H33" s="84" t="s">
        <v>58</v>
      </c>
      <c r="I33" s="87" t="s">
        <v>59</v>
      </c>
      <c r="J33" s="88" t="s">
        <v>60</v>
      </c>
    </row>
    <row r="34" spans="1:19">
      <c r="A34" s="49"/>
      <c r="B34" s="89" t="s">
        <v>1</v>
      </c>
      <c r="C34" s="90">
        <v>1.5431172359284997E-4</v>
      </c>
      <c r="D34" s="91">
        <v>1.1431228032121857E-2</v>
      </c>
      <c r="E34" s="92">
        <v>3.3603757920719346E-4</v>
      </c>
      <c r="F34" s="93">
        <v>8.6326950826707879E-3</v>
      </c>
      <c r="G34" s="90">
        <v>6.2255753158901861E-4</v>
      </c>
      <c r="H34" s="91">
        <v>2.5031134007253673E-2</v>
      </c>
      <c r="I34" s="94">
        <v>-8.5987859198199956E-4</v>
      </c>
      <c r="J34" s="95">
        <v>3.4824494561494931E-2</v>
      </c>
      <c r="N34" s="68"/>
      <c r="O34" s="68"/>
    </row>
    <row r="35" spans="1:19">
      <c r="A35" s="49"/>
      <c r="B35" s="96" t="s">
        <v>2</v>
      </c>
      <c r="C35" s="90">
        <v>2.6902829598868202E-3</v>
      </c>
      <c r="D35" s="91">
        <v>0.50401156017596771</v>
      </c>
      <c r="E35" s="92">
        <v>1.2621970204918398E-2</v>
      </c>
      <c r="F35" s="93">
        <v>0.49069722825682727</v>
      </c>
      <c r="G35" s="90">
        <v>-1.299840946472175E-3</v>
      </c>
      <c r="H35" s="91">
        <v>0.47909407814907595</v>
      </c>
      <c r="I35" s="94">
        <v>1.969750389006597E-3</v>
      </c>
      <c r="J35" s="95">
        <v>0.47322123259091448</v>
      </c>
      <c r="L35" s="68"/>
      <c r="M35" s="68"/>
    </row>
    <row r="36" spans="1:19">
      <c r="A36" s="49"/>
      <c r="B36" s="96" t="s">
        <v>3</v>
      </c>
      <c r="C36" s="90">
        <v>0</v>
      </c>
      <c r="D36" s="91">
        <v>0</v>
      </c>
      <c r="E36" s="92">
        <v>0</v>
      </c>
      <c r="F36" s="93">
        <v>0</v>
      </c>
      <c r="G36" s="90">
        <v>0</v>
      </c>
      <c r="H36" s="91">
        <v>0</v>
      </c>
      <c r="I36" s="94">
        <v>0</v>
      </c>
      <c r="J36" s="95">
        <v>0</v>
      </c>
      <c r="N36" s="68"/>
    </row>
    <row r="37" spans="1:19">
      <c r="A37" s="49"/>
      <c r="B37" s="96" t="s">
        <v>4</v>
      </c>
      <c r="C37" s="90">
        <v>0</v>
      </c>
      <c r="D37" s="91">
        <v>0</v>
      </c>
      <c r="E37" s="92">
        <v>0</v>
      </c>
      <c r="F37" s="93">
        <v>0</v>
      </c>
      <c r="G37" s="90">
        <v>0</v>
      </c>
      <c r="H37" s="91">
        <v>0</v>
      </c>
      <c r="I37" s="94">
        <v>0</v>
      </c>
      <c r="J37" s="95">
        <v>0</v>
      </c>
      <c r="L37" s="68"/>
    </row>
    <row r="38" spans="1:19">
      <c r="A38" s="49"/>
      <c r="B38" s="96" t="s">
        <v>5</v>
      </c>
      <c r="C38" s="90">
        <v>5.8964400901818253E-4</v>
      </c>
      <c r="D38" s="91">
        <v>0.1273104555987481</v>
      </c>
      <c r="E38" s="92">
        <v>5.1898197617292752E-3</v>
      </c>
      <c r="F38" s="93">
        <v>0.13593721491743374</v>
      </c>
      <c r="G38" s="90">
        <v>5.1013249055813503E-3</v>
      </c>
      <c r="H38" s="91">
        <v>0.13278812841026694</v>
      </c>
      <c r="I38" s="94">
        <v>8.9398207576159017E-3</v>
      </c>
      <c r="J38" s="95">
        <v>0.13664473998909268</v>
      </c>
      <c r="L38" s="68"/>
    </row>
    <row r="39" spans="1:19">
      <c r="A39" s="49"/>
      <c r="B39" s="96" t="s">
        <v>6</v>
      </c>
      <c r="C39" s="90">
        <v>-3.3704511673582761E-4</v>
      </c>
      <c r="D39" s="91">
        <v>3.6082544819518565E-2</v>
      </c>
      <c r="E39" s="92">
        <v>8.3217278831893005E-4</v>
      </c>
      <c r="F39" s="93">
        <v>3.5780371318897067E-2</v>
      </c>
      <c r="G39" s="90">
        <v>8.7830534095489909E-4</v>
      </c>
      <c r="H39" s="91">
        <v>2.5033628855270215E-2</v>
      </c>
      <c r="I39" s="94">
        <v>1.3663351967485582E-3</v>
      </c>
      <c r="J39" s="95">
        <v>2.3606885844292266E-2</v>
      </c>
      <c r="L39" s="68"/>
      <c r="O39" s="68"/>
      <c r="S39" s="68"/>
    </row>
    <row r="40" spans="1:19">
      <c r="A40" s="49"/>
      <c r="B40" s="96" t="s">
        <v>7</v>
      </c>
      <c r="C40" s="90">
        <v>-1.2760446906323944E-3</v>
      </c>
      <c r="D40" s="91">
        <v>8.2875920821225912E-2</v>
      </c>
      <c r="E40" s="92">
        <v>3.2659055853008212E-3</v>
      </c>
      <c r="F40" s="93">
        <v>8.0455696075382097E-2</v>
      </c>
      <c r="G40" s="90">
        <v>4.4855965445722568E-3</v>
      </c>
      <c r="H40" s="91">
        <v>7.4820977733098384E-2</v>
      </c>
      <c r="I40" s="94">
        <v>6.5531867275252509E-3</v>
      </c>
      <c r="J40" s="95">
        <v>7.0400179784930253E-2</v>
      </c>
      <c r="L40" s="69"/>
    </row>
    <row r="41" spans="1:19">
      <c r="A41" s="49"/>
      <c r="B41" s="96" t="s">
        <v>8</v>
      </c>
      <c r="C41" s="90">
        <v>1.5977557603763779E-3</v>
      </c>
      <c r="D41" s="91">
        <v>5.067297153814751E-2</v>
      </c>
      <c r="E41" s="92">
        <v>3.2659055853008212E-3</v>
      </c>
      <c r="F41" s="93">
        <v>5.2313054706020566E-2</v>
      </c>
      <c r="G41" s="90">
        <v>4.9447702337914734E-3</v>
      </c>
      <c r="H41" s="91">
        <v>6.6192013274478073E-2</v>
      </c>
      <c r="I41" s="94">
        <v>7.0739982085694653E-3</v>
      </c>
      <c r="J41" s="95">
        <v>6.3552241466214313E-2</v>
      </c>
    </row>
    <row r="42" spans="1:19">
      <c r="A42" s="49"/>
      <c r="B42" s="96" t="s">
        <v>9</v>
      </c>
      <c r="C42" s="90">
        <v>6.8205267109011636E-4</v>
      </c>
      <c r="D42" s="91">
        <v>1.2021443845705179E-2</v>
      </c>
      <c r="E42" s="92">
        <v>1.3021266274233501E-3</v>
      </c>
      <c r="F42" s="93">
        <v>1.2677310088180188E-2</v>
      </c>
      <c r="G42" s="90">
        <v>1.6958862640865657E-3</v>
      </c>
      <c r="H42" s="91">
        <v>1.0979274165295457E-2</v>
      </c>
      <c r="I42" s="94">
        <v>1.9151564217596562E-3</v>
      </c>
      <c r="J42" s="95">
        <v>1.2656301367628185E-2</v>
      </c>
    </row>
    <row r="43" spans="1:19">
      <c r="A43" s="49"/>
      <c r="B43" s="96" t="s">
        <v>10</v>
      </c>
      <c r="C43" s="90">
        <v>2.3765207779836792E-3</v>
      </c>
      <c r="D43" s="91">
        <v>7.8128079853295021E-2</v>
      </c>
      <c r="E43" s="92">
        <v>6.5557192427676547E-3</v>
      </c>
      <c r="F43" s="93">
        <v>8.4349886723158934E-2</v>
      </c>
      <c r="G43" s="90">
        <v>1.0074214347674415E-2</v>
      </c>
      <c r="H43" s="91">
        <v>9.154279280125821E-2</v>
      </c>
      <c r="I43" s="94">
        <v>7.137825562661515E-3</v>
      </c>
      <c r="J43" s="95">
        <v>9.1654333513206829E-2</v>
      </c>
      <c r="O43" s="68"/>
    </row>
    <row r="44" spans="1:19">
      <c r="A44" s="49"/>
      <c r="B44" s="96" t="s">
        <v>11</v>
      </c>
      <c r="C44" s="90">
        <v>-1.4725017432563867E-5</v>
      </c>
      <c r="D44" s="91">
        <v>3.2144618223562786E-5</v>
      </c>
      <c r="E44" s="92">
        <v>-1.8460080060456185E-5</v>
      </c>
      <c r="F44" s="93">
        <v>3.191280931465246E-5</v>
      </c>
      <c r="G44" s="90">
        <v>3.1467361625070467E-5</v>
      </c>
      <c r="H44" s="91">
        <v>5.2970111673838175E-5</v>
      </c>
      <c r="I44" s="94">
        <v>1.5698316619561226E-4</v>
      </c>
      <c r="J44" s="95">
        <v>1.7432644182079716E-4</v>
      </c>
    </row>
    <row r="45" spans="1:19">
      <c r="A45" s="49"/>
      <c r="B45" s="96" t="s">
        <v>12</v>
      </c>
      <c r="C45" s="90">
        <v>-1.1767061420789792E-3</v>
      </c>
      <c r="D45" s="91">
        <v>-6.1183979515091842E-3</v>
      </c>
      <c r="E45" s="92">
        <v>-9.7145113892156409E-3</v>
      </c>
      <c r="F45" s="93">
        <v>-5.3729114974078772E-3</v>
      </c>
      <c r="G45" s="90">
        <v>-1.379355221065004E-2</v>
      </c>
      <c r="H45" s="91">
        <v>-6.8299790887917152E-3</v>
      </c>
      <c r="I45" s="94">
        <v>-7.4825976567017838E-3</v>
      </c>
      <c r="J45" s="95">
        <v>-1.5722282496941616E-3</v>
      </c>
    </row>
    <row r="46" spans="1:19">
      <c r="A46" s="49"/>
      <c r="B46" s="96" t="s">
        <v>13</v>
      </c>
      <c r="C46" s="90">
        <v>5.8668051665730495E-4</v>
      </c>
      <c r="D46" s="91">
        <v>1.4983353562856262E-4</v>
      </c>
      <c r="E46" s="92">
        <v>2.0223830092258588E-4</v>
      </c>
      <c r="F46" s="93">
        <v>1.0797628570487723E-4</v>
      </c>
      <c r="G46" s="90">
        <v>8.7829870868794124E-4</v>
      </c>
      <c r="H46" s="91">
        <v>1.6536254721761514E-3</v>
      </c>
      <c r="I46" s="94">
        <v>-7.8548599027283839E-4</v>
      </c>
      <c r="J46" s="95">
        <v>1.6706436292173577E-4</v>
      </c>
    </row>
    <row r="47" spans="1:19">
      <c r="A47" s="49"/>
      <c r="B47" s="96" t="s">
        <v>14</v>
      </c>
      <c r="C47" s="90">
        <v>2.9580108887590067E-5</v>
      </c>
      <c r="D47" s="91">
        <v>1.5570363973644138E-4</v>
      </c>
      <c r="E47" s="92">
        <v>3.441935222592285E-5</v>
      </c>
      <c r="F47" s="93">
        <v>1.5742937367127391E-4</v>
      </c>
      <c r="G47" s="90">
        <v>3.7956333426958366E-5</v>
      </c>
      <c r="H47" s="91">
        <v>1.7196883589027512E-4</v>
      </c>
      <c r="I47" s="94">
        <v>4.1562571819975247E-5</v>
      </c>
      <c r="J47" s="95">
        <v>1.7383126066517897E-4</v>
      </c>
    </row>
    <row r="48" spans="1:19">
      <c r="A48" s="49"/>
      <c r="B48" s="96" t="s">
        <v>15</v>
      </c>
      <c r="C48" s="90">
        <v>-1.1408401495946925E-3</v>
      </c>
      <c r="D48" s="91">
        <v>6.042595828482647E-2</v>
      </c>
      <c r="E48" s="92">
        <v>2.0702477918739248E-3</v>
      </c>
      <c r="F48" s="93">
        <v>6.042526364581214E-2</v>
      </c>
      <c r="G48" s="90">
        <v>3.1906469867486464E-3</v>
      </c>
      <c r="H48" s="91">
        <v>6.3064503449977549E-2</v>
      </c>
      <c r="I48" s="94">
        <v>4.1088560199489255E-3</v>
      </c>
      <c r="J48" s="95">
        <v>6.4650029276081974E-2</v>
      </c>
    </row>
    <row r="49" spans="1:13">
      <c r="A49" s="49"/>
      <c r="B49" s="96" t="s">
        <v>16</v>
      </c>
      <c r="C49" s="90">
        <v>3.2386895431946308E-4</v>
      </c>
      <c r="D49" s="91">
        <v>2.5850921985841515E-2</v>
      </c>
      <c r="E49" s="92">
        <v>1.0784448159286697E-3</v>
      </c>
      <c r="F49" s="93">
        <v>2.4458601759744399E-2</v>
      </c>
      <c r="G49" s="90">
        <v>1.3520092860626054E-3</v>
      </c>
      <c r="H49" s="91">
        <v>2.4187798952732924E-2</v>
      </c>
      <c r="I49" s="94">
        <v>1.5601332416743663E-3</v>
      </c>
      <c r="J49" s="95">
        <v>1.5214637590034738E-2</v>
      </c>
    </row>
    <row r="50" spans="1:13">
      <c r="A50" s="49"/>
      <c r="B50" s="96" t="s">
        <v>17</v>
      </c>
      <c r="C50" s="90">
        <v>0</v>
      </c>
      <c r="D50" s="91">
        <v>0</v>
      </c>
      <c r="E50" s="92">
        <v>0</v>
      </c>
      <c r="F50" s="93">
        <v>0</v>
      </c>
      <c r="G50" s="90">
        <v>0</v>
      </c>
      <c r="H50" s="91">
        <v>0</v>
      </c>
      <c r="I50" s="94">
        <v>0</v>
      </c>
      <c r="J50" s="95">
        <v>0</v>
      </c>
    </row>
    <row r="51" spans="1:13">
      <c r="A51" s="49"/>
      <c r="B51" s="96" t="s">
        <v>18</v>
      </c>
      <c r="C51" s="90">
        <v>8.6933897575487161E-6</v>
      </c>
      <c r="D51" s="91">
        <v>3.9668659008821371E-3</v>
      </c>
      <c r="E51" s="92">
        <v>-2.0207939230854066E-6</v>
      </c>
      <c r="F51" s="93">
        <v>3.9062159619612405E-3</v>
      </c>
      <c r="G51" s="90">
        <v>1.2336864789741497E-5</v>
      </c>
      <c r="H51" s="91">
        <v>4.1095453824601781E-3</v>
      </c>
      <c r="I51" s="94">
        <v>-3.3264483040529313E-5</v>
      </c>
      <c r="J51" s="95">
        <v>4.1872537187686732E-3</v>
      </c>
    </row>
    <row r="52" spans="1:13">
      <c r="A52" s="49"/>
      <c r="B52" s="96" t="s">
        <v>19</v>
      </c>
      <c r="C52" s="90">
        <v>-8.2249352616666038E-13</v>
      </c>
      <c r="D52" s="91">
        <v>1.3002765301640441E-2</v>
      </c>
      <c r="E52" s="92">
        <v>1.6844303729612875E-12</v>
      </c>
      <c r="F52" s="93">
        <v>1.5442054492628645E-2</v>
      </c>
      <c r="G52" s="90">
        <v>2.9828454151115125E-7</v>
      </c>
      <c r="H52" s="91">
        <v>8.1075394878839802E-3</v>
      </c>
      <c r="I52" s="94">
        <v>-1.3984184674686873E-6</v>
      </c>
      <c r="J52" s="95">
        <v>1.0444676481627047E-2</v>
      </c>
    </row>
    <row r="53" spans="1:13">
      <c r="A53" s="51"/>
      <c r="B53" s="97" t="s">
        <v>27</v>
      </c>
      <c r="C53" s="98">
        <v>5.0940297542729799E-3</v>
      </c>
      <c r="D53" s="99">
        <v>1</v>
      </c>
      <c r="E53" s="100">
        <v>2.8314052289598379E-2</v>
      </c>
      <c r="F53" s="101">
        <v>1</v>
      </c>
      <c r="G53" s="98">
        <v>1.8212275837010239E-2</v>
      </c>
      <c r="H53" s="99">
        <v>1</v>
      </c>
      <c r="I53" s="102">
        <v>3.1660983123061204E-2</v>
      </c>
      <c r="J53" s="103">
        <v>1</v>
      </c>
    </row>
    <row r="54" spans="1:13">
      <c r="A54" s="51"/>
      <c r="B54" s="104" t="s">
        <v>21</v>
      </c>
      <c r="C54" s="105">
        <v>62062.499572950037</v>
      </c>
      <c r="D54" s="106"/>
      <c r="E54" s="107">
        <v>279493.68708740384</v>
      </c>
      <c r="F54" s="108"/>
      <c r="G54" s="105">
        <v>162292.33127815844</v>
      </c>
      <c r="H54" s="106"/>
      <c r="I54" s="109">
        <v>321637.99320802244</v>
      </c>
      <c r="J54" s="110"/>
      <c r="M54" s="68"/>
    </row>
    <row r="55" spans="1:13">
      <c r="A55" s="49"/>
      <c r="B55" s="111"/>
      <c r="C55" s="111"/>
      <c r="D55" s="111"/>
      <c r="E55" s="111"/>
      <c r="F55" s="111"/>
      <c r="G55" s="111"/>
      <c r="H55" s="111"/>
      <c r="I55" s="111"/>
      <c r="J55" s="111"/>
    </row>
    <row r="56" spans="1:13">
      <c r="A56" s="49"/>
      <c r="B56" s="89" t="s">
        <v>22</v>
      </c>
      <c r="C56" s="112">
        <v>-8.0851265092301769E-3</v>
      </c>
      <c r="D56" s="113">
        <v>0.82701695778122764</v>
      </c>
      <c r="E56" s="114">
        <v>3.8458799305252089E-3</v>
      </c>
      <c r="F56" s="114">
        <v>0.81692519269770469</v>
      </c>
      <c r="G56" s="112">
        <v>-8.1761822555803665E-3</v>
      </c>
      <c r="H56" s="113">
        <v>0.80670112798437354</v>
      </c>
      <c r="I56" s="115">
        <v>2.7065310060911951E-3</v>
      </c>
      <c r="J56" s="116">
        <v>0.79418784624238514</v>
      </c>
    </row>
    <row r="57" spans="1:13">
      <c r="A57" s="49"/>
      <c r="B57" s="96" t="s">
        <v>23</v>
      </c>
      <c r="C57" s="117">
        <v>1.3179156263503158E-2</v>
      </c>
      <c r="D57" s="118">
        <v>0.17298304221877242</v>
      </c>
      <c r="E57" s="93">
        <v>2.4375725170713292E-2</v>
      </c>
      <c r="F57" s="93">
        <v>0.18307480730229536</v>
      </c>
      <c r="G57" s="117">
        <v>2.6388458092590605E-2</v>
      </c>
      <c r="H57" s="118">
        <v>0.19329887201562651</v>
      </c>
      <c r="I57" s="94">
        <v>2.8954452116970009E-2</v>
      </c>
      <c r="J57" s="95">
        <v>0.20581215375761491</v>
      </c>
    </row>
    <row r="58" spans="1:13">
      <c r="A58" s="51"/>
      <c r="B58" s="104" t="s">
        <v>27</v>
      </c>
      <c r="C58" s="119">
        <v>5.0940297542729799E-3</v>
      </c>
      <c r="D58" s="120">
        <v>1</v>
      </c>
      <c r="E58" s="121">
        <v>2.8314052289598379E-2</v>
      </c>
      <c r="F58" s="121">
        <v>1</v>
      </c>
      <c r="G58" s="119">
        <v>1.8212275837010239E-2</v>
      </c>
      <c r="H58" s="120">
        <v>1</v>
      </c>
      <c r="I58" s="122">
        <v>3.1660983123061204E-2</v>
      </c>
      <c r="J58" s="123">
        <v>1</v>
      </c>
    </row>
    <row r="59" spans="1:13">
      <c r="A59" s="49"/>
      <c r="B59" s="111"/>
      <c r="C59" s="111"/>
      <c r="D59" s="111"/>
      <c r="E59" s="111"/>
      <c r="F59" s="111"/>
      <c r="G59" s="111"/>
      <c r="H59" s="111"/>
      <c r="I59" s="111"/>
      <c r="J59" s="111"/>
    </row>
    <row r="60" spans="1:13">
      <c r="A60" s="49"/>
      <c r="B60" s="89" t="s">
        <v>24</v>
      </c>
      <c r="C60" s="112">
        <v>5.1699164393359592E-3</v>
      </c>
      <c r="D60" s="113">
        <v>0.41796661706043503</v>
      </c>
      <c r="E60" s="114">
        <v>2.1881210916785188E-2</v>
      </c>
      <c r="F60" s="114">
        <v>0.41841574175034313</v>
      </c>
      <c r="G60" s="112">
        <v>1.5102479656401879E-2</v>
      </c>
      <c r="H60" s="113">
        <v>0.42369233954236302</v>
      </c>
      <c r="I60" s="115">
        <v>2.2541159761246377E-2</v>
      </c>
      <c r="J60" s="116">
        <v>0.43044457791700685</v>
      </c>
    </row>
    <row r="61" spans="1:13">
      <c r="A61" s="49"/>
      <c r="B61" s="96" t="s">
        <v>25</v>
      </c>
      <c r="C61" s="117">
        <v>-7.5886685062978972E-5</v>
      </c>
      <c r="D61" s="118">
        <v>0.58203338293956497</v>
      </c>
      <c r="E61" s="93">
        <v>6.6298029068729836E-3</v>
      </c>
      <c r="F61" s="93">
        <v>0.58158425824965676</v>
      </c>
      <c r="G61" s="117">
        <v>3.1097961806083596E-3</v>
      </c>
      <c r="H61" s="118">
        <v>0.57630766045763693</v>
      </c>
      <c r="I61" s="94">
        <v>9.1198233618148272E-3</v>
      </c>
      <c r="J61" s="95">
        <v>0.56955542208299303</v>
      </c>
    </row>
    <row r="62" spans="1:13">
      <c r="A62" s="51"/>
      <c r="B62" s="104" t="s">
        <v>27</v>
      </c>
      <c r="C62" s="119">
        <v>5.0940297542729799E-3</v>
      </c>
      <c r="D62" s="120">
        <v>1</v>
      </c>
      <c r="E62" s="121">
        <v>2.8314052289598379E-2</v>
      </c>
      <c r="F62" s="121">
        <v>1</v>
      </c>
      <c r="G62" s="119">
        <v>1.8212275837010239E-2</v>
      </c>
      <c r="H62" s="120">
        <v>1</v>
      </c>
      <c r="I62" s="122">
        <v>3.1660983123061204E-2</v>
      </c>
      <c r="J62" s="123">
        <v>1</v>
      </c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</row>
    <row r="65" spans="2:2">
      <c r="B65" s="70" t="s">
        <v>28</v>
      </c>
    </row>
  </sheetData>
  <pageMargins left="0.75" right="0.75" top="1" bottom="1" header="0.5" footer="0.5"/>
  <pageSetup paperSize="9" orientation="portrait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rightToLeft="1" workbookViewId="0">
      <selection activeCell="E2" sqref="D2:E30"/>
    </sheetView>
  </sheetViews>
  <sheetFormatPr defaultRowHeight="12.75"/>
  <cols>
    <col min="1" max="1" width="32.85546875" bestFit="1" customWidth="1"/>
  </cols>
  <sheetData>
    <row r="1" spans="1:9" ht="76.5">
      <c r="A1" s="2" t="s">
        <v>26</v>
      </c>
      <c r="B1" s="37" t="s">
        <v>53</v>
      </c>
      <c r="C1" s="38" t="s">
        <v>54</v>
      </c>
      <c r="D1" s="20" t="s">
        <v>55</v>
      </c>
      <c r="E1" s="20" t="s">
        <v>56</v>
      </c>
      <c r="F1" s="11" t="s">
        <v>57</v>
      </c>
      <c r="G1" s="13" t="s">
        <v>58</v>
      </c>
      <c r="H1" s="18" t="s">
        <v>59</v>
      </c>
      <c r="I1" s="19" t="s">
        <v>60</v>
      </c>
    </row>
    <row r="2" spans="1:9">
      <c r="A2" s="4" t="s">
        <v>1</v>
      </c>
      <c r="B2" s="32">
        <f>(1+'פרסום מרכיבי תשואה'!C3)*(1+'פרסום מרכיבי תשואה'!E3)*(1+'פרסום מרכיבי תשואה'!G3)-1</f>
        <v>1.5070678619433231E-4</v>
      </c>
      <c r="C2" s="33">
        <f>'פרסום מרכיבי תשואה'!H3</f>
        <v>1.1431228032121857E-2</v>
      </c>
      <c r="D2" s="21">
        <f>(1+'פרסום מרכיבי תשואה'!I3)*(1+'פרסום מרכיבי תשואה'!K3)*(1+'פרסום מרכיבי תשואה'!M3)*(1+B2)-1</f>
        <v>3.3603757920719346E-4</v>
      </c>
      <c r="E2" s="21">
        <f>'פרסום מרכיבי תשואה'!N3</f>
        <v>8.6326950826707879E-3</v>
      </c>
      <c r="F2" s="8"/>
      <c r="G2" s="33">
        <f>'פרסום מרכיבי תשואה'!T3</f>
        <v>2.5031134007253673E-2</v>
      </c>
      <c r="H2" s="15"/>
      <c r="I2" s="21">
        <f>'פרסום מרכיבי תשואה'!Z3</f>
        <v>3.4824494561494931E-2</v>
      </c>
    </row>
    <row r="3" spans="1:9">
      <c r="A3" s="5" t="s">
        <v>2</v>
      </c>
      <c r="B3" s="32">
        <f>(1+'פרסום מרכיבי תשואה'!C4)*(1+'פרסום מרכיבי תשואה'!E4)*(1+'פרסום מרכיבי תשואה'!G4)-1</f>
        <v>2.8242315227720027E-3</v>
      </c>
      <c r="C3" s="33">
        <f>'פרסום מרכיבי תשואה'!H4</f>
        <v>0.50401156017596771</v>
      </c>
      <c r="D3" s="21">
        <f>(1+'פרסום מרכיבי תשואה'!I4)*(1+'פרסום מרכיבי תשואה'!K4)*(1+'פרסום מרכיבי תשואה'!M4)*(1+B3)-1</f>
        <v>1.2621970204918398E-2</v>
      </c>
      <c r="E3" s="21">
        <f>'פרסום מרכיבי תשואה'!N4</f>
        <v>0.49069722825682727</v>
      </c>
      <c r="F3" s="8"/>
      <c r="G3" s="33">
        <f>'פרסום מרכיבי תשואה'!T4</f>
        <v>0.47909407814907595</v>
      </c>
      <c r="H3" s="15"/>
      <c r="I3" s="21">
        <f>'פרסום מרכיבי תשואה'!Z4</f>
        <v>0.47322123259091448</v>
      </c>
    </row>
    <row r="4" spans="1:9">
      <c r="A4" s="5" t="s">
        <v>3</v>
      </c>
      <c r="B4" s="32">
        <f>(1+'פרסום מרכיבי תשואה'!C5)*(1+'פרסום מרכיבי תשואה'!E5)*(1+'פרסום מרכיבי תשואה'!G5)-1</f>
        <v>0</v>
      </c>
      <c r="C4" s="33">
        <f>'פרסום מרכיבי תשואה'!H5</f>
        <v>0</v>
      </c>
      <c r="D4" s="21">
        <f>(1+'פרסום מרכיבי תשואה'!I5)*(1+'פרסום מרכיבי תשואה'!K5)*(1+'פרסום מרכיבי תשואה'!M5)*(1+B4)-1</f>
        <v>0</v>
      </c>
      <c r="E4" s="21">
        <f>'פרסום מרכיבי תשואה'!N5</f>
        <v>0</v>
      </c>
      <c r="F4" s="8"/>
      <c r="G4" s="33">
        <f>'פרסום מרכיבי תשואה'!T5</f>
        <v>0</v>
      </c>
      <c r="H4" s="15"/>
      <c r="I4" s="21">
        <f>'פרסום מרכיבי תשואה'!Z5</f>
        <v>0</v>
      </c>
    </row>
    <row r="5" spans="1:9">
      <c r="A5" s="5" t="s">
        <v>4</v>
      </c>
      <c r="B5" s="32">
        <f>(1+'פרסום מרכיבי תשואה'!C6)*(1+'פרסום מרכיבי תשואה'!E6)*(1+'פרסום מרכיבי תשואה'!G6)-1</f>
        <v>0</v>
      </c>
      <c r="C5" s="33">
        <f>'פרסום מרכיבי תשואה'!H6</f>
        <v>0</v>
      </c>
      <c r="D5" s="21">
        <f>(1+'פרסום מרכיבי תשואה'!I6)*(1+'פרסום מרכיבי תשואה'!K6)*(1+'פרסום מרכיבי תשואה'!M6)*(1+B5)-1</f>
        <v>0</v>
      </c>
      <c r="E5" s="21">
        <f>'פרסום מרכיבי תשואה'!N6</f>
        <v>0</v>
      </c>
      <c r="F5" s="8"/>
      <c r="G5" s="33">
        <f>'פרסום מרכיבי תשואה'!T6</f>
        <v>0</v>
      </c>
      <c r="H5" s="15"/>
      <c r="I5" s="21">
        <f>'פרסום מרכיבי תשואה'!Z6</f>
        <v>0</v>
      </c>
    </row>
    <row r="6" spans="1:9">
      <c r="A6" s="5" t="s">
        <v>5</v>
      </c>
      <c r="B6" s="32">
        <f>(1+'פרסום מרכיבי תשואה'!C7)*(1+'פרסום מרכיבי תשואה'!E7)*(1+'פרסום מרכיבי תשואה'!G7)-1</f>
        <v>6.4999592736514344E-4</v>
      </c>
      <c r="C6" s="33">
        <f>'פרסום מרכיבי תשואה'!H7</f>
        <v>0.1273104555987481</v>
      </c>
      <c r="D6" s="21">
        <f>(1+'פרסום מרכיבי תשואה'!I7)*(1+'פרסום מרכיבי תשואה'!K7)*(1+'פרסום מרכיבי תשואה'!M7)*(1+B6)-1</f>
        <v>5.1898197617292752E-3</v>
      </c>
      <c r="E6" s="21">
        <f>'פרסום מרכיבי תשואה'!N7</f>
        <v>0.13593721491743374</v>
      </c>
      <c r="F6" s="8"/>
      <c r="G6" s="33">
        <f>'פרסום מרכיבי תשואה'!T7</f>
        <v>0.13278812841026694</v>
      </c>
      <c r="H6" s="15"/>
      <c r="I6" s="21">
        <f>'פרסום מרכיבי תשואה'!Z7</f>
        <v>0.13664473998909268</v>
      </c>
    </row>
    <row r="7" spans="1:9">
      <c r="A7" s="5" t="s">
        <v>6</v>
      </c>
      <c r="B7" s="32">
        <f>(1+'פרסום מרכיבי תשואה'!C8)*(1+'פרסום מרכיבי תשואה'!E8)*(1+'פרסום מרכיבי תשואה'!G8)-1</f>
        <v>-3.2309702632238313E-4</v>
      </c>
      <c r="C7" s="33">
        <f>'פרסום מרכיבי תשואה'!H8</f>
        <v>3.6082544819518565E-2</v>
      </c>
      <c r="D7" s="21">
        <f>(1+'פרסום מרכיבי תשואה'!I8)*(1+'פרסום מרכיבי תשואה'!K8)*(1+'פרסום מרכיבי תשואה'!M8)*(1+B7)-1</f>
        <v>8.3217278831893005E-4</v>
      </c>
      <c r="E7" s="21">
        <f>'פרסום מרכיבי תשואה'!N8</f>
        <v>3.5780371318897067E-2</v>
      </c>
      <c r="F7" s="8"/>
      <c r="G7" s="33">
        <f>'פרסום מרכיבי תשואה'!T8</f>
        <v>2.5033628855270215E-2</v>
      </c>
      <c r="H7" s="15"/>
      <c r="I7" s="21">
        <f>'פרסום מרכיבי תשואה'!Z8</f>
        <v>2.3606885844292266E-2</v>
      </c>
    </row>
    <row r="8" spans="1:9">
      <c r="A8" s="5" t="s">
        <v>7</v>
      </c>
      <c r="B8" s="32">
        <f>(1+'פרסום מרכיבי תשואה'!C9)*(1+'פרסום מרכיבי תשואה'!E9)*(1+'פרסום מרכיבי תשואה'!G9)-1</f>
        <v>-1.22780073547335E-3</v>
      </c>
      <c r="C8" s="33">
        <f>'פרסום מרכיבי תשואה'!H9</f>
        <v>8.2875920821225912E-2</v>
      </c>
      <c r="D8" s="21">
        <f>(1+'פרסום מרכיבי תשואה'!I9)*(1+'פרסום מרכיבי תשואה'!K9)*(1+'פרסום מרכיבי תשואה'!M9)*(1+B8)-1</f>
        <v>3.2659055853008212E-3</v>
      </c>
      <c r="E8" s="21">
        <f>'פרסום מרכיבי תשואה'!N9</f>
        <v>8.0455696075382097E-2</v>
      </c>
      <c r="F8" s="8"/>
      <c r="G8" s="33">
        <f>'פרסום מרכיבי תשואה'!T9</f>
        <v>7.4820977733098384E-2</v>
      </c>
      <c r="H8" s="15"/>
      <c r="I8" s="21">
        <f>'פרסום מרכיבי תשואה'!Z9</f>
        <v>7.0400179784930253E-2</v>
      </c>
    </row>
    <row r="9" spans="1:9">
      <c r="A9" s="5" t="s">
        <v>8</v>
      </c>
      <c r="B9" s="32">
        <f>(1+'פרסום מרכיבי תשואה'!C10)*(1+'פרסום מרכיבי תשואה'!E10)*(1+'פרסום מרכיבי תשואה'!G10)-1</f>
        <v>1.6030946101461829E-3</v>
      </c>
      <c r="C9" s="33">
        <f>'פרסום מרכיבי תשואה'!H10</f>
        <v>5.067297153814751E-2</v>
      </c>
      <c r="D9" s="21">
        <f>(1+'פרסום מרכיבי תשואה'!I10)*(1+'פרסום מרכיבי תשואה'!K10)*(1+'פרסום מרכיבי תשואה'!M10)*(1+B9)-1</f>
        <v>4.5954988412901798E-3</v>
      </c>
      <c r="E9" s="21">
        <f>'פרסום מרכיבי תשואה'!N10</f>
        <v>5.2313054706020566E-2</v>
      </c>
      <c r="F9" s="8"/>
      <c r="G9" s="33">
        <f>'פרסום מרכיבי תשואה'!T10</f>
        <v>6.6192013274478073E-2</v>
      </c>
      <c r="H9" s="15"/>
      <c r="I9" s="21">
        <f>'פרסום מרכיבי תשואה'!Z10</f>
        <v>6.3552241466214313E-2</v>
      </c>
    </row>
    <row r="10" spans="1:9">
      <c r="A10" s="5" t="s">
        <v>9</v>
      </c>
      <c r="B10" s="32">
        <f>(1+'פרסום מרכיבי תשואה'!C11)*(1+'פרסום מרכיבי תשואה'!E11)*(1+'פרסום מרכיבי תשואה'!G11)-1</f>
        <v>6.7583673239868247E-4</v>
      </c>
      <c r="C10" s="33">
        <f>'פרסום מרכיבי תשואה'!H11</f>
        <v>1.2021443845705179E-2</v>
      </c>
      <c r="D10" s="21">
        <f>(1+'פרסום מרכיבי תשואה'!I11)*(1+'פרסום מרכיבי תשואה'!K11)*(1+'פרסום מרכיבי תשואה'!M11)*(1+B10)-1</f>
        <v>1.3021266274233501E-3</v>
      </c>
      <c r="E10" s="21">
        <f>'פרסום מרכיבי תשואה'!N11</f>
        <v>1.2677310088180188E-2</v>
      </c>
      <c r="F10" s="8"/>
      <c r="G10" s="33">
        <f>'פרסום מרכיבי תשואה'!T11</f>
        <v>1.0979274165295457E-2</v>
      </c>
      <c r="H10" s="15"/>
      <c r="I10" s="21">
        <f>'פרסום מרכיבי תשואה'!Z11</f>
        <v>1.2656301367628185E-2</v>
      </c>
    </row>
    <row r="11" spans="1:9">
      <c r="A11" s="5" t="s">
        <v>10</v>
      </c>
      <c r="B11" s="32">
        <f>(1+'פרסום מרכיבי תשואה'!C12)*(1+'פרסום מרכיבי תשואה'!E12)*(1+'פרסום מרכיבי תשואה'!G12)-1</f>
        <v>2.3197780969350656E-3</v>
      </c>
      <c r="C11" s="33">
        <f>'פרסום מרכיבי תשואה'!H12</f>
        <v>7.8128079853295021E-2</v>
      </c>
      <c r="D11" s="21">
        <f>(1+'פרסום מרכיבי תשואה'!I12)*(1+'פרסום מרכיבי תשואה'!K12)*(1+'פרסום מרכיבי תשואה'!M12)*(1+B11)-1</f>
        <v>6.5557192427676547E-3</v>
      </c>
      <c r="E11" s="21">
        <f>'פרסום מרכיבי תשואה'!N12</f>
        <v>8.4349886723158934E-2</v>
      </c>
      <c r="F11" s="8"/>
      <c r="G11" s="33">
        <f>'פרסום מרכיבי תשואה'!T12</f>
        <v>9.154279280125821E-2</v>
      </c>
      <c r="H11" s="15"/>
      <c r="I11" s="21">
        <f>'פרסום מרכיבי תשואה'!Z12</f>
        <v>9.1654333513206829E-2</v>
      </c>
    </row>
    <row r="12" spans="1:9">
      <c r="A12" s="5" t="s">
        <v>11</v>
      </c>
      <c r="B12" s="32">
        <f>(1+'פרסום מרכיבי תשואה'!C13)*(1+'פרסום מרכיבי תשואה'!E13)*(1+'פרסום מרכיבי תשואה'!G13)-1</f>
        <v>-1.4683914059565595E-5</v>
      </c>
      <c r="C12" s="33">
        <f>'פרסום מרכיבי תשואה'!H13</f>
        <v>3.2144618223562786E-5</v>
      </c>
      <c r="D12" s="21">
        <f>(1+'פרסום מרכיבי תשואה'!I13)*(1+'פרסום מרכיבי תשואה'!K13)*(1+'פרסום מרכיבי תשואה'!M13)*(1+B12)-1</f>
        <v>-1.8460080060456185E-5</v>
      </c>
      <c r="E12" s="21">
        <f>'פרסום מרכיבי תשואה'!N13</f>
        <v>3.191280931465246E-5</v>
      </c>
      <c r="F12" s="8"/>
      <c r="G12" s="33">
        <f>'פרסום מרכיבי תשואה'!T13</f>
        <v>5.2970111673838175E-5</v>
      </c>
      <c r="H12" s="15"/>
      <c r="I12" s="21">
        <f>'פרסום מרכיבי תשואה'!Z13</f>
        <v>1.7432644182079716E-4</v>
      </c>
    </row>
    <row r="13" spans="1:9">
      <c r="A13" s="5" t="s">
        <v>12</v>
      </c>
      <c r="B13" s="32">
        <f>(1+'פרסום מרכיבי תשואה'!C14)*(1+'פרסום מרכיבי תשואה'!E14)*(1+'פרסום מרכיבי תשואה'!G14)-1</f>
        <v>-1.097579084847089E-3</v>
      </c>
      <c r="C13" s="33">
        <f>'פרסום מרכיבי תשואה'!H14</f>
        <v>-6.1183979515091842E-3</v>
      </c>
      <c r="D13" s="21">
        <f>(1+'פרסום מרכיבי תשואה'!I14)*(1+'פרסום מרכיבי תשואה'!K14)*(1+'פרסום מרכיבי תשואה'!M14)*(1+B13)-1</f>
        <v>-9.7145113892156409E-3</v>
      </c>
      <c r="E13" s="21">
        <f>'פרסום מרכיבי תשואה'!N14</f>
        <v>-5.3729114974078772E-3</v>
      </c>
      <c r="F13" s="8"/>
      <c r="G13" s="33">
        <f>'פרסום מרכיבי תשואה'!T14</f>
        <v>-6.8299790887917152E-3</v>
      </c>
      <c r="H13" s="15"/>
      <c r="I13" s="21">
        <f>'פרסום מרכיבי תשואה'!Z14</f>
        <v>-1.5722282496941616E-3</v>
      </c>
    </row>
    <row r="14" spans="1:9">
      <c r="A14" s="5" t="s">
        <v>13</v>
      </c>
      <c r="B14" s="32">
        <f>(1+'פרסום מרכיבי תשואה'!C15)*(1+'פרסום מרכיבי תשואה'!E15)*(1+'פרסום מרכיבי תשואה'!G15)-1</f>
        <v>5.8554848296643591E-4</v>
      </c>
      <c r="C14" s="33">
        <f>'פרסום מרכיבי תשואה'!H15</f>
        <v>1.4983353562856262E-4</v>
      </c>
      <c r="D14" s="21">
        <f>(1+'פרסום מרכיבי תשואה'!I15)*(1+'פרסום מרכיבי תשואה'!K15)*(1+'פרסום מרכיבי תשואה'!M15)*(1+B14)-1</f>
        <v>2.0223830092258588E-4</v>
      </c>
      <c r="E14" s="21">
        <f>'פרסום מרכיבי תשואה'!N15</f>
        <v>1.0797628570487723E-4</v>
      </c>
      <c r="F14" s="8"/>
      <c r="G14" s="33">
        <f>'פרסום מרכיבי תשואה'!T15</f>
        <v>1.6536254721761514E-3</v>
      </c>
      <c r="H14" s="15"/>
      <c r="I14" s="21">
        <f>'פרסום מרכיבי תשואה'!Z15</f>
        <v>1.6706436292173577E-4</v>
      </c>
    </row>
    <row r="15" spans="1:9">
      <c r="A15" s="5" t="s">
        <v>14</v>
      </c>
      <c r="B15" s="32">
        <f>(1+'פרסום מרכיבי תשואה'!C16)*(1+'פרסום מרכיבי תשואה'!E16)*(1+'פרסום מרכיבי תשואה'!G16)-1</f>
        <v>2.8575782643036618E-5</v>
      </c>
      <c r="C15" s="33">
        <f>'פרסום מרכיבי תשואה'!H16</f>
        <v>1.5570363973644138E-4</v>
      </c>
      <c r="D15" s="21">
        <f>(1+'פרסום מרכיבי תשואה'!I16)*(1+'פרסום מרכיבי תשואה'!K16)*(1+'פרסום מרכיבי תשואה'!M16)*(1+B15)-1</f>
        <v>3.441935222592285E-5</v>
      </c>
      <c r="E15" s="21">
        <f>'פרסום מרכיבי תשואה'!N16</f>
        <v>1.5742937367127391E-4</v>
      </c>
      <c r="F15" s="8"/>
      <c r="G15" s="33">
        <f>'פרסום מרכיבי תשואה'!T16</f>
        <v>1.7196883589027512E-4</v>
      </c>
      <c r="H15" s="15"/>
      <c r="I15" s="21">
        <f>'פרסום מרכיבי תשואה'!Z16</f>
        <v>1.7383126066517897E-4</v>
      </c>
    </row>
    <row r="16" spans="1:9">
      <c r="A16" s="5" t="s">
        <v>15</v>
      </c>
      <c r="B16" s="32">
        <f>(1+'פרסום מרכיבי תשואה'!C17)*(1+'פרסום מרכיבי תשואה'!E17)*(1+'פרסום מרכיבי תשואה'!G17)-1</f>
        <v>-1.1164621344658121E-3</v>
      </c>
      <c r="C16" s="33">
        <f>'פרסום מרכיבי תשואה'!H17</f>
        <v>6.042595828482647E-2</v>
      </c>
      <c r="D16" s="21">
        <f>(1+'פרסום מרכיבי תשואה'!I17)*(1+'פרסום מרכיבי תשואה'!K17)*(1+'פרסום מרכיבי תשואה'!M17)*(1+B16)-1</f>
        <v>2.0702477918739248E-3</v>
      </c>
      <c r="E16" s="21">
        <f>'פרסום מרכיבי תשואה'!N17</f>
        <v>6.042526364581214E-2</v>
      </c>
      <c r="F16" s="8"/>
      <c r="G16" s="33">
        <f>'פרסום מרכיבי תשואה'!T17</f>
        <v>6.3064503449977549E-2</v>
      </c>
      <c r="H16" s="15"/>
      <c r="I16" s="21">
        <f>'פרסום מרכיבי תשואה'!Z17</f>
        <v>6.4650029276081974E-2</v>
      </c>
    </row>
    <row r="17" spans="1:9">
      <c r="A17" s="5" t="s">
        <v>16</v>
      </c>
      <c r="B17" s="32">
        <f>(1+'פרסום מרכיבי תשואה'!C18)*(1+'פרסום מרכיבי תשואה'!E18)*(1+'פרסום מרכיבי תשואה'!G18)-1</f>
        <v>3.1502214169498721E-4</v>
      </c>
      <c r="C17" s="33">
        <f>'פרסום מרכיבי תשואה'!H18</f>
        <v>2.5850921985841515E-2</v>
      </c>
      <c r="D17" s="21">
        <f>(1+'פרסום מרכיבי תשואה'!I18)*(1+'פרסום מרכיבי תשואה'!K18)*(1+'פרסום מרכיבי תשואה'!M18)*(1+B17)-1</f>
        <v>1.0784448159286697E-3</v>
      </c>
      <c r="E17" s="21">
        <f>'פרסום מרכיבי תשואה'!N18</f>
        <v>2.4458601759744399E-2</v>
      </c>
      <c r="F17" s="8"/>
      <c r="G17" s="33">
        <f>'פרסום מרכיבי תשואה'!T18</f>
        <v>2.4187798952732924E-2</v>
      </c>
      <c r="H17" s="15"/>
      <c r="I17" s="21">
        <f>'פרסום מרכיבי תשואה'!Z18</f>
        <v>1.5214637590034738E-2</v>
      </c>
    </row>
    <row r="18" spans="1:9">
      <c r="A18" s="5" t="s">
        <v>17</v>
      </c>
      <c r="B18" s="32">
        <f>(1+'פרסום מרכיבי תשואה'!C19)*(1+'פרסום מרכיבי תשואה'!E19)*(1+'פרסום מרכיבי תשואה'!G19)-1</f>
        <v>0</v>
      </c>
      <c r="C18" s="33">
        <f>'פרסום מרכיבי תשואה'!H19</f>
        <v>0</v>
      </c>
      <c r="D18" s="21">
        <f>(1+'פרסום מרכיבי תשואה'!I19)*(1+'פרסום מרכיבי תשואה'!K19)*(1+'פרסום מרכיבי תשואה'!M19)*(1+B18)-1</f>
        <v>0</v>
      </c>
      <c r="E18" s="21">
        <f>'פרסום מרכיבי תשואה'!N19</f>
        <v>0</v>
      </c>
      <c r="F18" s="8"/>
      <c r="G18" s="33">
        <f>'פרסום מרכיבי תשואה'!T19</f>
        <v>0</v>
      </c>
      <c r="H18" s="15"/>
      <c r="I18" s="21">
        <f>'פרסום מרכיבי תשואה'!Z19</f>
        <v>0</v>
      </c>
    </row>
    <row r="19" spans="1:9">
      <c r="A19" s="5" t="s">
        <v>18</v>
      </c>
      <c r="B19" s="32">
        <f>(1+'פרסום מרכיבי תשואה'!C20)*(1+'פרסום מרכיבי תשואה'!E20)*(1+'פרסום מרכיבי תשואה'!G20)-1</f>
        <v>8.722444960307385E-6</v>
      </c>
      <c r="C19" s="33">
        <f>'פרסום מרכיבי תשואה'!H20</f>
        <v>3.9668659008821371E-3</v>
      </c>
      <c r="D19" s="21">
        <f>(1+'פרסום מרכיבי תשואה'!I20)*(1+'פרסום מרכיבי תשואה'!K20)*(1+'פרסום מרכיבי תשואה'!M20)*(1+B19)-1</f>
        <v>-2.0207939230854066E-6</v>
      </c>
      <c r="E19" s="21">
        <f>'פרסום מרכיבי תשואה'!N20</f>
        <v>3.9062159619612405E-3</v>
      </c>
      <c r="F19" s="8"/>
      <c r="G19" s="33">
        <f>'פרסום מרכיבי תשואה'!T20</f>
        <v>4.1095453824601781E-3</v>
      </c>
      <c r="H19" s="15"/>
      <c r="I19" s="21">
        <f>'פרסום מרכיבי תשואה'!Z20</f>
        <v>4.1872537187686732E-3</v>
      </c>
    </row>
    <row r="20" spans="1:9">
      <c r="A20" s="5" t="s">
        <v>19</v>
      </c>
      <c r="B20" s="32">
        <f>(1+'פרסום מרכיבי תשואה'!C21)*(1+'פרסום מרכיבי תשואה'!E21)*(1+'פרסום מרכיבי תשואה'!G21)-1</f>
        <v>-8.3644202675259294E-13</v>
      </c>
      <c r="C20" s="33">
        <f>'פרסום מרכיבי תשואה'!H21</f>
        <v>1.3002765301640441E-2</v>
      </c>
      <c r="D20" s="21">
        <f>(1+'פרסום מרכיבי תשואה'!I21)*(1+'פרסום מרכיבי תשואה'!K21)*(1+'פרסום מרכיבי תשואה'!M21)*(1+B20)-1</f>
        <v>1.6844303729612875E-12</v>
      </c>
      <c r="E20" s="21">
        <f>'פרסום מרכיבי תשואה'!N21</f>
        <v>1.5442054492628645E-2</v>
      </c>
      <c r="F20" s="8"/>
      <c r="G20" s="33">
        <f>'פרסום מרכיבי תשואה'!T21</f>
        <v>8.1075394878839802E-3</v>
      </c>
      <c r="H20" s="15"/>
      <c r="I20" s="21">
        <f>'פרסום מרכיבי תשואה'!Z21</f>
        <v>1.0444676481627047E-2</v>
      </c>
    </row>
    <row r="21" spans="1:9">
      <c r="A21" s="6" t="s">
        <v>27</v>
      </c>
      <c r="B21" s="39">
        <f>(1+'פרסום מרכיבי תשואה'!C22)*(1+'פרסום מרכיבי תשואה'!E22)*(1+'פרסום מרכיבי תשואה'!G22)-1</f>
        <v>5.0940297542729773E-3</v>
      </c>
      <c r="C21" s="40">
        <v>1</v>
      </c>
      <c r="D21" s="21">
        <f>(1+'פרסום מרכיבי תשואה'!I22)*(1+'פרסום מרכיבי תשואה'!K22)*(1+'פרסום מרכיבי תשואה'!M22)*(1+B21)-1</f>
        <v>2.8314052289598379E-2</v>
      </c>
      <c r="E21" s="22">
        <v>1</v>
      </c>
      <c r="F21" s="9"/>
      <c r="G21" s="40">
        <v>1</v>
      </c>
      <c r="H21" s="16"/>
      <c r="I21" s="22">
        <v>1</v>
      </c>
    </row>
    <row r="22" spans="1:9">
      <c r="A22" s="7" t="s">
        <v>21</v>
      </c>
      <c r="B22" s="41">
        <v>61933.915344016801</v>
      </c>
      <c r="C22" s="42"/>
      <c r="D22" s="36"/>
      <c r="E22" s="23"/>
      <c r="F22" s="3"/>
      <c r="G22" s="42"/>
      <c r="H22" s="12"/>
      <c r="I22" s="23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4" t="s">
        <v>22</v>
      </c>
      <c r="B24" s="30">
        <f>(1+'פרסום מרכיבי תשואה'!C25)*(1+'פרסום מרכיבי תשואה'!E25)*(1+'פרסום מרכיבי תשואה'!G25)-1</f>
        <v>-7.3821200516899221E-3</v>
      </c>
      <c r="C24" s="31">
        <f>'פרסום מרכיבי תשואה'!H25</f>
        <v>0.82701695778122764</v>
      </c>
      <c r="D24" s="43">
        <f>(1+'פרסום מרכיבי תשואה'!I25)*(1+'פרסום מרכיבי תשואה'!K25)*(1+'פרסום מרכיבי תשואה'!M25)*(1+B24)-1</f>
        <v>3.8458799305252089E-3</v>
      </c>
      <c r="E24" s="44">
        <f>'פרסום מרכיבי תשואה'!N25</f>
        <v>0.81692519269770469</v>
      </c>
      <c r="F24" s="25"/>
      <c r="G24" s="31">
        <f>'פרסום מרכיבי תשואה'!T25</f>
        <v>0.80670112798437354</v>
      </c>
      <c r="H24" s="27"/>
      <c r="I24" s="28">
        <f>'פרסום מרכיבי תשואה'!Z25</f>
        <v>0.79418784624238514</v>
      </c>
    </row>
    <row r="25" spans="1:9">
      <c r="A25" s="5" t="s">
        <v>23</v>
      </c>
      <c r="B25" s="32">
        <f>(1+'פרסום מרכיבי תשואה'!C26)*(1+'פרסום מרכיבי תשואה'!E26)*(1+'פרסום מרכיבי תשואה'!G26)-1</f>
        <v>1.25126049220039E-2</v>
      </c>
      <c r="C25" s="33">
        <f>'פרסום מרכיבי תשואה'!H26</f>
        <v>0.17298304221877242</v>
      </c>
      <c r="D25" s="45">
        <f>(1+'פרסום מרכיבי תשואה'!I26)*(1+'פרסום מרכיבי תשואה'!K26)*(1+'פרסום מרכיבי תשואה'!M26)*(1+B25)-1</f>
        <v>2.4375725170713292E-2</v>
      </c>
      <c r="E25" s="46">
        <f>'פרסום מרכיבי תשואה'!N26</f>
        <v>0.18307480730229536</v>
      </c>
      <c r="F25" s="14"/>
      <c r="G25" s="33">
        <f>'פרסום מרכיבי תשואה'!T26</f>
        <v>0.19329887201562651</v>
      </c>
      <c r="H25" s="15"/>
      <c r="I25" s="21">
        <f>'פרסום מרכיבי תשואה'!Z26</f>
        <v>0.20581215375761491</v>
      </c>
    </row>
    <row r="26" spans="1:9">
      <c r="A26" s="7" t="s">
        <v>27</v>
      </c>
      <c r="B26" s="34">
        <v>5.0940297542729799E-3</v>
      </c>
      <c r="C26" s="35">
        <v>1</v>
      </c>
      <c r="D26" s="48">
        <f>(1+'פרסום מרכיבי תשואה'!I27)*(1+'פרסום מרכיבי תשואה'!K27)*(1+'פרסום מרכיבי תשואה'!M27)*(1+B26)-1</f>
        <v>2.8314052289598379E-2</v>
      </c>
      <c r="E26" s="47">
        <v>1</v>
      </c>
      <c r="F26" s="26"/>
      <c r="G26" s="35">
        <v>1</v>
      </c>
      <c r="H26" s="17"/>
      <c r="I26" s="29">
        <v>1</v>
      </c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4" t="s">
        <v>24</v>
      </c>
      <c r="B28" s="30">
        <f>(1+'פרסום מרכיבי תשואה'!C29)*(1+'פרסום מרכיבי תשואה'!E29)*(1+'פרסום מרכיבי תשואה'!G29)-1</f>
        <v>5.2707035636221367E-3</v>
      </c>
      <c r="C28" s="31">
        <f>'פרסום מרכיבי תשואה'!H29</f>
        <v>0.41796661706043503</v>
      </c>
      <c r="D28" s="43">
        <f>(1+'פרסום מרכיבי תשואה'!I29)*(1+'פרסום מרכיבי תשואה'!K29)*(1+'פרסום מרכיבי תשואה'!M29)*(1+B28)-1</f>
        <v>2.1881210916785188E-2</v>
      </c>
      <c r="E28" s="28">
        <f>'פרסום מרכיבי תשואה'!N29</f>
        <v>0.41841574175034313</v>
      </c>
      <c r="F28" s="24"/>
      <c r="G28" s="31">
        <f>'פרסום מרכיבי תשואה'!T29</f>
        <v>0.42369233954236302</v>
      </c>
      <c r="H28" s="27"/>
      <c r="I28" s="28">
        <f>'פרסום מרכיבי תשואה'!Z29</f>
        <v>0.43044457791700685</v>
      </c>
    </row>
    <row r="29" spans="1:9">
      <c r="A29" s="5" t="s">
        <v>25</v>
      </c>
      <c r="B29" s="32">
        <f>(1+'פרסום מרכיבי תשואה'!C30)*(1+'פרסום מרכיבי תשואה'!E30)*(1+'פרסום מרכיבי תשואה'!G30)-1</f>
        <v>8.2583973134875421E-5</v>
      </c>
      <c r="C29" s="33">
        <f>'פרסום מרכיבי תשואה'!H30</f>
        <v>0.58203338293956497</v>
      </c>
      <c r="D29" s="45">
        <f>(1+'פרסום מרכיבי תשואה'!I30)*(1+'פרסום מרכיבי תשואה'!K30)*(1+'פרסום מרכיבי תשואה'!M30)*(1+B29)-1</f>
        <v>6.6298029068729836E-3</v>
      </c>
      <c r="E29" s="21">
        <f>'פרסום מרכיבי תשואה'!N30</f>
        <v>0.58158425824965676</v>
      </c>
      <c r="F29" s="8"/>
      <c r="G29" s="33">
        <f>'פרסום מרכיבי תשואה'!T30</f>
        <v>0.57630766045763693</v>
      </c>
      <c r="H29" s="15"/>
      <c r="I29" s="21">
        <f>'פרסום מרכיבי תשואה'!Z30</f>
        <v>0.56955542208299303</v>
      </c>
    </row>
    <row r="30" spans="1:9">
      <c r="A30" s="7" t="s">
        <v>27</v>
      </c>
      <c r="B30" s="34">
        <v>5.0940297542729799E-3</v>
      </c>
      <c r="C30" s="35">
        <v>1</v>
      </c>
      <c r="D30" s="48">
        <f>(1+'פרסום מרכיבי תשואה'!I31)*(1+'פרסום מרכיבי תשואה'!K31)*(1+'פרסום מרכיבי תשואה'!M31)*(1+B30)-1</f>
        <v>2.8314052289598379E-2</v>
      </c>
      <c r="E30" s="29">
        <v>1</v>
      </c>
      <c r="F30" s="10"/>
      <c r="G30" s="35">
        <v>1</v>
      </c>
      <c r="H30" s="17"/>
      <c r="I30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פרסום מרכיבי תשואה</vt:lpstr>
      <vt:lpstr>מצטבר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Naomi Shamai</cp:lastModifiedBy>
  <dcterms:created xsi:type="dcterms:W3CDTF">2019-10-30T09:05:17Z</dcterms:created>
  <dcterms:modified xsi:type="dcterms:W3CDTF">2024-07-30T05:39:37Z</dcterms:modified>
</cp:coreProperties>
</file>