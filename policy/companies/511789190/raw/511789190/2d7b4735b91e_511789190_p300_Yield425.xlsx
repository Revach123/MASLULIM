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i\Documents\גילה\עתודות\2026\"/>
    </mc:Choice>
  </mc:AlternateContent>
  <xr:revisionPtr revIDLastSave="0" documentId="13_ncr:1_{10D5B3ED-6D00-4E38-9AA1-C5B18598A2F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פרסום מרכיבי תשואה" sheetId="1" r:id="rId1"/>
    <sheet name="מצטבר" sheetId="2" state="hidden" r:id="rId2"/>
  </sheets>
  <externalReferences>
    <externalReference r:id="rId3"/>
    <externalReference r:id="rId4"/>
  </externalReferences>
  <definedNames>
    <definedName name="Tsua">[1]תשואה!$A$6</definedName>
    <definedName name="tsua1">[2]תשואה!$A$6</definedName>
  </definedNames>
  <calcPr calcId="181029"/>
</workbook>
</file>

<file path=xl/calcChain.xml><?xml version="1.0" encoding="utf-8"?>
<calcChain xmlns="http://schemas.openxmlformats.org/spreadsheetml/2006/main">
  <c r="D30" i="2" l="1"/>
  <c r="D26" i="2"/>
  <c r="I29" i="2"/>
  <c r="I28" i="2"/>
  <c r="I25" i="2"/>
  <c r="I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G29" i="2"/>
  <c r="G28" i="2"/>
  <c r="G25" i="2"/>
  <c r="G2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E29" i="2"/>
  <c r="E28" i="2"/>
  <c r="E25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C29" i="2"/>
  <c r="C28" i="2"/>
  <c r="C25" i="2"/>
  <c r="C2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29" i="2"/>
  <c r="D29" i="2"/>
  <c r="B28" i="2"/>
  <c r="D28" i="2"/>
  <c r="B25" i="2"/>
  <c r="D25" i="2"/>
  <c r="B24" i="2"/>
  <c r="D24" i="2"/>
  <c r="B21" i="2"/>
  <c r="D21" i="2"/>
  <c r="B20" i="2"/>
  <c r="D20" i="2"/>
  <c r="B19" i="2"/>
  <c r="D19" i="2"/>
  <c r="B18" i="2"/>
  <c r="D18" i="2"/>
  <c r="B17" i="2"/>
  <c r="D17" i="2"/>
  <c r="B16" i="2"/>
  <c r="D16" i="2"/>
  <c r="B15" i="2"/>
  <c r="D15" i="2"/>
  <c r="B14" i="2"/>
  <c r="D14" i="2"/>
  <c r="B13" i="2"/>
  <c r="D13" i="2"/>
  <c r="B12" i="2"/>
  <c r="D12" i="2"/>
  <c r="B11" i="2"/>
  <c r="D11" i="2"/>
  <c r="B10" i="2"/>
  <c r="D10" i="2"/>
  <c r="B9" i="2"/>
  <c r="D9" i="2"/>
  <c r="B8" i="2"/>
  <c r="D8" i="2"/>
  <c r="B7" i="2"/>
  <c r="D7" i="2"/>
  <c r="B6" i="2"/>
  <c r="D6" i="2"/>
  <c r="B5" i="2"/>
  <c r="D5" i="2"/>
  <c r="B4" i="2"/>
  <c r="D4" i="2"/>
  <c r="B3" i="2"/>
  <c r="D3" i="2"/>
  <c r="B2" i="2"/>
  <c r="D2" i="2"/>
</calcChain>
</file>

<file path=xl/sharedStrings.xml><?xml version="1.0" encoding="utf-8"?>
<sst xmlns="http://schemas.openxmlformats.org/spreadsheetml/2006/main" count="128" uniqueCount="72">
  <si>
    <t>פירוט תרומת אפיקי ההשקעה לתשואה הכוללת</t>
  </si>
  <si>
    <t>עתודות</t>
  </si>
  <si>
    <t>קרן עתודות ותיקה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</si>
  <si>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</si>
  <si>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</si>
  <si>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</si>
  <si>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</si>
  <si>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</si>
  <si>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</si>
  <si>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</si>
  <si>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</si>
  <si>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</si>
  <si>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</si>
  <si>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</si>
  <si>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</si>
  <si>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</si>
  <si>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</si>
  <si>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</si>
  <si>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</si>
  <si>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</si>
  <si>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</si>
  <si>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</si>
  <si>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</si>
  <si>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</si>
  <si>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</si>
  <si>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</si>
  <si>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</si>
  <si>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</si>
  <si>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</si>
  <si>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</si>
  <si>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</si>
  <si>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</si>
  <si>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</si>
  <si>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</si>
  <si>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</si>
  <si>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</si>
  <si>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</si>
  <si>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</si>
  <si>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</si>
  <si>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</si>
  <si>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</si>
  <si>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</si>
  <si>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</si>
  <si>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</si>
  <si>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</si>
  <si>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</si>
  <si>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</si>
  <si>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</si>
  <si>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</si>
  <si>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</si>
  <si>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</si>
  <si>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</si>
  <si>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</si>
  <si>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</si>
  <si>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</si>
  <si>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</si>
  <si>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</si>
  <si>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</si>
  <si>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</si>
  <si>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</si>
  <si>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</si>
  <si>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</si>
  <si>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</si>
  <si>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</si>
  <si>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</si>
  <si>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</si>
  <si>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</si>
  <si>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</si>
  <si>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</si>
  <si>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</si>
  <si>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</si>
  <si>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עמודה1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</si>
</sst>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0.00%"/>
  </numFmts>
  <fonts count="2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  <font>
      <sz val="10"/>
      <name val="Arial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0"/>
      <color rgb="FF00007D"/>
      <name val="Ariel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8" applyNumberFormat="0" applyAlignment="0" applyProtection="0"/>
    <xf numFmtId="0" fontId="16" fillId="10" borderId="19" applyNumberFormat="0" applyAlignment="0" applyProtection="0"/>
    <xf numFmtId="0" fontId="17" fillId="10" borderId="18" applyNumberFormat="0" applyAlignment="0" applyProtection="0"/>
    <xf numFmtId="0" fontId="18" fillId="0" borderId="20" applyNumberFormat="0" applyFill="0" applyAlignment="0" applyProtection="0"/>
    <xf numFmtId="0" fontId="19" fillId="11" borderId="21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3" applyNumberFormat="0" applyFill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1" fillId="12" borderId="22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</cellStyleXfs>
  <cellXfs count="113">
    <xf numFmtId="0" fontId="0" fillId="0" borderId="0" xfId="0"/>
    <xf numFmtId="0" fontId="3" fillId="0" borderId="0" xfId="0" applyFont="1" applyAlignment="1">
      <alignment horizontal="right" readingOrder="2"/>
    </xf>
    <xf numFmtId="0" fontId="4" fillId="3" borderId="0" xfId="0" applyFont="1" applyFill="1" applyAlignment="1">
      <alignment horizontal="right" vertical="center" readingOrder="2"/>
    </xf>
    <xf numFmtId="4" fontId="4" fillId="4" borderId="8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4" fillId="2" borderId="7" xfId="0" applyFont="1" applyFill="1" applyBorder="1" applyAlignment="1">
      <alignment horizontal="right" readingOrder="2"/>
    </xf>
    <xf numFmtId="0" fontId="4" fillId="2" borderId="8" xfId="0" applyFont="1" applyFill="1" applyBorder="1" applyAlignment="1">
      <alignment horizontal="right" readingOrder="2"/>
    </xf>
    <xf numFmtId="164" fontId="3" fillId="4" borderId="7" xfId="0" applyNumberFormat="1" applyFont="1" applyFill="1" applyBorder="1" applyAlignment="1">
      <alignment horizontal="right"/>
    </xf>
    <xf numFmtId="164" fontId="4" fillId="4" borderId="7" xfId="0" applyNumberFormat="1" applyFont="1" applyFill="1" applyBorder="1" applyAlignment="1">
      <alignment horizontal="right"/>
    </xf>
    <xf numFmtId="164" fontId="4" fillId="4" borderId="8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center" vertical="center" wrapText="1" readingOrder="2"/>
    </xf>
    <xf numFmtId="4" fontId="4" fillId="5" borderId="8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center" vertical="center" wrapText="1" readingOrder="2"/>
    </xf>
    <xf numFmtId="164" fontId="3" fillId="4" borderId="0" xfId="0" applyNumberFormat="1" applyFont="1" applyFill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4" fillId="5" borderId="7" xfId="0" applyNumberFormat="1" applyFont="1" applyFill="1" applyBorder="1" applyAlignment="1">
      <alignment horizontal="right"/>
    </xf>
    <xf numFmtId="164" fontId="4" fillId="5" borderId="8" xfId="0" applyNumberFormat="1" applyFont="1" applyFill="1" applyBorder="1" applyAlignment="1">
      <alignment horizontal="right"/>
    </xf>
    <xf numFmtId="164" fontId="4" fillId="5" borderId="6" xfId="0" applyNumberFormat="1" applyFont="1" applyFill="1" applyBorder="1" applyAlignment="1">
      <alignment horizontal="center" vertical="center" wrapText="1" readingOrder="2"/>
    </xf>
    <xf numFmtId="164" fontId="4" fillId="5" borderId="2" xfId="0" applyNumberFormat="1" applyFont="1" applyFill="1" applyBorder="1" applyAlignment="1">
      <alignment horizontal="center" vertical="center" wrapText="1" readingOrder="2"/>
    </xf>
    <xf numFmtId="164" fontId="4" fillId="5" borderId="4" xfId="0" applyNumberFormat="1" applyFont="1" applyFill="1" applyBorder="1" applyAlignment="1">
      <alignment horizontal="center" vertical="center" wrapText="1" readingOrder="2"/>
    </xf>
    <xf numFmtId="164" fontId="3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4" fontId="4" fillId="5" borderId="5" xfId="0" applyNumberFormat="1" applyFont="1" applyFill="1" applyBorder="1" applyAlignment="1">
      <alignment horizontal="right" readingOrder="2"/>
    </xf>
    <xf numFmtId="164" fontId="3" fillId="4" borderId="6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164" fontId="4" fillId="4" borderId="5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>
      <alignment horizontal="right"/>
    </xf>
    <xf numFmtId="164" fontId="4" fillId="5" borderId="5" xfId="0" applyNumberFormat="1" applyFont="1" applyFill="1" applyBorder="1" applyAlignment="1">
      <alignment horizontal="right"/>
    </xf>
    <xf numFmtId="164" fontId="3" fillId="4" borderId="9" xfId="0" applyNumberFormat="1" applyFont="1" applyFill="1" applyBorder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164" fontId="3" fillId="4" borderId="11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164" fontId="4" fillId="4" borderId="13" xfId="0" applyNumberFormat="1" applyFont="1" applyFill="1" applyBorder="1" applyAlignment="1">
      <alignment horizontal="right"/>
    </xf>
    <xf numFmtId="164" fontId="4" fillId="4" borderId="14" xfId="0" applyNumberFormat="1" applyFont="1" applyFill="1" applyBorder="1" applyAlignment="1">
      <alignment horizontal="right"/>
    </xf>
    <xf numFmtId="4" fontId="4" fillId="5" borderId="5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center" vertical="center" wrapText="1" readingOrder="2"/>
    </xf>
    <xf numFmtId="164" fontId="4" fillId="4" borderId="10" xfId="0" applyNumberFormat="1" applyFont="1" applyFill="1" applyBorder="1" applyAlignment="1">
      <alignment horizontal="center" vertical="center" wrapText="1" readingOrder="2"/>
    </xf>
    <xf numFmtId="164" fontId="4" fillId="4" borderId="11" xfId="0" applyNumberFormat="1" applyFont="1" applyFill="1" applyBorder="1" applyAlignment="1">
      <alignment horizontal="right"/>
    </xf>
    <xf numFmtId="164" fontId="4" fillId="4" borderId="12" xfId="0" applyNumberFormat="1" applyFont="1" applyFill="1" applyBorder="1" applyAlignment="1">
      <alignment horizontal="right"/>
    </xf>
    <xf numFmtId="4" fontId="4" fillId="4" borderId="13" xfId="0" applyNumberFormat="1" applyFont="1" applyFill="1" applyBorder="1" applyAlignment="1">
      <alignment horizontal="right"/>
    </xf>
    <xf numFmtId="4" fontId="4" fillId="4" borderId="14" xfId="0" applyNumberFormat="1" applyFont="1" applyFill="1" applyBorder="1" applyAlignment="1">
      <alignment horizontal="right" readingOrder="2"/>
    </xf>
    <xf numFmtId="164" fontId="3" fillId="5" borderId="9" xfId="0" applyNumberFormat="1" applyFont="1" applyFill="1" applyBorder="1" applyAlignment="1">
      <alignment horizontal="right"/>
    </xf>
    <xf numFmtId="164" fontId="3" fillId="5" borderId="10" xfId="0" applyNumberFormat="1" applyFont="1" applyFill="1" applyBorder="1" applyAlignment="1">
      <alignment horizontal="right"/>
    </xf>
    <xf numFmtId="164" fontId="3" fillId="5" borderId="11" xfId="0" applyNumberFormat="1" applyFont="1" applyFill="1" applyBorder="1" applyAlignment="1">
      <alignment horizontal="right"/>
    </xf>
    <xf numFmtId="164" fontId="3" fillId="5" borderId="12" xfId="0" applyNumberFormat="1" applyFont="1" applyFill="1" applyBorder="1" applyAlignment="1">
      <alignment horizontal="right"/>
    </xf>
    <xf numFmtId="164" fontId="4" fillId="5" borderId="14" xfId="0" applyNumberFormat="1" applyFont="1" applyFill="1" applyBorder="1" applyAlignment="1">
      <alignment horizontal="right"/>
    </xf>
    <xf numFmtId="164" fontId="3" fillId="5" borderId="13" xfId="0" applyNumberFormat="1" applyFont="1" applyFill="1" applyBorder="1" applyAlignment="1">
      <alignment horizontal="right"/>
    </xf>
    <xf numFmtId="0" fontId="3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0" fontId="6" fillId="0" borderId="0" xfId="2"/>
    <xf numFmtId="0" fontId="3" fillId="0" borderId="0" xfId="2" applyFont="1" applyAlignment="1">
      <alignment horizontal="right" readingOrder="1"/>
    </xf>
    <xf numFmtId="0" fontId="4" fillId="0" borderId="0" xfId="2" applyFont="1" applyAlignment="1">
      <alignment horizontal="right" readingOrder="2"/>
    </xf>
    <xf numFmtId="0" fontId="2" fillId="0" borderId="0" xfId="2" applyFont="1" applyAlignment="1">
      <alignment horizontal="right" readingOrder="2"/>
    </xf>
    <xf numFmtId="0" fontId="1" fillId="0" borderId="0" xfId="44"/>
    <xf numFmtId="164" fontId="4" fillId="4" borderId="6" xfId="2" applyNumberFormat="1" applyFont="1" applyFill="1" applyBorder="1" applyAlignment="1">
      <alignment horizontal="center" vertical="center" wrapText="1" readingOrder="2"/>
    </xf>
    <xf numFmtId="164" fontId="4" fillId="4" borderId="4" xfId="2" applyNumberFormat="1" applyFont="1" applyFill="1" applyBorder="1" applyAlignment="1">
      <alignment horizontal="center" vertical="center" wrapText="1" readingOrder="2"/>
    </xf>
    <xf numFmtId="164" fontId="4" fillId="5" borderId="6" xfId="2" applyNumberFormat="1" applyFont="1" applyFill="1" applyBorder="1" applyAlignment="1">
      <alignment horizontal="center" vertical="center" wrapText="1" readingOrder="2"/>
    </xf>
    <xf numFmtId="164" fontId="4" fillId="5" borderId="4" xfId="2" applyNumberFormat="1" applyFont="1" applyFill="1" applyBorder="1" applyAlignment="1">
      <alignment horizontal="center" vertical="center" wrapText="1" readingOrder="2"/>
    </xf>
    <xf numFmtId="164" fontId="4" fillId="5" borderId="2" xfId="2" applyNumberFormat="1" applyFont="1" applyFill="1" applyBorder="1" applyAlignment="1">
      <alignment horizontal="center" vertical="center" wrapText="1" readingOrder="2"/>
    </xf>
    <xf numFmtId="0" fontId="3" fillId="2" borderId="6" xfId="2" applyFont="1" applyFill="1" applyBorder="1" applyAlignment="1">
      <alignment horizontal="right" readingOrder="2"/>
    </xf>
    <xf numFmtId="164" fontId="3" fillId="4" borderId="7" xfId="2" applyNumberFormat="1" applyFont="1" applyFill="1" applyBorder="1" applyAlignment="1">
      <alignment horizontal="right"/>
    </xf>
    <xf numFmtId="164" fontId="3" fillId="4" borderId="0" xfId="2" applyNumberFormat="1" applyFont="1" applyFill="1" applyAlignment="1">
      <alignment horizontal="right"/>
    </xf>
    <xf numFmtId="164" fontId="3" fillId="5" borderId="7" xfId="2" applyNumberFormat="1" applyFont="1" applyFill="1" applyBorder="1" applyAlignment="1">
      <alignment horizontal="right"/>
    </xf>
    <xf numFmtId="164" fontId="3" fillId="5" borderId="0" xfId="2" applyNumberFormat="1" applyFont="1" applyFill="1" applyAlignment="1">
      <alignment horizontal="right"/>
    </xf>
    <xf numFmtId="164" fontId="3" fillId="5" borderId="1" xfId="2" applyNumberFormat="1" applyFont="1" applyFill="1" applyBorder="1" applyAlignment="1">
      <alignment horizontal="right"/>
    </xf>
    <xf numFmtId="0" fontId="3" fillId="2" borderId="7" xfId="2" applyFont="1" applyFill="1" applyBorder="1" applyAlignment="1">
      <alignment horizontal="right" readingOrder="2"/>
    </xf>
    <xf numFmtId="0" fontId="4" fillId="2" borderId="7" xfId="2" applyFont="1" applyFill="1" applyBorder="1" applyAlignment="1">
      <alignment horizontal="right" readingOrder="2"/>
    </xf>
    <xf numFmtId="164" fontId="4" fillId="4" borderId="7" xfId="2" applyNumberFormat="1" applyFont="1" applyFill="1" applyBorder="1" applyAlignment="1">
      <alignment horizontal="right"/>
    </xf>
    <xf numFmtId="164" fontId="4" fillId="4" borderId="0" xfId="2" applyNumberFormat="1" applyFont="1" applyFill="1" applyAlignment="1">
      <alignment horizontal="right"/>
    </xf>
    <xf numFmtId="164" fontId="4" fillId="5" borderId="7" xfId="2" applyNumberFormat="1" applyFont="1" applyFill="1" applyBorder="1" applyAlignment="1">
      <alignment horizontal="right"/>
    </xf>
    <xf numFmtId="164" fontId="4" fillId="5" borderId="0" xfId="2" applyNumberFormat="1" applyFont="1" applyFill="1" applyAlignment="1">
      <alignment horizontal="right"/>
    </xf>
    <xf numFmtId="164" fontId="4" fillId="5" borderId="1" xfId="2" applyNumberFormat="1" applyFont="1" applyFill="1" applyBorder="1" applyAlignment="1">
      <alignment horizontal="right"/>
    </xf>
    <xf numFmtId="0" fontId="4" fillId="2" borderId="8" xfId="2" applyFont="1" applyFill="1" applyBorder="1" applyAlignment="1">
      <alignment horizontal="right" readingOrder="2"/>
    </xf>
    <xf numFmtId="4" fontId="4" fillId="4" borderId="8" xfId="2" applyNumberFormat="1" applyFont="1" applyFill="1" applyBorder="1" applyAlignment="1">
      <alignment horizontal="right"/>
    </xf>
    <xf numFmtId="4" fontId="4" fillId="4" borderId="5" xfId="2" applyNumberFormat="1" applyFont="1" applyFill="1" applyBorder="1" applyAlignment="1">
      <alignment horizontal="right" readingOrder="2"/>
    </xf>
    <xf numFmtId="4" fontId="4" fillId="5" borderId="8" xfId="2" applyNumberFormat="1" applyFont="1" applyFill="1" applyBorder="1" applyAlignment="1">
      <alignment horizontal="right"/>
    </xf>
    <xf numFmtId="4" fontId="4" fillId="5" borderId="5" xfId="2" applyNumberFormat="1" applyFont="1" applyFill="1" applyBorder="1" applyAlignment="1">
      <alignment horizontal="right" readingOrder="2"/>
    </xf>
    <xf numFmtId="4" fontId="4" fillId="5" borderId="3" xfId="2" applyNumberFormat="1" applyFont="1" applyFill="1" applyBorder="1" applyAlignment="1">
      <alignment horizontal="right" readingOrder="2"/>
    </xf>
    <xf numFmtId="164" fontId="3" fillId="4" borderId="6" xfId="2" applyNumberFormat="1" applyFont="1" applyFill="1" applyBorder="1" applyAlignment="1">
      <alignment horizontal="right"/>
    </xf>
    <xf numFmtId="164" fontId="3" fillId="4" borderId="4" xfId="2" applyNumberFormat="1" applyFont="1" applyFill="1" applyBorder="1" applyAlignment="1">
      <alignment horizontal="right"/>
    </xf>
    <xf numFmtId="164" fontId="3" fillId="5" borderId="6" xfId="2" applyNumberFormat="1" applyFont="1" applyFill="1" applyBorder="1" applyAlignment="1">
      <alignment horizontal="right"/>
    </xf>
    <xf numFmtId="164" fontId="3" fillId="5" borderId="4" xfId="2" applyNumberFormat="1" applyFont="1" applyFill="1" applyBorder="1" applyAlignment="1">
      <alignment horizontal="right"/>
    </xf>
    <xf numFmtId="164" fontId="3" fillId="5" borderId="2" xfId="2" applyNumberFormat="1" applyFont="1" applyFill="1" applyBorder="1" applyAlignment="1">
      <alignment horizontal="right"/>
    </xf>
    <xf numFmtId="164" fontId="4" fillId="4" borderId="8" xfId="2" applyNumberFormat="1" applyFont="1" applyFill="1" applyBorder="1" applyAlignment="1">
      <alignment horizontal="right"/>
    </xf>
    <xf numFmtId="164" fontId="4" fillId="4" borderId="5" xfId="2" applyNumberFormat="1" applyFont="1" applyFill="1" applyBorder="1" applyAlignment="1">
      <alignment horizontal="right"/>
    </xf>
    <xf numFmtId="164" fontId="4" fillId="5" borderId="8" xfId="2" applyNumberFormat="1" applyFont="1" applyFill="1" applyBorder="1" applyAlignment="1">
      <alignment horizontal="right"/>
    </xf>
    <xf numFmtId="164" fontId="4" fillId="5" borderId="5" xfId="2" applyNumberFormat="1" applyFont="1" applyFill="1" applyBorder="1" applyAlignment="1">
      <alignment horizontal="right"/>
    </xf>
    <xf numFmtId="164" fontId="4" fillId="5" borderId="3" xfId="2" applyNumberFormat="1" applyFont="1" applyFill="1" applyBorder="1" applyAlignment="1">
      <alignment horizontal="right"/>
    </xf>
    <xf numFmtId="4" fontId="6" fillId="0" borderId="0" xfId="2" applyNumberFormat="1"/>
    <xf numFmtId="10" fontId="1" fillId="0" borderId="0" xfId="3" applyNumberFormat="1" applyFont="1"/>
    <xf numFmtId="164" fontId="3" fillId="4" borderId="9" xfId="2" applyNumberFormat="1" applyFont="1" applyFill="1" applyBorder="1" applyAlignment="1">
      <alignment horizontal="right"/>
    </xf>
    <xf numFmtId="164" fontId="3" fillId="4" borderId="10" xfId="2" applyNumberFormat="1" applyFont="1" applyFill="1" applyBorder="1" applyAlignment="1">
      <alignment horizontal="right"/>
    </xf>
    <xf numFmtId="164" fontId="3" fillId="4" borderId="11" xfId="2" applyNumberFormat="1" applyFont="1" applyFill="1" applyBorder="1" applyAlignment="1">
      <alignment horizontal="right"/>
    </xf>
    <xf numFmtId="164" fontId="3" fillId="4" borderId="12" xfId="2" applyNumberFormat="1" applyFont="1" applyFill="1" applyBorder="1" applyAlignment="1">
      <alignment horizontal="right"/>
    </xf>
    <xf numFmtId="164" fontId="4" fillId="4" borderId="13" xfId="2" applyNumberFormat="1" applyFont="1" applyFill="1" applyBorder="1" applyAlignment="1">
      <alignment horizontal="right"/>
    </xf>
    <xf numFmtId="164" fontId="4" fillId="4" borderId="14" xfId="2" applyNumberFormat="1" applyFont="1" applyFill="1" applyBorder="1" applyAlignment="1">
      <alignment horizontal="right"/>
    </xf>
    <xf numFmtId="164" fontId="3" fillId="5" borderId="9" xfId="2" applyNumberFormat="1" applyFont="1" applyFill="1" applyBorder="1" applyAlignment="1">
      <alignment horizontal="right"/>
    </xf>
    <xf numFmtId="164" fontId="3" fillId="5" borderId="10" xfId="2" applyNumberFormat="1" applyFont="1" applyFill="1" applyBorder="1" applyAlignment="1">
      <alignment horizontal="right"/>
    </xf>
    <xf numFmtId="164" fontId="3" fillId="5" borderId="11" xfId="2" applyNumberFormat="1" applyFont="1" applyFill="1" applyBorder="1" applyAlignment="1">
      <alignment horizontal="right"/>
    </xf>
    <xf numFmtId="164" fontId="3" fillId="5" borderId="12" xfId="2" applyNumberFormat="1" applyFont="1" applyFill="1" applyBorder="1" applyAlignment="1">
      <alignment horizontal="right"/>
    </xf>
    <xf numFmtId="164" fontId="4" fillId="5" borderId="13" xfId="2" applyNumberFormat="1" applyFont="1" applyFill="1" applyBorder="1" applyAlignment="1">
      <alignment horizontal="right"/>
    </xf>
    <xf numFmtId="164" fontId="4" fillId="5" borderId="14" xfId="2" applyNumberFormat="1" applyFont="1" applyFill="1" applyBorder="1" applyAlignment="1">
      <alignment horizontal="right"/>
    </xf>
    <xf numFmtId="164" fontId="4" fillId="5" borderId="9" xfId="2" applyNumberFormat="1" applyFont="1" applyFill="1" applyBorder="1" applyAlignment="1">
      <alignment horizontal="center" vertical="center" wrapText="1" readingOrder="2"/>
    </xf>
    <xf numFmtId="164" fontId="4" fillId="5" borderId="10" xfId="2" applyNumberFormat="1" applyFont="1" applyFill="1" applyBorder="1" applyAlignment="1">
      <alignment horizontal="center" vertical="center" wrapText="1" readingOrder="2"/>
    </xf>
    <xf numFmtId="164" fontId="4" fillId="5" borderId="12" xfId="2" applyNumberFormat="1" applyFont="1" applyFill="1" applyBorder="1" applyAlignment="1">
      <alignment horizontal="right"/>
    </xf>
    <xf numFmtId="4" fontId="4" fillId="5" borderId="13" xfId="2" applyNumberFormat="1" applyFont="1" applyFill="1" applyBorder="1" applyAlignment="1">
      <alignment horizontal="right"/>
    </xf>
    <xf numFmtId="4" fontId="4" fillId="5" borderId="14" xfId="2" applyNumberFormat="1" applyFont="1" applyFill="1" applyBorder="1" applyAlignment="1">
      <alignment horizontal="right" readingOrder="2"/>
    </xf>
    <xf numFmtId="164" fontId="4" fillId="5" borderId="11" xfId="2" applyNumberFormat="1" applyFont="1" applyFill="1" applyBorder="1" applyAlignment="1">
      <alignment horizontal="right"/>
    </xf>
    <xf numFmtId="164" fontId="4" fillId="4" borderId="0" xfId="2" applyNumberFormat="1" applyFont="1" applyFill="1" applyBorder="1" applyAlignment="1">
      <alignment horizontal="right"/>
    </xf>
    <xf numFmtId="164" fontId="4" fillId="5" borderId="0" xfId="2" applyNumberFormat="1" applyFont="1" applyFill="1" applyBorder="1" applyAlignment="1">
      <alignment horizontal="right"/>
    </xf>
    <xf numFmtId="0" fontId="25" fillId="3" borderId="0" xfId="2" applyFont="1" applyFill="1" applyAlignment="1">
      <alignment horizontal="right" vertical="center" readingOrder="2"/>
    </xf>
  </cellXfs>
  <cellStyles count="77">
    <cellStyle name="20% - הדגשה1" xfId="21" builtinId="30" customBuiltin="1"/>
    <cellStyle name="20% - הדגשה2" xfId="25" builtinId="34" customBuiltin="1"/>
    <cellStyle name="20% - הדגשה3" xfId="29" builtinId="38" customBuiltin="1"/>
    <cellStyle name="20% - הדגשה4" xfId="33" builtinId="42" customBuiltin="1"/>
    <cellStyle name="20% - הדגשה5" xfId="37" builtinId="46" customBuiltin="1"/>
    <cellStyle name="20% - הדגשה6" xfId="41" builtinId="50" customBuiltin="1"/>
    <cellStyle name="40% - הדגשה1" xfId="22" builtinId="31" customBuiltin="1"/>
    <cellStyle name="40% - הדגשה2" xfId="26" builtinId="35" customBuiltin="1"/>
    <cellStyle name="40% - הדגשה3" xfId="30" builtinId="39" customBuiltin="1"/>
    <cellStyle name="40% - הדגשה4" xfId="34" builtinId="43" customBuiltin="1"/>
    <cellStyle name="40% - הדגשה5" xfId="38" builtinId="47" customBuiltin="1"/>
    <cellStyle name="40% - הדגשה6" xfId="42" builtinId="51" customBuiltin="1"/>
    <cellStyle name="60% - הדגשה1" xfId="23" builtinId="32" customBuiltin="1"/>
    <cellStyle name="60% - הדגשה2" xfId="27" builtinId="36" customBuiltin="1"/>
    <cellStyle name="60% - הדגשה3" xfId="31" builtinId="40" customBuiltin="1"/>
    <cellStyle name="60% - הדגשה4" xfId="35" builtinId="44" customBuiltin="1"/>
    <cellStyle name="60% - הדגשה5" xfId="39" builtinId="48" customBuiltin="1"/>
    <cellStyle name="60% - הדגשה6" xfId="43" builtinId="52" customBuiltin="1"/>
    <cellStyle name="Comma 2" xfId="54" xr:uid="{00000000-0005-0000-0000-000001000000}"/>
    <cellStyle name="Comma 2 2" xfId="73" xr:uid="{94B31669-23E9-4E30-B72E-F6B262769F5C}"/>
    <cellStyle name="Comma 3" xfId="72" xr:uid="{00000000-0005-0000-0000-00004B000000}"/>
    <cellStyle name="Comma 4" xfId="45" xr:uid="{00000000-0005-0000-0000-000032000000}"/>
    <cellStyle name="Normal" xfId="0" builtinId="0"/>
    <cellStyle name="Normal 10" xfId="53" xr:uid="{00000000-0005-0000-0000-000003000000}"/>
    <cellStyle name="Normal 10 10" xfId="2" xr:uid="{758BDEF0-7C9C-4C1F-847A-D5A2EC18FD48}"/>
    <cellStyle name="Normal 11" xfId="63" xr:uid="{00000000-0005-0000-0000-000005000000}"/>
    <cellStyle name="Normal 12" xfId="65" xr:uid="{00000000-0005-0000-0000-000006000000}"/>
    <cellStyle name="Normal 13" xfId="66" xr:uid="{00000000-0005-0000-0000-000007000000}"/>
    <cellStyle name="Normal 14" xfId="67" xr:uid="{00000000-0005-0000-0000-000008000000}"/>
    <cellStyle name="Normal 15" xfId="68" xr:uid="{00000000-0005-0000-0000-000009000000}"/>
    <cellStyle name="Normal 16" xfId="69" xr:uid="{00000000-0005-0000-0000-000048000000}"/>
    <cellStyle name="Normal 17" xfId="70" xr:uid="{00000000-0005-0000-0000-00004A000000}"/>
    <cellStyle name="Normal 18" xfId="74" xr:uid="{00000000-0005-0000-0000-00004D000000}"/>
    <cellStyle name="Normal 19" xfId="44" xr:uid="{00000000-0005-0000-0000-000036000000}"/>
    <cellStyle name="Normal 2" xfId="46" xr:uid="{00000000-0005-0000-0000-00000A000000}"/>
    <cellStyle name="Normal 3" xfId="47" xr:uid="{00000000-0005-0000-0000-00000B000000}"/>
    <cellStyle name="Normal 3 2" xfId="55" xr:uid="{00000000-0005-0000-0000-00000C000000}"/>
    <cellStyle name="Normal 4" xfId="48" xr:uid="{00000000-0005-0000-0000-00000D000000}"/>
    <cellStyle name="Normal 4 2" xfId="56" xr:uid="{00000000-0005-0000-0000-00000E000000}"/>
    <cellStyle name="Normal 5" xfId="49" xr:uid="{00000000-0005-0000-0000-00000F000000}"/>
    <cellStyle name="Normal 5 2" xfId="57" xr:uid="{00000000-0005-0000-0000-000010000000}"/>
    <cellStyle name="Normal 6" xfId="50" xr:uid="{00000000-0005-0000-0000-000011000000}"/>
    <cellStyle name="Normal 6 2" xfId="58" xr:uid="{00000000-0005-0000-0000-000012000000}"/>
    <cellStyle name="Normal 7" xfId="51" xr:uid="{00000000-0005-0000-0000-000013000000}"/>
    <cellStyle name="Normal 7 2" xfId="59" xr:uid="{00000000-0005-0000-0000-000014000000}"/>
    <cellStyle name="Normal 76" xfId="62" xr:uid="{00000000-0005-0000-0000-000015000000}"/>
    <cellStyle name="Normal 8" xfId="52" xr:uid="{00000000-0005-0000-0000-000016000000}"/>
    <cellStyle name="Normal 8 2" xfId="60" xr:uid="{00000000-0005-0000-0000-000017000000}"/>
    <cellStyle name="Normal 85" xfId="64" xr:uid="{00000000-0005-0000-0000-000018000000}"/>
    <cellStyle name="Normal 9" xfId="1" xr:uid="{00000000-0005-0000-0000-000001000000}"/>
    <cellStyle name="Normal 93" xfId="76" xr:uid="{604483E6-CD27-4B97-A03B-88CC35C18A2D}"/>
    <cellStyle name="Normal 97" xfId="75" xr:uid="{04F66A8E-B57C-46BC-8474-35F383BB088E}"/>
    <cellStyle name="Note 2" xfId="71" xr:uid="{00000000-0005-0000-0000-000051000000}"/>
    <cellStyle name="Percent 2" xfId="61" xr:uid="{00000000-0005-0000-0000-00001B000000}"/>
    <cellStyle name="Percent 3" xfId="3" xr:uid="{BB3C6931-CCE4-4563-B2A7-5CBF79587D18}"/>
    <cellStyle name="הדגשה1" xfId="20" builtinId="29" customBuiltin="1"/>
    <cellStyle name="הדגשה2" xfId="24" builtinId="33" customBuiltin="1"/>
    <cellStyle name="הדגשה3" xfId="28" builtinId="37" customBuiltin="1"/>
    <cellStyle name="הדגשה4" xfId="32" builtinId="41" customBuiltin="1"/>
    <cellStyle name="הדגשה5" xfId="36" builtinId="45" customBuiltin="1"/>
    <cellStyle name="הדגשה6" xfId="40" builtinId="49" customBuiltin="1"/>
    <cellStyle name="חישוב" xfId="14" builtinId="22" customBuiltin="1"/>
    <cellStyle name="טוב" xfId="9" builtinId="26" customBuiltin="1"/>
    <cellStyle name="טקסט אזהרה" xfId="17" builtinId="11" customBuiltin="1"/>
    <cellStyle name="טקסט הסברי" xfId="18" builtinId="53" customBuiltin="1"/>
    <cellStyle name="כותרת" xfId="4" builtinId="15" customBuiltin="1"/>
    <cellStyle name="כותרת 1" xfId="5" builtinId="16" customBuiltin="1"/>
    <cellStyle name="כותרת 2" xfId="6" builtinId="17" customBuiltin="1"/>
    <cellStyle name="כותרת 3" xfId="7" builtinId="18" customBuiltin="1"/>
    <cellStyle name="כותרת 4" xfId="8" builtinId="19" customBuiltin="1"/>
    <cellStyle name="ניטראלי" xfId="11" builtinId="28" customBuiltin="1"/>
    <cellStyle name="סה&quot;כ" xfId="19" builtinId="25" customBuiltin="1"/>
    <cellStyle name="פלט" xfId="13" builtinId="21" customBuiltin="1"/>
    <cellStyle name="קלט" xfId="12" builtinId="20" customBuiltin="1"/>
    <cellStyle name="רע" xfId="10" builtinId="27" customBuiltin="1"/>
    <cellStyle name="תא מסומן" xfId="16" builtinId="23" customBuiltin="1"/>
    <cellStyle name="תא מקושר" xfId="15" builtinId="24" customBuiltin="1"/>
  </cellStyles>
  <dxfs count="1"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A47B8-65AC-4D60-98AE-E7D5CCAC2CCE}" name="טבלה1" displayName="טבלה1" ref="B5:Z34" totalsRowShown="0" tableBorderDxfId="0">
  <autoFilter ref="B5:Z34" xr:uid="{925A47B8-65AC-4D60-98AE-E7D5CCAC2C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E281F59-026C-4C37-978F-81B015AC1B72}" name="עמודה1"/>
    <tableColumn id="2" xr3:uid="{331FAC6F-0BD6-42E9-A5C7-83494A57835B}" name="התרומה לתשואה ינואר 2025"/>
    <tableColumn id="3" xr3:uid="{4D3D28C0-98FC-4006-A533-F3FF23B6D5C7}" name="שיעור מסך הנכסים ינואר 2025"/>
    <tableColumn id="4" xr3:uid="{197E5436-EDDD-4B89-8176-6841E20C178E}" name="התרומה לתשואה פברואר 2025"/>
    <tableColumn id="5" xr3:uid="{59AB33E7-6A58-42AF-BA7D-6B15A42C5F30}" name="שיעור מסך הנכסים פברואר 2025"/>
    <tableColumn id="6" xr3:uid="{A1AD7DB6-8CCD-4434-9359-C63F5B9083D2}" name="התרומה לתשואה מרץ 2025"/>
    <tableColumn id="7" xr3:uid="{96D4328F-E2E7-47C6-8068-F0BA7F43CEDD}" name="שיעור מסך הנכסים מרץ 2025"/>
    <tableColumn id="8" xr3:uid="{ACABDB8F-ACD9-4DFE-B031-C6AD9EFE0839}" name="התרומה לתשואה אפריל 2025"/>
    <tableColumn id="9" xr3:uid="{B7C7F8E3-A813-4E69-A800-74B84AB95314}" name="שיעור מסך הנכסים אפריל 2025"/>
    <tableColumn id="10" xr3:uid="{03330DC7-4134-4BDB-B2EB-005924D05A48}" name="התרומה לתשואה מאי 2025"/>
    <tableColumn id="11" xr3:uid="{FDC231B4-6552-422B-992C-9A0E070E0397}" name="שיעור מסך הנכסים מאי 2025"/>
    <tableColumn id="12" xr3:uid="{D4F5E729-5D65-4E17-BD60-85A9D9E301D0}" name="התרומה לתשואה יוני 2025"/>
    <tableColumn id="13" xr3:uid="{DB8929A6-F9EC-4953-9ADC-49B2BAACD4D1}" name="שיעור מסך הנכסים יוני 2025"/>
    <tableColumn id="14" xr3:uid="{82D16972-9B3D-4473-A918-5038677A6332}" name="התרומה לתשואה יולי 2025"/>
    <tableColumn id="15" xr3:uid="{F158AD92-354D-4C8E-81FD-997B71248648}" name="שיעור מסך הנכסים יולי 2025"/>
    <tableColumn id="16" xr3:uid="{0C0225D1-AAF5-4CC9-BAD6-32B3E1C651D8}" name="התרומה לתשואה אוגוסט 2025"/>
    <tableColumn id="17" xr3:uid="{956820D9-95B3-4306-A7D8-994A9D97B7A6}" name="שיעור מסך הנכסים אוגוסט 2025"/>
    <tableColumn id="18" xr3:uid="{E30C5B18-1209-4726-B743-3578DD7EF6B1}" name="התרומה לתשואה ספטמבר 2025"/>
    <tableColumn id="19" xr3:uid="{AB8A135C-CB12-42D6-85EB-83B90541F087}" name="שיעור מסך הנכסים ספטמבר 2025"/>
    <tableColumn id="20" xr3:uid="{0FB2B7AB-B96C-4621-B62C-41E6CC7C3911}" name="התרומה לתשואה אוקטובר 2025"/>
    <tableColumn id="21" xr3:uid="{3D4DEA19-0D89-4185-846A-EC1968C01F25}" name="שיעור מסך הנכסים אוקטובר 2025"/>
    <tableColumn id="22" xr3:uid="{A79CF069-F3D0-43EC-9525-621CA9B49009}" name="התרומה לתשואה נובמבר 2025"/>
    <tableColumn id="23" xr3:uid="{A52EA024-54C1-4B66-B43C-10F11CCCCC51}" name="שיעור מסך הנכסים נובמבר 2025"/>
    <tableColumn id="24" xr3:uid="{1D1D29CC-6CD3-447E-B97C-130C1F7F491E}" name="התרומה לתשואה דצמבר 2025"/>
    <tableColumn id="25" xr3:uid="{1853E8B7-3B99-456A-ADC1-CD099822A28B}" name="שיעור מסך הנכסים דצמבר 20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12203-DE05-4EED-BEFF-B3813D6C4CE0}" name="טבלה2" displayName="טבלה2" ref="B36:J65" totalsRowShown="0">
  <autoFilter ref="B36:J65" xr:uid="{ECF12203-DE05-4EED-BEFF-B3813D6C4C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7789BD-4C81-44E0-81C2-8587A1082FEF}" name="נתונים מצטברים"/>
    <tableColumn id="2" xr3:uid="{A95CF0FE-CD19-4FBA-B13B-E5AFF99F05D4}" name="התרומה לתשואה ינואר-מרץ 2025"/>
    <tableColumn id="3" xr3:uid="{A120C691-5E0C-445C-86E2-70E4E38C210E}" name="שיעור מסך הנכסים ינואר-מרץ 2025"/>
    <tableColumn id="4" xr3:uid="{259B87DB-0046-4FD0-B033-A16DD01716F8}" name="התרומה לתשואה ינואר-יוני 2025"/>
    <tableColumn id="5" xr3:uid="{B8CFF51D-18A5-494A-B0FA-1645A7A311B9}" name="שיעור מסך הנכסים ינואר-יוני 2025"/>
    <tableColumn id="6" xr3:uid="{1E6454D4-8CFB-46D8-A21B-81A7EA7A734B}" name="התרומה לתשואה ינואר-ספטמבר 2025"/>
    <tableColumn id="7" xr3:uid="{97777EC5-5CA5-4F25-B3A6-B1880AE4D776}" name="שיעור מסך הנכסים ינואר-ספטמבר 2025"/>
    <tableColumn id="8" xr3:uid="{3CCCB71C-713E-4C52-B44E-8D4752E95785}" name="התרומה לתשואה ינואר-דצמבר 2025"/>
    <tableColumn id="9" xr3:uid="{C9370707-FAF9-41AE-953E-AC016FE2AB1D}" name="שיעור מסך הנכסים ינואר-דצמבר 20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B17" workbookViewId="0">
      <selection activeCell="B36" sqref="B36"/>
    </sheetView>
  </sheetViews>
  <sheetFormatPr defaultColWidth="9.140625" defaultRowHeight="12.75"/>
  <cols>
    <col min="1" max="1" width="3.7109375" style="51" customWidth="1"/>
    <col min="2" max="2" width="34.7109375" style="51" customWidth="1"/>
    <col min="3" max="3" width="29.28515625" style="51" customWidth="1"/>
    <col min="4" max="4" width="30.5703125" style="51" customWidth="1"/>
    <col min="5" max="5" width="28.5703125" style="51" customWidth="1"/>
    <col min="6" max="6" width="29.85546875" style="51" customWidth="1"/>
    <col min="7" max="7" width="32.7109375" style="51" customWidth="1"/>
    <col min="8" max="8" width="34" style="51" customWidth="1"/>
    <col min="9" max="9" width="31.28515625" style="51" customWidth="1"/>
    <col min="10" max="10" width="32.5703125" style="51" customWidth="1"/>
    <col min="11" max="11" width="24.42578125" style="51" customWidth="1"/>
    <col min="12" max="12" width="25.7109375" style="51" customWidth="1"/>
    <col min="13" max="13" width="24" style="51" customWidth="1"/>
    <col min="14" max="14" width="25.28515625" style="51" customWidth="1"/>
    <col min="15" max="15" width="24.140625" style="51" customWidth="1"/>
    <col min="16" max="16" width="25.42578125" style="51" customWidth="1"/>
    <col min="17" max="17" width="27" style="51" customWidth="1"/>
    <col min="18" max="18" width="28.28515625" style="51" customWidth="1"/>
    <col min="19" max="19" width="28.140625" style="51" customWidth="1"/>
    <col min="20" max="20" width="29.42578125" style="51" customWidth="1"/>
    <col min="21" max="21" width="28.140625" style="51" customWidth="1"/>
    <col min="22" max="22" width="29.42578125" style="51" customWidth="1"/>
    <col min="23" max="23" width="27" style="51" customWidth="1"/>
    <col min="24" max="24" width="28.28515625" style="51" customWidth="1"/>
    <col min="25" max="25" width="26.7109375" style="51" customWidth="1"/>
    <col min="26" max="26" width="28" style="51" customWidth="1"/>
    <col min="27" max="16384" width="9.140625" style="51"/>
  </cols>
  <sheetData>
    <row r="1" spans="1:26" ht="27" customHeight="1">
      <c r="A1" s="49"/>
      <c r="B1" s="50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33.75" customHeight="1">
      <c r="A2" s="49"/>
      <c r="B2" s="50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36" customHeight="1">
      <c r="A3" s="49"/>
      <c r="B3" s="50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24.75" customHeight="1">
      <c r="A4" s="49"/>
      <c r="B4" s="52">
        <v>2025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60" customHeight="1">
      <c r="A5" s="53"/>
      <c r="B5" s="112" t="s">
        <v>71</v>
      </c>
      <c r="C5" s="56" t="s">
        <v>39</v>
      </c>
      <c r="D5" s="57" t="s">
        <v>40</v>
      </c>
      <c r="E5" s="58" t="s">
        <v>41</v>
      </c>
      <c r="F5" s="59" t="s">
        <v>42</v>
      </c>
      <c r="G5" s="56" t="s">
        <v>43</v>
      </c>
      <c r="H5" s="57" t="s">
        <v>44</v>
      </c>
      <c r="I5" s="58" t="s">
        <v>45</v>
      </c>
      <c r="J5" s="59" t="s">
        <v>46</v>
      </c>
      <c r="K5" s="56" t="s">
        <v>47</v>
      </c>
      <c r="L5" s="57" t="s">
        <v>48</v>
      </c>
      <c r="M5" s="58" t="s">
        <v>49</v>
      </c>
      <c r="N5" s="59" t="s">
        <v>50</v>
      </c>
      <c r="O5" s="56" t="s">
        <v>51</v>
      </c>
      <c r="P5" s="57" t="s">
        <v>52</v>
      </c>
      <c r="Q5" s="58" t="s">
        <v>53</v>
      </c>
      <c r="R5" s="59" t="s">
        <v>54</v>
      </c>
      <c r="S5" s="56" t="s">
        <v>55</v>
      </c>
      <c r="T5" s="57" t="s">
        <v>56</v>
      </c>
      <c r="U5" s="58" t="s">
        <v>57</v>
      </c>
      <c r="V5" s="59" t="s">
        <v>58</v>
      </c>
      <c r="W5" s="56" t="s">
        <v>59</v>
      </c>
      <c r="X5" s="57" t="s">
        <v>60</v>
      </c>
      <c r="Y5" s="58" t="s">
        <v>61</v>
      </c>
      <c r="Z5" s="60" t="s">
        <v>62</v>
      </c>
    </row>
    <row r="6" spans="1:26">
      <c r="A6" s="49"/>
      <c r="B6" s="61" t="s">
        <v>3</v>
      </c>
      <c r="C6" s="62">
        <v>-2.1243499646951422E-4</v>
      </c>
      <c r="D6" s="63">
        <v>2.758242340453914E-2</v>
      </c>
      <c r="E6" s="64">
        <v>-9.3671894337324661E-5</v>
      </c>
      <c r="F6" s="65">
        <v>3.480098347782884E-2</v>
      </c>
      <c r="G6" s="62">
        <v>7.2838094855657079E-4</v>
      </c>
      <c r="H6" s="63">
        <v>2.8759332751678704E-2</v>
      </c>
      <c r="I6" s="64">
        <v>3.9408755084820147E-4</v>
      </c>
      <c r="J6" s="65">
        <v>2.1805509181139264E-2</v>
      </c>
      <c r="K6" s="62">
        <v>-1.1825348126278225E-4</v>
      </c>
      <c r="L6" s="63">
        <v>2.2903999791015751E-2</v>
      </c>
      <c r="M6" s="64">
        <v>-1.118215386926922E-4</v>
      </c>
      <c r="N6" s="65">
        <v>2.5463174171225449E-2</v>
      </c>
      <c r="O6" s="62">
        <v>-7.1350270035196419E-5</v>
      </c>
      <c r="P6" s="63">
        <v>2.274892520619259E-2</v>
      </c>
      <c r="Q6" s="64">
        <v>-3.1752620575436549E-5</v>
      </c>
      <c r="R6" s="65">
        <v>3.7357962105017656E-2</v>
      </c>
      <c r="S6" s="62">
        <v>3.3732589972895879E-4</v>
      </c>
      <c r="T6" s="63">
        <v>3.5107953103591188E-2</v>
      </c>
      <c r="U6" s="64">
        <v>4.2766043628825824E-4</v>
      </c>
      <c r="V6" s="65">
        <v>3.3334191393203393E-2</v>
      </c>
      <c r="W6" s="62">
        <v>1.2114616959416247E-4</v>
      </c>
      <c r="X6" s="63">
        <v>4.2189565963699986E-2</v>
      </c>
      <c r="Y6" s="64">
        <v>1.5236003443262747E-5</v>
      </c>
      <c r="Z6" s="66">
        <v>3.8049636758111877E-2</v>
      </c>
    </row>
    <row r="7" spans="1:26">
      <c r="A7" s="49"/>
      <c r="B7" s="67" t="s">
        <v>4</v>
      </c>
      <c r="C7" s="62">
        <v>-1.376392402077112E-3</v>
      </c>
      <c r="D7" s="63">
        <v>0.53114758610125379</v>
      </c>
      <c r="E7" s="64">
        <v>4.8260536093355979E-3</v>
      </c>
      <c r="F7" s="65">
        <v>0.53113124186102068</v>
      </c>
      <c r="G7" s="62">
        <v>-9.6665063571972389E-3</v>
      </c>
      <c r="H7" s="63">
        <v>0.52596571076196341</v>
      </c>
      <c r="I7" s="64">
        <v>6.8295669222204073E-3</v>
      </c>
      <c r="J7" s="65">
        <v>0.52788604608664058</v>
      </c>
      <c r="K7" s="62">
        <v>-7.8060089942886129E-3</v>
      </c>
      <c r="L7" s="63">
        <v>0.5217446682203678</v>
      </c>
      <c r="M7" s="64">
        <v>1.730642877969632E-2</v>
      </c>
      <c r="N7" s="65">
        <v>0.52424480940108475</v>
      </c>
      <c r="O7" s="62">
        <v>-5.5575235433982632E-4</v>
      </c>
      <c r="P7" s="63">
        <v>0.52544380823474945</v>
      </c>
      <c r="Q7" s="64">
        <v>2.7208579717580687E-3</v>
      </c>
      <c r="R7" s="65">
        <v>0.5248675228553209</v>
      </c>
      <c r="S7" s="62">
        <v>6.7429451256299702E-3</v>
      </c>
      <c r="T7" s="63">
        <v>0.52499110189360709</v>
      </c>
      <c r="U7" s="64">
        <v>6.9863198216656821E-3</v>
      </c>
      <c r="V7" s="65">
        <v>0.52551572521005385</v>
      </c>
      <c r="W7" s="62">
        <v>-9.7385032633434481E-4</v>
      </c>
      <c r="X7" s="63">
        <v>0.53734217658353922</v>
      </c>
      <c r="Y7" s="64">
        <v>-1.044219556502412E-3</v>
      </c>
      <c r="Z7" s="66">
        <v>0.52224955295427578</v>
      </c>
    </row>
    <row r="8" spans="1:26">
      <c r="A8" s="49"/>
      <c r="B8" s="67" t="s">
        <v>5</v>
      </c>
      <c r="C8" s="62">
        <v>0</v>
      </c>
      <c r="D8" s="63">
        <v>0</v>
      </c>
      <c r="E8" s="64">
        <v>0</v>
      </c>
      <c r="F8" s="65">
        <v>0</v>
      </c>
      <c r="G8" s="62">
        <v>0</v>
      </c>
      <c r="H8" s="63">
        <v>0</v>
      </c>
      <c r="I8" s="64">
        <v>0</v>
      </c>
      <c r="J8" s="65">
        <v>0</v>
      </c>
      <c r="K8" s="62">
        <v>0</v>
      </c>
      <c r="L8" s="63">
        <v>0</v>
      </c>
      <c r="M8" s="64">
        <v>0</v>
      </c>
      <c r="N8" s="65">
        <v>0</v>
      </c>
      <c r="O8" s="62">
        <v>0</v>
      </c>
      <c r="P8" s="63">
        <v>0</v>
      </c>
      <c r="Q8" s="64">
        <v>0</v>
      </c>
      <c r="R8" s="65">
        <v>0</v>
      </c>
      <c r="S8" s="62">
        <v>0</v>
      </c>
      <c r="T8" s="63">
        <v>0</v>
      </c>
      <c r="U8" s="64">
        <v>0</v>
      </c>
      <c r="V8" s="65">
        <v>0</v>
      </c>
      <c r="W8" s="62">
        <v>0</v>
      </c>
      <c r="X8" s="63">
        <v>0</v>
      </c>
      <c r="Y8" s="64">
        <v>0</v>
      </c>
      <c r="Z8" s="66">
        <v>0</v>
      </c>
    </row>
    <row r="9" spans="1:26">
      <c r="A9" s="49"/>
      <c r="B9" s="67" t="s">
        <v>6</v>
      </c>
      <c r="C9" s="62">
        <v>0</v>
      </c>
      <c r="D9" s="63">
        <v>0</v>
      </c>
      <c r="E9" s="64">
        <v>0</v>
      </c>
      <c r="F9" s="65">
        <v>0</v>
      </c>
      <c r="G9" s="62">
        <v>0</v>
      </c>
      <c r="H9" s="63">
        <v>0</v>
      </c>
      <c r="I9" s="64">
        <v>0</v>
      </c>
      <c r="J9" s="65">
        <v>0</v>
      </c>
      <c r="K9" s="62">
        <v>0</v>
      </c>
      <c r="L9" s="63">
        <v>0</v>
      </c>
      <c r="M9" s="64">
        <v>0</v>
      </c>
      <c r="N9" s="65">
        <v>0</v>
      </c>
      <c r="O9" s="62">
        <v>0</v>
      </c>
      <c r="P9" s="63">
        <v>0</v>
      </c>
      <c r="Q9" s="64">
        <v>0</v>
      </c>
      <c r="R9" s="65">
        <v>0</v>
      </c>
      <c r="S9" s="62">
        <v>0</v>
      </c>
      <c r="T9" s="63">
        <v>0</v>
      </c>
      <c r="U9" s="64">
        <v>0</v>
      </c>
      <c r="V9" s="65">
        <v>0</v>
      </c>
      <c r="W9" s="62">
        <v>0</v>
      </c>
      <c r="X9" s="63">
        <v>0</v>
      </c>
      <c r="Y9" s="64">
        <v>0</v>
      </c>
      <c r="Z9" s="66">
        <v>0</v>
      </c>
    </row>
    <row r="10" spans="1:26">
      <c r="A10" s="49"/>
      <c r="B10" s="67" t="s">
        <v>7</v>
      </c>
      <c r="C10" s="62">
        <v>1.0609554141508783E-5</v>
      </c>
      <c r="D10" s="63">
        <v>0.1049365162908118</v>
      </c>
      <c r="E10" s="64">
        <v>1.4376533101384756E-3</v>
      </c>
      <c r="F10" s="65">
        <v>0.10380848950726926</v>
      </c>
      <c r="G10" s="62">
        <v>-9.2488116599273855E-4</v>
      </c>
      <c r="H10" s="63">
        <v>0.10383360870342545</v>
      </c>
      <c r="I10" s="64">
        <v>6.1891439112745478E-4</v>
      </c>
      <c r="J10" s="65">
        <v>0.10296112802303492</v>
      </c>
      <c r="K10" s="62">
        <v>2.7530509370287634E-4</v>
      </c>
      <c r="L10" s="63">
        <v>0.1027990543080657</v>
      </c>
      <c r="M10" s="64">
        <v>2.5079586453450923E-3</v>
      </c>
      <c r="N10" s="65">
        <v>0.10048163531201333</v>
      </c>
      <c r="O10" s="62">
        <v>3.8784452538282539E-4</v>
      </c>
      <c r="P10" s="63">
        <v>9.9574476943842999E-2</v>
      </c>
      <c r="Q10" s="64">
        <v>8.2374001911936895E-4</v>
      </c>
      <c r="R10" s="65">
        <v>9.933784644808169E-2</v>
      </c>
      <c r="S10" s="62">
        <v>1.0826095819585471E-3</v>
      </c>
      <c r="T10" s="63">
        <v>0.10242643659934565</v>
      </c>
      <c r="U10" s="64">
        <v>9.3423592250564593E-4</v>
      </c>
      <c r="V10" s="65">
        <v>0.10213236861194327</v>
      </c>
      <c r="W10" s="62">
        <v>3.7214179053689879E-4</v>
      </c>
      <c r="X10" s="63">
        <v>0.10433992261597264</v>
      </c>
      <c r="Y10" s="64">
        <v>2.946048748395282E-4</v>
      </c>
      <c r="Z10" s="66">
        <v>0.10589906864918071</v>
      </c>
    </row>
    <row r="11" spans="1:26">
      <c r="A11" s="49"/>
      <c r="B11" s="67" t="s">
        <v>8</v>
      </c>
      <c r="C11" s="62">
        <v>-2.5187027545194677E-6</v>
      </c>
      <c r="D11" s="63">
        <v>2.5061081745966607E-2</v>
      </c>
      <c r="E11" s="64">
        <v>3.1535463308377784E-4</v>
      </c>
      <c r="F11" s="65">
        <v>2.5106354484068647E-2</v>
      </c>
      <c r="G11" s="62">
        <v>-2.5811154044356755E-4</v>
      </c>
      <c r="H11" s="63">
        <v>2.5075711305964324E-2</v>
      </c>
      <c r="I11" s="64">
        <v>2.4442681652010533E-4</v>
      </c>
      <c r="J11" s="65">
        <v>2.5097349348220527E-2</v>
      </c>
      <c r="K11" s="62">
        <v>8.3939583045997587E-5</v>
      </c>
      <c r="L11" s="63">
        <v>2.5320847835682177E-2</v>
      </c>
      <c r="M11" s="64">
        <v>5.2812859186672717E-4</v>
      </c>
      <c r="N11" s="65">
        <v>2.4655908534822132E-2</v>
      </c>
      <c r="O11" s="62">
        <v>1.2795029712772018E-4</v>
      </c>
      <c r="P11" s="63">
        <v>2.4576266782476965E-2</v>
      </c>
      <c r="Q11" s="64">
        <v>1.8754204335228564E-4</v>
      </c>
      <c r="R11" s="65">
        <v>2.4579130914057157E-2</v>
      </c>
      <c r="S11" s="62">
        <v>1.1240525850175118E-4</v>
      </c>
      <c r="T11" s="63">
        <v>2.4286245922673248E-2</v>
      </c>
      <c r="U11" s="64">
        <v>2.4719588406654753E-4</v>
      </c>
      <c r="V11" s="65">
        <v>2.4264960674839006E-2</v>
      </c>
      <c r="W11" s="62">
        <v>5.8963189305185268E-5</v>
      </c>
      <c r="X11" s="63">
        <v>2.4762318645122842E-2</v>
      </c>
      <c r="Y11" s="64">
        <v>3.5978765971437028E-5</v>
      </c>
      <c r="Z11" s="66">
        <v>1.7750236601469672E-2</v>
      </c>
    </row>
    <row r="12" spans="1:26">
      <c r="A12" s="49"/>
      <c r="B12" s="67" t="s">
        <v>9</v>
      </c>
      <c r="C12" s="62">
        <v>1.084522126925091E-3</v>
      </c>
      <c r="D12" s="63">
        <v>4.8151105413321543E-2</v>
      </c>
      <c r="E12" s="64">
        <v>2.0146576419091162E-4</v>
      </c>
      <c r="F12" s="65">
        <v>4.845023812830828E-2</v>
      </c>
      <c r="G12" s="62">
        <v>-1.3273321691063267E-3</v>
      </c>
      <c r="H12" s="63">
        <v>4.6936058376337977E-2</v>
      </c>
      <c r="I12" s="64">
        <v>2.0367912974836272E-3</v>
      </c>
      <c r="J12" s="65">
        <v>4.7908819760691661E-2</v>
      </c>
      <c r="K12" s="62">
        <v>2.0988875631983558E-3</v>
      </c>
      <c r="L12" s="63">
        <v>5.0371879913816475E-2</v>
      </c>
      <c r="M12" s="64">
        <v>4.6386967668626579E-3</v>
      </c>
      <c r="N12" s="65">
        <v>5.3751852346985159E-2</v>
      </c>
      <c r="O12" s="62">
        <v>4.9759208663162119E-4</v>
      </c>
      <c r="P12" s="63">
        <v>5.6623610015864252E-2</v>
      </c>
      <c r="Q12" s="64">
        <v>9.39308575859808E-4</v>
      </c>
      <c r="R12" s="65">
        <v>5.7599353475788831E-2</v>
      </c>
      <c r="S12" s="62">
        <v>1.7174353581971974E-3</v>
      </c>
      <c r="T12" s="63">
        <v>5.6147743737416614E-2</v>
      </c>
      <c r="U12" s="64">
        <v>1.4687948112669818E-3</v>
      </c>
      <c r="V12" s="65">
        <v>5.8368724423847725E-2</v>
      </c>
      <c r="W12" s="62">
        <v>2.2307077789519717E-3</v>
      </c>
      <c r="X12" s="63">
        <v>5.9800374508813585E-2</v>
      </c>
      <c r="Y12" s="64">
        <v>2.319734753475708E-3</v>
      </c>
      <c r="Z12" s="66">
        <v>6.1400091948021769E-2</v>
      </c>
    </row>
    <row r="13" spans="1:26">
      <c r="A13" s="49"/>
      <c r="B13" s="67" t="s">
        <v>10</v>
      </c>
      <c r="C13" s="62">
        <v>6.4651117979489393E-4</v>
      </c>
      <c r="D13" s="63">
        <v>4.1006097488657162E-2</v>
      </c>
      <c r="E13" s="64">
        <v>-1.7324205345156028E-4</v>
      </c>
      <c r="F13" s="65">
        <v>4.1602917049099457E-2</v>
      </c>
      <c r="G13" s="62">
        <v>-4.8586149603486892E-4</v>
      </c>
      <c r="H13" s="63">
        <v>4.3924512289722814E-2</v>
      </c>
      <c r="I13" s="64">
        <v>-7.8689367761224994E-4</v>
      </c>
      <c r="J13" s="65">
        <v>4.319988515045791E-2</v>
      </c>
      <c r="K13" s="62">
        <v>1.2790207719340554E-3</v>
      </c>
      <c r="L13" s="63">
        <v>4.6509582353563311E-2</v>
      </c>
      <c r="M13" s="64">
        <v>8.1370515398614845E-4</v>
      </c>
      <c r="N13" s="65">
        <v>4.6149681467442437E-2</v>
      </c>
      <c r="O13" s="62">
        <v>9.2212969545905953E-4</v>
      </c>
      <c r="P13" s="63">
        <v>4.6937062459372146E-2</v>
      </c>
      <c r="Q13" s="64">
        <v>3.8812938649342816E-4</v>
      </c>
      <c r="R13" s="65">
        <v>4.6879823713549935E-2</v>
      </c>
      <c r="S13" s="62">
        <v>1.4370618396178697E-3</v>
      </c>
      <c r="T13" s="63">
        <v>4.8054682211383232E-2</v>
      </c>
      <c r="U13" s="64">
        <v>3.0902903995163445E-4</v>
      </c>
      <c r="V13" s="65">
        <v>4.8492142156939956E-2</v>
      </c>
      <c r="W13" s="62">
        <v>4.1919863654020474E-4</v>
      </c>
      <c r="X13" s="63">
        <v>4.931914408071713E-2</v>
      </c>
      <c r="Y13" s="64">
        <v>-4.3373519006005676E-4</v>
      </c>
      <c r="Z13" s="66">
        <v>4.7771697414354851E-2</v>
      </c>
    </row>
    <row r="14" spans="1:26">
      <c r="A14" s="49"/>
      <c r="B14" s="67" t="s">
        <v>11</v>
      </c>
      <c r="C14" s="62">
        <v>-7.9012146080618178E-5</v>
      </c>
      <c r="D14" s="63">
        <v>5.1693671732094531E-3</v>
      </c>
      <c r="E14" s="64">
        <v>1.0032369179298902E-4</v>
      </c>
      <c r="F14" s="65">
        <v>5.8268489514333765E-3</v>
      </c>
      <c r="G14" s="62">
        <v>1.4997709643254948E-4</v>
      </c>
      <c r="H14" s="63">
        <v>3.4398861252020185E-3</v>
      </c>
      <c r="I14" s="64">
        <v>5.4036890412232702E-6</v>
      </c>
      <c r="J14" s="65">
        <v>1.1223037438427924E-2</v>
      </c>
      <c r="K14" s="62">
        <v>-2.3818578003207005E-4</v>
      </c>
      <c r="L14" s="63">
        <v>1.3912302892340684E-2</v>
      </c>
      <c r="M14" s="64">
        <v>-4.1600946122747506E-4</v>
      </c>
      <c r="N14" s="65">
        <v>1.4160780535467567E-2</v>
      </c>
      <c r="O14" s="62">
        <v>1.6946980883435596E-4</v>
      </c>
      <c r="P14" s="63">
        <v>1.5400188387392957E-2</v>
      </c>
      <c r="Q14" s="64">
        <v>-2.5108748776414645E-5</v>
      </c>
      <c r="R14" s="65">
        <v>1.0055823633635512E-2</v>
      </c>
      <c r="S14" s="62">
        <v>3.7370839310958017E-5</v>
      </c>
      <c r="T14" s="63">
        <v>7.2878683937063482E-3</v>
      </c>
      <c r="U14" s="64">
        <v>-2.6731085615436438E-5</v>
      </c>
      <c r="V14" s="65">
        <v>9.6994483130514193E-3</v>
      </c>
      <c r="W14" s="62">
        <v>1.1679055215920814E-4</v>
      </c>
      <c r="X14" s="63">
        <v>3.3928256456105298E-3</v>
      </c>
      <c r="Y14" s="64">
        <v>-1.8247554865215274E-5</v>
      </c>
      <c r="Z14" s="66">
        <v>7.3267591731800983E-3</v>
      </c>
    </row>
    <row r="15" spans="1:26">
      <c r="A15" s="49"/>
      <c r="B15" s="67" t="s">
        <v>12</v>
      </c>
      <c r="C15" s="62">
        <v>-1.6680105184133875E-3</v>
      </c>
      <c r="D15" s="63">
        <v>9.7097752871354803E-2</v>
      </c>
      <c r="E15" s="64">
        <v>4.2196446259720044E-4</v>
      </c>
      <c r="F15" s="65">
        <v>9.6886324104643803E-2</v>
      </c>
      <c r="G15" s="62">
        <v>4.8855527478100314E-3</v>
      </c>
      <c r="H15" s="63">
        <v>0.10202436331058071</v>
      </c>
      <c r="I15" s="64">
        <v>-7.6723843370650566E-4</v>
      </c>
      <c r="J15" s="65">
        <v>0.10008006008647334</v>
      </c>
      <c r="K15" s="62">
        <v>-2.3351701605728121E-3</v>
      </c>
      <c r="L15" s="63">
        <v>9.8309410852157345E-2</v>
      </c>
      <c r="M15" s="64">
        <v>-2.7124240899798497E-3</v>
      </c>
      <c r="N15" s="65">
        <v>9.4271936553564223E-2</v>
      </c>
      <c r="O15" s="62">
        <v>3.3810891917546593E-4</v>
      </c>
      <c r="P15" s="63">
        <v>9.3982821938482466E-2</v>
      </c>
      <c r="Q15" s="64">
        <v>-3.8708788588723747E-4</v>
      </c>
      <c r="R15" s="65">
        <v>9.3950151402306031E-2</v>
      </c>
      <c r="S15" s="62">
        <v>-3.166574411549287E-4</v>
      </c>
      <c r="T15" s="63">
        <v>9.2749255317841658E-2</v>
      </c>
      <c r="U15" s="64">
        <v>-1.4456058225508031E-3</v>
      </c>
      <c r="V15" s="65">
        <v>9.0504469447683047E-2</v>
      </c>
      <c r="W15" s="62">
        <v>1.5629240949724009E-3</v>
      </c>
      <c r="X15" s="63">
        <v>9.4142431427128359E-2</v>
      </c>
      <c r="Y15" s="64">
        <v>5.6299439915553032E-5</v>
      </c>
      <c r="Z15" s="66">
        <v>9.2165027587075468E-2</v>
      </c>
    </row>
    <row r="16" spans="1:26">
      <c r="A16" s="49"/>
      <c r="B16" s="67" t="s">
        <v>13</v>
      </c>
      <c r="C16" s="62">
        <v>-4.8134547036568244E-6</v>
      </c>
      <c r="D16" s="63">
        <v>5.5398980949650646E-4</v>
      </c>
      <c r="E16" s="64">
        <v>2.0621907464843241E-5</v>
      </c>
      <c r="F16" s="65">
        <v>5.1900685941392026E-4</v>
      </c>
      <c r="G16" s="62">
        <v>-1.8160494348419933E-4</v>
      </c>
      <c r="H16" s="63">
        <v>3.3386724807167139E-4</v>
      </c>
      <c r="I16" s="64">
        <v>7.1776308784945948E-5</v>
      </c>
      <c r="J16" s="65">
        <v>4.0345106476047014E-4</v>
      </c>
      <c r="K16" s="62">
        <v>1.1574606020305894E-5</v>
      </c>
      <c r="L16" s="63">
        <v>4.2236636121333049E-4</v>
      </c>
      <c r="M16" s="64">
        <v>2.971441710921192E-4</v>
      </c>
      <c r="N16" s="65">
        <v>7.0238451402224763E-4</v>
      </c>
      <c r="O16" s="62">
        <v>-8.2254909162737827E-5</v>
      </c>
      <c r="P16" s="63">
        <v>6.3361879540485945E-4</v>
      </c>
      <c r="Q16" s="64">
        <v>-1.1587986483240966E-4</v>
      </c>
      <c r="R16" s="65">
        <v>5.2038225905372282E-4</v>
      </c>
      <c r="S16" s="62">
        <v>6.9129805963399584E-5</v>
      </c>
      <c r="T16" s="63">
        <v>5.8492356200872298E-4</v>
      </c>
      <c r="U16" s="64">
        <v>-1.5073931923126555E-4</v>
      </c>
      <c r="V16" s="65">
        <v>4.433930662190181E-4</v>
      </c>
      <c r="W16" s="62">
        <v>1.3226731892911097E-5</v>
      </c>
      <c r="X16" s="63">
        <v>4.5134276455856579E-4</v>
      </c>
      <c r="Y16" s="64">
        <v>5.5880896494036308E-5</v>
      </c>
      <c r="Z16" s="66">
        <v>4.9760062084509794E-4</v>
      </c>
    </row>
    <row r="17" spans="1:26">
      <c r="A17" s="49"/>
      <c r="B17" s="67" t="s">
        <v>14</v>
      </c>
      <c r="C17" s="62">
        <v>1.7406449015166848E-3</v>
      </c>
      <c r="D17" s="63">
        <v>2.2388177721863055E-3</v>
      </c>
      <c r="E17" s="64">
        <v>-1.6261790191878889E-4</v>
      </c>
      <c r="F17" s="65">
        <v>1.7201410653943415E-3</v>
      </c>
      <c r="G17" s="62">
        <v>-3.2328860563907249E-3</v>
      </c>
      <c r="H17" s="63">
        <v>-1.7980099403561609E-4</v>
      </c>
      <c r="I17" s="64">
        <v>-3.3218770985437462E-4</v>
      </c>
      <c r="J17" s="65">
        <v>4.2961152080841114E-4</v>
      </c>
      <c r="K17" s="62">
        <v>2.7207031744030385E-3</v>
      </c>
      <c r="L17" s="63">
        <v>3.3014743667442626E-3</v>
      </c>
      <c r="M17" s="64">
        <v>2.9638370698667179E-3</v>
      </c>
      <c r="N17" s="65">
        <v>4.9411141702449665E-3</v>
      </c>
      <c r="O17" s="62">
        <v>1.9730207276840562E-4</v>
      </c>
      <c r="P17" s="63">
        <v>2.8686994993144636E-3</v>
      </c>
      <c r="Q17" s="64">
        <v>9.2480983281526419E-4</v>
      </c>
      <c r="R17" s="65">
        <v>3.6021443794249509E-3</v>
      </c>
      <c r="S17" s="62">
        <v>8.0448518542371595E-4</v>
      </c>
      <c r="T17" s="63">
        <v>3.382259751849442E-3</v>
      </c>
      <c r="U17" s="64">
        <v>1.1164075253753279E-3</v>
      </c>
      <c r="V17" s="65">
        <v>4.9929100774934627E-3</v>
      </c>
      <c r="W17" s="62">
        <v>-5.1908026436488035E-4</v>
      </c>
      <c r="X17" s="63">
        <v>2.4833059840478717E-3</v>
      </c>
      <c r="Y17" s="64">
        <v>1.0844032218365099E-3</v>
      </c>
      <c r="Z17" s="66">
        <v>1.9216590216272729E-3</v>
      </c>
    </row>
    <row r="18" spans="1:26">
      <c r="A18" s="49"/>
      <c r="B18" s="67" t="s">
        <v>15</v>
      </c>
      <c r="C18" s="62">
        <v>1.9882103128131246E-4</v>
      </c>
      <c r="D18" s="63">
        <v>1.5441167774693141E-4</v>
      </c>
      <c r="E18" s="64">
        <v>1.0948403848754403E-4</v>
      </c>
      <c r="F18" s="65">
        <v>1.9429128932390603E-4</v>
      </c>
      <c r="G18" s="62">
        <v>7.2804943349203077E-5</v>
      </c>
      <c r="H18" s="63">
        <v>1.2418649917002097E-4</v>
      </c>
      <c r="I18" s="64">
        <v>8.2846669256485747E-5</v>
      </c>
      <c r="J18" s="65">
        <v>8.0692145749633885E-5</v>
      </c>
      <c r="K18" s="62">
        <v>-2.5175285061048641E-5</v>
      </c>
      <c r="L18" s="63">
        <v>4.1020948262527566E-5</v>
      </c>
      <c r="M18" s="64">
        <v>-1.3546890145756552E-4</v>
      </c>
      <c r="N18" s="65">
        <v>1.5369194310706636E-6</v>
      </c>
      <c r="O18" s="62">
        <v>-4.0086926685807282E-5</v>
      </c>
      <c r="P18" s="63">
        <v>6.493807330235436E-5</v>
      </c>
      <c r="Q18" s="64">
        <v>-4.3596696102043927E-5</v>
      </c>
      <c r="R18" s="65">
        <v>8.2709142487749231E-5</v>
      </c>
      <c r="S18" s="62">
        <v>-8.3505191831711561E-5</v>
      </c>
      <c r="T18" s="63">
        <v>4.8603031258224716E-5</v>
      </c>
      <c r="U18" s="64">
        <v>-2.1218694659799727E-5</v>
      </c>
      <c r="V18" s="65">
        <v>7.3088559166123562E-5</v>
      </c>
      <c r="W18" s="62">
        <v>-4.0060648024797044E-5</v>
      </c>
      <c r="X18" s="63">
        <v>3.6499586852864587E-5</v>
      </c>
      <c r="Y18" s="64">
        <v>-3.5174471308576035E-5</v>
      </c>
      <c r="Z18" s="66">
        <v>6.2483604334817437E-5</v>
      </c>
    </row>
    <row r="19" spans="1:26">
      <c r="A19" s="49"/>
      <c r="B19" s="67" t="s">
        <v>16</v>
      </c>
      <c r="C19" s="62">
        <v>4.1594394279552113E-6</v>
      </c>
      <c r="D19" s="63">
        <v>1.08835779306116E-2</v>
      </c>
      <c r="E19" s="64">
        <v>1.1466132925831344E-4</v>
      </c>
      <c r="F19" s="65">
        <v>1.0901177480563099E-2</v>
      </c>
      <c r="G19" s="62">
        <v>-4.9729174029875767E-5</v>
      </c>
      <c r="H19" s="63">
        <v>1.4370079023015937E-2</v>
      </c>
      <c r="I19" s="64">
        <v>6.7976916430753984E-5</v>
      </c>
      <c r="J19" s="65">
        <v>1.4289833731270388E-2</v>
      </c>
      <c r="K19" s="62">
        <v>1.0670518797922514E-4</v>
      </c>
      <c r="L19" s="63">
        <v>1.4435347803580021E-2</v>
      </c>
      <c r="M19" s="64">
        <v>8.7872465422323946E-5</v>
      </c>
      <c r="N19" s="65">
        <v>1.4097279849052126E-2</v>
      </c>
      <c r="O19" s="62">
        <v>9.4545917091914546E-5</v>
      </c>
      <c r="P19" s="63">
        <v>1.4148082449774012E-2</v>
      </c>
      <c r="Q19" s="64">
        <v>9.9181153165548344E-5</v>
      </c>
      <c r="R19" s="65">
        <v>1.4120849738736427E-2</v>
      </c>
      <c r="S19" s="62">
        <v>6.5374324042299559E-5</v>
      </c>
      <c r="T19" s="63">
        <v>1.3953684386873912E-2</v>
      </c>
      <c r="U19" s="64">
        <v>3.4931098651712519E-5</v>
      </c>
      <c r="V19" s="65">
        <v>1.3819036948452705E-2</v>
      </c>
      <c r="W19" s="62">
        <v>5.4178781415011821E-5</v>
      </c>
      <c r="X19" s="63">
        <v>1.410587589797303E-2</v>
      </c>
      <c r="Y19" s="64">
        <v>4.7442008459341189E-5</v>
      </c>
      <c r="Z19" s="66">
        <v>1.2844445866943097E-2</v>
      </c>
    </row>
    <row r="20" spans="1:26">
      <c r="A20" s="49"/>
      <c r="B20" s="67" t="s">
        <v>17</v>
      </c>
      <c r="C20" s="62">
        <v>5.30854718366574E-4</v>
      </c>
      <c r="D20" s="63">
        <v>7.5080263359464258E-2</v>
      </c>
      <c r="E20" s="64">
        <v>3.6938594541546669E-4</v>
      </c>
      <c r="F20" s="65">
        <v>7.4218508521561449E-2</v>
      </c>
      <c r="G20" s="62">
        <v>-4.5578910226949871E-4</v>
      </c>
      <c r="H20" s="63">
        <v>7.73624831008662E-2</v>
      </c>
      <c r="I20" s="64">
        <v>6.7765832426910314E-4</v>
      </c>
      <c r="J20" s="65">
        <v>7.6793601485593221E-2</v>
      </c>
      <c r="K20" s="62">
        <v>3.4249133550427719E-4</v>
      </c>
      <c r="L20" s="63">
        <v>7.5939486690242933E-2</v>
      </c>
      <c r="M20" s="64">
        <v>1.0088550233861339E-3</v>
      </c>
      <c r="N20" s="65">
        <v>7.3902182850413181E-2</v>
      </c>
      <c r="O20" s="62">
        <v>3.0899394223411742E-4</v>
      </c>
      <c r="P20" s="63">
        <v>7.4106255784769565E-2</v>
      </c>
      <c r="Q20" s="64">
        <v>4.9446877356656808E-4</v>
      </c>
      <c r="R20" s="65">
        <v>7.4868556307566322E-2</v>
      </c>
      <c r="S20" s="62">
        <v>-1.4324148821239619E-5</v>
      </c>
      <c r="T20" s="63">
        <v>7.5894633545418519E-2</v>
      </c>
      <c r="U20" s="64">
        <v>6.2542212131909457E-4</v>
      </c>
      <c r="V20" s="65">
        <v>7.5441280423577436E-2</v>
      </c>
      <c r="W20" s="62">
        <v>2.2271597884183475E-4</v>
      </c>
      <c r="X20" s="63">
        <v>6.7659152910478512E-2</v>
      </c>
      <c r="Y20" s="64">
        <v>-8.6738239841920286E-5</v>
      </c>
      <c r="Z20" s="66">
        <v>7.5773352236878228E-2</v>
      </c>
    </row>
    <row r="21" spans="1:26">
      <c r="A21" s="49"/>
      <c r="B21" s="67" t="s">
        <v>18</v>
      </c>
      <c r="C21" s="62">
        <v>-1.2472198403338806E-5</v>
      </c>
      <c r="D21" s="63">
        <v>1.6108011179820018E-2</v>
      </c>
      <c r="E21" s="64">
        <v>7.6236539156712257E-5</v>
      </c>
      <c r="F21" s="65">
        <v>9.8452726625445717E-3</v>
      </c>
      <c r="G21" s="62">
        <v>3.6779239069773283E-6</v>
      </c>
      <c r="H21" s="63">
        <v>9.9644678762252498E-3</v>
      </c>
      <c r="I21" s="64">
        <v>6.3174400075939705E-5</v>
      </c>
      <c r="J21" s="65">
        <v>9.9704612388825456E-3</v>
      </c>
      <c r="K21" s="62">
        <v>9.899686524565274E-5</v>
      </c>
      <c r="L21" s="63">
        <v>5.9774572734801962E-3</v>
      </c>
      <c r="M21" s="64">
        <v>5.6836199729766901E-6</v>
      </c>
      <c r="N21" s="65">
        <v>2.3297768839526654E-3</v>
      </c>
      <c r="O21" s="62">
        <v>1.4528979369966358E-5</v>
      </c>
      <c r="P21" s="63">
        <v>2.3439883346247563E-3</v>
      </c>
      <c r="Q21" s="64">
        <v>1.9414405699230254E-5</v>
      </c>
      <c r="R21" s="65">
        <v>2.3506861292293211E-3</v>
      </c>
      <c r="S21" s="62">
        <v>2.2030575321627575E-5</v>
      </c>
      <c r="T21" s="63">
        <v>2.3430351622018794E-3</v>
      </c>
      <c r="U21" s="64">
        <v>1.5091631184743398E-5</v>
      </c>
      <c r="V21" s="65">
        <v>3.8265106464972461E-4</v>
      </c>
      <c r="W21" s="62">
        <v>-2.7864874375441493E-5</v>
      </c>
      <c r="X21" s="63">
        <v>0</v>
      </c>
      <c r="Y21" s="64">
        <v>2.7110894887246983E-5</v>
      </c>
      <c r="Z21" s="66">
        <v>3.826013734909685E-4</v>
      </c>
    </row>
    <row r="22" spans="1:26">
      <c r="A22" s="49"/>
      <c r="B22" s="67" t="s">
        <v>19</v>
      </c>
      <c r="C22" s="62">
        <v>0</v>
      </c>
      <c r="D22" s="63">
        <v>0</v>
      </c>
      <c r="E22" s="64">
        <v>0</v>
      </c>
      <c r="F22" s="65">
        <v>0</v>
      </c>
      <c r="G22" s="62">
        <v>0</v>
      </c>
      <c r="H22" s="63">
        <v>0</v>
      </c>
      <c r="I22" s="64">
        <v>0</v>
      </c>
      <c r="J22" s="65">
        <v>0</v>
      </c>
      <c r="K22" s="62">
        <v>0</v>
      </c>
      <c r="L22" s="63">
        <v>0</v>
      </c>
      <c r="M22" s="64">
        <v>0</v>
      </c>
      <c r="N22" s="65">
        <v>0</v>
      </c>
      <c r="O22" s="62">
        <v>0</v>
      </c>
      <c r="P22" s="63">
        <v>0</v>
      </c>
      <c r="Q22" s="64">
        <v>0</v>
      </c>
      <c r="R22" s="65">
        <v>0</v>
      </c>
      <c r="S22" s="62">
        <v>0</v>
      </c>
      <c r="T22" s="63">
        <v>0</v>
      </c>
      <c r="U22" s="64">
        <v>0</v>
      </c>
      <c r="V22" s="65">
        <v>0</v>
      </c>
      <c r="W22" s="62">
        <v>0</v>
      </c>
      <c r="X22" s="63">
        <v>0</v>
      </c>
      <c r="Y22" s="64">
        <v>0</v>
      </c>
      <c r="Z22" s="66">
        <v>0</v>
      </c>
    </row>
    <row r="23" spans="1:26">
      <c r="A23" s="49"/>
      <c r="B23" s="67" t="s">
        <v>20</v>
      </c>
      <c r="C23" s="62">
        <v>1.7108249504139465E-4</v>
      </c>
      <c r="D23" s="63">
        <v>4.4268432292148682E-3</v>
      </c>
      <c r="E23" s="64">
        <v>2.1666579290777831E-5</v>
      </c>
      <c r="F23" s="65">
        <v>4.451941112177768E-3</v>
      </c>
      <c r="G23" s="62">
        <v>5.1538684480724865E-7</v>
      </c>
      <c r="H23" s="63">
        <v>4.3712921238309426E-3</v>
      </c>
      <c r="I23" s="64">
        <v>1.0872331119087583E-5</v>
      </c>
      <c r="J23" s="65">
        <v>4.4254529916512237E-3</v>
      </c>
      <c r="K23" s="62">
        <v>1.7018673095571838E-6</v>
      </c>
      <c r="L23" s="63">
        <v>4.5396570407439914E-3</v>
      </c>
      <c r="M23" s="64">
        <v>6.7961946922459399E-7</v>
      </c>
      <c r="N23" s="65">
        <v>4.4789329341295026E-3</v>
      </c>
      <c r="O23" s="62">
        <v>2.012707237591293E-5</v>
      </c>
      <c r="P23" s="63">
        <v>4.535747136647515E-3</v>
      </c>
      <c r="Q23" s="64">
        <v>1.5803759685767183E-6</v>
      </c>
      <c r="R23" s="65">
        <v>4.5476786416441158E-3</v>
      </c>
      <c r="S23" s="62">
        <v>6.1707375579311546E-7</v>
      </c>
      <c r="T23" s="63">
        <v>4.5359597487927604E-3</v>
      </c>
      <c r="U23" s="64">
        <v>1.1644823166380393E-5</v>
      </c>
      <c r="V23" s="65">
        <v>4.523063422837292E-3</v>
      </c>
      <c r="W23" s="62">
        <v>1.3028477546910688E-5</v>
      </c>
      <c r="X23" s="63">
        <v>0</v>
      </c>
      <c r="Y23" s="64">
        <v>1.0323534121681542E-4</v>
      </c>
      <c r="Z23" s="66">
        <v>4.6558441820860478E-3</v>
      </c>
    </row>
    <row r="24" spans="1:26">
      <c r="A24" s="49"/>
      <c r="B24" s="67" t="s">
        <v>21</v>
      </c>
      <c r="C24" s="62">
        <v>4.8831388112143146E-8</v>
      </c>
      <c r="D24" s="63">
        <v>1.040215455234495E-2</v>
      </c>
      <c r="E24" s="64">
        <v>-4.1029829719476754E-6</v>
      </c>
      <c r="F24" s="65">
        <v>1.0536263445348618E-2</v>
      </c>
      <c r="G24" s="62">
        <v>2.4902834661965509E-7</v>
      </c>
      <c r="H24" s="63">
        <v>1.3694241497980373E-2</v>
      </c>
      <c r="I24" s="64">
        <v>4.0626398958366727E-7</v>
      </c>
      <c r="J24" s="65">
        <v>1.3445060746198096E-2</v>
      </c>
      <c r="K24" s="62">
        <v>-2.0442119766666816E-7</v>
      </c>
      <c r="L24" s="63">
        <v>1.3471443348723191E-2</v>
      </c>
      <c r="M24" s="64">
        <v>2.821416791315232E-6</v>
      </c>
      <c r="N24" s="65">
        <v>1.6367013556149054E-2</v>
      </c>
      <c r="O24" s="62">
        <v>5.4378407334262718E-7</v>
      </c>
      <c r="P24" s="63">
        <v>1.6011509957788595E-2</v>
      </c>
      <c r="Q24" s="64">
        <v>2.0746218610578659E-6</v>
      </c>
      <c r="R24" s="65">
        <v>5.2793788540998676E-3</v>
      </c>
      <c r="S24" s="62">
        <v>-6.2723737815001255E-6</v>
      </c>
      <c r="T24" s="63">
        <v>8.2056136320316237E-3</v>
      </c>
      <c r="U24" s="64">
        <v>-4.232518333638504E-5</v>
      </c>
      <c r="V24" s="65">
        <v>8.0125462060427165E-3</v>
      </c>
      <c r="W24" s="62">
        <v>1.7902250061368377E-5</v>
      </c>
      <c r="X24" s="63">
        <v>-2.4936614515119505E-5</v>
      </c>
      <c r="Y24" s="64">
        <v>-1.5548205374310275E-5</v>
      </c>
      <c r="Z24" s="66">
        <v>1.1249942008124418E-2</v>
      </c>
    </row>
    <row r="25" spans="1:26">
      <c r="A25" s="53"/>
      <c r="B25" s="68" t="s">
        <v>22</v>
      </c>
      <c r="C25" s="69">
        <v>1.0315998589813802E-3</v>
      </c>
      <c r="D25" s="70">
        <v>1</v>
      </c>
      <c r="E25" s="71">
        <v>7.5812369775329902E-3</v>
      </c>
      <c r="F25" s="72">
        <v>1</v>
      </c>
      <c r="G25" s="69">
        <v>-1.074154392970228E-2</v>
      </c>
      <c r="H25" s="70">
        <v>1</v>
      </c>
      <c r="I25" s="71">
        <v>9.2175820599937897E-3</v>
      </c>
      <c r="J25" s="72">
        <v>1</v>
      </c>
      <c r="K25" s="69">
        <v>-3.5036720740716509E-3</v>
      </c>
      <c r="L25" s="70">
        <v>1</v>
      </c>
      <c r="M25" s="71">
        <v>2.6786087332400177E-2</v>
      </c>
      <c r="N25" s="72">
        <v>1</v>
      </c>
      <c r="O25" s="69">
        <v>2.3296926403011398E-3</v>
      </c>
      <c r="P25" s="70">
        <v>1</v>
      </c>
      <c r="Q25" s="71">
        <v>5.9976813434856613E-3</v>
      </c>
      <c r="R25" s="72">
        <v>1</v>
      </c>
      <c r="S25" s="69">
        <v>1.200803171186271E-2</v>
      </c>
      <c r="T25" s="70">
        <v>1</v>
      </c>
      <c r="U25" s="71">
        <v>1.0490113010048319E-2</v>
      </c>
      <c r="V25" s="72">
        <v>1</v>
      </c>
      <c r="W25" s="69">
        <v>3.6420683187186054E-3</v>
      </c>
      <c r="X25" s="70">
        <v>1</v>
      </c>
      <c r="Y25" s="71">
        <v>2.4062629825869486E-3</v>
      </c>
      <c r="Z25" s="73">
        <v>1</v>
      </c>
    </row>
    <row r="26" spans="1:26">
      <c r="A26" s="53"/>
      <c r="B26" s="74" t="s">
        <v>23</v>
      </c>
      <c r="C26" s="75">
        <v>13204.189329164001</v>
      </c>
      <c r="D26" s="76"/>
      <c r="E26" s="77">
        <v>96851.537497438097</v>
      </c>
      <c r="F26" s="78"/>
      <c r="G26" s="75">
        <v>-137951.07998468803</v>
      </c>
      <c r="H26" s="76"/>
      <c r="I26" s="77">
        <v>116995.183812966</v>
      </c>
      <c r="J26" s="78"/>
      <c r="K26" s="75">
        <v>-44732.534374014198</v>
      </c>
      <c r="L26" s="76"/>
      <c r="M26" s="77">
        <v>340013.939748773</v>
      </c>
      <c r="N26" s="78"/>
      <c r="O26" s="75">
        <v>30347.013312998002</v>
      </c>
      <c r="P26" s="76"/>
      <c r="Q26" s="77">
        <v>78097.685499423402</v>
      </c>
      <c r="R26" s="78"/>
      <c r="S26" s="75">
        <v>156834.17153008102</v>
      </c>
      <c r="T26" s="76"/>
      <c r="U26" s="77">
        <v>138671.19341433799</v>
      </c>
      <c r="V26" s="78"/>
      <c r="W26" s="75">
        <v>48504.986485727604</v>
      </c>
      <c r="X26" s="76"/>
      <c r="Y26" s="77">
        <v>32071.952256132201</v>
      </c>
      <c r="Z26" s="79"/>
    </row>
    <row r="27" spans="1:26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>
      <c r="A28" s="49"/>
      <c r="B28" s="61" t="s">
        <v>24</v>
      </c>
      <c r="C28" s="80">
        <v>1.7569224625799808E-3</v>
      </c>
      <c r="D28" s="81">
        <v>0.8561155420208072</v>
      </c>
      <c r="E28" s="82">
        <v>7.8825735898504466E-3</v>
      </c>
      <c r="F28" s="83">
        <v>0.86312973036309792</v>
      </c>
      <c r="G28" s="80">
        <v>-1.3372375594713916E-2</v>
      </c>
      <c r="H28" s="81">
        <v>0.85857324018755288</v>
      </c>
      <c r="I28" s="82">
        <v>1.1225426216765085E-2</v>
      </c>
      <c r="J28" s="83">
        <v>0.8525878861122469</v>
      </c>
      <c r="K28" s="80">
        <v>-2.6226925515957871E-3</v>
      </c>
      <c r="L28" s="81">
        <v>0.85006547287376244</v>
      </c>
      <c r="M28" s="82">
        <v>2.8570617580597143E-2</v>
      </c>
      <c r="N28" s="83">
        <v>0.85478832679046446</v>
      </c>
      <c r="O28" s="80">
        <v>1.1303411546512521E-3</v>
      </c>
      <c r="P28" s="81">
        <v>0.85325730978741321</v>
      </c>
      <c r="Q28" s="82">
        <v>5.4390801793380928E-3</v>
      </c>
      <c r="R28" s="83">
        <v>0.85673558772848368</v>
      </c>
      <c r="S28" s="80">
        <v>9.7838726797680551E-3</v>
      </c>
      <c r="T28" s="81">
        <v>0.85893071070194082</v>
      </c>
      <c r="U28" s="82">
        <v>1.1251069841699352E-2</v>
      </c>
      <c r="V28" s="83">
        <v>0.85824327678704604</v>
      </c>
      <c r="W28" s="80">
        <v>1.8931905448185582E-3</v>
      </c>
      <c r="X28" s="81">
        <v>0.8611091132401435</v>
      </c>
      <c r="Y28" s="82">
        <v>2.6098891964886966E-3</v>
      </c>
      <c r="Z28" s="84">
        <v>0.86077347697534856</v>
      </c>
    </row>
    <row r="29" spans="1:26">
      <c r="A29" s="49"/>
      <c r="B29" s="67" t="s">
        <v>25</v>
      </c>
      <c r="C29" s="62">
        <v>-7.253226035986005E-4</v>
      </c>
      <c r="D29" s="63">
        <v>0.14388445797919283</v>
      </c>
      <c r="E29" s="64">
        <v>-3.013366123174574E-4</v>
      </c>
      <c r="F29" s="65">
        <v>0.13687026963690208</v>
      </c>
      <c r="G29" s="62">
        <v>2.6308316650116362E-3</v>
      </c>
      <c r="H29" s="63">
        <v>0.14142675981244707</v>
      </c>
      <c r="I29" s="64">
        <v>-2.0078441567712955E-3</v>
      </c>
      <c r="J29" s="65">
        <v>0.14741211388775316</v>
      </c>
      <c r="K29" s="62">
        <v>-8.8097952247586395E-4</v>
      </c>
      <c r="L29" s="63">
        <v>0.1499345271262375</v>
      </c>
      <c r="M29" s="64">
        <v>-1.7845302481969694E-3</v>
      </c>
      <c r="N29" s="65">
        <v>0.1452116732095356</v>
      </c>
      <c r="O29" s="62">
        <v>1.1993514856498877E-3</v>
      </c>
      <c r="P29" s="63">
        <v>0.14674269021258673</v>
      </c>
      <c r="Q29" s="64">
        <v>5.5860116414756938E-4</v>
      </c>
      <c r="R29" s="65">
        <v>0.14326441227151626</v>
      </c>
      <c r="S29" s="62">
        <v>2.2241590320946545E-3</v>
      </c>
      <c r="T29" s="63">
        <v>0.14106928929805923</v>
      </c>
      <c r="U29" s="64">
        <v>-7.6095683165103268E-4</v>
      </c>
      <c r="V29" s="65">
        <v>0.14175672321295407</v>
      </c>
      <c r="W29" s="62">
        <v>1.7488777739000472E-3</v>
      </c>
      <c r="X29" s="63">
        <v>0.13889088675985656</v>
      </c>
      <c r="Y29" s="64">
        <v>-2.0362621390174762E-4</v>
      </c>
      <c r="Z29" s="66">
        <v>0.13922652302465141</v>
      </c>
    </row>
    <row r="30" spans="1:26">
      <c r="A30" s="53"/>
      <c r="B30" s="74" t="s">
        <v>22</v>
      </c>
      <c r="C30" s="85">
        <v>1.0315998589813802E-3</v>
      </c>
      <c r="D30" s="86">
        <v>1</v>
      </c>
      <c r="E30" s="87">
        <v>7.5812369775329902E-3</v>
      </c>
      <c r="F30" s="88">
        <v>1</v>
      </c>
      <c r="G30" s="85">
        <v>-1.074154392970228E-2</v>
      </c>
      <c r="H30" s="86">
        <v>1</v>
      </c>
      <c r="I30" s="87">
        <v>9.2175820599937897E-3</v>
      </c>
      <c r="J30" s="88">
        <v>1</v>
      </c>
      <c r="K30" s="85">
        <v>-3.5036720740716509E-3</v>
      </c>
      <c r="L30" s="86">
        <v>1</v>
      </c>
      <c r="M30" s="87">
        <v>2.6786087332400177E-2</v>
      </c>
      <c r="N30" s="88">
        <v>1</v>
      </c>
      <c r="O30" s="85">
        <v>2.3296926403011398E-3</v>
      </c>
      <c r="P30" s="86">
        <v>1</v>
      </c>
      <c r="Q30" s="87">
        <v>5.9976813434856613E-3</v>
      </c>
      <c r="R30" s="88">
        <v>1</v>
      </c>
      <c r="S30" s="85">
        <v>1.200803171186271E-2</v>
      </c>
      <c r="T30" s="86">
        <v>1</v>
      </c>
      <c r="U30" s="87">
        <v>1.0490113010048319E-2</v>
      </c>
      <c r="V30" s="88">
        <v>1</v>
      </c>
      <c r="W30" s="85">
        <v>3.6420683187186054E-3</v>
      </c>
      <c r="X30" s="86">
        <v>1</v>
      </c>
      <c r="Y30" s="87">
        <v>2.4062629825869486E-3</v>
      </c>
      <c r="Z30" s="89">
        <v>1</v>
      </c>
    </row>
    <row r="31" spans="1:26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>
      <c r="A32" s="49"/>
      <c r="B32" s="61" t="s">
        <v>26</v>
      </c>
      <c r="C32" s="80">
        <v>8.6752107358330915E-4</v>
      </c>
      <c r="D32" s="81">
        <v>0.41431284834102622</v>
      </c>
      <c r="E32" s="82">
        <v>4.0632357928416492E-3</v>
      </c>
      <c r="F32" s="83">
        <v>0.42205293716594583</v>
      </c>
      <c r="G32" s="80">
        <v>-1.0021516113669304E-2</v>
      </c>
      <c r="H32" s="81">
        <v>0.41270377654165535</v>
      </c>
      <c r="I32" s="82">
        <v>5.3462456979859558E-3</v>
      </c>
      <c r="J32" s="83">
        <v>0.41456259933349415</v>
      </c>
      <c r="K32" s="80">
        <v>-2.4480333043044589E-3</v>
      </c>
      <c r="L32" s="81">
        <v>0.41881513130795633</v>
      </c>
      <c r="M32" s="82">
        <v>2.0240275482234178E-2</v>
      </c>
      <c r="N32" s="83">
        <v>0.43230486165764737</v>
      </c>
      <c r="O32" s="80">
        <v>3.66585719411999E-4</v>
      </c>
      <c r="P32" s="81">
        <v>0.43379618216855781</v>
      </c>
      <c r="Q32" s="82">
        <v>2.6027936710375553E-3</v>
      </c>
      <c r="R32" s="83">
        <v>0.4326072473207126</v>
      </c>
      <c r="S32" s="80">
        <v>8.4926237529310208E-3</v>
      </c>
      <c r="T32" s="81">
        <v>0.43506186979530109</v>
      </c>
      <c r="U32" s="82">
        <v>9.0687522883386284E-3</v>
      </c>
      <c r="V32" s="83">
        <v>0.44179851602163533</v>
      </c>
      <c r="W32" s="80">
        <v>2.0629757631051146E-3</v>
      </c>
      <c r="X32" s="81">
        <v>0.44617240060530866</v>
      </c>
      <c r="Y32" s="82">
        <v>4.2212366944855507E-4</v>
      </c>
      <c r="Z32" s="84">
        <v>0.45185881025430019</v>
      </c>
    </row>
    <row r="33" spans="1:26">
      <c r="A33" s="49"/>
      <c r="B33" s="67" t="s">
        <v>27</v>
      </c>
      <c r="C33" s="62">
        <v>1.6407878539807103E-4</v>
      </c>
      <c r="D33" s="63">
        <v>0.58568715165897378</v>
      </c>
      <c r="E33" s="64">
        <v>3.5180011846913414E-3</v>
      </c>
      <c r="F33" s="65">
        <v>0.57794706283405428</v>
      </c>
      <c r="G33" s="62">
        <v>-7.2002781603297452E-4</v>
      </c>
      <c r="H33" s="63">
        <v>0.58729622345834465</v>
      </c>
      <c r="I33" s="64">
        <v>3.8713363620078334E-3</v>
      </c>
      <c r="J33" s="65">
        <v>0.58543740066650585</v>
      </c>
      <c r="K33" s="62">
        <v>-1.0556387697671921E-3</v>
      </c>
      <c r="L33" s="63">
        <v>0.58118486869204367</v>
      </c>
      <c r="M33" s="64">
        <v>6.5458118501659978E-3</v>
      </c>
      <c r="N33" s="65">
        <v>0.56769513834235252</v>
      </c>
      <c r="O33" s="62">
        <v>1.963106920889141E-3</v>
      </c>
      <c r="P33" s="63">
        <v>0.56620381783144214</v>
      </c>
      <c r="Q33" s="64">
        <v>3.3948876724481068E-3</v>
      </c>
      <c r="R33" s="65">
        <v>0.56739275267928746</v>
      </c>
      <c r="S33" s="62">
        <v>3.5154079589316913E-3</v>
      </c>
      <c r="T33" s="63">
        <v>0.56493813020469885</v>
      </c>
      <c r="U33" s="64">
        <v>1.4213607217096909E-3</v>
      </c>
      <c r="V33" s="65">
        <v>0.55820148397836467</v>
      </c>
      <c r="W33" s="62">
        <v>1.5790925556134908E-3</v>
      </c>
      <c r="X33" s="63">
        <v>0.55382759939469139</v>
      </c>
      <c r="Y33" s="64">
        <v>1.9841393131383935E-3</v>
      </c>
      <c r="Z33" s="66">
        <v>0.54814118974569981</v>
      </c>
    </row>
    <row r="34" spans="1:26">
      <c r="A34" s="53"/>
      <c r="B34" s="68" t="s">
        <v>22</v>
      </c>
      <c r="C34" s="69">
        <v>1.0315998589813802E-3</v>
      </c>
      <c r="D34" s="110">
        <v>1</v>
      </c>
      <c r="E34" s="71">
        <v>7.5812369775329902E-3</v>
      </c>
      <c r="F34" s="111">
        <v>1</v>
      </c>
      <c r="G34" s="69">
        <v>-1.074154392970228E-2</v>
      </c>
      <c r="H34" s="110">
        <v>1</v>
      </c>
      <c r="I34" s="71">
        <v>9.2175820599937897E-3</v>
      </c>
      <c r="J34" s="111">
        <v>1</v>
      </c>
      <c r="K34" s="69">
        <v>-3.5036720740716509E-3</v>
      </c>
      <c r="L34" s="110">
        <v>1</v>
      </c>
      <c r="M34" s="71">
        <v>2.6786087332400177E-2</v>
      </c>
      <c r="N34" s="111">
        <v>1</v>
      </c>
      <c r="O34" s="69">
        <v>2.3296926403011398E-3</v>
      </c>
      <c r="P34" s="110">
        <v>1</v>
      </c>
      <c r="Q34" s="71">
        <v>5.9976813434856613E-3</v>
      </c>
      <c r="R34" s="111">
        <v>1</v>
      </c>
      <c r="S34" s="69">
        <v>1.200803171186271E-2</v>
      </c>
      <c r="T34" s="110">
        <v>1</v>
      </c>
      <c r="U34" s="71">
        <v>1.0490113010048319E-2</v>
      </c>
      <c r="V34" s="111">
        <v>1</v>
      </c>
      <c r="W34" s="69">
        <v>3.6420683187186054E-3</v>
      </c>
      <c r="X34" s="110">
        <v>1</v>
      </c>
      <c r="Y34" s="71">
        <v>2.4062629825869486E-3</v>
      </c>
      <c r="Z34" s="73">
        <v>1</v>
      </c>
    </row>
    <row r="35" spans="1:26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60" customHeight="1">
      <c r="A36" s="53"/>
      <c r="B36" s="112" t="s">
        <v>28</v>
      </c>
      <c r="C36" s="56" t="s">
        <v>63</v>
      </c>
      <c r="D36" s="57" t="s">
        <v>64</v>
      </c>
      <c r="E36" s="58" t="s">
        <v>65</v>
      </c>
      <c r="F36" s="59" t="s">
        <v>66</v>
      </c>
      <c r="G36" s="56" t="s">
        <v>67</v>
      </c>
      <c r="H36" s="57" t="s">
        <v>68</v>
      </c>
      <c r="I36" s="104" t="s">
        <v>69</v>
      </c>
      <c r="J36" s="105" t="s">
        <v>70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>
      <c r="A37" s="49"/>
      <c r="B37" s="61" t="s">
        <v>3</v>
      </c>
      <c r="C37" s="62">
        <v>3.9301536578706386E-4</v>
      </c>
      <c r="D37" s="63">
        <v>2.8759332751678704E-2</v>
      </c>
      <c r="E37" s="100">
        <v>7.5828968430446952E-4</v>
      </c>
      <c r="F37" s="101">
        <v>2.5463174171225449E-2</v>
      </c>
      <c r="G37" s="62">
        <v>1.5670733087481681E-3</v>
      </c>
      <c r="H37" s="63">
        <v>3.5107953103591188E-2</v>
      </c>
      <c r="I37" s="100">
        <v>2.8710505243404461E-3</v>
      </c>
      <c r="J37" s="101">
        <v>3.8049636758111877E-2</v>
      </c>
      <c r="K37" s="55"/>
      <c r="L37" s="55"/>
      <c r="M37" s="55"/>
      <c r="N37" s="90"/>
      <c r="O37" s="90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4.25">
      <c r="A38" s="49"/>
      <c r="B38" s="67" t="s">
        <v>4</v>
      </c>
      <c r="C38" s="62">
        <v>-6.2567696552595642E-3</v>
      </c>
      <c r="D38" s="63">
        <v>0.52596571076196341</v>
      </c>
      <c r="E38" s="100">
        <v>9.9003561295285536E-3</v>
      </c>
      <c r="F38" s="101">
        <v>0.52424480940108475</v>
      </c>
      <c r="G38" s="62">
        <v>1.8909806081994773E-2</v>
      </c>
      <c r="H38" s="63">
        <v>0.52499110189360709</v>
      </c>
      <c r="I38" s="100">
        <v>2.3958682557014166E-2</v>
      </c>
      <c r="J38" s="101">
        <v>0.52224955295427578</v>
      </c>
      <c r="K38" s="55"/>
      <c r="L38" s="90"/>
      <c r="M38" s="90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4.25">
      <c r="A39" s="49"/>
      <c r="B39" s="67" t="s">
        <v>5</v>
      </c>
      <c r="C39" s="62">
        <v>0</v>
      </c>
      <c r="D39" s="63">
        <v>0</v>
      </c>
      <c r="E39" s="100">
        <v>0</v>
      </c>
      <c r="F39" s="101">
        <v>0</v>
      </c>
      <c r="G39" s="62">
        <v>0</v>
      </c>
      <c r="H39" s="63">
        <v>0</v>
      </c>
      <c r="I39" s="100">
        <v>0</v>
      </c>
      <c r="J39" s="101">
        <v>0</v>
      </c>
      <c r="K39" s="55"/>
      <c r="L39" s="55"/>
      <c r="M39" s="55"/>
      <c r="N39" s="90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4.25">
      <c r="A40" s="49"/>
      <c r="B40" s="67" t="s">
        <v>6</v>
      </c>
      <c r="C40" s="62">
        <v>0</v>
      </c>
      <c r="D40" s="63">
        <v>0</v>
      </c>
      <c r="E40" s="100">
        <v>0</v>
      </c>
      <c r="F40" s="101">
        <v>0</v>
      </c>
      <c r="G40" s="62">
        <v>0</v>
      </c>
      <c r="H40" s="63">
        <v>0</v>
      </c>
      <c r="I40" s="100">
        <v>0</v>
      </c>
      <c r="J40" s="101">
        <v>0</v>
      </c>
      <c r="K40" s="55"/>
      <c r="L40" s="90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4.25">
      <c r="A41" s="49"/>
      <c r="B41" s="67" t="s">
        <v>7</v>
      </c>
      <c r="C41" s="62">
        <v>5.2205746599409686E-4</v>
      </c>
      <c r="D41" s="63">
        <v>0.10383360870342545</v>
      </c>
      <c r="E41" s="100">
        <v>3.9284264717438511E-3</v>
      </c>
      <c r="F41" s="101">
        <v>0.10048163531201333</v>
      </c>
      <c r="G41" s="62">
        <v>6.2332710823473914E-3</v>
      </c>
      <c r="H41" s="63">
        <v>0.10242643659934565</v>
      </c>
      <c r="I41" s="100">
        <v>7.8449702313123648E-3</v>
      </c>
      <c r="J41" s="101">
        <v>0.10589906864918071</v>
      </c>
      <c r="K41" s="55"/>
      <c r="L41" s="90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25">
      <c r="A42" s="49"/>
      <c r="B42" s="67" t="s">
        <v>8</v>
      </c>
      <c r="C42" s="62">
        <v>5.4642849242503289E-5</v>
      </c>
      <c r="D42" s="63">
        <v>2.5075711305964324E-2</v>
      </c>
      <c r="E42" s="100">
        <v>9.1137860020484851E-4</v>
      </c>
      <c r="F42" s="101">
        <v>2.4655908534822132E-2</v>
      </c>
      <c r="G42" s="62">
        <v>1.3397256918490363E-3</v>
      </c>
      <c r="H42" s="63">
        <v>2.4286245922673248E-2</v>
      </c>
      <c r="I42" s="100">
        <v>1.6823475275387079E-3</v>
      </c>
      <c r="J42" s="101">
        <v>1.7750236601469672E-2</v>
      </c>
      <c r="K42" s="55"/>
      <c r="L42" s="90"/>
      <c r="M42" s="55"/>
      <c r="N42" s="55"/>
      <c r="O42" s="90"/>
      <c r="P42" s="55"/>
      <c r="Q42" s="55"/>
      <c r="R42" s="55"/>
      <c r="S42" s="90"/>
      <c r="T42" s="55"/>
      <c r="U42" s="55"/>
      <c r="V42" s="55"/>
      <c r="W42" s="55"/>
      <c r="X42" s="55"/>
      <c r="Y42" s="55"/>
      <c r="Z42" s="55"/>
    </row>
    <row r="43" spans="1:26" ht="14.25">
      <c r="A43" s="49"/>
      <c r="B43" s="67" t="s">
        <v>9</v>
      </c>
      <c r="C43" s="62">
        <v>-4.2833007022458069E-5</v>
      </c>
      <c r="D43" s="63">
        <v>4.6936058376337977E-2</v>
      </c>
      <c r="E43" s="100">
        <v>8.7546447684463402E-3</v>
      </c>
      <c r="F43" s="101">
        <v>5.3751852346985159E-2</v>
      </c>
      <c r="G43" s="62">
        <v>1.1939557563166447E-2</v>
      </c>
      <c r="H43" s="63">
        <v>5.6147743737416614E-2</v>
      </c>
      <c r="I43" s="100">
        <v>1.8042669528654409E-2</v>
      </c>
      <c r="J43" s="101">
        <v>6.1400091948021769E-2</v>
      </c>
      <c r="K43" s="55"/>
      <c r="L43" s="91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25">
      <c r="A44" s="49"/>
      <c r="B44" s="67" t="s">
        <v>10</v>
      </c>
      <c r="C44" s="62">
        <v>-1.2934261443886541E-5</v>
      </c>
      <c r="D44" s="63">
        <v>4.3924512289722814E-2</v>
      </c>
      <c r="E44" s="100">
        <v>1.2922742787748742E-3</v>
      </c>
      <c r="F44" s="101">
        <v>4.6149681467442437E-2</v>
      </c>
      <c r="G44" s="62">
        <v>4.0453897322298982E-3</v>
      </c>
      <c r="H44" s="63">
        <v>4.8054682211383232E-2</v>
      </c>
      <c r="I44" s="100">
        <v>4.340886431999369E-3</v>
      </c>
      <c r="J44" s="101">
        <v>4.7771697414354851E-2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4.25">
      <c r="A45" s="49"/>
      <c r="B45" s="67" t="s">
        <v>11</v>
      </c>
      <c r="C45" s="62">
        <v>1.712839104095476E-4</v>
      </c>
      <c r="D45" s="63">
        <v>3.4398861252020185E-3</v>
      </c>
      <c r="E45" s="100">
        <v>-4.7752319999050385E-4</v>
      </c>
      <c r="F45" s="101">
        <v>1.4160780535467567E-2</v>
      </c>
      <c r="G45" s="62">
        <v>-2.9587694280386323E-4</v>
      </c>
      <c r="H45" s="63">
        <v>7.2878683937063482E-3</v>
      </c>
      <c r="I45" s="100">
        <v>-2.240910424504694E-4</v>
      </c>
      <c r="J45" s="101">
        <v>7.3267591731800983E-3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4.25">
      <c r="A46" s="49"/>
      <c r="B46" s="67" t="s">
        <v>12</v>
      </c>
      <c r="C46" s="62">
        <v>3.6327117884467075E-3</v>
      </c>
      <c r="D46" s="63">
        <v>0.10202436331058071</v>
      </c>
      <c r="E46" s="100">
        <v>-2.1930056263410602E-3</v>
      </c>
      <c r="F46" s="101">
        <v>9.4271936553564223E-2</v>
      </c>
      <c r="G46" s="62">
        <v>-2.5579552654647619E-3</v>
      </c>
      <c r="H46" s="63">
        <v>9.2749255317841658E-2</v>
      </c>
      <c r="I46" s="100">
        <v>-2.3870287910860988E-3</v>
      </c>
      <c r="J46" s="101">
        <v>9.2165027587075468E-2</v>
      </c>
      <c r="K46" s="55"/>
      <c r="L46" s="55"/>
      <c r="M46" s="55"/>
      <c r="N46" s="55"/>
      <c r="O46" s="90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4.25">
      <c r="A47" s="49"/>
      <c r="B47" s="67" t="s">
        <v>13</v>
      </c>
      <c r="C47" s="62">
        <v>-1.6579946086081598E-4</v>
      </c>
      <c r="D47" s="63">
        <v>3.3386724807167139E-4</v>
      </c>
      <c r="E47" s="100">
        <v>2.1465813318011229E-4</v>
      </c>
      <c r="F47" s="101">
        <v>7.0238451402224763E-4</v>
      </c>
      <c r="G47" s="62">
        <v>8.562130761680109E-5</v>
      </c>
      <c r="H47" s="63">
        <v>5.8492356200872298E-4</v>
      </c>
      <c r="I47" s="100">
        <v>3.9729483050088277E-6</v>
      </c>
      <c r="J47" s="101">
        <v>4.9760062084509794E-4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4.25">
      <c r="A48" s="49"/>
      <c r="B48" s="67" t="s">
        <v>14</v>
      </c>
      <c r="C48" s="62">
        <v>-1.6602427831974298E-3</v>
      </c>
      <c r="D48" s="63">
        <v>-1.7980099403561609E-4</v>
      </c>
      <c r="E48" s="100">
        <v>3.6893860062061634E-3</v>
      </c>
      <c r="F48" s="101">
        <v>4.9411141702449665E-3</v>
      </c>
      <c r="G48" s="62">
        <v>5.6241803978775984E-3</v>
      </c>
      <c r="H48" s="63">
        <v>3.382259751849442E-3</v>
      </c>
      <c r="I48" s="100">
        <v>7.3154372266674983E-3</v>
      </c>
      <c r="J48" s="101">
        <v>1.9216590216272729E-3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16" ht="14.25">
      <c r="A49" s="49"/>
      <c r="B49" s="67" t="s">
        <v>15</v>
      </c>
      <c r="C49" s="62">
        <v>3.8115422856543901E-4</v>
      </c>
      <c r="D49" s="63">
        <v>1.2418649917002097E-4</v>
      </c>
      <c r="E49" s="100">
        <v>3.0331715659270841E-4</v>
      </c>
      <c r="F49" s="101">
        <v>1.5369194310706636E-6</v>
      </c>
      <c r="G49" s="62">
        <v>1.3608636891571102E-4</v>
      </c>
      <c r="H49" s="63">
        <v>4.8603031258224716E-5</v>
      </c>
      <c r="I49" s="100">
        <v>3.9622434755637315E-5</v>
      </c>
      <c r="J49" s="101">
        <v>6.2483604334817437E-5</v>
      </c>
      <c r="K49" s="55"/>
      <c r="L49" s="55"/>
      <c r="M49" s="55"/>
      <c r="N49" s="55"/>
      <c r="O49" s="55"/>
      <c r="P49" s="55"/>
    </row>
    <row r="50" spans="1:16" ht="14.25">
      <c r="A50" s="49"/>
      <c r="B50" s="67" t="s">
        <v>16</v>
      </c>
      <c r="C50" s="62">
        <v>6.9086162701070819E-5</v>
      </c>
      <c r="D50" s="63">
        <v>1.4370079023015937E-2</v>
      </c>
      <c r="E50" s="100">
        <v>3.3168147685680438E-4</v>
      </c>
      <c r="F50" s="101">
        <v>1.4097279849052126E-2</v>
      </c>
      <c r="G50" s="62">
        <v>5.9089086016328451E-4</v>
      </c>
      <c r="H50" s="63">
        <v>1.3953684386873912E-2</v>
      </c>
      <c r="I50" s="100">
        <v>7.2752955973420796E-4</v>
      </c>
      <c r="J50" s="101">
        <v>1.2844445866943097E-2</v>
      </c>
      <c r="K50" s="55"/>
      <c r="L50" s="55"/>
      <c r="M50" s="55"/>
      <c r="N50" s="55"/>
      <c r="O50" s="55"/>
      <c r="P50" s="55"/>
    </row>
    <row r="51" spans="1:16" ht="14.25">
      <c r="A51" s="49"/>
      <c r="B51" s="67" t="s">
        <v>17</v>
      </c>
      <c r="C51" s="62">
        <v>4.4423724252484753E-4</v>
      </c>
      <c r="D51" s="63">
        <v>7.73624831008662E-2</v>
      </c>
      <c r="E51" s="100">
        <v>2.4754053549000954E-3</v>
      </c>
      <c r="F51" s="101">
        <v>7.3902182850413181E-2</v>
      </c>
      <c r="G51" s="62">
        <v>3.2666389861788492E-3</v>
      </c>
      <c r="H51" s="63">
        <v>7.5894633545418519E-2</v>
      </c>
      <c r="I51" s="100">
        <v>4.0305919930396783E-3</v>
      </c>
      <c r="J51" s="101">
        <v>7.5773352236878228E-2</v>
      </c>
      <c r="K51" s="55"/>
      <c r="L51" s="55"/>
      <c r="M51" s="55"/>
      <c r="N51" s="55"/>
      <c r="O51" s="55"/>
      <c r="P51" s="55"/>
    </row>
    <row r="52" spans="1:16" ht="14.25">
      <c r="A52" s="49"/>
      <c r="B52" s="67" t="s">
        <v>18</v>
      </c>
      <c r="C52" s="62">
        <v>6.7441548339930435E-5</v>
      </c>
      <c r="D52" s="63">
        <v>9.9644678762252498E-3</v>
      </c>
      <c r="E52" s="100">
        <v>2.3531493033468465E-4</v>
      </c>
      <c r="F52" s="101">
        <v>2.3297768839526654E-3</v>
      </c>
      <c r="G52" s="62">
        <v>2.9130309234659535E-4</v>
      </c>
      <c r="H52" s="63">
        <v>2.3430351622018794E-3</v>
      </c>
      <c r="I52" s="100">
        <v>3.0564415359024544E-4</v>
      </c>
      <c r="J52" s="101">
        <v>3.826013734909685E-4</v>
      </c>
      <c r="K52" s="55"/>
      <c r="L52" s="55"/>
      <c r="M52" s="55"/>
      <c r="N52" s="55"/>
      <c r="O52" s="55"/>
      <c r="P52" s="55"/>
    </row>
    <row r="53" spans="1:16" ht="14.25">
      <c r="A53" s="49"/>
      <c r="B53" s="67" t="s">
        <v>19</v>
      </c>
      <c r="C53" s="62">
        <v>0</v>
      </c>
      <c r="D53" s="63">
        <v>0</v>
      </c>
      <c r="E53" s="100">
        <v>0</v>
      </c>
      <c r="F53" s="101">
        <v>0</v>
      </c>
      <c r="G53" s="62">
        <v>0</v>
      </c>
      <c r="H53" s="63">
        <v>0</v>
      </c>
      <c r="I53" s="100">
        <v>0</v>
      </c>
      <c r="J53" s="101">
        <v>0</v>
      </c>
      <c r="K53" s="55"/>
      <c r="L53" s="55"/>
      <c r="M53" s="55"/>
      <c r="N53" s="55"/>
      <c r="O53" s="55"/>
      <c r="P53" s="55"/>
    </row>
    <row r="54" spans="1:16" ht="14.25">
      <c r="A54" s="49"/>
      <c r="B54" s="67" t="s">
        <v>20</v>
      </c>
      <c r="C54" s="62">
        <v>1.9326826729160196E-4</v>
      </c>
      <c r="D54" s="63">
        <v>4.3712921238309426E-3</v>
      </c>
      <c r="E54" s="100">
        <v>2.0652467378612371E-4</v>
      </c>
      <c r="F54" s="101">
        <v>4.4789329341295026E-3</v>
      </c>
      <c r="G54" s="62">
        <v>2.2885385166371286E-4</v>
      </c>
      <c r="H54" s="63">
        <v>4.5359597487927604E-3</v>
      </c>
      <c r="I54" s="100">
        <v>3.567944654834232E-4</v>
      </c>
      <c r="J54" s="101">
        <v>4.6558441820860478E-3</v>
      </c>
      <c r="K54" s="55"/>
      <c r="L54" s="55"/>
      <c r="M54" s="55"/>
      <c r="N54" s="55"/>
      <c r="O54" s="55"/>
      <c r="P54" s="55"/>
    </row>
    <row r="55" spans="1:16" ht="14.25">
      <c r="A55" s="49"/>
      <c r="B55" s="67" t="s">
        <v>21</v>
      </c>
      <c r="C55" s="62">
        <v>-3.8051244473091828E-6</v>
      </c>
      <c r="D55" s="63">
        <v>1.3694241497980373E-2</v>
      </c>
      <c r="E55" s="100">
        <v>-7.8187588148370679E-7</v>
      </c>
      <c r="F55" s="101">
        <v>1.6367013556149054E-2</v>
      </c>
      <c r="G55" s="62">
        <v>-4.4358561672730445E-6</v>
      </c>
      <c r="H55" s="63">
        <v>8.2056136320316237E-3</v>
      </c>
      <c r="I55" s="100">
        <v>-4.440719548026717E-5</v>
      </c>
      <c r="J55" s="101">
        <v>1.1249942008124418E-2</v>
      </c>
      <c r="K55" s="55"/>
      <c r="L55" s="55"/>
      <c r="M55" s="55"/>
      <c r="N55" s="55"/>
      <c r="O55" s="55"/>
      <c r="P55" s="55"/>
    </row>
    <row r="56" spans="1:16" ht="14.25">
      <c r="A56" s="53"/>
      <c r="B56" s="68" t="s">
        <v>29</v>
      </c>
      <c r="C56" s="69">
        <v>-2.2134854629286549E-3</v>
      </c>
      <c r="D56" s="70">
        <v>1</v>
      </c>
      <c r="E56" s="109">
        <v>3.0330346962646582E-2</v>
      </c>
      <c r="F56" s="106">
        <v>1</v>
      </c>
      <c r="G56" s="70">
        <v>5.1400130260662369E-2</v>
      </c>
      <c r="H56" s="70">
        <v>1</v>
      </c>
      <c r="I56" s="109">
        <v>6.8864672553418327E-2</v>
      </c>
      <c r="J56" s="106">
        <v>1</v>
      </c>
      <c r="K56" s="55"/>
      <c r="L56" s="55"/>
      <c r="M56" s="55"/>
      <c r="N56" s="55"/>
      <c r="O56" s="55"/>
      <c r="P56" s="55"/>
    </row>
    <row r="57" spans="1:16" ht="14.25">
      <c r="A57" s="53"/>
      <c r="B57" s="74" t="s">
        <v>23</v>
      </c>
      <c r="C57" s="75">
        <v>-27895.353158085927</v>
      </c>
      <c r="D57" s="76"/>
      <c r="E57" s="107">
        <v>384381.23602963891</v>
      </c>
      <c r="F57" s="108"/>
      <c r="G57" s="75">
        <v>649660.10637214128</v>
      </c>
      <c r="H57" s="76"/>
      <c r="I57" s="107">
        <v>868908.23852833896</v>
      </c>
      <c r="J57" s="108"/>
      <c r="K57" s="55"/>
      <c r="L57" s="55"/>
      <c r="M57" s="55"/>
      <c r="N57" s="55"/>
      <c r="O57" s="55"/>
      <c r="P57" s="55"/>
    </row>
    <row r="58" spans="1:16" ht="14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55"/>
      <c r="L58" s="55"/>
      <c r="M58" s="55"/>
      <c r="N58" s="55"/>
      <c r="O58" s="55"/>
      <c r="P58" s="55"/>
    </row>
    <row r="59" spans="1:16" ht="14.25">
      <c r="A59" s="49"/>
      <c r="B59" s="61" t="s">
        <v>24</v>
      </c>
      <c r="C59" s="92">
        <v>-3.8151760857171313E-3</v>
      </c>
      <c r="D59" s="93">
        <v>0.85857324018755288</v>
      </c>
      <c r="E59" s="98">
        <v>3.3396859298124415E-2</v>
      </c>
      <c r="F59" s="99">
        <v>0.85478832679046446</v>
      </c>
      <c r="G59" s="92">
        <v>5.0497901728354444E-2</v>
      </c>
      <c r="H59" s="93">
        <v>0.85893071070194082</v>
      </c>
      <c r="I59" s="98">
        <v>6.7178974777740486E-2</v>
      </c>
      <c r="J59" s="99">
        <v>0.86077347697534856</v>
      </c>
      <c r="K59" s="55"/>
      <c r="L59" s="55"/>
      <c r="M59" s="55"/>
      <c r="N59" s="55"/>
      <c r="O59" s="55"/>
      <c r="P59" s="55"/>
    </row>
    <row r="60" spans="1:16" ht="14.25">
      <c r="A60" s="49"/>
      <c r="B60" s="67" t="s">
        <v>25</v>
      </c>
      <c r="C60" s="94">
        <v>1.6016906227884764E-3</v>
      </c>
      <c r="D60" s="95">
        <v>0.14142675981244707</v>
      </c>
      <c r="E60" s="100">
        <v>-3.0722165804450974E-3</v>
      </c>
      <c r="F60" s="101">
        <v>0.1452116732095356</v>
      </c>
      <c r="G60" s="94">
        <v>9.0222853230792488E-4</v>
      </c>
      <c r="H60" s="95">
        <v>0.14106928929805923</v>
      </c>
      <c r="I60" s="100">
        <v>1.6856977756778413E-3</v>
      </c>
      <c r="J60" s="101">
        <v>0.13922652302465141</v>
      </c>
      <c r="K60" s="55"/>
      <c r="L60" s="55"/>
      <c r="M60" s="55"/>
      <c r="N60" s="55"/>
      <c r="O60" s="55"/>
      <c r="P60" s="55"/>
    </row>
    <row r="61" spans="1:16" ht="14.25">
      <c r="A61" s="53"/>
      <c r="B61" s="74" t="s">
        <v>29</v>
      </c>
      <c r="C61" s="96">
        <v>-2.2134854629286549E-3</v>
      </c>
      <c r="D61" s="97">
        <v>1</v>
      </c>
      <c r="E61" s="102">
        <v>3.0330346962646582E-2</v>
      </c>
      <c r="F61" s="103">
        <v>1</v>
      </c>
      <c r="G61" s="96">
        <v>5.1400130260662369E-2</v>
      </c>
      <c r="H61" s="97">
        <v>1</v>
      </c>
      <c r="I61" s="102">
        <v>6.8864672553418327E-2</v>
      </c>
      <c r="J61" s="103">
        <v>1</v>
      </c>
      <c r="K61" s="55"/>
      <c r="L61" s="55"/>
      <c r="M61" s="55"/>
      <c r="N61" s="55"/>
      <c r="O61" s="55"/>
      <c r="P61" s="55"/>
    </row>
    <row r="62" spans="1:16" ht="14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55"/>
      <c r="L62" s="55"/>
      <c r="M62" s="55"/>
      <c r="N62" s="55"/>
      <c r="O62" s="55"/>
      <c r="P62" s="55"/>
    </row>
    <row r="63" spans="1:16" ht="14.25">
      <c r="A63" s="49"/>
      <c r="B63" s="61" t="s">
        <v>26</v>
      </c>
      <c r="C63" s="92">
        <v>-5.1734632307259831E-3</v>
      </c>
      <c r="D63" s="93">
        <v>0.41270377654165535</v>
      </c>
      <c r="E63" s="98">
        <v>1.7928024699503498E-2</v>
      </c>
      <c r="F63" s="99">
        <v>0.43230486165764737</v>
      </c>
      <c r="G63" s="92">
        <v>3.0027624843643519E-2</v>
      </c>
      <c r="H63" s="93">
        <v>0.43506186979530109</v>
      </c>
      <c r="I63" s="98">
        <v>4.2392663780814521E-2</v>
      </c>
      <c r="J63" s="99">
        <v>0.45185881025430019</v>
      </c>
      <c r="K63" s="55"/>
      <c r="L63" s="55"/>
      <c r="M63" s="55"/>
      <c r="N63" s="55"/>
      <c r="O63" s="55"/>
      <c r="P63" s="55"/>
    </row>
    <row r="64" spans="1:16" ht="14.25">
      <c r="A64" s="49"/>
      <c r="B64" s="67" t="s">
        <v>27</v>
      </c>
      <c r="C64" s="94">
        <v>2.9599777677973282E-3</v>
      </c>
      <c r="D64" s="95">
        <v>0.58729622345834465</v>
      </c>
      <c r="E64" s="100">
        <v>1.2363556992562641E-2</v>
      </c>
      <c r="F64" s="101">
        <v>0.56769513834235252</v>
      </c>
      <c r="G64" s="94">
        <v>2.137250541701885E-2</v>
      </c>
      <c r="H64" s="95">
        <v>0.56493813020469885</v>
      </c>
      <c r="I64" s="100">
        <v>2.6472008772603806E-2</v>
      </c>
      <c r="J64" s="101">
        <v>0.54814118974569981</v>
      </c>
      <c r="K64" s="55"/>
      <c r="L64" s="55"/>
      <c r="M64" s="55"/>
      <c r="N64" s="55"/>
      <c r="O64" s="55"/>
      <c r="P64" s="55"/>
    </row>
    <row r="65" spans="1:10">
      <c r="A65" s="53"/>
      <c r="B65" s="74" t="s">
        <v>29</v>
      </c>
      <c r="C65" s="96">
        <v>-2.2134854629286549E-3</v>
      </c>
      <c r="D65" s="97">
        <v>1</v>
      </c>
      <c r="E65" s="102">
        <v>3.0330346962646582E-2</v>
      </c>
      <c r="F65" s="103">
        <v>1</v>
      </c>
      <c r="G65" s="96">
        <v>5.1400130260662369E-2</v>
      </c>
      <c r="H65" s="97">
        <v>1</v>
      </c>
      <c r="I65" s="102">
        <v>6.8864672553418327E-2</v>
      </c>
      <c r="J65" s="103">
        <v>1</v>
      </c>
    </row>
    <row r="66" spans="1:10">
      <c r="A66" s="49"/>
      <c r="B66" s="49"/>
      <c r="C66" s="49"/>
      <c r="D66" s="49"/>
      <c r="E66" s="49"/>
      <c r="F66" s="49"/>
      <c r="G66" s="49"/>
      <c r="H66" s="49"/>
      <c r="I66" s="49"/>
      <c r="J66" s="49"/>
    </row>
    <row r="68" spans="1:10">
      <c r="B68" s="54" t="s">
        <v>30</v>
      </c>
    </row>
  </sheetData>
  <pageMargins left="0.75" right="0.75" top="1" bottom="1" header="0.5" footer="0.5"/>
  <pageSetup paperSize="9" orientation="portrait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F8B1-435B-4957-AADA-626ADC5EF790}">
  <dimension ref="A1:I30"/>
  <sheetViews>
    <sheetView rightToLeft="1" workbookViewId="0">
      <selection activeCell="E2" sqref="D2:E30"/>
    </sheetView>
  </sheetViews>
  <sheetFormatPr defaultRowHeight="12.75"/>
  <cols>
    <col min="1" max="1" width="32.85546875" bestFit="1" customWidth="1"/>
  </cols>
  <sheetData>
    <row r="1" spans="1:9" ht="76.5">
      <c r="A1" s="2" t="s">
        <v>28</v>
      </c>
      <c r="B1" s="37" t="s">
        <v>31</v>
      </c>
      <c r="C1" s="38" t="s">
        <v>32</v>
      </c>
      <c r="D1" s="20" t="s">
        <v>33</v>
      </c>
      <c r="E1" s="20" t="s">
        <v>34</v>
      </c>
      <c r="F1" s="11" t="s">
        <v>35</v>
      </c>
      <c r="G1" s="13" t="s">
        <v>36</v>
      </c>
      <c r="H1" s="18" t="s">
        <v>37</v>
      </c>
      <c r="I1" s="19" t="s">
        <v>38</v>
      </c>
    </row>
    <row r="2" spans="1:9">
      <c r="A2" s="4" t="s">
        <v>3</v>
      </c>
      <c r="B2" s="32">
        <f>(1+'פרסום מרכיבי תשואה'!C6)*(1+'פרסום מרכיבי תשואה'!E6)*(1+'פרסום מרכיבי תשואה'!G6)-1</f>
        <v>4.220710090050428E-4</v>
      </c>
      <c r="C2" s="33">
        <f>'פרסום מרכיבי תשואה'!H6</f>
        <v>2.8759332751678704E-2</v>
      </c>
      <c r="D2" s="21">
        <f>(1+'פרסום מרכיבי תשואה'!I6)*(1+'פרסום מרכיבי תשואה'!K6)*(1+'פרסום מרכיבי תשואה'!M6)*(1+B2)-1</f>
        <v>5.8607529094256705E-4</v>
      </c>
      <c r="E2" s="21">
        <f>'פרסום מרכיבי תשואה'!N6</f>
        <v>2.5463174171225449E-2</v>
      </c>
      <c r="F2" s="8"/>
      <c r="G2" s="33">
        <f>'פרסום מרכיבי תשואה'!T6</f>
        <v>3.5107953103591188E-2</v>
      </c>
      <c r="H2" s="15"/>
      <c r="I2" s="21">
        <f>'פרסום מרכיבי תשואה'!Z6</f>
        <v>3.8049636758111877E-2</v>
      </c>
    </row>
    <row r="3" spans="1:9">
      <c r="A3" s="5" t="s">
        <v>4</v>
      </c>
      <c r="B3" s="32">
        <f>(1+'פרסום מרכיבי תשואה'!C7)*(1+'פרסום מרכיבי תשואה'!E7)*(1+'פרסום מרכיבי תשואה'!G7)-1</f>
        <v>-6.2567696552595642E-3</v>
      </c>
      <c r="C3" s="33">
        <f>'פרסום מרכיבי תשואה'!H7</f>
        <v>0.52596571076196341</v>
      </c>
      <c r="D3" s="21">
        <f>(1+'פרסום מרכיבי תשואה'!I7)*(1+'פרסום מרכיבי תשואה'!K7)*(1+'פרסום מרכיבי תשואה'!M7)*(1+B3)-1</f>
        <v>9.9003561295285536E-3</v>
      </c>
      <c r="E3" s="21">
        <f>'פרסום מרכיבי תשואה'!N7</f>
        <v>0.52424480940108475</v>
      </c>
      <c r="F3" s="8"/>
      <c r="G3" s="33">
        <f>'פרסום מרכיבי תשואה'!T7</f>
        <v>0.52499110189360709</v>
      </c>
      <c r="H3" s="15"/>
      <c r="I3" s="21">
        <f>'פרסום מרכיבי תשואה'!Z7</f>
        <v>0.52224955295427578</v>
      </c>
    </row>
    <row r="4" spans="1:9">
      <c r="A4" s="5" t="s">
        <v>5</v>
      </c>
      <c r="B4" s="32">
        <f>(1+'פרסום מרכיבי תשואה'!C8)*(1+'פרסום מרכיבי תשואה'!E8)*(1+'פרסום מרכיבי תשואה'!G8)-1</f>
        <v>0</v>
      </c>
      <c r="C4" s="33">
        <f>'פרסום מרכיבי תשואה'!H8</f>
        <v>0</v>
      </c>
      <c r="D4" s="21">
        <f>(1+'פרסום מרכיבי תשואה'!I8)*(1+'פרסום מרכיבי תשואה'!K8)*(1+'פרסום מרכיבי תשואה'!M8)*(1+B4)-1</f>
        <v>0</v>
      </c>
      <c r="E4" s="21">
        <f>'פרסום מרכיבי תשואה'!N8</f>
        <v>0</v>
      </c>
      <c r="F4" s="8"/>
      <c r="G4" s="33">
        <f>'פרסום מרכיבי תשואה'!T8</f>
        <v>0</v>
      </c>
      <c r="H4" s="15"/>
      <c r="I4" s="21">
        <f>'פרסום מרכיבי תשואה'!Z8</f>
        <v>0</v>
      </c>
    </row>
    <row r="5" spans="1:9">
      <c r="A5" s="5" t="s">
        <v>6</v>
      </c>
      <c r="B5" s="32">
        <f>(1+'פרסום מרכיבי תשואה'!C9)*(1+'פרסום מרכיבי תשואה'!E9)*(1+'פרסום מרכיבי תשואה'!G9)-1</f>
        <v>0</v>
      </c>
      <c r="C5" s="33">
        <f>'פרסום מרכיבי תשואה'!H9</f>
        <v>0</v>
      </c>
      <c r="D5" s="21">
        <f>(1+'פרסום מרכיבי תשואה'!I9)*(1+'פרסום מרכיבי תשואה'!K9)*(1+'פרסום מרכיבי תשואה'!M9)*(1+B5)-1</f>
        <v>0</v>
      </c>
      <c r="E5" s="21">
        <f>'פרסום מרכיבי תשואה'!N9</f>
        <v>0</v>
      </c>
      <c r="F5" s="8"/>
      <c r="G5" s="33">
        <f>'פרסום מרכיבי תשואה'!T9</f>
        <v>0</v>
      </c>
      <c r="H5" s="15"/>
      <c r="I5" s="21">
        <f>'פרסום מרכיבי תשואה'!Z9</f>
        <v>0</v>
      </c>
    </row>
    <row r="6" spans="1:9">
      <c r="A6" s="5" t="s">
        <v>7</v>
      </c>
      <c r="B6" s="32">
        <f>(1+'פרסום מרכיבי תשואה'!C10)*(1+'פרסום מרכיבי תשואה'!E10)*(1+'פרסום מרכיבי תשואה'!G10)-1</f>
        <v>5.2205746599409686E-4</v>
      </c>
      <c r="C6" s="33">
        <f>'פרסום מרכיבי תשואה'!H10</f>
        <v>0.10383360870342545</v>
      </c>
      <c r="D6" s="21">
        <f>(1+'פרסום מרכיבי תשואה'!I10)*(1+'פרסום מרכיבי תשואה'!K10)*(1+'פרסום מרכיבי תשואה'!M10)*(1+B6)-1</f>
        <v>3.9284264717440731E-3</v>
      </c>
      <c r="E6" s="21">
        <f>'פרסום מרכיבי תשואה'!N10</f>
        <v>0.10048163531201333</v>
      </c>
      <c r="F6" s="8"/>
      <c r="G6" s="33">
        <f>'פרסום מרכיבי תשואה'!T10</f>
        <v>0.10242643659934565</v>
      </c>
      <c r="H6" s="15"/>
      <c r="I6" s="21">
        <f>'פרסום מרכיבי תשואה'!Z10</f>
        <v>0.10589906864918071</v>
      </c>
    </row>
    <row r="7" spans="1:9">
      <c r="A7" s="5" t="s">
        <v>8</v>
      </c>
      <c r="B7" s="32">
        <f>(1+'פרסום מרכיבי תשואה'!C11)*(1+'פרסום מרכיבי תשואה'!E11)*(1+'פרסום מרכיבי תשואה'!G11)-1</f>
        <v>5.4642849242503289E-5</v>
      </c>
      <c r="C7" s="33">
        <f>'פרסום מרכיבי תשואה'!H11</f>
        <v>2.5075711305964324E-2</v>
      </c>
      <c r="D7" s="21">
        <f>(1+'פרסום מרכיבי תשואה'!I11)*(1+'פרסום מרכיבי תשואה'!K11)*(1+'פרסום מרכיבי תשואה'!M11)*(1+B7)-1</f>
        <v>9.1137860020507055E-4</v>
      </c>
      <c r="E7" s="21">
        <f>'פרסום מרכיבי תשואה'!N11</f>
        <v>2.4655908534822132E-2</v>
      </c>
      <c r="F7" s="8"/>
      <c r="G7" s="33">
        <f>'פרסום מרכיבי תשואה'!T11</f>
        <v>2.4286245922673248E-2</v>
      </c>
      <c r="H7" s="15"/>
      <c r="I7" s="21">
        <f>'פרסום מרכיבי תשואה'!Z11</f>
        <v>1.7750236601469672E-2</v>
      </c>
    </row>
    <row r="8" spans="1:9">
      <c r="A8" s="5" t="s">
        <v>9</v>
      </c>
      <c r="B8" s="32">
        <f>(1+'פרסום מרכיבי תשואה'!C12)*(1+'פרסום מרכיבי תשואה'!E12)*(1+'פרסום מרכיבי תשואה'!G12)-1</f>
        <v>-4.2833007022458069E-5</v>
      </c>
      <c r="C8" s="33">
        <f>'פרסום מרכיבי תשואה'!H12</f>
        <v>4.6936058376337977E-2</v>
      </c>
      <c r="D8" s="21">
        <f>(1+'פרסום מרכיבי תשואה'!I12)*(1+'פרסום מרכיבי תשואה'!K12)*(1+'פרסום מרכיבי תשואה'!M12)*(1+B8)-1</f>
        <v>8.7546447684463402E-3</v>
      </c>
      <c r="E8" s="21">
        <f>'פרסום מרכיבי תשואה'!N12</f>
        <v>5.3751852346985159E-2</v>
      </c>
      <c r="F8" s="8"/>
      <c r="G8" s="33">
        <f>'פרסום מרכיבי תשואה'!T12</f>
        <v>5.6147743737416614E-2</v>
      </c>
      <c r="H8" s="15"/>
      <c r="I8" s="21">
        <f>'פרסום מרכיבי תשואה'!Z12</f>
        <v>6.1400091948021769E-2</v>
      </c>
    </row>
    <row r="9" spans="1:9">
      <c r="A9" s="5" t="s">
        <v>10</v>
      </c>
      <c r="B9" s="32">
        <f>(1+'פרסום מרכיבי תשואה'!C13)*(1+'פרסום מרכיבי תשואה'!E13)*(1+'פרסום מרכיבי תשואה'!G13)-1</f>
        <v>-1.2934261443886541E-5</v>
      </c>
      <c r="C9" s="33">
        <f>'פרסום מרכיבי תשואה'!H13</f>
        <v>4.3924512289722814E-2</v>
      </c>
      <c r="D9" s="21">
        <f>(1+'פרסום מרכיבי תשואה'!I13)*(1+'פרסום מרכיבי תשואה'!K13)*(1+'פרסום מרכיבי תשואה'!M13)*(1+B9)-1</f>
        <v>1.2922742787748742E-3</v>
      </c>
      <c r="E9" s="21">
        <f>'פרסום מרכיבי תשואה'!N13</f>
        <v>4.6149681467442437E-2</v>
      </c>
      <c r="F9" s="8"/>
      <c r="G9" s="33">
        <f>'פרסום מרכיבי תשואה'!T13</f>
        <v>4.8054682211383232E-2</v>
      </c>
      <c r="H9" s="15"/>
      <c r="I9" s="21">
        <f>'פרסום מרכיבי תשואה'!Z13</f>
        <v>4.7771697414354851E-2</v>
      </c>
    </row>
    <row r="10" spans="1:9">
      <c r="A10" s="5" t="s">
        <v>11</v>
      </c>
      <c r="B10" s="32">
        <f>(1+'פרסום מרכיבי תשואה'!C14)*(1+'פרסום מרכיבי תשואה'!E14)*(1+'פרסום מרכיבי תשואה'!G14)-1</f>
        <v>1.712839104095476E-4</v>
      </c>
      <c r="C10" s="33">
        <f>'פרסום מרכיבי תשואה'!H14</f>
        <v>3.4398861252020185E-3</v>
      </c>
      <c r="D10" s="21">
        <f>(1+'פרסום מרכיבי תשואה'!I14)*(1+'פרסום מרכיבי תשואה'!K14)*(1+'פרסום מרכיבי תשואה'!M14)*(1+B10)-1</f>
        <v>-4.7752319999039283E-4</v>
      </c>
      <c r="E10" s="21">
        <f>'פרסום מרכיבי תשואה'!N14</f>
        <v>1.4160780535467567E-2</v>
      </c>
      <c r="F10" s="8"/>
      <c r="G10" s="33">
        <f>'פרסום מרכיבי תשואה'!T14</f>
        <v>7.2878683937063482E-3</v>
      </c>
      <c r="H10" s="15"/>
      <c r="I10" s="21">
        <f>'פרסום מרכיבי תשואה'!Z14</f>
        <v>7.3267591731800983E-3</v>
      </c>
    </row>
    <row r="11" spans="1:9">
      <c r="A11" s="5" t="s">
        <v>12</v>
      </c>
      <c r="B11" s="32">
        <f>(1+'פרסום מרכיבי תשואה'!C15)*(1+'פרסום מרכיבי תשואה'!E15)*(1+'פרסום מרכיבי תשואה'!G15)-1</f>
        <v>3.6327117884467075E-3</v>
      </c>
      <c r="C11" s="33">
        <f>'פרסום מרכיבי תשואה'!H15</f>
        <v>0.10202436331058071</v>
      </c>
      <c r="D11" s="21">
        <f>(1+'פרסום מרכיבי תשואה'!I15)*(1+'פרסום מרכיבי תשואה'!K15)*(1+'פרסום מרכיבי תשואה'!M15)*(1+B11)-1</f>
        <v>-2.1930056263411712E-3</v>
      </c>
      <c r="E11" s="21">
        <f>'פרסום מרכיבי תשואה'!N15</f>
        <v>9.4271936553564223E-2</v>
      </c>
      <c r="F11" s="8"/>
      <c r="G11" s="33">
        <f>'פרסום מרכיבי תשואה'!T15</f>
        <v>9.2749255317841658E-2</v>
      </c>
      <c r="H11" s="15"/>
      <c r="I11" s="21">
        <f>'פרסום מרכיבי תשואה'!Z15</f>
        <v>9.2165027587075468E-2</v>
      </c>
    </row>
    <row r="12" spans="1:9">
      <c r="A12" s="5" t="s">
        <v>13</v>
      </c>
      <c r="B12" s="32">
        <f>(1+'פרסום מרכיבי תשואה'!C16)*(1+'פרסום מרכיבי תשואה'!E16)*(1+'פרסום מרכיבי תשואה'!G16)-1</f>
        <v>-1.6579946086081598E-4</v>
      </c>
      <c r="C12" s="33">
        <f>'פרסום מרכיבי תשואה'!H16</f>
        <v>3.3386724807167139E-4</v>
      </c>
      <c r="D12" s="21">
        <f>(1+'פרסום מרכיבי תשואה'!I16)*(1+'פרסום מרכיבי תשואה'!K16)*(1+'פרסום מרכיבי תשואה'!M16)*(1+B12)-1</f>
        <v>2.1465813318033433E-4</v>
      </c>
      <c r="E12" s="21">
        <f>'פרסום מרכיבי תשואה'!N16</f>
        <v>7.0238451402224763E-4</v>
      </c>
      <c r="F12" s="8"/>
      <c r="G12" s="33">
        <f>'פרסום מרכיבי תשואה'!T16</f>
        <v>5.8492356200872298E-4</v>
      </c>
      <c r="H12" s="15"/>
      <c r="I12" s="21">
        <f>'פרסום מרכיבי תשואה'!Z16</f>
        <v>4.9760062084509794E-4</v>
      </c>
    </row>
    <row r="13" spans="1:9">
      <c r="A13" s="5" t="s">
        <v>14</v>
      </c>
      <c r="B13" s="32">
        <f>(1+'פרסום מרכיבי תשואה'!C17)*(1+'פרסום מרכיבי תשואה'!E17)*(1+'פרסום מרכיבי תשואה'!G17)-1</f>
        <v>-1.6602427831974298E-3</v>
      </c>
      <c r="C13" s="33">
        <f>'פרסום מרכיבי תשואה'!H17</f>
        <v>-1.7980099403561609E-4</v>
      </c>
      <c r="D13" s="21">
        <f>(1+'פרסום מרכיבי תשואה'!I17)*(1+'פרסום מרכיבי תשואה'!K17)*(1+'פרסום מרכיבי תשואה'!M17)*(1+B13)-1</f>
        <v>3.6893860062061634E-3</v>
      </c>
      <c r="E13" s="21">
        <f>'פרסום מרכיבי תשואה'!N17</f>
        <v>4.9411141702449665E-3</v>
      </c>
      <c r="F13" s="8"/>
      <c r="G13" s="33">
        <f>'פרסום מרכיבי תשואה'!T17</f>
        <v>3.382259751849442E-3</v>
      </c>
      <c r="H13" s="15"/>
      <c r="I13" s="21">
        <f>'פרסום מרכיבי תשואה'!Z17</f>
        <v>1.9216590216272729E-3</v>
      </c>
    </row>
    <row r="14" spans="1:9">
      <c r="A14" s="5" t="s">
        <v>15</v>
      </c>
      <c r="B14" s="32">
        <f>(1+'פרסום מרכיבי תשואה'!C18)*(1+'פרסום מרכיבי תשואה'!E18)*(1+'פרסום מרכיבי תשואה'!G18)-1</f>
        <v>3.8115422856543901E-4</v>
      </c>
      <c r="C14" s="33">
        <f>'פרסום מרכיבי תשואה'!H18</f>
        <v>1.2418649917002097E-4</v>
      </c>
      <c r="D14" s="21">
        <f>(1+'פרסום מרכיבי תשואה'!I18)*(1+'פרסום מרכיבי תשואה'!K18)*(1+'פרסום מרכיבי תשואה'!M18)*(1+B14)-1</f>
        <v>3.0331715659293046E-4</v>
      </c>
      <c r="E14" s="21">
        <f>'פרסום מרכיבי תשואה'!N18</f>
        <v>1.5369194310706636E-6</v>
      </c>
      <c r="F14" s="8"/>
      <c r="G14" s="33">
        <f>'פרסום מרכיבי תשואה'!T18</f>
        <v>4.8603031258224716E-5</v>
      </c>
      <c r="H14" s="15"/>
      <c r="I14" s="21">
        <f>'פרסום מרכיבי תשואה'!Z18</f>
        <v>6.2483604334817437E-5</v>
      </c>
    </row>
    <row r="15" spans="1:9">
      <c r="A15" s="5" t="s">
        <v>16</v>
      </c>
      <c r="B15" s="32">
        <f>(1+'פרסום מרכיבי תשואה'!C19)*(1+'פרסום מרכיבי תשואה'!E19)*(1+'פרסום מרכיבי תשואה'!G19)-1</f>
        <v>6.9086162701070819E-5</v>
      </c>
      <c r="C15" s="33">
        <f>'פרסום מרכיבי תשואה'!H19</f>
        <v>1.4370079023015937E-2</v>
      </c>
      <c r="D15" s="21">
        <f>(1+'פרסום מרכיבי תשואה'!I19)*(1+'פרסום מרכיבי תשואה'!K19)*(1+'פרסום מרכיבי תשואה'!M19)*(1+B15)-1</f>
        <v>3.3168147685680438E-4</v>
      </c>
      <c r="E15" s="21">
        <f>'פרסום מרכיבי תשואה'!N19</f>
        <v>1.4097279849052126E-2</v>
      </c>
      <c r="F15" s="8"/>
      <c r="G15" s="33">
        <f>'פרסום מרכיבי תשואה'!T19</f>
        <v>1.3953684386873912E-2</v>
      </c>
      <c r="H15" s="15"/>
      <c r="I15" s="21">
        <f>'פרסום מרכיבי תשואה'!Z19</f>
        <v>1.2844445866943097E-2</v>
      </c>
    </row>
    <row r="16" spans="1:9">
      <c r="A16" s="5" t="s">
        <v>17</v>
      </c>
      <c r="B16" s="32">
        <f>(1+'פרסום מרכיבי תשואה'!C20)*(1+'פרסום מרכיבי תשואה'!E20)*(1+'פרסום מרכיבי תשואה'!G20)-1</f>
        <v>4.4423724252484753E-4</v>
      </c>
      <c r="C16" s="33">
        <f>'פרסום מרכיבי תשואה'!H20</f>
        <v>7.73624831008662E-2</v>
      </c>
      <c r="D16" s="21">
        <f>(1+'פרסום מרכיבי תשואה'!I20)*(1+'פרסום מרכיבי תשואה'!K20)*(1+'פרסום מרכיבי תשואה'!M20)*(1+B16)-1</f>
        <v>2.4754053549000954E-3</v>
      </c>
      <c r="E16" s="21">
        <f>'פרסום מרכיבי תשואה'!N20</f>
        <v>7.3902182850413181E-2</v>
      </c>
      <c r="F16" s="8"/>
      <c r="G16" s="33">
        <f>'פרסום מרכיבי תשואה'!T20</f>
        <v>7.5894633545418519E-2</v>
      </c>
      <c r="H16" s="15"/>
      <c r="I16" s="21">
        <f>'פרסום מרכיבי תשואה'!Z20</f>
        <v>7.5773352236878228E-2</v>
      </c>
    </row>
    <row r="17" spans="1:9">
      <c r="A17" s="5" t="s">
        <v>18</v>
      </c>
      <c r="B17" s="32">
        <f>(1+'פרסום מרכיבי תשואה'!C21)*(1+'פרסום מרכיבי תשואה'!E21)*(1+'פרסום מרכיבי תשואה'!G21)-1</f>
        <v>6.7441548339930435E-5</v>
      </c>
      <c r="C17" s="33">
        <f>'פרסום מרכיבי תשואה'!H21</f>
        <v>9.9644678762252498E-3</v>
      </c>
      <c r="D17" s="21">
        <f>(1+'פרסום מרכיבי תשואה'!I21)*(1+'פרסום מרכיבי תשואה'!K21)*(1+'פרסום מרכיבי תשואה'!M21)*(1+B17)-1</f>
        <v>2.353149303344626E-4</v>
      </c>
      <c r="E17" s="21">
        <f>'פרסום מרכיבי תשואה'!N21</f>
        <v>2.3297768839526654E-3</v>
      </c>
      <c r="F17" s="8"/>
      <c r="G17" s="33">
        <f>'פרסום מרכיבי תשואה'!T21</f>
        <v>2.3430351622018794E-3</v>
      </c>
      <c r="H17" s="15"/>
      <c r="I17" s="21">
        <f>'פרסום מרכיבי תשואה'!Z21</f>
        <v>3.826013734909685E-4</v>
      </c>
    </row>
    <row r="18" spans="1:9">
      <c r="A18" s="5" t="s">
        <v>19</v>
      </c>
      <c r="B18" s="32">
        <f>(1+'פרסום מרכיבי תשואה'!C22)*(1+'פרסום מרכיבי תשואה'!E22)*(1+'פרסום מרכיבי תשואה'!G22)-1</f>
        <v>0</v>
      </c>
      <c r="C18" s="33">
        <f>'פרסום מרכיבי תשואה'!H22</f>
        <v>0</v>
      </c>
      <c r="D18" s="21">
        <f>(1+'פרסום מרכיבי תשואה'!I22)*(1+'פרסום מרכיבי תשואה'!K22)*(1+'פרסום מרכיבי תשואה'!M22)*(1+B18)-1</f>
        <v>0</v>
      </c>
      <c r="E18" s="21">
        <f>'פרסום מרכיבי תשואה'!N22</f>
        <v>0</v>
      </c>
      <c r="F18" s="8"/>
      <c r="G18" s="33">
        <f>'פרסום מרכיבי תשואה'!T22</f>
        <v>0</v>
      </c>
      <c r="H18" s="15"/>
      <c r="I18" s="21">
        <f>'פרסום מרכיבי תשואה'!Z22</f>
        <v>0</v>
      </c>
    </row>
    <row r="19" spans="1:9">
      <c r="A19" s="5" t="s">
        <v>20</v>
      </c>
      <c r="B19" s="32">
        <f>(1+'פרסום מרכיבי תשואה'!C23)*(1+'פרסום מרכיבי תשואה'!E23)*(1+'פרסום מרכיבי תשואה'!G23)-1</f>
        <v>1.9326826729160196E-4</v>
      </c>
      <c r="C19" s="33">
        <f>'פרסום מרכיבי תשואה'!H23</f>
        <v>4.3712921238309426E-3</v>
      </c>
      <c r="D19" s="21">
        <f>(1+'פרסום מרכיבי תשואה'!I23)*(1+'פרסום מרכיבי תשואה'!K23)*(1+'פרסום מרכיבי תשואה'!M23)*(1+B19)-1</f>
        <v>2.0652467378590167E-4</v>
      </c>
      <c r="E19" s="21">
        <f>'פרסום מרכיבי תשואה'!N23</f>
        <v>4.4789329341295026E-3</v>
      </c>
      <c r="F19" s="8"/>
      <c r="G19" s="33">
        <f>'פרסום מרכיבי תשואה'!T23</f>
        <v>4.5359597487927604E-3</v>
      </c>
      <c r="H19" s="15"/>
      <c r="I19" s="21">
        <f>'פרסום מרכיבי תשואה'!Z23</f>
        <v>4.6558441820860478E-3</v>
      </c>
    </row>
    <row r="20" spans="1:9">
      <c r="A20" s="5" t="s">
        <v>21</v>
      </c>
      <c r="B20" s="32">
        <f>(1+'פרסום מרכיבי תשואה'!C24)*(1+'פרסום מרכיבי תשואה'!E24)*(1+'פרסום מרכיבי תשואה'!G24)-1</f>
        <v>-3.8051244473091828E-6</v>
      </c>
      <c r="C20" s="33">
        <f>'פרסום מרכיבי תשואה'!H24</f>
        <v>1.3694241497980373E-2</v>
      </c>
      <c r="D20" s="21">
        <f>(1+'פרסום מרכיבי תשואה'!I24)*(1+'פרסום מרכיבי תשואה'!K24)*(1+'פרסום מרכיבי תשואה'!M24)*(1+B20)-1</f>
        <v>-7.8187588159472909E-7</v>
      </c>
      <c r="E20" s="21">
        <f>'פרסום מרכיבי תשואה'!N24</f>
        <v>1.6367013556149054E-2</v>
      </c>
      <c r="F20" s="8"/>
      <c r="G20" s="33">
        <f>'פרסום מרכיבי תשואה'!T24</f>
        <v>8.2056136320316237E-3</v>
      </c>
      <c r="H20" s="15"/>
      <c r="I20" s="21">
        <f>'פרסום מרכיבי תשואה'!Z24</f>
        <v>1.1249942008124418E-2</v>
      </c>
    </row>
    <row r="21" spans="1:9">
      <c r="A21" s="6" t="s">
        <v>29</v>
      </c>
      <c r="B21" s="39">
        <f>(1+'פרסום מרכיבי תשואה'!C25)*(1+'פרסום מרכיבי תשואה'!E25)*(1+'פרסום מרכיבי תשואה'!G25)-1</f>
        <v>-2.2134854629286549E-3</v>
      </c>
      <c r="C21" s="40">
        <v>1</v>
      </c>
      <c r="D21" s="21">
        <f>(1+'פרסום מרכיבי תשואה'!I25)*(1+'פרסום מרכיבי תשואה'!K25)*(1+'פרסום מרכיבי תשואה'!M25)*(1+B21)-1</f>
        <v>3.0334201042764963E-2</v>
      </c>
      <c r="E21" s="22">
        <v>1</v>
      </c>
      <c r="F21" s="9"/>
      <c r="G21" s="40">
        <v>1</v>
      </c>
      <c r="H21" s="16"/>
      <c r="I21" s="22">
        <v>1</v>
      </c>
    </row>
    <row r="22" spans="1:9">
      <c r="A22" s="7" t="s">
        <v>23</v>
      </c>
      <c r="B22" s="41">
        <v>61933.915344016801</v>
      </c>
      <c r="C22" s="42"/>
      <c r="D22" s="36"/>
      <c r="E22" s="23"/>
      <c r="F22" s="3"/>
      <c r="G22" s="42"/>
      <c r="H22" s="12"/>
      <c r="I22" s="23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4" t="s">
        <v>24</v>
      </c>
      <c r="B24" s="30">
        <f>(1+'פרסום מרכיבי תשואה'!C28)*(1+'פרסום מרכיבי תשואה'!E28)*(1+'פרסום מרכיבי תשואה'!G28)-1</f>
        <v>-3.8481186284111679E-3</v>
      </c>
      <c r="C24" s="31">
        <f>'פרסום מרכיבי תשואה'!H28</f>
        <v>0.85857324018755288</v>
      </c>
      <c r="D24" s="43">
        <f>(1+'פרסום מרכיבי תשואה'!I28)*(1+'פרסום מרכיבי תשואה'!K28)*(1+'פרסום מרכיבי תשואה'!M28)*(1+B24)-1</f>
        <v>3.3396859298124415E-2</v>
      </c>
      <c r="E24" s="44">
        <f>'פרסום מרכיבי תשואה'!N28</f>
        <v>0.85478832679046446</v>
      </c>
      <c r="F24" s="25"/>
      <c r="G24" s="31">
        <f>'פרסום מרכיבי תשואה'!T28</f>
        <v>0.85893071070194082</v>
      </c>
      <c r="H24" s="27"/>
      <c r="I24" s="28">
        <f>'פרסום מרכיבי תשואה'!Z28</f>
        <v>0.86077347697534856</v>
      </c>
    </row>
    <row r="25" spans="1:9">
      <c r="A25" s="5" t="s">
        <v>25</v>
      </c>
      <c r="B25" s="32">
        <f>(1+'פרסום מרכיבי תשואה'!C29)*(1+'פרסום מרכיבי תשואה'!E29)*(1+'פרסום מרכיבי תשואה'!G29)-1</f>
        <v>1.6016906227884764E-3</v>
      </c>
      <c r="C25" s="33">
        <f>'פרסום מרכיבי תשואה'!H29</f>
        <v>0.14142675981244707</v>
      </c>
      <c r="D25" s="45">
        <f>(1+'פרסום מרכיבי תשואה'!I29)*(1+'פרסום מרכיבי תשואה'!K29)*(1+'פרסום מרכיבי תשואה'!M29)*(1+B25)-1</f>
        <v>-3.0722165804449864E-3</v>
      </c>
      <c r="E25" s="46">
        <f>'פרסום מרכיבי תשואה'!N29</f>
        <v>0.1452116732095356</v>
      </c>
      <c r="F25" s="14"/>
      <c r="G25" s="33">
        <f>'פרסום מרכיבי תשואה'!T29</f>
        <v>0.14106928929805923</v>
      </c>
      <c r="H25" s="15"/>
      <c r="I25" s="21">
        <f>'פרסום מרכיבי תשואה'!Z29</f>
        <v>0.13922652302465141</v>
      </c>
    </row>
    <row r="26" spans="1:9">
      <c r="A26" s="7" t="s">
        <v>29</v>
      </c>
      <c r="B26" s="34">
        <v>5.0940297542729799E-3</v>
      </c>
      <c r="C26" s="35">
        <v>1</v>
      </c>
      <c r="D26" s="48">
        <f>(1+'פרסום מרכיבי תשואה'!I30)*(1+'פרסום מרכיבי תשואה'!K30)*(1+'פרסום מרכיבי תשואה'!M30)*(1+B26)-1</f>
        <v>3.7880086603682139E-2</v>
      </c>
      <c r="E26" s="47">
        <v>1</v>
      </c>
      <c r="F26" s="26"/>
      <c r="G26" s="35">
        <v>1</v>
      </c>
      <c r="H26" s="17"/>
      <c r="I26" s="29">
        <v>1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4" t="s">
        <v>26</v>
      </c>
      <c r="B28" s="30">
        <f>(1+'פרסום מרכיבי תשואה'!C32)*(1+'פרסום מרכיבי תשואה'!E32)*(1+'פרסום מרכיבי תשואה'!G32)-1</f>
        <v>-5.1366832892263403E-3</v>
      </c>
      <c r="C28" s="31">
        <f>'פרסום מרכיבי תשואה'!H32</f>
        <v>0.41270377654165535</v>
      </c>
      <c r="D28" s="43">
        <f>(1+'פרסום מרכיבי תשואה'!I32)*(1+'פרסום מרכיבי תשואה'!K32)*(1+'פרסום מרכיבי תשואה'!M32)*(1+B28)-1</f>
        <v>1.7928024699503275E-2</v>
      </c>
      <c r="E28" s="28">
        <f>'פרסום מרכיבי תשואה'!N32</f>
        <v>0.43230486165764737</v>
      </c>
      <c r="F28" s="24"/>
      <c r="G28" s="31">
        <f>'פרסום מרכיבי תשואה'!T32</f>
        <v>0.43506186979530109</v>
      </c>
      <c r="H28" s="27"/>
      <c r="I28" s="28">
        <f>'פרסום מרכיבי תשואה'!Z32</f>
        <v>0.45185881025430019</v>
      </c>
    </row>
    <row r="29" spans="1:9">
      <c r="A29" s="5" t="s">
        <v>27</v>
      </c>
      <c r="B29" s="32">
        <f>(1+'פרסום מרכיבי תשואה'!C33)*(1+'פרסום מרכיבי תשואה'!E33)*(1+'פרסום מרכיבי תשואה'!G33)-1</f>
        <v>2.9599777677973282E-3</v>
      </c>
      <c r="C29" s="33">
        <f>'פרסום מרכיבי תשואה'!H33</f>
        <v>0.58729622345834465</v>
      </c>
      <c r="D29" s="45">
        <f>(1+'פרסום מרכיבי תשואה'!I33)*(1+'פרסום מרכיבי תשואה'!K33)*(1+'פרסום מרכיבי תשואה'!M33)*(1+B29)-1</f>
        <v>1.2363556992562863E-2</v>
      </c>
      <c r="E29" s="21">
        <f>'פרסום מרכיבי תשואה'!N33</f>
        <v>0.56769513834235252</v>
      </c>
      <c r="F29" s="8"/>
      <c r="G29" s="33">
        <f>'פרסום מרכיבי תשואה'!T33</f>
        <v>0.56493813020469885</v>
      </c>
      <c r="H29" s="15"/>
      <c r="I29" s="21">
        <f>'פרסום מרכיבי תשואה'!Z33</f>
        <v>0.54814118974569981</v>
      </c>
    </row>
    <row r="30" spans="1:9">
      <c r="A30" s="7" t="s">
        <v>29</v>
      </c>
      <c r="B30" s="34">
        <v>5.0940297542729799E-3</v>
      </c>
      <c r="C30" s="35">
        <v>1</v>
      </c>
      <c r="D30" s="48">
        <f>(1+'פרסום מרכיבי תשואה'!I34)*(1+'פרסום מרכיבי תשואה'!K34)*(1+'פרסום מרכיבי תשואה'!M34)*(1+B30)-1</f>
        <v>3.7880086603682139E-2</v>
      </c>
      <c r="E30" s="29">
        <v>1</v>
      </c>
      <c r="F30" s="10"/>
      <c r="G30" s="35">
        <v>1</v>
      </c>
      <c r="H30" s="17"/>
      <c r="I30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פרסום מרכיבי תשואה</vt:lpstr>
      <vt:lpstr>מצטבר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Naomi Shamai</cp:lastModifiedBy>
  <dcterms:created xsi:type="dcterms:W3CDTF">2019-10-30T09:05:17Z</dcterms:created>
  <dcterms:modified xsi:type="dcterms:W3CDTF">2026-01-29T06:53:22Z</dcterms:modified>
</cp:coreProperties>
</file>