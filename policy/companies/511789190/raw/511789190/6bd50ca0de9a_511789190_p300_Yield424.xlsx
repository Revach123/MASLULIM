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כספים\2024\12\נתונים לאתר הקופה\דיווח רבעוני\מרכיבי תשואה\"/>
    </mc:Choice>
  </mc:AlternateContent>
  <xr:revisionPtr revIDLastSave="0" documentId="13_ncr:1_{7C6A8C2F-1707-42CA-9AEC-E017FD1853B0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פרסום מרכיבי תשואה" sheetId="1" r:id="rId1"/>
    <sheet name="מצטבר" sheetId="2" state="hidden" r:id="rId2"/>
  </sheets>
  <externalReferences>
    <externalReference r:id="rId3"/>
    <externalReference r:id="rId4"/>
  </externalReferences>
  <definedNames>
    <definedName name="Tsua">[1]תשואה!$A$6</definedName>
    <definedName name="tsua1">[2]תשואה!$A$6</definedName>
  </definedNames>
  <calcPr calcId="191029" concurrentCalc="0"/>
</workbook>
</file>

<file path=xl/calcChain.xml><?xml version="1.0" encoding="utf-8"?>
<calcChain xmlns="http://schemas.openxmlformats.org/spreadsheetml/2006/main">
  <c r="D30" i="2" l="1"/>
  <c r="D26" i="2"/>
  <c r="I29" i="2"/>
  <c r="I28" i="2"/>
  <c r="I25" i="2"/>
  <c r="I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G29" i="2"/>
  <c r="G28" i="2"/>
  <c r="G25" i="2"/>
  <c r="G2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E29" i="2"/>
  <c r="E28" i="2"/>
  <c r="E25" i="2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C29" i="2"/>
  <c r="C28" i="2"/>
  <c r="C25" i="2"/>
  <c r="C2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29" i="2"/>
  <c r="D29" i="2"/>
  <c r="B28" i="2"/>
  <c r="D28" i="2"/>
  <c r="B25" i="2"/>
  <c r="D25" i="2"/>
  <c r="B24" i="2"/>
  <c r="D24" i="2"/>
  <c r="B21" i="2"/>
  <c r="D21" i="2"/>
  <c r="B20" i="2"/>
  <c r="D20" i="2"/>
  <c r="B19" i="2"/>
  <c r="D19" i="2"/>
  <c r="B18" i="2"/>
  <c r="D18" i="2"/>
  <c r="B17" i="2"/>
  <c r="D17" i="2"/>
  <c r="B16" i="2"/>
  <c r="D16" i="2"/>
  <c r="B15" i="2"/>
  <c r="D15" i="2"/>
  <c r="B14" i="2"/>
  <c r="D14" i="2"/>
  <c r="B13" i="2"/>
  <c r="D13" i="2"/>
  <c r="B12" i="2"/>
  <c r="D12" i="2"/>
  <c r="B11" i="2"/>
  <c r="D11" i="2"/>
  <c r="B10" i="2"/>
  <c r="D10" i="2"/>
  <c r="B9" i="2"/>
  <c r="D9" i="2"/>
  <c r="B8" i="2"/>
  <c r="D8" i="2"/>
  <c r="B7" i="2"/>
  <c r="D7" i="2"/>
  <c r="B6" i="2"/>
  <c r="D6" i="2"/>
  <c r="B5" i="2"/>
  <c r="D5" i="2"/>
  <c r="B4" i="2"/>
  <c r="D4" i="2"/>
  <c r="B3" i="2"/>
  <c r="D3" i="2"/>
  <c r="B2" i="2"/>
  <c r="D2" i="2"/>
</calcChain>
</file>

<file path=xl/sharedStrings.xml><?xml version="1.0" encoding="utf-8"?>
<sst xmlns="http://schemas.openxmlformats.org/spreadsheetml/2006/main" count="128" uniqueCount="72">
  <si>
    <t>פירוט תרומת אפיקי ההשקעה לתשואה הכוללת</t>
  </si>
  <si>
    <t>עתודות</t>
  </si>
  <si>
    <t>קרן עתודות ותיקה</t>
  </si>
  <si>
    <t>אפיקי השקעה: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</si>
  <si>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</si>
  <si>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</si>
  <si>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</si>
  <si>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</si>
  <si>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</si>
  <si>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</si>
  <si>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</si>
  <si>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</si>
  <si>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</si>
  <si>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</si>
  <si>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</si>
  <si>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</si>
  <si>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</si>
  <si>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</si>
  <si>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</si>
  <si>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</si>
  <si>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</si>
  <si>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</si>
  <si>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</si>
  <si>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</si>
  <si>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</si>
  <si>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</si>
  <si>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</si>
  <si>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</si>
  <si>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</si>
  <si>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</si>
  <si>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תשואה מצטברת</t>
  </si>
  <si>
    <t>הופק בתוכנת פריים זהב, מהדורה 5.20, פריים מערכות, טלפון 03-7760600, www.primesys.co.il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</si>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</sst>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6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Border="1" applyAlignment="1">
      <alignment horizontal="right"/>
    </xf>
    <xf numFmtId="164" fontId="2" fillId="5" borderId="7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Border="1" applyAlignment="1">
      <alignment horizontal="right"/>
    </xf>
    <xf numFmtId="164" fontId="3" fillId="5" borderId="0" xfId="0" applyNumberFormat="1" applyFont="1" applyFill="1" applyBorder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2" fillId="4" borderId="9" xfId="0" applyNumberFormat="1" applyFont="1" applyFill="1" applyBorder="1" applyAlignment="1">
      <alignment horizontal="right"/>
    </xf>
    <xf numFmtId="164" fontId="2" fillId="4" borderId="10" xfId="0" applyNumberFormat="1" applyFont="1" applyFill="1" applyBorder="1" applyAlignment="1">
      <alignment horizontal="right"/>
    </xf>
    <xf numFmtId="164" fontId="2" fillId="4" borderId="11" xfId="0" applyNumberFormat="1" applyFont="1" applyFill="1" applyBorder="1" applyAlignment="1">
      <alignment horizontal="right"/>
    </xf>
    <xf numFmtId="164" fontId="2" fillId="4" borderId="12" xfId="0" applyNumberFormat="1" applyFont="1" applyFill="1" applyBorder="1" applyAlignment="1">
      <alignment horizontal="right"/>
    </xf>
    <xf numFmtId="164" fontId="3" fillId="4" borderId="13" xfId="0" applyNumberFormat="1" applyFont="1" applyFill="1" applyBorder="1" applyAlignment="1">
      <alignment horizontal="right"/>
    </xf>
    <xf numFmtId="164" fontId="3" fillId="4" borderId="14" xfId="0" applyNumberFormat="1" applyFont="1" applyFill="1" applyBorder="1" applyAlignment="1">
      <alignment horizontal="right"/>
    </xf>
    <xf numFmtId="4" fontId="3" fillId="5" borderId="5" xfId="0" applyNumberFormat="1" applyFont="1" applyFill="1" applyBorder="1" applyAlignment="1">
      <alignment horizontal="right"/>
    </xf>
    <xf numFmtId="164" fontId="3" fillId="4" borderId="9" xfId="0" applyNumberFormat="1" applyFont="1" applyFill="1" applyBorder="1" applyAlignment="1">
      <alignment horizontal="center" vertical="center" wrapText="1" readingOrder="2"/>
    </xf>
    <xf numFmtId="164" fontId="3" fillId="4" borderId="10" xfId="0" applyNumberFormat="1" applyFont="1" applyFill="1" applyBorder="1" applyAlignment="1">
      <alignment horizontal="center" vertical="center" wrapText="1" readingOrder="2"/>
    </xf>
    <xf numFmtId="164" fontId="3" fillId="4" borderId="11" xfId="0" applyNumberFormat="1" applyFont="1" applyFill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4" fontId="3" fillId="4" borderId="13" xfId="0" applyNumberFormat="1" applyFont="1" applyFill="1" applyBorder="1" applyAlignment="1">
      <alignment horizontal="right"/>
    </xf>
    <xf numFmtId="4" fontId="3" fillId="4" borderId="14" xfId="0" applyNumberFormat="1" applyFont="1" applyFill="1" applyBorder="1" applyAlignment="1">
      <alignment horizontal="right" readingOrder="2"/>
    </xf>
    <xf numFmtId="164" fontId="2" fillId="5" borderId="9" xfId="0" applyNumberFormat="1" applyFont="1" applyFill="1" applyBorder="1" applyAlignment="1">
      <alignment horizontal="right"/>
    </xf>
    <xf numFmtId="164" fontId="2" fillId="5" borderId="10" xfId="0" applyNumberFormat="1" applyFont="1" applyFill="1" applyBorder="1" applyAlignment="1">
      <alignment horizontal="right"/>
    </xf>
    <xf numFmtId="164" fontId="2" fillId="5" borderId="11" xfId="0" applyNumberFormat="1" applyFont="1" applyFill="1" applyBorder="1" applyAlignment="1">
      <alignment horizontal="right"/>
    </xf>
    <xf numFmtId="164" fontId="2" fillId="5" borderId="12" xfId="0" applyNumberFormat="1" applyFont="1" applyFill="1" applyBorder="1" applyAlignment="1">
      <alignment horizontal="right"/>
    </xf>
    <xf numFmtId="164" fontId="3" fillId="5" borderId="14" xfId="0" applyNumberFormat="1" applyFont="1" applyFill="1" applyBorder="1" applyAlignment="1">
      <alignment horizontal="right"/>
    </xf>
    <xf numFmtId="164" fontId="2" fillId="5" borderId="13" xfId="0" applyNumberFormat="1" applyFont="1" applyFill="1" applyBorder="1" applyAlignment="1">
      <alignment horizontal="right"/>
    </xf>
    <xf numFmtId="0" fontId="2" fillId="0" borderId="0" xfId="2" applyFont="1" applyAlignment="1">
      <alignment horizontal="right" readingOrder="2"/>
    </xf>
    <xf numFmtId="0" fontId="4" fillId="0" borderId="0" xfId="2" applyFont="1" applyAlignment="1">
      <alignment horizontal="right" readingOrder="2"/>
    </xf>
    <xf numFmtId="0" fontId="5" fillId="0" borderId="0" xfId="2"/>
    <xf numFmtId="0" fontId="2" fillId="0" borderId="0" xfId="2" applyFont="1" applyAlignment="1">
      <alignment horizontal="right" readingOrder="1"/>
    </xf>
    <xf numFmtId="0" fontId="3" fillId="0" borderId="0" xfId="2" applyFont="1" applyAlignment="1">
      <alignment horizontal="right" readingOrder="2"/>
    </xf>
    <xf numFmtId="0" fontId="3" fillId="3" borderId="0" xfId="2" applyFont="1" applyFill="1" applyAlignment="1">
      <alignment horizontal="right" vertical="center" readingOrder="2"/>
    </xf>
    <xf numFmtId="164" fontId="3" fillId="4" borderId="6" xfId="2" applyNumberFormat="1" applyFont="1" applyFill="1" applyBorder="1" applyAlignment="1">
      <alignment horizontal="center" vertical="center" wrapText="1" readingOrder="2"/>
    </xf>
    <xf numFmtId="164" fontId="3" fillId="4" borderId="4" xfId="2" applyNumberFormat="1" applyFont="1" applyFill="1" applyBorder="1" applyAlignment="1">
      <alignment horizontal="center" vertical="center" wrapText="1" readingOrder="2"/>
    </xf>
    <xf numFmtId="164" fontId="3" fillId="5" borderId="6" xfId="2" applyNumberFormat="1" applyFont="1" applyFill="1" applyBorder="1" applyAlignment="1">
      <alignment horizontal="center" vertical="center" wrapText="1" readingOrder="2"/>
    </xf>
    <xf numFmtId="164" fontId="3" fillId="5" borderId="4" xfId="2" applyNumberFormat="1" applyFont="1" applyFill="1" applyBorder="1" applyAlignment="1">
      <alignment horizontal="center" vertical="center" wrapText="1" readingOrder="2"/>
    </xf>
    <xf numFmtId="164" fontId="3" fillId="5" borderId="2" xfId="2" applyNumberFormat="1" applyFont="1" applyFill="1" applyBorder="1" applyAlignment="1">
      <alignment horizontal="center" vertical="center" wrapText="1" readingOrder="2"/>
    </xf>
    <xf numFmtId="0" fontId="2" fillId="2" borderId="6" xfId="2" applyFont="1" applyFill="1" applyBorder="1" applyAlignment="1">
      <alignment horizontal="right" readingOrder="2"/>
    </xf>
    <xf numFmtId="164" fontId="2" fillId="4" borderId="7" xfId="2" applyNumberFormat="1" applyFont="1" applyFill="1" applyBorder="1" applyAlignment="1">
      <alignment horizontal="right"/>
    </xf>
    <xf numFmtId="164" fontId="2" fillId="4" borderId="0" xfId="2" applyNumberFormat="1" applyFont="1" applyFill="1" applyBorder="1" applyAlignment="1">
      <alignment horizontal="right"/>
    </xf>
    <xf numFmtId="164" fontId="2" fillId="5" borderId="7" xfId="2" applyNumberFormat="1" applyFont="1" applyFill="1" applyBorder="1" applyAlignment="1">
      <alignment horizontal="right"/>
    </xf>
    <xf numFmtId="164" fontId="2" fillId="5" borderId="0" xfId="2" applyNumberFormat="1" applyFont="1" applyFill="1" applyBorder="1" applyAlignment="1">
      <alignment horizontal="right"/>
    </xf>
    <xf numFmtId="164" fontId="2" fillId="5" borderId="1" xfId="2" applyNumberFormat="1" applyFont="1" applyFill="1" applyBorder="1" applyAlignment="1">
      <alignment horizontal="right"/>
    </xf>
    <xf numFmtId="0" fontId="2" fillId="2" borderId="7" xfId="2" applyFont="1" applyFill="1" applyBorder="1" applyAlignment="1">
      <alignment horizontal="right" readingOrder="2"/>
    </xf>
    <xf numFmtId="0" fontId="3" fillId="2" borderId="7" xfId="2" applyFont="1" applyFill="1" applyBorder="1" applyAlignment="1">
      <alignment horizontal="right" readingOrder="2"/>
    </xf>
    <xf numFmtId="164" fontId="3" fillId="4" borderId="7" xfId="2" applyNumberFormat="1" applyFont="1" applyFill="1" applyBorder="1" applyAlignment="1">
      <alignment horizontal="right"/>
    </xf>
    <xf numFmtId="164" fontId="3" fillId="4" borderId="0" xfId="2" applyNumberFormat="1" applyFont="1" applyFill="1" applyBorder="1" applyAlignment="1">
      <alignment horizontal="right"/>
    </xf>
    <xf numFmtId="164" fontId="3" fillId="5" borderId="7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>
      <alignment horizontal="right"/>
    </xf>
    <xf numFmtId="164" fontId="3" fillId="5" borderId="1" xfId="2" applyNumberFormat="1" applyFont="1" applyFill="1" applyBorder="1" applyAlignment="1">
      <alignment horizontal="right"/>
    </xf>
    <xf numFmtId="0" fontId="3" fillId="2" borderId="8" xfId="2" applyFont="1" applyFill="1" applyBorder="1" applyAlignment="1">
      <alignment horizontal="right" readingOrder="2"/>
    </xf>
    <xf numFmtId="4" fontId="3" fillId="4" borderId="8" xfId="2" applyNumberFormat="1" applyFont="1" applyFill="1" applyBorder="1" applyAlignment="1">
      <alignment horizontal="right"/>
    </xf>
    <xf numFmtId="4" fontId="3" fillId="4" borderId="5" xfId="2" applyNumberFormat="1" applyFont="1" applyFill="1" applyBorder="1" applyAlignment="1">
      <alignment horizontal="right" readingOrder="2"/>
    </xf>
    <xf numFmtId="4" fontId="3" fillId="5" borderId="8" xfId="2" applyNumberFormat="1" applyFont="1" applyFill="1" applyBorder="1" applyAlignment="1">
      <alignment horizontal="right"/>
    </xf>
    <xf numFmtId="4" fontId="3" fillId="5" borderId="5" xfId="2" applyNumberFormat="1" applyFont="1" applyFill="1" applyBorder="1" applyAlignment="1">
      <alignment horizontal="right" readingOrder="2"/>
    </xf>
    <xf numFmtId="4" fontId="3" fillId="5" borderId="3" xfId="2" applyNumberFormat="1" applyFont="1" applyFill="1" applyBorder="1" applyAlignment="1">
      <alignment horizontal="right" readingOrder="2"/>
    </xf>
    <xf numFmtId="164" fontId="2" fillId="4" borderId="6" xfId="2" applyNumberFormat="1" applyFont="1" applyFill="1" applyBorder="1" applyAlignment="1">
      <alignment horizontal="right"/>
    </xf>
    <xf numFmtId="164" fontId="2" fillId="4" borderId="4" xfId="2" applyNumberFormat="1" applyFont="1" applyFill="1" applyBorder="1" applyAlignment="1">
      <alignment horizontal="right"/>
    </xf>
    <xf numFmtId="164" fontId="2" fillId="5" borderId="6" xfId="2" applyNumberFormat="1" applyFont="1" applyFill="1" applyBorder="1" applyAlignment="1">
      <alignment horizontal="right"/>
    </xf>
    <xf numFmtId="164" fontId="2" fillId="5" borderId="4" xfId="2" applyNumberFormat="1" applyFont="1" applyFill="1" applyBorder="1" applyAlignment="1">
      <alignment horizontal="right"/>
    </xf>
    <xf numFmtId="164" fontId="2" fillId="5" borderId="2" xfId="2" applyNumberFormat="1" applyFont="1" applyFill="1" applyBorder="1" applyAlignment="1">
      <alignment horizontal="right"/>
    </xf>
    <xf numFmtId="164" fontId="3" fillId="4" borderId="8" xfId="2" applyNumberFormat="1" applyFont="1" applyFill="1" applyBorder="1" applyAlignment="1">
      <alignment horizontal="right"/>
    </xf>
    <xf numFmtId="164" fontId="3" fillId="4" borderId="5" xfId="2" applyNumberFormat="1" applyFont="1" applyFill="1" applyBorder="1" applyAlignment="1">
      <alignment horizontal="right"/>
    </xf>
    <xf numFmtId="164" fontId="3" fillId="5" borderId="8" xfId="2" applyNumberFormat="1" applyFont="1" applyFill="1" applyBorder="1" applyAlignment="1">
      <alignment horizontal="right"/>
    </xf>
    <xf numFmtId="164" fontId="3" fillId="5" borderId="5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right"/>
    </xf>
    <xf numFmtId="164" fontId="3" fillId="5" borderId="9" xfId="2" applyNumberFormat="1" applyFont="1" applyFill="1" applyBorder="1" applyAlignment="1">
      <alignment horizontal="center" vertical="center" wrapText="1" readingOrder="2"/>
    </xf>
    <xf numFmtId="164" fontId="3" fillId="5" borderId="10" xfId="2" applyNumberFormat="1" applyFont="1" applyFill="1" applyBorder="1" applyAlignment="1">
      <alignment horizontal="center" vertical="center" wrapText="1" readingOrder="2"/>
    </xf>
    <xf numFmtId="164" fontId="2" fillId="5" borderId="11" xfId="2" applyNumberFormat="1" applyFont="1" applyFill="1" applyBorder="1" applyAlignment="1">
      <alignment horizontal="right"/>
    </xf>
    <xf numFmtId="164" fontId="2" fillId="5" borderId="12" xfId="2" applyNumberFormat="1" applyFont="1" applyFill="1" applyBorder="1" applyAlignment="1">
      <alignment horizontal="right"/>
    </xf>
    <xf numFmtId="4" fontId="5" fillId="0" borderId="0" xfId="2" applyNumberFormat="1"/>
    <xf numFmtId="10" fontId="0" fillId="0" borderId="0" xfId="3" applyNumberFormat="1" applyFont="1"/>
    <xf numFmtId="164" fontId="3" fillId="5" borderId="11" xfId="2" applyNumberFormat="1" applyFont="1" applyFill="1" applyBorder="1" applyAlignment="1">
      <alignment horizontal="right"/>
    </xf>
    <xf numFmtId="164" fontId="3" fillId="5" borderId="12" xfId="2" applyNumberFormat="1" applyFont="1" applyFill="1" applyBorder="1" applyAlignment="1">
      <alignment horizontal="right"/>
    </xf>
    <xf numFmtId="4" fontId="3" fillId="5" borderId="13" xfId="2" applyNumberFormat="1" applyFont="1" applyFill="1" applyBorder="1" applyAlignment="1">
      <alignment horizontal="right"/>
    </xf>
    <xf numFmtId="4" fontId="3" fillId="5" borderId="14" xfId="2" applyNumberFormat="1" applyFont="1" applyFill="1" applyBorder="1" applyAlignment="1">
      <alignment horizontal="right" readingOrder="2"/>
    </xf>
    <xf numFmtId="164" fontId="2" fillId="4" borderId="9" xfId="2" applyNumberFormat="1" applyFont="1" applyFill="1" applyBorder="1" applyAlignment="1">
      <alignment horizontal="right"/>
    </xf>
    <xf numFmtId="164" fontId="2" fillId="4" borderId="10" xfId="2" applyNumberFormat="1" applyFont="1" applyFill="1" applyBorder="1" applyAlignment="1">
      <alignment horizontal="right"/>
    </xf>
    <xf numFmtId="164" fontId="2" fillId="5" borderId="9" xfId="2" applyNumberFormat="1" applyFont="1" applyFill="1" applyBorder="1" applyAlignment="1">
      <alignment horizontal="right"/>
    </xf>
    <xf numFmtId="164" fontId="2" fillId="5" borderId="10" xfId="2" applyNumberFormat="1" applyFont="1" applyFill="1" applyBorder="1" applyAlignment="1">
      <alignment horizontal="right"/>
    </xf>
    <xf numFmtId="164" fontId="2" fillId="4" borderId="11" xfId="2" applyNumberFormat="1" applyFont="1" applyFill="1" applyBorder="1" applyAlignment="1">
      <alignment horizontal="right"/>
    </xf>
    <xf numFmtId="164" fontId="2" fillId="4" borderId="12" xfId="2" applyNumberFormat="1" applyFont="1" applyFill="1" applyBorder="1" applyAlignment="1">
      <alignment horizontal="right"/>
    </xf>
    <xf numFmtId="164" fontId="3" fillId="4" borderId="13" xfId="2" applyNumberFormat="1" applyFont="1" applyFill="1" applyBorder="1" applyAlignment="1">
      <alignment horizontal="right"/>
    </xf>
    <xf numFmtId="164" fontId="3" fillId="4" borderId="14" xfId="2" applyNumberFormat="1" applyFont="1" applyFill="1" applyBorder="1" applyAlignment="1">
      <alignment horizontal="right"/>
    </xf>
    <xf numFmtId="164" fontId="3" fillId="5" borderId="13" xfId="2" applyNumberFormat="1" applyFont="1" applyFill="1" applyBorder="1" applyAlignment="1">
      <alignment horizontal="right"/>
    </xf>
    <xf numFmtId="164" fontId="3" fillId="5" borderId="14" xfId="2" applyNumberFormat="1" applyFont="1" applyFill="1" applyBorder="1" applyAlignment="1">
      <alignment horizontal="right"/>
    </xf>
    <xf numFmtId="0" fontId="1" fillId="0" borderId="0" xfId="2" applyFont="1" applyAlignment="1">
      <alignment horizontal="right" readingOrder="2"/>
    </xf>
  </cellXfs>
  <cellStyles count="4">
    <cellStyle name="Normal" xfId="0" builtinId="0"/>
    <cellStyle name="Normal 10 10" xfId="2" xr:uid="{758BDEF0-7C9C-4C1F-847A-D5A2EC18FD48}"/>
    <cellStyle name="Normal 9" xfId="1" xr:uid="{00000000-0005-0000-0000-000001000000}"/>
    <cellStyle name="Percent 3" xfId="3" xr:uid="{BB3C6931-CCE4-4563-B2A7-5CBF79587D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&#1495;&#1491;&#1513;%20-%20&#1514;&#1513;&#1493;&#1488;&#1492;%20&#1500;&#1488;&#1508;&#1497;&#1511;&#1497;&#1501;%20-%20&#1497;&#1504;&#1493;&#1488;&#1512;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-%20&#1514;&#1513;&#1493;&#1488;&#1492;%20&#1500;&#1488;&#1508;&#1497;&#1511;&#1497;&#1501;%20-%2012-2020%20-%20&#1491;&#1497;&#1493;&#1493;&#1495;%20&#1502;&#1510;&#1496;&#1489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ספחים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  <sheetName val="פורמט להדבקת ערכים"/>
    </sheetNames>
    <sheetDataSet>
      <sheetData sheetId="0" refreshError="1"/>
      <sheetData sheetId="1" refreshError="1">
        <row r="6">
          <cell r="A6">
            <v>8.8610000000000008E-3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ספח א"/>
      <sheetName val="נספח ב"/>
      <sheetName val="נספח ג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</sheetNames>
    <sheetDataSet>
      <sheetData sheetId="0"/>
      <sheetData sheetId="1"/>
      <sheetData sheetId="2"/>
      <sheetData sheetId="3">
        <row r="6">
          <cell r="A6">
            <v>4.6843340632848784E-2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25" workbookViewId="0">
      <selection activeCell="I36" sqref="I36:J65"/>
    </sheetView>
  </sheetViews>
  <sheetFormatPr defaultColWidth="9.109375" defaultRowHeight="13.2"/>
  <cols>
    <col min="1" max="1" width="3.6640625" style="51" customWidth="1"/>
    <col min="2" max="2" width="34.6640625" style="51" customWidth="1"/>
    <col min="3" max="4" width="11" style="51" customWidth="1"/>
    <col min="5" max="5" width="13" style="51" customWidth="1"/>
    <col min="6" max="6" width="12" style="51" customWidth="1"/>
    <col min="7" max="7" width="12.109375" style="51" bestFit="1" customWidth="1"/>
    <col min="8" max="8" width="11.88671875" style="51" customWidth="1"/>
    <col min="9" max="9" width="11.6640625" style="51" bestFit="1" customWidth="1"/>
    <col min="10" max="14" width="11" style="51" customWidth="1"/>
    <col min="15" max="15" width="11.6640625" style="51" bestFit="1" customWidth="1"/>
    <col min="16" max="26" width="11" style="51" customWidth="1"/>
    <col min="27" max="16384" width="9.109375" style="51"/>
  </cols>
  <sheetData>
    <row r="1" spans="1:26" ht="17.399999999999999">
      <c r="A1" s="49"/>
      <c r="B1" s="50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7.399999999999999">
      <c r="A2" s="49"/>
      <c r="B2" s="50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7.399999999999999">
      <c r="A3" s="49"/>
      <c r="B3" s="50" t="s">
        <v>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>
      <c r="A4" s="49"/>
      <c r="B4" s="52">
        <v>2024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60" customHeight="1">
      <c r="A5" s="53"/>
      <c r="B5" s="54" t="s">
        <v>3</v>
      </c>
      <c r="C5" s="55" t="s">
        <v>40</v>
      </c>
      <c r="D5" s="56" t="s">
        <v>41</v>
      </c>
      <c r="E5" s="57" t="s">
        <v>42</v>
      </c>
      <c r="F5" s="58" t="s">
        <v>43</v>
      </c>
      <c r="G5" s="55" t="s">
        <v>44</v>
      </c>
      <c r="H5" s="56" t="s">
        <v>45</v>
      </c>
      <c r="I5" s="57" t="s">
        <v>46</v>
      </c>
      <c r="J5" s="58" t="s">
        <v>47</v>
      </c>
      <c r="K5" s="55" t="s">
        <v>48</v>
      </c>
      <c r="L5" s="56" t="s">
        <v>49</v>
      </c>
      <c r="M5" s="57" t="s">
        <v>50</v>
      </c>
      <c r="N5" s="58" t="s">
        <v>51</v>
      </c>
      <c r="O5" s="55" t="s">
        <v>52</v>
      </c>
      <c r="P5" s="56" t="s">
        <v>53</v>
      </c>
      <c r="Q5" s="57" t="s">
        <v>54</v>
      </c>
      <c r="R5" s="58" t="s">
        <v>55</v>
      </c>
      <c r="S5" s="55" t="s">
        <v>56</v>
      </c>
      <c r="T5" s="56" t="s">
        <v>57</v>
      </c>
      <c r="U5" s="57" t="s">
        <v>58</v>
      </c>
      <c r="V5" s="58" t="s">
        <v>59</v>
      </c>
      <c r="W5" s="55" t="s">
        <v>60</v>
      </c>
      <c r="X5" s="56" t="s">
        <v>61</v>
      </c>
      <c r="Y5" s="57" t="s">
        <v>62</v>
      </c>
      <c r="Z5" s="59" t="s">
        <v>63</v>
      </c>
    </row>
    <row r="6" spans="1:26">
      <c r="A6" s="49"/>
      <c r="B6" s="60" t="s">
        <v>4</v>
      </c>
      <c r="C6" s="61">
        <v>-9.1292881111798912E-5</v>
      </c>
      <c r="D6" s="62">
        <v>3.0686968281037133E-2</v>
      </c>
      <c r="E6" s="63">
        <v>-2.6847357580295081E-4</v>
      </c>
      <c r="F6" s="64">
        <v>2.2474396828363871E-2</v>
      </c>
      <c r="G6" s="61">
        <v>6.5893080894240835E-4</v>
      </c>
      <c r="H6" s="62">
        <v>1.9461531781953603E-2</v>
      </c>
      <c r="I6" s="63">
        <v>8.1770172086430824E-5</v>
      </c>
      <c r="J6" s="64">
        <v>1.5633727192242441E-2</v>
      </c>
      <c r="K6" s="61">
        <v>-1.177113047835299E-4</v>
      </c>
      <c r="L6" s="62">
        <v>1.2319303878578053E-2</v>
      </c>
      <c r="M6" s="63">
        <v>2.464129859701688E-5</v>
      </c>
      <c r="N6" s="64">
        <v>1.3674041463593328E-2</v>
      </c>
      <c r="O6" s="61">
        <v>1.005088478876986E-4</v>
      </c>
      <c r="P6" s="62">
        <v>1.796647126140925E-2</v>
      </c>
      <c r="Q6" s="63">
        <v>6.9949282720530937E-4</v>
      </c>
      <c r="R6" s="64">
        <v>3.7237849701566232E-2</v>
      </c>
      <c r="S6" s="61">
        <v>8.1214130742574627E-4</v>
      </c>
      <c r="T6" s="62">
        <v>1.933771655780888E-2</v>
      </c>
      <c r="U6" s="61">
        <v>-1.1255026750739168E-5</v>
      </c>
      <c r="V6" s="62">
        <v>2.6549856291032251E-2</v>
      </c>
      <c r="W6" s="61">
        <v>-4.7733587000903709E-2</v>
      </c>
      <c r="X6" s="62">
        <v>2.3712630606941312E-2</v>
      </c>
      <c r="Y6" s="63">
        <v>7.9905154289148064E-4</v>
      </c>
      <c r="Z6" s="65">
        <v>2.3405857316078204E-2</v>
      </c>
    </row>
    <row r="7" spans="1:26">
      <c r="A7" s="49"/>
      <c r="B7" s="66" t="s">
        <v>5</v>
      </c>
      <c r="C7" s="61">
        <v>-4.0656581073620348E-3</v>
      </c>
      <c r="D7" s="62">
        <v>0.4917581562260393</v>
      </c>
      <c r="E7" s="63">
        <v>3.3036726040475907E-3</v>
      </c>
      <c r="F7" s="64">
        <v>0.5059405920670158</v>
      </c>
      <c r="G7" s="61">
        <v>-2.3310997909939037E-3</v>
      </c>
      <c r="H7" s="62">
        <v>0.50731533131460715</v>
      </c>
      <c r="I7" s="63">
        <v>-7.5342050448354413E-3</v>
      </c>
      <c r="J7" s="64">
        <v>0.5208027322981158</v>
      </c>
      <c r="K7" s="61">
        <v>-9.2171394027422814E-3</v>
      </c>
      <c r="L7" s="62">
        <v>0.53512802441797525</v>
      </c>
      <c r="M7" s="63">
        <v>-3.9597587285710844E-3</v>
      </c>
      <c r="N7" s="64">
        <v>0.53258653898792929</v>
      </c>
      <c r="O7" s="61">
        <v>9.5199492354686183E-3</v>
      </c>
      <c r="P7" s="62">
        <v>0.53663706908395858</v>
      </c>
      <c r="Q7" s="63">
        <v>1.1909093056868334E-2</v>
      </c>
      <c r="R7" s="64">
        <v>0.53875925521301693</v>
      </c>
      <c r="S7" s="61">
        <v>-3.8684504642536193E-3</v>
      </c>
      <c r="T7" s="62">
        <v>0.53751866104932811</v>
      </c>
      <c r="U7" s="61">
        <v>-4.1472244533596062E-5</v>
      </c>
      <c r="V7" s="62">
        <v>0.53541980951089696</v>
      </c>
      <c r="W7" s="61">
        <v>-7.2465342295988831E-3</v>
      </c>
      <c r="X7" s="62">
        <v>0.53581085419066565</v>
      </c>
      <c r="Y7" s="63">
        <v>3.4680646524039593E-3</v>
      </c>
      <c r="Z7" s="65">
        <v>0.5346641296061706</v>
      </c>
    </row>
    <row r="8" spans="1:26">
      <c r="A8" s="49"/>
      <c r="B8" s="66" t="s">
        <v>6</v>
      </c>
      <c r="C8" s="61">
        <v>0</v>
      </c>
      <c r="D8" s="62">
        <v>0</v>
      </c>
      <c r="E8" s="63">
        <v>0</v>
      </c>
      <c r="F8" s="64">
        <v>0</v>
      </c>
      <c r="G8" s="61">
        <v>0</v>
      </c>
      <c r="H8" s="62">
        <v>0</v>
      </c>
      <c r="I8" s="63">
        <v>0</v>
      </c>
      <c r="J8" s="64">
        <v>0</v>
      </c>
      <c r="K8" s="61">
        <v>0</v>
      </c>
      <c r="L8" s="62">
        <v>0</v>
      </c>
      <c r="M8" s="63">
        <v>0</v>
      </c>
      <c r="N8" s="64">
        <v>0</v>
      </c>
      <c r="O8" s="61">
        <v>0</v>
      </c>
      <c r="P8" s="62">
        <v>0</v>
      </c>
      <c r="Q8" s="63">
        <v>0</v>
      </c>
      <c r="R8" s="64">
        <v>0</v>
      </c>
      <c r="S8" s="61">
        <v>0</v>
      </c>
      <c r="T8" s="62">
        <v>0</v>
      </c>
      <c r="U8" s="61">
        <v>0</v>
      </c>
      <c r="V8" s="62">
        <v>0</v>
      </c>
      <c r="W8" s="61">
        <v>0</v>
      </c>
      <c r="X8" s="62">
        <v>0</v>
      </c>
      <c r="Y8" s="63">
        <v>0</v>
      </c>
      <c r="Z8" s="65">
        <v>0</v>
      </c>
    </row>
    <row r="9" spans="1:26">
      <c r="A9" s="49"/>
      <c r="B9" s="66" t="s">
        <v>7</v>
      </c>
      <c r="C9" s="61">
        <v>0</v>
      </c>
      <c r="D9" s="62">
        <v>0</v>
      </c>
      <c r="E9" s="63">
        <v>0</v>
      </c>
      <c r="F9" s="64">
        <v>0</v>
      </c>
      <c r="G9" s="61">
        <v>0</v>
      </c>
      <c r="H9" s="62">
        <v>0</v>
      </c>
      <c r="I9" s="63">
        <v>0</v>
      </c>
      <c r="J9" s="64">
        <v>0</v>
      </c>
      <c r="K9" s="61">
        <v>0</v>
      </c>
      <c r="L9" s="62">
        <v>0</v>
      </c>
      <c r="M9" s="63">
        <v>0</v>
      </c>
      <c r="N9" s="64">
        <v>0</v>
      </c>
      <c r="O9" s="61">
        <v>0</v>
      </c>
      <c r="P9" s="62">
        <v>0</v>
      </c>
      <c r="Q9" s="63">
        <v>0</v>
      </c>
      <c r="R9" s="64">
        <v>0</v>
      </c>
      <c r="S9" s="61">
        <v>0</v>
      </c>
      <c r="T9" s="62">
        <v>0</v>
      </c>
      <c r="U9" s="61">
        <v>0</v>
      </c>
      <c r="V9" s="62">
        <v>0</v>
      </c>
      <c r="W9" s="61">
        <v>0</v>
      </c>
      <c r="X9" s="62">
        <v>0</v>
      </c>
      <c r="Y9" s="63">
        <v>0</v>
      </c>
      <c r="Z9" s="65">
        <v>0</v>
      </c>
    </row>
    <row r="10" spans="1:26">
      <c r="A10" s="49"/>
      <c r="B10" s="66" t="s">
        <v>8</v>
      </c>
      <c r="C10" s="61">
        <v>2.7055343943409982E-4</v>
      </c>
      <c r="D10" s="62">
        <v>0.14203779915456788</v>
      </c>
      <c r="E10" s="63">
        <v>5.9143081645192429E-4</v>
      </c>
      <c r="F10" s="64">
        <v>0.14561773465206296</v>
      </c>
      <c r="G10" s="61">
        <v>1.6417297296822948E-3</v>
      </c>
      <c r="H10" s="62">
        <v>0.14358513416226312</v>
      </c>
      <c r="I10" s="63">
        <v>-1.4368455004404795E-4</v>
      </c>
      <c r="J10" s="64">
        <v>0.13941212273276971</v>
      </c>
      <c r="K10" s="61">
        <v>2.7606787645444039E-4</v>
      </c>
      <c r="L10" s="62">
        <v>0.12722405507058795</v>
      </c>
      <c r="M10" s="63">
        <v>-1.6581280329036363E-4</v>
      </c>
      <c r="N10" s="64">
        <v>0.11524370293507272</v>
      </c>
      <c r="O10" s="61">
        <v>1.4016639805308098E-3</v>
      </c>
      <c r="P10" s="62">
        <v>0.10939551087264818</v>
      </c>
      <c r="Q10" s="63">
        <v>5.9851723487668973E-4</v>
      </c>
      <c r="R10" s="64">
        <v>0.1042257411829034</v>
      </c>
      <c r="S10" s="61">
        <v>9.4297832127410543E-4</v>
      </c>
      <c r="T10" s="62">
        <v>0.10935919068571576</v>
      </c>
      <c r="U10" s="61">
        <v>4.1777097707951211E-4</v>
      </c>
      <c r="V10" s="62">
        <v>0.10995754306646718</v>
      </c>
      <c r="W10" s="61">
        <v>-4.6495904979219221E-4</v>
      </c>
      <c r="X10" s="62">
        <v>0.10662576464958398</v>
      </c>
      <c r="Y10" s="63">
        <v>1.0227731953585317E-3</v>
      </c>
      <c r="Z10" s="65">
        <v>0.10694715456806275</v>
      </c>
    </row>
    <row r="11" spans="1:26">
      <c r="A11" s="49"/>
      <c r="B11" s="66" t="s">
        <v>9</v>
      </c>
      <c r="C11" s="61">
        <v>2.7400927270990679E-6</v>
      </c>
      <c r="D11" s="62">
        <v>2.3177759377337143E-2</v>
      </c>
      <c r="E11" s="63">
        <v>1.4559722699021771E-4</v>
      </c>
      <c r="F11" s="64">
        <v>2.31144097117814E-2</v>
      </c>
      <c r="G11" s="61">
        <v>1.5563174830090793E-4</v>
      </c>
      <c r="H11" s="62">
        <v>2.3044984622656774E-2</v>
      </c>
      <c r="I11" s="63">
        <v>-5.6994757291049751E-5</v>
      </c>
      <c r="J11" s="64">
        <v>2.3286793678548429E-2</v>
      </c>
      <c r="K11" s="61">
        <v>1.3301979850425677E-5</v>
      </c>
      <c r="L11" s="62">
        <v>2.3404775148596266E-2</v>
      </c>
      <c r="M11" s="63">
        <v>-7.288233137317926E-5</v>
      </c>
      <c r="N11" s="64">
        <v>2.2236955575159843E-2</v>
      </c>
      <c r="O11" s="61">
        <v>2.1105378017431727E-4</v>
      </c>
      <c r="P11" s="62">
        <v>2.1613744585511498E-2</v>
      </c>
      <c r="Q11" s="63">
        <v>3.2260171564017835E-4</v>
      </c>
      <c r="R11" s="64">
        <v>2.1634245307796847E-2</v>
      </c>
      <c r="S11" s="61">
        <v>5.0637029818956355E-5</v>
      </c>
      <c r="T11" s="62">
        <v>2.1569809582910226E-2</v>
      </c>
      <c r="U11" s="61">
        <v>1.1797945907490467E-4</v>
      </c>
      <c r="V11" s="62">
        <v>2.16756203958627E-2</v>
      </c>
      <c r="W11" s="61">
        <v>-1.0913630480967063E-4</v>
      </c>
      <c r="X11" s="62">
        <v>2.1488923717397357E-2</v>
      </c>
      <c r="Y11" s="63">
        <v>2.8998815009248758E-5</v>
      </c>
      <c r="Z11" s="65">
        <v>2.2936442529954297E-2</v>
      </c>
    </row>
    <row r="12" spans="1:26">
      <c r="A12" s="49"/>
      <c r="B12" s="66" t="s">
        <v>10</v>
      </c>
      <c r="C12" s="61">
        <v>7.438103623189273E-6</v>
      </c>
      <c r="D12" s="62">
        <v>6.6746769536285208E-2</v>
      </c>
      <c r="E12" s="63">
        <v>3.6319590746739278E-3</v>
      </c>
      <c r="F12" s="64">
        <v>6.4085138923666005E-2</v>
      </c>
      <c r="G12" s="61">
        <v>2.412321512038094E-3</v>
      </c>
      <c r="H12" s="62">
        <v>6.7279793776682112E-2</v>
      </c>
      <c r="I12" s="63">
        <v>-1.7570304915272149E-3</v>
      </c>
      <c r="J12" s="64">
        <v>6.3080197977406161E-2</v>
      </c>
      <c r="K12" s="61">
        <v>1.4502343577987601E-3</v>
      </c>
      <c r="L12" s="62">
        <v>4.1040615630648404E-2</v>
      </c>
      <c r="M12" s="63">
        <v>-5.8861218576752709E-4</v>
      </c>
      <c r="N12" s="64">
        <v>3.9842984792837294E-2</v>
      </c>
      <c r="O12" s="61">
        <v>1.6014928678111178E-3</v>
      </c>
      <c r="P12" s="62">
        <v>4.0496775588325047E-2</v>
      </c>
      <c r="Q12" s="63">
        <v>1.2179997132038762E-3</v>
      </c>
      <c r="R12" s="64">
        <v>4.1356409305246714E-2</v>
      </c>
      <c r="S12" s="61">
        <v>1.0285773098914546E-3</v>
      </c>
      <c r="T12" s="62">
        <v>4.23474822910141E-2</v>
      </c>
      <c r="U12" s="61">
        <v>1.4308546395288761E-3</v>
      </c>
      <c r="V12" s="62">
        <v>4.4819317454427833E-2</v>
      </c>
      <c r="W12" s="61">
        <v>-1.0771525479693364E-3</v>
      </c>
      <c r="X12" s="62">
        <v>4.5276551470917581E-2</v>
      </c>
      <c r="Y12" s="63">
        <v>1.9959852784185083E-3</v>
      </c>
      <c r="Z12" s="65">
        <v>4.7503113913587289E-2</v>
      </c>
    </row>
    <row r="13" spans="1:26">
      <c r="A13" s="49"/>
      <c r="B13" s="66" t="s">
        <v>11</v>
      </c>
      <c r="C13" s="61">
        <v>6.1403000660795428E-5</v>
      </c>
      <c r="D13" s="62">
        <v>5.040422502179271E-2</v>
      </c>
      <c r="E13" s="63">
        <v>1.1774380686733592E-3</v>
      </c>
      <c r="F13" s="64">
        <v>4.0271408963356056E-2</v>
      </c>
      <c r="G13" s="61">
        <v>2.1607507024030553E-3</v>
      </c>
      <c r="H13" s="62">
        <v>3.5325453730800802E-2</v>
      </c>
      <c r="I13" s="63">
        <v>-5.0804835134702741E-4</v>
      </c>
      <c r="J13" s="64">
        <v>3.0287112690203542E-2</v>
      </c>
      <c r="K13" s="61">
        <v>4.7844173366925292E-4</v>
      </c>
      <c r="L13" s="62">
        <v>4.2651340521811895E-2</v>
      </c>
      <c r="M13" s="63">
        <v>1.2026820869606495E-3</v>
      </c>
      <c r="N13" s="64">
        <v>4.3771917499782806E-2</v>
      </c>
      <c r="O13" s="61">
        <v>9.5578491248482641E-4</v>
      </c>
      <c r="P13" s="62">
        <v>4.4426448505908607E-2</v>
      </c>
      <c r="Q13" s="63">
        <v>-2.3167602663594339E-4</v>
      </c>
      <c r="R13" s="64">
        <v>4.1478537536336631E-2</v>
      </c>
      <c r="S13" s="61">
        <v>1.5182145876020874E-3</v>
      </c>
      <c r="T13" s="62">
        <v>4.5144480341687679E-2</v>
      </c>
      <c r="U13" s="61">
        <v>-6.5660343325102833E-4</v>
      </c>
      <c r="V13" s="62">
        <v>4.3755071455326623E-2</v>
      </c>
      <c r="W13" s="61">
        <v>-1.0451029388931436E-3</v>
      </c>
      <c r="X13" s="62">
        <v>4.5371637987733034E-2</v>
      </c>
      <c r="Y13" s="63">
        <v>-1.1982557900387584E-3</v>
      </c>
      <c r="Z13" s="65">
        <v>4.3685294554465105E-2</v>
      </c>
    </row>
    <row r="14" spans="1:26">
      <c r="A14" s="49"/>
      <c r="B14" s="66" t="s">
        <v>12</v>
      </c>
      <c r="C14" s="61">
        <v>4.6776098335072629E-5</v>
      </c>
      <c r="D14" s="62">
        <v>5.373912181410972E-3</v>
      </c>
      <c r="E14" s="63">
        <v>3.3768631208835782E-5</v>
      </c>
      <c r="F14" s="64">
        <v>5.1632424138335319E-3</v>
      </c>
      <c r="G14" s="61">
        <v>2.4654072941926209E-4</v>
      </c>
      <c r="H14" s="62">
        <v>5.8042618432037384E-3</v>
      </c>
      <c r="I14" s="63">
        <v>6.1751918697247181E-5</v>
      </c>
      <c r="J14" s="64">
        <v>5.7925245283077997E-3</v>
      </c>
      <c r="K14" s="61">
        <v>1.4505448832475583E-4</v>
      </c>
      <c r="L14" s="62">
        <v>5.9640782378435992E-3</v>
      </c>
      <c r="M14" s="63">
        <v>7.960078287510926E-5</v>
      </c>
      <c r="N14" s="64">
        <v>5.6132378125085302E-3</v>
      </c>
      <c r="O14" s="61">
        <v>1.2676818460216507E-4</v>
      </c>
      <c r="P14" s="62">
        <v>5.6696924431915013E-3</v>
      </c>
      <c r="Q14" s="63">
        <v>6.2556572509077021E-4</v>
      </c>
      <c r="R14" s="64">
        <v>4.6463344126558715E-3</v>
      </c>
      <c r="S14" s="61">
        <v>7.0932250297941747E-5</v>
      </c>
      <c r="T14" s="62">
        <v>8.8997289461368607E-3</v>
      </c>
      <c r="U14" s="61">
        <v>-1.3798839173771369E-4</v>
      </c>
      <c r="V14" s="62">
        <v>3.9059755588630859E-3</v>
      </c>
      <c r="W14" s="61">
        <v>1.4621911094996725E-5</v>
      </c>
      <c r="X14" s="62">
        <v>5.2953104214936353E-3</v>
      </c>
      <c r="Y14" s="63">
        <v>0</v>
      </c>
      <c r="Z14" s="65">
        <v>0</v>
      </c>
    </row>
    <row r="15" spans="1:26">
      <c r="A15" s="49"/>
      <c r="B15" s="66" t="s">
        <v>13</v>
      </c>
      <c r="C15" s="61">
        <v>1.1051307947208954E-4</v>
      </c>
      <c r="D15" s="62">
        <v>9.2837019419712397E-2</v>
      </c>
      <c r="E15" s="63">
        <v>-1.2688197277587801E-3</v>
      </c>
      <c r="F15" s="64">
        <v>9.1242856296281566E-2</v>
      </c>
      <c r="G15" s="61">
        <v>2.2952181112740918E-3</v>
      </c>
      <c r="H15" s="62">
        <v>9.3495024492394413E-2</v>
      </c>
      <c r="I15" s="63">
        <v>1.6978030750531092E-3</v>
      </c>
      <c r="J15" s="64">
        <v>9.8629905747084676E-2</v>
      </c>
      <c r="K15" s="61">
        <v>5.6600565195105874E-4</v>
      </c>
      <c r="L15" s="62">
        <v>9.9884672964490301E-2</v>
      </c>
      <c r="M15" s="63">
        <v>7.3841038080190216E-4</v>
      </c>
      <c r="N15" s="64">
        <v>0.10217882300317345</v>
      </c>
      <c r="O15" s="61">
        <v>1.1213372201927514E-3</v>
      </c>
      <c r="P15" s="62">
        <v>0.10189144113952261</v>
      </c>
      <c r="Q15" s="63">
        <v>-1.1730871438080384E-3</v>
      </c>
      <c r="R15" s="64">
        <v>9.8320843012396672E-2</v>
      </c>
      <c r="S15" s="61">
        <v>2.8302968096841699E-3</v>
      </c>
      <c r="T15" s="62">
        <v>9.9621994094261479E-2</v>
      </c>
      <c r="U15" s="61">
        <v>3.8250118936849895E-4</v>
      </c>
      <c r="V15" s="62">
        <v>9.8906583144236032E-2</v>
      </c>
      <c r="W15" s="61">
        <v>8.0546809172412887E-2</v>
      </c>
      <c r="X15" s="62">
        <v>9.7905809934182686E-2</v>
      </c>
      <c r="Y15" s="63">
        <v>-3.0085830902531181E-5</v>
      </c>
      <c r="Z15" s="65">
        <v>0.10234089562794924</v>
      </c>
    </row>
    <row r="16" spans="1:26">
      <c r="A16" s="49"/>
      <c r="B16" s="66" t="s">
        <v>14</v>
      </c>
      <c r="C16" s="61">
        <v>9.9995249922381066E-6</v>
      </c>
      <c r="D16" s="62">
        <v>2.5332642029294336E-4</v>
      </c>
      <c r="E16" s="63">
        <v>1.7276586826069808E-4</v>
      </c>
      <c r="F16" s="64">
        <v>4.0503442240131545E-4</v>
      </c>
      <c r="G16" s="61">
        <v>1.4578460209158101E-5</v>
      </c>
      <c r="H16" s="62">
        <v>4.3666070586273389E-4</v>
      </c>
      <c r="I16" s="63">
        <v>-4.6473250226018149E-5</v>
      </c>
      <c r="J16" s="64">
        <v>3.8839479591669472E-4</v>
      </c>
      <c r="K16" s="61">
        <v>-8.4919704240062592E-5</v>
      </c>
      <c r="L16" s="62">
        <v>3.258749143762212E-4</v>
      </c>
      <c r="M16" s="63">
        <v>-5.3120072538803672E-5</v>
      </c>
      <c r="N16" s="64">
        <v>2.7292197723034132E-4</v>
      </c>
      <c r="O16" s="61">
        <v>4.2232944277021929E-5</v>
      </c>
      <c r="P16" s="62">
        <v>3.0985086120784221E-4</v>
      </c>
      <c r="Q16" s="63">
        <v>2.6781845263090268E-5</v>
      </c>
      <c r="R16" s="64">
        <v>3.4545377825001479E-4</v>
      </c>
      <c r="S16" s="61">
        <v>4.1981948460668209E-5</v>
      </c>
      <c r="T16" s="62">
        <v>3.7378903042270496E-4</v>
      </c>
      <c r="U16" s="61">
        <v>6.0515245348296434E-5</v>
      </c>
      <c r="V16" s="62">
        <v>4.370515835129382E-4</v>
      </c>
      <c r="W16" s="61">
        <v>-1.870151624568805E-5</v>
      </c>
      <c r="X16" s="62">
        <v>4.6057246547069353E-4</v>
      </c>
      <c r="Y16" s="63">
        <v>9.2124867002615969E-5</v>
      </c>
      <c r="Z16" s="65">
        <v>5.5923648411682894E-4</v>
      </c>
    </row>
    <row r="17" spans="1:26">
      <c r="A17" s="49"/>
      <c r="B17" s="66" t="s">
        <v>15</v>
      </c>
      <c r="C17" s="61">
        <v>-1.213676192526401E-3</v>
      </c>
      <c r="D17" s="62">
        <v>-6.618949090369504E-5</v>
      </c>
      <c r="E17" s="63">
        <v>3.6571692684369611E-3</v>
      </c>
      <c r="F17" s="64">
        <v>3.7815993027924557E-3</v>
      </c>
      <c r="G17" s="61">
        <v>-1.8862913125498911E-3</v>
      </c>
      <c r="H17" s="62">
        <v>2.6079449859491509E-3</v>
      </c>
      <c r="I17" s="63">
        <v>-1.8151622073730861E-3</v>
      </c>
      <c r="J17" s="64">
        <v>4.8584191808933691E-4</v>
      </c>
      <c r="K17" s="61">
        <v>1.2028483936629758E-3</v>
      </c>
      <c r="L17" s="62">
        <v>1.7732637864803892E-3</v>
      </c>
      <c r="M17" s="63">
        <v>-3.2710406045971622E-4</v>
      </c>
      <c r="N17" s="64">
        <v>2.1283408461142509E-4</v>
      </c>
      <c r="O17" s="61">
        <v>1.8798252548646112E-4</v>
      </c>
      <c r="P17" s="62">
        <v>4.4702683141418983E-4</v>
      </c>
      <c r="Q17" s="63">
        <v>2.2732521605600188E-3</v>
      </c>
      <c r="R17" s="64">
        <v>2.5464778704798506E-3</v>
      </c>
      <c r="S17" s="61">
        <v>-1.7356376977394374E-3</v>
      </c>
      <c r="T17" s="62">
        <v>1.890776890654883E-3</v>
      </c>
      <c r="U17" s="61">
        <v>-3.2638860481783128E-4</v>
      </c>
      <c r="V17" s="62">
        <v>2.3553253775368533E-4</v>
      </c>
      <c r="W17" s="61">
        <v>-1.2831103443643073E-3</v>
      </c>
      <c r="X17" s="62">
        <v>2.4594006519876184E-3</v>
      </c>
      <c r="Y17" s="63">
        <v>1.5181757411588474E-4</v>
      </c>
      <c r="Z17" s="65">
        <v>7.8000148584741373E-4</v>
      </c>
    </row>
    <row r="18" spans="1:26">
      <c r="A18" s="49"/>
      <c r="B18" s="66" t="s">
        <v>16</v>
      </c>
      <c r="C18" s="61">
        <v>-1.920516640703172E-4</v>
      </c>
      <c r="D18" s="62">
        <v>1.6428076760463005E-4</v>
      </c>
      <c r="E18" s="63">
        <v>-1.3292786221076329E-4</v>
      </c>
      <c r="F18" s="64">
        <v>1.4201619904190694E-4</v>
      </c>
      <c r="G18" s="61">
        <v>-1.6644178885011457E-4</v>
      </c>
      <c r="H18" s="62">
        <v>2.7941763783021991E-4</v>
      </c>
      <c r="I18" s="63">
        <v>-8.966629608822092E-4</v>
      </c>
      <c r="J18" s="64">
        <v>-6.5031437681499916E-4</v>
      </c>
      <c r="K18" s="61">
        <v>1.4246965329289016E-3</v>
      </c>
      <c r="L18" s="62">
        <v>2.9734971793712021E-4</v>
      </c>
      <c r="M18" s="63">
        <v>-1.0381572910676281E-4</v>
      </c>
      <c r="N18" s="64">
        <v>1.3941387129916207E-4</v>
      </c>
      <c r="O18" s="61">
        <v>-1.1965780293229599E-3</v>
      </c>
      <c r="P18" s="62">
        <v>-1.0100389209399218E-3</v>
      </c>
      <c r="Q18" s="63">
        <v>-8.2515147770624383E-5</v>
      </c>
      <c r="R18" s="64">
        <v>-1.0056945008539498E-3</v>
      </c>
      <c r="S18" s="61">
        <v>5.7737298592050106E-5</v>
      </c>
      <c r="T18" s="62">
        <v>-9.4831666013447079E-4</v>
      </c>
      <c r="U18" s="61">
        <v>7.5584270171506057E-5</v>
      </c>
      <c r="V18" s="62">
        <v>-7.9523253195267905E-4</v>
      </c>
      <c r="W18" s="61">
        <v>-8.2513217469933227E-4</v>
      </c>
      <c r="X18" s="62">
        <v>1.5789510588874121E-4</v>
      </c>
      <c r="Y18" s="63">
        <v>-7.6086628440697676E-7</v>
      </c>
      <c r="Z18" s="65">
        <v>9.8205880610691286E-5</v>
      </c>
    </row>
    <row r="19" spans="1:26">
      <c r="A19" s="49"/>
      <c r="B19" s="66" t="s">
        <v>17</v>
      </c>
      <c r="C19" s="61">
        <v>-2.5076974082214081E-5</v>
      </c>
      <c r="D19" s="62">
        <v>8.1155625360756383E-4</v>
      </c>
      <c r="E19" s="63">
        <v>-4.3096529117866543E-6</v>
      </c>
      <c r="F19" s="64">
        <v>7.9901277000787993E-4</v>
      </c>
      <c r="G19" s="61">
        <v>4.2068104293533829E-5</v>
      </c>
      <c r="H19" s="62">
        <v>8.3502162669343329E-4</v>
      </c>
      <c r="I19" s="63">
        <v>-2.3323074492467852E-5</v>
      </c>
      <c r="J19" s="64">
        <v>8.2074841652580446E-4</v>
      </c>
      <c r="K19" s="61">
        <v>3.7488458874258128E-5</v>
      </c>
      <c r="L19" s="62">
        <v>8.5068198092236303E-4</v>
      </c>
      <c r="M19" s="63">
        <v>1.3330039428776836E-5</v>
      </c>
      <c r="N19" s="64">
        <v>1.1179416026439633E-2</v>
      </c>
      <c r="O19" s="61">
        <v>1.0115710649471666E-4</v>
      </c>
      <c r="P19" s="62">
        <v>1.1149966915359555E-2</v>
      </c>
      <c r="Q19" s="63">
        <v>-4.5234645441722966E-4</v>
      </c>
      <c r="R19" s="64">
        <v>1.1085414940201521E-2</v>
      </c>
      <c r="S19" s="61">
        <v>-6.2583202681752777E-5</v>
      </c>
      <c r="T19" s="62">
        <v>1.1022839278227579E-2</v>
      </c>
      <c r="U19" s="61">
        <v>4.6562764614830909E-5</v>
      </c>
      <c r="V19" s="62">
        <v>1.1124290410198552E-2</v>
      </c>
      <c r="W19" s="61">
        <v>-5.3098035241656265E-5</v>
      </c>
      <c r="X19" s="62">
        <v>1.0951707382201453E-2</v>
      </c>
      <c r="Y19" s="63">
        <v>2.4426359671006262E-5</v>
      </c>
      <c r="Z19" s="65">
        <v>1.0859546418087935E-2</v>
      </c>
    </row>
    <row r="20" spans="1:26">
      <c r="A20" s="49"/>
      <c r="B20" s="66" t="s">
        <v>18</v>
      </c>
      <c r="C20" s="61">
        <v>1.0458931587129015E-3</v>
      </c>
      <c r="D20" s="62">
        <v>6.6375132127858505E-2</v>
      </c>
      <c r="E20" s="63">
        <v>4.5993568062882475E-4</v>
      </c>
      <c r="F20" s="64">
        <v>6.7623987466884666E-2</v>
      </c>
      <c r="G20" s="61">
        <v>9.7892738935849563E-4</v>
      </c>
      <c r="H20" s="62">
        <v>6.7729590000183026E-2</v>
      </c>
      <c r="I20" s="63">
        <v>3.1164841483060507E-4</v>
      </c>
      <c r="J20" s="64">
        <v>6.9428923289266267E-2</v>
      </c>
      <c r="K20" s="61">
        <v>4.2271612859315534E-4</v>
      </c>
      <c r="L20" s="62">
        <v>7.6159470890862307E-2</v>
      </c>
      <c r="M20" s="63">
        <v>-2.5761372469659414E-4</v>
      </c>
      <c r="N20" s="64">
        <v>7.6418923749578274E-2</v>
      </c>
      <c r="O20" s="61">
        <v>6.6815018946604849E-4</v>
      </c>
      <c r="P20" s="62">
        <v>7.5163210111180254E-2</v>
      </c>
      <c r="Q20" s="63">
        <v>7.3375649630958144E-4</v>
      </c>
      <c r="R20" s="64">
        <v>7.5452452689338145E-2</v>
      </c>
      <c r="S20" s="61">
        <v>1.2646319492834327E-3</v>
      </c>
      <c r="T20" s="62">
        <v>7.6468226804973782E-2</v>
      </c>
      <c r="U20" s="61">
        <v>8.1245055298216292E-4</v>
      </c>
      <c r="V20" s="62">
        <v>7.6755779629744433E-2</v>
      </c>
      <c r="W20" s="61">
        <v>-5.2719997531418207E-4</v>
      </c>
      <c r="X20" s="62">
        <v>7.6851452277253471E-2</v>
      </c>
      <c r="Y20" s="63">
        <v>4.8426424017465538E-4</v>
      </c>
      <c r="Z20" s="65">
        <v>7.6187447712123074E-2</v>
      </c>
    </row>
    <row r="21" spans="1:26">
      <c r="A21" s="49"/>
      <c r="B21" s="66" t="s">
        <v>19</v>
      </c>
      <c r="C21" s="61">
        <v>7.2805136805260457E-5</v>
      </c>
      <c r="D21" s="62">
        <v>1.538655800810004E-2</v>
      </c>
      <c r="E21" s="63">
        <v>1.4362788525586916E-5</v>
      </c>
      <c r="F21" s="64">
        <v>1.5073705231800075E-2</v>
      </c>
      <c r="G21" s="61">
        <v>5.0189815487549514E-5</v>
      </c>
      <c r="H21" s="62">
        <v>1.5019156348097489E-2</v>
      </c>
      <c r="I21" s="63">
        <v>8.5453417278005779E-5</v>
      </c>
      <c r="J21" s="64">
        <v>1.532101830102742E-2</v>
      </c>
      <c r="K21" s="61">
        <v>2.0275050479845759E-4</v>
      </c>
      <c r="L21" s="62">
        <v>1.5376415704257211E-2</v>
      </c>
      <c r="M21" s="63">
        <v>4.7225622113920122E-5</v>
      </c>
      <c r="N21" s="64">
        <v>1.5340401924500448E-2</v>
      </c>
      <c r="O21" s="61">
        <v>4.9296146759059573E-5</v>
      </c>
      <c r="P21" s="62">
        <v>1.5204014140883562E-2</v>
      </c>
      <c r="Q21" s="63">
        <v>9.7556527891175243E-5</v>
      </c>
      <c r="R21" s="64">
        <v>1.5092725682902515E-2</v>
      </c>
      <c r="S21" s="61">
        <v>2.4500831714229415E-4</v>
      </c>
      <c r="T21" s="62">
        <v>1.5204603192068396E-2</v>
      </c>
      <c r="U21" s="61">
        <v>-7.1598966201291283E-6</v>
      </c>
      <c r="V21" s="62">
        <v>1.5136472064227545E-2</v>
      </c>
      <c r="W21" s="61">
        <v>-4.2804520112897194E-5</v>
      </c>
      <c r="X21" s="62">
        <v>1.4953381702682364E-2</v>
      </c>
      <c r="Y21" s="63">
        <v>-2.5797810456785586E-5</v>
      </c>
      <c r="Z21" s="65">
        <v>1.4806840454832704E-2</v>
      </c>
    </row>
    <row r="22" spans="1:26">
      <c r="A22" s="49"/>
      <c r="B22" s="66" t="s">
        <v>20</v>
      </c>
      <c r="C22" s="61">
        <v>0</v>
      </c>
      <c r="D22" s="62">
        <v>0</v>
      </c>
      <c r="E22" s="63">
        <v>0</v>
      </c>
      <c r="F22" s="64">
        <v>0</v>
      </c>
      <c r="G22" s="61">
        <v>0</v>
      </c>
      <c r="H22" s="62">
        <v>0</v>
      </c>
      <c r="I22" s="63">
        <v>0</v>
      </c>
      <c r="J22" s="64">
        <v>0</v>
      </c>
      <c r="K22" s="61">
        <v>0</v>
      </c>
      <c r="L22" s="62">
        <v>0</v>
      </c>
      <c r="M22" s="63">
        <v>0</v>
      </c>
      <c r="N22" s="64">
        <v>0</v>
      </c>
      <c r="O22" s="61">
        <v>0</v>
      </c>
      <c r="P22" s="62">
        <v>0</v>
      </c>
      <c r="Q22" s="63">
        <v>0</v>
      </c>
      <c r="R22" s="64">
        <v>0</v>
      </c>
      <c r="S22" s="61">
        <v>0</v>
      </c>
      <c r="T22" s="62">
        <v>0</v>
      </c>
      <c r="U22" s="61">
        <v>0</v>
      </c>
      <c r="V22" s="62">
        <v>0</v>
      </c>
      <c r="W22" s="61">
        <v>0</v>
      </c>
      <c r="X22" s="62">
        <v>0</v>
      </c>
      <c r="Y22" s="63">
        <v>0</v>
      </c>
      <c r="Z22" s="65">
        <v>0</v>
      </c>
    </row>
    <row r="23" spans="1:26">
      <c r="A23" s="49"/>
      <c r="B23" s="66" t="s">
        <v>21</v>
      </c>
      <c r="C23" s="61">
        <v>1.1645652337396504E-5</v>
      </c>
      <c r="D23" s="62">
        <v>4.240291940452787E-3</v>
      </c>
      <c r="E23" s="63">
        <v>1.3325748909216177E-6</v>
      </c>
      <c r="F23" s="64">
        <v>4.2423033167424276E-3</v>
      </c>
      <c r="G23" s="61">
        <v>0</v>
      </c>
      <c r="H23" s="62">
        <v>4.2251609829748538E-3</v>
      </c>
      <c r="I23" s="63">
        <v>7.4450094785765598E-6</v>
      </c>
      <c r="J23" s="64">
        <v>4.3085009440146631E-3</v>
      </c>
      <c r="K23" s="61">
        <v>-3.9662263992341241E-20</v>
      </c>
      <c r="L23" s="62">
        <v>4.6311058056609658E-3</v>
      </c>
      <c r="M23" s="63">
        <v>4.6884106534453795E-4</v>
      </c>
      <c r="N23" s="64">
        <v>5.1382335139766146E-3</v>
      </c>
      <c r="O23" s="61">
        <v>9.3555950487400752E-6</v>
      </c>
      <c r="P23" s="62">
        <v>5.0784182675212572E-3</v>
      </c>
      <c r="Q23" s="63">
        <v>0</v>
      </c>
      <c r="R23" s="64">
        <v>5.012223672029424E-3</v>
      </c>
      <c r="S23" s="61">
        <v>-1.0261419817154014E-3</v>
      </c>
      <c r="T23" s="62">
        <v>4.3803506975738154E-3</v>
      </c>
      <c r="U23" s="61">
        <v>1.0103576900674119E-5</v>
      </c>
      <c r="V23" s="62">
        <v>4.4317919337374867E-3</v>
      </c>
      <c r="W23" s="61">
        <v>-1.6696348317052072E-4</v>
      </c>
      <c r="X23" s="62">
        <v>4.3938523914392258E-3</v>
      </c>
      <c r="Y23" s="63">
        <v>-1.4586737804685014E-4</v>
      </c>
      <c r="Z23" s="65">
        <v>4.2455538419368007E-3</v>
      </c>
    </row>
    <row r="24" spans="1:26">
      <c r="A24" s="49"/>
      <c r="B24" s="66" t="s">
        <v>22</v>
      </c>
      <c r="C24" s="61">
        <v>-1.1467947376426551E-8</v>
      </c>
      <c r="D24" s="62">
        <v>9.8124347748043735E-3</v>
      </c>
      <c r="E24" s="63">
        <v>-3.1813458072034699E-7</v>
      </c>
      <c r="F24" s="64">
        <v>1.0022561433968064E-2</v>
      </c>
      <c r="G24" s="61">
        <v>4.8705363294464662E-6</v>
      </c>
      <c r="H24" s="62">
        <v>1.3555531987847164E-2</v>
      </c>
      <c r="I24" s="63">
        <v>6.9150724932811696E-7</v>
      </c>
      <c r="J24" s="64">
        <v>1.2971769867296258E-2</v>
      </c>
      <c r="K24" s="61">
        <v>-5.0263769746171369E-8</v>
      </c>
      <c r="L24" s="62">
        <v>1.2968971328971596E-2</v>
      </c>
      <c r="M24" s="63">
        <v>1.0521569630485566E-7</v>
      </c>
      <c r="N24" s="64">
        <v>1.6149652782306938E-2</v>
      </c>
      <c r="O24" s="61">
        <v>1.7436430072699802E-7</v>
      </c>
      <c r="P24" s="62">
        <v>1.5560398312898072E-2</v>
      </c>
      <c r="Q24" s="63">
        <v>3.811609751959449E-6</v>
      </c>
      <c r="R24" s="64">
        <v>3.8117301957334665E-3</v>
      </c>
      <c r="S24" s="61">
        <v>2.7560749670151559E-7</v>
      </c>
      <c r="T24" s="62">
        <v>7.8086672173502932E-3</v>
      </c>
      <c r="U24" s="61">
        <v>3.3849405275632741E-8</v>
      </c>
      <c r="V24" s="62">
        <v>7.6845374956654462E-3</v>
      </c>
      <c r="W24" s="61">
        <v>4.9063244615224006E-7</v>
      </c>
      <c r="X24" s="62">
        <v>8.2842550441609916E-3</v>
      </c>
      <c r="Y24" s="63">
        <v>-1.9097560809631329E-7</v>
      </c>
      <c r="Z24" s="65">
        <v>1.098027960617678E-2</v>
      </c>
    </row>
    <row r="25" spans="1:26">
      <c r="A25" s="53"/>
      <c r="B25" s="67" t="s">
        <v>23</v>
      </c>
      <c r="C25" s="68">
        <v>-3.9480000000000001E-3</v>
      </c>
      <c r="D25" s="69">
        <v>1</v>
      </c>
      <c r="E25" s="70">
        <v>1.1514583649523846E-2</v>
      </c>
      <c r="F25" s="71">
        <v>1</v>
      </c>
      <c r="G25" s="68">
        <v>6.2779247553443884E-3</v>
      </c>
      <c r="H25" s="69">
        <v>1</v>
      </c>
      <c r="I25" s="70">
        <v>-1.053502117334526E-2</v>
      </c>
      <c r="J25" s="71">
        <v>1</v>
      </c>
      <c r="K25" s="68">
        <v>-3.2002145686291783E-3</v>
      </c>
      <c r="L25" s="69">
        <v>1</v>
      </c>
      <c r="M25" s="70">
        <v>-2.9538831439858138E-3</v>
      </c>
      <c r="N25" s="71">
        <v>1</v>
      </c>
      <c r="O25" s="68">
        <v>1.4900329871662121E-2</v>
      </c>
      <c r="P25" s="69">
        <v>1</v>
      </c>
      <c r="Q25" s="70">
        <v>1.6568804140029147E-2</v>
      </c>
      <c r="R25" s="71">
        <v>1</v>
      </c>
      <c r="S25" s="68">
        <v>2.1705993905793974E-3</v>
      </c>
      <c r="T25" s="69">
        <v>1</v>
      </c>
      <c r="U25" s="68">
        <v>2.1734889267635005E-3</v>
      </c>
      <c r="V25" s="69">
        <v>1</v>
      </c>
      <c r="W25" s="68">
        <v>1.9968439594838516E-2</v>
      </c>
      <c r="X25" s="69">
        <v>1</v>
      </c>
      <c r="Y25" s="70">
        <v>6.6665478737084616E-3</v>
      </c>
      <c r="Z25" s="72">
        <v>1</v>
      </c>
    </row>
    <row r="26" spans="1:26">
      <c r="A26" s="53"/>
      <c r="B26" s="73" t="s">
        <v>24</v>
      </c>
      <c r="C26" s="74">
        <v>-48653.029988104798</v>
      </c>
      <c r="D26" s="75"/>
      <c r="E26" s="76">
        <v>140968.34363018101</v>
      </c>
      <c r="F26" s="77"/>
      <c r="G26" s="74">
        <v>77556.512346891002</v>
      </c>
      <c r="H26" s="75"/>
      <c r="I26" s="76">
        <v>-143327.613175045</v>
      </c>
      <c r="J26" s="77"/>
      <c r="K26" s="74">
        <v>-28179.481330212999</v>
      </c>
      <c r="L26" s="75"/>
      <c r="M26" s="76">
        <v>-36061.510374681602</v>
      </c>
      <c r="N26" s="77"/>
      <c r="O26" s="74">
        <v>181495.46602408701</v>
      </c>
      <c r="P26" s="75"/>
      <c r="Q26" s="76">
        <v>0</v>
      </c>
      <c r="R26" s="77"/>
      <c r="S26" s="74">
        <v>16770.914634258799</v>
      </c>
      <c r="T26" s="75"/>
      <c r="U26" s="74">
        <v>27241.541553704799</v>
      </c>
      <c r="V26" s="75"/>
      <c r="W26" s="74">
        <v>-397927.33157369902</v>
      </c>
      <c r="X26" s="75">
        <v>0</v>
      </c>
      <c r="Y26" s="76">
        <v>94222.051640570702</v>
      </c>
      <c r="Z26" s="78"/>
    </row>
    <row r="27" spans="1:26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>
      <c r="A28" s="49"/>
      <c r="B28" s="60" t="s">
        <v>25</v>
      </c>
      <c r="C28" s="79">
        <v>-5.6595675807183492E-3</v>
      </c>
      <c r="D28" s="80">
        <v>0.82611377955517962</v>
      </c>
      <c r="E28" s="81">
        <v>9.6685598618711129E-3</v>
      </c>
      <c r="F28" s="82">
        <v>0.83369118849518919</v>
      </c>
      <c r="G28" s="79">
        <v>-2.1364284966815719E-3</v>
      </c>
      <c r="H28" s="80">
        <v>0.83177683762177279</v>
      </c>
      <c r="I28" s="81">
        <v>-9.2867504759575302E-3</v>
      </c>
      <c r="J28" s="82">
        <v>0.83676107974216274</v>
      </c>
      <c r="K28" s="79">
        <v>-9.0892613275097307E-3</v>
      </c>
      <c r="L28" s="80">
        <v>0.83692990345767426</v>
      </c>
      <c r="M28" s="81">
        <v>-5.6484220169664571E-3</v>
      </c>
      <c r="N28" s="82">
        <v>0.83680725395713362</v>
      </c>
      <c r="O28" s="79">
        <v>1.3250079153248235E-2</v>
      </c>
      <c r="P28" s="80">
        <v>0.83595063953060433</v>
      </c>
      <c r="Q28" s="81">
        <v>1.7821375781053656E-2</v>
      </c>
      <c r="R28" s="82">
        <v>0.8458375145736059</v>
      </c>
      <c r="S28" s="79">
        <v>-2.8792460563107085E-3</v>
      </c>
      <c r="T28" s="80">
        <v>0.84152990740456168</v>
      </c>
      <c r="U28" s="79">
        <v>3.2332358010866463E-3</v>
      </c>
      <c r="V28" s="80">
        <v>0.84871166052953328</v>
      </c>
      <c r="W28" s="79">
        <v>-5.8724588087893478E-2</v>
      </c>
      <c r="X28" s="80">
        <v>0.84803296393877281</v>
      </c>
      <c r="Y28" s="81">
        <v>8.3126339300208362E-3</v>
      </c>
      <c r="Z28" s="83">
        <v>0.85097189417244667</v>
      </c>
    </row>
    <row r="29" spans="1:26">
      <c r="A29" s="49"/>
      <c r="B29" s="66" t="s">
        <v>26</v>
      </c>
      <c r="C29" s="61">
        <v>1.7115675807183488E-3</v>
      </c>
      <c r="D29" s="62">
        <v>0.17388622044482044</v>
      </c>
      <c r="E29" s="63">
        <v>1.8460237876527315E-3</v>
      </c>
      <c r="F29" s="64">
        <v>0.16630881150481072</v>
      </c>
      <c r="G29" s="61">
        <v>8.4143532520259603E-3</v>
      </c>
      <c r="H29" s="62">
        <v>0.16822316237822718</v>
      </c>
      <c r="I29" s="63">
        <v>-1.2482706973877317E-3</v>
      </c>
      <c r="J29" s="64">
        <v>0.16323892025783723</v>
      </c>
      <c r="K29" s="61">
        <v>5.8890467588805524E-3</v>
      </c>
      <c r="L29" s="62">
        <v>0.16307009654232574</v>
      </c>
      <c r="M29" s="63">
        <v>2.6945388729806433E-3</v>
      </c>
      <c r="N29" s="64">
        <v>0.16319274604286643</v>
      </c>
      <c r="O29" s="61">
        <v>1.6502507184138863E-3</v>
      </c>
      <c r="P29" s="62">
        <v>0.16404936046939575</v>
      </c>
      <c r="Q29" s="63">
        <v>-1.2525716410245087E-3</v>
      </c>
      <c r="R29" s="64">
        <v>0.15416248542639416</v>
      </c>
      <c r="S29" s="61">
        <v>5.0498454468901064E-3</v>
      </c>
      <c r="T29" s="62">
        <v>0.1584700925954384</v>
      </c>
      <c r="U29" s="61">
        <v>-1.0597468743231461E-3</v>
      </c>
      <c r="V29" s="62">
        <v>0.15128833947046677</v>
      </c>
      <c r="W29" s="61">
        <v>7.8693027682731995E-2</v>
      </c>
      <c r="X29" s="62">
        <v>0.15196703606122716</v>
      </c>
      <c r="Y29" s="63">
        <v>-1.6460860563123735E-3</v>
      </c>
      <c r="Z29" s="65">
        <v>0.14902810582755333</v>
      </c>
    </row>
    <row r="30" spans="1:26">
      <c r="A30" s="53"/>
      <c r="B30" s="73" t="s">
        <v>23</v>
      </c>
      <c r="C30" s="84">
        <v>-3.9480000000000001E-3</v>
      </c>
      <c r="D30" s="85">
        <v>1</v>
      </c>
      <c r="E30" s="86">
        <v>1.1514583649523846E-2</v>
      </c>
      <c r="F30" s="87">
        <v>1</v>
      </c>
      <c r="G30" s="84">
        <v>6.2779247553443884E-3</v>
      </c>
      <c r="H30" s="85">
        <v>1</v>
      </c>
      <c r="I30" s="86">
        <v>-1.053502117334526E-2</v>
      </c>
      <c r="J30" s="87">
        <v>1</v>
      </c>
      <c r="K30" s="84">
        <v>-3.2002145686291783E-3</v>
      </c>
      <c r="L30" s="85">
        <v>1</v>
      </c>
      <c r="M30" s="86">
        <v>-2.9538831439858138E-3</v>
      </c>
      <c r="N30" s="87">
        <v>1</v>
      </c>
      <c r="O30" s="84">
        <v>1.4900329871662121E-2</v>
      </c>
      <c r="P30" s="85">
        <v>1</v>
      </c>
      <c r="Q30" s="86">
        <v>1.6568804140029147E-2</v>
      </c>
      <c r="R30" s="87">
        <v>1</v>
      </c>
      <c r="S30" s="84">
        <v>2.1705993905793974E-3</v>
      </c>
      <c r="T30" s="85">
        <v>1</v>
      </c>
      <c r="U30" s="84">
        <v>2.1734889267635005E-3</v>
      </c>
      <c r="V30" s="85">
        <v>1</v>
      </c>
      <c r="W30" s="84">
        <v>1.9968439594838516E-2</v>
      </c>
      <c r="X30" s="85">
        <v>1</v>
      </c>
      <c r="Y30" s="86">
        <v>6.6665478737084616E-3</v>
      </c>
      <c r="Z30" s="88">
        <v>1</v>
      </c>
    </row>
    <row r="31" spans="1:26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>
      <c r="A32" s="49"/>
      <c r="B32" s="60" t="s">
        <v>27</v>
      </c>
      <c r="C32" s="79">
        <v>-2.1530041680898628E-3</v>
      </c>
      <c r="D32" s="80">
        <v>0.42541912522876613</v>
      </c>
      <c r="E32" s="81">
        <v>8.407749290478439E-3</v>
      </c>
      <c r="F32" s="82">
        <v>0.42692729967344251</v>
      </c>
      <c r="G32" s="79">
        <v>5.8858870942089751E-3</v>
      </c>
      <c r="H32" s="80">
        <v>0.42795949492876978</v>
      </c>
      <c r="I32" s="81">
        <v>-8.7873406054216237E-3</v>
      </c>
      <c r="J32" s="82">
        <v>0.42127897226513056</v>
      </c>
      <c r="K32" s="79">
        <v>-2.8951322195562824E-3</v>
      </c>
      <c r="L32" s="80">
        <v>0.41280583753126637</v>
      </c>
      <c r="M32" s="81">
        <v>-2.408844017521779E-3</v>
      </c>
      <c r="N32" s="82">
        <v>0.41237682612770754</v>
      </c>
      <c r="O32" s="79">
        <v>9.4409834247975166E-3</v>
      </c>
      <c r="P32" s="80">
        <v>0.4066626261295499</v>
      </c>
      <c r="Q32" s="81">
        <v>8.8607161170089713E-3</v>
      </c>
      <c r="R32" s="82">
        <v>0.40937400451392242</v>
      </c>
      <c r="S32" s="79">
        <v>-2.0928149278039176E-3</v>
      </c>
      <c r="T32" s="80">
        <v>0.40866233886704473</v>
      </c>
      <c r="U32" s="79">
        <v>2.4280079853706235E-3</v>
      </c>
      <c r="V32" s="80">
        <v>0.41273600646087727</v>
      </c>
      <c r="W32" s="79">
        <v>-5.6486674982983237E-2</v>
      </c>
      <c r="X32" s="80">
        <v>0.41592373932605725</v>
      </c>
      <c r="Y32" s="81">
        <v>4.5265441226760112E-3</v>
      </c>
      <c r="Z32" s="83">
        <v>0.41237172286769475</v>
      </c>
    </row>
    <row r="33" spans="1:26">
      <c r="A33" s="49"/>
      <c r="B33" s="66" t="s">
        <v>28</v>
      </c>
      <c r="C33" s="61">
        <v>-1.7949958319101373E-3</v>
      </c>
      <c r="D33" s="62">
        <v>0.57458087477123398</v>
      </c>
      <c r="E33" s="63">
        <v>3.106834359045406E-3</v>
      </c>
      <c r="F33" s="64">
        <v>0.57307270032655755</v>
      </c>
      <c r="G33" s="61">
        <v>3.9203766113541315E-4</v>
      </c>
      <c r="H33" s="62">
        <v>0.57204050507123017</v>
      </c>
      <c r="I33" s="63">
        <v>-1.7476805679236356E-3</v>
      </c>
      <c r="J33" s="64">
        <v>0.57872102773486944</v>
      </c>
      <c r="K33" s="61">
        <v>-3.0508234907289584E-4</v>
      </c>
      <c r="L33" s="62">
        <v>0.58719416246873357</v>
      </c>
      <c r="M33" s="63">
        <v>-5.4503912646403476E-4</v>
      </c>
      <c r="N33" s="64">
        <v>0.58762317387229235</v>
      </c>
      <c r="O33" s="61">
        <v>5.4593464468646047E-3</v>
      </c>
      <c r="P33" s="62">
        <v>0.59333737387045005</v>
      </c>
      <c r="Q33" s="63">
        <v>7.7080880230201744E-3</v>
      </c>
      <c r="R33" s="64">
        <v>0.59062599548607764</v>
      </c>
      <c r="S33" s="61">
        <v>4.2634143183833155E-3</v>
      </c>
      <c r="T33" s="62">
        <v>0.59133766113295516</v>
      </c>
      <c r="U33" s="61">
        <v>-2.5451905860712299E-4</v>
      </c>
      <c r="V33" s="62">
        <v>0.58726399353912262</v>
      </c>
      <c r="W33" s="61">
        <v>7.6455114577821753E-2</v>
      </c>
      <c r="X33" s="62">
        <v>0.5840762606739428</v>
      </c>
      <c r="Y33" s="63">
        <v>2.1400037510324503E-3</v>
      </c>
      <c r="Z33" s="65">
        <v>0.58762827713230525</v>
      </c>
    </row>
    <row r="34" spans="1:26">
      <c r="A34" s="53"/>
      <c r="B34" s="73" t="s">
        <v>23</v>
      </c>
      <c r="C34" s="84">
        <v>-3.9480000000000001E-3</v>
      </c>
      <c r="D34" s="85">
        <v>1</v>
      </c>
      <c r="E34" s="86">
        <v>1.1514583649523846E-2</v>
      </c>
      <c r="F34" s="87">
        <v>1</v>
      </c>
      <c r="G34" s="84">
        <v>6.2779247553443884E-3</v>
      </c>
      <c r="H34" s="85">
        <v>1</v>
      </c>
      <c r="I34" s="86">
        <v>-1.053502117334526E-2</v>
      </c>
      <c r="J34" s="87">
        <v>1</v>
      </c>
      <c r="K34" s="84">
        <v>-3.2002145686291783E-3</v>
      </c>
      <c r="L34" s="85">
        <v>1</v>
      </c>
      <c r="M34" s="86">
        <v>-2.9538831439858138E-3</v>
      </c>
      <c r="N34" s="87">
        <v>1</v>
      </c>
      <c r="O34" s="84">
        <v>1.4900329871662121E-2</v>
      </c>
      <c r="P34" s="85">
        <v>1</v>
      </c>
      <c r="Q34" s="86">
        <v>1.6568804140029147E-2</v>
      </c>
      <c r="R34" s="87">
        <v>1</v>
      </c>
      <c r="S34" s="84">
        <v>2.1705993905793974E-3</v>
      </c>
      <c r="T34" s="85">
        <v>1</v>
      </c>
      <c r="U34" s="84">
        <v>2.1734889267635005E-3</v>
      </c>
      <c r="V34" s="85">
        <v>1</v>
      </c>
      <c r="W34" s="84">
        <v>1.9968439594838516E-2</v>
      </c>
      <c r="X34" s="85">
        <v>1</v>
      </c>
      <c r="Y34" s="86">
        <v>6.6665478737084616E-3</v>
      </c>
      <c r="Z34" s="88">
        <v>1</v>
      </c>
    </row>
    <row r="35" spans="1:26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60" customHeight="1">
      <c r="A36" s="53"/>
      <c r="B36" s="54" t="s">
        <v>29</v>
      </c>
      <c r="C36" s="55" t="s">
        <v>64</v>
      </c>
      <c r="D36" s="56" t="s">
        <v>65</v>
      </c>
      <c r="E36" s="57" t="s">
        <v>66</v>
      </c>
      <c r="F36" s="58" t="s">
        <v>67</v>
      </c>
      <c r="G36" s="55" t="s">
        <v>68</v>
      </c>
      <c r="H36" s="56" t="s">
        <v>69</v>
      </c>
      <c r="I36" s="89" t="s">
        <v>70</v>
      </c>
      <c r="J36" s="90" t="s">
        <v>71</v>
      </c>
    </row>
    <row r="37" spans="1:26">
      <c r="A37" s="49"/>
      <c r="B37" s="60" t="s">
        <v>4</v>
      </c>
      <c r="C37" s="61">
        <v>3.0895404410580252E-4</v>
      </c>
      <c r="D37" s="62">
        <v>1.796647126140925E-2</v>
      </c>
      <c r="E37" s="91">
        <v>-1.5329060993352073E-4</v>
      </c>
      <c r="F37" s="92">
        <v>0</v>
      </c>
      <c r="G37" s="61">
        <v>1.992253438774072E-3</v>
      </c>
      <c r="H37" s="62">
        <v>1.933771655780888E-2</v>
      </c>
      <c r="I37" s="91">
        <v>-4.4472392336307953E-2</v>
      </c>
      <c r="J37" s="92">
        <v>2.3405857316078204E-2</v>
      </c>
      <c r="N37" s="93"/>
      <c r="O37" s="93"/>
    </row>
    <row r="38" spans="1:26">
      <c r="A38" s="49"/>
      <c r="B38" s="66" t="s">
        <v>5</v>
      </c>
      <c r="C38" s="61">
        <v>-3.1047093229598088E-3</v>
      </c>
      <c r="D38" s="62">
        <v>0.53663706908395858</v>
      </c>
      <c r="E38" s="91">
        <v>-2.3616431112660763E-2</v>
      </c>
      <c r="F38" s="92">
        <v>0</v>
      </c>
      <c r="G38" s="61">
        <v>-6.4412289954715041E-3</v>
      </c>
      <c r="H38" s="62">
        <v>0.53751866104932811</v>
      </c>
      <c r="I38" s="91">
        <v>-1.0261378541164157E-2</v>
      </c>
      <c r="J38" s="92">
        <v>0.5346641296061706</v>
      </c>
      <c r="L38" s="93"/>
      <c r="M38" s="93"/>
    </row>
    <row r="39" spans="1:26">
      <c r="A39" s="49"/>
      <c r="B39" s="66" t="s">
        <v>6</v>
      </c>
      <c r="C39" s="61">
        <v>0</v>
      </c>
      <c r="D39" s="62">
        <v>0</v>
      </c>
      <c r="E39" s="91">
        <v>0</v>
      </c>
      <c r="F39" s="92">
        <v>0</v>
      </c>
      <c r="G39" s="61">
        <v>0</v>
      </c>
      <c r="H39" s="62">
        <v>0</v>
      </c>
      <c r="I39" s="91">
        <v>0</v>
      </c>
      <c r="J39" s="92">
        <v>0</v>
      </c>
      <c r="N39" s="93"/>
    </row>
    <row r="40" spans="1:26">
      <c r="A40" s="49"/>
      <c r="B40" s="66" t="s">
        <v>7</v>
      </c>
      <c r="C40" s="61">
        <v>0</v>
      </c>
      <c r="D40" s="62">
        <v>0</v>
      </c>
      <c r="E40" s="91">
        <v>0</v>
      </c>
      <c r="F40" s="92">
        <v>0</v>
      </c>
      <c r="G40" s="61">
        <v>0</v>
      </c>
      <c r="H40" s="62">
        <v>0</v>
      </c>
      <c r="I40" s="91">
        <v>0</v>
      </c>
      <c r="J40" s="92">
        <v>0</v>
      </c>
      <c r="L40" s="93"/>
    </row>
    <row r="41" spans="1:26">
      <c r="A41" s="49"/>
      <c r="B41" s="66" t="s">
        <v>8</v>
      </c>
      <c r="C41" s="61">
        <v>2.5052894070882736E-3</v>
      </c>
      <c r="D41" s="62">
        <v>0.10939551087264818</v>
      </c>
      <c r="E41" s="91">
        <v>2.4717144143786562E-3</v>
      </c>
      <c r="F41" s="92">
        <v>0</v>
      </c>
      <c r="G41" s="61">
        <v>5.424881177063634E-3</v>
      </c>
      <c r="H41" s="62">
        <v>0.10935919068571576</v>
      </c>
      <c r="I41" s="91">
        <v>6.4055147086545805E-3</v>
      </c>
      <c r="J41" s="92">
        <v>0.10694715456806275</v>
      </c>
      <c r="L41" s="93"/>
    </row>
    <row r="42" spans="1:26">
      <c r="A42" s="49"/>
      <c r="B42" s="66" t="s">
        <v>9</v>
      </c>
      <c r="C42" s="61">
        <v>3.0399255302659967E-4</v>
      </c>
      <c r="D42" s="62">
        <v>2.1613744585511498E-2</v>
      </c>
      <c r="E42" s="91">
        <v>1.8738443332932953E-4</v>
      </c>
      <c r="F42" s="92">
        <v>0</v>
      </c>
      <c r="G42" s="61">
        <v>7.7188157659757728E-4</v>
      </c>
      <c r="H42" s="62">
        <v>2.1569809582910226E-2</v>
      </c>
      <c r="I42" s="91">
        <v>8.0974012587531341E-4</v>
      </c>
      <c r="J42" s="92">
        <v>2.2936442529954297E-2</v>
      </c>
      <c r="L42" s="93"/>
      <c r="O42" s="93"/>
      <c r="S42" s="93"/>
    </row>
    <row r="43" spans="1:26">
      <c r="A43" s="49"/>
      <c r="B43" s="66" t="s">
        <v>10</v>
      </c>
      <c r="C43" s="61">
        <v>6.0605251664958004E-3</v>
      </c>
      <c r="D43" s="62">
        <v>4.0496775588325047E-2</v>
      </c>
      <c r="E43" s="91">
        <v>5.1573098408108642E-3</v>
      </c>
      <c r="F43" s="92">
        <v>0</v>
      </c>
      <c r="G43" s="61">
        <v>9.0301031375705776E-3</v>
      </c>
      <c r="H43" s="62">
        <v>4.23474822910141E-2</v>
      </c>
      <c r="I43" s="91">
        <v>1.140016251567344E-2</v>
      </c>
      <c r="J43" s="92">
        <v>4.7503113913587289E-2</v>
      </c>
      <c r="L43" s="94"/>
    </row>
    <row r="44" spans="1:26">
      <c r="A44" s="49"/>
      <c r="B44" s="66" t="s">
        <v>11</v>
      </c>
      <c r="C44" s="61">
        <v>3.402341052896718E-3</v>
      </c>
      <c r="D44" s="62">
        <v>4.4426448505908607E-2</v>
      </c>
      <c r="E44" s="91">
        <v>4.5791278046309891E-3</v>
      </c>
      <c r="F44" s="92">
        <v>0</v>
      </c>
      <c r="G44" s="61">
        <v>6.8326007664565314E-3</v>
      </c>
      <c r="H44" s="62">
        <v>4.5144480341687679E-2</v>
      </c>
      <c r="I44" s="91">
        <v>3.9155674112607564E-3</v>
      </c>
      <c r="J44" s="92">
        <v>4.3685294554465105E-2</v>
      </c>
    </row>
    <row r="45" spans="1:26">
      <c r="A45" s="49"/>
      <c r="B45" s="66" t="s">
        <v>12</v>
      </c>
      <c r="C45" s="61">
        <v>3.2710689647386104E-4</v>
      </c>
      <c r="D45" s="62">
        <v>5.6696924431915013E-3</v>
      </c>
      <c r="E45" s="91">
        <v>6.1363320051088799E-4</v>
      </c>
      <c r="F45" s="92">
        <v>0</v>
      </c>
      <c r="G45" s="61">
        <v>1.4375372975561351E-3</v>
      </c>
      <c r="H45" s="62">
        <v>8.8997289461368607E-3</v>
      </c>
      <c r="I45" s="91">
        <v>1.3139914524418206E-3</v>
      </c>
      <c r="J45" s="92">
        <v>0</v>
      </c>
    </row>
    <row r="46" spans="1:26">
      <c r="A46" s="49"/>
      <c r="B46" s="66" t="s">
        <v>13</v>
      </c>
      <c r="C46" s="61">
        <v>1.1341123535761888E-3</v>
      </c>
      <c r="D46" s="62">
        <v>0.10189144113952261</v>
      </c>
      <c r="E46" s="91">
        <v>4.1423725972016268E-3</v>
      </c>
      <c r="F46" s="92">
        <v>0</v>
      </c>
      <c r="G46" s="61">
        <v>6.9309575716527405E-3</v>
      </c>
      <c r="H46" s="62">
        <v>9.9621994094261479E-2</v>
      </c>
      <c r="I46" s="91">
        <v>8.841946134868417E-2</v>
      </c>
      <c r="J46" s="92">
        <v>0.10234089562794924</v>
      </c>
      <c r="O46" s="93"/>
    </row>
    <row r="47" spans="1:26">
      <c r="A47" s="49"/>
      <c r="B47" s="66" t="s">
        <v>14</v>
      </c>
      <c r="C47" s="61">
        <v>1.9734824550177166E-4</v>
      </c>
      <c r="D47" s="62">
        <v>3.0985086120784221E-4</v>
      </c>
      <c r="E47" s="91">
        <v>1.2809733219265595E-5</v>
      </c>
      <c r="F47" s="92">
        <v>0</v>
      </c>
      <c r="G47" s="61">
        <v>1.238119216093736E-4</v>
      </c>
      <c r="H47" s="62">
        <v>3.7378903042270496E-4</v>
      </c>
      <c r="I47" s="91">
        <v>2.5776982149960936E-4</v>
      </c>
      <c r="J47" s="92">
        <v>5.5923648411682894E-4</v>
      </c>
    </row>
    <row r="48" spans="1:26">
      <c r="A48" s="49"/>
      <c r="B48" s="66" t="s">
        <v>15</v>
      </c>
      <c r="C48" s="61">
        <v>5.481623768552879E-4</v>
      </c>
      <c r="D48" s="62">
        <v>4.4702683141418983E-4</v>
      </c>
      <c r="E48" s="91">
        <v>-3.9375389792772886E-4</v>
      </c>
      <c r="F48" s="92">
        <v>0</v>
      </c>
      <c r="G48" s="61">
        <v>3.2771367609307767E-4</v>
      </c>
      <c r="H48" s="62">
        <v>1.890776890654883E-3</v>
      </c>
      <c r="I48" s="91">
        <v>-1.1302708379580251E-3</v>
      </c>
      <c r="J48" s="92">
        <v>7.8000148584741373E-4</v>
      </c>
    </row>
    <row r="49" spans="1:13">
      <c r="A49" s="49"/>
      <c r="B49" s="66" t="s">
        <v>16</v>
      </c>
      <c r="C49" s="61">
        <v>-4.9134170018949597E-4</v>
      </c>
      <c r="D49" s="62">
        <v>-1.0100389209399218E-3</v>
      </c>
      <c r="E49" s="91">
        <v>-6.8663796801038401E-5</v>
      </c>
      <c r="F49" s="92">
        <v>0</v>
      </c>
      <c r="G49" s="61">
        <v>-1.289910923950699E-3</v>
      </c>
      <c r="H49" s="62">
        <v>-9.4831666013447079E-4</v>
      </c>
      <c r="I49" s="91">
        <v>-2.039313580231239E-3</v>
      </c>
      <c r="J49" s="92">
        <v>9.8205880610691286E-5</v>
      </c>
    </row>
    <row r="50" spans="1:13">
      <c r="A50" s="49"/>
      <c r="B50" s="66" t="s">
        <v>17</v>
      </c>
      <c r="C50" s="61">
        <v>1.268034913759486E-5</v>
      </c>
      <c r="D50" s="62">
        <v>1.1149966915359555E-2</v>
      </c>
      <c r="E50" s="91">
        <v>4.0175436058387248E-5</v>
      </c>
      <c r="F50" s="92">
        <v>0</v>
      </c>
      <c r="G50" s="61">
        <v>-3.7363751563457281E-4</v>
      </c>
      <c r="H50" s="62">
        <v>1.1022839278227579E-2</v>
      </c>
      <c r="I50" s="91">
        <v>-3.5575574247359576E-4</v>
      </c>
      <c r="J50" s="92">
        <v>1.0859546418087935E-2</v>
      </c>
    </row>
    <row r="51" spans="1:13">
      <c r="A51" s="49"/>
      <c r="B51" s="66" t="s">
        <v>18</v>
      </c>
      <c r="C51" s="61">
        <v>2.4867118402833732E-3</v>
      </c>
      <c r="D51" s="62">
        <v>7.5163210111180254E-2</v>
      </c>
      <c r="E51" s="91">
        <v>2.9645905804749351E-3</v>
      </c>
      <c r="F51" s="92">
        <v>0</v>
      </c>
      <c r="G51" s="61">
        <v>5.6413048975463287E-3</v>
      </c>
      <c r="H51" s="62">
        <v>7.6468226804973782E-2</v>
      </c>
      <c r="I51" s="91">
        <v>6.4148687502154633E-3</v>
      </c>
      <c r="J51" s="92">
        <v>7.6187447712123074E-2</v>
      </c>
    </row>
    <row r="52" spans="1:13">
      <c r="A52" s="49"/>
      <c r="B52" s="66" t="s">
        <v>19</v>
      </c>
      <c r="C52" s="61">
        <v>1.3736316149803862E-4</v>
      </c>
      <c r="D52" s="62">
        <v>1.5204014140883562E-2</v>
      </c>
      <c r="E52" s="91">
        <v>4.7286972275228933E-4</v>
      </c>
      <c r="F52" s="92">
        <v>0</v>
      </c>
      <c r="G52" s="61">
        <v>8.6495682349796432E-4</v>
      </c>
      <c r="H52" s="62">
        <v>1.5204603192068396E-2</v>
      </c>
      <c r="I52" s="91">
        <v>7.8913066207353388E-4</v>
      </c>
      <c r="J52" s="92">
        <v>1.4806840454832704E-2</v>
      </c>
    </row>
    <row r="53" spans="1:13">
      <c r="A53" s="49"/>
      <c r="B53" s="66" t="s">
        <v>20</v>
      </c>
      <c r="C53" s="61">
        <v>0</v>
      </c>
      <c r="D53" s="62">
        <v>0</v>
      </c>
      <c r="E53" s="91">
        <v>0</v>
      </c>
      <c r="F53" s="92">
        <v>0</v>
      </c>
      <c r="G53" s="61">
        <v>0</v>
      </c>
      <c r="H53" s="62">
        <v>0</v>
      </c>
      <c r="I53" s="91">
        <v>0</v>
      </c>
      <c r="J53" s="92">
        <v>0</v>
      </c>
    </row>
    <row r="54" spans="1:13">
      <c r="A54" s="49"/>
      <c r="B54" s="66" t="s">
        <v>21</v>
      </c>
      <c r="C54" s="61">
        <v>1.2978242746930491E-5</v>
      </c>
      <c r="D54" s="62">
        <v>5.0784182675212572E-3</v>
      </c>
      <c r="E54" s="91">
        <v>4.8927398949771828E-4</v>
      </c>
      <c r="F54" s="92">
        <v>0</v>
      </c>
      <c r="G54" s="61">
        <v>-5.2801948916680885E-4</v>
      </c>
      <c r="H54" s="62">
        <v>4.3803506975738154E-3</v>
      </c>
      <c r="I54" s="91">
        <v>-8.3056574470741218E-4</v>
      </c>
      <c r="J54" s="92">
        <v>4.2455538419368007E-3</v>
      </c>
    </row>
    <row r="55" spans="1:13">
      <c r="A55" s="49"/>
      <c r="B55" s="66" t="s">
        <v>22</v>
      </c>
      <c r="C55" s="61">
        <v>4.5409321995926177E-6</v>
      </c>
      <c r="D55" s="62">
        <v>1.5560398312898072E-2</v>
      </c>
      <c r="E55" s="91">
        <v>5.2873947979925617E-6</v>
      </c>
      <c r="F55" s="92">
        <v>0</v>
      </c>
      <c r="G55" s="61">
        <v>9.5490006430942742E-6</v>
      </c>
      <c r="H55" s="62">
        <v>7.8086672173502932E-3</v>
      </c>
      <c r="I55" s="91">
        <v>9.8825099876798106E-6</v>
      </c>
      <c r="J55" s="92">
        <v>1.098027960617678E-2</v>
      </c>
    </row>
    <row r="56" spans="1:13">
      <c r="A56" s="53"/>
      <c r="B56" s="67" t="s">
        <v>30</v>
      </c>
      <c r="C56" s="68">
        <v>1.3846055598736529E-2</v>
      </c>
      <c r="D56" s="69">
        <v>1</v>
      </c>
      <c r="E56" s="95">
        <v>-3.095590269660109E-3</v>
      </c>
      <c r="F56" s="96">
        <v>1</v>
      </c>
      <c r="G56" s="68">
        <v>3.0754754360837522E-2</v>
      </c>
      <c r="H56" s="69">
        <v>1</v>
      </c>
      <c r="I56" s="95">
        <v>6.0646412523523985E-2</v>
      </c>
      <c r="J56" s="96">
        <v>1</v>
      </c>
    </row>
    <row r="57" spans="1:13">
      <c r="A57" s="53"/>
      <c r="B57" s="73" t="s">
        <v>24</v>
      </c>
      <c r="C57" s="74">
        <v>169871.8259889672</v>
      </c>
      <c r="D57" s="75"/>
      <c r="E57" s="97">
        <v>-37696.778890972397</v>
      </c>
      <c r="F57" s="98"/>
      <c r="G57" s="74">
        <v>160569.60176737342</v>
      </c>
      <c r="H57" s="75"/>
      <c r="I57" s="97">
        <v>-115894.1366120501</v>
      </c>
      <c r="J57" s="98"/>
      <c r="M57" s="93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</row>
    <row r="59" spans="1:13">
      <c r="A59" s="49"/>
      <c r="B59" s="60" t="s">
        <v>25</v>
      </c>
      <c r="C59" s="99">
        <v>1.840989967427209E-3</v>
      </c>
      <c r="D59" s="100">
        <v>0.83595063953060433</v>
      </c>
      <c r="E59" s="101">
        <v>-2.2070439571167277E-2</v>
      </c>
      <c r="F59" s="102">
        <v>0</v>
      </c>
      <c r="G59" s="99">
        <v>5.7677982927288873E-3</v>
      </c>
      <c r="H59" s="100">
        <v>0.84152990740456168</v>
      </c>
      <c r="I59" s="101">
        <v>-4.201010505835856E-2</v>
      </c>
      <c r="J59" s="102">
        <v>0.85097189417244667</v>
      </c>
    </row>
    <row r="60" spans="1:13">
      <c r="A60" s="49"/>
      <c r="B60" s="66" t="s">
        <v>26</v>
      </c>
      <c r="C60" s="103">
        <v>1.200506563130932E-2</v>
      </c>
      <c r="D60" s="104">
        <v>0.16404936046939575</v>
      </c>
      <c r="E60" s="91">
        <v>1.9433636953935851E-2</v>
      </c>
      <c r="F60" s="92">
        <v>0</v>
      </c>
      <c r="G60" s="103">
        <v>2.4986956068108634E-2</v>
      </c>
      <c r="H60" s="104">
        <v>0.1584700925954384</v>
      </c>
      <c r="I60" s="91">
        <v>0.10265651758188254</v>
      </c>
      <c r="J60" s="92">
        <v>0.14902810582755333</v>
      </c>
    </row>
    <row r="61" spans="1:13">
      <c r="A61" s="53"/>
      <c r="B61" s="73" t="s">
        <v>30</v>
      </c>
      <c r="C61" s="105">
        <v>1.3846055598736529E-2</v>
      </c>
      <c r="D61" s="106">
        <v>1</v>
      </c>
      <c r="E61" s="107">
        <v>-3.095590269660109E-3</v>
      </c>
      <c r="F61" s="108">
        <v>1</v>
      </c>
      <c r="G61" s="105">
        <v>3.0754754360837522E-2</v>
      </c>
      <c r="H61" s="106">
        <v>1</v>
      </c>
      <c r="I61" s="107">
        <v>6.0646412523523985E-2</v>
      </c>
      <c r="J61" s="108">
        <v>1</v>
      </c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</row>
    <row r="63" spans="1:13">
      <c r="A63" s="49"/>
      <c r="B63" s="60" t="s">
        <v>27</v>
      </c>
      <c r="C63" s="99">
        <v>1.2147244061380569E-2</v>
      </c>
      <c r="D63" s="100">
        <v>0.4066626261295499</v>
      </c>
      <c r="E63" s="101">
        <v>-2.0492467955399718E-3</v>
      </c>
      <c r="F63" s="102">
        <v>0</v>
      </c>
      <c r="G63" s="99">
        <v>1.4143062939881101E-2</v>
      </c>
      <c r="H63" s="100">
        <v>0.40866233886704473</v>
      </c>
      <c r="I63" s="101">
        <v>-3.5753201579840965E-2</v>
      </c>
      <c r="J63" s="102">
        <v>0.41237172286769475</v>
      </c>
    </row>
    <row r="64" spans="1:13">
      <c r="A64" s="49"/>
      <c r="B64" s="66" t="s">
        <v>28</v>
      </c>
      <c r="C64" s="103">
        <v>1.6988115373559598E-3</v>
      </c>
      <c r="D64" s="104">
        <v>0.59333737387045005</v>
      </c>
      <c r="E64" s="91">
        <v>-9.017491442138148E-4</v>
      </c>
      <c r="F64" s="92">
        <v>0</v>
      </c>
      <c r="G64" s="103">
        <v>1.661169142095642E-2</v>
      </c>
      <c r="H64" s="104">
        <v>0.59133766113295516</v>
      </c>
      <c r="I64" s="91">
        <v>9.639961410336495E-2</v>
      </c>
      <c r="J64" s="92">
        <v>0.58762827713230525</v>
      </c>
    </row>
    <row r="65" spans="1:10">
      <c r="A65" s="53"/>
      <c r="B65" s="73" t="s">
        <v>30</v>
      </c>
      <c r="C65" s="105">
        <v>1.3846055598736529E-2</v>
      </c>
      <c r="D65" s="106">
        <v>1</v>
      </c>
      <c r="E65" s="107">
        <v>-3.095590269660109E-3</v>
      </c>
      <c r="F65" s="108">
        <v>1</v>
      </c>
      <c r="G65" s="105">
        <v>3.0754754360837522E-2</v>
      </c>
      <c r="H65" s="106">
        <v>1</v>
      </c>
      <c r="I65" s="107">
        <v>6.0646412523523985E-2</v>
      </c>
      <c r="J65" s="108">
        <v>1</v>
      </c>
    </row>
    <row r="66" spans="1:10">
      <c r="A66" s="49"/>
      <c r="B66" s="49"/>
      <c r="C66" s="49"/>
      <c r="D66" s="49"/>
      <c r="E66" s="49"/>
      <c r="F66" s="49"/>
      <c r="G66" s="49"/>
      <c r="H66" s="49"/>
      <c r="I66" s="49"/>
      <c r="J66" s="49"/>
    </row>
    <row r="68" spans="1:10">
      <c r="B68" s="109" t="s">
        <v>31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F8B1-435B-4957-AADA-626ADC5EF790}">
  <dimension ref="A1:I30"/>
  <sheetViews>
    <sheetView rightToLeft="1" workbookViewId="0">
      <selection activeCell="E2" sqref="D2:E30"/>
    </sheetView>
  </sheetViews>
  <sheetFormatPr defaultRowHeight="13.2"/>
  <cols>
    <col min="1" max="1" width="32.88671875" bestFit="1" customWidth="1"/>
  </cols>
  <sheetData>
    <row r="1" spans="1:9" ht="79.2">
      <c r="A1" s="2" t="s">
        <v>29</v>
      </c>
      <c r="B1" s="37" t="s">
        <v>32</v>
      </c>
      <c r="C1" s="38" t="s">
        <v>33</v>
      </c>
      <c r="D1" s="20" t="s">
        <v>34</v>
      </c>
      <c r="E1" s="20" t="s">
        <v>35</v>
      </c>
      <c r="F1" s="11" t="s">
        <v>36</v>
      </c>
      <c r="G1" s="13" t="s">
        <v>37</v>
      </c>
      <c r="H1" s="18" t="s">
        <v>38</v>
      </c>
      <c r="I1" s="19" t="s">
        <v>39</v>
      </c>
    </row>
    <row r="2" spans="1:9">
      <c r="A2" s="4" t="s">
        <v>4</v>
      </c>
      <c r="B2" s="32">
        <f>(1+'פרסום מרכיבי תשואה'!C6)*(1+'פרסום מרכיבי תשואה'!E6)*(1+'פרסום מרכיבי תשואה'!G6)-1</f>
        <v>2.9895181670158699E-4</v>
      </c>
      <c r="C2" s="33">
        <f>'פרסום מרכיבי תשואה'!H6</f>
        <v>1.9461531781953603E-2</v>
      </c>
      <c r="D2" s="21">
        <f>(1+'פרסום מרכיבי תשואה'!I6)*(1+'פרסום מרכיבי תשואה'!K6)*(1+'פרסום מרכיבי תשואה'!M6)*(1+B2)-1</f>
        <v>2.8763809020593278E-4</v>
      </c>
      <c r="E2" s="21">
        <f>'פרסום מרכיבי תשואה'!N6</f>
        <v>1.3674041463593328E-2</v>
      </c>
      <c r="F2" s="8"/>
      <c r="G2" s="33">
        <f>'פרסום מרכיבי תשואה'!T6</f>
        <v>1.933771655780888E-2</v>
      </c>
      <c r="H2" s="15"/>
      <c r="I2" s="21">
        <f>'פרסום מרכיבי תשואה'!Z6</f>
        <v>2.3405857316078204E-2</v>
      </c>
    </row>
    <row r="3" spans="1:9">
      <c r="A3" s="5" t="s">
        <v>5</v>
      </c>
      <c r="B3" s="32">
        <f>(1+'פרסום מרכיבי תשואה'!C7)*(1+'פרסום מרכיבי תשואה'!E7)*(1+'פרסום מרכיבי תשואה'!G7)-1</f>
        <v>-3.1047093229598088E-3</v>
      </c>
      <c r="C3" s="33">
        <f>'פרסום מרכיבי תשואה'!H7</f>
        <v>0.50731533131460715</v>
      </c>
      <c r="D3" s="21">
        <f>(1+'פרסום מרכיבי תשואה'!I7)*(1+'פרסום מרכיבי תשואה'!K7)*(1+'פרסום מרכיבי תשואה'!M7)*(1+B3)-1</f>
        <v>-2.3616431112660763E-2</v>
      </c>
      <c r="E3" s="21">
        <f>'פרסום מרכיבי תשואה'!N7</f>
        <v>0.53258653898792929</v>
      </c>
      <c r="F3" s="8"/>
      <c r="G3" s="33">
        <f>'פרסום מרכיבי תשואה'!T7</f>
        <v>0.53751866104932811</v>
      </c>
      <c r="H3" s="15"/>
      <c r="I3" s="21">
        <f>'פרסום מרכיבי תשואה'!Z7</f>
        <v>0.5346641296061706</v>
      </c>
    </row>
    <row r="4" spans="1:9">
      <c r="A4" s="5" t="s">
        <v>6</v>
      </c>
      <c r="B4" s="32">
        <f>(1+'פרסום מרכיבי תשואה'!C8)*(1+'פרסום מרכיבי תשואה'!E8)*(1+'פרסום מרכיבי תשואה'!G8)-1</f>
        <v>0</v>
      </c>
      <c r="C4" s="33">
        <f>'פרסום מרכיבי תשואה'!H8</f>
        <v>0</v>
      </c>
      <c r="D4" s="21">
        <f>(1+'פרסום מרכיבי תשואה'!I8)*(1+'פרסום מרכיבי תשואה'!K8)*(1+'פרסום מרכיבי תשואה'!M8)*(1+B4)-1</f>
        <v>0</v>
      </c>
      <c r="E4" s="21">
        <f>'פרסום מרכיבי תשואה'!N8</f>
        <v>0</v>
      </c>
      <c r="F4" s="8"/>
      <c r="G4" s="33">
        <f>'פרסום מרכיבי תשואה'!T8</f>
        <v>0</v>
      </c>
      <c r="H4" s="15"/>
      <c r="I4" s="21">
        <f>'פרסום מרכיבי תשואה'!Z8</f>
        <v>0</v>
      </c>
    </row>
    <row r="5" spans="1:9">
      <c r="A5" s="5" t="s">
        <v>7</v>
      </c>
      <c r="B5" s="32">
        <f>(1+'פרסום מרכיבי תשואה'!C9)*(1+'פרסום מרכיבי תשואה'!E9)*(1+'פרסום מרכיבי תשואה'!G9)-1</f>
        <v>0</v>
      </c>
      <c r="C5" s="33">
        <f>'פרסום מרכיבי תשואה'!H9</f>
        <v>0</v>
      </c>
      <c r="D5" s="21">
        <f>(1+'פרסום מרכיבי תשואה'!I9)*(1+'פרסום מרכיבי תשואה'!K9)*(1+'פרסום מרכיבי תשואה'!M9)*(1+B5)-1</f>
        <v>0</v>
      </c>
      <c r="E5" s="21">
        <f>'פרסום מרכיבי תשואה'!N9</f>
        <v>0</v>
      </c>
      <c r="F5" s="8"/>
      <c r="G5" s="33">
        <f>'פרסום מרכיבי תשואה'!T9</f>
        <v>0</v>
      </c>
      <c r="H5" s="15"/>
      <c r="I5" s="21">
        <f>'פרסום מרכיבי תשואה'!Z9</f>
        <v>0</v>
      </c>
    </row>
    <row r="6" spans="1:9">
      <c r="A6" s="5" t="s">
        <v>8</v>
      </c>
      <c r="B6" s="32">
        <f>(1+'פרסום מרכיבי תשואה'!C10)*(1+'פרסום מרכיבי תשואה'!E10)*(1+'פרסום מרכיבי תשואה'!G10)-1</f>
        <v>2.5052894070882736E-3</v>
      </c>
      <c r="C6" s="33">
        <f>'פרסום מרכיבי תשואה'!H10</f>
        <v>0.14358513416226312</v>
      </c>
      <c r="D6" s="21">
        <f>(1+'פרסום מרכיבי תשואה'!I10)*(1+'פרסום מרכיבי תשואה'!K10)*(1+'פרסום מרכיבי תשואה'!M10)*(1+B6)-1</f>
        <v>2.4717144143788783E-3</v>
      </c>
      <c r="E6" s="21">
        <f>'פרסום מרכיבי תשואה'!N10</f>
        <v>0.11524370293507272</v>
      </c>
      <c r="F6" s="8"/>
      <c r="G6" s="33">
        <f>'פרסום מרכיבי תשואה'!T10</f>
        <v>0.10935919068571576</v>
      </c>
      <c r="H6" s="15"/>
      <c r="I6" s="21">
        <f>'פרסום מרכיבי תשואה'!Z10</f>
        <v>0.10694715456806275</v>
      </c>
    </row>
    <row r="7" spans="1:9">
      <c r="A7" s="5" t="s">
        <v>9</v>
      </c>
      <c r="B7" s="32">
        <f>(1+'פרסום מרכיבי תשואה'!C11)*(1+'פרסום מרכיבי תשואה'!E11)*(1+'פרסום מרכיבי תשואה'!G11)-1</f>
        <v>3.0399255302659967E-4</v>
      </c>
      <c r="C7" s="33">
        <f>'פרסום מרכיבי תשואה'!H11</f>
        <v>2.3044984622656774E-2</v>
      </c>
      <c r="D7" s="21">
        <f>(1+'פרסום מרכיבי תשואה'!I11)*(1+'פרסום מרכיבי תשואה'!K11)*(1+'פרסום מרכיבי תשואה'!M11)*(1+B7)-1</f>
        <v>1.8738443332932953E-4</v>
      </c>
      <c r="E7" s="21">
        <f>'פרסום מרכיבי תשואה'!N11</f>
        <v>2.2236955575159843E-2</v>
      </c>
      <c r="F7" s="8"/>
      <c r="G7" s="33">
        <f>'פרסום מרכיבי תשואה'!T11</f>
        <v>2.1569809582910226E-2</v>
      </c>
      <c r="H7" s="15"/>
      <c r="I7" s="21">
        <f>'פרסום מרכיבי תשואה'!Z11</f>
        <v>2.2936442529954297E-2</v>
      </c>
    </row>
    <row r="8" spans="1:9">
      <c r="A8" s="5" t="s">
        <v>10</v>
      </c>
      <c r="B8" s="32">
        <f>(1+'פרסום מרכיבי תשואה'!C12)*(1+'פרסום מרכיבי תשואה'!E12)*(1+'פרסום מרכיבי תשואה'!G12)-1</f>
        <v>6.0605251664958004E-3</v>
      </c>
      <c r="C8" s="33">
        <f>'פרסום מרכיבי תשואה'!H12</f>
        <v>6.7279793776682112E-2</v>
      </c>
      <c r="D8" s="21">
        <f>(1+'פרסום מרכיבי תשואה'!I12)*(1+'פרסום מרכיבי תשואה'!K12)*(1+'פרסום מרכיבי תשואה'!M12)*(1+B8)-1</f>
        <v>5.1573098408106421E-3</v>
      </c>
      <c r="E8" s="21">
        <f>'פרסום מרכיבי תשואה'!N12</f>
        <v>3.9842984792837294E-2</v>
      </c>
      <c r="F8" s="8"/>
      <c r="G8" s="33">
        <f>'פרסום מרכיבי תשואה'!T12</f>
        <v>4.23474822910141E-2</v>
      </c>
      <c r="H8" s="15"/>
      <c r="I8" s="21">
        <f>'פרסום מרכיבי תשואה'!Z12</f>
        <v>4.7503113913587289E-2</v>
      </c>
    </row>
    <row r="9" spans="1:9">
      <c r="A9" s="5" t="s">
        <v>11</v>
      </c>
      <c r="B9" s="32">
        <f>(1+'פרסום מרכיבי תשואה'!C13)*(1+'פרסום מרכיבי תשואה'!E13)*(1+'פרסום מרכיבי תשואה'!G13)-1</f>
        <v>3.402341052896718E-3</v>
      </c>
      <c r="C9" s="33">
        <f>'פרסום מרכיבי תשואה'!H13</f>
        <v>3.5325453730800802E-2</v>
      </c>
      <c r="D9" s="21">
        <f>(1+'פרסום מרכיבי תשואה'!I13)*(1+'פרסום מרכיבי תשואה'!K13)*(1+'פרסום מרכיבי תשואה'!M13)*(1+B9)-1</f>
        <v>4.5791278046312112E-3</v>
      </c>
      <c r="E9" s="21">
        <f>'פרסום מרכיבי תשואה'!N13</f>
        <v>4.3771917499782806E-2</v>
      </c>
      <c r="F9" s="8"/>
      <c r="G9" s="33">
        <f>'פרסום מרכיבי תשואה'!T13</f>
        <v>4.5144480341687679E-2</v>
      </c>
      <c r="H9" s="15"/>
      <c r="I9" s="21">
        <f>'פרסום מרכיבי תשואה'!Z13</f>
        <v>4.3685294554465105E-2</v>
      </c>
    </row>
    <row r="10" spans="1:9">
      <c r="A10" s="5" t="s">
        <v>12</v>
      </c>
      <c r="B10" s="32">
        <f>(1+'פרסום מרכיבי תשואה'!C14)*(1+'פרסום מרכיבי תשואה'!E14)*(1+'פרסום מרכיבי תשואה'!G14)-1</f>
        <v>3.2710689647386104E-4</v>
      </c>
      <c r="C10" s="33">
        <f>'פרסום מרכיבי תשואה'!H14</f>
        <v>5.8042618432037384E-3</v>
      </c>
      <c r="D10" s="21">
        <f>(1+'פרסום מרכיבי תשואה'!I14)*(1+'פרסום מרכיבי תשואה'!K14)*(1+'פרסום מרכיבי תשואה'!M14)*(1+B10)-1</f>
        <v>6.1363320051111003E-4</v>
      </c>
      <c r="E10" s="21">
        <f>'פרסום מרכיבי תשואה'!N14</f>
        <v>5.6132378125085302E-3</v>
      </c>
      <c r="F10" s="8"/>
      <c r="G10" s="33">
        <f>'פרסום מרכיבי תשואה'!T14</f>
        <v>8.8997289461368607E-3</v>
      </c>
      <c r="H10" s="15"/>
      <c r="I10" s="21">
        <f>'פרסום מרכיבי תשואה'!Z14</f>
        <v>0</v>
      </c>
    </row>
    <row r="11" spans="1:9">
      <c r="A11" s="5" t="s">
        <v>13</v>
      </c>
      <c r="B11" s="32">
        <f>(1+'פרסום מרכיבי תשואה'!C15)*(1+'פרסום מרכיבי תשואה'!E15)*(1+'פרסום מרכיבי תשואה'!G15)-1</f>
        <v>1.1341123535761888E-3</v>
      </c>
      <c r="C11" s="33">
        <f>'פרסום מרכיבי תשואה'!H15</f>
        <v>9.3495024492394413E-2</v>
      </c>
      <c r="D11" s="21">
        <f>(1+'פרסום מרכיבי תשואה'!I15)*(1+'פרסום מרכיבי תשואה'!K15)*(1+'פרסום מרכיבי תשואה'!M15)*(1+B11)-1</f>
        <v>4.1423725972016268E-3</v>
      </c>
      <c r="E11" s="21">
        <f>'פרסום מרכיבי תשואה'!N15</f>
        <v>0.10217882300317345</v>
      </c>
      <c r="F11" s="8"/>
      <c r="G11" s="33">
        <f>'פרסום מרכיבי תשואה'!T15</f>
        <v>9.9621994094261479E-2</v>
      </c>
      <c r="H11" s="15"/>
      <c r="I11" s="21">
        <f>'פרסום מרכיבי תשואה'!Z15</f>
        <v>0.10234089562794924</v>
      </c>
    </row>
    <row r="12" spans="1:9">
      <c r="A12" s="5" t="s">
        <v>14</v>
      </c>
      <c r="B12" s="32">
        <f>(1+'פרסום מרכיבי תשואה'!C16)*(1+'פרסום מרכיבי תשואה'!E16)*(1+'פרסום מרכיבי תשואה'!G16)-1</f>
        <v>1.9734824550177166E-4</v>
      </c>
      <c r="C12" s="33">
        <f>'פרסום מרכיבי תשואה'!H16</f>
        <v>4.3666070586273389E-4</v>
      </c>
      <c r="D12" s="21">
        <f>(1+'פרסום מרכיבי תשואה'!I16)*(1+'פרסום מרכיבי תשואה'!K16)*(1+'פרסום מרכיבי תשואה'!M16)*(1+B12)-1</f>
        <v>1.2809733219265595E-5</v>
      </c>
      <c r="E12" s="21">
        <f>'פרסום מרכיבי תשואה'!N16</f>
        <v>2.7292197723034132E-4</v>
      </c>
      <c r="F12" s="8"/>
      <c r="G12" s="33">
        <f>'פרסום מרכיבי תשואה'!T16</f>
        <v>3.7378903042270496E-4</v>
      </c>
      <c r="H12" s="15"/>
      <c r="I12" s="21">
        <f>'פרסום מרכיבי תשואה'!Z16</f>
        <v>5.5923648411682894E-4</v>
      </c>
    </row>
    <row r="13" spans="1:9">
      <c r="A13" s="5" t="s">
        <v>15</v>
      </c>
      <c r="B13" s="32">
        <f>(1+'פרסום מרכיבי תשואה'!C17)*(1+'פרסום מרכיבי תשואה'!E17)*(1+'פרסום מרכיבי תשואה'!G17)-1</f>
        <v>5.481623768552879E-4</v>
      </c>
      <c r="C13" s="33">
        <f>'פרסום מרכיבי תשואה'!H17</f>
        <v>2.6079449859491509E-3</v>
      </c>
      <c r="D13" s="21">
        <f>(1+'פרסום מרכיבי תשואה'!I17)*(1+'פרסום מרכיבי תשואה'!K17)*(1+'פרסום מרכיבי תשואה'!M17)*(1+B13)-1</f>
        <v>-3.9375389792783988E-4</v>
      </c>
      <c r="E13" s="21">
        <f>'פרסום מרכיבי תשואה'!N17</f>
        <v>2.1283408461142509E-4</v>
      </c>
      <c r="F13" s="8"/>
      <c r="G13" s="33">
        <f>'פרסום מרכיבי תשואה'!T17</f>
        <v>1.890776890654883E-3</v>
      </c>
      <c r="H13" s="15"/>
      <c r="I13" s="21">
        <f>'פרסום מרכיבי תשואה'!Z17</f>
        <v>7.8000148584741373E-4</v>
      </c>
    </row>
    <row r="14" spans="1:9">
      <c r="A14" s="5" t="s">
        <v>16</v>
      </c>
      <c r="B14" s="32">
        <f>(1+'פרסום מרכיבי תשואה'!C18)*(1+'פרסום מרכיבי תשואה'!E18)*(1+'פרסום מרכיבי תשואה'!G18)-1</f>
        <v>-4.9134170018949597E-4</v>
      </c>
      <c r="C14" s="33">
        <f>'פרסום מרכיבי תשואה'!H18</f>
        <v>2.7941763783021991E-4</v>
      </c>
      <c r="D14" s="21">
        <f>(1+'פרסום מרכיבי תשואה'!I18)*(1+'פרסום מרכיבי תשואה'!K18)*(1+'פרסום מרכיבי תשואה'!M18)*(1+B14)-1</f>
        <v>-6.8663796800927379E-5</v>
      </c>
      <c r="E14" s="21">
        <f>'פרסום מרכיבי תשואה'!N18</f>
        <v>1.3941387129916207E-4</v>
      </c>
      <c r="F14" s="8"/>
      <c r="G14" s="33">
        <f>'פרסום מרכיבי תשואה'!T18</f>
        <v>-9.4831666013447079E-4</v>
      </c>
      <c r="H14" s="15"/>
      <c r="I14" s="21">
        <f>'פרסום מרכיבי תשואה'!Z18</f>
        <v>9.8205880610691286E-5</v>
      </c>
    </row>
    <row r="15" spans="1:9">
      <c r="A15" s="5" t="s">
        <v>17</v>
      </c>
      <c r="B15" s="32">
        <f>(1+'פרסום מרכיבי תשואה'!C19)*(1+'פרסום מרכיבי תשואה'!E19)*(1+'פרסום מרכיבי תשואה'!G19)-1</f>
        <v>1.268034913759486E-5</v>
      </c>
      <c r="C15" s="33">
        <f>'פרסום מרכיבי תשואה'!H19</f>
        <v>8.3502162669343329E-4</v>
      </c>
      <c r="D15" s="21">
        <f>(1+'פרסום מרכיבי תשואה'!I19)*(1+'פרסום מרכיבי תשואה'!K19)*(1+'פרסום מרכיבי תשואה'!M19)*(1+B15)-1</f>
        <v>4.0175436058387248E-5</v>
      </c>
      <c r="E15" s="21">
        <f>'פרסום מרכיבי תשואה'!N19</f>
        <v>1.1179416026439633E-2</v>
      </c>
      <c r="F15" s="8"/>
      <c r="G15" s="33">
        <f>'פרסום מרכיבי תשואה'!T19</f>
        <v>1.1022839278227579E-2</v>
      </c>
      <c r="H15" s="15"/>
      <c r="I15" s="21">
        <f>'פרסום מרכיבי תשואה'!Z19</f>
        <v>1.0859546418087935E-2</v>
      </c>
    </row>
    <row r="16" spans="1:9">
      <c r="A16" s="5" t="s">
        <v>18</v>
      </c>
      <c r="B16" s="32">
        <f>(1+'פרסום מרכיבי תשואה'!C20)*(1+'פרסום מרכיבי תשואה'!E20)*(1+'פרסום מרכיבי תשואה'!G20)-1</f>
        <v>2.4867118402833732E-3</v>
      </c>
      <c r="C16" s="33">
        <f>'פרסום מרכיבי תשואה'!H20</f>
        <v>6.7729590000183026E-2</v>
      </c>
      <c r="D16" s="21">
        <f>(1+'פרסום מרכיבי תשואה'!I20)*(1+'פרסום מרכיבי תשואה'!K20)*(1+'פרסום מרכיבי תשואה'!M20)*(1+B16)-1</f>
        <v>2.9645905804749351E-3</v>
      </c>
      <c r="E16" s="21">
        <f>'פרסום מרכיבי תשואה'!N20</f>
        <v>7.6418923749578274E-2</v>
      </c>
      <c r="F16" s="8"/>
      <c r="G16" s="33">
        <f>'פרסום מרכיבי תשואה'!T20</f>
        <v>7.6468226804973782E-2</v>
      </c>
      <c r="H16" s="15"/>
      <c r="I16" s="21">
        <f>'פרסום מרכיבי תשואה'!Z20</f>
        <v>7.6187447712123074E-2</v>
      </c>
    </row>
    <row r="17" spans="1:9">
      <c r="A17" s="5" t="s">
        <v>19</v>
      </c>
      <c r="B17" s="32">
        <f>(1+'פרסום מרכיבי תשואה'!C21)*(1+'פרסום מרכיבי תשואה'!E21)*(1+'פרסום מרכיבי תשואה'!G21)-1</f>
        <v>1.3736316149803862E-4</v>
      </c>
      <c r="C17" s="33">
        <f>'פרסום מרכיבי תשואה'!H21</f>
        <v>1.5019156348097489E-2</v>
      </c>
      <c r="D17" s="21">
        <f>(1+'פרסום מרכיבי תשואה'!I21)*(1+'פרסום מרכיבי תשואה'!K21)*(1+'פרסום מרכיבי תשואה'!M21)*(1+B17)-1</f>
        <v>4.7286972275228933E-4</v>
      </c>
      <c r="E17" s="21">
        <f>'פרסום מרכיבי תשואה'!N21</f>
        <v>1.5340401924500448E-2</v>
      </c>
      <c r="F17" s="8"/>
      <c r="G17" s="33">
        <f>'פרסום מרכיבי תשואה'!T21</f>
        <v>1.5204603192068396E-2</v>
      </c>
      <c r="H17" s="15"/>
      <c r="I17" s="21">
        <f>'פרסום מרכיבי תשואה'!Z21</f>
        <v>1.4806840454832704E-2</v>
      </c>
    </row>
    <row r="18" spans="1:9">
      <c r="A18" s="5" t="s">
        <v>20</v>
      </c>
      <c r="B18" s="32">
        <f>(1+'פרסום מרכיבי תשואה'!C22)*(1+'פרסום מרכיבי תשואה'!E22)*(1+'פרסום מרכיבי תשואה'!G22)-1</f>
        <v>0</v>
      </c>
      <c r="C18" s="33">
        <f>'פרסום מרכיבי תשואה'!H22</f>
        <v>0</v>
      </c>
      <c r="D18" s="21">
        <f>(1+'פרסום מרכיבי תשואה'!I22)*(1+'פרסום מרכיבי תשואה'!K22)*(1+'פרסום מרכיבי תשואה'!M22)*(1+B18)-1</f>
        <v>0</v>
      </c>
      <c r="E18" s="21">
        <f>'פרסום מרכיבי תשואה'!N22</f>
        <v>0</v>
      </c>
      <c r="F18" s="8"/>
      <c r="G18" s="33">
        <f>'פרסום מרכיבי תשואה'!T22</f>
        <v>0</v>
      </c>
      <c r="H18" s="15"/>
      <c r="I18" s="21">
        <f>'פרסום מרכיבי תשואה'!Z22</f>
        <v>0</v>
      </c>
    </row>
    <row r="19" spans="1:9">
      <c r="A19" s="5" t="s">
        <v>21</v>
      </c>
      <c r="B19" s="32">
        <f>(1+'פרסום מרכיבי תשואה'!C23)*(1+'פרסום מרכיבי תשואה'!E23)*(1+'פרסום מרכיבי תשואה'!G23)-1</f>
        <v>1.2978242746930491E-5</v>
      </c>
      <c r="C19" s="33">
        <f>'פרסום מרכיבי תשואה'!H23</f>
        <v>4.2251609829748538E-3</v>
      </c>
      <c r="D19" s="21">
        <f>(1+'פרסום מרכיבי תשואה'!I23)*(1+'פרסום מרכיבי תשואה'!K23)*(1+'פרסום מרכיבי תשואה'!M23)*(1+B19)-1</f>
        <v>4.8927398949771828E-4</v>
      </c>
      <c r="E19" s="21">
        <f>'פרסום מרכיבי תשואה'!N23</f>
        <v>5.1382335139766146E-3</v>
      </c>
      <c r="F19" s="8"/>
      <c r="G19" s="33">
        <f>'פרסום מרכיבי תשואה'!T23</f>
        <v>4.3803506975738154E-3</v>
      </c>
      <c r="H19" s="15"/>
      <c r="I19" s="21">
        <f>'פרסום מרכיבי תשואה'!Z23</f>
        <v>4.2455538419368007E-3</v>
      </c>
    </row>
    <row r="20" spans="1:9">
      <c r="A20" s="5" t="s">
        <v>22</v>
      </c>
      <c r="B20" s="32">
        <f>(1+'פרסום מרכיבי תשואה'!C24)*(1+'פרסום מרכיבי תשואה'!E24)*(1+'פרסום מרכיבי תשואה'!G24)-1</f>
        <v>4.5409321995926177E-6</v>
      </c>
      <c r="C20" s="33">
        <f>'פרסום מרכיבי תשואה'!H24</f>
        <v>1.3555531987847164E-2</v>
      </c>
      <c r="D20" s="21">
        <f>(1+'פרסום מרכיבי תשואה'!I24)*(1+'פרסום מרכיבי תשואה'!K24)*(1+'פרסום מרכיבי תשואה'!M24)*(1+B20)-1</f>
        <v>5.2873947977705171E-6</v>
      </c>
      <c r="E20" s="21">
        <f>'פרסום מרכיבי תשואה'!N24</f>
        <v>1.6149652782306938E-2</v>
      </c>
      <c r="F20" s="8"/>
      <c r="G20" s="33">
        <f>'פרסום מרכיבי תשואה'!T24</f>
        <v>7.8086672173502932E-3</v>
      </c>
      <c r="H20" s="15"/>
      <c r="I20" s="21">
        <f>'פרסום מרכיבי תשואה'!Z24</f>
        <v>1.098027960617678E-2</v>
      </c>
    </row>
    <row r="21" spans="1:9">
      <c r="A21" s="6" t="s">
        <v>30</v>
      </c>
      <c r="B21" s="39">
        <f>(1+'פרסום מרכיבי תשואה'!C25)*(1+'פרסום מרכיבי תשואה'!E25)*(1+'פרסום מרכיבי תשואה'!G25)-1</f>
        <v>1.3846265879627673E-2</v>
      </c>
      <c r="C21" s="40">
        <v>1</v>
      </c>
      <c r="D21" s="21">
        <f>(1+'פרסום מרכיבי תשואה'!I25)*(1+'פרסום מרכיבי תשואה'!K25)*(1+'פרסום מרכיבי תשואה'!M25)*(1+B21)-1</f>
        <v>-2.9987207491105616E-3</v>
      </c>
      <c r="E21" s="22">
        <v>1</v>
      </c>
      <c r="F21" s="9"/>
      <c r="G21" s="40">
        <v>1</v>
      </c>
      <c r="H21" s="16"/>
      <c r="I21" s="22">
        <v>1</v>
      </c>
    </row>
    <row r="22" spans="1:9">
      <c r="A22" s="7" t="s">
        <v>24</v>
      </c>
      <c r="B22" s="41">
        <v>61933.915344016801</v>
      </c>
      <c r="C22" s="42"/>
      <c r="D22" s="36"/>
      <c r="E22" s="23"/>
      <c r="F22" s="3"/>
      <c r="G22" s="42"/>
      <c r="H22" s="12"/>
      <c r="I22" s="23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4" t="s">
        <v>25</v>
      </c>
      <c r="B24" s="30">
        <f>(1+'פרסום מרכיבי תשואה'!C28)*(1+'פרסום מרכיבי תשואה'!E28)*(1+'פרסום מרכיבי תשואה'!G28)-1</f>
        <v>1.8093958962575041E-3</v>
      </c>
      <c r="C24" s="31">
        <f>'פרסום מרכיבי תשואה'!H28</f>
        <v>0.83177683762177279</v>
      </c>
      <c r="D24" s="43">
        <f>(1+'פרסום מרכיבי תשואה'!I28)*(1+'פרסום מרכיבי תשואה'!K28)*(1+'פרסום מרכיבי תשואה'!M28)*(1+B24)-1</f>
        <v>-2.2070439571167277E-2</v>
      </c>
      <c r="E24" s="44">
        <f>'פרסום מרכיבי תשואה'!N28</f>
        <v>0.83680725395713362</v>
      </c>
      <c r="F24" s="25"/>
      <c r="G24" s="31">
        <f>'פרסום מרכיבי תשואה'!T28</f>
        <v>0.84152990740456168</v>
      </c>
      <c r="H24" s="27"/>
      <c r="I24" s="28">
        <f>'פרסום מרכיבי תשואה'!Z28</f>
        <v>0.85097189417244667</v>
      </c>
    </row>
    <row r="25" spans="1:9">
      <c r="A25" s="5" t="s">
        <v>26</v>
      </c>
      <c r="B25" s="32">
        <f>(1+'פרסום מרכיבי תשואה'!C29)*(1+'פרסום מרכיבי תשואה'!E29)*(1+'פרסום מרכיבי תשואה'!G29)-1</f>
        <v>1.200506563130932E-2</v>
      </c>
      <c r="C25" s="33">
        <f>'פרסום מרכיבי תשואה'!H29</f>
        <v>0.16822316237822718</v>
      </c>
      <c r="D25" s="45">
        <f>(1+'פרסום מרכיבי תשואה'!I29)*(1+'פרסום מרכיבי תשואה'!K29)*(1+'פרסום מרכיבי תשואה'!M29)*(1+B25)-1</f>
        <v>1.9433636953935851E-2</v>
      </c>
      <c r="E25" s="46">
        <f>'פרסום מרכיבי תשואה'!N29</f>
        <v>0.16319274604286643</v>
      </c>
      <c r="F25" s="14"/>
      <c r="G25" s="33">
        <f>'פרסום מרכיבי תשואה'!T29</f>
        <v>0.1584700925954384</v>
      </c>
      <c r="H25" s="15"/>
      <c r="I25" s="21">
        <f>'פרסום מרכיבי תשואה'!Z29</f>
        <v>0.14902810582755333</v>
      </c>
    </row>
    <row r="26" spans="1:9">
      <c r="A26" s="7" t="s">
        <v>30</v>
      </c>
      <c r="B26" s="34">
        <v>5.0940297542729799E-3</v>
      </c>
      <c r="C26" s="35">
        <v>1</v>
      </c>
      <c r="D26" s="48">
        <f>(1+'פרסום מרכיבי תשואה'!I30)*(1+'פרסום מרכיבי תשואה'!K30)*(1+'פרסום מרכיבי תשואה'!M30)*(1+B26)-1</f>
        <v>-1.1605539067579884E-2</v>
      </c>
      <c r="E26" s="47">
        <v>1</v>
      </c>
      <c r="F26" s="26"/>
      <c r="G26" s="35">
        <v>1</v>
      </c>
      <c r="H26" s="17"/>
      <c r="I26" s="29">
        <v>1</v>
      </c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4" t="s">
        <v>27</v>
      </c>
      <c r="B28" s="30">
        <f>(1+'פרסום מרכיבי תשואה'!C32)*(1+'פרסום מרכיבי תשואה'!E32)*(1+'פרסום מרכיבי תשואה'!G32)-1</f>
        <v>1.2159238475071277E-2</v>
      </c>
      <c r="C28" s="31">
        <f>'פרסום מרכיבי תשואה'!H32</f>
        <v>0.42795949492876978</v>
      </c>
      <c r="D28" s="43">
        <f>(1+'פרסום מרכיבי תשואה'!I32)*(1+'פרסום מרכיבי תשואה'!K32)*(1+'פרסום מרכיבי תשואה'!M32)*(1+B28)-1</f>
        <v>-2.0492467955401938E-3</v>
      </c>
      <c r="E28" s="28">
        <f>'פרסום מרכיבי תשואה'!N32</f>
        <v>0.41237682612770754</v>
      </c>
      <c r="F28" s="24"/>
      <c r="G28" s="31">
        <f>'פרסום מרכיבי תשואה'!T32</f>
        <v>0.40866233886704473</v>
      </c>
      <c r="H28" s="27"/>
      <c r="I28" s="28">
        <f>'פרסום מרכיבי תשואה'!Z32</f>
        <v>0.41237172286769475</v>
      </c>
    </row>
    <row r="29" spans="1:9">
      <c r="A29" s="5" t="s">
        <v>28</v>
      </c>
      <c r="B29" s="32">
        <f>(1+'פרסום מרכיבי תשואה'!C33)*(1+'פרסום מרכיבי תשואה'!E33)*(1+'פרסום מרכיבי תשואה'!G33)-1</f>
        <v>1.6988115373559598E-3</v>
      </c>
      <c r="C29" s="33">
        <f>'פרסום מרכיבי תשואה'!H33</f>
        <v>0.57204050507123017</v>
      </c>
      <c r="D29" s="45">
        <f>(1+'פרסום מרכיבי תשואה'!I33)*(1+'פרסום מרכיבי תשואה'!K33)*(1+'פרסום מרכיבי תשואה'!M33)*(1+B29)-1</f>
        <v>-9.0174914421370378E-4</v>
      </c>
      <c r="E29" s="21">
        <f>'פרסום מרכיבי תשואה'!N33</f>
        <v>0.58762317387229235</v>
      </c>
      <c r="F29" s="8"/>
      <c r="G29" s="33">
        <f>'פרסום מרכיבי תשואה'!T33</f>
        <v>0.59133766113295516</v>
      </c>
      <c r="H29" s="15"/>
      <c r="I29" s="21">
        <f>'פרסום מרכיבי תשואה'!Z33</f>
        <v>0.58762827713230525</v>
      </c>
    </row>
    <row r="30" spans="1:9">
      <c r="A30" s="7" t="s">
        <v>30</v>
      </c>
      <c r="B30" s="34">
        <v>5.0940297542729799E-3</v>
      </c>
      <c r="C30" s="35">
        <v>1</v>
      </c>
      <c r="D30" s="48">
        <f>(1+'פרסום מרכיבי תשואה'!I34)*(1+'פרסום מרכיבי תשואה'!K34)*(1+'פרסום מרכיבי תשואה'!M34)*(1+B30)-1</f>
        <v>-1.1605539067579884E-2</v>
      </c>
      <c r="E30" s="29">
        <v>1</v>
      </c>
      <c r="F30" s="10"/>
      <c r="G30" s="35">
        <v>1</v>
      </c>
      <c r="H30" s="17"/>
      <c r="I30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פרסום מרכיבי תשואה</vt:lpstr>
      <vt:lpstr>מצטבר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pini</cp:lastModifiedBy>
  <dcterms:created xsi:type="dcterms:W3CDTF">2019-10-30T09:05:17Z</dcterms:created>
  <dcterms:modified xsi:type="dcterms:W3CDTF">2025-01-16T11:41:39Z</dcterms:modified>
</cp:coreProperties>
</file>