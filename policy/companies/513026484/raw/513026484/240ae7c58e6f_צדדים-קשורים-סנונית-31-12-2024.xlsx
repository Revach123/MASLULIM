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SUS Vivobook\Downloads\"/>
    </mc:Choice>
  </mc:AlternateContent>
  <xr:revisionPtr revIDLastSave="0" documentId="13_ncr:1_{8C20F8B6-C1FE-4E55-BAB3-7EEF0F0FCA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נספח 1" sheetId="1" r:id="rId1"/>
    <sheet name="נספח 2" sheetId="2" r:id="rId2"/>
    <sheet name="נספח 3א" sheetId="3" r:id="rId3"/>
    <sheet name="נספח 3ב" sheetId="4" r:id="rId4"/>
    <sheet name="נספח 3ג" sheetId="5" r:id="rId5"/>
    <sheet name="נספח 4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3" l="1"/>
  <c r="B34" i="3"/>
  <c r="C23" i="3"/>
  <c r="C37" i="3" l="1"/>
  <c r="B23" i="3" l="1"/>
  <c r="B37" i="3" s="1"/>
  <c r="C18" i="1" l="1"/>
  <c r="B18" i="1"/>
  <c r="E18" i="1"/>
  <c r="D18" i="1"/>
</calcChain>
</file>

<file path=xl/sharedStrings.xml><?xml version="1.0" encoding="utf-8"?>
<sst xmlns="http://schemas.openxmlformats.org/spreadsheetml/2006/main" count="143" uniqueCount="82">
  <si>
    <t>עסקאות</t>
  </si>
  <si>
    <t>סה''כ היקף עסקאות
לפי שם צד קשור</t>
  </si>
  <si>
    <t>שיעור מסך
נכסי ההשקעה</t>
  </si>
  <si>
    <t>עסקאות שבוצעו לצורך
השקעה בנכסים
לא סחירים
של צד קשור</t>
  </si>
  <si>
    <t>עסקאות שבוצעו מחוץ
לבורסה, עסקאות
מתואמות ועסקאות
בנכסים אחרים שבוצעו
מול צדדים קשורים</t>
  </si>
  <si>
    <t>רכישת ני''ע בהנפקות
באמצעות צד קשור
(חתם או מי ששווק 
את ההנפקה)</t>
  </si>
  <si>
    <t>אלפי ש''ח</t>
  </si>
  <si>
    <t>אחוזים</t>
  </si>
  <si>
    <t>קניות</t>
  </si>
  <si>
    <t>מכירות (-)</t>
  </si>
  <si>
    <t>נספח 2</t>
  </si>
  <si>
    <t>נספח 3א</t>
  </si>
  <si>
    <t>נספח 3ב</t>
  </si>
  <si>
    <t>נספח 3ג</t>
  </si>
  <si>
    <t>נספח 4</t>
  </si>
  <si>
    <t>ריט 1</t>
  </si>
  <si>
    <t>סה''כ</t>
  </si>
  <si>
    <t>מספר
נייר ערך</t>
  </si>
  <si>
    <t>דירוג</t>
  </si>
  <si>
    <t>שם
המדרג</t>
  </si>
  <si>
    <t>שיעור
ריבית</t>
  </si>
  <si>
    <t>מח''מ</t>
  </si>
  <si>
    <t>תשואה
לפדיון</t>
  </si>
  <si>
    <t>שיעור
מהערך
הנקוב
המונפק</t>
  </si>
  <si>
    <t>ערך שוק/
שווי הוגן/
שווי בספרים</t>
  </si>
  <si>
    <t>שיעור מסך
נכסי
ההשקעה</t>
  </si>
  <si>
    <t>שנים</t>
  </si>
  <si>
    <t>ניירות ערך סחירים</t>
  </si>
  <si>
    <t>סה''כ ניירות ערך סחירים</t>
  </si>
  <si>
    <t>סה''כ ניירות ערך לא סחירים</t>
  </si>
  <si>
    <t>ריט 1 אגח ו</t>
  </si>
  <si>
    <t>שווי
עסקאות
הרכישה
באלפי ש''ח</t>
  </si>
  <si>
    <t>שווי
עסקאות
המכירה(-)
באלפי ש''ח</t>
  </si>
  <si>
    <t>ב. מניות וניירות ערך אחרים</t>
  </si>
  <si>
    <t>תאריך</t>
  </si>
  <si>
    <t>שווי
העסקה
הרכישה/מכירה</t>
  </si>
  <si>
    <t>שער
בורסה
בסוף יום
המסחר</t>
  </si>
  <si>
    <t>שער
העיסקה</t>
  </si>
  <si>
    <t>שווי
העיסקה
רכישה/
מכירה</t>
  </si>
  <si>
    <t>סה''כ היקף עסקאות מול כל הצדדים הקשורים</t>
  </si>
  <si>
    <t>תאריך הנפקה</t>
  </si>
  <si>
    <t>שווי
עסקת
הרכישה</t>
  </si>
  <si>
    <t>ריט 1 אגח ה</t>
  </si>
  <si>
    <t>סה''כ היקף עסקאות לצורך רכישה או מכירה של ני''ע ריט 1</t>
  </si>
  <si>
    <t>מספר 
נייר ערך</t>
  </si>
  <si>
    <t>יתרות
השקעות
לסוף התקופה</t>
  </si>
  <si>
    <t>באלפי ₪</t>
  </si>
  <si>
    <t>עסקאות שבוצעו
בבורסה, בבורסת חוץ
או שוק מוסדר
לרכישת או מכירת ני''ע של צד קשור</t>
  </si>
  <si>
    <t>ב. ניירות ערך לא סחירים</t>
  </si>
  <si>
    <t>(2) מניות וניירות ערך אחרים</t>
  </si>
  <si>
    <t>THE PHOENIX ANCHOR LP</t>
  </si>
  <si>
    <t>PHOENIX ANCHOR L.P. USD K</t>
  </si>
  <si>
    <t>א. ניירות ערך סחירים</t>
  </si>
  <si>
    <t>(1) אגרות חוב קונצרניות סחירות</t>
  </si>
  <si>
    <t>אקסלנס נשואה חיתום (1993) בע''מ</t>
  </si>
  <si>
    <t>סה''כ השקעה ב- THE PHOENIX ANCHOR LP</t>
  </si>
  <si>
    <t>קסם קרנות נאמנות בע''מ</t>
  </si>
  <si>
    <t>סה''כ השקעה ב-קסם קרנות נאמנות בע''מ</t>
  </si>
  <si>
    <t>סה''כ השקעה ב- ריט 1</t>
  </si>
  <si>
    <t>סה''כ השקעה בכל הצדדים הקשורים</t>
  </si>
  <si>
    <t>סה''כ היקף עסקאות לצורך רכישה או מכירה של ני''ע קסם קרנות נאמנות בע''מ</t>
  </si>
  <si>
    <t>סה''כ רכישות</t>
  </si>
  <si>
    <t/>
  </si>
  <si>
    <t>קסם ETF ת"א 90</t>
  </si>
  <si>
    <t>קסם קרנות נאמנות בע"מ</t>
  </si>
  <si>
    <t>קסם ETF תל בונד תשו</t>
  </si>
  <si>
    <t>קסם ETF תלבונד 20</t>
  </si>
  <si>
    <t>קסם ETF תלבונד צ יתר</t>
  </si>
  <si>
    <t>א. אגרות חוב קונצרניות סחירות</t>
  </si>
  <si>
    <t>קסם ETF ביטוח מניות והמירים</t>
  </si>
  <si>
    <t>קסם ETF ת"א 35</t>
  </si>
  <si>
    <t>קסם ETF תלבונד שקלי 50</t>
  </si>
  <si>
    <t>קסם MSCI World ETF</t>
  </si>
  <si>
    <t>סה''כ היקף עסקאות לצורך רכישה או מכירה של ני''ע של כל הצדדים הקשורים</t>
  </si>
  <si>
    <t>S&amp;P מעלות</t>
  </si>
  <si>
    <t>קסם ETF תלבונד 60</t>
  </si>
  <si>
    <t>ריט 1 בע"מ</t>
  </si>
  <si>
    <t>ilAA</t>
  </si>
  <si>
    <t>תחילת מידע טבלה</t>
  </si>
  <si>
    <t>סיום מידע טבלה צד שמאל</t>
  </si>
  <si>
    <t>סיום מידע טבלה</t>
  </si>
  <si>
    <t xml:space="preserve">סיום מידע טבלה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</si>
</sst>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 * #,##0_ ;_ * \-#,##0_ ;_ * &quot;-&quot;??_ ;_ @_ "/>
    <numFmt numFmtId="165" formatCode="#,##0.0"/>
    <numFmt numFmtId="166" formatCode="_ * #,##0.0_ ;_ * \-#,##0.0_ ;_ * &quot;-&quot;??_ ;_ @_ "/>
    <numFmt numFmtId="167" formatCode="0.0"/>
    <numFmt numFmtId="168" formatCode="0.000%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2"/>
      <color theme="1"/>
      <name val="Arial"/>
      <family val="2"/>
      <charset val="177"/>
      <scheme val="minor"/>
    </font>
    <font>
      <b/>
      <sz val="14"/>
      <color theme="1"/>
      <name val="Arial"/>
      <family val="2"/>
      <scheme val="minor"/>
    </font>
    <font>
      <b/>
      <sz val="10"/>
      <name val="Tahoma"/>
      <family val="2"/>
    </font>
    <font>
      <b/>
      <sz val="14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sz val="12"/>
      <name val="Arial"/>
      <family val="2"/>
      <scheme val="minor"/>
    </font>
    <font>
      <sz val="11"/>
      <name val="Arial"/>
      <family val="2"/>
      <scheme val="minor"/>
    </font>
    <font>
      <b/>
      <sz val="12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4" tint="0.79998168889431442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/>
    <xf numFmtId="10" fontId="0" fillId="0" borderId="0" xfId="2" applyNumberFormat="1" applyFont="1"/>
    <xf numFmtId="0" fontId="0" fillId="0" borderId="0" xfId="0" applyAlignment="1">
      <alignment horizontal="right"/>
    </xf>
    <xf numFmtId="10" fontId="0" fillId="0" borderId="0" xfId="2" applyNumberFormat="1" applyFont="1" applyAlignment="1">
      <alignment horizontal="right"/>
    </xf>
    <xf numFmtId="0" fontId="4" fillId="0" borderId="0" xfId="0" applyFont="1" applyAlignment="1">
      <alignment horizontal="right"/>
    </xf>
    <xf numFmtId="4" fontId="4" fillId="0" borderId="0" xfId="0" applyNumberFormat="1" applyFont="1" applyAlignment="1">
      <alignment horizontal="right"/>
    </xf>
    <xf numFmtId="164" fontId="0" fillId="0" borderId="0" xfId="1" applyNumberFormat="1" applyFont="1"/>
    <xf numFmtId="0" fontId="3" fillId="0" borderId="2" xfId="0" applyFont="1" applyBorder="1" applyAlignment="1">
      <alignment horizontal="right" vertical="center"/>
    </xf>
    <xf numFmtId="0" fontId="3" fillId="0" borderId="0" xfId="0" applyFont="1" applyAlignment="1">
      <alignment horizontal="right" indent="1"/>
    </xf>
    <xf numFmtId="0" fontId="3" fillId="0" borderId="0" xfId="0" applyFont="1" applyAlignment="1">
      <alignment horizontal="right" indent="2"/>
    </xf>
    <xf numFmtId="0" fontId="3" fillId="0" borderId="0" xfId="0" applyFont="1" applyAlignment="1">
      <alignment horizontal="right" indent="3"/>
    </xf>
    <xf numFmtId="0" fontId="3" fillId="0" borderId="0" xfId="0" applyFont="1" applyAlignment="1">
      <alignment horizontal="right" indent="4"/>
    </xf>
    <xf numFmtId="0" fontId="0" fillId="0" borderId="0" xfId="0" applyAlignment="1">
      <alignment horizontal="right" indent="5"/>
    </xf>
    <xf numFmtId="0" fontId="2" fillId="0" borderId="0" xfId="0" applyFont="1"/>
    <xf numFmtId="0" fontId="0" fillId="0" borderId="1" xfId="0" applyBorder="1"/>
    <xf numFmtId="43" fontId="0" fillId="0" borderId="1" xfId="0" applyNumberFormat="1" applyBorder="1"/>
    <xf numFmtId="3" fontId="0" fillId="0" borderId="0" xfId="0" applyNumberFormat="1"/>
    <xf numFmtId="3" fontId="3" fillId="0" borderId="0" xfId="0" applyNumberFormat="1" applyFont="1" applyAlignment="1">
      <alignment horizontal="center"/>
    </xf>
    <xf numFmtId="3" fontId="3" fillId="0" borderId="2" xfId="0" applyNumberFormat="1" applyFont="1" applyBorder="1" applyAlignment="1">
      <alignment horizontal="center" vertical="center" wrapText="1"/>
    </xf>
    <xf numFmtId="3" fontId="0" fillId="0" borderId="0" xfId="1" applyNumberFormat="1" applyFont="1" applyAlignment="1">
      <alignment horizontal="right"/>
    </xf>
    <xf numFmtId="3" fontId="0" fillId="0" borderId="0" xfId="1" applyNumberFormat="1" applyFont="1"/>
    <xf numFmtId="3" fontId="3" fillId="0" borderId="0" xfId="1" applyNumberFormat="1" applyFont="1"/>
    <xf numFmtId="0" fontId="3" fillId="0" borderId="0" xfId="0" applyFont="1" applyAlignment="1">
      <alignment horizontal="right" indent="3" readingOrder="2"/>
    </xf>
    <xf numFmtId="164" fontId="0" fillId="0" borderId="0" xfId="1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4" fontId="4" fillId="0" borderId="0" xfId="0" applyNumberFormat="1" applyFont="1" applyAlignment="1">
      <alignment horizontal="right"/>
    </xf>
    <xf numFmtId="10" fontId="3" fillId="0" borderId="0" xfId="2" applyNumberFormat="1" applyFont="1" applyAlignment="1">
      <alignment horizontal="right"/>
    </xf>
    <xf numFmtId="0" fontId="5" fillId="0" borderId="0" xfId="0" applyFont="1"/>
    <xf numFmtId="164" fontId="6" fillId="0" borderId="0" xfId="0" applyNumberFormat="1" applyFont="1" applyAlignment="1">
      <alignment horizontal="right"/>
    </xf>
    <xf numFmtId="10" fontId="6" fillId="0" borderId="0" xfId="2" applyNumberFormat="1" applyFont="1" applyAlignment="1">
      <alignment horizontal="right"/>
    </xf>
    <xf numFmtId="4" fontId="6" fillId="0" borderId="0" xfId="0" applyNumberFormat="1" applyFont="1"/>
    <xf numFmtId="10" fontId="0" fillId="0" borderId="0" xfId="0" applyNumberFormat="1"/>
    <xf numFmtId="14" fontId="0" fillId="0" borderId="0" xfId="0" applyNumberFormat="1" applyAlignment="1">
      <alignment horizontal="right"/>
    </xf>
    <xf numFmtId="164" fontId="3" fillId="0" borderId="0" xfId="0" applyNumberFormat="1" applyFont="1" applyAlignment="1">
      <alignment horizontal="center"/>
    </xf>
    <xf numFmtId="10" fontId="4" fillId="0" borderId="0" xfId="2" applyNumberFormat="1" applyFont="1" applyAlignment="1">
      <alignment horizontal="right"/>
    </xf>
    <xf numFmtId="10" fontId="0" fillId="0" borderId="1" xfId="0" applyNumberFormat="1" applyBorder="1"/>
    <xf numFmtId="165" fontId="0" fillId="0" borderId="1" xfId="0" applyNumberFormat="1" applyBorder="1"/>
    <xf numFmtId="10" fontId="0" fillId="0" borderId="4" xfId="0" applyNumberFormat="1" applyBorder="1"/>
    <xf numFmtId="43" fontId="0" fillId="0" borderId="0" xfId="1" applyFont="1"/>
    <xf numFmtId="4" fontId="2" fillId="0" borderId="0" xfId="0" applyNumberFormat="1" applyFont="1"/>
    <xf numFmtId="3" fontId="3" fillId="0" borderId="0" xfId="1" applyNumberFormat="1" applyFont="1" applyBorder="1"/>
    <xf numFmtId="3" fontId="2" fillId="0" borderId="3" xfId="0" applyNumberFormat="1" applyFont="1" applyBorder="1"/>
    <xf numFmtId="3" fontId="0" fillId="0" borderId="0" xfId="2" applyNumberFormat="1" applyFont="1" applyAlignment="1">
      <alignment horizontal="right"/>
    </xf>
    <xf numFmtId="0" fontId="7" fillId="0" borderId="0" xfId="0" applyFont="1" applyAlignment="1">
      <alignment vertical="center"/>
    </xf>
    <xf numFmtId="0" fontId="3" fillId="0" borderId="1" xfId="0" applyFont="1" applyBorder="1" applyAlignment="1">
      <alignment horizontal="right"/>
    </xf>
    <xf numFmtId="166" fontId="0" fillId="0" borderId="0" xfId="1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66" fontId="0" fillId="0" borderId="0" xfId="1" applyNumberFormat="1" applyFont="1"/>
    <xf numFmtId="3" fontId="8" fillId="0" borderId="0" xfId="0" applyNumberFormat="1" applyFont="1"/>
    <xf numFmtId="3" fontId="0" fillId="0" borderId="5" xfId="0" applyNumberFormat="1" applyBorder="1"/>
    <xf numFmtId="0" fontId="9" fillId="0" borderId="0" xfId="0" applyFont="1"/>
    <xf numFmtId="164" fontId="10" fillId="0" borderId="0" xfId="0" applyNumberFormat="1" applyFont="1" applyAlignment="1">
      <alignment horizontal="right"/>
    </xf>
    <xf numFmtId="0" fontId="11" fillId="0" borderId="0" xfId="0" applyFont="1"/>
    <xf numFmtId="0" fontId="0" fillId="0" borderId="0" xfId="0" applyAlignment="1">
      <alignment horizontal="center"/>
    </xf>
    <xf numFmtId="165" fontId="0" fillId="0" borderId="0" xfId="0" applyNumberFormat="1"/>
    <xf numFmtId="4" fontId="0" fillId="0" borderId="0" xfId="0" applyNumberFormat="1"/>
    <xf numFmtId="167" fontId="0" fillId="0" borderId="0" xfId="0" applyNumberFormat="1" applyAlignment="1">
      <alignment horizontal="right"/>
    </xf>
    <xf numFmtId="3" fontId="4" fillId="0" borderId="0" xfId="0" applyNumberFormat="1" applyFont="1"/>
    <xf numFmtId="10" fontId="4" fillId="0" borderId="0" xfId="2" applyNumberFormat="1" applyFont="1"/>
    <xf numFmtId="3" fontId="12" fillId="0" borderId="0" xfId="0" applyNumberFormat="1" applyFont="1"/>
    <xf numFmtId="168" fontId="0" fillId="0" borderId="0" xfId="2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4" fillId="0" borderId="6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1143000</xdr:colOff>
      <xdr:row>4</xdr:row>
      <xdr:rowOff>12700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1229536850" y="0"/>
          <a:ext cx="10763250" cy="7366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ClrTx/>
            <a:buSzTx/>
            <a:buFontTx/>
            <a:buNone/>
            <a:tabLst/>
            <a:defRPr/>
          </a:pPr>
          <a:r>
            <a:rPr lang="he-IL" sz="1100" b="1" i="0">
              <a:latin typeface="Ariel"/>
            </a:rPr>
            <a:t>נספח 1 - צדדים קשורים - יתרות ועיסקאות </a:t>
          </a:r>
          <a:r>
            <a:rPr lang="he-IL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לשנה המסתיימת </a:t>
          </a:r>
          <a:r>
            <a:rPr lang="he-IL" sz="1100" b="1" i="0">
              <a:latin typeface="Ariel"/>
            </a:rPr>
            <a:t>ביום 31/12/2024
הפניקס  פנסיה וגמל בע"מ
</a:t>
          </a:r>
          <a:r>
            <a:rPr lang="he-IL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סנונית</a:t>
          </a:r>
          <a:endParaRPr lang="he-IL">
            <a:effectLst/>
          </a:endParaRPr>
        </a:p>
        <a:p>
          <a:pPr algn="ctr" rtl="1">
            <a:spcAft>
              <a:spcPts val="600"/>
            </a:spcAft>
          </a:pPr>
          <a:endParaRPr lang="he-IL" sz="1100" b="1" i="0">
            <a:latin typeface="Ariel"/>
          </a:endParaRPr>
        </a:p>
      </xdr:txBody>
    </xdr:sp>
    <xdr:clientData/>
  </xdr:twoCellAnchor>
  <xdr:twoCellAnchor editAs="oneCell">
    <xdr:from>
      <xdr:col>9</xdr:col>
      <xdr:colOff>601980</xdr:colOff>
      <xdr:row>0</xdr:row>
      <xdr:rowOff>68580</xdr:rowOff>
    </xdr:from>
    <xdr:to>
      <xdr:col>9</xdr:col>
      <xdr:colOff>1028701</xdr:colOff>
      <xdr:row>2</xdr:row>
      <xdr:rowOff>102666</xdr:rowOff>
    </xdr:to>
    <xdr:pic>
      <xdr:nvPicPr>
        <xdr:cNvPr id="4" name="תמונה 3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5216E906-8DA7-45FB-9401-A0D7478A3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0107579" y="68580"/>
          <a:ext cx="426721" cy="3846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25400</xdr:rowOff>
    </xdr:from>
    <xdr:to>
      <xdr:col>9</xdr:col>
      <xdr:colOff>571500</xdr:colOff>
      <xdr:row>4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1229403500" y="25400"/>
          <a:ext cx="9683750" cy="7366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ClrTx/>
            <a:buSzTx/>
            <a:buFontTx/>
            <a:buNone/>
            <a:tabLst/>
            <a:defRPr/>
          </a:pPr>
          <a:r>
            <a:rPr lang="he-IL" sz="1100" b="1" i="0">
              <a:latin typeface="Ariel"/>
            </a:rPr>
            <a:t>נספח 2 - צדדים קשורים - יתרות השקעה </a:t>
          </a:r>
          <a:r>
            <a:rPr lang="he-IL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לשנה המסתיימת </a:t>
          </a:r>
          <a:r>
            <a:rPr lang="he-IL" sz="1100" b="1" i="0">
              <a:latin typeface="Ariel"/>
            </a:rPr>
            <a:t>ביום 31/12/2024
הפניקס  </a:t>
          </a:r>
          <a:r>
            <a:rPr lang="he-IL" sz="1100" b="1" i="0">
              <a:solidFill>
                <a:schemeClr val="dk1"/>
              </a:solidFill>
              <a:latin typeface="Ariel"/>
              <a:ea typeface="+mn-ea"/>
              <a:cs typeface="+mn-cs"/>
            </a:rPr>
            <a:t>פנסיה וגמל בע"מ
סנונית</a:t>
          </a:r>
        </a:p>
        <a:p>
          <a:pPr algn="ctr" rtl="1">
            <a:spcAft>
              <a:spcPts val="600"/>
            </a:spcAft>
          </a:pPr>
          <a:endParaRPr lang="he-IL" sz="1100" b="1" i="0">
            <a:latin typeface="Arie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47625</xdr:rowOff>
    </xdr:from>
    <xdr:to>
      <xdr:col>2</xdr:col>
      <xdr:colOff>914401</xdr:colOff>
      <xdr:row>5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233489724" y="47625"/>
          <a:ext cx="6296025" cy="9906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ClrTx/>
            <a:buSzTx/>
            <a:buFontTx/>
            <a:buNone/>
            <a:tabLst/>
            <a:defRPr/>
          </a:pPr>
          <a:r>
            <a:rPr lang="he-IL" sz="1100" b="1" i="0">
              <a:latin typeface="Ariel"/>
            </a:rPr>
            <a:t>נספח 3א - צדדים קשורים - עיסקאות שבוצעו בבורסה, בבורסת חוץ או שוק מוסדר לרכישת או מכירת ני"ע סחירים</a:t>
          </a:r>
          <a:r>
            <a:rPr lang="he-IL" sz="1100" b="1" i="0" baseline="0">
              <a:latin typeface="Ariel"/>
            </a:rPr>
            <a:t> של צד קשור לשנה המסתיימת ביום 31/12/2024</a:t>
          </a:r>
          <a:r>
            <a:rPr lang="he-IL" sz="1100" b="1" i="0">
              <a:latin typeface="Ariel"/>
            </a:rPr>
            <a:t>
הפניקס </a:t>
          </a:r>
          <a:r>
            <a:rPr lang="he-IL" sz="1100" b="1" i="0">
              <a:solidFill>
                <a:schemeClr val="dk1"/>
              </a:solidFill>
              <a:latin typeface="Ariel"/>
              <a:ea typeface="+mn-ea"/>
              <a:cs typeface="+mn-cs"/>
            </a:rPr>
            <a:t>פנסיה וגמל בע"מ
סנונית</a:t>
          </a:r>
        </a:p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ClrTx/>
            <a:buSzTx/>
            <a:buFontTx/>
            <a:buNone/>
            <a:tabLst/>
            <a:defRPr/>
          </a:pPr>
          <a:endParaRPr lang="he-IL">
            <a:solidFill>
              <a:srgbClr val="FF0000"/>
            </a:solidFill>
            <a:effectLst/>
          </a:endParaRPr>
        </a:p>
        <a:p>
          <a:pPr algn="ctr" rtl="1">
            <a:spcAft>
              <a:spcPts val="600"/>
            </a:spcAft>
          </a:pPr>
          <a:endParaRPr lang="he-IL" sz="1100" b="1" i="0">
            <a:latin typeface="Ariel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104775</xdr:rowOff>
    </xdr:from>
    <xdr:to>
      <xdr:col>6</xdr:col>
      <xdr:colOff>971550</xdr:colOff>
      <xdr:row>4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1231375175" y="104775"/>
          <a:ext cx="7458075" cy="74295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600"/>
            </a:spcAft>
            <a:buClrTx/>
            <a:buSzTx/>
            <a:buFontTx/>
            <a:buNone/>
            <a:tabLst/>
            <a:defRPr/>
          </a:pPr>
          <a:r>
            <a:rPr lang="he-IL" sz="1100" b="1" i="0">
              <a:latin typeface="Ariel"/>
            </a:rPr>
            <a:t>נספח 3ב - צדדים קשורים - עסקאות שבוצעו לצורך השקעה בנכסים לא סחירים של צד קשור </a:t>
          </a:r>
          <a:r>
            <a:rPr lang="he-IL" sz="1100" b="1" i="0" baseline="0">
              <a:latin typeface="Ariel"/>
            </a:rPr>
            <a:t>לשנה המסתיימת ביום 31/12/2024</a:t>
          </a:r>
          <a:r>
            <a:rPr lang="he-IL" sz="1100" b="1" i="0">
              <a:latin typeface="Ariel"/>
            </a:rPr>
            <a:t>
הפניקס </a:t>
          </a:r>
          <a:r>
            <a:rPr lang="he-IL" sz="1100" b="1" i="0">
              <a:solidFill>
                <a:schemeClr val="dk1"/>
              </a:solidFill>
              <a:latin typeface="Ariel"/>
              <a:ea typeface="+mn-ea"/>
              <a:cs typeface="+mn-cs"/>
            </a:rPr>
            <a:t>פנסיה וגמל בע"מ
סנונית</a:t>
          </a:r>
        </a:p>
        <a:p>
          <a:pPr algn="ctr" rtl="1">
            <a:spcAft>
              <a:spcPts val="600"/>
            </a:spcAft>
          </a:pPr>
          <a:r>
            <a:rPr lang="he-IL" sz="1100" b="1" i="0">
              <a:latin typeface="Ariel"/>
            </a:rPr>
            <a:t>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19050</xdr:rowOff>
    </xdr:from>
    <xdr:to>
      <xdr:col>6</xdr:col>
      <xdr:colOff>638175</xdr:colOff>
      <xdr:row>5</xdr:row>
      <xdr:rowOff>66675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1231394225" y="19050"/>
          <a:ext cx="6343650" cy="9525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pPr algn="ctr" rtl="1">
            <a:spcAft>
              <a:spcPts val="600"/>
            </a:spcAft>
          </a:pPr>
          <a:r>
            <a:rPr lang="he-IL" sz="1100" b="1" i="0">
              <a:latin typeface="Ariel"/>
            </a:rPr>
            <a:t>נספח 3ג - צדדים קשורים - עסקאות מחוץ</a:t>
          </a:r>
          <a:r>
            <a:rPr lang="he-IL" sz="1100" b="1" i="0" baseline="0">
              <a:latin typeface="Ariel"/>
            </a:rPr>
            <a:t> לבורסה, עסקאות מתואמות בבורסה ועסקאות בנכסים אחרים לא סחירים שבוצעו מול צדדים קשורים לשנה המסתיימת ביום 31/12/2024</a:t>
          </a:r>
          <a:r>
            <a:rPr lang="he-IL" sz="1100" b="1" i="0">
              <a:latin typeface="Ariel"/>
            </a:rPr>
            <a:t>
הפניקס פנסיה וגמל בע"מ
</a:t>
          </a:r>
          <a:r>
            <a:rPr lang="he-IL" sz="1100" b="1" i="0">
              <a:solidFill>
                <a:schemeClr val="dk1"/>
              </a:solidFill>
              <a:latin typeface="Ariel"/>
              <a:ea typeface="+mn-ea"/>
              <a:cs typeface="+mn-cs"/>
            </a:rPr>
            <a:t>סנונית</a:t>
          </a:r>
        </a:p>
        <a:p>
          <a:pPr algn="ctr" rtl="1">
            <a:spcAft>
              <a:spcPts val="600"/>
            </a:spcAft>
          </a:pPr>
          <a:endParaRPr lang="he-IL" sz="1100" b="1" i="0">
            <a:latin typeface="Ariel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95250</xdr:rowOff>
    </xdr:from>
    <xdr:to>
      <xdr:col>4</xdr:col>
      <xdr:colOff>904875</xdr:colOff>
      <xdr:row>5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11232842025" y="95250"/>
          <a:ext cx="6010275" cy="9525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pPr algn="ctr" rtl="1">
            <a:spcAft>
              <a:spcPts val="600"/>
            </a:spcAft>
          </a:pPr>
          <a:r>
            <a:rPr lang="he-IL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נספח 4 - רכישת נייר ערך בהנפקות באמצעות חתם קשור או באמצעות צד קשור ששיווק את ההנפקה </a:t>
          </a:r>
          <a:r>
            <a:rPr lang="he-IL" sz="1100" b="1" i="0" baseline="0">
              <a:latin typeface="Ariel"/>
            </a:rPr>
            <a:t>לשנה המסתיימת ביום 31/12/2024</a:t>
          </a:r>
          <a:r>
            <a:rPr lang="he-IL" sz="1100" b="1" i="0">
              <a:latin typeface="Ariel"/>
            </a:rPr>
            <a:t>
</a:t>
          </a:r>
          <a:r>
            <a:rPr lang="he-IL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הפניקס  פנסיה וגמל בע"מ</a:t>
          </a:r>
          <a:r>
            <a:rPr lang="he-IL" sz="1100" b="1" i="0">
              <a:latin typeface="Ariel"/>
            </a:rPr>
            <a:t>
</a:t>
          </a:r>
          <a:r>
            <a:rPr lang="he-IL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סנונית</a:t>
          </a:r>
        </a:p>
        <a:p>
          <a:pPr algn="ctr" rtl="1">
            <a:spcAft>
              <a:spcPts val="600"/>
            </a:spcAft>
          </a:pPr>
          <a:endParaRPr lang="he-IL" sz="1100" b="1" i="0">
            <a:latin typeface="Arie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K19"/>
  <sheetViews>
    <sheetView rightToLeft="1" tabSelected="1" workbookViewId="0">
      <selection activeCell="A19" sqref="A19:J19"/>
    </sheetView>
  </sheetViews>
  <sheetFormatPr defaultRowHeight="13.8" x14ac:dyDescent="0.25"/>
  <cols>
    <col min="1" max="1" width="40.59765625" customWidth="1"/>
    <col min="2" max="2" width="11.59765625" customWidth="1"/>
    <col min="3" max="3" width="9.09765625" bestFit="1" customWidth="1"/>
    <col min="4" max="4" width="13.5" bestFit="1" customWidth="1"/>
    <col min="5" max="5" width="14.09765625" bestFit="1" customWidth="1"/>
    <col min="6" max="6" width="9.8984375" bestFit="1" customWidth="1"/>
    <col min="7" max="9" width="9.09765625" bestFit="1" customWidth="1"/>
    <col min="10" max="10" width="18.19921875" customWidth="1"/>
  </cols>
  <sheetData>
    <row r="6" spans="1:11" x14ac:dyDescent="0.25">
      <c r="A6" s="67" t="s">
        <v>78</v>
      </c>
      <c r="B6" s="67"/>
      <c r="C6" s="67"/>
      <c r="D6" s="67"/>
      <c r="E6" s="67"/>
      <c r="F6" s="67"/>
      <c r="G6" s="67"/>
      <c r="H6" s="67"/>
      <c r="I6" s="67"/>
      <c r="J6" s="67"/>
      <c r="K6" s="67" t="s">
        <v>79</v>
      </c>
    </row>
    <row r="7" spans="1:11" x14ac:dyDescent="0.25">
      <c r="A7" s="1"/>
      <c r="B7" s="1"/>
      <c r="C7" s="1"/>
      <c r="D7" s="64" t="s">
        <v>0</v>
      </c>
      <c r="E7" s="64"/>
      <c r="F7" s="64"/>
      <c r="G7" s="64"/>
      <c r="H7" s="64"/>
      <c r="I7" s="64"/>
      <c r="J7" s="1"/>
      <c r="K7" s="67"/>
    </row>
    <row r="8" spans="1:11" ht="78" customHeight="1" x14ac:dyDescent="0.25">
      <c r="A8" s="2" t="s">
        <v>1</v>
      </c>
      <c r="B8" s="66" t="s">
        <v>45</v>
      </c>
      <c r="C8" s="66" t="s">
        <v>2</v>
      </c>
      <c r="D8" s="65" t="s">
        <v>47</v>
      </c>
      <c r="E8" s="64"/>
      <c r="F8" s="65" t="s">
        <v>3</v>
      </c>
      <c r="G8" s="64"/>
      <c r="H8" s="65" t="s">
        <v>4</v>
      </c>
      <c r="I8" s="64"/>
      <c r="J8" s="66" t="s">
        <v>5</v>
      </c>
      <c r="K8" s="67"/>
    </row>
    <row r="9" spans="1:11" x14ac:dyDescent="0.25">
      <c r="A9" s="2"/>
      <c r="B9" s="66"/>
      <c r="C9" s="66"/>
      <c r="D9" s="1" t="s">
        <v>8</v>
      </c>
      <c r="E9" s="1" t="s">
        <v>9</v>
      </c>
      <c r="F9" s="1" t="s">
        <v>8</v>
      </c>
      <c r="G9" s="1" t="s">
        <v>9</v>
      </c>
      <c r="H9" s="1" t="s">
        <v>8</v>
      </c>
      <c r="I9" s="1" t="s">
        <v>9</v>
      </c>
      <c r="J9" s="66"/>
      <c r="K9" s="67"/>
    </row>
    <row r="10" spans="1:11" x14ac:dyDescent="0.25">
      <c r="A10" s="1"/>
      <c r="B10" s="1" t="s">
        <v>46</v>
      </c>
      <c r="C10" s="1" t="s">
        <v>7</v>
      </c>
      <c r="D10" s="64" t="s">
        <v>46</v>
      </c>
      <c r="E10" s="64"/>
      <c r="F10" s="64" t="s">
        <v>46</v>
      </c>
      <c r="G10" s="64"/>
      <c r="H10" s="64" t="s">
        <v>46</v>
      </c>
      <c r="I10" s="64"/>
      <c r="J10" s="1" t="s">
        <v>46</v>
      </c>
      <c r="K10" s="67"/>
    </row>
    <row r="11" spans="1:11" x14ac:dyDescent="0.25">
      <c r="A11" s="1"/>
      <c r="B11" s="64" t="s">
        <v>10</v>
      </c>
      <c r="C11" s="64"/>
      <c r="D11" s="64" t="s">
        <v>11</v>
      </c>
      <c r="E11" s="64"/>
      <c r="F11" s="64" t="s">
        <v>12</v>
      </c>
      <c r="G11" s="64"/>
      <c r="H11" s="64" t="s">
        <v>13</v>
      </c>
      <c r="I11" s="64"/>
      <c r="J11" s="1" t="s">
        <v>14</v>
      </c>
      <c r="K11" s="67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67"/>
    </row>
    <row r="13" spans="1:11" ht="15.6" x14ac:dyDescent="0.3">
      <c r="A13" s="3" t="s">
        <v>50</v>
      </c>
      <c r="B13" s="57">
        <v>0.255079216</v>
      </c>
      <c r="C13" s="34">
        <v>9.9999999999999995E-7</v>
      </c>
      <c r="D13" s="28"/>
      <c r="E13" s="29"/>
      <c r="F13" s="43"/>
      <c r="G13" s="43"/>
      <c r="H13" s="19"/>
      <c r="I13" s="19"/>
      <c r="J13" s="19"/>
      <c r="K13" s="67"/>
    </row>
    <row r="14" spans="1:11" x14ac:dyDescent="0.25">
      <c r="A14" s="3" t="s">
        <v>64</v>
      </c>
      <c r="B14" s="19">
        <v>907.42332512500002</v>
      </c>
      <c r="C14" s="4">
        <v>1.1591000000000001E-2</v>
      </c>
      <c r="D14" s="23">
        <v>508.15999999999997</v>
      </c>
      <c r="E14" s="23">
        <v>-1039.3399999999999</v>
      </c>
      <c r="F14" s="43"/>
      <c r="G14" s="43"/>
      <c r="H14" s="19"/>
      <c r="I14" s="19"/>
      <c r="J14" s="19"/>
      <c r="K14" s="67"/>
    </row>
    <row r="15" spans="1:11" x14ac:dyDescent="0.25">
      <c r="A15" s="3" t="s">
        <v>76</v>
      </c>
      <c r="B15" s="19">
        <v>113.06607788299999</v>
      </c>
      <c r="C15" s="34">
        <v>1.3619999999999999E-3</v>
      </c>
      <c r="D15" s="23">
        <v>3.43</v>
      </c>
      <c r="E15" s="23">
        <v>-6.57</v>
      </c>
      <c r="F15" s="23"/>
      <c r="G15" s="19"/>
      <c r="H15" s="23"/>
      <c r="I15" s="23"/>
      <c r="J15" s="23"/>
      <c r="K15" s="67"/>
    </row>
    <row r="16" spans="1:11" ht="15" x14ac:dyDescent="0.25">
      <c r="A16" s="53" t="s">
        <v>54</v>
      </c>
      <c r="B16" s="19"/>
      <c r="C16" s="34"/>
      <c r="D16" s="23"/>
      <c r="E16" s="23"/>
      <c r="F16" s="23"/>
      <c r="G16" s="19"/>
      <c r="H16" s="23"/>
      <c r="I16" s="23"/>
      <c r="J16" s="54">
        <v>0</v>
      </c>
      <c r="K16" s="67"/>
    </row>
    <row r="17" spans="1:11" x14ac:dyDescent="0.25">
      <c r="A17" s="3"/>
      <c r="J17" s="55"/>
      <c r="K17" s="67"/>
    </row>
    <row r="18" spans="1:11" ht="17.399999999999999" x14ac:dyDescent="0.3">
      <c r="A18" s="33" t="s">
        <v>16</v>
      </c>
      <c r="B18" s="60">
        <f>SUM(B13:B16)</f>
        <v>1020.744482224</v>
      </c>
      <c r="C18" s="61">
        <f>SUM(C13:C15)</f>
        <v>1.2954E-2</v>
      </c>
      <c r="D18" s="60">
        <f>SUM(D13:D15)</f>
        <v>511.59</v>
      </c>
      <c r="E18" s="60">
        <f>SUM(E13:E15)</f>
        <v>-1045.9099999999999</v>
      </c>
      <c r="F18" s="60">
        <v>0</v>
      </c>
      <c r="G18" s="60">
        <v>0</v>
      </c>
      <c r="H18" s="60">
        <v>0</v>
      </c>
      <c r="I18" s="60">
        <v>0</v>
      </c>
      <c r="J18" s="62">
        <v>0</v>
      </c>
      <c r="K18" s="67"/>
    </row>
    <row r="19" spans="1:11" x14ac:dyDescent="0.25">
      <c r="A19" s="67" t="s">
        <v>81</v>
      </c>
      <c r="B19" s="67"/>
      <c r="C19" s="67"/>
      <c r="D19" s="67"/>
      <c r="E19" s="67"/>
      <c r="F19" s="67"/>
      <c r="G19" s="67"/>
      <c r="H19" s="67"/>
      <c r="I19" s="67"/>
      <c r="J19" s="67"/>
      <c r="K19" s="67"/>
    </row>
  </sheetData>
  <mergeCells count="17">
    <mergeCell ref="A6:J6"/>
    <mergeCell ref="K6:K19"/>
    <mergeCell ref="A19:J19"/>
    <mergeCell ref="J8:J9"/>
    <mergeCell ref="C8:C9"/>
    <mergeCell ref="B8:B9"/>
    <mergeCell ref="B11:C11"/>
    <mergeCell ref="D11:E11"/>
    <mergeCell ref="F11:G11"/>
    <mergeCell ref="H11:I11"/>
    <mergeCell ref="D7:I7"/>
    <mergeCell ref="D8:E8"/>
    <mergeCell ref="F8:G8"/>
    <mergeCell ref="H8:I8"/>
    <mergeCell ref="D10:E10"/>
    <mergeCell ref="F10:G10"/>
    <mergeCell ref="H10:I1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7:K51"/>
  <sheetViews>
    <sheetView rightToLeft="1" workbookViewId="0">
      <pane ySplit="9" topLeftCell="A38" activePane="bottomLeft" state="frozen"/>
      <selection activeCell="A90" sqref="A90"/>
      <selection pane="bottomLeft" activeCell="A51" sqref="A51:J51"/>
    </sheetView>
  </sheetViews>
  <sheetFormatPr defaultRowHeight="13.8" x14ac:dyDescent="0.25"/>
  <cols>
    <col min="1" max="1" width="43.8984375" bestFit="1" customWidth="1"/>
    <col min="2" max="2" width="9.8984375" bestFit="1" customWidth="1"/>
    <col min="9" max="9" width="13.5" bestFit="1" customWidth="1"/>
  </cols>
  <sheetData>
    <row r="7" spans="1:11" x14ac:dyDescent="0.25">
      <c r="A7" s="67" t="s">
        <v>78</v>
      </c>
      <c r="B7" s="67"/>
      <c r="C7" s="67"/>
      <c r="D7" s="67"/>
      <c r="E7" s="67"/>
      <c r="F7" s="67"/>
      <c r="G7" s="67"/>
      <c r="H7" s="67"/>
      <c r="I7" s="67"/>
      <c r="J7" s="67"/>
      <c r="K7" s="67" t="s">
        <v>79</v>
      </c>
    </row>
    <row r="8" spans="1:11" ht="55.2" x14ac:dyDescent="0.25">
      <c r="A8" s="1"/>
      <c r="B8" s="2" t="s">
        <v>17</v>
      </c>
      <c r="C8" s="1" t="s">
        <v>18</v>
      </c>
      <c r="D8" s="2" t="s">
        <v>19</v>
      </c>
      <c r="E8" s="2" t="s">
        <v>20</v>
      </c>
      <c r="F8" s="1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67"/>
    </row>
    <row r="9" spans="1:11" x14ac:dyDescent="0.25">
      <c r="A9" s="1"/>
      <c r="B9" s="1"/>
      <c r="C9" s="1"/>
      <c r="D9" s="1"/>
      <c r="E9" s="1" t="s">
        <v>7</v>
      </c>
      <c r="F9" s="1" t="s">
        <v>26</v>
      </c>
      <c r="G9" s="1" t="s">
        <v>7</v>
      </c>
      <c r="H9" s="1" t="s">
        <v>7</v>
      </c>
      <c r="I9" s="1" t="s">
        <v>6</v>
      </c>
      <c r="J9" s="1" t="s">
        <v>7</v>
      </c>
      <c r="K9" s="67"/>
    </row>
    <row r="10" spans="1:11" x14ac:dyDescent="0.25">
      <c r="A10" s="16" t="s">
        <v>50</v>
      </c>
      <c r="B10" s="5"/>
      <c r="C10" s="5"/>
      <c r="D10" s="5"/>
      <c r="E10" s="5"/>
      <c r="F10" s="5"/>
      <c r="G10" s="5"/>
      <c r="H10" s="5"/>
      <c r="I10" s="27"/>
      <c r="J10" s="5"/>
      <c r="K10" s="67"/>
    </row>
    <row r="11" spans="1:11" x14ac:dyDescent="0.25">
      <c r="A11" s="12" t="s">
        <v>48</v>
      </c>
      <c r="B11" s="5"/>
      <c r="C11" s="5"/>
      <c r="D11" s="5"/>
      <c r="E11" s="5"/>
      <c r="F11" s="5"/>
      <c r="G11" s="5"/>
      <c r="H11" s="5"/>
      <c r="I11" s="27"/>
      <c r="J11" s="5"/>
      <c r="K11" s="67"/>
    </row>
    <row r="12" spans="1:11" x14ac:dyDescent="0.25">
      <c r="A12" s="25" t="s">
        <v>49</v>
      </c>
      <c r="B12" s="5"/>
      <c r="C12" s="5"/>
      <c r="D12" s="5"/>
      <c r="E12" s="5"/>
      <c r="F12" s="5"/>
      <c r="G12" s="5"/>
      <c r="H12" s="5"/>
      <c r="I12" s="27"/>
      <c r="J12" s="5"/>
      <c r="K12" s="67"/>
    </row>
    <row r="13" spans="1:11" x14ac:dyDescent="0.25">
      <c r="A13" s="5"/>
      <c r="B13" s="5"/>
      <c r="C13" s="5"/>
      <c r="D13" s="5"/>
      <c r="E13" s="6"/>
      <c r="F13" s="5"/>
      <c r="G13" s="6"/>
      <c r="H13" s="6"/>
      <c r="I13" s="26"/>
      <c r="J13" s="6"/>
      <c r="K13" s="67"/>
    </row>
    <row r="14" spans="1:11" x14ac:dyDescent="0.25">
      <c r="A14" s="56" t="s">
        <v>51</v>
      </c>
      <c r="B14" s="5">
        <v>76176445</v>
      </c>
      <c r="C14" s="5"/>
      <c r="D14" s="5"/>
      <c r="E14" s="5"/>
      <c r="F14" s="5"/>
      <c r="G14" s="5"/>
      <c r="H14" s="6">
        <v>0</v>
      </c>
      <c r="I14" s="48">
        <v>0.255079216</v>
      </c>
      <c r="J14" s="6">
        <v>9.9999999999999995E-7</v>
      </c>
      <c r="K14" s="67"/>
    </row>
    <row r="15" spans="1:11" ht="15.6" x14ac:dyDescent="0.3">
      <c r="A15" s="5"/>
      <c r="B15" s="5"/>
      <c r="C15" s="5"/>
      <c r="D15" s="5"/>
      <c r="E15" s="5"/>
      <c r="F15" s="5"/>
      <c r="G15" s="5"/>
      <c r="H15" s="5"/>
      <c r="I15" s="28"/>
      <c r="J15" s="37"/>
      <c r="K15" s="67"/>
    </row>
    <row r="16" spans="1:11" ht="15.6" x14ac:dyDescent="0.3">
      <c r="A16" s="13" t="s">
        <v>29</v>
      </c>
      <c r="B16" s="5"/>
      <c r="C16" s="5"/>
      <c r="D16" s="5"/>
      <c r="E16" s="4"/>
      <c r="F16" s="5"/>
      <c r="G16" s="5"/>
      <c r="H16" s="5"/>
      <c r="I16" s="49">
        <v>0.255079216</v>
      </c>
      <c r="J16" s="37">
        <v>9.9999999999999995E-7</v>
      </c>
      <c r="K16" s="67"/>
    </row>
    <row r="17" spans="1:11" ht="15.6" x14ac:dyDescent="0.3">
      <c r="A17" s="13"/>
      <c r="B17" s="5"/>
      <c r="C17" s="5"/>
      <c r="D17" s="5"/>
      <c r="E17" s="4"/>
      <c r="F17" s="5"/>
      <c r="G17" s="5"/>
      <c r="H17" s="5"/>
      <c r="I17" s="28"/>
      <c r="J17" s="37"/>
      <c r="K17" s="67"/>
    </row>
    <row r="18" spans="1:11" ht="15.6" x14ac:dyDescent="0.3">
      <c r="A18" s="16" t="s">
        <v>55</v>
      </c>
      <c r="B18" s="5"/>
      <c r="C18" s="5"/>
      <c r="D18" s="5"/>
      <c r="E18" s="4"/>
      <c r="F18" s="5"/>
      <c r="G18" s="5"/>
      <c r="H18" s="5"/>
      <c r="I18" s="49">
        <v>0.255079216</v>
      </c>
      <c r="J18" s="37">
        <v>9.9999999999999995E-7</v>
      </c>
      <c r="K18" s="67"/>
    </row>
    <row r="19" spans="1:11" ht="15.6" x14ac:dyDescent="0.3">
      <c r="A19" s="16"/>
      <c r="B19" s="5"/>
      <c r="C19" s="5"/>
      <c r="D19" s="5"/>
      <c r="E19" s="4"/>
      <c r="F19" s="5"/>
      <c r="G19" s="5"/>
      <c r="H19" s="5"/>
      <c r="I19" s="49"/>
      <c r="J19" s="29"/>
      <c r="K19" s="67"/>
    </row>
    <row r="20" spans="1:11" ht="15.6" x14ac:dyDescent="0.3">
      <c r="A20" s="16" t="s">
        <v>64</v>
      </c>
      <c r="B20" s="5"/>
      <c r="C20" s="5"/>
      <c r="D20" s="5"/>
      <c r="E20" s="6"/>
      <c r="F20" s="5"/>
      <c r="G20" s="6"/>
      <c r="H20" s="6"/>
      <c r="I20" s="28"/>
      <c r="J20" s="29"/>
      <c r="K20" s="67"/>
    </row>
    <row r="21" spans="1:11" ht="15.6" x14ac:dyDescent="0.3">
      <c r="A21" s="12" t="s">
        <v>52</v>
      </c>
      <c r="B21" s="5"/>
      <c r="C21" s="5"/>
      <c r="D21" s="5"/>
      <c r="E21" s="6"/>
      <c r="F21" s="5"/>
      <c r="G21" s="6"/>
      <c r="H21" s="6"/>
      <c r="I21" s="28"/>
      <c r="J21" s="29"/>
      <c r="K21" s="67"/>
    </row>
    <row r="22" spans="1:11" x14ac:dyDescent="0.25">
      <c r="A22" s="25" t="s">
        <v>49</v>
      </c>
      <c r="B22" s="5"/>
      <c r="C22" s="5"/>
      <c r="D22" s="5"/>
      <c r="E22" s="6"/>
      <c r="F22" s="5"/>
      <c r="G22" s="6"/>
      <c r="H22" s="6"/>
      <c r="I22" s="26"/>
      <c r="J22" s="6"/>
      <c r="K22" s="67"/>
    </row>
    <row r="23" spans="1:11" x14ac:dyDescent="0.25">
      <c r="A23" s="5"/>
      <c r="B23" s="5"/>
      <c r="C23" s="5"/>
      <c r="D23" s="5"/>
      <c r="E23" s="6"/>
      <c r="F23" s="5"/>
      <c r="G23" s="6"/>
      <c r="H23" s="6"/>
      <c r="I23" s="26"/>
      <c r="J23" s="6"/>
      <c r="K23" s="67"/>
    </row>
    <row r="24" spans="1:11" x14ac:dyDescent="0.25">
      <c r="A24" s="15" t="s">
        <v>69</v>
      </c>
      <c r="B24" s="5">
        <v>1146125</v>
      </c>
      <c r="C24" s="5"/>
      <c r="D24" s="5" t="s">
        <v>62</v>
      </c>
      <c r="E24" s="6"/>
      <c r="F24" s="5"/>
      <c r="G24" s="6"/>
      <c r="H24" s="63">
        <v>2.3E-5</v>
      </c>
      <c r="I24" s="26">
        <v>8.9305651249999993</v>
      </c>
      <c r="J24" s="6">
        <v>9.7E-5</v>
      </c>
      <c r="K24" s="67"/>
    </row>
    <row r="25" spans="1:11" x14ac:dyDescent="0.25">
      <c r="A25" s="15" t="s">
        <v>70</v>
      </c>
      <c r="B25" s="5">
        <v>1146570</v>
      </c>
      <c r="C25" s="5"/>
      <c r="D25" s="5" t="s">
        <v>62</v>
      </c>
      <c r="E25" s="6"/>
      <c r="F25" s="5"/>
      <c r="G25" s="6"/>
      <c r="H25" s="63">
        <v>3.4999999999999997E-5</v>
      </c>
      <c r="I25" s="26">
        <v>69.553629999999998</v>
      </c>
      <c r="J25" s="6">
        <v>8.8900000000000003E-4</v>
      </c>
      <c r="K25" s="67"/>
    </row>
    <row r="26" spans="1:11" x14ac:dyDescent="0.25">
      <c r="A26" s="15" t="s">
        <v>72</v>
      </c>
      <c r="B26" s="5">
        <v>1145804</v>
      </c>
      <c r="C26" s="5"/>
      <c r="D26" s="5"/>
      <c r="E26" s="6"/>
      <c r="F26" s="5"/>
      <c r="G26" s="6"/>
      <c r="H26" s="6">
        <v>1.5474E-2</v>
      </c>
      <c r="I26" s="26">
        <v>828.93912999999998</v>
      </c>
      <c r="J26" s="6">
        <v>1.0605E-2</v>
      </c>
      <c r="K26" s="67"/>
    </row>
    <row r="27" spans="1:11" x14ac:dyDescent="0.25">
      <c r="A27" s="5"/>
      <c r="B27" s="5"/>
      <c r="C27" s="5"/>
      <c r="D27" s="5"/>
      <c r="E27" s="6"/>
      <c r="F27" s="5"/>
      <c r="G27" s="6"/>
      <c r="H27" s="6"/>
      <c r="I27" s="26"/>
      <c r="J27" s="6"/>
      <c r="K27" s="67"/>
    </row>
    <row r="28" spans="1:11" ht="15.6" x14ac:dyDescent="0.3">
      <c r="A28" s="13" t="s">
        <v>28</v>
      </c>
      <c r="B28" s="5"/>
      <c r="C28" s="5"/>
      <c r="D28" s="5"/>
      <c r="E28" s="6"/>
      <c r="F28" s="5"/>
      <c r="G28" s="6"/>
      <c r="H28" s="6"/>
      <c r="I28" s="28">
        <v>907.42332512500002</v>
      </c>
      <c r="J28" s="37">
        <v>1.1591000000000001E-2</v>
      </c>
      <c r="K28" s="67"/>
    </row>
    <row r="29" spans="1:11" x14ac:dyDescent="0.25">
      <c r="A29" s="13"/>
      <c r="B29" s="5"/>
      <c r="C29" s="5"/>
      <c r="D29" s="5"/>
      <c r="E29" s="6"/>
      <c r="F29" s="5"/>
      <c r="G29" s="6"/>
      <c r="H29" s="6"/>
      <c r="I29" s="26"/>
      <c r="J29" s="6"/>
      <c r="K29" s="67"/>
    </row>
    <row r="30" spans="1:11" ht="15.6" x14ac:dyDescent="0.3">
      <c r="A30" s="16" t="s">
        <v>57</v>
      </c>
      <c r="B30" s="5"/>
      <c r="C30" s="5"/>
      <c r="D30" s="5"/>
      <c r="E30" s="6"/>
      <c r="F30" s="5"/>
      <c r="G30" s="6"/>
      <c r="H30" s="6"/>
      <c r="I30" s="28">
        <v>907.42332512500002</v>
      </c>
      <c r="J30" s="37">
        <v>1.1591000000000001E-2</v>
      </c>
      <c r="K30" s="67"/>
    </row>
    <row r="31" spans="1:11" x14ac:dyDescent="0.25">
      <c r="K31" s="67"/>
    </row>
    <row r="32" spans="1:11" ht="15.6" x14ac:dyDescent="0.3">
      <c r="A32" s="16" t="s">
        <v>15</v>
      </c>
      <c r="B32" s="5"/>
      <c r="C32" s="5"/>
      <c r="D32" s="5"/>
      <c r="E32" s="5"/>
      <c r="F32" s="5"/>
      <c r="G32" s="5"/>
      <c r="H32" s="5"/>
      <c r="I32" s="28"/>
      <c r="J32" s="8"/>
      <c r="K32" s="67"/>
    </row>
    <row r="33" spans="1:11" ht="15.6" x14ac:dyDescent="0.3">
      <c r="A33" s="12" t="s">
        <v>52</v>
      </c>
      <c r="B33" s="5"/>
      <c r="C33" s="5"/>
      <c r="D33" s="5"/>
      <c r="E33" s="5"/>
      <c r="F33" s="5"/>
      <c r="G33" s="5"/>
      <c r="H33" s="5"/>
      <c r="I33" s="28"/>
      <c r="J33" s="8"/>
      <c r="K33" s="67"/>
    </row>
    <row r="34" spans="1:11" ht="15.6" x14ac:dyDescent="0.3">
      <c r="A34" s="25" t="s">
        <v>49</v>
      </c>
      <c r="B34" s="5"/>
      <c r="C34" s="5"/>
      <c r="D34" s="5"/>
      <c r="E34" s="5"/>
      <c r="F34" s="5"/>
      <c r="G34" s="5"/>
      <c r="H34" s="5"/>
      <c r="I34" s="28"/>
      <c r="J34" s="8"/>
      <c r="K34" s="67"/>
    </row>
    <row r="35" spans="1:11" ht="15.6" x14ac:dyDescent="0.3">
      <c r="A35" s="12"/>
      <c r="B35" s="5"/>
      <c r="C35" s="5"/>
      <c r="D35" s="5"/>
      <c r="E35" s="5"/>
      <c r="F35" s="5"/>
      <c r="G35" s="5"/>
      <c r="H35" s="5"/>
      <c r="I35" s="28"/>
      <c r="J35" s="8"/>
      <c r="K35" s="67"/>
    </row>
    <row r="36" spans="1:11" x14ac:dyDescent="0.25">
      <c r="A36" s="15" t="s">
        <v>15</v>
      </c>
      <c r="B36" s="5">
        <v>1098920</v>
      </c>
      <c r="C36" s="5"/>
      <c r="D36" s="5"/>
      <c r="E36" s="5"/>
      <c r="F36" s="5"/>
      <c r="G36" s="5"/>
      <c r="H36" s="38">
        <v>3.9999999999999998E-6</v>
      </c>
      <c r="I36" s="39">
        <v>16.748345656999998</v>
      </c>
      <c r="J36" s="38">
        <v>1.9699999999999999E-4</v>
      </c>
      <c r="K36" s="67"/>
    </row>
    <row r="37" spans="1:11" ht="15.6" x14ac:dyDescent="0.3">
      <c r="A37" s="12"/>
      <c r="B37" s="5"/>
      <c r="C37" s="5"/>
      <c r="D37" s="5"/>
      <c r="E37" s="5"/>
      <c r="F37" s="5"/>
      <c r="G37" s="5"/>
      <c r="H37" s="5"/>
      <c r="I37" s="28"/>
      <c r="J37" s="8"/>
      <c r="K37" s="67"/>
    </row>
    <row r="38" spans="1:11" ht="15.6" x14ac:dyDescent="0.3">
      <c r="A38" s="25" t="s">
        <v>53</v>
      </c>
      <c r="B38" s="5"/>
      <c r="C38" s="5"/>
      <c r="D38" s="5"/>
      <c r="E38" s="5"/>
      <c r="F38" s="5"/>
      <c r="G38" s="5"/>
      <c r="H38" s="5"/>
      <c r="I38" s="28"/>
      <c r="J38" s="8"/>
      <c r="K38" s="67"/>
    </row>
    <row r="39" spans="1:11" x14ac:dyDescent="0.25">
      <c r="A39" s="5"/>
      <c r="B39" s="5"/>
      <c r="C39" s="5"/>
      <c r="D39" s="5"/>
      <c r="E39" s="6"/>
      <c r="F39" s="5"/>
      <c r="G39" s="6"/>
      <c r="H39" s="6"/>
      <c r="I39" s="26"/>
      <c r="J39" s="6"/>
      <c r="K39" s="67"/>
    </row>
    <row r="40" spans="1:11" x14ac:dyDescent="0.25">
      <c r="A40" s="15" t="s">
        <v>42</v>
      </c>
      <c r="B40" s="5">
        <v>1136753</v>
      </c>
      <c r="C40" s="5" t="s">
        <v>77</v>
      </c>
      <c r="D40" s="5" t="s">
        <v>74</v>
      </c>
      <c r="E40" s="38">
        <v>4.4779989999999999E-2</v>
      </c>
      <c r="F40" s="59">
        <v>1.89</v>
      </c>
      <c r="G40" s="6">
        <v>2.7799999999999998E-2</v>
      </c>
      <c r="H40" s="6">
        <v>5.1999999999999997E-5</v>
      </c>
      <c r="I40" s="26">
        <v>60.684032366000004</v>
      </c>
      <c r="J40" s="6">
        <v>7.45E-4</v>
      </c>
      <c r="K40" s="67"/>
    </row>
    <row r="41" spans="1:11" x14ac:dyDescent="0.25">
      <c r="A41" s="15" t="s">
        <v>30</v>
      </c>
      <c r="B41" s="5">
        <v>1138544</v>
      </c>
      <c r="C41" s="5" t="s">
        <v>77</v>
      </c>
      <c r="D41" s="5" t="s">
        <v>74</v>
      </c>
      <c r="E41" s="38">
        <v>3.9779990000000001E-2</v>
      </c>
      <c r="F41" s="59">
        <v>3.23</v>
      </c>
      <c r="G41" s="6">
        <v>2.8199999999999999E-2</v>
      </c>
      <c r="H41" s="6">
        <v>3.4E-5</v>
      </c>
      <c r="I41" s="26">
        <v>35.633699859999993</v>
      </c>
      <c r="J41" s="6">
        <v>4.2000000000000002E-4</v>
      </c>
      <c r="K41" s="67"/>
    </row>
    <row r="42" spans="1:11" x14ac:dyDescent="0.25">
      <c r="A42" s="15"/>
      <c r="B42" s="5"/>
      <c r="C42" s="5"/>
      <c r="D42" s="5"/>
      <c r="E42" s="38"/>
      <c r="F42" s="5"/>
      <c r="G42" s="6"/>
      <c r="H42" s="6"/>
      <c r="I42" s="26"/>
      <c r="J42" s="6"/>
      <c r="K42" s="67"/>
    </row>
    <row r="43" spans="1:11" x14ac:dyDescent="0.25">
      <c r="A43" s="15"/>
      <c r="B43" s="5"/>
      <c r="C43" s="5"/>
      <c r="D43" s="5"/>
      <c r="E43" s="40"/>
      <c r="F43" s="5"/>
      <c r="G43" s="6"/>
      <c r="H43" s="6"/>
      <c r="I43" s="26"/>
      <c r="J43" s="6"/>
      <c r="K43" s="67"/>
    </row>
    <row r="44" spans="1:11" x14ac:dyDescent="0.25">
      <c r="A44" s="5"/>
      <c r="B44" s="5"/>
      <c r="C44" s="5"/>
      <c r="D44" s="5"/>
      <c r="E44" s="6"/>
      <c r="F44" s="5"/>
      <c r="G44" s="6"/>
      <c r="H44" s="6"/>
      <c r="I44" s="26"/>
      <c r="J44" s="6"/>
      <c r="K44" s="67"/>
    </row>
    <row r="45" spans="1:11" ht="15.6" x14ac:dyDescent="0.3">
      <c r="A45" s="13" t="s">
        <v>28</v>
      </c>
      <c r="B45" s="5"/>
      <c r="C45" s="5"/>
      <c r="D45" s="5"/>
      <c r="E45" s="6"/>
      <c r="F45" s="5"/>
      <c r="G45" s="6"/>
      <c r="H45" s="6"/>
      <c r="I45" s="28">
        <v>113.06607788299999</v>
      </c>
      <c r="J45" s="37">
        <v>1.3619999999999999E-3</v>
      </c>
      <c r="K45" s="67"/>
    </row>
    <row r="46" spans="1:11" x14ac:dyDescent="0.25">
      <c r="A46" s="13"/>
      <c r="B46" s="5"/>
      <c r="C46" s="5"/>
      <c r="D46" s="5"/>
      <c r="E46" s="6"/>
      <c r="F46" s="5"/>
      <c r="G46" s="6"/>
      <c r="H46" s="6"/>
      <c r="I46" s="26"/>
      <c r="J46" s="6"/>
      <c r="K46" s="67"/>
    </row>
    <row r="47" spans="1:11" ht="15.6" x14ac:dyDescent="0.3">
      <c r="A47" s="16" t="s">
        <v>58</v>
      </c>
      <c r="B47" s="5"/>
      <c r="C47" s="5"/>
      <c r="D47" s="5"/>
      <c r="E47" s="6"/>
      <c r="F47" s="5"/>
      <c r="G47" s="6"/>
      <c r="H47" s="6"/>
      <c r="I47" s="28">
        <v>113.06607788299999</v>
      </c>
      <c r="J47" s="37">
        <v>1.3619999999999999E-3</v>
      </c>
      <c r="K47" s="67"/>
    </row>
    <row r="48" spans="1:11" ht="15.6" x14ac:dyDescent="0.3">
      <c r="A48" s="16"/>
      <c r="B48" s="5"/>
      <c r="C48" s="5"/>
      <c r="D48" s="5"/>
      <c r="E48" s="6"/>
      <c r="F48" s="5"/>
      <c r="G48" s="6"/>
      <c r="H48" s="6"/>
      <c r="I48" s="28"/>
      <c r="J48" s="37"/>
      <c r="K48" s="67"/>
    </row>
    <row r="49" spans="1:11" x14ac:dyDescent="0.25">
      <c r="K49" s="67"/>
    </row>
    <row r="50" spans="1:11" ht="17.399999999999999" x14ac:dyDescent="0.3">
      <c r="A50" s="30" t="s">
        <v>59</v>
      </c>
      <c r="I50" s="31">
        <v>1020.744482224</v>
      </c>
      <c r="J50" s="32">
        <v>1.2954E-2</v>
      </c>
      <c r="K50" s="67"/>
    </row>
    <row r="51" spans="1:11" x14ac:dyDescent="0.25">
      <c r="A51" s="67" t="s">
        <v>81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</row>
  </sheetData>
  <mergeCells count="3">
    <mergeCell ref="A7:J7"/>
    <mergeCell ref="K7:K51"/>
    <mergeCell ref="A51:J5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D38"/>
  <sheetViews>
    <sheetView rightToLeft="1" topLeftCell="A19" zoomScaleNormal="100" workbookViewId="0">
      <selection activeCell="A38" sqref="A38:C38"/>
    </sheetView>
  </sheetViews>
  <sheetFormatPr defaultRowHeight="13.8" x14ac:dyDescent="0.25"/>
  <cols>
    <col min="1" max="1" width="72.69921875" bestFit="1" customWidth="1"/>
    <col min="2" max="3" width="13.09765625" style="19" bestFit="1" customWidth="1"/>
  </cols>
  <sheetData>
    <row r="6" spans="1:4" x14ac:dyDescent="0.25">
      <c r="A6" s="1"/>
      <c r="B6" s="20"/>
      <c r="C6" s="20"/>
    </row>
    <row r="7" spans="1:4" x14ac:dyDescent="0.25">
      <c r="A7" s="68" t="s">
        <v>78</v>
      </c>
      <c r="B7" s="68"/>
      <c r="C7" s="68"/>
      <c r="D7" s="67" t="s">
        <v>79</v>
      </c>
    </row>
    <row r="8" spans="1:4" ht="55.2" x14ac:dyDescent="0.25">
      <c r="A8" s="10"/>
      <c r="B8" s="21" t="s">
        <v>31</v>
      </c>
      <c r="C8" s="21" t="s">
        <v>32</v>
      </c>
      <c r="D8" s="67"/>
    </row>
    <row r="9" spans="1:4" x14ac:dyDescent="0.25">
      <c r="A9" s="11"/>
      <c r="B9" s="22"/>
      <c r="C9" s="22"/>
      <c r="D9" s="67"/>
    </row>
    <row r="10" spans="1:4" x14ac:dyDescent="0.25">
      <c r="A10" s="3"/>
      <c r="B10" s="42"/>
      <c r="C10" s="42"/>
      <c r="D10" s="67"/>
    </row>
    <row r="11" spans="1:4" x14ac:dyDescent="0.25">
      <c r="A11" s="11" t="s">
        <v>56</v>
      </c>
      <c r="B11" s="24"/>
      <c r="C11" s="24"/>
      <c r="D11" s="67"/>
    </row>
    <row r="12" spans="1:4" x14ac:dyDescent="0.25">
      <c r="A12" s="12" t="s">
        <v>27</v>
      </c>
      <c r="B12" s="22"/>
      <c r="C12" s="22"/>
      <c r="D12" s="67"/>
    </row>
    <row r="13" spans="1:4" x14ac:dyDescent="0.25">
      <c r="A13" s="13" t="s">
        <v>33</v>
      </c>
      <c r="B13" s="22"/>
      <c r="C13" s="22"/>
      <c r="D13" s="67"/>
    </row>
    <row r="14" spans="1:4" x14ac:dyDescent="0.25">
      <c r="A14" t="s">
        <v>69</v>
      </c>
      <c r="B14" s="9">
        <v>8.15</v>
      </c>
      <c r="C14" s="19">
        <v>-1.6</v>
      </c>
      <c r="D14" s="67"/>
    </row>
    <row r="15" spans="1:4" x14ac:dyDescent="0.25">
      <c r="A15" t="s">
        <v>63</v>
      </c>
      <c r="B15" s="41"/>
      <c r="C15" s="9">
        <v>-4.4400000000000004</v>
      </c>
      <c r="D15" s="67"/>
    </row>
    <row r="16" spans="1:4" x14ac:dyDescent="0.25">
      <c r="A16" t="s">
        <v>71</v>
      </c>
      <c r="B16" s="9"/>
      <c r="C16" s="9">
        <v>-52.48</v>
      </c>
      <c r="D16" s="67"/>
    </row>
    <row r="17" spans="1:4" x14ac:dyDescent="0.25">
      <c r="A17" t="s">
        <v>66</v>
      </c>
      <c r="B17" s="9"/>
      <c r="C17" s="19">
        <v>-49.38</v>
      </c>
      <c r="D17" s="67"/>
    </row>
    <row r="18" spans="1:4" x14ac:dyDescent="0.25">
      <c r="A18" t="s">
        <v>75</v>
      </c>
      <c r="B18" s="9">
        <v>500.01</v>
      </c>
      <c r="C18" s="19">
        <v>-745.81</v>
      </c>
      <c r="D18" s="67"/>
    </row>
    <row r="19" spans="1:4" x14ac:dyDescent="0.25">
      <c r="A19" t="s">
        <v>65</v>
      </c>
      <c r="B19" s="9"/>
      <c r="C19">
        <v>-50.7</v>
      </c>
      <c r="D19" s="67"/>
    </row>
    <row r="20" spans="1:4" x14ac:dyDescent="0.25">
      <c r="A20" t="s">
        <v>67</v>
      </c>
      <c r="B20" s="9"/>
      <c r="C20">
        <v>-35.090000000000003</v>
      </c>
      <c r="D20" s="67"/>
    </row>
    <row r="21" spans="1:4" x14ac:dyDescent="0.25">
      <c r="A21" t="s">
        <v>72</v>
      </c>
      <c r="B21" s="9"/>
      <c r="C21">
        <v>-99.84</v>
      </c>
      <c r="D21" s="67"/>
    </row>
    <row r="22" spans="1:4" x14ac:dyDescent="0.25">
      <c r="A22" s="15"/>
      <c r="B22" s="9"/>
      <c r="C22" s="9"/>
      <c r="D22" s="67"/>
    </row>
    <row r="23" spans="1:4" x14ac:dyDescent="0.25">
      <c r="A23" s="3" t="s">
        <v>60</v>
      </c>
      <c r="B23" s="44">
        <f>SUM(B14:B22)</f>
        <v>508.15999999999997</v>
      </c>
      <c r="C23" s="44">
        <f>SUM(C14:C22)</f>
        <v>-1039.3399999999999</v>
      </c>
      <c r="D23" s="67"/>
    </row>
    <row r="24" spans="1:4" x14ac:dyDescent="0.25">
      <c r="A24" s="15"/>
      <c r="D24" s="67"/>
    </row>
    <row r="25" spans="1:4" x14ac:dyDescent="0.25">
      <c r="A25" s="11" t="s">
        <v>15</v>
      </c>
      <c r="B25" s="24"/>
      <c r="C25" s="24"/>
      <c r="D25" s="67"/>
    </row>
    <row r="26" spans="1:4" x14ac:dyDescent="0.25">
      <c r="A26" s="12" t="s">
        <v>27</v>
      </c>
      <c r="B26" s="23"/>
      <c r="C26" s="23"/>
      <c r="D26" s="67"/>
    </row>
    <row r="27" spans="1:4" x14ac:dyDescent="0.25">
      <c r="A27" s="13" t="s">
        <v>68</v>
      </c>
      <c r="B27" s="23"/>
      <c r="C27" s="23"/>
      <c r="D27" s="67"/>
    </row>
    <row r="28" spans="1:4" x14ac:dyDescent="0.25">
      <c r="A28" s="15" t="s">
        <v>42</v>
      </c>
      <c r="B28" s="9"/>
      <c r="C28" s="50">
        <v>-5.0999999999999996</v>
      </c>
      <c r="D28" s="67"/>
    </row>
    <row r="29" spans="1:4" x14ac:dyDescent="0.25">
      <c r="A29" s="15" t="s">
        <v>30</v>
      </c>
      <c r="B29" s="58"/>
      <c r="C29" s="57">
        <v>-0.12</v>
      </c>
      <c r="D29" s="67"/>
    </row>
    <row r="30" spans="1:4" x14ac:dyDescent="0.25">
      <c r="A30" s="12"/>
      <c r="B30" s="23"/>
      <c r="C30" s="23"/>
      <c r="D30" s="67"/>
    </row>
    <row r="31" spans="1:4" x14ac:dyDescent="0.25">
      <c r="A31" s="13" t="s">
        <v>33</v>
      </c>
      <c r="B31" s="23"/>
      <c r="C31" s="23"/>
      <c r="D31" s="67"/>
    </row>
    <row r="32" spans="1:4" x14ac:dyDescent="0.25">
      <c r="A32" s="15" t="s">
        <v>15</v>
      </c>
      <c r="B32" s="19">
        <v>3.43</v>
      </c>
      <c r="C32" s="9">
        <v>-1.35</v>
      </c>
      <c r="D32" s="67"/>
    </row>
    <row r="33" spans="1:4" x14ac:dyDescent="0.25">
      <c r="A33" s="15"/>
      <c r="B33" s="23"/>
      <c r="D33" s="67"/>
    </row>
    <row r="34" spans="1:4" x14ac:dyDescent="0.25">
      <c r="A34" s="3" t="s">
        <v>43</v>
      </c>
      <c r="B34" s="44">
        <f>SUM(B28:B33)</f>
        <v>3.43</v>
      </c>
      <c r="C34" s="44">
        <f>SUM(C28:C33)</f>
        <v>-6.57</v>
      </c>
      <c r="D34" s="67"/>
    </row>
    <row r="35" spans="1:4" x14ac:dyDescent="0.25">
      <c r="D35" s="67"/>
    </row>
    <row r="36" spans="1:4" ht="14.4" thickBot="1" x14ac:dyDescent="0.3">
      <c r="B36" s="52"/>
      <c r="C36" s="52"/>
      <c r="D36" s="67"/>
    </row>
    <row r="37" spans="1:4" ht="18" thickTop="1" x14ac:dyDescent="0.3">
      <c r="A37" s="3" t="s">
        <v>73</v>
      </c>
      <c r="B37" s="51">
        <f>+B34+B23</f>
        <v>511.59</v>
      </c>
      <c r="C37" s="51">
        <f>+C34+C23</f>
        <v>-1045.9099999999999</v>
      </c>
      <c r="D37" s="67"/>
    </row>
    <row r="38" spans="1:4" x14ac:dyDescent="0.25">
      <c r="A38" s="67" t="s">
        <v>81</v>
      </c>
      <c r="B38" s="67"/>
      <c r="C38" s="67"/>
      <c r="D38" s="67"/>
    </row>
  </sheetData>
  <mergeCells count="3">
    <mergeCell ref="A7:C7"/>
    <mergeCell ref="D7:D38"/>
    <mergeCell ref="A38:C38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6:H16"/>
  <sheetViews>
    <sheetView rightToLeft="1" workbookViewId="0">
      <selection activeCell="A16" sqref="A16:G16"/>
    </sheetView>
  </sheetViews>
  <sheetFormatPr defaultRowHeight="13.8" x14ac:dyDescent="0.25"/>
  <cols>
    <col min="1" max="1" width="44.19921875" bestFit="1" customWidth="1"/>
    <col min="2" max="6" width="10.59765625" customWidth="1"/>
    <col min="7" max="7" width="12" bestFit="1" customWidth="1"/>
  </cols>
  <sheetData>
    <row r="6" spans="1:8" x14ac:dyDescent="0.25">
      <c r="A6" s="67" t="s">
        <v>78</v>
      </c>
      <c r="B6" s="67"/>
      <c r="C6" s="67"/>
      <c r="D6" s="67"/>
      <c r="E6" s="67"/>
      <c r="F6" s="67"/>
      <c r="G6" s="67"/>
      <c r="H6" s="67" t="s">
        <v>79</v>
      </c>
    </row>
    <row r="7" spans="1:8" ht="55.2" x14ac:dyDescent="0.25">
      <c r="A7" s="1"/>
      <c r="B7" s="1" t="s">
        <v>34</v>
      </c>
      <c r="C7" s="1" t="s">
        <v>18</v>
      </c>
      <c r="D7" s="2" t="s">
        <v>19</v>
      </c>
      <c r="E7" s="2" t="s">
        <v>20</v>
      </c>
      <c r="F7" s="2" t="s">
        <v>23</v>
      </c>
      <c r="G7" s="2" t="s">
        <v>35</v>
      </c>
      <c r="H7" s="67"/>
    </row>
    <row r="8" spans="1:8" x14ac:dyDescent="0.25">
      <c r="A8" s="1"/>
      <c r="B8" s="1"/>
      <c r="C8" s="1"/>
      <c r="D8" s="1"/>
      <c r="E8" s="1" t="s">
        <v>7</v>
      </c>
      <c r="F8" s="1" t="s">
        <v>7</v>
      </c>
      <c r="G8" s="1" t="s">
        <v>6</v>
      </c>
      <c r="H8" s="67"/>
    </row>
    <row r="9" spans="1:8" x14ac:dyDescent="0.25">
      <c r="H9" s="67"/>
    </row>
    <row r="10" spans="1:8" x14ac:dyDescent="0.25">
      <c r="H10" s="67"/>
    </row>
    <row r="11" spans="1:8" x14ac:dyDescent="0.25">
      <c r="H11" s="67"/>
    </row>
    <row r="12" spans="1:8" x14ac:dyDescent="0.25">
      <c r="H12" s="67"/>
    </row>
    <row r="13" spans="1:8" x14ac:dyDescent="0.25">
      <c r="H13" s="67"/>
    </row>
    <row r="14" spans="1:8" x14ac:dyDescent="0.25">
      <c r="A14" s="14"/>
      <c r="B14" s="5"/>
      <c r="C14" s="5"/>
      <c r="D14" s="5"/>
      <c r="E14" s="6"/>
      <c r="F14" s="5"/>
      <c r="G14" s="45"/>
      <c r="H14" s="67"/>
    </row>
    <row r="15" spans="1:8" ht="15.6" x14ac:dyDescent="0.3">
      <c r="A15" s="7" t="s">
        <v>39</v>
      </c>
      <c r="B15" s="5"/>
      <c r="C15" s="5"/>
      <c r="D15" s="5"/>
      <c r="E15" s="5"/>
      <c r="F15" s="5"/>
      <c r="G15" s="36">
        <v>0</v>
      </c>
      <c r="H15" s="67"/>
    </row>
    <row r="16" spans="1:8" x14ac:dyDescent="0.25">
      <c r="A16" s="67" t="s">
        <v>81</v>
      </c>
      <c r="B16" s="67"/>
      <c r="C16" s="67"/>
      <c r="D16" s="67"/>
      <c r="E16" s="67"/>
      <c r="F16" s="67"/>
      <c r="G16" s="67"/>
      <c r="H16" s="67"/>
    </row>
  </sheetData>
  <mergeCells count="3">
    <mergeCell ref="A16:G16"/>
    <mergeCell ref="H6:H16"/>
    <mergeCell ref="A6:G6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9:L21"/>
  <sheetViews>
    <sheetView rightToLeft="1" workbookViewId="0">
      <selection activeCell="A21" sqref="A21:G21"/>
    </sheetView>
  </sheetViews>
  <sheetFormatPr defaultRowHeight="13.8" x14ac:dyDescent="0.25"/>
  <cols>
    <col min="1" max="1" width="38.19921875" bestFit="1" customWidth="1"/>
    <col min="2" max="2" width="9.8984375" bestFit="1" customWidth="1"/>
    <col min="3" max="3" width="9" bestFit="1" customWidth="1"/>
  </cols>
  <sheetData>
    <row r="9" spans="1:12" x14ac:dyDescent="0.25">
      <c r="A9" s="67" t="s">
        <v>78</v>
      </c>
      <c r="B9" s="67"/>
      <c r="C9" s="67"/>
      <c r="D9" s="67"/>
      <c r="E9" s="67"/>
      <c r="F9" s="67"/>
      <c r="G9" s="67"/>
      <c r="H9" s="67" t="s">
        <v>79</v>
      </c>
    </row>
    <row r="10" spans="1:12" ht="55.2" x14ac:dyDescent="0.25">
      <c r="A10" s="1"/>
      <c r="B10" s="1" t="s">
        <v>34</v>
      </c>
      <c r="C10" s="2" t="s">
        <v>44</v>
      </c>
      <c r="D10" s="2" t="s">
        <v>23</v>
      </c>
      <c r="E10" s="2" t="s">
        <v>36</v>
      </c>
      <c r="F10" s="2" t="s">
        <v>37</v>
      </c>
      <c r="G10" s="2" t="s">
        <v>38</v>
      </c>
      <c r="H10" s="67"/>
      <c r="I10" s="1"/>
      <c r="J10" s="1"/>
      <c r="K10" s="1"/>
      <c r="L10" s="1"/>
    </row>
    <row r="11" spans="1:12" x14ac:dyDescent="0.25">
      <c r="A11" s="1"/>
      <c r="B11" s="1"/>
      <c r="C11" s="1"/>
      <c r="D11" s="1" t="s">
        <v>7</v>
      </c>
      <c r="E11" s="1"/>
      <c r="F11" s="1"/>
      <c r="G11" s="1" t="s">
        <v>6</v>
      </c>
      <c r="H11" s="67"/>
      <c r="I11" s="1"/>
      <c r="J11" s="1"/>
      <c r="K11" s="1"/>
      <c r="L11" s="1"/>
    </row>
    <row r="12" spans="1:12" x14ac:dyDescent="0.25">
      <c r="A12" s="11"/>
      <c r="B12" s="1"/>
      <c r="C12" s="1"/>
      <c r="D12" s="1"/>
      <c r="E12" s="1"/>
      <c r="F12" s="1"/>
      <c r="G12" s="1"/>
      <c r="H12" s="67"/>
      <c r="I12" s="5"/>
      <c r="J12" s="5"/>
      <c r="K12" s="5"/>
      <c r="L12" s="5"/>
    </row>
    <row r="13" spans="1:12" x14ac:dyDescent="0.25">
      <c r="A13" s="12"/>
      <c r="B13" s="1"/>
      <c r="C13" s="1"/>
      <c r="D13" s="1"/>
      <c r="E13" s="1"/>
      <c r="F13" s="1"/>
      <c r="G13" s="1"/>
      <c r="H13" s="67"/>
    </row>
    <row r="14" spans="1:12" x14ac:dyDescent="0.25">
      <c r="A14" s="25"/>
      <c r="B14" s="1"/>
      <c r="C14" s="1"/>
      <c r="D14" s="1"/>
      <c r="E14" s="1"/>
      <c r="F14" s="1"/>
      <c r="G14" s="1"/>
      <c r="H14" s="67"/>
    </row>
    <row r="15" spans="1:12" x14ac:dyDescent="0.25">
      <c r="A15" s="15"/>
      <c r="B15" s="35"/>
      <c r="C15" s="5"/>
      <c r="D15" s="34"/>
      <c r="E15" s="19"/>
      <c r="F15" s="19"/>
      <c r="G15" s="26"/>
      <c r="H15" s="67"/>
    </row>
    <row r="16" spans="1:12" x14ac:dyDescent="0.25">
      <c r="A16" s="15"/>
      <c r="B16" s="35"/>
      <c r="C16" s="5"/>
      <c r="D16" s="34"/>
      <c r="E16" s="19"/>
      <c r="F16" s="19"/>
      <c r="G16" s="26"/>
      <c r="H16" s="67"/>
    </row>
    <row r="17" spans="1:8" x14ac:dyDescent="0.25">
      <c r="A17" s="15"/>
      <c r="B17" s="35"/>
      <c r="C17" s="5"/>
      <c r="D17" s="34"/>
      <c r="E17" s="19"/>
      <c r="F17" s="19"/>
      <c r="G17" s="26"/>
      <c r="H17" s="67"/>
    </row>
    <row r="18" spans="1:8" x14ac:dyDescent="0.25">
      <c r="A18" s="15"/>
      <c r="B18" s="35"/>
      <c r="C18" s="5"/>
      <c r="D18" s="34"/>
      <c r="E18" s="19"/>
      <c r="F18" s="19"/>
      <c r="G18" s="26"/>
      <c r="H18" s="67"/>
    </row>
    <row r="19" spans="1:8" x14ac:dyDescent="0.25">
      <c r="A19" s="12"/>
      <c r="B19" s="1"/>
      <c r="C19" s="1"/>
      <c r="D19" s="1"/>
      <c r="E19" s="1"/>
      <c r="F19" s="1"/>
      <c r="G19" s="1"/>
      <c r="H19" s="67"/>
    </row>
    <row r="20" spans="1:8" ht="15.6" x14ac:dyDescent="0.3">
      <c r="A20" s="7" t="s">
        <v>39</v>
      </c>
      <c r="B20" s="1"/>
      <c r="C20" s="1"/>
      <c r="D20" s="1"/>
      <c r="E20" s="1"/>
      <c r="F20" s="1"/>
      <c r="G20" s="36">
        <v>0</v>
      </c>
      <c r="H20" s="67"/>
    </row>
    <row r="21" spans="1:8" x14ac:dyDescent="0.25">
      <c r="A21" s="67" t="s">
        <v>81</v>
      </c>
      <c r="B21" s="67"/>
      <c r="C21" s="67"/>
      <c r="D21" s="67"/>
      <c r="E21" s="67"/>
      <c r="F21" s="67"/>
      <c r="G21" s="67"/>
      <c r="H21" s="67"/>
    </row>
  </sheetData>
  <mergeCells count="3">
    <mergeCell ref="A9:G9"/>
    <mergeCell ref="H9:H21"/>
    <mergeCell ref="A21:G2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9:F19"/>
  <sheetViews>
    <sheetView rightToLeft="1" workbookViewId="0">
      <selection activeCell="A15" sqref="A15:E15"/>
    </sheetView>
  </sheetViews>
  <sheetFormatPr defaultRowHeight="13.8" x14ac:dyDescent="0.25"/>
  <cols>
    <col min="1" max="1" width="37" customWidth="1"/>
    <col min="2" max="2" width="11.5" bestFit="1" customWidth="1"/>
    <col min="4" max="4" width="9.8984375" bestFit="1" customWidth="1"/>
    <col min="5" max="5" width="13.5" bestFit="1" customWidth="1"/>
  </cols>
  <sheetData>
    <row r="9" spans="1:6" x14ac:dyDescent="0.25">
      <c r="A9" s="67" t="s">
        <v>78</v>
      </c>
      <c r="B9" s="67"/>
      <c r="C9" s="67"/>
      <c r="D9" s="67"/>
      <c r="E9" s="67"/>
      <c r="F9" s="67" t="s">
        <v>79</v>
      </c>
    </row>
    <row r="10" spans="1:6" ht="55.2" x14ac:dyDescent="0.25">
      <c r="A10" s="1"/>
      <c r="B10" s="1" t="s">
        <v>40</v>
      </c>
      <c r="C10" s="2" t="s">
        <v>17</v>
      </c>
      <c r="D10" s="2" t="s">
        <v>23</v>
      </c>
      <c r="E10" s="2" t="s">
        <v>41</v>
      </c>
      <c r="F10" s="67"/>
    </row>
    <row r="11" spans="1:6" x14ac:dyDescent="0.25">
      <c r="A11" s="47" t="s">
        <v>54</v>
      </c>
      <c r="B11" s="1"/>
      <c r="C11" s="1"/>
      <c r="D11" s="1" t="s">
        <v>7</v>
      </c>
      <c r="E11" s="1" t="s">
        <v>6</v>
      </c>
      <c r="F11" s="67"/>
    </row>
    <row r="12" spans="1:6" x14ac:dyDescent="0.25">
      <c r="A12" s="46"/>
      <c r="B12" s="17"/>
      <c r="C12" s="17"/>
      <c r="D12" s="18"/>
      <c r="E12" s="18"/>
      <c r="F12" s="67"/>
    </row>
    <row r="13" spans="1:6" x14ac:dyDescent="0.25">
      <c r="A13" s="12"/>
      <c r="B13" s="17"/>
      <c r="C13" s="17"/>
      <c r="D13" s="18"/>
      <c r="E13" s="18"/>
      <c r="F13" s="67"/>
    </row>
    <row r="14" spans="1:6" x14ac:dyDescent="0.25">
      <c r="A14" s="25" t="s">
        <v>61</v>
      </c>
      <c r="B14" s="17"/>
      <c r="C14" s="17"/>
      <c r="D14" s="18"/>
      <c r="E14" s="18">
        <v>0</v>
      </c>
      <c r="F14" s="67"/>
    </row>
    <row r="15" spans="1:6" x14ac:dyDescent="0.25">
      <c r="A15" s="67" t="s">
        <v>80</v>
      </c>
      <c r="B15" s="67"/>
      <c r="C15" s="67"/>
      <c r="D15" s="67"/>
      <c r="E15" s="67"/>
      <c r="F15" s="67"/>
    </row>
    <row r="16" spans="1:6" x14ac:dyDescent="0.25">
      <c r="A16" s="15"/>
      <c r="C16" s="5"/>
      <c r="D16" s="6"/>
      <c r="E16" s="26"/>
    </row>
    <row r="17" spans="1:5" ht="15.6" x14ac:dyDescent="0.3">
      <c r="A17" s="13"/>
      <c r="E17" s="28"/>
    </row>
    <row r="18" spans="1:5" x14ac:dyDescent="0.25">
      <c r="A18" s="13"/>
      <c r="E18" s="9"/>
    </row>
    <row r="19" spans="1:5" ht="17.399999999999999" x14ac:dyDescent="0.3">
      <c r="A19" s="7"/>
      <c r="E19" s="31"/>
    </row>
  </sheetData>
  <mergeCells count="3">
    <mergeCell ref="A9:E9"/>
    <mergeCell ref="F9:F15"/>
    <mergeCell ref="A15:E1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a_kml xmlns="e7c93c0b-31f4-4d6d-a404-57fd37393f5c">
      <Value>3</Value>
    </Kupa_kml>
    <Kupa_Hishtalmut xmlns="e7c93c0b-31f4-4d6d-a404-57fd37393f5c"/>
    <Category xmlns="e7c93c0b-31f4-4d6d-a404-57fd37393f5c">3</Category>
    <KupotIsHidden xmlns="7c67d0cd-db71-4ceb-ba14-b5862b768686">false</KupotIsHidden>
    <Kupa_kgl xmlns="e7c93c0b-31f4-4d6d-a404-57fd37393f5c"/>
    <kupa_tagmulim xmlns="e7c93c0b-31f4-4d6d-a404-57fd37393f5c"/>
    <Kupa_hly xmlns="e7c93c0b-31f4-4d6d-a404-57fd37393f5c"/>
    <kupa_ktp xmlns="e7c93c0b-31f4-4d6d-a404-57fd37393f5c"/>
  </documentManagement>
</p:properties>
</file>

<file path=customXml/itemProps1.xml><?xml version="1.0" encoding="utf-8"?>
<ds:datastoreItem xmlns:ds="http://schemas.openxmlformats.org/officeDocument/2006/customXml" ds:itemID="{2538515F-61BB-4752-A454-736E5160992C}"/>
</file>

<file path=customXml/itemProps2.xml><?xml version="1.0" encoding="utf-8"?>
<ds:datastoreItem xmlns:ds="http://schemas.openxmlformats.org/officeDocument/2006/customXml" ds:itemID="{A7F18C2F-2030-46FC-A89D-F442A4F53D97}"/>
</file>

<file path=customXml/itemProps3.xml><?xml version="1.0" encoding="utf-8"?>
<ds:datastoreItem xmlns:ds="http://schemas.openxmlformats.org/officeDocument/2006/customXml" ds:itemID="{050D34B2-7A7C-4E45-A397-2C025C90F5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נספח 1</vt:lpstr>
      <vt:lpstr>נספח 2</vt:lpstr>
      <vt:lpstr>נספח 3א</vt:lpstr>
      <vt:lpstr>נספח 3ב</vt:lpstr>
      <vt:lpstr>נספח 3ג</vt:lpstr>
      <vt:lpstr>נספח 4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עסקאות עם צדדים קשורים לשנת 2024</dc:title>
  <dc:creator>סלי שירי</dc:creator>
  <cp:lastModifiedBy>Tami Berman</cp:lastModifiedBy>
  <dcterms:created xsi:type="dcterms:W3CDTF">2019-03-28T13:24:31Z</dcterms:created>
  <dcterms:modified xsi:type="dcterms:W3CDTF">2025-04-06T10:11:24Z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