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13_ncr:1_{EB47D250-A435-428F-9721-4377500298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55" i="1" l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AF352" i="1" l="1"/>
  <c r="J352" i="1"/>
  <c r="J358" i="1" s="1"/>
  <c r="AY352" i="1"/>
  <c r="AY360" i="1" s="1"/>
  <c r="AZ352" i="1"/>
  <c r="AZ359" i="1" s="1"/>
  <c r="K352" i="1"/>
  <c r="K360" i="1" s="1"/>
  <c r="AD352" i="1"/>
  <c r="AD361" i="1" s="1"/>
  <c r="L352" i="1"/>
  <c r="L361" i="1" s="1"/>
  <c r="AE352" i="1"/>
  <c r="AE361" i="1" s="1"/>
  <c r="J357" i="1"/>
  <c r="BF352" i="1"/>
  <c r="BF357" i="1" s="1"/>
  <c r="S352" i="1"/>
  <c r="S354" i="1" s="1"/>
  <c r="AM352" i="1"/>
  <c r="AM354" i="1" s="1"/>
  <c r="BG352" i="1"/>
  <c r="BG354" i="1" s="1"/>
  <c r="AL352" i="1"/>
  <c r="AL358" i="1" s="1"/>
  <c r="BE352" i="1"/>
  <c r="BE361" i="1" s="1"/>
  <c r="AN352" i="1"/>
  <c r="AN354" i="1" s="1"/>
  <c r="BH352" i="1"/>
  <c r="BH354" i="1" s="1"/>
  <c r="AF360" i="1"/>
  <c r="AG352" i="1"/>
  <c r="AG356" i="1" s="1"/>
  <c r="K361" i="1"/>
  <c r="AG360" i="1"/>
  <c r="BD352" i="1"/>
  <c r="BD360" i="1" s="1"/>
  <c r="J356" i="1"/>
  <c r="R352" i="1"/>
  <c r="R354" i="1" s="1"/>
  <c r="AA352" i="1"/>
  <c r="AA361" i="1" s="1"/>
  <c r="AU352" i="1"/>
  <c r="AU354" i="1" s="1"/>
  <c r="AY361" i="1"/>
  <c r="AK352" i="1"/>
  <c r="AK354" i="1" s="1"/>
  <c r="AB352" i="1"/>
  <c r="AB357" i="1" s="1"/>
  <c r="AV352" i="1"/>
  <c r="AV359" i="1" s="1"/>
  <c r="I352" i="1"/>
  <c r="I361" i="1" s="1"/>
  <c r="AC352" i="1"/>
  <c r="AW352" i="1"/>
  <c r="AW360" i="1" s="1"/>
  <c r="S358" i="1"/>
  <c r="BH360" i="1"/>
  <c r="BH358" i="1"/>
  <c r="AM360" i="1"/>
  <c r="AA357" i="1"/>
  <c r="AA356" i="1"/>
  <c r="AU356" i="1"/>
  <c r="AK357" i="1"/>
  <c r="S359" i="1"/>
  <c r="BF360" i="1"/>
  <c r="BH359" i="1"/>
  <c r="R361" i="1"/>
  <c r="BG361" i="1"/>
  <c r="BH361" i="1"/>
  <c r="K356" i="1"/>
  <c r="K359" i="1"/>
  <c r="K354" i="1"/>
  <c r="AZ361" i="1"/>
  <c r="AK358" i="1"/>
  <c r="R358" i="1"/>
  <c r="AL360" i="1"/>
  <c r="AK361" i="1"/>
  <c r="S361" i="1"/>
  <c r="AC360" i="1"/>
  <c r="AC358" i="1"/>
  <c r="AC357" i="1"/>
  <c r="AC359" i="1"/>
  <c r="AC361" i="1"/>
  <c r="AC354" i="1"/>
  <c r="AE356" i="1"/>
  <c r="AY358" i="1"/>
  <c r="AY359" i="1"/>
  <c r="AY356" i="1"/>
  <c r="AY357" i="1"/>
  <c r="AY354" i="1"/>
  <c r="AF361" i="1"/>
  <c r="AF356" i="1"/>
  <c r="AF357" i="1"/>
  <c r="AF354" i="1"/>
  <c r="AF358" i="1"/>
  <c r="AF359" i="1"/>
  <c r="AX352" i="1"/>
  <c r="AX359" i="1" s="1"/>
  <c r="J354" i="1"/>
  <c r="AC356" i="1"/>
  <c r="AW356" i="1"/>
  <c r="O352" i="1"/>
  <c r="O357" i="1" s="1"/>
  <c r="Q352" i="1"/>
  <c r="Q356" i="1" s="1"/>
  <c r="E352" i="1"/>
  <c r="E354" i="1" s="1"/>
  <c r="AO352" i="1"/>
  <c r="AO354" i="1" s="1"/>
  <c r="F352" i="1"/>
  <c r="F357" i="1" s="1"/>
  <c r="V352" i="1"/>
  <c r="V359" i="1" s="1"/>
  <c r="AP352" i="1"/>
  <c r="AP357" i="1" s="1"/>
  <c r="S356" i="1"/>
  <c r="R357" i="1"/>
  <c r="BA352" i="1"/>
  <c r="P352" i="1"/>
  <c r="P356" i="1" s="1"/>
  <c r="J361" i="1"/>
  <c r="T352" i="1"/>
  <c r="T354" i="1" s="1"/>
  <c r="U352" i="1"/>
  <c r="U354" i="1" s="1"/>
  <c r="BI352" i="1"/>
  <c r="BI354" i="1" s="1"/>
  <c r="G352" i="1"/>
  <c r="G358" i="1" s="1"/>
  <c r="W352" i="1"/>
  <c r="W356" i="1" s="1"/>
  <c r="AQ352" i="1"/>
  <c r="AQ356" i="1" s="1"/>
  <c r="BH356" i="1"/>
  <c r="BB352" i="1"/>
  <c r="BB361" i="1" s="1"/>
  <c r="AI352" i="1"/>
  <c r="AI361" i="1" s="1"/>
  <c r="J360" i="1"/>
  <c r="H352" i="1"/>
  <c r="H356" i="1" s="1"/>
  <c r="X352" i="1"/>
  <c r="X361" i="1" s="1"/>
  <c r="AR352" i="1"/>
  <c r="M352" i="1"/>
  <c r="N352" i="1"/>
  <c r="N358" i="1" s="1"/>
  <c r="BC352" i="1"/>
  <c r="BC360" i="1" s="1"/>
  <c r="Y352" i="1"/>
  <c r="Y357" i="1" s="1"/>
  <c r="AS352" i="1"/>
  <c r="AS356" i="1" s="1"/>
  <c r="J359" i="1"/>
  <c r="Z352" i="1"/>
  <c r="Z359" i="1" s="1"/>
  <c r="AT352" i="1"/>
  <c r="AT356" i="1" s="1"/>
  <c r="AH352" i="1"/>
  <c r="AH358" i="1" s="1"/>
  <c r="AJ352" i="1"/>
  <c r="L359" i="1" l="1"/>
  <c r="AZ354" i="1"/>
  <c r="AG359" i="1"/>
  <c r="AM359" i="1"/>
  <c r="V360" i="1"/>
  <c r="AM357" i="1"/>
  <c r="AZ360" i="1"/>
  <c r="AL356" i="1"/>
  <c r="AZ358" i="1"/>
  <c r="AD359" i="1"/>
  <c r="AM361" i="1"/>
  <c r="AL354" i="1"/>
  <c r="AV354" i="1"/>
  <c r="AB356" i="1"/>
  <c r="AD354" i="1"/>
  <c r="AN358" i="1"/>
  <c r="AL357" i="1"/>
  <c r="K357" i="1"/>
  <c r="AB360" i="1"/>
  <c r="BE357" i="1"/>
  <c r="AM358" i="1"/>
  <c r="K358" i="1"/>
  <c r="BG358" i="1"/>
  <c r="BE356" i="1"/>
  <c r="BG356" i="1"/>
  <c r="AK356" i="1"/>
  <c r="L357" i="1"/>
  <c r="AL361" i="1"/>
  <c r="BE359" i="1"/>
  <c r="AZ357" i="1"/>
  <c r="AK359" i="1"/>
  <c r="AB361" i="1"/>
  <c r="BH357" i="1"/>
  <c r="L360" i="1"/>
  <c r="AE360" i="1"/>
  <c r="AE357" i="1"/>
  <c r="AD360" i="1"/>
  <c r="AE359" i="1"/>
  <c r="AB358" i="1"/>
  <c r="L358" i="1"/>
  <c r="AE358" i="1"/>
  <c r="AK360" i="1"/>
  <c r="AD358" i="1"/>
  <c r="L356" i="1"/>
  <c r="AU358" i="1"/>
  <c r="AZ356" i="1"/>
  <c r="AB359" i="1"/>
  <c r="AM356" i="1"/>
  <c r="L354" i="1"/>
  <c r="AE354" i="1"/>
  <c r="S360" i="1"/>
  <c r="AA358" i="1"/>
  <c r="BG357" i="1"/>
  <c r="AB354" i="1"/>
  <c r="S357" i="1"/>
  <c r="BE354" i="1"/>
  <c r="I356" i="1"/>
  <c r="AV358" i="1"/>
  <c r="AV361" i="1"/>
  <c r="AU360" i="1"/>
  <c r="AD356" i="1"/>
  <c r="AA354" i="1"/>
  <c r="AD357" i="1"/>
  <c r="W357" i="1"/>
  <c r="V356" i="1"/>
  <c r="G359" i="1"/>
  <c r="BF359" i="1"/>
  <c r="R359" i="1"/>
  <c r="AU357" i="1"/>
  <c r="F359" i="1"/>
  <c r="BE360" i="1"/>
  <c r="BF356" i="1"/>
  <c r="AN360" i="1"/>
  <c r="Z356" i="1"/>
  <c r="BF354" i="1"/>
  <c r="E358" i="1"/>
  <c r="AN357" i="1"/>
  <c r="AU359" i="1"/>
  <c r="F358" i="1"/>
  <c r="BB358" i="1"/>
  <c r="AO358" i="1"/>
  <c r="BE358" i="1"/>
  <c r="AU361" i="1"/>
  <c r="BF361" i="1"/>
  <c r="BF358" i="1"/>
  <c r="G357" i="1"/>
  <c r="N361" i="1"/>
  <c r="AN361" i="1"/>
  <c r="V357" i="1"/>
  <c r="BG360" i="1"/>
  <c r="R356" i="1"/>
  <c r="AO360" i="1"/>
  <c r="R360" i="1"/>
  <c r="AO361" i="1"/>
  <c r="BG359" i="1"/>
  <c r="AV357" i="1"/>
  <c r="Q358" i="1"/>
  <c r="N359" i="1"/>
  <c r="BI358" i="1"/>
  <c r="BI357" i="1"/>
  <c r="AG358" i="1"/>
  <c r="U359" i="1"/>
  <c r="AG357" i="1"/>
  <c r="T361" i="1"/>
  <c r="AG361" i="1"/>
  <c r="Y356" i="1"/>
  <c r="Q359" i="1"/>
  <c r="AG354" i="1"/>
  <c r="BI356" i="1"/>
  <c r="Y360" i="1"/>
  <c r="AH361" i="1"/>
  <c r="I354" i="1"/>
  <c r="BD357" i="1"/>
  <c r="AS360" i="1"/>
  <c r="O360" i="1"/>
  <c r="I359" i="1"/>
  <c r="AN359" i="1"/>
  <c r="BI359" i="1"/>
  <c r="AW354" i="1"/>
  <c r="T359" i="1"/>
  <c r="I360" i="1"/>
  <c r="O358" i="1"/>
  <c r="BC357" i="1"/>
  <c r="U356" i="1"/>
  <c r="AW357" i="1"/>
  <c r="I357" i="1"/>
  <c r="AO356" i="1"/>
  <c r="Q361" i="1"/>
  <c r="AI357" i="1"/>
  <c r="BD361" i="1"/>
  <c r="U360" i="1"/>
  <c r="U357" i="1"/>
  <c r="O361" i="1"/>
  <c r="AW358" i="1"/>
  <c r="I358" i="1"/>
  <c r="BC361" i="1"/>
  <c r="BI360" i="1"/>
  <c r="AW359" i="1"/>
  <c r="G356" i="1"/>
  <c r="BC358" i="1"/>
  <c r="AV356" i="1"/>
  <c r="AA359" i="1"/>
  <c r="T358" i="1"/>
  <c r="BD358" i="1"/>
  <c r="AS357" i="1"/>
  <c r="AW361" i="1"/>
  <c r="AV360" i="1"/>
  <c r="AA360" i="1"/>
  <c r="E357" i="1"/>
  <c r="BD354" i="1"/>
  <c r="BD359" i="1"/>
  <c r="BD356" i="1"/>
  <c r="AN356" i="1"/>
  <c r="AL359" i="1"/>
  <c r="M358" i="1"/>
  <c r="M356" i="1"/>
  <c r="M361" i="1"/>
  <c r="M357" i="1"/>
  <c r="M354" i="1"/>
  <c r="BA358" i="1"/>
  <c r="BA356" i="1"/>
  <c r="BA354" i="1"/>
  <c r="BA357" i="1"/>
  <c r="BA361" i="1"/>
  <c r="AJ358" i="1"/>
  <c r="AJ354" i="1"/>
  <c r="AJ359" i="1"/>
  <c r="AH357" i="1"/>
  <c r="AH360" i="1"/>
  <c r="AH356" i="1"/>
  <c r="AH354" i="1"/>
  <c r="AJ357" i="1"/>
  <c r="AJ356" i="1"/>
  <c r="AR354" i="1"/>
  <c r="AR360" i="1"/>
  <c r="AR359" i="1"/>
  <c r="AX361" i="1"/>
  <c r="AX360" i="1"/>
  <c r="AX358" i="1"/>
  <c r="AX357" i="1"/>
  <c r="AX356" i="1"/>
  <c r="AX354" i="1"/>
  <c r="M359" i="1"/>
  <c r="X354" i="1"/>
  <c r="X360" i="1"/>
  <c r="X359" i="1"/>
  <c r="H354" i="1"/>
  <c r="H360" i="1"/>
  <c r="H359" i="1"/>
  <c r="AR356" i="1"/>
  <c r="BB357" i="1"/>
  <c r="BB356" i="1"/>
  <c r="BB354" i="1"/>
  <c r="BB360" i="1"/>
  <c r="AH359" i="1"/>
  <c r="AT360" i="1"/>
  <c r="AT354" i="1"/>
  <c r="AT361" i="1"/>
  <c r="AT358" i="1"/>
  <c r="AT357" i="1"/>
  <c r="Z354" i="1"/>
  <c r="Z361" i="1"/>
  <c r="Z360" i="1"/>
  <c r="Z358" i="1"/>
  <c r="Z357" i="1"/>
  <c r="F354" i="1"/>
  <c r="F361" i="1"/>
  <c r="P357" i="1"/>
  <c r="AP356" i="1"/>
  <c r="AP359" i="1"/>
  <c r="AQ354" i="1"/>
  <c r="AQ361" i="1"/>
  <c r="AQ360" i="1"/>
  <c r="AT359" i="1"/>
  <c r="W358" i="1"/>
  <c r="F356" i="1"/>
  <c r="BI361" i="1"/>
  <c r="P354" i="1"/>
  <c r="P358" i="1"/>
  <c r="AR357" i="1"/>
  <c r="H358" i="1"/>
  <c r="P359" i="1"/>
  <c r="AR361" i="1"/>
  <c r="AJ361" i="1"/>
  <c r="T357" i="1"/>
  <c r="G354" i="1"/>
  <c r="G361" i="1"/>
  <c r="G360" i="1"/>
  <c r="E356" i="1"/>
  <c r="U361" i="1"/>
  <c r="BA360" i="1"/>
  <c r="AP354" i="1"/>
  <c r="AP361" i="1"/>
  <c r="V354" i="1"/>
  <c r="V361" i="1"/>
  <c r="BB359" i="1"/>
  <c r="W354" i="1"/>
  <c r="W361" i="1"/>
  <c r="W360" i="1"/>
  <c r="X357" i="1"/>
  <c r="AS354" i="1"/>
  <c r="AS361" i="1"/>
  <c r="AS359" i="1"/>
  <c r="AS358" i="1"/>
  <c r="Q354" i="1"/>
  <c r="Q357" i="1"/>
  <c r="E360" i="1"/>
  <c r="AJ360" i="1"/>
  <c r="E361" i="1"/>
  <c r="AO359" i="1"/>
  <c r="Y354" i="1"/>
  <c r="Y361" i="1"/>
  <c r="Y359" i="1"/>
  <c r="Y358" i="1"/>
  <c r="O356" i="1"/>
  <c r="O359" i="1"/>
  <c r="O354" i="1"/>
  <c r="AQ358" i="1"/>
  <c r="AO357" i="1"/>
  <c r="AP360" i="1"/>
  <c r="V358" i="1"/>
  <c r="BA359" i="1"/>
  <c r="AR358" i="1"/>
  <c r="X358" i="1"/>
  <c r="P360" i="1"/>
  <c r="H361" i="1"/>
  <c r="P361" i="1"/>
  <c r="AI354" i="1"/>
  <c r="AI356" i="1"/>
  <c r="AI359" i="1"/>
  <c r="H357" i="1"/>
  <c r="E359" i="1"/>
  <c r="T356" i="1"/>
  <c r="F360" i="1"/>
  <c r="M360" i="1"/>
  <c r="BC356" i="1"/>
  <c r="BC354" i="1"/>
  <c r="BC359" i="1"/>
  <c r="AQ357" i="1"/>
  <c r="T360" i="1"/>
  <c r="AI360" i="1"/>
  <c r="Q360" i="1"/>
  <c r="AQ359" i="1"/>
  <c r="AI358" i="1"/>
  <c r="N354" i="1"/>
  <c r="N357" i="1"/>
  <c r="N356" i="1"/>
  <c r="N360" i="1"/>
  <c r="X356" i="1"/>
  <c r="AP358" i="1"/>
  <c r="W359" i="1"/>
  <c r="U358" i="1"/>
</calcChain>
</file>

<file path=xl/sharedStrings.xml><?xml version="1.0" encoding="utf-8"?>
<sst xmlns="http://schemas.openxmlformats.org/spreadsheetml/2006/main" count="765" uniqueCount="697">
  <si>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</si>
  <si>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</si>
  <si>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</si>
  <si>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</si>
  <si>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</si>
  <si>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</si>
  <si>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</si>
  <si>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</si>
  <si>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</si>
  <si>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</si>
  <si>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</si>
  <si>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</si>
  <si>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</si>
  <si>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</si>
  <si>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</si>
  <si>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</si>
  <si>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</si>
  <si>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</si>
  <si>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</si>
  <si>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</si>
  <si>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</si>
  <si>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</si>
  <si>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</si>
  <si>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</si>
  <si>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</si>
  <si>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</si>
  <si>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</si>
  <si>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</si>
  <si>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</si>
  <si>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</si>
  <si>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</si>
  <si>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</si>
  <si>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</si>
  <si>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</si>
  <si>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</si>
  <si>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</si>
  <si>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</si>
  <si>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</si>
  <si>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</si>
  <si>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</si>
  <si>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</si>
  <si>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</si>
  <si>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</si>
  <si>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</si>
  <si>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</si>
  <si>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</si>
  <si>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</si>
  <si>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</si>
  <si>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</si>
  <si>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</si>
  <si>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</si>
  <si>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</si>
  <si>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</si>
  <si>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</si>
  <si>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</si>
  <si>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</si>
  <si>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</si>
  <si>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</si>
  <si>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</si>
  <si>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</si>
  <si>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</si>
  <si>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</si>
  <si>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</si>
  <si>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</si>
  <si>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</si>
  <si>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</si>
  <si>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</si>
  <si>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</si>
  <si>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</si>
  <si>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</si>
  <si>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</si>
  <si>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</si>
  <si>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</si>
  <si>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</si>
  <si>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</si>
  <si>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</si>
  <si>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</si>
  <si>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</si>
  <si>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</si>
  <si>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</si>
  <si>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</si>
  <si>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</si>
  <si>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</si>
  <si>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</si>
  <si>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</si>
  <si>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</si>
  <si>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</si>
  <si>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</si>
  <si>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</si>
  <si>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</si>
  <si>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</si>
  <si>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</si>
  <si>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</si>
  <si>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</si>
  <si>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</si>
  <si>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</si>
  <si>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</si>
  <si>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</si>
  <si>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</si>
  <si>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</si>
  <si>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</si>
  <si>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</si>
  <si>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</si>
  <si>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</si>
  <si>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</si>
  <si>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</si>
  <si>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</si>
  <si>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</si>
  <si>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</si>
  <si>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</si>
  <si>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</si>
  <si>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</si>
  <si>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</si>
  <si>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</si>
  <si>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</si>
  <si>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</si>
  <si>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</si>
  <si>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</si>
  <si>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</si>
  <si>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</si>
  <si>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</si>
  <si>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</si>
  <si>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</si>
  <si>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</si>
  <si>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</si>
  <si>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</si>
  <si>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</si>
  <si>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</si>
  <si>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</si>
  <si>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</si>
  <si>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</si>
  <si>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</si>
  <si>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</si>
  <si>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</si>
  <si>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</si>
  <si>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</si>
  <si>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</si>
  <si>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</si>
  <si>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</si>
  <si>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</si>
  <si>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</si>
  <si>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</si>
  <si>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</si>
  <si>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</si>
  <si>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</si>
  <si>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</si>
  <si>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</si>
  <si>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</si>
  <si>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</si>
  <si>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</si>
  <si>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</si>
  <si>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</si>
  <si>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</si>
  <si>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</si>
  <si>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</si>
  <si>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</si>
  <si>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</si>
  <si>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</si>
  <si>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</si>
  <si>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</si>
  <si>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</si>
  <si>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</si>
  <si>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</si>
  <si>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</si>
  <si>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</si>
  <si>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</si>
  <si>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</si>
  <si>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</si>
  <si>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</si>
  <si>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</si>
  <si>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</si>
  <si>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</si>
  <si>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</si>
  <si>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</si>
  <si>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</si>
  <si>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</si>
  <si>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</si>
  <si>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</si>
  <si>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</si>
  <si>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</si>
  <si>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</si>
  <si>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</si>
  <si>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</si>
  <si>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</si>
  <si>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</si>
  <si>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</si>
  <si>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</si>
  <si>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</si>
  <si>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</si>
  <si>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</si>
  <si>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</si>
  <si>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</si>
  <si>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</si>
  <si>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</si>
  <si>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</si>
  <si>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</si>
  <si>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</si>
  <si>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</si>
  <si>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</si>
  <si>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</si>
  <si>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</si>
  <si>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</si>
  <si>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</si>
  <si>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</si>
  <si>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</si>
  <si>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</si>
  <si>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</si>
  <si>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</si>
  <si>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</si>
  <si>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</si>
  <si>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</si>
  <si>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</si>
  <si>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</si>
  <si>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</si>
  <si>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</si>
  <si>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</si>
  <si>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</si>
  <si>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</si>
  <si>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</si>
  <si>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</si>
  <si>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</si>
  <si>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</si>
  <si>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</si>
  <si>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</si>
  <si>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</si>
  <si>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</si>
  <si>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</si>
  <si>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</si>
  <si>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</si>
  <si>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</si>
  <si>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</si>
  <si>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</si>
  <si>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</si>
  <si>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</si>
  <si>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</si>
  <si>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</si>
  <si>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</si>
  <si>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</si>
  <si>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</si>
  <si>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</si>
  <si>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</si>
  <si>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</si>
  <si>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</si>
  <si>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</si>
  <si>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</si>
  <si>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</si>
  <si>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</si>
  <si>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</si>
  <si>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</si>
  <si>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</si>
  <si>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</si>
  <si>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</si>
  <si>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</si>
  <si>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</si>
  <si>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</si>
  <si>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</si>
  <si>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</si>
  <si>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</si>
  <si>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</si>
  <si>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</si>
  <si>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</si>
  <si>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</si>
  <si>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</si>
  <si>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</si>
  <si>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</si>
  <si>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</si>
  <si>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</si>
  <si>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</si>
  <si>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</si>
  <si>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</si>
  <si>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</si>
  <si>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</si>
  <si>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</si>
  <si>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</si>
  <si>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</si>
  <si>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</si>
  <si>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</si>
  <si>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</si>
  <si>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</si>
  <si>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</si>
  <si>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</si>
  <si>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</si>
  <si>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</si>
  <si>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</si>
  <si>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</si>
  <si>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</si>
  <si>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</si>
  <si>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</si>
  <si>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</si>
  <si>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</si>
  <si>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</si>
  <si>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</si>
  <si>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</si>
  <si>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</si>
  <si>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</si>
  <si>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</si>
  <si>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</si>
  <si>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</si>
  <si>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</si>
  <si>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</si>
  <si>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</si>
  <si>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</si>
  <si>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</si>
  <si>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</si>
  <si>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</si>
  <si>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</si>
  <si>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</si>
  <si>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</si>
  <si>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</si>
  <si>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</si>
  <si>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</si>
  <si>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</si>
  <si>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</si>
  <si>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</si>
  <si>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</si>
  <si>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</si>
  <si>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</si>
  <si>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</si>
  <si>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</si>
  <si>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</si>
  <si>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</si>
  <si>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</si>
  <si>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</si>
  <si>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</si>
  <si>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</si>
  <si>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</si>
  <si>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</si>
  <si>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</si>
  <si>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</si>
  <si>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</si>
  <si>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</si>
  <si>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</si>
  <si>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</si>
  <si>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</si>
  <si>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</si>
  <si>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</si>
  <si>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</si>
  <si>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</si>
  <si>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</si>
  <si>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</si>
  <si>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</si>
  <si>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</si>
  <si>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</si>
  <si>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</si>
  <si>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</si>
  <si>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</si>
  <si>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</si>
  <si>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</si>
  <si>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</si>
  <si>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</si>
  <si>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</si>
  <si>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</si>
  <si>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</si>
  <si>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</si>
  <si>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</si>
  <si>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</si>
  <si>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</si>
  <si>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</si>
  <si>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</si>
  <si>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</si>
  <si>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</si>
  <si>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</si>
  <si>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</si>
  <si>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</si>
  <si>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</si>
  <si>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</si>
  <si>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</si>
  <si>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</si>
  <si>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</si>
  <si>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</si>
  <si>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</si>
  <si>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</si>
  <si>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</si>
  <si>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</si>
  <si>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</si>
  <si>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</si>
  <si>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</si>
  <si>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</si>
  <si>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</si>
  <si>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</si>
  <si>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</si>
  <si>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</si>
  <si>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</si>
  <si>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</si>
  <si>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</si>
  <si>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</si>
  <si>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</si>
  <si>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</si>
  <si>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</si>
  <si>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</si>
  <si>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</si>
  <si>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</si>
  <si>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</si>
  <si>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</si>
  <si>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</si>
  <si>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</si>
  <si>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</si>
  <si>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</si>
  <si>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</si>
  <si>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</si>
  <si>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</si>
  <si>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</si>
  <si>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</si>
  <si>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</si>
  <si>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</si>
  <si>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</si>
  <si>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</si>
  <si>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</si>
  <si>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</si>
  <si>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</si>
  <si>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</si>
  <si>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</si>
  <si>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</si>
  <si>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</si>
  <si>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</si>
  <si>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</si>
  <si>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</si>
  <si>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</si>
  <si>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</si>
  <si>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</si>
  <si>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</si>
  <si>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</si>
  <si>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</si>
  <si>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</si>
  <si>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</si>
  <si>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</si>
  <si>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</si>
  <si>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</si>
  <si>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</si>
  <si>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</si>
  <si>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</si>
  <si>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</si>
  <si>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</si>
  <si>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</si>
  <si>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</si>
  <si>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</si>
  <si>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</si>
  <si>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</si>
  <si>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</si>
  <si>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</si>
  <si>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</si>
  <si>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</si>
  <si>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</si>
  <si>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</si>
  <si>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</si>
  <si>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</si>
  <si>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</si>
  <si>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</si>
  <si>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</si>
  <si>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</si>
  <si>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</si>
  <si>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</si>
  <si>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</si>
  <si>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</si>
  <si>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</si>
  <si>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</si>
  <si>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</si>
  <si>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</si>
  <si>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</si>
  <si>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</si>
  <si>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</si>
  <si>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</si>
  <si>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</si>
  <si>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</si>
  <si>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</si>
  <si>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</si>
  <si>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</si>
  <si>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</si>
  <si>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</si>
  <si>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</si>
  <si>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</si>
  <si>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</si>
  <si>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</si>
  <si>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</si>
  <si>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</si>
  <si>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</si>
  <si>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</si>
  <si>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</si>
  <si>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</si>
  <si>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</si>
  <si>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</si>
  <si>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</si>
  <si>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</si>
  <si>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</si>
  <si>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</si>
  <si>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</si>
  <si>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</si>
  <si>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</si>
  <si>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</si>
  <si>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</si>
  <si>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</si>
  <si>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</si>
  <si>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</si>
  <si>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</si>
  <si>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</si>
  <si>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</si>
  <si>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</si>
  <si>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</si>
  <si>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</si>
  <si>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</si>
  <si>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</si>
  <si>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</si>
  <si>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</si>
  <si>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</si>
  <si>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</si>
  <si>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</si>
  <si>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</si>
  <si>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</si>
  <si>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</si>
  <si>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</si>
  <si>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</si>
  <si>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</si>
  <si>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</si>
  <si>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</si>
  <si>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</si>
  <si>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</si>
  <si>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</si>
  <si>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</si>
  <si>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</si>
  <si>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</si>
  <si>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</si>
  <si>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</si>
  <si>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</si>
  <si>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</si>
  <si>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</si>
  <si>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</si>
  <si>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</si>
  <si>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</si>
  <si>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</si>
  <si>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</si>
  <si>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</si>
  <si>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</si>
  <si>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</si>
  <si>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</si>
  <si>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</si>
  <si>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</si>
  <si>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</si>
  <si>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</si>
  <si>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</si>
  <si>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</si>
  <si>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</si>
  <si>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</si>
  <si>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</si>
  <si>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</si>
  <si>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</si>
  <si>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</si>
  <si>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</si>
  <si>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</si>
  <si>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</si>
  <si>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</si>
  <si>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</si>
  <si>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</si>
  <si>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</si>
  <si>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</si>
  <si>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</si>
  <si>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</si>
  <si>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</si>
  <si>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</si>
  <si>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</si>
  <si>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</si>
  <si>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</si>
  <si>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</si>
  <si>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</si>
  <si>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</si>
  <si>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</si>
  <si>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</si>
  <si>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</si>
  <si>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</si>
  <si>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</si>
  <si>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</si>
  <si>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</si>
  <si>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</si>
  <si>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</si>
  <si>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</si>
  <si>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</si>
  <si>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</si>
  <si>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</si>
  <si>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</si>
  <si>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</si>
  <si>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</si>
  <si>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</si>
  <si>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</si>
  <si>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</si>
  <si>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</si>
  <si>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</si>
  <si>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</si>
  <si>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</si>
  <si>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</si>
  <si>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</si>
  <si>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</si>
  <si>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</si>
  <si>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</si>
  <si>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</si>
  <si>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</si>
  <si>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</si>
  <si>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</si>
  <si>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</si>
  <si>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</si>
  <si>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</si>
  <si>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</si>
  <si>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</si>
  <si>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</si>
  <si>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</si>
  <si>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</si>
  <si>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</si>
  <si>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</si>
  <si>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</si>
  <si>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</si>
  <si>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</si>
  <si>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</si>
  <si>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</si>
  <si>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</si>
  <si>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</si>
  <si>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</si>
  <si>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</si>
  <si>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</si>
  <si>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</si>
  <si>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</si>
  <si>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</si>
  <si>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</si>
  <si>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</si>
  <si>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</si>
  <si>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</si>
  <si>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</si>
  <si>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</si>
  <si>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</si>
  <si>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</si>
  <si>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</si>
  <si>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</si>
  <si>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</si>
  <si>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</si>
  <si>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</si>
  <si>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</si>
  <si>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</si>
  <si>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</si>
  <si>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</si>
  <si>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</si>
  <si>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</si>
  <si>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</si>
  <si>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</si>
  <si>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</si>
  <si>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</si>
  <si>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</si>
  <si>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</si>
  <si>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</si>
  <si>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</si>
  <si>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</si>
  <si>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</si>
  <si>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</si>
  <si>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</si>
  <si>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</si>
  <si>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</si>
  <si>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</si>
  <si>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</si>
  <si>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</si>
  <si>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</si>
  <si>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</si>
  <si>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</si>
  <si>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</si>
  <si>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</si>
  <si>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</si>
  <si>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</si>
  <si>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</si>
  <si>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</si>
  <si>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</si>
  <si>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</si>
  <si>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</si>
  <si>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</si>
  <si>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</si>
  <si>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</si>
  <si>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</si>
  <si>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</si>
  <si>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</si>
  <si>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</si>
  <si>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</si>
  <si>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</si>
  <si>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</si>
  <si>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</si>
  <si>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</si>
  <si>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</si>
  <si>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</si>
  <si>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</si>
  <si>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</si>
  <si>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</si>
  <si>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</si>
  <si>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</si>
  <si>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</si>
  <si>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</si>
  <si>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</si>
  <si>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</si>
  <si>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</si>
  <si>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</si>
  <si>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</si>
  <si>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</si>
  <si>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>סיום מידע טבלה</t>
  </si>
  <si>
    <t>סיום מידע טבלה צד שמאל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</si>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</sst>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3</xdr:row>
      <xdr:rowOff>0</xdr:rowOff>
    </xdr:from>
    <xdr:to>
      <xdr:col>3</xdr:col>
      <xdr:colOff>257175</xdr:colOff>
      <xdr:row>6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78076250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407894</xdr:colOff>
      <xdr:row>2</xdr:row>
      <xdr:rowOff>61856</xdr:rowOff>
    </xdr:to>
    <xdr:pic>
      <xdr:nvPicPr>
        <xdr:cNvPr id="3" name="תמונה 1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F1742886-79AB-4520-8AE2-6E1887A62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4706026" y="0"/>
          <a:ext cx="407894" cy="412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122"/>
      <sheetName val="גיליון124"/>
      <sheetName val="גיליון126"/>
      <sheetName val="גיליון128"/>
      <sheetName val="גיליון130"/>
      <sheetName val="גיליון132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362"/>
  <sheetViews>
    <sheetView rightToLeft="1" tabSelected="1" workbookViewId="0">
      <selection activeCell="F2" sqref="F2"/>
    </sheetView>
  </sheetViews>
  <sheetFormatPr defaultRowHeight="13.8" x14ac:dyDescent="0.25"/>
  <sheetData>
    <row r="3" spans="1:62" x14ac:dyDescent="0.25">
      <c r="A3" s="21" t="s">
        <v>696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 t="s">
        <v>695</v>
      </c>
    </row>
    <row r="4" spans="1:62" ht="15.6" x14ac:dyDescent="0.3">
      <c r="A4" s="1"/>
      <c r="B4" s="2"/>
      <c r="C4" s="2"/>
      <c r="D4" s="2"/>
      <c r="E4">
        <v>6</v>
      </c>
      <c r="F4">
        <v>10</v>
      </c>
      <c r="G4">
        <v>30</v>
      </c>
      <c r="H4">
        <v>50</v>
      </c>
      <c r="I4">
        <v>93</v>
      </c>
      <c r="J4">
        <v>99</v>
      </c>
      <c r="K4">
        <v>102</v>
      </c>
      <c r="L4">
        <v>122</v>
      </c>
      <c r="M4">
        <v>142</v>
      </c>
      <c r="N4">
        <v>164</v>
      </c>
      <c r="O4">
        <v>167</v>
      </c>
      <c r="P4">
        <v>169</v>
      </c>
      <c r="Q4">
        <v>425</v>
      </c>
      <c r="R4">
        <v>426</v>
      </c>
      <c r="S4">
        <v>499</v>
      </c>
      <c r="T4">
        <v>519</v>
      </c>
      <c r="U4">
        <v>526</v>
      </c>
      <c r="V4">
        <v>570</v>
      </c>
      <c r="W4">
        <v>571</v>
      </c>
      <c r="X4">
        <v>572</v>
      </c>
      <c r="Y4">
        <v>573</v>
      </c>
      <c r="Z4">
        <v>574</v>
      </c>
      <c r="AA4">
        <v>628</v>
      </c>
      <c r="AB4">
        <v>629</v>
      </c>
      <c r="AC4">
        <v>631</v>
      </c>
      <c r="AD4">
        <v>632</v>
      </c>
      <c r="AE4">
        <v>658</v>
      </c>
      <c r="AF4">
        <v>660</v>
      </c>
      <c r="AG4">
        <v>662</v>
      </c>
      <c r="AH4">
        <v>664</v>
      </c>
      <c r="AI4">
        <v>666</v>
      </c>
      <c r="AJ4">
        <v>726</v>
      </c>
      <c r="AK4">
        <v>737</v>
      </c>
      <c r="AL4">
        <v>827</v>
      </c>
      <c r="AM4">
        <v>575</v>
      </c>
      <c r="AN4">
        <v>576</v>
      </c>
      <c r="AO4">
        <v>359</v>
      </c>
      <c r="AP4" s="9">
        <v>828</v>
      </c>
      <c r="AQ4" s="9">
        <v>844</v>
      </c>
      <c r="AR4" s="9">
        <v>839</v>
      </c>
      <c r="AS4" s="9">
        <v>857</v>
      </c>
      <c r="AT4" s="9">
        <v>851</v>
      </c>
      <c r="AU4" s="9">
        <v>849</v>
      </c>
      <c r="AV4" s="9">
        <v>846</v>
      </c>
      <c r="AW4" s="9">
        <v>834</v>
      </c>
      <c r="AX4" s="9">
        <v>506</v>
      </c>
      <c r="AY4" s="9">
        <v>521</v>
      </c>
      <c r="AZ4" s="9">
        <v>522</v>
      </c>
      <c r="BA4" s="9">
        <v>528</v>
      </c>
      <c r="BB4" s="9">
        <v>548</v>
      </c>
      <c r="BC4" s="9">
        <v>551</v>
      </c>
      <c r="BD4" s="9">
        <v>555</v>
      </c>
      <c r="BE4" s="9">
        <v>558</v>
      </c>
      <c r="BF4" s="9">
        <v>558</v>
      </c>
      <c r="BG4" s="9">
        <v>578</v>
      </c>
      <c r="BH4" s="9">
        <v>580</v>
      </c>
      <c r="BI4" s="9">
        <v>577</v>
      </c>
      <c r="BJ4" s="21"/>
    </row>
    <row r="5" spans="1:62" x14ac:dyDescent="0.25">
      <c r="E5" s="10">
        <v>401</v>
      </c>
      <c r="F5" s="10">
        <v>242</v>
      </c>
      <c r="G5" s="10">
        <v>385</v>
      </c>
      <c r="H5" s="10">
        <v>528</v>
      </c>
      <c r="I5" s="10">
        <v>384</v>
      </c>
      <c r="J5" s="10">
        <v>716</v>
      </c>
      <c r="K5" s="10">
        <v>715</v>
      </c>
      <c r="L5" s="10">
        <v>9916</v>
      </c>
      <c r="M5" s="10">
        <v>1100</v>
      </c>
      <c r="N5" s="10">
        <v>801</v>
      </c>
      <c r="O5" s="10">
        <v>804</v>
      </c>
      <c r="P5" s="10">
        <v>806</v>
      </c>
      <c r="Q5" s="10">
        <v>8765</v>
      </c>
      <c r="R5" s="10">
        <v>8766</v>
      </c>
      <c r="S5" s="10">
        <v>9418</v>
      </c>
      <c r="T5" s="10">
        <v>9475</v>
      </c>
      <c r="U5" s="10">
        <v>9906</v>
      </c>
      <c r="V5" s="10">
        <v>7905</v>
      </c>
      <c r="W5" s="10">
        <v>7906</v>
      </c>
      <c r="X5" s="10">
        <v>7907</v>
      </c>
      <c r="Y5" s="10">
        <v>7908</v>
      </c>
      <c r="Z5" s="10">
        <v>7909</v>
      </c>
      <c r="AA5" s="10">
        <v>11310</v>
      </c>
      <c r="AB5" s="10">
        <v>11311</v>
      </c>
      <c r="AC5" s="10">
        <v>11312</v>
      </c>
      <c r="AD5" s="10">
        <v>11335</v>
      </c>
      <c r="AE5" s="10">
        <v>9529</v>
      </c>
      <c r="AF5" s="10">
        <v>961</v>
      </c>
      <c r="AG5" s="10">
        <v>9528</v>
      </c>
      <c r="AH5" s="10">
        <v>964</v>
      </c>
      <c r="AI5" s="10">
        <v>968</v>
      </c>
      <c r="AJ5" s="10">
        <v>8629</v>
      </c>
      <c r="AK5" s="10">
        <v>13264</v>
      </c>
      <c r="AL5" s="10">
        <v>13263</v>
      </c>
      <c r="AM5" s="10">
        <v>13209</v>
      </c>
      <c r="AN5" s="10">
        <v>13250</v>
      </c>
      <c r="AO5" s="10">
        <v>14281</v>
      </c>
      <c r="AP5" s="11">
        <v>2049</v>
      </c>
      <c r="AQ5" s="12">
        <v>7975</v>
      </c>
      <c r="AR5" s="12">
        <v>8004</v>
      </c>
      <c r="AS5" s="11">
        <v>1008</v>
      </c>
      <c r="AT5" s="11">
        <v>9484</v>
      </c>
      <c r="AU5" s="11">
        <v>682</v>
      </c>
      <c r="AV5" s="11">
        <v>11352</v>
      </c>
      <c r="AW5" s="11">
        <v>2058</v>
      </c>
      <c r="AX5" s="11">
        <v>15007</v>
      </c>
      <c r="AY5" s="11">
        <v>15208</v>
      </c>
      <c r="AZ5" s="11">
        <v>15209</v>
      </c>
      <c r="BA5" s="11">
        <v>15210</v>
      </c>
      <c r="BB5" s="11">
        <v>15211</v>
      </c>
      <c r="BC5" s="11">
        <v>15212</v>
      </c>
      <c r="BD5" s="11">
        <v>15232</v>
      </c>
      <c r="BE5" s="11">
        <v>15214</v>
      </c>
      <c r="BF5" s="11">
        <v>15214</v>
      </c>
      <c r="BG5" s="11">
        <v>15233</v>
      </c>
      <c r="BH5" s="11">
        <v>15234</v>
      </c>
      <c r="BI5" s="11">
        <v>15215</v>
      </c>
      <c r="BJ5" s="21"/>
    </row>
    <row r="6" spans="1:62" ht="15.6" x14ac:dyDescent="0.3">
      <c r="A6" s="3">
        <v>45931</v>
      </c>
      <c r="B6" s="2"/>
      <c r="C6" s="2"/>
      <c r="D6" s="2"/>
      <c r="E6" t="s">
        <v>614</v>
      </c>
      <c r="F6" t="s">
        <v>615</v>
      </c>
      <c r="G6" t="s">
        <v>616</v>
      </c>
      <c r="H6" t="s">
        <v>617</v>
      </c>
      <c r="I6" t="s">
        <v>618</v>
      </c>
      <c r="J6" t="s">
        <v>619</v>
      </c>
      <c r="K6" t="s">
        <v>620</v>
      </c>
      <c r="L6" t="s">
        <v>621</v>
      </c>
      <c r="M6" t="s">
        <v>622</v>
      </c>
      <c r="N6" t="s">
        <v>623</v>
      </c>
      <c r="O6" t="s">
        <v>624</v>
      </c>
      <c r="P6" t="s">
        <v>625</v>
      </c>
      <c r="Q6" t="s">
        <v>626</v>
      </c>
      <c r="R6" t="s">
        <v>627</v>
      </c>
      <c r="S6" t="s">
        <v>628</v>
      </c>
      <c r="T6" t="s">
        <v>629</v>
      </c>
      <c r="U6" t="s">
        <v>630</v>
      </c>
      <c r="V6" t="s">
        <v>631</v>
      </c>
      <c r="W6" t="s">
        <v>632</v>
      </c>
      <c r="X6" t="s">
        <v>633</v>
      </c>
      <c r="Y6" t="s">
        <v>634</v>
      </c>
      <c r="Z6" t="s">
        <v>635</v>
      </c>
      <c r="AA6" t="s">
        <v>636</v>
      </c>
      <c r="AB6" t="s">
        <v>637</v>
      </c>
      <c r="AC6" t="s">
        <v>638</v>
      </c>
      <c r="AD6" t="s">
        <v>639</v>
      </c>
      <c r="AE6" t="s">
        <v>640</v>
      </c>
      <c r="AF6" t="s">
        <v>641</v>
      </c>
      <c r="AG6" t="s">
        <v>642</v>
      </c>
      <c r="AH6" t="s">
        <v>643</v>
      </c>
      <c r="AI6" t="s">
        <v>644</v>
      </c>
      <c r="AJ6" t="s">
        <v>645</v>
      </c>
      <c r="AK6" t="s">
        <v>646</v>
      </c>
      <c r="AL6" t="s">
        <v>647</v>
      </c>
      <c r="AM6" t="s">
        <v>648</v>
      </c>
      <c r="AN6" t="s">
        <v>649</v>
      </c>
      <c r="AO6" t="s">
        <v>650</v>
      </c>
      <c r="AP6" s="13" t="s">
        <v>651</v>
      </c>
      <c r="AQ6" s="14" t="s">
        <v>652</v>
      </c>
      <c r="AR6" s="13" t="s">
        <v>653</v>
      </c>
      <c r="AS6" s="13" t="s">
        <v>654</v>
      </c>
      <c r="AT6" s="13" t="s">
        <v>655</v>
      </c>
      <c r="AU6" s="13" t="s">
        <v>656</v>
      </c>
      <c r="AV6" s="13" t="s">
        <v>657</v>
      </c>
      <c r="AW6" s="13" t="s">
        <v>658</v>
      </c>
      <c r="AX6" s="13" t="s">
        <v>659</v>
      </c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21"/>
    </row>
    <row r="7" spans="1:62" ht="15.6" x14ac:dyDescent="0.3">
      <c r="A7" s="4"/>
      <c r="B7" s="5"/>
      <c r="C7" s="5"/>
      <c r="D7" s="6" t="s">
        <v>0</v>
      </c>
      <c r="E7" s="15" t="s">
        <v>660</v>
      </c>
      <c r="F7" s="15" t="s">
        <v>661</v>
      </c>
      <c r="G7" s="15" t="s">
        <v>662</v>
      </c>
      <c r="H7" s="15" t="s">
        <v>663</v>
      </c>
      <c r="I7" s="15" t="s">
        <v>664</v>
      </c>
      <c r="J7" s="15" t="s">
        <v>665</v>
      </c>
      <c r="K7" s="15" t="s">
        <v>666</v>
      </c>
      <c r="L7" s="15" t="s">
        <v>667</v>
      </c>
      <c r="M7" s="15" t="s">
        <v>668</v>
      </c>
      <c r="N7" s="15" t="s">
        <v>669</v>
      </c>
      <c r="O7" s="15" t="s">
        <v>670</v>
      </c>
      <c r="P7" s="15" t="s">
        <v>671</v>
      </c>
      <c r="Q7" s="15" t="s">
        <v>672</v>
      </c>
      <c r="R7" s="15" t="s">
        <v>673</v>
      </c>
      <c r="S7" s="15" t="s">
        <v>674</v>
      </c>
      <c r="T7" s="15" t="s">
        <v>675</v>
      </c>
      <c r="U7" s="15" t="s">
        <v>676</v>
      </c>
      <c r="V7" s="15" t="s">
        <v>677</v>
      </c>
      <c r="W7" s="15" t="s">
        <v>678</v>
      </c>
      <c r="X7" s="15" t="s">
        <v>679</v>
      </c>
      <c r="Y7" s="15" t="s">
        <v>680</v>
      </c>
      <c r="Z7" s="15" t="s">
        <v>681</v>
      </c>
      <c r="AA7" s="15" t="s">
        <v>682</v>
      </c>
      <c r="AB7" s="15" t="s">
        <v>683</v>
      </c>
      <c r="AC7" s="15" t="s">
        <v>684</v>
      </c>
      <c r="AD7" s="15" t="s">
        <v>685</v>
      </c>
      <c r="AE7" s="15" t="s">
        <v>686</v>
      </c>
      <c r="AF7" s="15" t="s">
        <v>687</v>
      </c>
      <c r="AG7" s="15" t="s">
        <v>688</v>
      </c>
      <c r="AH7" s="15" t="s">
        <v>689</v>
      </c>
      <c r="AI7" s="15" t="s">
        <v>690</v>
      </c>
      <c r="AJ7" s="15" t="s">
        <v>691</v>
      </c>
      <c r="AK7" s="15" t="s">
        <v>692</v>
      </c>
      <c r="AL7" s="15" t="s">
        <v>693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21"/>
    </row>
    <row r="8" spans="1:62" ht="15.6" x14ac:dyDescent="0.3">
      <c r="A8" s="5" t="s">
        <v>1</v>
      </c>
      <c r="B8" s="5" t="s">
        <v>2</v>
      </c>
      <c r="C8" s="7">
        <v>1</v>
      </c>
      <c r="D8" s="7">
        <v>1</v>
      </c>
      <c r="E8" s="7">
        <v>261838.91399999999</v>
      </c>
      <c r="F8" s="7">
        <v>34294.968000000001</v>
      </c>
      <c r="G8" s="7">
        <v>32877.803999999996</v>
      </c>
      <c r="H8" s="7">
        <v>13.893000000000001</v>
      </c>
      <c r="I8" s="7">
        <v>4243.8130000000001</v>
      </c>
      <c r="J8" s="7">
        <v>21618.581999999999</v>
      </c>
      <c r="K8" s="7">
        <v>-3057.9650000000001</v>
      </c>
      <c r="L8" s="7">
        <v>275295.815</v>
      </c>
      <c r="M8" s="7">
        <v>74693.634999999995</v>
      </c>
      <c r="N8" s="7">
        <v>70.259</v>
      </c>
      <c r="O8" s="7">
        <v>1753.414</v>
      </c>
      <c r="P8" s="7">
        <v>54.055</v>
      </c>
      <c r="Q8" s="7">
        <v>1095.3589999999999</v>
      </c>
      <c r="R8" s="7">
        <v>525.697</v>
      </c>
      <c r="S8" s="7">
        <v>10898.078</v>
      </c>
      <c r="T8" s="7">
        <v>0.40300000000000002</v>
      </c>
      <c r="U8" s="7">
        <v>-2354.8429999999998</v>
      </c>
      <c r="V8" s="7">
        <v>3509.3310000000001</v>
      </c>
      <c r="W8" s="7">
        <v>8040.9229999999998</v>
      </c>
      <c r="X8" s="7">
        <v>20801.449000000001</v>
      </c>
      <c r="Y8" s="7">
        <v>77244.641000000003</v>
      </c>
      <c r="Z8" s="7">
        <v>7940.4840000000004</v>
      </c>
      <c r="AA8" s="7">
        <v>46977.574999999997</v>
      </c>
      <c r="AB8" s="7">
        <v>55502.150999999998</v>
      </c>
      <c r="AC8" s="7">
        <v>6302.7190000000001</v>
      </c>
      <c r="AD8" s="7">
        <v>2624.8670000000002</v>
      </c>
      <c r="AE8" s="7">
        <v>214379.26800000001</v>
      </c>
      <c r="AF8" s="7">
        <v>81059.789000000004</v>
      </c>
      <c r="AG8" s="7">
        <v>15283.166999999999</v>
      </c>
      <c r="AH8" s="7">
        <v>573076.26199999999</v>
      </c>
      <c r="AI8" s="7">
        <v>123977.321</v>
      </c>
      <c r="AJ8" s="7">
        <v>40944.146999999997</v>
      </c>
      <c r="AK8" s="7">
        <v>244813.51199999999</v>
      </c>
      <c r="AL8" s="7">
        <v>131547.58499999999</v>
      </c>
      <c r="AM8" s="7">
        <v>-596.50599999999997</v>
      </c>
      <c r="AN8" s="7">
        <v>86740.941000000006</v>
      </c>
      <c r="AO8" s="7">
        <v>6713.4679999999998</v>
      </c>
      <c r="AP8" s="7">
        <v>2926.8879999999999</v>
      </c>
      <c r="AQ8" s="7">
        <v>42028.961000000003</v>
      </c>
      <c r="AR8" s="7">
        <v>993.73599999999999</v>
      </c>
      <c r="AS8" s="7">
        <v>193.88499999999999</v>
      </c>
      <c r="AT8" s="7">
        <v>0</v>
      </c>
      <c r="AU8" s="7">
        <v>7441.4539999999997</v>
      </c>
      <c r="AV8" s="7">
        <v>2549.288</v>
      </c>
      <c r="AW8" s="7">
        <v>5841.335</v>
      </c>
      <c r="AX8" s="7">
        <v>24548.383999999998</v>
      </c>
      <c r="AY8" s="7">
        <v>3264.375</v>
      </c>
      <c r="AZ8" s="7">
        <v>25694.424999999999</v>
      </c>
      <c r="BA8" s="7">
        <v>23368.654999999999</v>
      </c>
      <c r="BB8" s="7">
        <v>2986.596</v>
      </c>
      <c r="BC8" s="7">
        <v>518.721</v>
      </c>
      <c r="BD8" s="7">
        <v>24789.249</v>
      </c>
      <c r="BE8" s="7">
        <v>1282.171</v>
      </c>
      <c r="BF8" s="7">
        <v>1282.171</v>
      </c>
      <c r="BG8" s="7">
        <v>7467.8850000000002</v>
      </c>
      <c r="BH8" s="7">
        <v>27300.397000000001</v>
      </c>
      <c r="BI8" s="7">
        <v>1033.654</v>
      </c>
      <c r="BJ8" s="21"/>
    </row>
    <row r="9" spans="1:62" ht="15.6" x14ac:dyDescent="0.3">
      <c r="A9" s="5" t="s">
        <v>3</v>
      </c>
      <c r="B9" s="5" t="s">
        <v>4</v>
      </c>
      <c r="C9" s="7">
        <v>1</v>
      </c>
      <c r="D9" s="7">
        <v>1</v>
      </c>
      <c r="E9" s="7">
        <v>82516.005000000005</v>
      </c>
      <c r="F9" s="7">
        <v>14601.816000000001</v>
      </c>
      <c r="G9" s="7">
        <v>7313.29</v>
      </c>
      <c r="H9" s="7">
        <v>660.32</v>
      </c>
      <c r="I9" s="7">
        <v>3473.8229999999999</v>
      </c>
      <c r="J9" s="7">
        <v>5229.6270000000004</v>
      </c>
      <c r="K9" s="7">
        <v>0</v>
      </c>
      <c r="L9" s="7">
        <v>132397.21100000001</v>
      </c>
      <c r="M9" s="7">
        <v>29812.344000000001</v>
      </c>
      <c r="N9" s="7">
        <v>0</v>
      </c>
      <c r="O9" s="7">
        <v>396.75799999999998</v>
      </c>
      <c r="P9" s="7">
        <v>371.96600000000001</v>
      </c>
      <c r="Q9" s="7">
        <v>147.82900000000001</v>
      </c>
      <c r="R9" s="7">
        <v>244.21899999999999</v>
      </c>
      <c r="S9" s="7">
        <v>3496.317</v>
      </c>
      <c r="T9" s="7">
        <v>0</v>
      </c>
      <c r="U9" s="7">
        <v>0</v>
      </c>
      <c r="V9" s="7">
        <v>842.50599999999997</v>
      </c>
      <c r="W9" s="7">
        <v>2880.3429999999998</v>
      </c>
      <c r="X9" s="7">
        <v>555.798</v>
      </c>
      <c r="Y9" s="7">
        <v>32685.670999999998</v>
      </c>
      <c r="Z9" s="7">
        <v>2225.2130000000002</v>
      </c>
      <c r="AA9" s="7">
        <v>18192.774000000001</v>
      </c>
      <c r="AB9" s="7">
        <v>9237.1650000000009</v>
      </c>
      <c r="AC9" s="7">
        <v>2792.3429999999998</v>
      </c>
      <c r="AD9" s="7">
        <v>886.59900000000005</v>
      </c>
      <c r="AE9" s="7">
        <v>77944.539000000004</v>
      </c>
      <c r="AF9" s="7">
        <v>35940.523000000001</v>
      </c>
      <c r="AG9" s="7">
        <v>5573.0730000000003</v>
      </c>
      <c r="AH9" s="7">
        <v>226542.15599999999</v>
      </c>
      <c r="AI9" s="7">
        <v>52437.762000000002</v>
      </c>
      <c r="AJ9" s="7">
        <v>10003.880999999999</v>
      </c>
      <c r="AK9" s="7">
        <v>-254640.383</v>
      </c>
      <c r="AL9" s="7">
        <v>-138360.14199999999</v>
      </c>
      <c r="AM9" s="7">
        <v>0</v>
      </c>
      <c r="AN9" s="7">
        <v>-91513.448999999993</v>
      </c>
      <c r="AO9" s="7">
        <v>2264.373</v>
      </c>
      <c r="AP9" s="7">
        <v>6049.5950000000003</v>
      </c>
      <c r="AQ9" s="7">
        <v>13052.343000000001</v>
      </c>
      <c r="AR9" s="7">
        <v>1689.7139999999999</v>
      </c>
      <c r="AS9" s="7">
        <v>49.274999999999999</v>
      </c>
      <c r="AT9" s="7">
        <v>0</v>
      </c>
      <c r="AU9" s="7">
        <v>3729.4650000000001</v>
      </c>
      <c r="AV9" s="7">
        <v>5387.5690000000004</v>
      </c>
      <c r="AW9" s="7">
        <v>8935.4079999999994</v>
      </c>
      <c r="AX9" s="7">
        <v>625.47500000000002</v>
      </c>
      <c r="AY9" s="7">
        <v>343.85700000000003</v>
      </c>
      <c r="AZ9" s="7">
        <v>1057.9390000000001</v>
      </c>
      <c r="BA9" s="7">
        <v>435.41699999999997</v>
      </c>
      <c r="BB9" s="7">
        <v>720.04300000000001</v>
      </c>
      <c r="BC9" s="7">
        <v>292.87200000000001</v>
      </c>
      <c r="BD9" s="7">
        <v>1284.6489999999999</v>
      </c>
      <c r="BE9" s="7">
        <v>216.44399999999999</v>
      </c>
      <c r="BF9" s="7">
        <v>216.44399999999999</v>
      </c>
      <c r="BG9" s="7">
        <v>439.47199999999998</v>
      </c>
      <c r="BH9" s="7">
        <v>8038.3130000000001</v>
      </c>
      <c r="BI9" s="7">
        <v>59.762999999999998</v>
      </c>
      <c r="BJ9" s="21"/>
    </row>
    <row r="10" spans="1:62" ht="15.6" x14ac:dyDescent="0.3">
      <c r="A10" s="5" t="s">
        <v>5</v>
      </c>
      <c r="B10" s="5" t="s">
        <v>6</v>
      </c>
      <c r="C10" s="7">
        <v>1</v>
      </c>
      <c r="D10" s="7">
        <v>1</v>
      </c>
      <c r="E10" s="7">
        <v>102081.87</v>
      </c>
      <c r="F10" s="7">
        <v>11955.641</v>
      </c>
      <c r="G10" s="7">
        <v>10226.147999999999</v>
      </c>
      <c r="H10" s="7">
        <v>16498.969000000001</v>
      </c>
      <c r="I10" s="7">
        <v>525.63400000000001</v>
      </c>
      <c r="J10" s="7">
        <v>6233.35</v>
      </c>
      <c r="K10" s="7">
        <v>3424.0990000000002</v>
      </c>
      <c r="L10" s="7">
        <v>109721.474</v>
      </c>
      <c r="M10" s="7">
        <v>25702.661</v>
      </c>
      <c r="N10" s="7">
        <v>0</v>
      </c>
      <c r="O10" s="7">
        <v>1634.598</v>
      </c>
      <c r="P10" s="7">
        <v>145.86500000000001</v>
      </c>
      <c r="Q10" s="7">
        <v>786.35799999999995</v>
      </c>
      <c r="R10" s="7">
        <v>407.43400000000003</v>
      </c>
      <c r="S10" s="7">
        <v>7256.6049999999996</v>
      </c>
      <c r="T10" s="7">
        <v>31.984999999999999</v>
      </c>
      <c r="U10" s="7">
        <v>2579.7689999999998</v>
      </c>
      <c r="V10" s="7">
        <v>1251.4459999999999</v>
      </c>
      <c r="W10" s="7">
        <v>3173.518</v>
      </c>
      <c r="X10" s="7">
        <v>6746.2839999999997</v>
      </c>
      <c r="Y10" s="7">
        <v>35797.991999999998</v>
      </c>
      <c r="Z10" s="7">
        <v>6222.0860000000002</v>
      </c>
      <c r="AA10" s="7">
        <v>26857.228999999999</v>
      </c>
      <c r="AB10" s="7">
        <v>48293.271999999997</v>
      </c>
      <c r="AC10" s="7">
        <v>2081.6660000000002</v>
      </c>
      <c r="AD10" s="7">
        <v>3347.8870000000002</v>
      </c>
      <c r="AE10" s="7">
        <v>118938.36199999999</v>
      </c>
      <c r="AF10" s="7">
        <v>58689.432000000001</v>
      </c>
      <c r="AG10" s="7">
        <v>20117.508000000002</v>
      </c>
      <c r="AH10" s="7">
        <v>251514.31099999999</v>
      </c>
      <c r="AI10" s="7">
        <v>82533.354999999996</v>
      </c>
      <c r="AJ10" s="7">
        <v>31387.781999999999</v>
      </c>
      <c r="AK10" s="7">
        <v>177599.56400000001</v>
      </c>
      <c r="AL10" s="7">
        <v>90444.838000000003</v>
      </c>
      <c r="AM10" s="7">
        <v>1008.908</v>
      </c>
      <c r="AN10" s="7">
        <v>59817.048000000003</v>
      </c>
      <c r="AO10" s="7">
        <v>2970.7190000000001</v>
      </c>
      <c r="AP10" s="7">
        <v>0</v>
      </c>
      <c r="AQ10" s="7">
        <v>8077.1490000000003</v>
      </c>
      <c r="AR10" s="7">
        <v>0</v>
      </c>
      <c r="AS10" s="7">
        <v>18.911999999999999</v>
      </c>
      <c r="AT10" s="7">
        <v>0</v>
      </c>
      <c r="AU10" s="7">
        <v>246.94900000000001</v>
      </c>
      <c r="AV10" s="7">
        <v>0</v>
      </c>
      <c r="AW10" s="7">
        <v>0</v>
      </c>
      <c r="AX10" s="7">
        <v>8162.4319999999998</v>
      </c>
      <c r="AY10" s="7">
        <v>248.024</v>
      </c>
      <c r="AZ10" s="7">
        <v>1831.1479999999999</v>
      </c>
      <c r="BA10" s="7">
        <v>2468.5970000000002</v>
      </c>
      <c r="BB10" s="7">
        <v>369.83800000000002</v>
      </c>
      <c r="BC10" s="7">
        <v>143.77199999999999</v>
      </c>
      <c r="BD10" s="7">
        <v>2243.2060000000001</v>
      </c>
      <c r="BE10" s="7">
        <v>104.194</v>
      </c>
      <c r="BF10" s="7">
        <v>104.194</v>
      </c>
      <c r="BG10" s="7">
        <v>759.4</v>
      </c>
      <c r="BH10" s="7">
        <v>16393.566999999999</v>
      </c>
      <c r="BI10" s="7">
        <v>47</v>
      </c>
      <c r="BJ10" s="21"/>
    </row>
    <row r="11" spans="1:62" ht="15.6" x14ac:dyDescent="0.3">
      <c r="A11" s="5" t="s">
        <v>7</v>
      </c>
      <c r="B11" s="5" t="s">
        <v>8</v>
      </c>
      <c r="C11" s="7">
        <v>1</v>
      </c>
      <c r="D11" s="7">
        <v>1</v>
      </c>
      <c r="E11" s="7">
        <v>530508.80900000001</v>
      </c>
      <c r="F11" s="7">
        <v>103404.03200000001</v>
      </c>
      <c r="G11" s="7">
        <v>0</v>
      </c>
      <c r="H11" s="7">
        <v>0</v>
      </c>
      <c r="I11" s="7">
        <v>2123.5360000000001</v>
      </c>
      <c r="J11" s="7">
        <v>0</v>
      </c>
      <c r="K11" s="7">
        <v>0</v>
      </c>
      <c r="L11" s="7">
        <v>1224822.1089999999</v>
      </c>
      <c r="M11" s="7">
        <v>28609.995999999999</v>
      </c>
      <c r="N11" s="7">
        <v>0</v>
      </c>
      <c r="O11" s="7">
        <v>7447.616</v>
      </c>
      <c r="P11" s="7">
        <v>0</v>
      </c>
      <c r="Q11" s="7">
        <v>4499.116</v>
      </c>
      <c r="R11" s="7">
        <v>1294.751</v>
      </c>
      <c r="S11" s="7">
        <v>32665.19</v>
      </c>
      <c r="T11" s="7">
        <v>0</v>
      </c>
      <c r="U11" s="7">
        <v>0</v>
      </c>
      <c r="V11" s="7">
        <v>0</v>
      </c>
      <c r="W11" s="7">
        <v>9846.8060000000005</v>
      </c>
      <c r="X11" s="7">
        <v>20201.024000000001</v>
      </c>
      <c r="Y11" s="7">
        <v>261474.13500000001</v>
      </c>
      <c r="Z11" s="7">
        <v>44949.686000000002</v>
      </c>
      <c r="AA11" s="7">
        <v>553.875</v>
      </c>
      <c r="AB11" s="7">
        <v>233858.58300000001</v>
      </c>
      <c r="AC11" s="7">
        <v>19334.964</v>
      </c>
      <c r="AD11" s="7">
        <v>13074.621999999999</v>
      </c>
      <c r="AE11" s="7">
        <v>727013.52599999995</v>
      </c>
      <c r="AF11" s="7">
        <v>488374.66700000002</v>
      </c>
      <c r="AG11" s="7">
        <v>72534.584000000003</v>
      </c>
      <c r="AH11" s="7">
        <v>2070837.078</v>
      </c>
      <c r="AI11" s="7">
        <v>733902.33600000001</v>
      </c>
      <c r="AJ11" s="7">
        <v>230564.37599999999</v>
      </c>
      <c r="AK11" s="7">
        <v>7440741.983</v>
      </c>
      <c r="AL11" s="7">
        <v>3998150.6060000001</v>
      </c>
      <c r="AM11" s="7">
        <v>0</v>
      </c>
      <c r="AN11" s="7">
        <v>2636393.5959999999</v>
      </c>
      <c r="AO11" s="7">
        <v>23970.121999999999</v>
      </c>
      <c r="AP11" s="7">
        <v>0</v>
      </c>
      <c r="AQ11" s="7">
        <v>186933.90400000001</v>
      </c>
      <c r="AR11" s="7">
        <v>0</v>
      </c>
      <c r="AS11" s="7">
        <v>348.26400000000001</v>
      </c>
      <c r="AT11" s="7">
        <v>0</v>
      </c>
      <c r="AU11" s="7">
        <v>2155.9209999999998</v>
      </c>
      <c r="AV11" s="7">
        <v>0</v>
      </c>
      <c r="AW11" s="7">
        <v>0</v>
      </c>
      <c r="AX11" s="7">
        <v>23839.79</v>
      </c>
      <c r="AY11" s="7">
        <v>0</v>
      </c>
      <c r="AZ11" s="7">
        <v>0</v>
      </c>
      <c r="BA11" s="7">
        <v>17428.526000000002</v>
      </c>
      <c r="BB11" s="7">
        <v>8125.0739999999996</v>
      </c>
      <c r="BC11" s="7">
        <v>0</v>
      </c>
      <c r="BD11" s="7">
        <v>0</v>
      </c>
      <c r="BE11" s="7">
        <v>2342.0520000000001</v>
      </c>
      <c r="BF11" s="7">
        <v>2342.0520000000001</v>
      </c>
      <c r="BG11" s="7">
        <v>0</v>
      </c>
      <c r="BH11" s="7">
        <v>143681.45000000001</v>
      </c>
      <c r="BI11" s="7">
        <v>0</v>
      </c>
      <c r="BJ11" s="21"/>
    </row>
    <row r="12" spans="1:62" ht="15.6" x14ac:dyDescent="0.3">
      <c r="A12" s="5" t="s">
        <v>9</v>
      </c>
      <c r="B12" s="5" t="s">
        <v>10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21"/>
    </row>
    <row r="13" spans="1:62" ht="15.6" x14ac:dyDescent="0.3">
      <c r="A13" s="5" t="s">
        <v>11</v>
      </c>
      <c r="B13" s="5" t="s">
        <v>12</v>
      </c>
      <c r="C13" s="7">
        <v>1</v>
      </c>
      <c r="D13" s="7">
        <v>1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21"/>
    </row>
    <row r="14" spans="1:62" ht="15.6" x14ac:dyDescent="0.3">
      <c r="A14" s="5" t="s">
        <v>13</v>
      </c>
      <c r="B14" s="5" t="s">
        <v>14</v>
      </c>
      <c r="C14" s="7">
        <v>1</v>
      </c>
      <c r="D14" s="7">
        <v>1</v>
      </c>
      <c r="E14" s="7">
        <v>47547.817000000003</v>
      </c>
      <c r="F14" s="7">
        <v>11106.967000000001</v>
      </c>
      <c r="G14" s="7">
        <v>4933.6329999999998</v>
      </c>
      <c r="H14" s="7">
        <v>7.0999999999999994E-2</v>
      </c>
      <c r="I14" s="7">
        <v>633.46400000000006</v>
      </c>
      <c r="J14" s="7">
        <v>3906.078</v>
      </c>
      <c r="K14" s="7">
        <v>0</v>
      </c>
      <c r="L14" s="7">
        <v>71586.361000000004</v>
      </c>
      <c r="M14" s="7">
        <v>11426.697</v>
      </c>
      <c r="N14" s="7">
        <v>0</v>
      </c>
      <c r="O14" s="7">
        <v>15.98</v>
      </c>
      <c r="P14" s="7">
        <v>58.034999999999997</v>
      </c>
      <c r="Q14" s="7">
        <v>17.137</v>
      </c>
      <c r="R14" s="7">
        <v>20.143999999999998</v>
      </c>
      <c r="S14" s="7">
        <v>2783.8420000000001</v>
      </c>
      <c r="T14" s="7">
        <v>0</v>
      </c>
      <c r="U14" s="7">
        <v>0</v>
      </c>
      <c r="V14" s="7">
        <v>450.47300000000001</v>
      </c>
      <c r="W14" s="7">
        <v>1948.827</v>
      </c>
      <c r="X14" s="7">
        <v>1006.211</v>
      </c>
      <c r="Y14" s="7">
        <v>20326.190999999999</v>
      </c>
      <c r="Z14" s="7">
        <v>554.51599999999996</v>
      </c>
      <c r="AA14" s="7">
        <v>8136.5360000000001</v>
      </c>
      <c r="AB14" s="7">
        <v>386.24400000000003</v>
      </c>
      <c r="AC14" s="7">
        <v>1812.337</v>
      </c>
      <c r="AD14" s="7">
        <v>84.299000000000007</v>
      </c>
      <c r="AE14" s="7">
        <v>45143.714</v>
      </c>
      <c r="AF14" s="7">
        <v>27746.885999999999</v>
      </c>
      <c r="AG14" s="7">
        <v>332.17099999999999</v>
      </c>
      <c r="AH14" s="7">
        <v>141604.554</v>
      </c>
      <c r="AI14" s="7">
        <v>42414.493999999999</v>
      </c>
      <c r="AJ14" s="7">
        <v>3011.2449999999999</v>
      </c>
      <c r="AK14" s="7">
        <v>109736.476</v>
      </c>
      <c r="AL14" s="7">
        <v>58964.947</v>
      </c>
      <c r="AM14" s="7">
        <v>0</v>
      </c>
      <c r="AN14" s="7">
        <v>38881.678999999996</v>
      </c>
      <c r="AO14" s="7">
        <v>1725.357</v>
      </c>
      <c r="AP14" s="7">
        <v>0</v>
      </c>
      <c r="AQ14" s="7">
        <v>8668.7090000000007</v>
      </c>
      <c r="AR14" s="7">
        <v>0</v>
      </c>
      <c r="AS14" s="7">
        <v>19.469000000000001</v>
      </c>
      <c r="AT14" s="7">
        <v>0</v>
      </c>
      <c r="AU14" s="7">
        <v>127.764</v>
      </c>
      <c r="AV14" s="7">
        <v>0</v>
      </c>
      <c r="AW14" s="7">
        <v>0</v>
      </c>
      <c r="AX14" s="7">
        <v>1187.432</v>
      </c>
      <c r="AY14" s="7">
        <v>27.061</v>
      </c>
      <c r="AZ14" s="7">
        <v>0.61599999999999999</v>
      </c>
      <c r="BA14" s="7">
        <v>868.09500000000003</v>
      </c>
      <c r="BB14" s="7">
        <v>576.74199999999996</v>
      </c>
      <c r="BC14" s="7">
        <v>20.166</v>
      </c>
      <c r="BD14" s="7">
        <v>0.754</v>
      </c>
      <c r="BE14" s="7">
        <v>164.19200000000001</v>
      </c>
      <c r="BF14" s="7">
        <v>164.19200000000001</v>
      </c>
      <c r="BG14" s="7">
        <v>0.255</v>
      </c>
      <c r="BH14" s="7">
        <v>1777.1569999999999</v>
      </c>
      <c r="BI14" s="7">
        <v>6.8520000000000003</v>
      </c>
      <c r="BJ14" s="21"/>
    </row>
    <row r="15" spans="1:62" ht="15.6" x14ac:dyDescent="0.3">
      <c r="A15" s="5" t="s">
        <v>3</v>
      </c>
      <c r="B15" s="5" t="s">
        <v>15</v>
      </c>
      <c r="C15" s="7">
        <v>1</v>
      </c>
      <c r="D15" s="7">
        <v>1</v>
      </c>
      <c r="E15" s="7">
        <v>29.738</v>
      </c>
      <c r="F15" s="7">
        <v>4.1139999999999999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132.56800000000001</v>
      </c>
      <c r="M15" s="7">
        <v>9.84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9.0820000000000007</v>
      </c>
      <c r="AF15" s="7">
        <v>1.3520000000000001</v>
      </c>
      <c r="AG15" s="7">
        <v>0</v>
      </c>
      <c r="AH15" s="7">
        <v>85.123000000000005</v>
      </c>
      <c r="AI15" s="7">
        <v>0.91700000000000004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21"/>
    </row>
    <row r="16" spans="1:62" ht="15.6" x14ac:dyDescent="0.3">
      <c r="A16" s="5" t="s">
        <v>16</v>
      </c>
      <c r="B16" s="5" t="s">
        <v>17</v>
      </c>
      <c r="C16" s="7">
        <v>1</v>
      </c>
      <c r="D16" s="7">
        <v>1</v>
      </c>
      <c r="E16" s="7">
        <v>11928.718000000001</v>
      </c>
      <c r="F16" s="7">
        <v>104.58499999999999</v>
      </c>
      <c r="G16" s="7">
        <v>0</v>
      </c>
      <c r="H16" s="7">
        <v>0</v>
      </c>
      <c r="I16" s="7">
        <v>2.1480000000000001</v>
      </c>
      <c r="J16" s="7">
        <v>0</v>
      </c>
      <c r="K16" s="7">
        <v>0</v>
      </c>
      <c r="L16" s="7">
        <v>11282.432000000001</v>
      </c>
      <c r="M16" s="7">
        <v>11135.424999999999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33.037999999999997</v>
      </c>
      <c r="T16" s="7">
        <v>0</v>
      </c>
      <c r="U16" s="7">
        <v>0</v>
      </c>
      <c r="V16" s="7">
        <v>0</v>
      </c>
      <c r="W16" s="7">
        <v>9.9589999999999996</v>
      </c>
      <c r="X16" s="7">
        <v>0</v>
      </c>
      <c r="Y16" s="7">
        <v>259.42700000000002</v>
      </c>
      <c r="Z16" s="7">
        <v>0</v>
      </c>
      <c r="AA16" s="7">
        <v>0</v>
      </c>
      <c r="AB16" s="7">
        <v>0</v>
      </c>
      <c r="AC16" s="7">
        <v>19.556000000000001</v>
      </c>
      <c r="AD16" s="7">
        <v>0</v>
      </c>
      <c r="AE16" s="7">
        <v>651.81100000000004</v>
      </c>
      <c r="AF16" s="7">
        <v>493.94900000000001</v>
      </c>
      <c r="AG16" s="7">
        <v>0</v>
      </c>
      <c r="AH16" s="7">
        <v>12981.712</v>
      </c>
      <c r="AI16" s="7">
        <v>742.28099999999995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24.244</v>
      </c>
      <c r="AP16" s="7">
        <v>0</v>
      </c>
      <c r="AQ16" s="7">
        <v>189.06800000000001</v>
      </c>
      <c r="AR16" s="7">
        <v>0</v>
      </c>
      <c r="AS16" s="7">
        <v>0.35199999999999998</v>
      </c>
      <c r="AT16" s="7">
        <v>0</v>
      </c>
      <c r="AU16" s="7">
        <v>2.181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8.218</v>
      </c>
      <c r="BC16" s="7">
        <v>0</v>
      </c>
      <c r="BD16" s="7">
        <v>0</v>
      </c>
      <c r="BE16" s="7">
        <v>2.3690000000000002</v>
      </c>
      <c r="BF16" s="7">
        <v>2.3690000000000002</v>
      </c>
      <c r="BG16" s="7">
        <v>0</v>
      </c>
      <c r="BH16" s="7">
        <v>0</v>
      </c>
      <c r="BI16" s="7">
        <v>0</v>
      </c>
      <c r="BJ16" s="21"/>
    </row>
    <row r="17" spans="1:62" ht="15.6" x14ac:dyDescent="0.3">
      <c r="A17" s="5" t="s">
        <v>18</v>
      </c>
      <c r="B17" s="5" t="s">
        <v>19</v>
      </c>
      <c r="C17" s="7">
        <v>2</v>
      </c>
      <c r="D17" s="7">
        <v>2</v>
      </c>
      <c r="E17" s="7">
        <v>1341303.895</v>
      </c>
      <c r="F17" s="7">
        <v>100205.751</v>
      </c>
      <c r="G17" s="7">
        <v>238058.50099999999</v>
      </c>
      <c r="H17" s="7">
        <v>0</v>
      </c>
      <c r="I17" s="7">
        <v>33540.694000000003</v>
      </c>
      <c r="J17" s="7">
        <v>158608.20499999999</v>
      </c>
      <c r="K17" s="7">
        <v>0</v>
      </c>
      <c r="L17" s="7">
        <v>361470.44900000002</v>
      </c>
      <c r="M17" s="7">
        <v>408424.38099999999</v>
      </c>
      <c r="N17" s="7">
        <v>0</v>
      </c>
      <c r="O17" s="7">
        <v>0</v>
      </c>
      <c r="P17" s="7">
        <v>15857.465</v>
      </c>
      <c r="Q17" s="7">
        <v>827.79200000000003</v>
      </c>
      <c r="R17" s="7">
        <v>1345.6089999999999</v>
      </c>
      <c r="S17" s="7">
        <v>29859.172999999999</v>
      </c>
      <c r="T17" s="7">
        <v>0</v>
      </c>
      <c r="U17" s="7">
        <v>0</v>
      </c>
      <c r="V17" s="7">
        <v>20151.413</v>
      </c>
      <c r="W17" s="7">
        <v>33241.667999999998</v>
      </c>
      <c r="X17" s="7">
        <v>0</v>
      </c>
      <c r="Y17" s="7">
        <v>245529.049</v>
      </c>
      <c r="Z17" s="7">
        <v>0</v>
      </c>
      <c r="AA17" s="7">
        <v>367152.73300000001</v>
      </c>
      <c r="AB17" s="7">
        <v>0</v>
      </c>
      <c r="AC17" s="7">
        <v>14142.48</v>
      </c>
      <c r="AD17" s="7">
        <v>7758.1329999999998</v>
      </c>
      <c r="AE17" s="7">
        <v>625834.52</v>
      </c>
      <c r="AF17" s="7">
        <v>0</v>
      </c>
      <c r="AG17" s="7">
        <v>28611.404999999999</v>
      </c>
      <c r="AH17" s="7">
        <v>1456143.145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18030.982</v>
      </c>
      <c r="AP17" s="7">
        <v>0</v>
      </c>
      <c r="AQ17" s="7">
        <v>0</v>
      </c>
      <c r="AR17" s="7">
        <v>0</v>
      </c>
      <c r="AS17" s="7">
        <v>858.45399999999995</v>
      </c>
      <c r="AT17" s="7">
        <v>0</v>
      </c>
      <c r="AU17" s="7">
        <v>19936.618999999999</v>
      </c>
      <c r="AV17" s="7">
        <v>0</v>
      </c>
      <c r="AW17" s="7">
        <v>0</v>
      </c>
      <c r="AX17" s="7">
        <v>0</v>
      </c>
      <c r="AY17" s="7">
        <v>11417.632</v>
      </c>
      <c r="AZ17" s="7">
        <v>0</v>
      </c>
      <c r="BA17" s="7">
        <v>0</v>
      </c>
      <c r="BB17" s="7">
        <v>6381.5290000000005</v>
      </c>
      <c r="BC17" s="7">
        <v>7257.7370000000001</v>
      </c>
      <c r="BD17" s="7">
        <v>0</v>
      </c>
      <c r="BE17" s="7">
        <v>1617.5</v>
      </c>
      <c r="BF17" s="7">
        <v>1617.5</v>
      </c>
      <c r="BG17" s="7">
        <v>0</v>
      </c>
      <c r="BH17" s="7">
        <v>0</v>
      </c>
      <c r="BI17" s="7">
        <v>2158.5160000000001</v>
      </c>
      <c r="BJ17" s="21"/>
    </row>
    <row r="18" spans="1:62" ht="15.6" x14ac:dyDescent="0.3">
      <c r="A18" s="5" t="s">
        <v>20</v>
      </c>
      <c r="B18" s="5" t="s">
        <v>21</v>
      </c>
      <c r="C18" s="7">
        <v>2</v>
      </c>
      <c r="D18" s="7">
        <v>2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21"/>
    </row>
    <row r="19" spans="1:62" ht="15.6" x14ac:dyDescent="0.3">
      <c r="A19" s="5" t="s">
        <v>22</v>
      </c>
      <c r="B19" s="5" t="s">
        <v>23</v>
      </c>
      <c r="C19" s="7">
        <v>2</v>
      </c>
      <c r="D19" s="7">
        <v>2</v>
      </c>
      <c r="E19" s="7">
        <v>539034.45400000003</v>
      </c>
      <c r="F19" s="7">
        <v>42980.750999999997</v>
      </c>
      <c r="G19" s="7">
        <v>92255.928</v>
      </c>
      <c r="H19" s="7">
        <v>0</v>
      </c>
      <c r="I19" s="7">
        <v>13083.358</v>
      </c>
      <c r="J19" s="7">
        <v>61466.182000000001</v>
      </c>
      <c r="K19" s="7">
        <v>105023.81600000001</v>
      </c>
      <c r="L19" s="7">
        <v>189203.97200000001</v>
      </c>
      <c r="M19" s="7">
        <v>159426.16699999999</v>
      </c>
      <c r="N19" s="7">
        <v>12536.582</v>
      </c>
      <c r="O19" s="7">
        <v>0</v>
      </c>
      <c r="P19" s="7">
        <v>0</v>
      </c>
      <c r="Q19" s="7">
        <v>1311.25</v>
      </c>
      <c r="R19" s="7">
        <v>2131.4899999999998</v>
      </c>
      <c r="S19" s="7">
        <v>12881.669</v>
      </c>
      <c r="T19" s="7">
        <v>0</v>
      </c>
      <c r="U19" s="7">
        <v>80978.13</v>
      </c>
      <c r="V19" s="7">
        <v>7809.3720000000003</v>
      </c>
      <c r="W19" s="7">
        <v>13277.255999999999</v>
      </c>
      <c r="X19" s="7">
        <v>0</v>
      </c>
      <c r="Y19" s="7">
        <v>105439.20600000001</v>
      </c>
      <c r="Z19" s="7">
        <v>0</v>
      </c>
      <c r="AA19" s="7">
        <v>142284.42199999999</v>
      </c>
      <c r="AB19" s="7">
        <v>0</v>
      </c>
      <c r="AC19" s="7">
        <v>6256.2290000000003</v>
      </c>
      <c r="AD19" s="7">
        <v>3006.5459999999998</v>
      </c>
      <c r="AE19" s="7">
        <v>268381.70899999997</v>
      </c>
      <c r="AF19" s="7">
        <v>19588.733</v>
      </c>
      <c r="AG19" s="7">
        <v>11087.912</v>
      </c>
      <c r="AH19" s="7">
        <v>647653.54599999997</v>
      </c>
      <c r="AI19" s="7">
        <v>29436.896000000001</v>
      </c>
      <c r="AJ19" s="7">
        <v>0</v>
      </c>
      <c r="AK19" s="7">
        <v>0</v>
      </c>
      <c r="AL19" s="7">
        <v>0</v>
      </c>
      <c r="AM19" s="7">
        <v>20519.811000000002</v>
      </c>
      <c r="AN19" s="7">
        <v>0</v>
      </c>
      <c r="AO19" s="7">
        <v>7949.0749999999998</v>
      </c>
      <c r="AP19" s="7">
        <v>0</v>
      </c>
      <c r="AQ19" s="7">
        <v>7497.9380000000001</v>
      </c>
      <c r="AR19" s="7">
        <v>0</v>
      </c>
      <c r="AS19" s="7">
        <v>346.649</v>
      </c>
      <c r="AT19" s="7">
        <v>0</v>
      </c>
      <c r="AU19" s="7">
        <v>10147.956</v>
      </c>
      <c r="AV19" s="7">
        <v>0</v>
      </c>
      <c r="AW19" s="7">
        <v>0</v>
      </c>
      <c r="AX19" s="7">
        <v>0</v>
      </c>
      <c r="AY19" s="7">
        <v>4424.7290000000003</v>
      </c>
      <c r="AZ19" s="7">
        <v>0</v>
      </c>
      <c r="BA19" s="7">
        <v>0</v>
      </c>
      <c r="BB19" s="7">
        <v>2798.9609999999998</v>
      </c>
      <c r="BC19" s="7">
        <v>2812.625</v>
      </c>
      <c r="BD19" s="7">
        <v>0</v>
      </c>
      <c r="BE19" s="7">
        <v>720.77700000000004</v>
      </c>
      <c r="BF19" s="7">
        <v>720.77700000000004</v>
      </c>
      <c r="BG19" s="7">
        <v>0</v>
      </c>
      <c r="BH19" s="7">
        <v>0</v>
      </c>
      <c r="BI19" s="7">
        <v>836.5</v>
      </c>
      <c r="BJ19" s="21"/>
    </row>
    <row r="20" spans="1:62" ht="15.6" x14ac:dyDescent="0.3">
      <c r="A20" s="5" t="s">
        <v>24</v>
      </c>
      <c r="B20" s="5" t="s">
        <v>25</v>
      </c>
      <c r="C20" s="7">
        <v>2</v>
      </c>
      <c r="D20" s="7">
        <v>2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7.0620000000000003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21"/>
    </row>
    <row r="21" spans="1:62" ht="15.6" x14ac:dyDescent="0.3">
      <c r="A21" s="5" t="s">
        <v>26</v>
      </c>
      <c r="B21" s="5" t="s">
        <v>27</v>
      </c>
      <c r="C21" s="7">
        <v>2</v>
      </c>
      <c r="D21" s="7">
        <v>2</v>
      </c>
      <c r="E21" s="7">
        <v>112000.284</v>
      </c>
      <c r="F21" s="7">
        <v>24062.945</v>
      </c>
      <c r="G21" s="7">
        <v>0</v>
      </c>
      <c r="H21" s="7">
        <v>0</v>
      </c>
      <c r="I21" s="7">
        <v>502.995</v>
      </c>
      <c r="J21" s="7">
        <v>0</v>
      </c>
      <c r="K21" s="7">
        <v>76358.160999999993</v>
      </c>
      <c r="L21" s="7">
        <v>285331.152</v>
      </c>
      <c r="M21" s="7">
        <v>6892.1270000000004</v>
      </c>
      <c r="N21" s="7">
        <v>0</v>
      </c>
      <c r="O21" s="7">
        <v>0</v>
      </c>
      <c r="P21" s="7">
        <v>0.10299999999999999</v>
      </c>
      <c r="Q21" s="7">
        <v>0</v>
      </c>
      <c r="R21" s="7">
        <v>0</v>
      </c>
      <c r="S21" s="7">
        <v>7606.2160000000003</v>
      </c>
      <c r="T21" s="7">
        <v>970.19500000000005</v>
      </c>
      <c r="U21" s="7">
        <v>58875.608999999997</v>
      </c>
      <c r="V21" s="7">
        <v>0</v>
      </c>
      <c r="W21" s="7">
        <v>2301.3440000000001</v>
      </c>
      <c r="X21" s="7">
        <v>0</v>
      </c>
      <c r="Y21" s="7">
        <v>59728.303</v>
      </c>
      <c r="Z21" s="7">
        <v>0</v>
      </c>
      <c r="AA21" s="7">
        <v>0</v>
      </c>
      <c r="AB21" s="7">
        <v>0</v>
      </c>
      <c r="AC21" s="7">
        <v>4506.0119999999997</v>
      </c>
      <c r="AD21" s="7">
        <v>0</v>
      </c>
      <c r="AE21" s="7">
        <v>149983.209</v>
      </c>
      <c r="AF21" s="7">
        <v>113473.909</v>
      </c>
      <c r="AG21" s="7">
        <v>0</v>
      </c>
      <c r="AH21" s="7">
        <v>481244.83600000001</v>
      </c>
      <c r="AI21" s="7">
        <v>170911.49900000001</v>
      </c>
      <c r="AJ21" s="7">
        <v>0</v>
      </c>
      <c r="AK21" s="7">
        <v>0</v>
      </c>
      <c r="AL21" s="7">
        <v>0</v>
      </c>
      <c r="AM21" s="7">
        <v>14919.045</v>
      </c>
      <c r="AN21" s="7">
        <v>0</v>
      </c>
      <c r="AO21" s="7">
        <v>5560.5739999999996</v>
      </c>
      <c r="AP21" s="7">
        <v>0</v>
      </c>
      <c r="AQ21" s="7">
        <v>43428.34</v>
      </c>
      <c r="AR21" s="7">
        <v>0</v>
      </c>
      <c r="AS21" s="7">
        <v>80.959000000000003</v>
      </c>
      <c r="AT21" s="7">
        <v>0</v>
      </c>
      <c r="AU21" s="7">
        <v>502.02499999999998</v>
      </c>
      <c r="AV21" s="7">
        <v>0</v>
      </c>
      <c r="AW21" s="7">
        <v>0</v>
      </c>
      <c r="AX21" s="7">
        <v>0</v>
      </c>
      <c r="AY21" s="7">
        <v>34.341000000000001</v>
      </c>
      <c r="AZ21" s="7">
        <v>1086.222</v>
      </c>
      <c r="BA21" s="7">
        <v>0</v>
      </c>
      <c r="BB21" s="7">
        <v>1884.578</v>
      </c>
      <c r="BC21" s="7">
        <v>0</v>
      </c>
      <c r="BD21" s="7">
        <v>1330.6510000000001</v>
      </c>
      <c r="BE21" s="7">
        <v>542.51499999999999</v>
      </c>
      <c r="BF21" s="7">
        <v>542.51499999999999</v>
      </c>
      <c r="BG21" s="7">
        <v>450.47</v>
      </c>
      <c r="BH21" s="7">
        <v>0</v>
      </c>
      <c r="BI21" s="7">
        <v>0</v>
      </c>
      <c r="BJ21" s="21"/>
    </row>
    <row r="22" spans="1:62" ht="15.6" x14ac:dyDescent="0.3">
      <c r="A22" s="5" t="s">
        <v>28</v>
      </c>
      <c r="B22" s="5" t="s">
        <v>29</v>
      </c>
      <c r="C22" s="7">
        <v>6</v>
      </c>
      <c r="D22" s="7">
        <v>6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21"/>
    </row>
    <row r="23" spans="1:62" ht="15.6" x14ac:dyDescent="0.3">
      <c r="A23" s="5" t="s">
        <v>30</v>
      </c>
      <c r="B23" s="5" t="s">
        <v>31</v>
      </c>
      <c r="C23" s="7">
        <v>5</v>
      </c>
      <c r="D23" s="7">
        <v>5</v>
      </c>
      <c r="E23" s="7">
        <v>0</v>
      </c>
      <c r="F23" s="7">
        <v>0</v>
      </c>
      <c r="G23" s="7">
        <v>0</v>
      </c>
      <c r="H23" s="7">
        <v>983774.69499999995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21"/>
    </row>
    <row r="24" spans="1:62" ht="15.6" x14ac:dyDescent="0.3">
      <c r="A24" s="5" t="s">
        <v>32</v>
      </c>
      <c r="B24" s="5" t="s">
        <v>33</v>
      </c>
      <c r="C24" s="7">
        <v>2</v>
      </c>
      <c r="D24" s="7">
        <v>2</v>
      </c>
      <c r="E24" s="7">
        <v>6667.1469999999999</v>
      </c>
      <c r="F24" s="7">
        <v>0</v>
      </c>
      <c r="G24" s="7">
        <v>1685.105</v>
      </c>
      <c r="H24" s="7">
        <v>0</v>
      </c>
      <c r="I24" s="7">
        <v>0</v>
      </c>
      <c r="J24" s="7">
        <v>1292.9349999999999</v>
      </c>
      <c r="K24" s="7">
        <v>0</v>
      </c>
      <c r="L24" s="7">
        <v>4111.6559999999999</v>
      </c>
      <c r="M24" s="7">
        <v>2278.9140000000002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765.95699999999999</v>
      </c>
      <c r="AF24" s="7">
        <v>0</v>
      </c>
      <c r="AG24" s="7">
        <v>0</v>
      </c>
      <c r="AH24" s="7">
        <v>3866.55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21"/>
    </row>
    <row r="25" spans="1:62" ht="15.6" x14ac:dyDescent="0.3">
      <c r="A25" s="5" t="s">
        <v>34</v>
      </c>
      <c r="B25" s="5" t="s">
        <v>35</v>
      </c>
      <c r="C25" s="7">
        <v>2</v>
      </c>
      <c r="D25" s="7">
        <v>2</v>
      </c>
      <c r="E25" s="7">
        <v>41411.508000000002</v>
      </c>
      <c r="F25" s="7">
        <v>8012.9070000000002</v>
      </c>
      <c r="G25" s="7">
        <v>6837.6790000000001</v>
      </c>
      <c r="H25" s="7">
        <v>0</v>
      </c>
      <c r="I25" s="7">
        <v>1365.5409999999999</v>
      </c>
      <c r="J25" s="7">
        <v>5309.6710000000003</v>
      </c>
      <c r="K25" s="7">
        <v>0</v>
      </c>
      <c r="L25" s="7">
        <v>42457.832999999999</v>
      </c>
      <c r="M25" s="7">
        <v>19259.984</v>
      </c>
      <c r="N25" s="7">
        <v>0</v>
      </c>
      <c r="O25" s="7">
        <v>122.163</v>
      </c>
      <c r="P25" s="7">
        <v>0</v>
      </c>
      <c r="Q25" s="7">
        <v>41.531999999999996</v>
      </c>
      <c r="R25" s="7">
        <v>0</v>
      </c>
      <c r="S25" s="7">
        <v>2343.221</v>
      </c>
      <c r="T25" s="7">
        <v>0</v>
      </c>
      <c r="U25" s="7">
        <v>0</v>
      </c>
      <c r="V25" s="7">
        <v>846.49400000000003</v>
      </c>
      <c r="W25" s="7">
        <v>2008.8409999999999</v>
      </c>
      <c r="X25" s="7">
        <v>1397.569</v>
      </c>
      <c r="Y25" s="7">
        <v>14804.257</v>
      </c>
      <c r="Z25" s="7">
        <v>367.85599999999999</v>
      </c>
      <c r="AA25" s="7">
        <v>7007.7929999999997</v>
      </c>
      <c r="AB25" s="7">
        <v>2773.0549999999998</v>
      </c>
      <c r="AC25" s="7">
        <v>1287.645</v>
      </c>
      <c r="AD25" s="7">
        <v>164.23</v>
      </c>
      <c r="AE25" s="7">
        <v>33321.406999999999</v>
      </c>
      <c r="AF25" s="7">
        <v>6284.5969999999998</v>
      </c>
      <c r="AG25" s="7">
        <v>1167.9459999999999</v>
      </c>
      <c r="AH25" s="7">
        <v>104278.823</v>
      </c>
      <c r="AI25" s="7">
        <v>9444.1550000000007</v>
      </c>
      <c r="AJ25" s="7">
        <v>1758.348</v>
      </c>
      <c r="AK25" s="7">
        <v>784593.62</v>
      </c>
      <c r="AL25" s="7">
        <v>421587.45299999998</v>
      </c>
      <c r="AM25" s="7">
        <v>0</v>
      </c>
      <c r="AN25" s="7">
        <v>277996.14600000001</v>
      </c>
      <c r="AO25" s="7">
        <v>864.15499999999997</v>
      </c>
      <c r="AP25" s="7">
        <v>0</v>
      </c>
      <c r="AQ25" s="7">
        <v>2405.5419999999999</v>
      </c>
      <c r="AR25" s="7">
        <v>0</v>
      </c>
      <c r="AS25" s="7">
        <v>8.7639999999999993</v>
      </c>
      <c r="AT25" s="7">
        <v>0</v>
      </c>
      <c r="AU25" s="7">
        <v>156.71</v>
      </c>
      <c r="AV25" s="7">
        <v>0</v>
      </c>
      <c r="AW25" s="7">
        <v>0</v>
      </c>
      <c r="AX25" s="7">
        <v>1649.309</v>
      </c>
      <c r="AY25" s="7">
        <v>24.54</v>
      </c>
      <c r="AZ25" s="7">
        <v>0</v>
      </c>
      <c r="BA25" s="7">
        <v>1205.759</v>
      </c>
      <c r="BB25" s="7">
        <v>298.96899999999999</v>
      </c>
      <c r="BC25" s="7">
        <v>15.599</v>
      </c>
      <c r="BD25" s="7">
        <v>0</v>
      </c>
      <c r="BE25" s="7">
        <v>110.348</v>
      </c>
      <c r="BF25" s="7">
        <v>110.348</v>
      </c>
      <c r="BG25" s="7">
        <v>0</v>
      </c>
      <c r="BH25" s="7">
        <v>13719.212</v>
      </c>
      <c r="BI25" s="7">
        <v>4.6390000000000002</v>
      </c>
      <c r="BJ25" s="21"/>
    </row>
    <row r="26" spans="1:62" ht="15.6" x14ac:dyDescent="0.3">
      <c r="A26" s="5" t="s">
        <v>36</v>
      </c>
      <c r="B26" s="5" t="s">
        <v>37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21"/>
    </row>
    <row r="27" spans="1:62" ht="15.6" x14ac:dyDescent="0.3">
      <c r="A27" s="5" t="s">
        <v>38</v>
      </c>
      <c r="B27" s="5" t="s">
        <v>39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21"/>
    </row>
    <row r="28" spans="1:62" ht="15.6" x14ac:dyDescent="0.3">
      <c r="A28" s="5" t="s">
        <v>40</v>
      </c>
      <c r="B28" s="5" t="s">
        <v>41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21"/>
    </row>
    <row r="29" spans="1:62" ht="15.6" x14ac:dyDescent="0.3">
      <c r="A29" s="5" t="s">
        <v>42</v>
      </c>
      <c r="B29" s="5" t="s">
        <v>43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21"/>
    </row>
    <row r="30" spans="1:62" ht="15.6" x14ac:dyDescent="0.3">
      <c r="A30" s="5" t="s">
        <v>44</v>
      </c>
      <c r="B30" s="5" t="s">
        <v>45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21"/>
    </row>
    <row r="31" spans="1:62" ht="15.6" x14ac:dyDescent="0.3">
      <c r="A31" s="5" t="s">
        <v>46</v>
      </c>
      <c r="B31" s="5" t="s">
        <v>47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21"/>
    </row>
    <row r="32" spans="1:62" ht="15.6" x14ac:dyDescent="0.3">
      <c r="A32" s="5" t="s">
        <v>48</v>
      </c>
      <c r="B32" s="5" t="s">
        <v>49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21"/>
    </row>
    <row r="33" spans="1:62" ht="15.6" x14ac:dyDescent="0.3">
      <c r="A33" s="5" t="s">
        <v>50</v>
      </c>
      <c r="B33" s="5" t="s">
        <v>51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4787.7470000000003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3691.57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25.890999999999998</v>
      </c>
      <c r="AI33" s="7">
        <v>0</v>
      </c>
      <c r="AJ33" s="7">
        <v>0</v>
      </c>
      <c r="AK33" s="7">
        <v>0</v>
      </c>
      <c r="AL33" s="7">
        <v>0</v>
      </c>
      <c r="AM33" s="7">
        <v>935.44200000000001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21"/>
    </row>
    <row r="34" spans="1:62" ht="15.6" x14ac:dyDescent="0.3">
      <c r="A34" s="5" t="s">
        <v>52</v>
      </c>
      <c r="B34" s="5" t="s">
        <v>53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21"/>
    </row>
    <row r="35" spans="1:62" ht="15.6" x14ac:dyDescent="0.3">
      <c r="A35" s="5" t="s">
        <v>54</v>
      </c>
      <c r="B35" s="5" t="s">
        <v>55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21"/>
    </row>
    <row r="36" spans="1:62" ht="15.6" x14ac:dyDescent="0.3">
      <c r="A36" s="5" t="s">
        <v>56</v>
      </c>
      <c r="B36" s="5" t="s">
        <v>57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4769.643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3677.6109999999999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25.792999999999999</v>
      </c>
      <c r="AI36" s="7">
        <v>0</v>
      </c>
      <c r="AJ36" s="7">
        <v>0</v>
      </c>
      <c r="AK36" s="7">
        <v>0</v>
      </c>
      <c r="AL36" s="7">
        <v>0</v>
      </c>
      <c r="AM36" s="7">
        <v>931.90499999999997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21"/>
    </row>
    <row r="37" spans="1:62" ht="15.6" x14ac:dyDescent="0.3">
      <c r="A37" s="5" t="s">
        <v>58</v>
      </c>
      <c r="B37" s="5" t="s">
        <v>59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21"/>
    </row>
    <row r="38" spans="1:62" ht="15.6" x14ac:dyDescent="0.3">
      <c r="A38" s="5" t="s">
        <v>60</v>
      </c>
      <c r="B38" s="5" t="s">
        <v>61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21"/>
    </row>
    <row r="39" spans="1:62" ht="15.6" x14ac:dyDescent="0.3">
      <c r="A39" s="5" t="s">
        <v>62</v>
      </c>
      <c r="B39" s="5" t="s">
        <v>63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21"/>
    </row>
    <row r="40" spans="1:62" ht="15.6" x14ac:dyDescent="0.3">
      <c r="A40" s="5" t="s">
        <v>64</v>
      </c>
      <c r="B40" s="5" t="s">
        <v>65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21"/>
    </row>
    <row r="41" spans="1:62" ht="15.6" x14ac:dyDescent="0.3">
      <c r="A41" s="5" t="s">
        <v>66</v>
      </c>
      <c r="B41" s="5" t="s">
        <v>67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21"/>
    </row>
    <row r="42" spans="1:62" ht="15.6" x14ac:dyDescent="0.3">
      <c r="A42" s="5" t="s">
        <v>68</v>
      </c>
      <c r="B42" s="5" t="s">
        <v>69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21"/>
    </row>
    <row r="43" spans="1:62" ht="15.6" x14ac:dyDescent="0.3">
      <c r="A43" s="5" t="s">
        <v>70</v>
      </c>
      <c r="B43" s="5" t="s">
        <v>71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21"/>
    </row>
    <row r="44" spans="1:62" ht="15.6" x14ac:dyDescent="0.3">
      <c r="A44" s="5" t="s">
        <v>72</v>
      </c>
      <c r="B44" s="5" t="s">
        <v>73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21"/>
    </row>
    <row r="45" spans="1:62" ht="15.6" x14ac:dyDescent="0.3">
      <c r="A45" s="5" t="s">
        <v>74</v>
      </c>
      <c r="B45" s="5" t="s">
        <v>75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21"/>
    </row>
    <row r="46" spans="1:62" ht="15.6" x14ac:dyDescent="0.3">
      <c r="A46" s="5" t="s">
        <v>76</v>
      </c>
      <c r="B46" s="5" t="s">
        <v>77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21"/>
    </row>
    <row r="47" spans="1:62" ht="15.6" x14ac:dyDescent="0.3">
      <c r="A47" s="5" t="s">
        <v>78</v>
      </c>
      <c r="B47" s="5" t="s">
        <v>79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21"/>
    </row>
    <row r="48" spans="1:62" ht="15.6" x14ac:dyDescent="0.3">
      <c r="A48" s="5" t="s">
        <v>80</v>
      </c>
      <c r="B48" s="5" t="s">
        <v>81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21"/>
    </row>
    <row r="49" spans="1:62" ht="15.6" x14ac:dyDescent="0.3">
      <c r="A49" s="5" t="s">
        <v>82</v>
      </c>
      <c r="B49" s="5" t="s">
        <v>83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21"/>
    </row>
    <row r="50" spans="1:62" ht="15.6" x14ac:dyDescent="0.3">
      <c r="A50" s="5" t="s">
        <v>84</v>
      </c>
      <c r="B50" s="5" t="s">
        <v>85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21"/>
    </row>
    <row r="51" spans="1:62" ht="15.6" x14ac:dyDescent="0.3">
      <c r="A51" s="5" t="s">
        <v>86</v>
      </c>
      <c r="B51" s="5" t="s">
        <v>87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21"/>
    </row>
    <row r="52" spans="1:62" ht="15.6" x14ac:dyDescent="0.3">
      <c r="A52" s="5" t="s">
        <v>88</v>
      </c>
      <c r="B52" s="5" t="s">
        <v>89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21"/>
    </row>
    <row r="53" spans="1:62" ht="15.6" x14ac:dyDescent="0.3">
      <c r="A53" s="5" t="s">
        <v>90</v>
      </c>
      <c r="B53" s="5" t="s">
        <v>91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21"/>
    </row>
    <row r="54" spans="1:62" ht="15.6" x14ac:dyDescent="0.3">
      <c r="A54" s="5" t="s">
        <v>92</v>
      </c>
      <c r="B54" s="5" t="s">
        <v>93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21"/>
    </row>
    <row r="55" spans="1:62" ht="15.6" x14ac:dyDescent="0.3">
      <c r="A55" s="5" t="s">
        <v>94</v>
      </c>
      <c r="B55" s="5" t="s">
        <v>95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21"/>
    </row>
    <row r="56" spans="1:62" ht="15.6" x14ac:dyDescent="0.3">
      <c r="A56" s="5" t="s">
        <v>96</v>
      </c>
      <c r="B56" s="5" t="s">
        <v>97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21"/>
    </row>
    <row r="57" spans="1:62" ht="15.6" x14ac:dyDescent="0.3">
      <c r="A57" s="5" t="s">
        <v>98</v>
      </c>
      <c r="B57" s="5" t="s">
        <v>99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21"/>
    </row>
    <row r="58" spans="1:62" ht="15.6" x14ac:dyDescent="0.3">
      <c r="A58" s="5" t="s">
        <v>100</v>
      </c>
      <c r="B58" s="5" t="s">
        <v>101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21"/>
    </row>
    <row r="59" spans="1:62" ht="15.6" x14ac:dyDescent="0.3">
      <c r="A59" s="5" t="s">
        <v>102</v>
      </c>
      <c r="B59" s="5" t="s">
        <v>103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21"/>
    </row>
    <row r="60" spans="1:62" ht="15.6" x14ac:dyDescent="0.3">
      <c r="A60" s="5" t="s">
        <v>104</v>
      </c>
      <c r="B60" s="5" t="s">
        <v>105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21"/>
    </row>
    <row r="61" spans="1:62" ht="15.6" x14ac:dyDescent="0.3">
      <c r="A61" s="5" t="s">
        <v>106</v>
      </c>
      <c r="B61" s="5" t="s">
        <v>107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21"/>
    </row>
    <row r="62" spans="1:62" ht="15.6" x14ac:dyDescent="0.3">
      <c r="A62" s="5" t="s">
        <v>108</v>
      </c>
      <c r="B62" s="5" t="s">
        <v>109</v>
      </c>
      <c r="C62" s="7">
        <v>6</v>
      </c>
      <c r="D62" s="7">
        <v>6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21"/>
    </row>
    <row r="63" spans="1:62" ht="15.6" x14ac:dyDescent="0.3">
      <c r="A63" s="5" t="s">
        <v>110</v>
      </c>
      <c r="B63" s="5" t="s">
        <v>111</v>
      </c>
      <c r="C63" s="7">
        <v>3</v>
      </c>
      <c r="D63" s="7">
        <v>3</v>
      </c>
      <c r="E63" s="7">
        <v>977283.16799999995</v>
      </c>
      <c r="F63" s="7">
        <v>108802.25199999999</v>
      </c>
      <c r="G63" s="7">
        <v>233430.755</v>
      </c>
      <c r="H63" s="7">
        <v>0</v>
      </c>
      <c r="I63" s="7">
        <v>21206.014999999999</v>
      </c>
      <c r="J63" s="7">
        <v>163048.48300000001</v>
      </c>
      <c r="K63" s="7">
        <v>0</v>
      </c>
      <c r="L63" s="7">
        <v>375403.6</v>
      </c>
      <c r="M63" s="7">
        <v>546512.4</v>
      </c>
      <c r="N63" s="7">
        <v>0</v>
      </c>
      <c r="O63" s="7">
        <v>0</v>
      </c>
      <c r="P63" s="7">
        <v>32.536000000000001</v>
      </c>
      <c r="Q63" s="7">
        <v>1583.806</v>
      </c>
      <c r="R63" s="7">
        <v>4675.6139999999996</v>
      </c>
      <c r="S63" s="7">
        <v>42035.040999999997</v>
      </c>
      <c r="T63" s="7">
        <v>0</v>
      </c>
      <c r="U63" s="7">
        <v>0</v>
      </c>
      <c r="V63" s="7">
        <v>25977.780999999999</v>
      </c>
      <c r="W63" s="7">
        <v>51466.985000000001</v>
      </c>
      <c r="X63" s="7">
        <v>0</v>
      </c>
      <c r="Y63" s="7">
        <v>168355.69099999999</v>
      </c>
      <c r="Z63" s="7">
        <v>0</v>
      </c>
      <c r="AA63" s="7">
        <v>316379.43400000001</v>
      </c>
      <c r="AB63" s="7">
        <v>0</v>
      </c>
      <c r="AC63" s="7">
        <v>19308.617999999999</v>
      </c>
      <c r="AD63" s="7">
        <v>228.21</v>
      </c>
      <c r="AE63" s="7">
        <v>416722.93800000002</v>
      </c>
      <c r="AF63" s="7">
        <v>0</v>
      </c>
      <c r="AG63" s="7">
        <v>5.9889999999999999</v>
      </c>
      <c r="AH63" s="7">
        <v>1129806.149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20807.777999999998</v>
      </c>
      <c r="AP63" s="7">
        <v>0</v>
      </c>
      <c r="AQ63" s="7">
        <v>0</v>
      </c>
      <c r="AR63" s="7">
        <v>0</v>
      </c>
      <c r="AS63" s="7">
        <v>274.52300000000002</v>
      </c>
      <c r="AT63" s="7">
        <v>0</v>
      </c>
      <c r="AU63" s="7">
        <v>10176.093000000001</v>
      </c>
      <c r="AV63" s="7">
        <v>0</v>
      </c>
      <c r="AW63" s="7">
        <v>0</v>
      </c>
      <c r="AX63" s="7">
        <v>0</v>
      </c>
      <c r="AY63" s="7">
        <v>15033.624</v>
      </c>
      <c r="AZ63" s="7">
        <v>0</v>
      </c>
      <c r="BA63" s="7">
        <v>0</v>
      </c>
      <c r="BB63" s="7">
        <v>7167.5910000000003</v>
      </c>
      <c r="BC63" s="7">
        <v>12044.98</v>
      </c>
      <c r="BD63" s="7">
        <v>0</v>
      </c>
      <c r="BE63" s="7">
        <v>2026.097</v>
      </c>
      <c r="BF63" s="7">
        <v>2026.097</v>
      </c>
      <c r="BG63" s="7">
        <v>0</v>
      </c>
      <c r="BH63" s="7">
        <v>0</v>
      </c>
      <c r="BI63" s="7">
        <v>4001.0079999999998</v>
      </c>
      <c r="BJ63" s="21"/>
    </row>
    <row r="64" spans="1:62" ht="15.6" x14ac:dyDescent="0.3">
      <c r="A64" s="5" t="s">
        <v>112</v>
      </c>
      <c r="B64" s="5" t="s">
        <v>113</v>
      </c>
      <c r="C64" s="7">
        <v>3</v>
      </c>
      <c r="D64" s="7">
        <v>3</v>
      </c>
      <c r="E64" s="7">
        <v>5506.44</v>
      </c>
      <c r="F64" s="7">
        <v>748.64099999999996</v>
      </c>
      <c r="G64" s="7">
        <v>1163.788</v>
      </c>
      <c r="H64" s="7">
        <v>0</v>
      </c>
      <c r="I64" s="7">
        <v>114.833</v>
      </c>
      <c r="J64" s="7">
        <v>688.11300000000006</v>
      </c>
      <c r="K64" s="7">
        <v>0</v>
      </c>
      <c r="L64" s="7">
        <v>2173.5990000000002</v>
      </c>
      <c r="M64" s="7">
        <v>2748.9969999999998</v>
      </c>
      <c r="N64" s="7">
        <v>0</v>
      </c>
      <c r="O64" s="7">
        <v>0</v>
      </c>
      <c r="P64" s="7">
        <v>0.10299999999999999</v>
      </c>
      <c r="Q64" s="7">
        <v>118.44799999999999</v>
      </c>
      <c r="R64" s="7">
        <v>349.67599999999999</v>
      </c>
      <c r="S64" s="7">
        <v>323.99099999999999</v>
      </c>
      <c r="T64" s="7">
        <v>0</v>
      </c>
      <c r="U64" s="7">
        <v>0</v>
      </c>
      <c r="V64" s="7">
        <v>158.84100000000001</v>
      </c>
      <c r="W64" s="7">
        <v>224.39400000000001</v>
      </c>
      <c r="X64" s="7">
        <v>0</v>
      </c>
      <c r="Y64" s="7">
        <v>895.75099999999998</v>
      </c>
      <c r="Z64" s="7">
        <v>0</v>
      </c>
      <c r="AA64" s="7">
        <v>1822.046</v>
      </c>
      <c r="AB64" s="7">
        <v>0</v>
      </c>
      <c r="AC64" s="7">
        <v>123.34</v>
      </c>
      <c r="AD64" s="7">
        <v>0</v>
      </c>
      <c r="AE64" s="7">
        <v>1057.3679999999999</v>
      </c>
      <c r="AF64" s="7">
        <v>0</v>
      </c>
      <c r="AG64" s="7">
        <v>0</v>
      </c>
      <c r="AH64" s="7">
        <v>5133.0540000000001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123.718</v>
      </c>
      <c r="AP64" s="7">
        <v>0</v>
      </c>
      <c r="AQ64" s="7">
        <v>0</v>
      </c>
      <c r="AR64" s="7">
        <v>0</v>
      </c>
      <c r="AS64" s="7">
        <v>2.8559999999999999</v>
      </c>
      <c r="AT64" s="7">
        <v>0</v>
      </c>
      <c r="AU64" s="7">
        <v>80.215000000000003</v>
      </c>
      <c r="AV64" s="7">
        <v>0</v>
      </c>
      <c r="AW64" s="7">
        <v>0</v>
      </c>
      <c r="AX64" s="7">
        <v>0</v>
      </c>
      <c r="AY64" s="7">
        <v>90.582999999999998</v>
      </c>
      <c r="AZ64" s="7">
        <v>0</v>
      </c>
      <c r="BA64" s="7">
        <v>0</v>
      </c>
      <c r="BB64" s="7">
        <v>41.841000000000001</v>
      </c>
      <c r="BC64" s="7">
        <v>70.838999999999999</v>
      </c>
      <c r="BD64" s="7">
        <v>0</v>
      </c>
      <c r="BE64" s="7">
        <v>11.598000000000001</v>
      </c>
      <c r="BF64" s="7">
        <v>11.598000000000001</v>
      </c>
      <c r="BG64" s="7">
        <v>0</v>
      </c>
      <c r="BH64" s="7">
        <v>0</v>
      </c>
      <c r="BI64" s="7">
        <v>24.780999999999999</v>
      </c>
      <c r="BJ64" s="21"/>
    </row>
    <row r="65" spans="1:62" ht="15.6" x14ac:dyDescent="0.3">
      <c r="A65" s="5" t="s">
        <v>114</v>
      </c>
      <c r="B65" s="5" t="s">
        <v>115</v>
      </c>
      <c r="C65" s="7">
        <v>3</v>
      </c>
      <c r="D65" s="7">
        <v>3</v>
      </c>
      <c r="E65" s="7">
        <v>172336.747</v>
      </c>
      <c r="F65" s="7">
        <v>22038.941999999999</v>
      </c>
      <c r="G65" s="7">
        <v>37977.705000000002</v>
      </c>
      <c r="H65" s="7">
        <v>0</v>
      </c>
      <c r="I65" s="7">
        <v>3641.683</v>
      </c>
      <c r="J65" s="7">
        <v>23902.166000000001</v>
      </c>
      <c r="K65" s="7">
        <v>17864.156999999999</v>
      </c>
      <c r="L65" s="7">
        <v>67428.407000000007</v>
      </c>
      <c r="M65" s="7">
        <v>89425.588000000003</v>
      </c>
      <c r="N65" s="7">
        <v>0</v>
      </c>
      <c r="O65" s="7">
        <v>0</v>
      </c>
      <c r="P65" s="7">
        <v>4.0510000000000002</v>
      </c>
      <c r="Q65" s="7">
        <v>621.14499999999998</v>
      </c>
      <c r="R65" s="7">
        <v>1833.7049999999999</v>
      </c>
      <c r="S65" s="7">
        <v>9245.7630000000008</v>
      </c>
      <c r="T65" s="7">
        <v>0</v>
      </c>
      <c r="U65" s="7">
        <v>13774.075999999999</v>
      </c>
      <c r="V65" s="7">
        <v>4843.3159999999998</v>
      </c>
      <c r="W65" s="7">
        <v>7696.0330000000004</v>
      </c>
      <c r="X65" s="7">
        <v>0</v>
      </c>
      <c r="Y65" s="7">
        <v>28576.813999999998</v>
      </c>
      <c r="Z65" s="7">
        <v>0</v>
      </c>
      <c r="AA65" s="7">
        <v>56620.553</v>
      </c>
      <c r="AB65" s="7">
        <v>0</v>
      </c>
      <c r="AC65" s="7">
        <v>3710.9380000000001</v>
      </c>
      <c r="AD65" s="7">
        <v>0</v>
      </c>
      <c r="AE65" s="7">
        <v>46336.925999999999</v>
      </c>
      <c r="AF65" s="7">
        <v>0</v>
      </c>
      <c r="AG65" s="7">
        <v>0</v>
      </c>
      <c r="AH65" s="7">
        <v>173397.74400000001</v>
      </c>
      <c r="AI65" s="7">
        <v>0</v>
      </c>
      <c r="AJ65" s="7">
        <v>0</v>
      </c>
      <c r="AK65" s="7">
        <v>0</v>
      </c>
      <c r="AL65" s="7">
        <v>0</v>
      </c>
      <c r="AM65" s="7">
        <v>3490.3429999999998</v>
      </c>
      <c r="AN65" s="7">
        <v>0</v>
      </c>
      <c r="AO65" s="7">
        <v>3805.56</v>
      </c>
      <c r="AP65" s="7">
        <v>0</v>
      </c>
      <c r="AQ65" s="7">
        <v>0</v>
      </c>
      <c r="AR65" s="7">
        <v>0</v>
      </c>
      <c r="AS65" s="7">
        <v>75.953000000000003</v>
      </c>
      <c r="AT65" s="7">
        <v>0</v>
      </c>
      <c r="AU65" s="7">
        <v>2371.404</v>
      </c>
      <c r="AV65" s="7">
        <v>0</v>
      </c>
      <c r="AW65" s="7">
        <v>0</v>
      </c>
      <c r="AX65" s="7">
        <v>0</v>
      </c>
      <c r="AY65" s="7">
        <v>2774.694</v>
      </c>
      <c r="AZ65" s="7">
        <v>0</v>
      </c>
      <c r="BA65" s="7">
        <v>0</v>
      </c>
      <c r="BB65" s="7">
        <v>1294.5840000000001</v>
      </c>
      <c r="BC65" s="7">
        <v>2186.5659999999998</v>
      </c>
      <c r="BD65" s="7">
        <v>0</v>
      </c>
      <c r="BE65" s="7">
        <v>361.11399999999998</v>
      </c>
      <c r="BF65" s="7">
        <v>361.11399999999998</v>
      </c>
      <c r="BG65" s="7">
        <v>0</v>
      </c>
      <c r="BH65" s="7">
        <v>0</v>
      </c>
      <c r="BI65" s="7">
        <v>752.61500000000001</v>
      </c>
      <c r="BJ65" s="21"/>
    </row>
    <row r="66" spans="1:62" ht="15.6" x14ac:dyDescent="0.3">
      <c r="A66" s="5" t="s">
        <v>116</v>
      </c>
      <c r="B66" s="5" t="s">
        <v>117</v>
      </c>
      <c r="C66" s="7">
        <v>3</v>
      </c>
      <c r="D66" s="7">
        <v>3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21"/>
    </row>
    <row r="67" spans="1:62" ht="15.6" x14ac:dyDescent="0.3">
      <c r="A67" s="5" t="s">
        <v>118</v>
      </c>
      <c r="B67" s="5" t="s">
        <v>119</v>
      </c>
      <c r="C67" s="7">
        <v>3</v>
      </c>
      <c r="D67" s="7">
        <v>3</v>
      </c>
      <c r="E67" s="7">
        <v>189036.83600000001</v>
      </c>
      <c r="F67" s="7">
        <v>26014.887999999999</v>
      </c>
      <c r="G67" s="7">
        <v>39936.862999999998</v>
      </c>
      <c r="H67" s="7">
        <v>3499.0239999999999</v>
      </c>
      <c r="I67" s="7">
        <v>3901.3139999999999</v>
      </c>
      <c r="J67" s="7">
        <v>23491.725999999999</v>
      </c>
      <c r="K67" s="7">
        <v>0</v>
      </c>
      <c r="L67" s="7">
        <v>77820.148000000001</v>
      </c>
      <c r="M67" s="7">
        <v>94016.066000000006</v>
      </c>
      <c r="N67" s="7">
        <v>0</v>
      </c>
      <c r="O67" s="7">
        <v>0</v>
      </c>
      <c r="P67" s="7">
        <v>3.3519999999999999</v>
      </c>
      <c r="Q67" s="7">
        <v>524.52499999999998</v>
      </c>
      <c r="R67" s="7">
        <v>1548.47</v>
      </c>
      <c r="S67" s="7">
        <v>11208.857</v>
      </c>
      <c r="T67" s="7">
        <v>0</v>
      </c>
      <c r="U67" s="7">
        <v>0</v>
      </c>
      <c r="V67" s="7">
        <v>5434.45</v>
      </c>
      <c r="W67" s="7">
        <v>7509.9279999999999</v>
      </c>
      <c r="X67" s="7">
        <v>0</v>
      </c>
      <c r="Y67" s="7">
        <v>30544.994999999999</v>
      </c>
      <c r="Z67" s="7">
        <v>0</v>
      </c>
      <c r="AA67" s="7">
        <v>62224.627</v>
      </c>
      <c r="AB67" s="7">
        <v>0</v>
      </c>
      <c r="AC67" s="7">
        <v>4229.6440000000002</v>
      </c>
      <c r="AD67" s="7">
        <v>0</v>
      </c>
      <c r="AE67" s="7">
        <v>34313.661</v>
      </c>
      <c r="AF67" s="7">
        <v>0</v>
      </c>
      <c r="AG67" s="7">
        <v>0</v>
      </c>
      <c r="AH67" s="7">
        <v>175429.59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4226.2749999999996</v>
      </c>
      <c r="AP67" s="7">
        <v>0</v>
      </c>
      <c r="AQ67" s="7">
        <v>0</v>
      </c>
      <c r="AR67" s="7">
        <v>0</v>
      </c>
      <c r="AS67" s="7">
        <v>99.899000000000001</v>
      </c>
      <c r="AT67" s="7">
        <v>0</v>
      </c>
      <c r="AU67" s="7">
        <v>2838.152</v>
      </c>
      <c r="AV67" s="7">
        <v>0</v>
      </c>
      <c r="AW67" s="7">
        <v>0</v>
      </c>
      <c r="AX67" s="7">
        <v>0</v>
      </c>
      <c r="AY67" s="7">
        <v>3096.6509999999998</v>
      </c>
      <c r="AZ67" s="7">
        <v>0</v>
      </c>
      <c r="BA67" s="7">
        <v>0</v>
      </c>
      <c r="BB67" s="7">
        <v>1427.855</v>
      </c>
      <c r="BC67" s="7">
        <v>2418.4189999999999</v>
      </c>
      <c r="BD67" s="7">
        <v>0</v>
      </c>
      <c r="BE67" s="7">
        <v>395.334</v>
      </c>
      <c r="BF67" s="7">
        <v>395.334</v>
      </c>
      <c r="BG67" s="7">
        <v>0</v>
      </c>
      <c r="BH67" s="7">
        <v>0</v>
      </c>
      <c r="BI67" s="7">
        <v>848.42100000000005</v>
      </c>
      <c r="BJ67" s="21"/>
    </row>
    <row r="68" spans="1:62" ht="15.6" x14ac:dyDescent="0.3">
      <c r="A68" s="5" t="s">
        <v>120</v>
      </c>
      <c r="B68" s="5" t="s">
        <v>121</v>
      </c>
      <c r="C68" s="7">
        <v>3</v>
      </c>
      <c r="D68" s="7">
        <v>3</v>
      </c>
      <c r="E68" s="7">
        <v>20640.678</v>
      </c>
      <c r="F68" s="7">
        <v>2836.2640000000001</v>
      </c>
      <c r="G68" s="7">
        <v>4328.893</v>
      </c>
      <c r="H68" s="7">
        <v>0</v>
      </c>
      <c r="I68" s="7">
        <v>429.416</v>
      </c>
      <c r="J68" s="7">
        <v>2528.3339999999998</v>
      </c>
      <c r="K68" s="7">
        <v>0</v>
      </c>
      <c r="L68" s="7">
        <v>8160.5820000000003</v>
      </c>
      <c r="M68" s="7">
        <v>10231.409</v>
      </c>
      <c r="N68" s="7">
        <v>0</v>
      </c>
      <c r="O68" s="7">
        <v>0</v>
      </c>
      <c r="P68" s="7">
        <v>0.36899999999999999</v>
      </c>
      <c r="Q68" s="7">
        <v>56.226999999999997</v>
      </c>
      <c r="R68" s="7">
        <v>165.988</v>
      </c>
      <c r="S68" s="7">
        <v>1233.7550000000001</v>
      </c>
      <c r="T68" s="7">
        <v>0</v>
      </c>
      <c r="U68" s="7">
        <v>0</v>
      </c>
      <c r="V68" s="7">
        <v>598.16800000000001</v>
      </c>
      <c r="W68" s="7">
        <v>826.61500000000001</v>
      </c>
      <c r="X68" s="7">
        <v>0</v>
      </c>
      <c r="Y68" s="7">
        <v>3345.9949999999999</v>
      </c>
      <c r="Z68" s="7">
        <v>0</v>
      </c>
      <c r="AA68" s="7">
        <v>6838.5950000000003</v>
      </c>
      <c r="AB68" s="7">
        <v>0</v>
      </c>
      <c r="AC68" s="7">
        <v>465.55599999999998</v>
      </c>
      <c r="AD68" s="7">
        <v>0</v>
      </c>
      <c r="AE68" s="7">
        <v>3677.864</v>
      </c>
      <c r="AF68" s="7">
        <v>0</v>
      </c>
      <c r="AG68" s="7">
        <v>0</v>
      </c>
      <c r="AH68" s="7">
        <v>18968.222000000002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465.185</v>
      </c>
      <c r="AP68" s="7">
        <v>0</v>
      </c>
      <c r="AQ68" s="7">
        <v>0</v>
      </c>
      <c r="AR68" s="7">
        <v>0</v>
      </c>
      <c r="AS68" s="7">
        <v>10.996</v>
      </c>
      <c r="AT68" s="7">
        <v>0</v>
      </c>
      <c r="AU68" s="7">
        <v>314.83800000000002</v>
      </c>
      <c r="AV68" s="7">
        <v>0</v>
      </c>
      <c r="AW68" s="7">
        <v>0</v>
      </c>
      <c r="AX68" s="7">
        <v>0</v>
      </c>
      <c r="AY68" s="7">
        <v>340.84699999999998</v>
      </c>
      <c r="AZ68" s="7">
        <v>0</v>
      </c>
      <c r="BA68" s="7">
        <v>0</v>
      </c>
      <c r="BB68" s="7">
        <v>157.16399999999999</v>
      </c>
      <c r="BC68" s="7">
        <v>266.19499999999999</v>
      </c>
      <c r="BD68" s="7">
        <v>0</v>
      </c>
      <c r="BE68" s="7">
        <v>43.514000000000003</v>
      </c>
      <c r="BF68" s="7">
        <v>43.514000000000003</v>
      </c>
      <c r="BG68" s="7">
        <v>0</v>
      </c>
      <c r="BH68" s="7">
        <v>0</v>
      </c>
      <c r="BI68" s="7">
        <v>93.385000000000005</v>
      </c>
      <c r="BJ68" s="21"/>
    </row>
    <row r="69" spans="1:62" ht="15.6" x14ac:dyDescent="0.3">
      <c r="A69" s="5" t="s">
        <v>122</v>
      </c>
      <c r="B69" s="5" t="s">
        <v>123</v>
      </c>
      <c r="C69" s="7">
        <v>3</v>
      </c>
      <c r="D69" s="7">
        <v>3</v>
      </c>
      <c r="E69" s="7">
        <v>169594.717</v>
      </c>
      <c r="F69" s="7">
        <v>23304.244999999999</v>
      </c>
      <c r="G69" s="7">
        <v>35568.47</v>
      </c>
      <c r="H69" s="7">
        <v>0</v>
      </c>
      <c r="I69" s="7">
        <v>3528.3119999999999</v>
      </c>
      <c r="J69" s="7">
        <v>20774.125</v>
      </c>
      <c r="K69" s="7">
        <v>3426.3139999999999</v>
      </c>
      <c r="L69" s="7">
        <v>67051.653000000006</v>
      </c>
      <c r="M69" s="7">
        <v>84066.667000000001</v>
      </c>
      <c r="N69" s="7">
        <v>0</v>
      </c>
      <c r="O69" s="7">
        <v>0</v>
      </c>
      <c r="P69" s="7">
        <v>3.0310000000000001</v>
      </c>
      <c r="Q69" s="7">
        <v>812.54</v>
      </c>
      <c r="R69" s="7">
        <v>2398.73</v>
      </c>
      <c r="S69" s="7">
        <v>10137.186</v>
      </c>
      <c r="T69" s="7">
        <v>0</v>
      </c>
      <c r="U69" s="7">
        <v>2641.8440000000001</v>
      </c>
      <c r="V69" s="7">
        <v>4914.8649999999998</v>
      </c>
      <c r="W69" s="7">
        <v>6791.9089999999997</v>
      </c>
      <c r="X69" s="7">
        <v>0</v>
      </c>
      <c r="Y69" s="7">
        <v>27492.46</v>
      </c>
      <c r="Z69" s="7">
        <v>0</v>
      </c>
      <c r="AA69" s="7">
        <v>56189.508999999998</v>
      </c>
      <c r="AB69" s="7">
        <v>0</v>
      </c>
      <c r="AC69" s="7">
        <v>3825.25</v>
      </c>
      <c r="AD69" s="7">
        <v>0</v>
      </c>
      <c r="AE69" s="7">
        <v>30219.274000000001</v>
      </c>
      <c r="AF69" s="7">
        <v>0</v>
      </c>
      <c r="AG69" s="7">
        <v>0</v>
      </c>
      <c r="AH69" s="7">
        <v>155871.46599999999</v>
      </c>
      <c r="AI69" s="7">
        <v>0</v>
      </c>
      <c r="AJ69" s="7">
        <v>0</v>
      </c>
      <c r="AK69" s="7">
        <v>0</v>
      </c>
      <c r="AL69" s="7">
        <v>0</v>
      </c>
      <c r="AM69" s="7">
        <v>669.44200000000001</v>
      </c>
      <c r="AN69" s="7">
        <v>0</v>
      </c>
      <c r="AO69" s="7">
        <v>3822.2040000000002</v>
      </c>
      <c r="AP69" s="7">
        <v>0</v>
      </c>
      <c r="AQ69" s="7">
        <v>0</v>
      </c>
      <c r="AR69" s="7">
        <v>0</v>
      </c>
      <c r="AS69" s="7">
        <v>90.346999999999994</v>
      </c>
      <c r="AT69" s="7">
        <v>0</v>
      </c>
      <c r="AU69" s="7">
        <v>2582.5619999999999</v>
      </c>
      <c r="AV69" s="7">
        <v>0</v>
      </c>
      <c r="AW69" s="7">
        <v>0</v>
      </c>
      <c r="AX69" s="7">
        <v>0</v>
      </c>
      <c r="AY69" s="7">
        <v>2800.5819999999999</v>
      </c>
      <c r="AZ69" s="7">
        <v>0</v>
      </c>
      <c r="BA69" s="7">
        <v>0</v>
      </c>
      <c r="BB69" s="7">
        <v>1291.3389999999999</v>
      </c>
      <c r="BC69" s="7">
        <v>2187.1959999999999</v>
      </c>
      <c r="BD69" s="7">
        <v>0</v>
      </c>
      <c r="BE69" s="7">
        <v>357.536</v>
      </c>
      <c r="BF69" s="7">
        <v>357.536</v>
      </c>
      <c r="BG69" s="7">
        <v>0</v>
      </c>
      <c r="BH69" s="7">
        <v>0</v>
      </c>
      <c r="BI69" s="7">
        <v>767.30399999999997</v>
      </c>
      <c r="BJ69" s="21"/>
    </row>
    <row r="70" spans="1:62" ht="15.6" x14ac:dyDescent="0.3">
      <c r="A70" s="5" t="s">
        <v>124</v>
      </c>
      <c r="B70" s="5" t="s">
        <v>125</v>
      </c>
      <c r="C70" s="7">
        <v>3</v>
      </c>
      <c r="D70" s="7">
        <v>3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21"/>
    </row>
    <row r="71" spans="1:62" ht="15.6" x14ac:dyDescent="0.3">
      <c r="A71" s="5" t="s">
        <v>126</v>
      </c>
      <c r="B71" s="5" t="s">
        <v>127</v>
      </c>
      <c r="C71" s="7">
        <v>3</v>
      </c>
      <c r="D71" s="7">
        <v>3</v>
      </c>
      <c r="E71" s="7">
        <v>48253.451000000001</v>
      </c>
      <c r="F71" s="7">
        <v>6630.5739999999996</v>
      </c>
      <c r="G71" s="7">
        <v>10120.017</v>
      </c>
      <c r="H71" s="7">
        <v>25070.9</v>
      </c>
      <c r="I71" s="7">
        <v>1003.883</v>
      </c>
      <c r="J71" s="7">
        <v>5910.6980000000003</v>
      </c>
      <c r="K71" s="7">
        <v>0</v>
      </c>
      <c r="L71" s="7">
        <v>19077.68</v>
      </c>
      <c r="M71" s="7">
        <v>23918.828000000001</v>
      </c>
      <c r="N71" s="7">
        <v>0</v>
      </c>
      <c r="O71" s="7">
        <v>0</v>
      </c>
      <c r="P71" s="7">
        <v>0.86199999999999999</v>
      </c>
      <c r="Q71" s="7">
        <v>0</v>
      </c>
      <c r="R71" s="7">
        <v>0</v>
      </c>
      <c r="S71" s="7">
        <v>2884.2539999999999</v>
      </c>
      <c r="T71" s="7">
        <v>0</v>
      </c>
      <c r="U71" s="7">
        <v>0</v>
      </c>
      <c r="V71" s="7">
        <v>1398.3879999999999</v>
      </c>
      <c r="W71" s="7">
        <v>1932.4480000000001</v>
      </c>
      <c r="X71" s="7">
        <v>0</v>
      </c>
      <c r="Y71" s="7">
        <v>7822.2139999999999</v>
      </c>
      <c r="Z71" s="7">
        <v>0</v>
      </c>
      <c r="AA71" s="7">
        <v>15987.159</v>
      </c>
      <c r="AB71" s="7">
        <v>0</v>
      </c>
      <c r="AC71" s="7">
        <v>1088.3679999999999</v>
      </c>
      <c r="AD71" s="7">
        <v>0</v>
      </c>
      <c r="AE71" s="7">
        <v>8598.0519999999997</v>
      </c>
      <c r="AF71" s="7">
        <v>0</v>
      </c>
      <c r="AG71" s="7">
        <v>0</v>
      </c>
      <c r="AH71" s="7">
        <v>44343.610999999997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1087.502</v>
      </c>
      <c r="AP71" s="7">
        <v>0</v>
      </c>
      <c r="AQ71" s="7">
        <v>0</v>
      </c>
      <c r="AR71" s="7">
        <v>0</v>
      </c>
      <c r="AS71" s="7">
        <v>25.706</v>
      </c>
      <c r="AT71" s="7">
        <v>0</v>
      </c>
      <c r="AU71" s="7">
        <v>715.88800000000003</v>
      </c>
      <c r="AV71" s="7">
        <v>0</v>
      </c>
      <c r="AW71" s="7">
        <v>0</v>
      </c>
      <c r="AX71" s="7">
        <v>0</v>
      </c>
      <c r="AY71" s="7">
        <v>796.82799999999997</v>
      </c>
      <c r="AZ71" s="7">
        <v>0</v>
      </c>
      <c r="BA71" s="7">
        <v>0</v>
      </c>
      <c r="BB71" s="7">
        <v>367.41399999999999</v>
      </c>
      <c r="BC71" s="7">
        <v>622.30600000000004</v>
      </c>
      <c r="BD71" s="7">
        <v>0</v>
      </c>
      <c r="BE71" s="7">
        <v>101.727</v>
      </c>
      <c r="BF71" s="7">
        <v>101.727</v>
      </c>
      <c r="BG71" s="7">
        <v>0</v>
      </c>
      <c r="BH71" s="7">
        <v>0</v>
      </c>
      <c r="BI71" s="7">
        <v>218.315</v>
      </c>
      <c r="BJ71" s="21"/>
    </row>
    <row r="72" spans="1:62" ht="15.6" x14ac:dyDescent="0.3">
      <c r="A72" s="5" t="s">
        <v>128</v>
      </c>
      <c r="B72" s="5" t="s">
        <v>129</v>
      </c>
      <c r="C72" s="7">
        <v>3</v>
      </c>
      <c r="D72" s="7">
        <v>3</v>
      </c>
      <c r="E72" s="7">
        <v>19530.323</v>
      </c>
      <c r="F72" s="7">
        <v>2683.6889999999999</v>
      </c>
      <c r="G72" s="7">
        <v>4096.0219999999999</v>
      </c>
      <c r="H72" s="7">
        <v>3120.9</v>
      </c>
      <c r="I72" s="7">
        <v>406.31599999999997</v>
      </c>
      <c r="J72" s="7">
        <v>2392.3229999999999</v>
      </c>
      <c r="K72" s="7">
        <v>0</v>
      </c>
      <c r="L72" s="7">
        <v>7721.5870000000004</v>
      </c>
      <c r="M72" s="7">
        <v>9681.0159999999996</v>
      </c>
      <c r="N72" s="7">
        <v>0</v>
      </c>
      <c r="O72" s="7">
        <v>0</v>
      </c>
      <c r="P72" s="7">
        <v>0.34899999999999998</v>
      </c>
      <c r="Q72" s="7">
        <v>0</v>
      </c>
      <c r="R72" s="7">
        <v>0</v>
      </c>
      <c r="S72" s="7">
        <v>1167.386</v>
      </c>
      <c r="T72" s="7">
        <v>0</v>
      </c>
      <c r="U72" s="7">
        <v>0</v>
      </c>
      <c r="V72" s="7">
        <v>565.99</v>
      </c>
      <c r="W72" s="7">
        <v>782.14800000000002</v>
      </c>
      <c r="X72" s="7">
        <v>0</v>
      </c>
      <c r="Y72" s="7">
        <v>3165.9989999999998</v>
      </c>
      <c r="Z72" s="7">
        <v>0</v>
      </c>
      <c r="AA72" s="7">
        <v>6470.7160000000003</v>
      </c>
      <c r="AB72" s="7">
        <v>0</v>
      </c>
      <c r="AC72" s="7">
        <v>440.51100000000002</v>
      </c>
      <c r="AD72" s="7">
        <v>0</v>
      </c>
      <c r="AE72" s="7">
        <v>3480.0149999999999</v>
      </c>
      <c r="AF72" s="7">
        <v>0</v>
      </c>
      <c r="AG72" s="7">
        <v>0</v>
      </c>
      <c r="AH72" s="7">
        <v>17947.835999999999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440.16</v>
      </c>
      <c r="AP72" s="7">
        <v>0</v>
      </c>
      <c r="AQ72" s="7">
        <v>0</v>
      </c>
      <c r="AR72" s="7">
        <v>0</v>
      </c>
      <c r="AS72" s="7">
        <v>10.404</v>
      </c>
      <c r="AT72" s="7">
        <v>0</v>
      </c>
      <c r="AU72" s="7">
        <v>289.75200000000001</v>
      </c>
      <c r="AV72" s="7">
        <v>0</v>
      </c>
      <c r="AW72" s="7">
        <v>0</v>
      </c>
      <c r="AX72" s="7">
        <v>0</v>
      </c>
      <c r="AY72" s="7">
        <v>322.512</v>
      </c>
      <c r="AZ72" s="7">
        <v>0</v>
      </c>
      <c r="BA72" s="7">
        <v>0</v>
      </c>
      <c r="BB72" s="7">
        <v>148.709</v>
      </c>
      <c r="BC72" s="7">
        <v>251.875</v>
      </c>
      <c r="BD72" s="7">
        <v>0</v>
      </c>
      <c r="BE72" s="7">
        <v>41.173000000000002</v>
      </c>
      <c r="BF72" s="7">
        <v>41.173000000000002</v>
      </c>
      <c r="BG72" s="7">
        <v>0</v>
      </c>
      <c r="BH72" s="7">
        <v>0</v>
      </c>
      <c r="BI72" s="7">
        <v>88.361999999999995</v>
      </c>
      <c r="BJ72" s="21"/>
    </row>
    <row r="73" spans="1:62" ht="15.6" x14ac:dyDescent="0.3">
      <c r="A73" s="5" t="s">
        <v>130</v>
      </c>
      <c r="B73" s="5" t="s">
        <v>131</v>
      </c>
      <c r="C73" s="7">
        <v>3</v>
      </c>
      <c r="D73" s="7">
        <v>3</v>
      </c>
      <c r="E73" s="7">
        <v>67763.157999999996</v>
      </c>
      <c r="F73" s="7">
        <v>9317.2579999999998</v>
      </c>
      <c r="G73" s="7">
        <v>14185.906000000001</v>
      </c>
      <c r="H73" s="7">
        <v>23349.645</v>
      </c>
      <c r="I73" s="7">
        <v>1408.049</v>
      </c>
      <c r="J73" s="7">
        <v>8285.4220000000005</v>
      </c>
      <c r="K73" s="7">
        <v>5564.8959999999997</v>
      </c>
      <c r="L73" s="7">
        <v>27026.146000000001</v>
      </c>
      <c r="M73" s="7">
        <v>33544.803</v>
      </c>
      <c r="N73" s="7">
        <v>0</v>
      </c>
      <c r="O73" s="7">
        <v>0</v>
      </c>
      <c r="P73" s="7">
        <v>1.2130000000000001</v>
      </c>
      <c r="Q73" s="7">
        <v>2.081</v>
      </c>
      <c r="R73" s="7">
        <v>6.1429999999999998</v>
      </c>
      <c r="S73" s="7">
        <v>4050.4360000000001</v>
      </c>
      <c r="T73" s="7">
        <v>0</v>
      </c>
      <c r="U73" s="7">
        <v>4290.7870000000003</v>
      </c>
      <c r="V73" s="7">
        <v>1960.2139999999999</v>
      </c>
      <c r="W73" s="7">
        <v>2711.4259999999999</v>
      </c>
      <c r="X73" s="7">
        <v>0</v>
      </c>
      <c r="Y73" s="7">
        <v>11022.973</v>
      </c>
      <c r="Z73" s="7">
        <v>0</v>
      </c>
      <c r="AA73" s="7">
        <v>22410.272000000001</v>
      </c>
      <c r="AB73" s="7">
        <v>0</v>
      </c>
      <c r="AC73" s="7">
        <v>1530.17</v>
      </c>
      <c r="AD73" s="7">
        <v>0</v>
      </c>
      <c r="AE73" s="7">
        <v>12194.755999999999</v>
      </c>
      <c r="AF73" s="7">
        <v>108.24299999999999</v>
      </c>
      <c r="AG73" s="7">
        <v>0</v>
      </c>
      <c r="AH73" s="7">
        <v>62667.26</v>
      </c>
      <c r="AI73" s="7">
        <v>195.24799999999999</v>
      </c>
      <c r="AJ73" s="7">
        <v>0</v>
      </c>
      <c r="AK73" s="7">
        <v>0</v>
      </c>
      <c r="AL73" s="7">
        <v>0</v>
      </c>
      <c r="AM73" s="7">
        <v>1087.2829999999999</v>
      </c>
      <c r="AN73" s="7">
        <v>0</v>
      </c>
      <c r="AO73" s="7">
        <v>1528.9580000000001</v>
      </c>
      <c r="AP73" s="7">
        <v>0</v>
      </c>
      <c r="AQ73" s="7">
        <v>38.040999999999997</v>
      </c>
      <c r="AR73" s="7">
        <v>0</v>
      </c>
      <c r="AS73" s="7">
        <v>36.106999999999999</v>
      </c>
      <c r="AT73" s="7">
        <v>0</v>
      </c>
      <c r="AU73" s="7">
        <v>1003.995</v>
      </c>
      <c r="AV73" s="7">
        <v>0</v>
      </c>
      <c r="AW73" s="7">
        <v>0</v>
      </c>
      <c r="AX73" s="7">
        <v>0</v>
      </c>
      <c r="AY73" s="7">
        <v>1118.4159999999999</v>
      </c>
      <c r="AZ73" s="7">
        <v>45.837000000000003</v>
      </c>
      <c r="BA73" s="7">
        <v>0</v>
      </c>
      <c r="BB73" s="7">
        <v>516.55499999999995</v>
      </c>
      <c r="BC73" s="7">
        <v>872.327</v>
      </c>
      <c r="BD73" s="7">
        <v>56.152000000000001</v>
      </c>
      <c r="BE73" s="7">
        <v>143.00700000000001</v>
      </c>
      <c r="BF73" s="7">
        <v>143.00700000000001</v>
      </c>
      <c r="BG73" s="7">
        <v>19.009</v>
      </c>
      <c r="BH73" s="7">
        <v>0</v>
      </c>
      <c r="BI73" s="7">
        <v>306.02699999999999</v>
      </c>
      <c r="BJ73" s="21"/>
    </row>
    <row r="74" spans="1:62" ht="15.6" x14ac:dyDescent="0.3">
      <c r="A74" s="5" t="s">
        <v>132</v>
      </c>
      <c r="B74" s="5" t="s">
        <v>133</v>
      </c>
      <c r="C74" s="7">
        <v>3</v>
      </c>
      <c r="D74" s="7">
        <v>3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21"/>
    </row>
    <row r="75" spans="1:62" ht="15.6" x14ac:dyDescent="0.3">
      <c r="A75" s="5" t="s">
        <v>134</v>
      </c>
      <c r="B75" s="5" t="s">
        <v>135</v>
      </c>
      <c r="C75" s="7">
        <v>6</v>
      </c>
      <c r="D75" s="7">
        <v>6</v>
      </c>
      <c r="E75" s="7">
        <v>63770.078999999998</v>
      </c>
      <c r="F75" s="7">
        <v>6417.04</v>
      </c>
      <c r="G75" s="7">
        <v>15867.46</v>
      </c>
      <c r="H75" s="7">
        <v>1918.0830000000001</v>
      </c>
      <c r="I75" s="7">
        <v>1322.0540000000001</v>
      </c>
      <c r="J75" s="7">
        <v>11936.788</v>
      </c>
      <c r="K75" s="7">
        <v>0</v>
      </c>
      <c r="L75" s="7">
        <v>27947.655999999999</v>
      </c>
      <c r="M75" s="7">
        <v>35387.446000000004</v>
      </c>
      <c r="N75" s="7">
        <v>0</v>
      </c>
      <c r="O75" s="7">
        <v>0</v>
      </c>
      <c r="P75" s="7">
        <v>33.82</v>
      </c>
      <c r="Q75" s="7">
        <v>0</v>
      </c>
      <c r="R75" s="7">
        <v>128.28</v>
      </c>
      <c r="S75" s="7">
        <v>1885.075</v>
      </c>
      <c r="T75" s="7">
        <v>0</v>
      </c>
      <c r="U75" s="7">
        <v>0</v>
      </c>
      <c r="V75" s="7">
        <v>1429.115</v>
      </c>
      <c r="W75" s="7">
        <v>3291.2049999999999</v>
      </c>
      <c r="X75" s="7">
        <v>0</v>
      </c>
      <c r="Y75" s="7">
        <v>11453.527</v>
      </c>
      <c r="Z75" s="7">
        <v>0</v>
      </c>
      <c r="AA75" s="7">
        <v>17465.268</v>
      </c>
      <c r="AB75" s="7">
        <v>0</v>
      </c>
      <c r="AC75" s="7">
        <v>1093.8869999999999</v>
      </c>
      <c r="AD75" s="7">
        <v>0</v>
      </c>
      <c r="AE75" s="7">
        <v>40097.137000000002</v>
      </c>
      <c r="AF75" s="7">
        <v>0</v>
      </c>
      <c r="AG75" s="7">
        <v>0</v>
      </c>
      <c r="AH75" s="7">
        <v>88157.171000000002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1080.7529999999999</v>
      </c>
      <c r="AP75" s="7">
        <v>0</v>
      </c>
      <c r="AQ75" s="7">
        <v>0</v>
      </c>
      <c r="AR75" s="7">
        <v>0</v>
      </c>
      <c r="AS75" s="7">
        <v>9.3309999999999995</v>
      </c>
      <c r="AT75" s="7">
        <v>0</v>
      </c>
      <c r="AU75" s="7">
        <v>420.161</v>
      </c>
      <c r="AV75" s="7">
        <v>0</v>
      </c>
      <c r="AW75" s="7">
        <v>0</v>
      </c>
      <c r="AX75" s="7">
        <v>0</v>
      </c>
      <c r="AY75" s="7">
        <v>776.02499999999998</v>
      </c>
      <c r="AZ75" s="7">
        <v>0</v>
      </c>
      <c r="BA75" s="7">
        <v>0</v>
      </c>
      <c r="BB75" s="7">
        <v>375.40499999999997</v>
      </c>
      <c r="BC75" s="7">
        <v>628.745</v>
      </c>
      <c r="BD75" s="7">
        <v>0</v>
      </c>
      <c r="BE75" s="7">
        <v>107.042</v>
      </c>
      <c r="BF75" s="7">
        <v>107.042</v>
      </c>
      <c r="BG75" s="7">
        <v>0</v>
      </c>
      <c r="BH75" s="7">
        <v>0</v>
      </c>
      <c r="BI75" s="7">
        <v>203.81800000000001</v>
      </c>
      <c r="BJ75" s="21"/>
    </row>
    <row r="76" spans="1:62" ht="15.6" x14ac:dyDescent="0.3">
      <c r="A76" s="5" t="s">
        <v>136</v>
      </c>
      <c r="B76" s="5" t="s">
        <v>137</v>
      </c>
      <c r="C76" s="7">
        <v>6</v>
      </c>
      <c r="D76" s="7">
        <v>6</v>
      </c>
      <c r="E76" s="7">
        <v>756.64099999999996</v>
      </c>
      <c r="F76" s="7">
        <v>67.481999999999999</v>
      </c>
      <c r="G76" s="7">
        <v>95.381</v>
      </c>
      <c r="H76" s="7">
        <v>0</v>
      </c>
      <c r="I76" s="7">
        <v>16.620999999999999</v>
      </c>
      <c r="J76" s="7">
        <v>57.981000000000002</v>
      </c>
      <c r="K76" s="7">
        <v>0</v>
      </c>
      <c r="L76" s="7">
        <v>547.12900000000002</v>
      </c>
      <c r="M76" s="7">
        <v>257.99200000000002</v>
      </c>
      <c r="N76" s="7">
        <v>0</v>
      </c>
      <c r="O76" s="7">
        <v>0</v>
      </c>
      <c r="P76" s="7">
        <v>3.012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9.2430000000000003</v>
      </c>
      <c r="W76" s="7">
        <v>27.437000000000001</v>
      </c>
      <c r="X76" s="7">
        <v>0</v>
      </c>
      <c r="Y76" s="7">
        <v>216.68100000000001</v>
      </c>
      <c r="Z76" s="7">
        <v>0</v>
      </c>
      <c r="AA76" s="7">
        <v>75.350999999999999</v>
      </c>
      <c r="AB76" s="7">
        <v>0</v>
      </c>
      <c r="AC76" s="7">
        <v>11.887</v>
      </c>
      <c r="AD76" s="7">
        <v>0</v>
      </c>
      <c r="AE76" s="7">
        <v>698.947</v>
      </c>
      <c r="AF76" s="7">
        <v>0</v>
      </c>
      <c r="AG76" s="7">
        <v>0</v>
      </c>
      <c r="AH76" s="7">
        <v>1588.751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21"/>
    </row>
    <row r="77" spans="1:62" ht="15.6" x14ac:dyDescent="0.3">
      <c r="A77" s="5" t="s">
        <v>138</v>
      </c>
      <c r="B77" s="5" t="s">
        <v>139</v>
      </c>
      <c r="C77" s="7">
        <v>6</v>
      </c>
      <c r="D77" s="7">
        <v>6</v>
      </c>
      <c r="E77" s="7">
        <v>9526.7309999999998</v>
      </c>
      <c r="F77" s="7">
        <v>1695.713</v>
      </c>
      <c r="G77" s="7">
        <v>1139.136</v>
      </c>
      <c r="H77" s="7">
        <v>0</v>
      </c>
      <c r="I77" s="7">
        <v>126.205</v>
      </c>
      <c r="J77" s="7">
        <v>1291.5540000000001</v>
      </c>
      <c r="K77" s="7">
        <v>0</v>
      </c>
      <c r="L77" s="7">
        <v>16964.884999999998</v>
      </c>
      <c r="M77" s="7">
        <v>3838.3809999999999</v>
      </c>
      <c r="N77" s="7">
        <v>0</v>
      </c>
      <c r="O77" s="7">
        <v>0</v>
      </c>
      <c r="P77" s="7">
        <v>5.6369999999999996</v>
      </c>
      <c r="Q77" s="7">
        <v>0</v>
      </c>
      <c r="R77" s="7">
        <v>245.214</v>
      </c>
      <c r="S77" s="7">
        <v>274.52100000000002</v>
      </c>
      <c r="T77" s="7">
        <v>0</v>
      </c>
      <c r="U77" s="7">
        <v>0</v>
      </c>
      <c r="V77" s="7">
        <v>150.14500000000001</v>
      </c>
      <c r="W77" s="7">
        <v>234.53399999999999</v>
      </c>
      <c r="X77" s="7">
        <v>0</v>
      </c>
      <c r="Y77" s="7">
        <v>1144.1559999999999</v>
      </c>
      <c r="Z77" s="7">
        <v>0</v>
      </c>
      <c r="AA77" s="7">
        <v>1660.624</v>
      </c>
      <c r="AB77" s="7">
        <v>0</v>
      </c>
      <c r="AC77" s="7">
        <v>125.514</v>
      </c>
      <c r="AD77" s="7">
        <v>0</v>
      </c>
      <c r="AE77" s="7">
        <v>3694.1610000000001</v>
      </c>
      <c r="AF77" s="7">
        <v>0</v>
      </c>
      <c r="AG77" s="7">
        <v>0</v>
      </c>
      <c r="AH77" s="7">
        <v>16417.573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103.508</v>
      </c>
      <c r="AP77" s="7">
        <v>0</v>
      </c>
      <c r="AQ77" s="7">
        <v>0</v>
      </c>
      <c r="AR77" s="7">
        <v>0</v>
      </c>
      <c r="AS77" s="7">
        <v>2.4470000000000001</v>
      </c>
      <c r="AT77" s="7">
        <v>0</v>
      </c>
      <c r="AU77" s="7">
        <v>68.138000000000005</v>
      </c>
      <c r="AV77" s="7">
        <v>0</v>
      </c>
      <c r="AW77" s="7">
        <v>0</v>
      </c>
      <c r="AX77" s="7">
        <v>0</v>
      </c>
      <c r="AY77" s="7">
        <v>75.841999999999999</v>
      </c>
      <c r="AZ77" s="7">
        <v>0</v>
      </c>
      <c r="BA77" s="7">
        <v>0</v>
      </c>
      <c r="BB77" s="7">
        <v>34.97</v>
      </c>
      <c r="BC77" s="7">
        <v>59.231000000000002</v>
      </c>
      <c r="BD77" s="7">
        <v>0</v>
      </c>
      <c r="BE77" s="7">
        <v>9.6820000000000004</v>
      </c>
      <c r="BF77" s="7">
        <v>9.6820000000000004</v>
      </c>
      <c r="BG77" s="7">
        <v>0</v>
      </c>
      <c r="BH77" s="7">
        <v>0</v>
      </c>
      <c r="BI77" s="7">
        <v>20.779</v>
      </c>
      <c r="BJ77" s="21"/>
    </row>
    <row r="78" spans="1:62" ht="15.6" x14ac:dyDescent="0.3">
      <c r="A78" s="5" t="s">
        <v>140</v>
      </c>
      <c r="B78" s="5" t="s">
        <v>141</v>
      </c>
      <c r="C78" s="7">
        <v>6</v>
      </c>
      <c r="D78" s="7">
        <v>6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21"/>
    </row>
    <row r="79" spans="1:62" ht="15.6" x14ac:dyDescent="0.3">
      <c r="A79" s="5" t="s">
        <v>142</v>
      </c>
      <c r="B79" s="5" t="s">
        <v>143</v>
      </c>
      <c r="C79" s="7">
        <v>6</v>
      </c>
      <c r="D79" s="7">
        <v>6</v>
      </c>
      <c r="E79" s="7">
        <v>9194.8819999999996</v>
      </c>
      <c r="F79" s="7">
        <v>1156.239</v>
      </c>
      <c r="G79" s="7">
        <v>1742.3510000000001</v>
      </c>
      <c r="H79" s="7">
        <v>5693.2669999999998</v>
      </c>
      <c r="I79" s="7">
        <v>193.87899999999999</v>
      </c>
      <c r="J79" s="7">
        <v>1024.317</v>
      </c>
      <c r="K79" s="7">
        <v>0</v>
      </c>
      <c r="L79" s="7">
        <v>4364.1369999999997</v>
      </c>
      <c r="M79" s="7">
        <v>4213.7619999999997</v>
      </c>
      <c r="N79" s="7">
        <v>0</v>
      </c>
      <c r="O79" s="7">
        <v>0</v>
      </c>
      <c r="P79" s="7">
        <v>8.9760000000000009</v>
      </c>
      <c r="Q79" s="7">
        <v>0</v>
      </c>
      <c r="R79" s="7">
        <v>0</v>
      </c>
      <c r="S79" s="7">
        <v>416.685</v>
      </c>
      <c r="T79" s="7">
        <v>0</v>
      </c>
      <c r="U79" s="7">
        <v>0</v>
      </c>
      <c r="V79" s="7">
        <v>229.18799999999999</v>
      </c>
      <c r="W79" s="7">
        <v>359.81599999999997</v>
      </c>
      <c r="X79" s="7">
        <v>0</v>
      </c>
      <c r="Y79" s="7">
        <v>1766.8879999999999</v>
      </c>
      <c r="Z79" s="7">
        <v>0</v>
      </c>
      <c r="AA79" s="7">
        <v>2531.1030000000001</v>
      </c>
      <c r="AB79" s="7">
        <v>0</v>
      </c>
      <c r="AC79" s="7">
        <v>192.17099999999999</v>
      </c>
      <c r="AD79" s="7">
        <v>0</v>
      </c>
      <c r="AE79" s="7">
        <v>3296.346</v>
      </c>
      <c r="AF79" s="7">
        <v>0</v>
      </c>
      <c r="AG79" s="7">
        <v>0</v>
      </c>
      <c r="AH79" s="7">
        <v>11075.589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157.11000000000001</v>
      </c>
      <c r="AP79" s="7">
        <v>0</v>
      </c>
      <c r="AQ79" s="7">
        <v>0</v>
      </c>
      <c r="AR79" s="7">
        <v>0</v>
      </c>
      <c r="AS79" s="7">
        <v>3.714</v>
      </c>
      <c r="AT79" s="7">
        <v>0</v>
      </c>
      <c r="AU79" s="7">
        <v>103.42400000000001</v>
      </c>
      <c r="AV79" s="7">
        <v>0</v>
      </c>
      <c r="AW79" s="7">
        <v>0</v>
      </c>
      <c r="AX79" s="7">
        <v>0</v>
      </c>
      <c r="AY79" s="7">
        <v>115.117</v>
      </c>
      <c r="AZ79" s="7">
        <v>0</v>
      </c>
      <c r="BA79" s="7">
        <v>0</v>
      </c>
      <c r="BB79" s="7">
        <v>53.08</v>
      </c>
      <c r="BC79" s="7">
        <v>89.903999999999996</v>
      </c>
      <c r="BD79" s="7">
        <v>0</v>
      </c>
      <c r="BE79" s="7">
        <v>14.696</v>
      </c>
      <c r="BF79" s="7">
        <v>14.696</v>
      </c>
      <c r="BG79" s="7">
        <v>0</v>
      </c>
      <c r="BH79" s="7">
        <v>0</v>
      </c>
      <c r="BI79" s="7">
        <v>31.54</v>
      </c>
      <c r="BJ79" s="21"/>
    </row>
    <row r="80" spans="1:62" ht="15.6" x14ac:dyDescent="0.3">
      <c r="A80" s="5" t="s">
        <v>144</v>
      </c>
      <c r="B80" s="5" t="s">
        <v>145</v>
      </c>
      <c r="C80" s="7">
        <v>6</v>
      </c>
      <c r="D80" s="7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21"/>
    </row>
    <row r="81" spans="1:62" ht="15.6" x14ac:dyDescent="0.3">
      <c r="A81" s="5" t="s">
        <v>146</v>
      </c>
      <c r="B81" s="5" t="s">
        <v>147</v>
      </c>
      <c r="C81" s="7">
        <v>6</v>
      </c>
      <c r="D81" s="7">
        <v>6</v>
      </c>
      <c r="E81" s="7">
        <v>6411.7179999999998</v>
      </c>
      <c r="F81" s="7">
        <v>905.83100000000002</v>
      </c>
      <c r="G81" s="7">
        <v>1388.8340000000001</v>
      </c>
      <c r="H81" s="7">
        <v>0</v>
      </c>
      <c r="I81" s="7">
        <v>100.11499999999999</v>
      </c>
      <c r="J81" s="7">
        <v>1006.773</v>
      </c>
      <c r="K81" s="7">
        <v>0</v>
      </c>
      <c r="L81" s="7">
        <v>8069.3149999999996</v>
      </c>
      <c r="M81" s="7">
        <v>2472.2959999999998</v>
      </c>
      <c r="N81" s="7">
        <v>0</v>
      </c>
      <c r="O81" s="7">
        <v>0</v>
      </c>
      <c r="P81" s="7">
        <v>10.68</v>
      </c>
      <c r="Q81" s="7">
        <v>0</v>
      </c>
      <c r="R81" s="7">
        <v>102.422</v>
      </c>
      <c r="S81" s="7">
        <v>118.872</v>
      </c>
      <c r="T81" s="7">
        <v>0</v>
      </c>
      <c r="U81" s="7">
        <v>0</v>
      </c>
      <c r="V81" s="7">
        <v>90.298000000000002</v>
      </c>
      <c r="W81" s="7">
        <v>176.60900000000001</v>
      </c>
      <c r="X81" s="7">
        <v>0</v>
      </c>
      <c r="Y81" s="7">
        <v>1249.078</v>
      </c>
      <c r="Z81" s="7">
        <v>0</v>
      </c>
      <c r="AA81" s="7">
        <v>1006.073</v>
      </c>
      <c r="AB81" s="7">
        <v>0</v>
      </c>
      <c r="AC81" s="7">
        <v>86.864999999999995</v>
      </c>
      <c r="AD81" s="7">
        <v>0</v>
      </c>
      <c r="AE81" s="7">
        <v>3853.3820000000001</v>
      </c>
      <c r="AF81" s="7">
        <v>0</v>
      </c>
      <c r="AG81" s="7">
        <v>0</v>
      </c>
      <c r="AH81" s="7">
        <v>11678.707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44.82</v>
      </c>
      <c r="AP81" s="7">
        <v>0</v>
      </c>
      <c r="AQ81" s="7">
        <v>0</v>
      </c>
      <c r="AR81" s="7">
        <v>0</v>
      </c>
      <c r="AS81" s="7">
        <v>1.0589999999999999</v>
      </c>
      <c r="AT81" s="7">
        <v>0</v>
      </c>
      <c r="AU81" s="7">
        <v>29.504999999999999</v>
      </c>
      <c r="AV81" s="7">
        <v>0</v>
      </c>
      <c r="AW81" s="7">
        <v>0</v>
      </c>
      <c r="AX81" s="7">
        <v>0</v>
      </c>
      <c r="AY81" s="7">
        <v>32.841000000000001</v>
      </c>
      <c r="AZ81" s="7">
        <v>0</v>
      </c>
      <c r="BA81" s="7">
        <v>0</v>
      </c>
      <c r="BB81" s="7">
        <v>15.143000000000001</v>
      </c>
      <c r="BC81" s="7">
        <v>25.648</v>
      </c>
      <c r="BD81" s="7">
        <v>0</v>
      </c>
      <c r="BE81" s="7">
        <v>4.1929999999999996</v>
      </c>
      <c r="BF81" s="7">
        <v>4.1929999999999996</v>
      </c>
      <c r="BG81" s="7">
        <v>0</v>
      </c>
      <c r="BH81" s="7">
        <v>0</v>
      </c>
      <c r="BI81" s="7">
        <v>8.9979999999999993</v>
      </c>
      <c r="BJ81" s="21"/>
    </row>
    <row r="82" spans="1:62" ht="15.6" x14ac:dyDescent="0.3">
      <c r="A82" s="5" t="s">
        <v>148</v>
      </c>
      <c r="B82" s="5" t="s">
        <v>149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21"/>
    </row>
    <row r="83" spans="1:62" ht="15.6" x14ac:dyDescent="0.3">
      <c r="A83" s="5" t="s">
        <v>150</v>
      </c>
      <c r="B83" s="5" t="s">
        <v>151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21"/>
    </row>
    <row r="84" spans="1:62" ht="15.6" x14ac:dyDescent="0.3">
      <c r="A84" s="5" t="s">
        <v>152</v>
      </c>
      <c r="B84" s="5" t="s">
        <v>153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21"/>
    </row>
    <row r="85" spans="1:62" ht="15.6" x14ac:dyDescent="0.3">
      <c r="A85" s="5" t="s">
        <v>154</v>
      </c>
      <c r="B85" s="5" t="s">
        <v>155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21"/>
    </row>
    <row r="86" spans="1:62" ht="15.6" x14ac:dyDescent="0.3">
      <c r="A86" s="5" t="s">
        <v>156</v>
      </c>
      <c r="B86" s="5" t="s">
        <v>157</v>
      </c>
      <c r="C86" s="7">
        <v>6</v>
      </c>
      <c r="D86" s="7">
        <v>6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21"/>
    </row>
    <row r="87" spans="1:62" ht="15.6" x14ac:dyDescent="0.3">
      <c r="A87" s="5" t="s">
        <v>158</v>
      </c>
      <c r="B87" s="5" t="s">
        <v>159</v>
      </c>
      <c r="C87" s="7">
        <v>6</v>
      </c>
      <c r="D87" s="7">
        <v>6</v>
      </c>
      <c r="E87" s="7">
        <v>14018.378000000001</v>
      </c>
      <c r="F87" s="7">
        <v>1926.83</v>
      </c>
      <c r="G87" s="7">
        <v>2940.2190000000001</v>
      </c>
      <c r="H87" s="7">
        <v>2346.7130000000002</v>
      </c>
      <c r="I87" s="7">
        <v>291.69200000000001</v>
      </c>
      <c r="J87" s="7">
        <v>1717.2180000000001</v>
      </c>
      <c r="K87" s="7">
        <v>0</v>
      </c>
      <c r="L87" s="7">
        <v>5558.8630000000003</v>
      </c>
      <c r="M87" s="7">
        <v>6950.6229999999996</v>
      </c>
      <c r="N87" s="7">
        <v>0</v>
      </c>
      <c r="O87" s="7">
        <v>0</v>
      </c>
      <c r="P87" s="7">
        <v>0.27300000000000002</v>
      </c>
      <c r="Q87" s="7">
        <v>0</v>
      </c>
      <c r="R87" s="7">
        <v>0</v>
      </c>
      <c r="S87" s="7">
        <v>837.67</v>
      </c>
      <c r="T87" s="7">
        <v>0</v>
      </c>
      <c r="U87" s="7">
        <v>0</v>
      </c>
      <c r="V87" s="7">
        <v>406.142</v>
      </c>
      <c r="W87" s="7">
        <v>561.28</v>
      </c>
      <c r="X87" s="7">
        <v>0</v>
      </c>
      <c r="Y87" s="7">
        <v>2271.9110000000001</v>
      </c>
      <c r="Z87" s="7">
        <v>0</v>
      </c>
      <c r="AA87" s="7">
        <v>4643.2370000000001</v>
      </c>
      <c r="AB87" s="7">
        <v>0</v>
      </c>
      <c r="AC87" s="7">
        <v>316.10700000000003</v>
      </c>
      <c r="AD87" s="7">
        <v>0</v>
      </c>
      <c r="AE87" s="7">
        <v>2497.3969999999999</v>
      </c>
      <c r="AF87" s="7">
        <v>0</v>
      </c>
      <c r="AG87" s="7">
        <v>0</v>
      </c>
      <c r="AH87" s="7">
        <v>12905.300999999999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315.84199999999998</v>
      </c>
      <c r="AP87" s="7">
        <v>0</v>
      </c>
      <c r="AQ87" s="7">
        <v>0</v>
      </c>
      <c r="AR87" s="7">
        <v>0</v>
      </c>
      <c r="AS87" s="7">
        <v>7.4660000000000002</v>
      </c>
      <c r="AT87" s="7">
        <v>0</v>
      </c>
      <c r="AU87" s="7">
        <v>207.91399999999999</v>
      </c>
      <c r="AV87" s="7">
        <v>0</v>
      </c>
      <c r="AW87" s="7">
        <v>0</v>
      </c>
      <c r="AX87" s="7">
        <v>0</v>
      </c>
      <c r="AY87" s="7">
        <v>231.422</v>
      </c>
      <c r="AZ87" s="7">
        <v>0</v>
      </c>
      <c r="BA87" s="7">
        <v>0</v>
      </c>
      <c r="BB87" s="7">
        <v>106.708</v>
      </c>
      <c r="BC87" s="7">
        <v>180.73500000000001</v>
      </c>
      <c r="BD87" s="7">
        <v>0</v>
      </c>
      <c r="BE87" s="7">
        <v>29.544</v>
      </c>
      <c r="BF87" s="7">
        <v>29.544</v>
      </c>
      <c r="BG87" s="7">
        <v>0</v>
      </c>
      <c r="BH87" s="7">
        <v>0</v>
      </c>
      <c r="BI87" s="7">
        <v>63.405000000000001</v>
      </c>
      <c r="BJ87" s="21"/>
    </row>
    <row r="88" spans="1:62" ht="15.6" x14ac:dyDescent="0.3">
      <c r="A88" s="5" t="s">
        <v>160</v>
      </c>
      <c r="B88" s="5" t="s">
        <v>161</v>
      </c>
      <c r="C88" s="7">
        <v>6</v>
      </c>
      <c r="D88" s="7">
        <v>6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21"/>
    </row>
    <row r="89" spans="1:62" ht="15.6" x14ac:dyDescent="0.3">
      <c r="A89" s="5" t="s">
        <v>162</v>
      </c>
      <c r="B89" s="5" t="s">
        <v>163</v>
      </c>
      <c r="C89" s="7">
        <v>6</v>
      </c>
      <c r="D89" s="7">
        <v>6</v>
      </c>
      <c r="E89" s="7">
        <v>39538.432000000001</v>
      </c>
      <c r="F89" s="7">
        <v>5828.8010000000004</v>
      </c>
      <c r="G89" s="7">
        <v>7824.9840000000004</v>
      </c>
      <c r="H89" s="7">
        <v>5753.3010000000004</v>
      </c>
      <c r="I89" s="7">
        <v>967.46500000000003</v>
      </c>
      <c r="J89" s="7">
        <v>4800.17</v>
      </c>
      <c r="K89" s="7">
        <v>0</v>
      </c>
      <c r="L89" s="7">
        <v>26108.864000000001</v>
      </c>
      <c r="M89" s="7">
        <v>18656.651999999998</v>
      </c>
      <c r="N89" s="7">
        <v>0</v>
      </c>
      <c r="O89" s="7">
        <v>0</v>
      </c>
      <c r="P89" s="7">
        <v>71.367999999999995</v>
      </c>
      <c r="Q89" s="7">
        <v>0</v>
      </c>
      <c r="R89" s="7">
        <v>111.181</v>
      </c>
      <c r="S89" s="7">
        <v>2105.067</v>
      </c>
      <c r="T89" s="7">
        <v>0</v>
      </c>
      <c r="U89" s="7">
        <v>0</v>
      </c>
      <c r="V89" s="7">
        <v>1027.7270000000001</v>
      </c>
      <c r="W89" s="7">
        <v>1431.518</v>
      </c>
      <c r="X89" s="7">
        <v>0</v>
      </c>
      <c r="Y89" s="7">
        <v>5984.9279999999999</v>
      </c>
      <c r="Z89" s="7">
        <v>0</v>
      </c>
      <c r="AA89" s="7">
        <v>11726.213</v>
      </c>
      <c r="AB89" s="7">
        <v>0</v>
      </c>
      <c r="AC89" s="7">
        <v>803.49599999999998</v>
      </c>
      <c r="AD89" s="7">
        <v>0</v>
      </c>
      <c r="AE89" s="7">
        <v>7942.6019999999999</v>
      </c>
      <c r="AF89" s="7">
        <v>0</v>
      </c>
      <c r="AG89" s="7">
        <v>0</v>
      </c>
      <c r="AH89" s="7">
        <v>45393.843000000001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793.71100000000001</v>
      </c>
      <c r="AP89" s="7">
        <v>0</v>
      </c>
      <c r="AQ89" s="7">
        <v>0</v>
      </c>
      <c r="AR89" s="7">
        <v>0</v>
      </c>
      <c r="AS89" s="7">
        <v>18.760999999999999</v>
      </c>
      <c r="AT89" s="7">
        <v>0</v>
      </c>
      <c r="AU89" s="7">
        <v>522.48900000000003</v>
      </c>
      <c r="AV89" s="7">
        <v>0</v>
      </c>
      <c r="AW89" s="7">
        <v>0</v>
      </c>
      <c r="AX89" s="7">
        <v>0</v>
      </c>
      <c r="AY89" s="7">
        <v>581.56299999999999</v>
      </c>
      <c r="AZ89" s="7">
        <v>0</v>
      </c>
      <c r="BA89" s="7">
        <v>0</v>
      </c>
      <c r="BB89" s="7">
        <v>268.15699999999998</v>
      </c>
      <c r="BC89" s="7">
        <v>454.18900000000002</v>
      </c>
      <c r="BD89" s="7">
        <v>0</v>
      </c>
      <c r="BE89" s="7">
        <v>74.245000000000005</v>
      </c>
      <c r="BF89" s="7">
        <v>74.245000000000005</v>
      </c>
      <c r="BG89" s="7">
        <v>0</v>
      </c>
      <c r="BH89" s="7">
        <v>0</v>
      </c>
      <c r="BI89" s="7">
        <v>159.33699999999999</v>
      </c>
      <c r="BJ89" s="21"/>
    </row>
    <row r="90" spans="1:62" ht="15.6" x14ac:dyDescent="0.3">
      <c r="A90" s="5" t="s">
        <v>164</v>
      </c>
      <c r="B90" s="5" t="s">
        <v>165</v>
      </c>
      <c r="C90" s="7">
        <v>6</v>
      </c>
      <c r="D90" s="7">
        <v>6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21"/>
    </row>
    <row r="91" spans="1:62" ht="15.6" x14ac:dyDescent="0.3">
      <c r="A91" s="5" t="s">
        <v>166</v>
      </c>
      <c r="B91" s="5" t="s">
        <v>167</v>
      </c>
      <c r="C91" s="7">
        <v>3</v>
      </c>
      <c r="D91" s="7">
        <v>3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13029.291999999999</v>
      </c>
      <c r="BI91" s="7">
        <v>0</v>
      </c>
      <c r="BJ91" s="21"/>
    </row>
    <row r="92" spans="1:62" ht="15.6" x14ac:dyDescent="0.3">
      <c r="A92" s="5" t="s">
        <v>168</v>
      </c>
      <c r="B92" s="5" t="s">
        <v>169</v>
      </c>
      <c r="C92" s="7">
        <v>3</v>
      </c>
      <c r="D92" s="7">
        <v>3</v>
      </c>
      <c r="E92" s="7">
        <v>59352.769</v>
      </c>
      <c r="F92" s="7">
        <v>8074.0469999999996</v>
      </c>
      <c r="G92" s="7">
        <v>13455.713</v>
      </c>
      <c r="H92" s="7">
        <v>0</v>
      </c>
      <c r="I92" s="7">
        <v>1186.8510000000001</v>
      </c>
      <c r="J92" s="7">
        <v>8546.9830000000002</v>
      </c>
      <c r="K92" s="7">
        <v>0</v>
      </c>
      <c r="L92" s="7">
        <v>23517.304</v>
      </c>
      <c r="M92" s="7">
        <v>30108.419000000002</v>
      </c>
      <c r="N92" s="7">
        <v>0</v>
      </c>
      <c r="O92" s="7">
        <v>0</v>
      </c>
      <c r="P92" s="7">
        <v>1.02</v>
      </c>
      <c r="Q92" s="7">
        <v>0</v>
      </c>
      <c r="R92" s="7">
        <v>135.565</v>
      </c>
      <c r="S92" s="7">
        <v>3409.94</v>
      </c>
      <c r="T92" s="7">
        <v>0</v>
      </c>
      <c r="U92" s="7">
        <v>0</v>
      </c>
      <c r="V92" s="7">
        <v>1653.259</v>
      </c>
      <c r="W92" s="7">
        <v>2284.6579999999999</v>
      </c>
      <c r="X92" s="7">
        <v>0</v>
      </c>
      <c r="Y92" s="7">
        <v>9247.8970000000008</v>
      </c>
      <c r="Z92" s="7">
        <v>0</v>
      </c>
      <c r="AA92" s="7">
        <v>18900.992999999999</v>
      </c>
      <c r="AB92" s="7">
        <v>0</v>
      </c>
      <c r="AC92" s="7">
        <v>1286.7349999999999</v>
      </c>
      <c r="AD92" s="7">
        <v>0</v>
      </c>
      <c r="AE92" s="7">
        <v>14390.244000000001</v>
      </c>
      <c r="AF92" s="7">
        <v>0</v>
      </c>
      <c r="AG92" s="7">
        <v>0</v>
      </c>
      <c r="AH92" s="7">
        <v>56944.542999999998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1285.71</v>
      </c>
      <c r="AP92" s="7">
        <v>0</v>
      </c>
      <c r="AQ92" s="7">
        <v>0</v>
      </c>
      <c r="AR92" s="7">
        <v>0</v>
      </c>
      <c r="AS92" s="7">
        <v>30.390999999999998</v>
      </c>
      <c r="AT92" s="7">
        <v>0</v>
      </c>
      <c r="AU92" s="7">
        <v>846.36599999999999</v>
      </c>
      <c r="AV92" s="7">
        <v>0</v>
      </c>
      <c r="AW92" s="7">
        <v>0</v>
      </c>
      <c r="AX92" s="7">
        <v>0</v>
      </c>
      <c r="AY92" s="7">
        <v>942.05799999999999</v>
      </c>
      <c r="AZ92" s="7">
        <v>0</v>
      </c>
      <c r="BA92" s="7">
        <v>0</v>
      </c>
      <c r="BB92" s="7">
        <v>434.38</v>
      </c>
      <c r="BC92" s="7">
        <v>735.72799999999995</v>
      </c>
      <c r="BD92" s="7">
        <v>0</v>
      </c>
      <c r="BE92" s="7">
        <v>120.268</v>
      </c>
      <c r="BF92" s="7">
        <v>120.268</v>
      </c>
      <c r="BG92" s="7">
        <v>0</v>
      </c>
      <c r="BH92" s="7">
        <v>0</v>
      </c>
      <c r="BI92" s="7">
        <v>258.10500000000002</v>
      </c>
      <c r="BJ92" s="21"/>
    </row>
    <row r="93" spans="1:62" ht="15.6" x14ac:dyDescent="0.3">
      <c r="A93" s="5" t="s">
        <v>170</v>
      </c>
      <c r="B93" s="5" t="s">
        <v>171</v>
      </c>
      <c r="C93" s="7">
        <v>3</v>
      </c>
      <c r="D93" s="7">
        <v>3</v>
      </c>
      <c r="E93" s="7">
        <v>69837.864000000001</v>
      </c>
      <c r="F93" s="7">
        <v>9596.518</v>
      </c>
      <c r="G93" s="7">
        <v>14646.835999999999</v>
      </c>
      <c r="H93" s="7">
        <v>0</v>
      </c>
      <c r="I93" s="7">
        <v>1452.933</v>
      </c>
      <c r="J93" s="7">
        <v>8554.6329999999998</v>
      </c>
      <c r="K93" s="7">
        <v>0</v>
      </c>
      <c r="L93" s="7">
        <v>27611.38</v>
      </c>
      <c r="M93" s="7">
        <v>34618.038</v>
      </c>
      <c r="N93" s="7">
        <v>0</v>
      </c>
      <c r="O93" s="7">
        <v>0</v>
      </c>
      <c r="P93" s="7">
        <v>1.248</v>
      </c>
      <c r="Q93" s="7">
        <v>0</v>
      </c>
      <c r="R93" s="7">
        <v>0</v>
      </c>
      <c r="S93" s="7">
        <v>4174.4189999999999</v>
      </c>
      <c r="T93" s="7">
        <v>0</v>
      </c>
      <c r="U93" s="7">
        <v>0</v>
      </c>
      <c r="V93" s="7">
        <v>2023.9059999999999</v>
      </c>
      <c r="W93" s="7">
        <v>2796.8580000000002</v>
      </c>
      <c r="X93" s="7">
        <v>0</v>
      </c>
      <c r="Y93" s="7">
        <v>11321.194</v>
      </c>
      <c r="Z93" s="7">
        <v>0</v>
      </c>
      <c r="AA93" s="7">
        <v>23138.429</v>
      </c>
      <c r="AB93" s="7">
        <v>0</v>
      </c>
      <c r="AC93" s="7">
        <v>1575.21</v>
      </c>
      <c r="AD93" s="7">
        <v>0</v>
      </c>
      <c r="AE93" s="7">
        <v>12444.075999999999</v>
      </c>
      <c r="AF93" s="7">
        <v>0</v>
      </c>
      <c r="AG93" s="7">
        <v>0</v>
      </c>
      <c r="AH93" s="7">
        <v>64179.1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1573.9549999999999</v>
      </c>
      <c r="AP93" s="7">
        <v>0</v>
      </c>
      <c r="AQ93" s="7">
        <v>0</v>
      </c>
      <c r="AR93" s="7">
        <v>0</v>
      </c>
      <c r="AS93" s="7">
        <v>37.204000000000001</v>
      </c>
      <c r="AT93" s="7">
        <v>0</v>
      </c>
      <c r="AU93" s="7">
        <v>1036.114</v>
      </c>
      <c r="AV93" s="7">
        <v>0</v>
      </c>
      <c r="AW93" s="7">
        <v>0</v>
      </c>
      <c r="AX93" s="7">
        <v>0</v>
      </c>
      <c r="AY93" s="7">
        <v>1153.259</v>
      </c>
      <c r="AZ93" s="7">
        <v>0</v>
      </c>
      <c r="BA93" s="7">
        <v>0</v>
      </c>
      <c r="BB93" s="7">
        <v>531.76400000000001</v>
      </c>
      <c r="BC93" s="7">
        <v>900.67100000000005</v>
      </c>
      <c r="BD93" s="7">
        <v>0</v>
      </c>
      <c r="BE93" s="7">
        <v>147.23099999999999</v>
      </c>
      <c r="BF93" s="7">
        <v>147.23099999999999</v>
      </c>
      <c r="BG93" s="7">
        <v>0</v>
      </c>
      <c r="BH93" s="7">
        <v>0</v>
      </c>
      <c r="BI93" s="7">
        <v>315.97000000000003</v>
      </c>
      <c r="BJ93" s="21"/>
    </row>
    <row r="94" spans="1:62" ht="15.6" x14ac:dyDescent="0.3">
      <c r="A94" s="5" t="s">
        <v>172</v>
      </c>
      <c r="B94" s="5" t="s">
        <v>173</v>
      </c>
      <c r="C94" s="7">
        <v>3</v>
      </c>
      <c r="D94" s="7">
        <v>3</v>
      </c>
      <c r="E94" s="7">
        <v>6403.5190000000002</v>
      </c>
      <c r="F94" s="7">
        <v>2693.3609999999999</v>
      </c>
      <c r="G94" s="7">
        <v>5153.4989999999998</v>
      </c>
      <c r="H94" s="7">
        <v>0</v>
      </c>
      <c r="I94" s="7">
        <v>111.048</v>
      </c>
      <c r="J94" s="7">
        <v>1697.319</v>
      </c>
      <c r="K94" s="7">
        <v>0</v>
      </c>
      <c r="L94" s="7">
        <v>15847.066999999999</v>
      </c>
      <c r="M94" s="7">
        <v>4750.8230000000003</v>
      </c>
      <c r="N94" s="7">
        <v>0</v>
      </c>
      <c r="O94" s="7">
        <v>0</v>
      </c>
      <c r="P94" s="7">
        <v>0.19600000000000001</v>
      </c>
      <c r="Q94" s="7">
        <v>0</v>
      </c>
      <c r="R94" s="7">
        <v>0</v>
      </c>
      <c r="S94" s="7">
        <v>933.17700000000002</v>
      </c>
      <c r="T94" s="7">
        <v>0</v>
      </c>
      <c r="U94" s="7">
        <v>0</v>
      </c>
      <c r="V94" s="7">
        <v>415.85399999999998</v>
      </c>
      <c r="W94" s="7">
        <v>278.666</v>
      </c>
      <c r="X94" s="7">
        <v>0</v>
      </c>
      <c r="Y94" s="7">
        <v>4527.6660000000002</v>
      </c>
      <c r="Z94" s="7">
        <v>0</v>
      </c>
      <c r="AA94" s="7">
        <v>3789.578</v>
      </c>
      <c r="AB94" s="7">
        <v>0</v>
      </c>
      <c r="AC94" s="7">
        <v>947.96500000000003</v>
      </c>
      <c r="AD94" s="7">
        <v>0</v>
      </c>
      <c r="AE94" s="7">
        <v>23777.330999999998</v>
      </c>
      <c r="AF94" s="7">
        <v>2678.0079999999998</v>
      </c>
      <c r="AG94" s="7">
        <v>0</v>
      </c>
      <c r="AH94" s="7">
        <v>31406.655999999999</v>
      </c>
      <c r="AI94" s="7">
        <v>4463.8620000000001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933.54899999999998</v>
      </c>
      <c r="AP94" s="7">
        <v>0</v>
      </c>
      <c r="AQ94" s="7">
        <v>1018.472</v>
      </c>
      <c r="AR94" s="7">
        <v>0</v>
      </c>
      <c r="AS94" s="7">
        <v>4.2300000000000004</v>
      </c>
      <c r="AT94" s="7">
        <v>0</v>
      </c>
      <c r="AU94" s="7">
        <v>26.042000000000002</v>
      </c>
      <c r="AV94" s="7">
        <v>0</v>
      </c>
      <c r="AW94" s="7">
        <v>0</v>
      </c>
      <c r="AX94" s="7">
        <v>0</v>
      </c>
      <c r="AY94" s="7">
        <v>65.822999999999993</v>
      </c>
      <c r="AZ94" s="7">
        <v>1227.2190000000001</v>
      </c>
      <c r="BA94" s="7">
        <v>0</v>
      </c>
      <c r="BB94" s="7">
        <v>309.29000000000002</v>
      </c>
      <c r="BC94" s="7">
        <v>22.030999999999999</v>
      </c>
      <c r="BD94" s="7">
        <v>1503.377</v>
      </c>
      <c r="BE94" s="7">
        <v>84.435000000000002</v>
      </c>
      <c r="BF94" s="7">
        <v>84.435000000000002</v>
      </c>
      <c r="BG94" s="7">
        <v>508.94299999999998</v>
      </c>
      <c r="BH94" s="7">
        <v>0</v>
      </c>
      <c r="BI94" s="7">
        <v>7.0449999999999999</v>
      </c>
      <c r="BJ94" s="21"/>
    </row>
    <row r="95" spans="1:62" ht="15.6" x14ac:dyDescent="0.3">
      <c r="A95" s="5" t="s">
        <v>174</v>
      </c>
      <c r="B95" s="5" t="s">
        <v>175</v>
      </c>
      <c r="C95" s="7">
        <v>3</v>
      </c>
      <c r="D95" s="7">
        <v>3</v>
      </c>
      <c r="E95" s="7">
        <v>19148.583999999999</v>
      </c>
      <c r="F95" s="7">
        <v>15425.722</v>
      </c>
      <c r="G95" s="7">
        <v>22092.162</v>
      </c>
      <c r="H95" s="7">
        <v>0.255</v>
      </c>
      <c r="I95" s="7">
        <v>752.65899999999999</v>
      </c>
      <c r="J95" s="7">
        <v>10378.876</v>
      </c>
      <c r="K95" s="7">
        <v>0</v>
      </c>
      <c r="L95" s="7">
        <v>59104.281000000003</v>
      </c>
      <c r="M95" s="7">
        <v>17450.842000000001</v>
      </c>
      <c r="N95" s="7">
        <v>0</v>
      </c>
      <c r="O95" s="7">
        <v>0</v>
      </c>
      <c r="P95" s="7">
        <v>0.20200000000000001</v>
      </c>
      <c r="Q95" s="7">
        <v>0</v>
      </c>
      <c r="R95" s="7">
        <v>0</v>
      </c>
      <c r="S95" s="7">
        <v>5692.0730000000003</v>
      </c>
      <c r="T95" s="7">
        <v>0</v>
      </c>
      <c r="U95" s="7">
        <v>0</v>
      </c>
      <c r="V95" s="7">
        <v>2474.0459999999998</v>
      </c>
      <c r="W95" s="7">
        <v>572.85699999999997</v>
      </c>
      <c r="X95" s="7">
        <v>0</v>
      </c>
      <c r="Y95" s="7">
        <v>15055.148999999999</v>
      </c>
      <c r="Z95" s="7">
        <v>0</v>
      </c>
      <c r="AA95" s="7">
        <v>29119.330999999998</v>
      </c>
      <c r="AB95" s="7">
        <v>0</v>
      </c>
      <c r="AC95" s="7">
        <v>4805.72</v>
      </c>
      <c r="AD95" s="7">
        <v>0</v>
      </c>
      <c r="AE95" s="7">
        <v>96567.679999999993</v>
      </c>
      <c r="AF95" s="7">
        <v>4347.4430000000002</v>
      </c>
      <c r="AG95" s="7">
        <v>0</v>
      </c>
      <c r="AH95" s="7">
        <v>114996.285</v>
      </c>
      <c r="AI95" s="7">
        <v>7075.3339999999998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5849.9709999999995</v>
      </c>
      <c r="AP95" s="7">
        <v>0</v>
      </c>
      <c r="AQ95" s="7">
        <v>1629.4269999999999</v>
      </c>
      <c r="AR95" s="7">
        <v>0</v>
      </c>
      <c r="AS95" s="7">
        <v>20.521000000000001</v>
      </c>
      <c r="AT95" s="7">
        <v>0</v>
      </c>
      <c r="AU95" s="7">
        <v>21.754000000000001</v>
      </c>
      <c r="AV95" s="7">
        <v>0</v>
      </c>
      <c r="AW95" s="7">
        <v>0</v>
      </c>
      <c r="AX95" s="7">
        <v>0</v>
      </c>
      <c r="AY95" s="7">
        <v>61.496000000000002</v>
      </c>
      <c r="AZ95" s="7">
        <v>1945.152</v>
      </c>
      <c r="BA95" s="7">
        <v>0</v>
      </c>
      <c r="BB95" s="7">
        <v>1918.85</v>
      </c>
      <c r="BC95" s="7">
        <v>0</v>
      </c>
      <c r="BD95" s="7">
        <v>2382.864</v>
      </c>
      <c r="BE95" s="7">
        <v>525.55499999999995</v>
      </c>
      <c r="BF95" s="7">
        <v>525.55499999999995</v>
      </c>
      <c r="BG95" s="7">
        <v>806.67899999999997</v>
      </c>
      <c r="BH95" s="7">
        <v>0</v>
      </c>
      <c r="BI95" s="7">
        <v>0</v>
      </c>
      <c r="BJ95" s="21"/>
    </row>
    <row r="96" spans="1:62" ht="15.6" x14ac:dyDescent="0.3">
      <c r="A96" s="5" t="s">
        <v>176</v>
      </c>
      <c r="B96" s="5" t="s">
        <v>177</v>
      </c>
      <c r="C96" s="7">
        <v>3</v>
      </c>
      <c r="D96" s="7">
        <v>3</v>
      </c>
      <c r="E96" s="7">
        <v>80842.721999999994</v>
      </c>
      <c r="F96" s="7">
        <v>34777.642999999996</v>
      </c>
      <c r="G96" s="7">
        <v>3086.248</v>
      </c>
      <c r="H96" s="7">
        <v>1545.316</v>
      </c>
      <c r="I96" s="7">
        <v>2638.0320000000002</v>
      </c>
      <c r="J96" s="7">
        <v>19955.41</v>
      </c>
      <c r="K96" s="7">
        <v>0</v>
      </c>
      <c r="L96" s="7">
        <v>156934.696</v>
      </c>
      <c r="M96" s="7">
        <v>11675.056</v>
      </c>
      <c r="N96" s="7">
        <v>0</v>
      </c>
      <c r="O96" s="7">
        <v>0</v>
      </c>
      <c r="P96" s="7">
        <v>1.59</v>
      </c>
      <c r="Q96" s="7">
        <v>0</v>
      </c>
      <c r="R96" s="7">
        <v>0</v>
      </c>
      <c r="S96" s="7">
        <v>13313.716</v>
      </c>
      <c r="T96" s="7">
        <v>0</v>
      </c>
      <c r="U96" s="7">
        <v>0</v>
      </c>
      <c r="V96" s="7">
        <v>3674.84</v>
      </c>
      <c r="W96" s="7">
        <v>957.36900000000003</v>
      </c>
      <c r="X96" s="7">
        <v>0</v>
      </c>
      <c r="Y96" s="7">
        <v>22380.460999999999</v>
      </c>
      <c r="Z96" s="7">
        <v>0</v>
      </c>
      <c r="AA96" s="7">
        <v>67991.070999999996</v>
      </c>
      <c r="AB96" s="7">
        <v>0</v>
      </c>
      <c r="AC96" s="7">
        <v>6179.6090000000004</v>
      </c>
      <c r="AD96" s="7">
        <v>0</v>
      </c>
      <c r="AE96" s="7">
        <v>68004.604000000007</v>
      </c>
      <c r="AF96" s="7">
        <v>35158.728000000003</v>
      </c>
      <c r="AG96" s="7">
        <v>0</v>
      </c>
      <c r="AH96" s="7">
        <v>261802.52600000001</v>
      </c>
      <c r="AI96" s="7">
        <v>57799.127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11503.429</v>
      </c>
      <c r="AP96" s="7">
        <v>0</v>
      </c>
      <c r="AQ96" s="7">
        <v>13258.557000000001</v>
      </c>
      <c r="AR96" s="7">
        <v>0</v>
      </c>
      <c r="AS96" s="7">
        <v>63.225000000000001</v>
      </c>
      <c r="AT96" s="7">
        <v>0</v>
      </c>
      <c r="AU96" s="7">
        <v>174.05699999999999</v>
      </c>
      <c r="AV96" s="7">
        <v>0</v>
      </c>
      <c r="AW96" s="7">
        <v>0</v>
      </c>
      <c r="AX96" s="7">
        <v>0</v>
      </c>
      <c r="AY96" s="7">
        <v>502.37299999999999</v>
      </c>
      <c r="AZ96" s="7">
        <v>15890.215</v>
      </c>
      <c r="BA96" s="7">
        <v>0</v>
      </c>
      <c r="BB96" s="7">
        <v>3751.6590000000001</v>
      </c>
      <c r="BC96" s="7">
        <v>0</v>
      </c>
      <c r="BD96" s="7">
        <v>19465.95</v>
      </c>
      <c r="BE96" s="7">
        <v>1031.114</v>
      </c>
      <c r="BF96" s="7">
        <v>1031.114</v>
      </c>
      <c r="BG96" s="7">
        <v>6589.8760000000002</v>
      </c>
      <c r="BH96" s="7">
        <v>0</v>
      </c>
      <c r="BI96" s="7">
        <v>0</v>
      </c>
      <c r="BJ96" s="21"/>
    </row>
    <row r="97" spans="1:62" ht="15.6" x14ac:dyDescent="0.3">
      <c r="A97" s="5" t="s">
        <v>178</v>
      </c>
      <c r="B97" s="5" t="s">
        <v>179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21"/>
    </row>
    <row r="98" spans="1:62" ht="15.6" x14ac:dyDescent="0.3">
      <c r="A98" s="5" t="s">
        <v>180</v>
      </c>
      <c r="B98" s="5" t="s">
        <v>181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21"/>
    </row>
    <row r="99" spans="1:62" ht="15.6" x14ac:dyDescent="0.3">
      <c r="A99" s="5" t="s">
        <v>182</v>
      </c>
      <c r="B99" s="5" t="s">
        <v>183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21"/>
    </row>
    <row r="100" spans="1:62" ht="15.6" x14ac:dyDescent="0.3">
      <c r="A100" s="5" t="s">
        <v>184</v>
      </c>
      <c r="B100" s="5" t="s">
        <v>185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21"/>
    </row>
    <row r="101" spans="1:62" ht="15.6" x14ac:dyDescent="0.3">
      <c r="A101" s="5" t="s">
        <v>186</v>
      </c>
      <c r="B101" s="5" t="s">
        <v>187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21"/>
    </row>
    <row r="102" spans="1:62" ht="15.6" x14ac:dyDescent="0.3">
      <c r="A102" s="5" t="s">
        <v>188</v>
      </c>
      <c r="B102" s="5" t="s">
        <v>189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21"/>
    </row>
    <row r="103" spans="1:62" ht="15.6" x14ac:dyDescent="0.3">
      <c r="A103" s="5" t="s">
        <v>190</v>
      </c>
      <c r="B103" s="5" t="s">
        <v>191</v>
      </c>
      <c r="C103" s="7">
        <v>6</v>
      </c>
      <c r="D103" s="7">
        <v>6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21"/>
    </row>
    <row r="104" spans="1:62" ht="15.6" x14ac:dyDescent="0.3">
      <c r="A104" s="5" t="s">
        <v>192</v>
      </c>
      <c r="B104" s="5" t="s">
        <v>193</v>
      </c>
      <c r="C104" s="7">
        <v>6</v>
      </c>
      <c r="D104" s="7">
        <v>6</v>
      </c>
      <c r="E104" s="7">
        <v>26232.323</v>
      </c>
      <c r="F104" s="7">
        <v>0.36899999999999999</v>
      </c>
      <c r="G104" s="7">
        <v>2.5000000000000001E-2</v>
      </c>
      <c r="H104" s="7">
        <v>1663.49</v>
      </c>
      <c r="I104" s="7">
        <v>3.3000000000000002E-2</v>
      </c>
      <c r="J104" s="7">
        <v>0.27400000000000002</v>
      </c>
      <c r="K104" s="7">
        <v>0</v>
      </c>
      <c r="L104" s="7">
        <v>21065.542000000001</v>
      </c>
      <c r="M104" s="7">
        <v>19524.114000000001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0.14799999999999999</v>
      </c>
      <c r="T104" s="7">
        <v>0</v>
      </c>
      <c r="U104" s="7">
        <v>0</v>
      </c>
      <c r="V104" s="7">
        <v>0.05</v>
      </c>
      <c r="W104" s="7">
        <v>0</v>
      </c>
      <c r="X104" s="7">
        <v>0</v>
      </c>
      <c r="Y104" s="7">
        <v>2.1000000000000001E-2</v>
      </c>
      <c r="Z104" s="7">
        <v>0</v>
      </c>
      <c r="AA104" s="7">
        <v>0.94</v>
      </c>
      <c r="AB104" s="7">
        <v>0</v>
      </c>
      <c r="AC104" s="7">
        <v>6.0999999999999999E-2</v>
      </c>
      <c r="AD104" s="7">
        <v>0</v>
      </c>
      <c r="AE104" s="7">
        <v>0.189</v>
      </c>
      <c r="AF104" s="7">
        <v>7.0000000000000001E-3</v>
      </c>
      <c r="AG104" s="7">
        <v>0</v>
      </c>
      <c r="AH104" s="7">
        <v>13095.200999999999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0.13600000000000001</v>
      </c>
      <c r="AP104" s="7">
        <v>0</v>
      </c>
      <c r="AQ104" s="7">
        <v>1E-3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4.3999999999999997E-2</v>
      </c>
      <c r="BC104" s="7">
        <v>0</v>
      </c>
      <c r="BD104" s="7">
        <v>0</v>
      </c>
      <c r="BE104" s="7">
        <v>1.2E-2</v>
      </c>
      <c r="BF104" s="7">
        <v>1.2E-2</v>
      </c>
      <c r="BG104" s="7">
        <v>0</v>
      </c>
      <c r="BH104" s="7">
        <v>0</v>
      </c>
      <c r="BI104" s="7">
        <v>0</v>
      </c>
      <c r="BJ104" s="21"/>
    </row>
    <row r="105" spans="1:62" ht="15.6" x14ac:dyDescent="0.3">
      <c r="A105" s="5" t="s">
        <v>194</v>
      </c>
      <c r="B105" s="5" t="s">
        <v>195</v>
      </c>
      <c r="C105" s="7">
        <v>4</v>
      </c>
      <c r="D105" s="7">
        <v>4</v>
      </c>
      <c r="E105" s="7">
        <v>459223.90100000001</v>
      </c>
      <c r="F105" s="7">
        <v>88899.410999999993</v>
      </c>
      <c r="G105" s="7">
        <v>0</v>
      </c>
      <c r="H105" s="7">
        <v>10156.146000000001</v>
      </c>
      <c r="I105" s="7">
        <v>3095.1849999999999</v>
      </c>
      <c r="J105" s="7">
        <v>0</v>
      </c>
      <c r="K105" s="7">
        <v>0</v>
      </c>
      <c r="L105" s="7">
        <v>1059108.6629999999</v>
      </c>
      <c r="M105" s="7">
        <v>59648.749000000003</v>
      </c>
      <c r="N105" s="7">
        <v>0</v>
      </c>
      <c r="O105" s="7">
        <v>119.67</v>
      </c>
      <c r="P105" s="7">
        <v>16.091999999999999</v>
      </c>
      <c r="Q105" s="7">
        <v>130.63900000000001</v>
      </c>
      <c r="R105" s="7">
        <v>0</v>
      </c>
      <c r="S105" s="7">
        <v>27221.260999999999</v>
      </c>
      <c r="T105" s="7">
        <v>0</v>
      </c>
      <c r="U105" s="7">
        <v>0</v>
      </c>
      <c r="V105" s="7">
        <v>0</v>
      </c>
      <c r="W105" s="7">
        <v>9524.3979999999992</v>
      </c>
      <c r="X105" s="7">
        <v>0</v>
      </c>
      <c r="Y105" s="7">
        <v>214003.03400000001</v>
      </c>
      <c r="Z105" s="7">
        <v>0</v>
      </c>
      <c r="AA105" s="7">
        <v>0</v>
      </c>
      <c r="AB105" s="7">
        <v>7568.9840000000004</v>
      </c>
      <c r="AC105" s="7">
        <v>16702.192999999999</v>
      </c>
      <c r="AD105" s="7">
        <v>0</v>
      </c>
      <c r="AE105" s="7">
        <v>529896.06099999999</v>
      </c>
      <c r="AF105" s="7">
        <v>368730.82199999999</v>
      </c>
      <c r="AG105" s="7">
        <v>0</v>
      </c>
      <c r="AH105" s="7">
        <v>1775433.0560000001</v>
      </c>
      <c r="AI105" s="7">
        <v>614622.33499999996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16714.379000000001</v>
      </c>
      <c r="AP105" s="7">
        <v>0</v>
      </c>
      <c r="AQ105" s="7">
        <v>140231.91</v>
      </c>
      <c r="AR105" s="7">
        <v>0</v>
      </c>
      <c r="AS105" s="7">
        <v>269.089</v>
      </c>
      <c r="AT105" s="7">
        <v>0</v>
      </c>
      <c r="AU105" s="7">
        <v>1798.1659999999999</v>
      </c>
      <c r="AV105" s="7">
        <v>0</v>
      </c>
      <c r="AW105" s="7">
        <v>0</v>
      </c>
      <c r="AX105" s="7">
        <v>0</v>
      </c>
      <c r="AY105" s="7">
        <v>5342.1540000000005</v>
      </c>
      <c r="AZ105" s="7">
        <v>168973.86600000001</v>
      </c>
      <c r="BA105" s="7">
        <v>0</v>
      </c>
      <c r="BB105" s="7">
        <v>5623.3779999999997</v>
      </c>
      <c r="BC105" s="7">
        <v>0</v>
      </c>
      <c r="BD105" s="7">
        <v>206997.633</v>
      </c>
      <c r="BE105" s="7">
        <v>1509.79</v>
      </c>
      <c r="BF105" s="7">
        <v>1509.79</v>
      </c>
      <c r="BG105" s="7">
        <v>70075.633000000002</v>
      </c>
      <c r="BH105" s="7">
        <v>0</v>
      </c>
      <c r="BI105" s="7">
        <v>0</v>
      </c>
      <c r="BJ105" s="21"/>
    </row>
    <row r="106" spans="1:62" ht="15.6" x14ac:dyDescent="0.3">
      <c r="A106" s="5" t="s">
        <v>196</v>
      </c>
      <c r="B106" s="5" t="s">
        <v>197</v>
      </c>
      <c r="C106" s="7">
        <v>4</v>
      </c>
      <c r="D106" s="7">
        <v>4</v>
      </c>
      <c r="E106" s="7">
        <v>242169.41899999999</v>
      </c>
      <c r="F106" s="7">
        <v>44657.678</v>
      </c>
      <c r="G106" s="7">
        <v>0</v>
      </c>
      <c r="H106" s="7">
        <v>3772.3220000000001</v>
      </c>
      <c r="I106" s="7">
        <v>1648.9739999999999</v>
      </c>
      <c r="J106" s="7">
        <v>0</v>
      </c>
      <c r="K106" s="7">
        <v>0</v>
      </c>
      <c r="L106" s="7">
        <v>557140.12</v>
      </c>
      <c r="M106" s="7">
        <v>31778.142</v>
      </c>
      <c r="N106" s="7">
        <v>0</v>
      </c>
      <c r="O106" s="7">
        <v>23.315000000000001</v>
      </c>
      <c r="P106" s="7">
        <v>8.5730000000000004</v>
      </c>
      <c r="Q106" s="7">
        <v>25.452000000000002</v>
      </c>
      <c r="R106" s="7">
        <v>0</v>
      </c>
      <c r="S106" s="7">
        <v>14502.25</v>
      </c>
      <c r="T106" s="7">
        <v>0</v>
      </c>
      <c r="U106" s="7">
        <v>0</v>
      </c>
      <c r="V106" s="7">
        <v>0</v>
      </c>
      <c r="W106" s="7">
        <v>5074.1660000000002</v>
      </c>
      <c r="X106" s="7">
        <v>0</v>
      </c>
      <c r="Y106" s="7">
        <v>114011.08900000001</v>
      </c>
      <c r="Z106" s="7">
        <v>0</v>
      </c>
      <c r="AA106" s="7">
        <v>0</v>
      </c>
      <c r="AB106" s="7">
        <v>1474.6669999999999</v>
      </c>
      <c r="AC106" s="7">
        <v>8898.1689999999999</v>
      </c>
      <c r="AD106" s="7">
        <v>0</v>
      </c>
      <c r="AE106" s="7">
        <v>280493.16200000001</v>
      </c>
      <c r="AF106" s="7">
        <v>196443.02100000001</v>
      </c>
      <c r="AG106" s="7">
        <v>0</v>
      </c>
      <c r="AH106" s="7">
        <v>938285.32400000002</v>
      </c>
      <c r="AI106" s="7">
        <v>327442.842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8904.6620000000003</v>
      </c>
      <c r="AP106" s="7">
        <v>0</v>
      </c>
      <c r="AQ106" s="7">
        <v>74709.187000000005</v>
      </c>
      <c r="AR106" s="7">
        <v>0</v>
      </c>
      <c r="AS106" s="7">
        <v>143.358</v>
      </c>
      <c r="AT106" s="7">
        <v>0</v>
      </c>
      <c r="AU106" s="7">
        <v>957.98099999999999</v>
      </c>
      <c r="AV106" s="7">
        <v>0</v>
      </c>
      <c r="AW106" s="7">
        <v>0</v>
      </c>
      <c r="AX106" s="7">
        <v>0</v>
      </c>
      <c r="AY106" s="7">
        <v>2846.0569999999998</v>
      </c>
      <c r="AZ106" s="7">
        <v>90021.595000000001</v>
      </c>
      <c r="BA106" s="7">
        <v>0</v>
      </c>
      <c r="BB106" s="7">
        <v>2995.88</v>
      </c>
      <c r="BC106" s="7">
        <v>0</v>
      </c>
      <c r="BD106" s="7">
        <v>110278.929</v>
      </c>
      <c r="BE106" s="7">
        <v>804.34699999999998</v>
      </c>
      <c r="BF106" s="7">
        <v>804.34699999999998</v>
      </c>
      <c r="BG106" s="7">
        <v>37333.112000000001</v>
      </c>
      <c r="BH106" s="7">
        <v>0</v>
      </c>
      <c r="BI106" s="7">
        <v>0</v>
      </c>
      <c r="BJ106" s="21"/>
    </row>
    <row r="107" spans="1:62" ht="15.6" x14ac:dyDescent="0.3">
      <c r="A107" s="5" t="s">
        <v>198</v>
      </c>
      <c r="B107" s="5" t="s">
        <v>199</v>
      </c>
      <c r="C107" s="7">
        <v>4</v>
      </c>
      <c r="D107" s="7">
        <v>4</v>
      </c>
      <c r="E107" s="7">
        <v>100788.29399999999</v>
      </c>
      <c r="F107" s="7">
        <v>18168.213</v>
      </c>
      <c r="G107" s="7">
        <v>238.81800000000001</v>
      </c>
      <c r="H107" s="7">
        <v>4821.2349999999997</v>
      </c>
      <c r="I107" s="7">
        <v>680.55899999999997</v>
      </c>
      <c r="J107" s="7">
        <v>139.48400000000001</v>
      </c>
      <c r="K107" s="7">
        <v>0</v>
      </c>
      <c r="L107" s="7">
        <v>223904.66899999999</v>
      </c>
      <c r="M107" s="7">
        <v>13879.924999999999</v>
      </c>
      <c r="N107" s="7">
        <v>0</v>
      </c>
      <c r="O107" s="7">
        <v>129.08600000000001</v>
      </c>
      <c r="P107" s="7">
        <v>3.4359999999999999</v>
      </c>
      <c r="Q107" s="7">
        <v>140.91800000000001</v>
      </c>
      <c r="R107" s="7">
        <v>0</v>
      </c>
      <c r="S107" s="7">
        <v>5845.0370000000003</v>
      </c>
      <c r="T107" s="7">
        <v>0</v>
      </c>
      <c r="U107" s="7">
        <v>0</v>
      </c>
      <c r="V107" s="7">
        <v>33</v>
      </c>
      <c r="W107" s="7">
        <v>2066.8980000000001</v>
      </c>
      <c r="X107" s="7">
        <v>0</v>
      </c>
      <c r="Y107" s="7">
        <v>45600.923000000003</v>
      </c>
      <c r="Z107" s="7">
        <v>0</v>
      </c>
      <c r="AA107" s="7">
        <v>377.27499999999998</v>
      </c>
      <c r="AB107" s="7">
        <v>8164.5370000000003</v>
      </c>
      <c r="AC107" s="7">
        <v>3570.2710000000002</v>
      </c>
      <c r="AD107" s="7">
        <v>0</v>
      </c>
      <c r="AE107" s="7">
        <v>117303.423</v>
      </c>
      <c r="AF107" s="7">
        <v>78255.828999999998</v>
      </c>
      <c r="AG107" s="7">
        <v>0</v>
      </c>
      <c r="AH107" s="7">
        <v>376816.56400000001</v>
      </c>
      <c r="AI107" s="7">
        <v>130446.368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3572.8359999999998</v>
      </c>
      <c r="AP107" s="7">
        <v>0</v>
      </c>
      <c r="AQ107" s="7">
        <v>29760.413</v>
      </c>
      <c r="AR107" s="7">
        <v>0</v>
      </c>
      <c r="AS107" s="7">
        <v>57.713000000000001</v>
      </c>
      <c r="AT107" s="7">
        <v>0</v>
      </c>
      <c r="AU107" s="7">
        <v>398.50599999999997</v>
      </c>
      <c r="AV107" s="7">
        <v>0</v>
      </c>
      <c r="AW107" s="7">
        <v>0</v>
      </c>
      <c r="AX107" s="7">
        <v>0</v>
      </c>
      <c r="AY107" s="7">
        <v>1152.5309999999999</v>
      </c>
      <c r="AZ107" s="7">
        <v>35860.112000000001</v>
      </c>
      <c r="BA107" s="7">
        <v>0</v>
      </c>
      <c r="BB107" s="7">
        <v>1202.08</v>
      </c>
      <c r="BC107" s="7">
        <v>14.686</v>
      </c>
      <c r="BD107" s="7">
        <v>43929.623</v>
      </c>
      <c r="BE107" s="7">
        <v>322.81299999999999</v>
      </c>
      <c r="BF107" s="7">
        <v>322.81299999999999</v>
      </c>
      <c r="BG107" s="7">
        <v>14871.648999999999</v>
      </c>
      <c r="BH107" s="7">
        <v>0</v>
      </c>
      <c r="BI107" s="7">
        <v>5.1520000000000001</v>
      </c>
      <c r="BJ107" s="21"/>
    </row>
    <row r="108" spans="1:62" ht="15.6" x14ac:dyDescent="0.3">
      <c r="A108" s="5" t="s">
        <v>200</v>
      </c>
      <c r="B108" s="5" t="s">
        <v>201</v>
      </c>
      <c r="C108" s="7">
        <v>4</v>
      </c>
      <c r="D108" s="7">
        <v>4</v>
      </c>
      <c r="E108" s="7">
        <v>349.35899999999998</v>
      </c>
      <c r="F108" s="7">
        <v>60.238</v>
      </c>
      <c r="G108" s="7">
        <v>1.2569999999999999</v>
      </c>
      <c r="H108" s="7">
        <v>0</v>
      </c>
      <c r="I108" s="7">
        <v>2.319</v>
      </c>
      <c r="J108" s="7">
        <v>0.73399999999999999</v>
      </c>
      <c r="K108" s="7">
        <v>0</v>
      </c>
      <c r="L108" s="7">
        <v>743.71299999999997</v>
      </c>
      <c r="M108" s="7">
        <v>45.249000000000002</v>
      </c>
      <c r="N108" s="7">
        <v>0</v>
      </c>
      <c r="O108" s="7">
        <v>1.0569999999999999</v>
      </c>
      <c r="P108" s="7">
        <v>1.2E-2</v>
      </c>
      <c r="Q108" s="7">
        <v>1.1539999999999999</v>
      </c>
      <c r="R108" s="7">
        <v>0</v>
      </c>
      <c r="S108" s="7">
        <v>19.652999999999999</v>
      </c>
      <c r="T108" s="7">
        <v>0</v>
      </c>
      <c r="U108" s="7">
        <v>0</v>
      </c>
      <c r="V108" s="7">
        <v>0.17399999999999999</v>
      </c>
      <c r="W108" s="7">
        <v>6.9909999999999997</v>
      </c>
      <c r="X108" s="7">
        <v>0</v>
      </c>
      <c r="Y108" s="7">
        <v>152.65700000000001</v>
      </c>
      <c r="Z108" s="7">
        <v>0</v>
      </c>
      <c r="AA108" s="7">
        <v>1.9850000000000001</v>
      </c>
      <c r="AB108" s="7">
        <v>66.88</v>
      </c>
      <c r="AC108" s="7">
        <v>11.974</v>
      </c>
      <c r="AD108" s="7">
        <v>0</v>
      </c>
      <c r="AE108" s="7">
        <v>420.22300000000001</v>
      </c>
      <c r="AF108" s="7">
        <v>261.35700000000003</v>
      </c>
      <c r="AG108" s="7">
        <v>0</v>
      </c>
      <c r="AH108" s="7">
        <v>1253.845</v>
      </c>
      <c r="AI108" s="7">
        <v>435.64499999999998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11.981999999999999</v>
      </c>
      <c r="AP108" s="7">
        <v>0</v>
      </c>
      <c r="AQ108" s="7">
        <v>99.397000000000006</v>
      </c>
      <c r="AR108" s="7">
        <v>0</v>
      </c>
      <c r="AS108" s="7">
        <v>0.19400000000000001</v>
      </c>
      <c r="AT108" s="7">
        <v>0</v>
      </c>
      <c r="AU108" s="7">
        <v>1.363</v>
      </c>
      <c r="AV108" s="7">
        <v>0</v>
      </c>
      <c r="AW108" s="7">
        <v>0</v>
      </c>
      <c r="AX108" s="7">
        <v>0</v>
      </c>
      <c r="AY108" s="7">
        <v>3.8849999999999998</v>
      </c>
      <c r="AZ108" s="7">
        <v>119.76900000000001</v>
      </c>
      <c r="BA108" s="7">
        <v>0</v>
      </c>
      <c r="BB108" s="7">
        <v>4.0309999999999997</v>
      </c>
      <c r="BC108" s="7">
        <v>7.6999999999999999E-2</v>
      </c>
      <c r="BD108" s="7">
        <v>146.72</v>
      </c>
      <c r="BE108" s="7">
        <v>1.083</v>
      </c>
      <c r="BF108" s="7">
        <v>1.083</v>
      </c>
      <c r="BG108" s="7">
        <v>49.67</v>
      </c>
      <c r="BH108" s="7">
        <v>0</v>
      </c>
      <c r="BI108" s="7">
        <v>2.7E-2</v>
      </c>
      <c r="BJ108" s="21"/>
    </row>
    <row r="109" spans="1:62" ht="15.6" x14ac:dyDescent="0.3">
      <c r="A109" s="5" t="s">
        <v>202</v>
      </c>
      <c r="B109" s="5" t="s">
        <v>203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21"/>
    </row>
    <row r="110" spans="1:62" ht="15.6" x14ac:dyDescent="0.3">
      <c r="A110" s="5" t="s">
        <v>204</v>
      </c>
      <c r="B110" s="5" t="s">
        <v>205</v>
      </c>
      <c r="C110" s="7">
        <v>4</v>
      </c>
      <c r="D110" s="7">
        <v>4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21"/>
    </row>
    <row r="111" spans="1:62" ht="15.6" x14ac:dyDescent="0.3">
      <c r="A111" s="5" t="s">
        <v>206</v>
      </c>
      <c r="B111" s="5" t="s">
        <v>207</v>
      </c>
      <c r="C111" s="7">
        <v>6</v>
      </c>
      <c r="D111" s="7">
        <v>6</v>
      </c>
      <c r="E111" s="7">
        <v>98960.46</v>
      </c>
      <c r="F111" s="7">
        <v>562.05899999999997</v>
      </c>
      <c r="G111" s="7">
        <v>0</v>
      </c>
      <c r="H111" s="7">
        <v>10144.674000000001</v>
      </c>
      <c r="I111" s="7">
        <v>0.04</v>
      </c>
      <c r="J111" s="7">
        <v>0</v>
      </c>
      <c r="K111" s="7">
        <v>0</v>
      </c>
      <c r="L111" s="7">
        <v>139820.67000000001</v>
      </c>
      <c r="M111" s="7">
        <v>21953.614000000001</v>
      </c>
      <c r="N111" s="7">
        <v>0</v>
      </c>
      <c r="O111" s="7">
        <v>0</v>
      </c>
      <c r="P111" s="7">
        <v>0</v>
      </c>
      <c r="Q111" s="7">
        <v>0</v>
      </c>
      <c r="R111" s="7">
        <v>2E-3</v>
      </c>
      <c r="S111" s="7">
        <v>0.35499999999999998</v>
      </c>
      <c r="T111" s="7">
        <v>0</v>
      </c>
      <c r="U111" s="7">
        <v>0</v>
      </c>
      <c r="V111" s="7">
        <v>0</v>
      </c>
      <c r="W111" s="7">
        <v>0.124</v>
      </c>
      <c r="X111" s="7">
        <v>0</v>
      </c>
      <c r="Y111" s="7">
        <v>35662.667999999998</v>
      </c>
      <c r="Z111" s="7">
        <v>0</v>
      </c>
      <c r="AA111" s="7">
        <v>0</v>
      </c>
      <c r="AB111" s="7">
        <v>0</v>
      </c>
      <c r="AC111" s="7">
        <v>0.218</v>
      </c>
      <c r="AD111" s="7">
        <v>0</v>
      </c>
      <c r="AE111" s="7">
        <v>121220.50900000001</v>
      </c>
      <c r="AF111" s="7">
        <v>6375.2629999999999</v>
      </c>
      <c r="AG111" s="7">
        <v>0</v>
      </c>
      <c r="AH111" s="7">
        <v>330012.41700000002</v>
      </c>
      <c r="AI111" s="7">
        <v>7820.0169999999998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0.218</v>
      </c>
      <c r="AP111" s="7">
        <v>0</v>
      </c>
      <c r="AQ111" s="7">
        <v>1.83</v>
      </c>
      <c r="AR111" s="7">
        <v>0</v>
      </c>
      <c r="AS111" s="7">
        <v>8.9999999999999993E-3</v>
      </c>
      <c r="AT111" s="7">
        <v>0</v>
      </c>
      <c r="AU111" s="7">
        <v>2.3E-2</v>
      </c>
      <c r="AV111" s="7">
        <v>0</v>
      </c>
      <c r="AW111" s="7">
        <v>0</v>
      </c>
      <c r="AX111" s="7">
        <v>0</v>
      </c>
      <c r="AY111" s="7">
        <v>7.0000000000000007E-2</v>
      </c>
      <c r="AZ111" s="7">
        <v>2.2050000000000001</v>
      </c>
      <c r="BA111" s="7">
        <v>0</v>
      </c>
      <c r="BB111" s="7">
        <v>7.2999999999999995E-2</v>
      </c>
      <c r="BC111" s="7">
        <v>0</v>
      </c>
      <c r="BD111" s="7">
        <v>2.7010000000000001</v>
      </c>
      <c r="BE111" s="7">
        <v>0.02</v>
      </c>
      <c r="BF111" s="7">
        <v>0.02</v>
      </c>
      <c r="BG111" s="7">
        <v>0.91400000000000003</v>
      </c>
      <c r="BH111" s="7">
        <v>0</v>
      </c>
      <c r="BI111" s="7">
        <v>0</v>
      </c>
      <c r="BJ111" s="21"/>
    </row>
    <row r="112" spans="1:62" ht="15.6" x14ac:dyDescent="0.3">
      <c r="A112" s="5" t="s">
        <v>208</v>
      </c>
      <c r="B112" s="5" t="s">
        <v>209</v>
      </c>
      <c r="C112" s="7">
        <v>4</v>
      </c>
      <c r="D112" s="7">
        <v>4</v>
      </c>
      <c r="E112" s="7">
        <v>109011.96799999999</v>
      </c>
      <c r="F112" s="7">
        <v>20170.258000000002</v>
      </c>
      <c r="G112" s="7">
        <v>0</v>
      </c>
      <c r="H112" s="7">
        <v>0</v>
      </c>
      <c r="I112" s="7">
        <v>741.52700000000004</v>
      </c>
      <c r="J112" s="7">
        <v>0</v>
      </c>
      <c r="K112" s="7">
        <v>0</v>
      </c>
      <c r="L112" s="7">
        <v>251830.462</v>
      </c>
      <c r="M112" s="7">
        <v>14273.81</v>
      </c>
      <c r="N112" s="7">
        <v>0</v>
      </c>
      <c r="O112" s="7">
        <v>0</v>
      </c>
      <c r="P112" s="7">
        <v>3.8370000000000002</v>
      </c>
      <c r="Q112" s="7">
        <v>0</v>
      </c>
      <c r="R112" s="7">
        <v>0</v>
      </c>
      <c r="S112" s="7">
        <v>6544.759</v>
      </c>
      <c r="T112" s="7">
        <v>0</v>
      </c>
      <c r="U112" s="7">
        <v>0</v>
      </c>
      <c r="V112" s="7">
        <v>0</v>
      </c>
      <c r="W112" s="7">
        <v>2287.3049999999998</v>
      </c>
      <c r="X112" s="7">
        <v>0</v>
      </c>
      <c r="Y112" s="7">
        <v>51463.760999999999</v>
      </c>
      <c r="Z112" s="7">
        <v>0</v>
      </c>
      <c r="AA112" s="7">
        <v>0</v>
      </c>
      <c r="AB112" s="7">
        <v>7.9290000000000003</v>
      </c>
      <c r="AC112" s="7">
        <v>4014.5030000000002</v>
      </c>
      <c r="AD112" s="7">
        <v>0</v>
      </c>
      <c r="AE112" s="7">
        <v>126193.652</v>
      </c>
      <c r="AF112" s="7">
        <v>88749.387000000002</v>
      </c>
      <c r="AG112" s="7">
        <v>0</v>
      </c>
      <c r="AH112" s="7">
        <v>424357.26799999998</v>
      </c>
      <c r="AI112" s="7">
        <v>147786.32699999999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4025.1109999999999</v>
      </c>
      <c r="AP112" s="7">
        <v>0</v>
      </c>
      <c r="AQ112" s="7">
        <v>33754.639000000003</v>
      </c>
      <c r="AR112" s="7">
        <v>0</v>
      </c>
      <c r="AS112" s="7">
        <v>64.739000000000004</v>
      </c>
      <c r="AT112" s="7">
        <v>0</v>
      </c>
      <c r="AU112" s="7">
        <v>559.94399999999996</v>
      </c>
      <c r="AV112" s="7">
        <v>0</v>
      </c>
      <c r="AW112" s="7">
        <v>0</v>
      </c>
      <c r="AX112" s="7">
        <v>0</v>
      </c>
      <c r="AY112" s="7">
        <v>1273.752</v>
      </c>
      <c r="AZ112" s="7">
        <v>40289.15</v>
      </c>
      <c r="BA112" s="7">
        <v>0</v>
      </c>
      <c r="BB112" s="7">
        <v>1354.307</v>
      </c>
      <c r="BC112" s="7">
        <v>0</v>
      </c>
      <c r="BD112" s="7">
        <v>49355.317000000003</v>
      </c>
      <c r="BE112" s="7">
        <v>363.87700000000001</v>
      </c>
      <c r="BF112" s="7">
        <v>363.87700000000001</v>
      </c>
      <c r="BG112" s="7">
        <v>16708.428</v>
      </c>
      <c r="BH112" s="7">
        <v>0</v>
      </c>
      <c r="BI112" s="7">
        <v>0</v>
      </c>
      <c r="BJ112" s="21"/>
    </row>
    <row r="113" spans="1:62" ht="15.6" x14ac:dyDescent="0.3">
      <c r="A113" s="5" t="s">
        <v>210</v>
      </c>
      <c r="B113" s="5" t="s">
        <v>211</v>
      </c>
      <c r="C113" s="7">
        <v>4</v>
      </c>
      <c r="D113" s="7">
        <v>4</v>
      </c>
      <c r="E113" s="7">
        <v>154277.416</v>
      </c>
      <c r="F113" s="7">
        <v>36296.512999999999</v>
      </c>
      <c r="G113" s="7">
        <v>0</v>
      </c>
      <c r="H113" s="7">
        <v>0</v>
      </c>
      <c r="I113" s="7">
        <v>936.07500000000005</v>
      </c>
      <c r="J113" s="7">
        <v>0</v>
      </c>
      <c r="K113" s="7">
        <v>0</v>
      </c>
      <c r="L113" s="7">
        <v>391691.92599999998</v>
      </c>
      <c r="M113" s="7">
        <v>14820.504999999999</v>
      </c>
      <c r="N113" s="7">
        <v>0</v>
      </c>
      <c r="O113" s="7">
        <v>0</v>
      </c>
      <c r="P113" s="7">
        <v>0.36699999999999999</v>
      </c>
      <c r="Q113" s="7">
        <v>0</v>
      </c>
      <c r="R113" s="7">
        <v>0</v>
      </c>
      <c r="S113" s="7">
        <v>11397.768</v>
      </c>
      <c r="T113" s="7">
        <v>0</v>
      </c>
      <c r="U113" s="7">
        <v>0</v>
      </c>
      <c r="V113" s="7">
        <v>0</v>
      </c>
      <c r="W113" s="7">
        <v>3518.2089999999998</v>
      </c>
      <c r="X113" s="7">
        <v>80503.308000000005</v>
      </c>
      <c r="Y113" s="7">
        <v>81840.701000000001</v>
      </c>
      <c r="Z113" s="7">
        <v>0</v>
      </c>
      <c r="AA113" s="7">
        <v>0</v>
      </c>
      <c r="AB113" s="7">
        <v>0</v>
      </c>
      <c r="AC113" s="7">
        <v>6655.3540000000003</v>
      </c>
      <c r="AD113" s="7">
        <v>0</v>
      </c>
      <c r="AE113" s="7">
        <v>205325.18900000001</v>
      </c>
      <c r="AF113" s="7">
        <v>161914.56400000001</v>
      </c>
      <c r="AG113" s="7">
        <v>0</v>
      </c>
      <c r="AH113" s="7">
        <v>772069.58200000005</v>
      </c>
      <c r="AI113" s="7">
        <v>246074.035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7572.527</v>
      </c>
      <c r="AP113" s="7">
        <v>78901.600000000006</v>
      </c>
      <c r="AQ113" s="7">
        <v>60147.790999999997</v>
      </c>
      <c r="AR113" s="7">
        <v>24472.115000000002</v>
      </c>
      <c r="AS113" s="7">
        <v>110.621</v>
      </c>
      <c r="AT113" s="7">
        <v>0</v>
      </c>
      <c r="AU113" s="7">
        <v>687.81700000000001</v>
      </c>
      <c r="AV113" s="7">
        <v>72630.44</v>
      </c>
      <c r="AW113" s="7">
        <v>119070.85</v>
      </c>
      <c r="AX113" s="7">
        <v>95004.187000000005</v>
      </c>
      <c r="AY113" s="7">
        <v>121.926</v>
      </c>
      <c r="AZ113" s="7">
        <v>3856.558</v>
      </c>
      <c r="BA113" s="7">
        <v>69454.596000000005</v>
      </c>
      <c r="BB113" s="7">
        <v>2565.8710000000001</v>
      </c>
      <c r="BC113" s="7">
        <v>0</v>
      </c>
      <c r="BD113" s="7">
        <v>4724.3900000000003</v>
      </c>
      <c r="BE113" s="7">
        <v>737.07500000000005</v>
      </c>
      <c r="BF113" s="7">
        <v>737.07500000000005</v>
      </c>
      <c r="BG113" s="7">
        <v>1599.364</v>
      </c>
      <c r="BH113" s="7">
        <v>0</v>
      </c>
      <c r="BI113" s="7">
        <v>0</v>
      </c>
      <c r="BJ113" s="21"/>
    </row>
    <row r="114" spans="1:62" ht="15.6" x14ac:dyDescent="0.3">
      <c r="A114" s="5" t="s">
        <v>212</v>
      </c>
      <c r="B114" s="5" t="s">
        <v>213</v>
      </c>
      <c r="C114" s="7">
        <v>4</v>
      </c>
      <c r="D114" s="7">
        <v>4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21"/>
    </row>
    <row r="115" spans="1:62" ht="15.6" x14ac:dyDescent="0.3">
      <c r="A115" s="5" t="s">
        <v>214</v>
      </c>
      <c r="B115" s="5" t="s">
        <v>215</v>
      </c>
      <c r="C115" s="7">
        <v>6</v>
      </c>
      <c r="D115" s="7">
        <v>6</v>
      </c>
      <c r="E115" s="7">
        <v>3633.3330000000001</v>
      </c>
      <c r="F115" s="7">
        <v>227.92400000000001</v>
      </c>
      <c r="G115" s="7">
        <v>268.48200000000003</v>
      </c>
      <c r="H115" s="7">
        <v>0</v>
      </c>
      <c r="I115" s="7">
        <v>46.801000000000002</v>
      </c>
      <c r="J115" s="7">
        <v>163.35</v>
      </c>
      <c r="K115" s="7">
        <v>0</v>
      </c>
      <c r="L115" s="7">
        <v>4775</v>
      </c>
      <c r="M115" s="7">
        <v>934.34299999999996</v>
      </c>
      <c r="N115" s="7">
        <v>0</v>
      </c>
      <c r="O115" s="7">
        <v>0</v>
      </c>
      <c r="P115" s="7">
        <v>8.4770000000000003</v>
      </c>
      <c r="Q115" s="7">
        <v>0</v>
      </c>
      <c r="R115" s="7">
        <v>0</v>
      </c>
      <c r="S115" s="7">
        <v>8.2000000000000003E-2</v>
      </c>
      <c r="T115" s="7">
        <v>0</v>
      </c>
      <c r="U115" s="7">
        <v>0</v>
      </c>
      <c r="V115" s="7">
        <v>26.042999999999999</v>
      </c>
      <c r="W115" s="7">
        <v>77.227000000000004</v>
      </c>
      <c r="X115" s="7">
        <v>0</v>
      </c>
      <c r="Y115" s="7">
        <v>1668.87</v>
      </c>
      <c r="Z115" s="7">
        <v>0</v>
      </c>
      <c r="AA115" s="7">
        <v>212.60900000000001</v>
      </c>
      <c r="AB115" s="7">
        <v>0</v>
      </c>
      <c r="AC115" s="7">
        <v>33.491999999999997</v>
      </c>
      <c r="AD115" s="7">
        <v>0</v>
      </c>
      <c r="AE115" s="7">
        <v>3558.3609999999999</v>
      </c>
      <c r="AF115" s="7">
        <v>35.335000000000001</v>
      </c>
      <c r="AG115" s="7">
        <v>0</v>
      </c>
      <c r="AH115" s="7">
        <v>18576.534</v>
      </c>
      <c r="AI115" s="7">
        <v>2133.4229999999998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7.4999999999999997E-2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2.4E-2</v>
      </c>
      <c r="BC115" s="7">
        <v>0</v>
      </c>
      <c r="BD115" s="7">
        <v>0</v>
      </c>
      <c r="BE115" s="7">
        <v>7.0000000000000001E-3</v>
      </c>
      <c r="BF115" s="7">
        <v>7.0000000000000001E-3</v>
      </c>
      <c r="BG115" s="7">
        <v>0</v>
      </c>
      <c r="BH115" s="7">
        <v>0</v>
      </c>
      <c r="BI115" s="7">
        <v>0</v>
      </c>
      <c r="BJ115" s="21"/>
    </row>
    <row r="116" spans="1:62" ht="15.6" x14ac:dyDescent="0.3">
      <c r="A116" s="5" t="s">
        <v>216</v>
      </c>
      <c r="B116" s="5" t="s">
        <v>217</v>
      </c>
      <c r="C116" s="7">
        <v>6</v>
      </c>
      <c r="D116" s="7">
        <v>6</v>
      </c>
      <c r="E116" s="7">
        <v>82833.38</v>
      </c>
      <c r="F116" s="7">
        <v>828.74099999999999</v>
      </c>
      <c r="G116" s="7">
        <v>0</v>
      </c>
      <c r="H116" s="7">
        <v>0</v>
      </c>
      <c r="I116" s="7">
        <v>77.694000000000003</v>
      </c>
      <c r="J116" s="7">
        <v>0</v>
      </c>
      <c r="K116" s="7">
        <v>0</v>
      </c>
      <c r="L116" s="7">
        <v>168962.236</v>
      </c>
      <c r="M116" s="7">
        <v>37228.536999999997</v>
      </c>
      <c r="N116" s="7">
        <v>0</v>
      </c>
      <c r="O116" s="7">
        <v>0</v>
      </c>
      <c r="P116" s="7">
        <v>25.898</v>
      </c>
      <c r="Q116" s="7">
        <v>0</v>
      </c>
      <c r="R116" s="7">
        <v>25.898</v>
      </c>
      <c r="S116" s="7">
        <v>0</v>
      </c>
      <c r="T116" s="7">
        <v>0</v>
      </c>
      <c r="U116" s="7">
        <v>0</v>
      </c>
      <c r="V116" s="7">
        <v>0</v>
      </c>
      <c r="W116" s="7">
        <v>258.98099999999999</v>
      </c>
      <c r="X116" s="7">
        <v>0</v>
      </c>
      <c r="Y116" s="7">
        <v>17431.329000000002</v>
      </c>
      <c r="Z116" s="7">
        <v>0</v>
      </c>
      <c r="AA116" s="7">
        <v>2434.4250000000002</v>
      </c>
      <c r="AB116" s="7">
        <v>0</v>
      </c>
      <c r="AC116" s="7">
        <v>207.185</v>
      </c>
      <c r="AD116" s="7">
        <v>0</v>
      </c>
      <c r="AE116" s="7">
        <v>51134.26</v>
      </c>
      <c r="AF116" s="7">
        <v>8.0000000000000002E-3</v>
      </c>
      <c r="AG116" s="7">
        <v>0</v>
      </c>
      <c r="AH116" s="7">
        <v>256497.21100000001</v>
      </c>
      <c r="AI116" s="7">
        <v>1.0999999999999999E-2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21"/>
    </row>
    <row r="117" spans="1:62" ht="15.6" x14ac:dyDescent="0.3">
      <c r="A117" s="5" t="s">
        <v>218</v>
      </c>
      <c r="B117" s="5" t="s">
        <v>219</v>
      </c>
      <c r="C117" s="7">
        <v>4</v>
      </c>
      <c r="D117" s="7">
        <v>4</v>
      </c>
      <c r="E117" s="7">
        <v>48400.87</v>
      </c>
      <c r="F117" s="7">
        <v>8695.5830000000005</v>
      </c>
      <c r="G117" s="7">
        <v>0</v>
      </c>
      <c r="H117" s="7">
        <v>28716.874</v>
      </c>
      <c r="I117" s="7">
        <v>321.08199999999999</v>
      </c>
      <c r="J117" s="7">
        <v>0</v>
      </c>
      <c r="K117" s="7">
        <v>0</v>
      </c>
      <c r="L117" s="7">
        <v>108490.145</v>
      </c>
      <c r="M117" s="7">
        <v>6187.7259999999997</v>
      </c>
      <c r="N117" s="7">
        <v>0</v>
      </c>
      <c r="O117" s="7">
        <v>64.965000000000003</v>
      </c>
      <c r="P117" s="7">
        <v>1.669</v>
      </c>
      <c r="Q117" s="7">
        <v>70.918999999999997</v>
      </c>
      <c r="R117" s="7">
        <v>0</v>
      </c>
      <c r="S117" s="7">
        <v>2823.826</v>
      </c>
      <c r="T117" s="7">
        <v>0</v>
      </c>
      <c r="U117" s="7">
        <v>0</v>
      </c>
      <c r="V117" s="7">
        <v>0</v>
      </c>
      <c r="W117" s="7">
        <v>988.024</v>
      </c>
      <c r="X117" s="7">
        <v>0</v>
      </c>
      <c r="Y117" s="7">
        <v>22199.830999999998</v>
      </c>
      <c r="Z117" s="7">
        <v>0</v>
      </c>
      <c r="AA117" s="7">
        <v>0</v>
      </c>
      <c r="AB117" s="7">
        <v>4108.9440000000004</v>
      </c>
      <c r="AC117" s="7">
        <v>1732.62</v>
      </c>
      <c r="AD117" s="7">
        <v>12349.325000000001</v>
      </c>
      <c r="AE117" s="7">
        <v>57323.192999999999</v>
      </c>
      <c r="AF117" s="7">
        <v>38250.682000000001</v>
      </c>
      <c r="AG117" s="7">
        <v>57147.110999999997</v>
      </c>
      <c r="AH117" s="7">
        <v>182699.56099999999</v>
      </c>
      <c r="AI117" s="7">
        <v>63758.499000000003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1733.884</v>
      </c>
      <c r="AP117" s="7">
        <v>0</v>
      </c>
      <c r="AQ117" s="7">
        <v>14547.106</v>
      </c>
      <c r="AR117" s="7">
        <v>0</v>
      </c>
      <c r="AS117" s="7">
        <v>27.914000000000001</v>
      </c>
      <c r="AT117" s="7">
        <v>0</v>
      </c>
      <c r="AU117" s="7">
        <v>2855.0230000000001</v>
      </c>
      <c r="AV117" s="7">
        <v>0</v>
      </c>
      <c r="AW117" s="7">
        <v>0</v>
      </c>
      <c r="AX117" s="7">
        <v>0</v>
      </c>
      <c r="AY117" s="7">
        <v>554.17399999999998</v>
      </c>
      <c r="AZ117" s="7">
        <v>38893.553</v>
      </c>
      <c r="BA117" s="7">
        <v>0</v>
      </c>
      <c r="BB117" s="7">
        <v>583.34699999999998</v>
      </c>
      <c r="BC117" s="7">
        <v>0</v>
      </c>
      <c r="BD117" s="7">
        <v>21473.118999999999</v>
      </c>
      <c r="BE117" s="7">
        <v>156.62</v>
      </c>
      <c r="BF117" s="7">
        <v>156.62</v>
      </c>
      <c r="BG117" s="7">
        <v>7269.37</v>
      </c>
      <c r="BH117" s="7">
        <v>0</v>
      </c>
      <c r="BI117" s="7">
        <v>0</v>
      </c>
      <c r="BJ117" s="21"/>
    </row>
    <row r="118" spans="1:62" ht="15.6" x14ac:dyDescent="0.3">
      <c r="A118" s="5" t="s">
        <v>220</v>
      </c>
      <c r="B118" s="5" t="s">
        <v>221</v>
      </c>
      <c r="C118" s="7">
        <v>4</v>
      </c>
      <c r="D118" s="7">
        <v>4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311.43099999999998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701555.15</v>
      </c>
      <c r="AL118" s="7">
        <v>376968.20500000002</v>
      </c>
      <c r="AM118" s="7">
        <v>0</v>
      </c>
      <c r="AN118" s="7">
        <v>248574.068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1774.2070000000001</v>
      </c>
      <c r="AV118" s="7">
        <v>0</v>
      </c>
      <c r="AW118" s="7">
        <v>0</v>
      </c>
      <c r="AX118" s="7">
        <v>367.52800000000002</v>
      </c>
      <c r="AY118" s="7">
        <v>0</v>
      </c>
      <c r="AZ118" s="7">
        <v>0</v>
      </c>
      <c r="BA118" s="7">
        <v>268.68900000000002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21"/>
    </row>
    <row r="119" spans="1:62" ht="15.6" x14ac:dyDescent="0.3">
      <c r="A119" s="5" t="s">
        <v>222</v>
      </c>
      <c r="B119" s="5" t="s">
        <v>223</v>
      </c>
      <c r="C119" s="7">
        <v>4</v>
      </c>
      <c r="D119" s="7">
        <v>3</v>
      </c>
      <c r="E119" s="7">
        <v>27580.54</v>
      </c>
      <c r="F119" s="7">
        <v>3789.88</v>
      </c>
      <c r="G119" s="7">
        <v>5784.3639999999996</v>
      </c>
      <c r="H119" s="7">
        <v>0</v>
      </c>
      <c r="I119" s="7">
        <v>573.79600000000005</v>
      </c>
      <c r="J119" s="7">
        <v>3378.4160000000002</v>
      </c>
      <c r="K119" s="7">
        <v>12056.013000000001</v>
      </c>
      <c r="L119" s="7">
        <v>10904.353999999999</v>
      </c>
      <c r="M119" s="7">
        <v>13671.44</v>
      </c>
      <c r="N119" s="7">
        <v>2908.27</v>
      </c>
      <c r="O119" s="7">
        <v>0</v>
      </c>
      <c r="P119" s="7">
        <v>0.49299999999999999</v>
      </c>
      <c r="Q119" s="7">
        <v>0</v>
      </c>
      <c r="R119" s="7">
        <v>0</v>
      </c>
      <c r="S119" s="7">
        <v>1648.5719999999999</v>
      </c>
      <c r="T119" s="7">
        <v>0</v>
      </c>
      <c r="U119" s="7">
        <v>9295.7330000000002</v>
      </c>
      <c r="V119" s="7">
        <v>799.28599999999994</v>
      </c>
      <c r="W119" s="7">
        <v>1104.5419999999999</v>
      </c>
      <c r="X119" s="7">
        <v>0</v>
      </c>
      <c r="Y119" s="7">
        <v>4470.9939999999997</v>
      </c>
      <c r="Z119" s="7">
        <v>0</v>
      </c>
      <c r="AA119" s="7">
        <v>9137.8850000000002</v>
      </c>
      <c r="AB119" s="7">
        <v>0</v>
      </c>
      <c r="AC119" s="7">
        <v>622.08600000000001</v>
      </c>
      <c r="AD119" s="7">
        <v>11728.397999999999</v>
      </c>
      <c r="AE119" s="7">
        <v>4914.4449999999997</v>
      </c>
      <c r="AF119" s="7">
        <v>0</v>
      </c>
      <c r="AG119" s="7">
        <v>48716.1</v>
      </c>
      <c r="AH119" s="7">
        <v>25410.962</v>
      </c>
      <c r="AI119" s="7">
        <v>0</v>
      </c>
      <c r="AJ119" s="7">
        <v>0</v>
      </c>
      <c r="AK119" s="7">
        <v>0</v>
      </c>
      <c r="AL119" s="7">
        <v>0</v>
      </c>
      <c r="AM119" s="7">
        <v>2355.5329999999999</v>
      </c>
      <c r="AN119" s="7">
        <v>0</v>
      </c>
      <c r="AO119" s="7">
        <v>621.59</v>
      </c>
      <c r="AP119" s="7">
        <v>0</v>
      </c>
      <c r="AQ119" s="7">
        <v>0</v>
      </c>
      <c r="AR119" s="7">
        <v>0</v>
      </c>
      <c r="AS119" s="7">
        <v>60.622</v>
      </c>
      <c r="AT119" s="7">
        <v>0</v>
      </c>
      <c r="AU119" s="7">
        <v>2682.5529999999999</v>
      </c>
      <c r="AV119" s="7">
        <v>0</v>
      </c>
      <c r="AW119" s="7">
        <v>0</v>
      </c>
      <c r="AX119" s="7">
        <v>0</v>
      </c>
      <c r="AY119" s="7">
        <v>455.44799999999998</v>
      </c>
      <c r="AZ119" s="7">
        <v>0</v>
      </c>
      <c r="BA119" s="7">
        <v>0</v>
      </c>
      <c r="BB119" s="7">
        <v>210.005</v>
      </c>
      <c r="BC119" s="7">
        <v>355.69499999999999</v>
      </c>
      <c r="BD119" s="7">
        <v>0</v>
      </c>
      <c r="BE119" s="7">
        <v>58.145000000000003</v>
      </c>
      <c r="BF119" s="7">
        <v>58.145000000000003</v>
      </c>
      <c r="BG119" s="7">
        <v>0</v>
      </c>
      <c r="BH119" s="7">
        <v>0</v>
      </c>
      <c r="BI119" s="7">
        <v>124.78400000000001</v>
      </c>
      <c r="BJ119" s="21"/>
    </row>
    <row r="120" spans="1:62" ht="15.6" x14ac:dyDescent="0.3">
      <c r="A120" s="5" t="s">
        <v>224</v>
      </c>
      <c r="B120" s="5" t="s">
        <v>225</v>
      </c>
      <c r="C120" s="7">
        <v>4</v>
      </c>
      <c r="D120" s="7">
        <v>3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21"/>
    </row>
    <row r="121" spans="1:62" ht="15.6" x14ac:dyDescent="0.3">
      <c r="A121" s="5" t="s">
        <v>226</v>
      </c>
      <c r="B121" s="5" t="s">
        <v>227</v>
      </c>
      <c r="C121" s="7">
        <v>4</v>
      </c>
      <c r="D121" s="7">
        <v>4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21"/>
    </row>
    <row r="122" spans="1:62" ht="15.6" x14ac:dyDescent="0.3">
      <c r="A122" s="5" t="s">
        <v>228</v>
      </c>
      <c r="B122" s="5" t="s">
        <v>229</v>
      </c>
      <c r="C122" s="7">
        <v>4</v>
      </c>
      <c r="D122" s="7">
        <v>6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21"/>
    </row>
    <row r="123" spans="1:62" ht="15.6" x14ac:dyDescent="0.3">
      <c r="A123" s="5" t="s">
        <v>230</v>
      </c>
      <c r="B123" s="5" t="s">
        <v>231</v>
      </c>
      <c r="C123" s="7">
        <v>4</v>
      </c>
      <c r="D123" s="7">
        <v>4</v>
      </c>
      <c r="E123" s="7">
        <v>356652.11300000001</v>
      </c>
      <c r="F123" s="7">
        <v>77001.429000000004</v>
      </c>
      <c r="G123" s="7">
        <v>0</v>
      </c>
      <c r="H123" s="7">
        <v>0</v>
      </c>
      <c r="I123" s="7">
        <v>1585.5609999999999</v>
      </c>
      <c r="J123" s="7">
        <v>0</v>
      </c>
      <c r="K123" s="7">
        <v>0</v>
      </c>
      <c r="L123" s="7">
        <v>910921.92</v>
      </c>
      <c r="M123" s="7">
        <v>21409.812999999998</v>
      </c>
      <c r="N123" s="7">
        <v>0</v>
      </c>
      <c r="O123" s="7">
        <v>2009.299</v>
      </c>
      <c r="P123" s="7">
        <v>0</v>
      </c>
      <c r="Q123" s="7">
        <v>601.43299999999999</v>
      </c>
      <c r="R123" s="7">
        <v>0</v>
      </c>
      <c r="S123" s="7">
        <v>24322.379000000001</v>
      </c>
      <c r="T123" s="7">
        <v>0</v>
      </c>
      <c r="U123" s="7">
        <v>0</v>
      </c>
      <c r="V123" s="7">
        <v>0</v>
      </c>
      <c r="W123" s="7">
        <v>7333.2860000000001</v>
      </c>
      <c r="X123" s="7">
        <v>100556.171</v>
      </c>
      <c r="Y123" s="7">
        <v>190784.04199999999</v>
      </c>
      <c r="Z123" s="7">
        <v>37020.892999999996</v>
      </c>
      <c r="AA123" s="7">
        <v>0</v>
      </c>
      <c r="AB123" s="7">
        <v>48253.656000000003</v>
      </c>
      <c r="AC123" s="7">
        <v>14393.960999999999</v>
      </c>
      <c r="AD123" s="7">
        <v>7633.509</v>
      </c>
      <c r="AE123" s="7">
        <v>493295.761</v>
      </c>
      <c r="AF123" s="7">
        <v>363438.90500000003</v>
      </c>
      <c r="AG123" s="7">
        <v>32389.884999999998</v>
      </c>
      <c r="AH123" s="7">
        <v>1538061.692</v>
      </c>
      <c r="AI123" s="7">
        <v>546193.07299999997</v>
      </c>
      <c r="AJ123" s="7">
        <v>207394.315</v>
      </c>
      <c r="AK123" s="7">
        <v>1682063.4680000001</v>
      </c>
      <c r="AL123" s="7">
        <v>903826.94200000004</v>
      </c>
      <c r="AM123" s="7">
        <v>0</v>
      </c>
      <c r="AN123" s="7">
        <v>595986.44400000002</v>
      </c>
      <c r="AO123" s="7">
        <v>17829</v>
      </c>
      <c r="AP123" s="7">
        <v>0</v>
      </c>
      <c r="AQ123" s="7">
        <v>139064.67600000001</v>
      </c>
      <c r="AR123" s="7">
        <v>0</v>
      </c>
      <c r="AS123" s="7">
        <v>259.03899999999999</v>
      </c>
      <c r="AT123" s="7">
        <v>0</v>
      </c>
      <c r="AU123" s="7">
        <v>1603.575</v>
      </c>
      <c r="AV123" s="7">
        <v>0</v>
      </c>
      <c r="AW123" s="7">
        <v>0</v>
      </c>
      <c r="AX123" s="7">
        <v>118669.128</v>
      </c>
      <c r="AY123" s="7">
        <v>0</v>
      </c>
      <c r="AZ123" s="7">
        <v>0</v>
      </c>
      <c r="BA123" s="7">
        <v>86755.294999999998</v>
      </c>
      <c r="BB123" s="7">
        <v>6043.4380000000001</v>
      </c>
      <c r="BC123" s="7">
        <v>0</v>
      </c>
      <c r="BD123" s="7">
        <v>0</v>
      </c>
      <c r="BE123" s="7">
        <v>1742.021</v>
      </c>
      <c r="BF123" s="7">
        <v>1742.021</v>
      </c>
      <c r="BG123" s="7">
        <v>0</v>
      </c>
      <c r="BH123" s="7">
        <v>92479.245999999999</v>
      </c>
      <c r="BI123" s="7">
        <v>0</v>
      </c>
      <c r="BJ123" s="21"/>
    </row>
    <row r="124" spans="1:62" ht="15.6" x14ac:dyDescent="0.3">
      <c r="A124" s="5" t="s">
        <v>232</v>
      </c>
      <c r="B124" s="5" t="s">
        <v>233</v>
      </c>
      <c r="C124" s="7">
        <v>4</v>
      </c>
      <c r="D124" s="7">
        <v>3</v>
      </c>
      <c r="E124" s="7">
        <v>959.05100000000004</v>
      </c>
      <c r="F124" s="7">
        <v>668.53599999999994</v>
      </c>
      <c r="G124" s="7">
        <v>45.856999999999999</v>
      </c>
      <c r="H124" s="7">
        <v>0.03</v>
      </c>
      <c r="I124" s="7">
        <v>59.161999999999999</v>
      </c>
      <c r="J124" s="7">
        <v>496.56900000000002</v>
      </c>
      <c r="K124" s="7">
        <v>0</v>
      </c>
      <c r="L124" s="7">
        <v>1432.92</v>
      </c>
      <c r="M124" s="7">
        <v>82.391000000000005</v>
      </c>
      <c r="N124" s="7">
        <v>0</v>
      </c>
      <c r="O124" s="7">
        <v>0</v>
      </c>
      <c r="P124" s="7">
        <v>2E-3</v>
      </c>
      <c r="Q124" s="7">
        <v>245.119</v>
      </c>
      <c r="R124" s="7">
        <v>397.21899999999999</v>
      </c>
      <c r="S124" s="7">
        <v>267.92200000000003</v>
      </c>
      <c r="T124" s="7">
        <v>0</v>
      </c>
      <c r="U124" s="7">
        <v>0</v>
      </c>
      <c r="V124" s="7">
        <v>90.594999999999999</v>
      </c>
      <c r="W124" s="7">
        <v>0.88400000000000001</v>
      </c>
      <c r="X124" s="7">
        <v>0</v>
      </c>
      <c r="Y124" s="7">
        <v>38.886000000000003</v>
      </c>
      <c r="Z124" s="7">
        <v>7086.4080000000004</v>
      </c>
      <c r="AA124" s="7">
        <v>1701.3150000000001</v>
      </c>
      <c r="AB124" s="7">
        <v>0</v>
      </c>
      <c r="AC124" s="7">
        <v>111.34099999999999</v>
      </c>
      <c r="AD124" s="7">
        <v>1740.894</v>
      </c>
      <c r="AE124" s="7">
        <v>342.71699999999998</v>
      </c>
      <c r="AF124" s="7">
        <v>12.255000000000001</v>
      </c>
      <c r="AG124" s="7">
        <v>6094.8490000000002</v>
      </c>
      <c r="AH124" s="7">
        <v>2325.8440000000001</v>
      </c>
      <c r="AI124" s="7">
        <v>8.9999999999999993E-3</v>
      </c>
      <c r="AJ124" s="7">
        <v>36866.192000000003</v>
      </c>
      <c r="AK124" s="7">
        <v>0</v>
      </c>
      <c r="AL124" s="7">
        <v>0</v>
      </c>
      <c r="AM124" s="7">
        <v>0</v>
      </c>
      <c r="AN124" s="7">
        <v>0</v>
      </c>
      <c r="AO124" s="7">
        <v>246.39500000000001</v>
      </c>
      <c r="AP124" s="7">
        <v>0</v>
      </c>
      <c r="AQ124" s="7">
        <v>1.8049999999999999</v>
      </c>
      <c r="AR124" s="7">
        <v>0</v>
      </c>
      <c r="AS124" s="7">
        <v>0.94699999999999995</v>
      </c>
      <c r="AT124" s="7">
        <v>0</v>
      </c>
      <c r="AU124" s="7">
        <v>43.918999999999997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79.927999999999997</v>
      </c>
      <c r="BC124" s="7">
        <v>0</v>
      </c>
      <c r="BD124" s="7">
        <v>0</v>
      </c>
      <c r="BE124" s="7">
        <v>22.056000000000001</v>
      </c>
      <c r="BF124" s="7">
        <v>22.056000000000001</v>
      </c>
      <c r="BG124" s="7">
        <v>0</v>
      </c>
      <c r="BH124" s="7">
        <v>23258.07</v>
      </c>
      <c r="BI124" s="7">
        <v>0</v>
      </c>
      <c r="BJ124" s="21"/>
    </row>
    <row r="125" spans="1:62" ht="15.6" x14ac:dyDescent="0.3">
      <c r="A125" s="5" t="s">
        <v>234</v>
      </c>
      <c r="B125" s="5" t="s">
        <v>235</v>
      </c>
      <c r="C125" s="7">
        <v>4</v>
      </c>
      <c r="D125" s="7">
        <v>4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21"/>
    </row>
    <row r="126" spans="1:62" ht="15.6" x14ac:dyDescent="0.3">
      <c r="A126" s="5" t="s">
        <v>228</v>
      </c>
      <c r="B126" s="5" t="s">
        <v>236</v>
      </c>
      <c r="C126" s="7">
        <v>4</v>
      </c>
      <c r="D126" s="7">
        <v>6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21"/>
    </row>
    <row r="127" spans="1:62" ht="15.6" x14ac:dyDescent="0.3">
      <c r="A127" s="5" t="s">
        <v>237</v>
      </c>
      <c r="B127" s="5" t="s">
        <v>238</v>
      </c>
      <c r="C127" s="7">
        <v>4</v>
      </c>
      <c r="D127" s="7">
        <v>4</v>
      </c>
      <c r="E127" s="7">
        <v>27.716000000000001</v>
      </c>
      <c r="F127" s="7">
        <v>3.327</v>
      </c>
      <c r="G127" s="7">
        <v>6.35</v>
      </c>
      <c r="H127" s="7">
        <v>0</v>
      </c>
      <c r="I127" s="7">
        <v>0.59299999999999997</v>
      </c>
      <c r="J127" s="7">
        <v>4.2140000000000004</v>
      </c>
      <c r="K127" s="7">
        <v>0</v>
      </c>
      <c r="L127" s="7">
        <v>10.75</v>
      </c>
      <c r="M127" s="7">
        <v>14.911</v>
      </c>
      <c r="N127" s="7">
        <v>0</v>
      </c>
      <c r="O127" s="7">
        <v>0</v>
      </c>
      <c r="P127" s="7">
        <v>0</v>
      </c>
      <c r="Q127" s="7">
        <v>0</v>
      </c>
      <c r="R127" s="7">
        <v>93.739000000000004</v>
      </c>
      <c r="S127" s="7">
        <v>1.347</v>
      </c>
      <c r="T127" s="7">
        <v>0</v>
      </c>
      <c r="U127" s="7">
        <v>0</v>
      </c>
      <c r="V127" s="7">
        <v>0.75900000000000001</v>
      </c>
      <c r="W127" s="7">
        <v>1.343</v>
      </c>
      <c r="X127" s="7">
        <v>0</v>
      </c>
      <c r="Y127" s="7">
        <v>4.68</v>
      </c>
      <c r="Z127" s="7">
        <v>0</v>
      </c>
      <c r="AA127" s="7">
        <v>9.0429999999999993</v>
      </c>
      <c r="AB127" s="7">
        <v>0</v>
      </c>
      <c r="AC127" s="7">
        <v>0.57299999999999995</v>
      </c>
      <c r="AD127" s="7">
        <v>0</v>
      </c>
      <c r="AE127" s="7">
        <v>9.5210000000000008</v>
      </c>
      <c r="AF127" s="7">
        <v>0</v>
      </c>
      <c r="AG127" s="7">
        <v>0</v>
      </c>
      <c r="AH127" s="7">
        <v>29.847000000000001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0.60199999999999998</v>
      </c>
      <c r="AP127" s="7">
        <v>0</v>
      </c>
      <c r="AQ127" s="7">
        <v>0</v>
      </c>
      <c r="AR127" s="7">
        <v>0</v>
      </c>
      <c r="AS127" s="7">
        <v>0.01</v>
      </c>
      <c r="AT127" s="7">
        <v>0</v>
      </c>
      <c r="AU127" s="7">
        <v>0.32200000000000001</v>
      </c>
      <c r="AV127" s="7">
        <v>0</v>
      </c>
      <c r="AW127" s="7">
        <v>0</v>
      </c>
      <c r="AX127" s="7">
        <v>0</v>
      </c>
      <c r="AY127" s="7">
        <v>0.437</v>
      </c>
      <c r="AZ127" s="7">
        <v>0</v>
      </c>
      <c r="BA127" s="7">
        <v>0</v>
      </c>
      <c r="BB127" s="7">
        <v>0.20599999999999999</v>
      </c>
      <c r="BC127" s="7">
        <v>0.34699999999999998</v>
      </c>
      <c r="BD127" s="7">
        <v>0</v>
      </c>
      <c r="BE127" s="7">
        <v>5.8000000000000003E-2</v>
      </c>
      <c r="BF127" s="7">
        <v>5.8000000000000003E-2</v>
      </c>
      <c r="BG127" s="7">
        <v>0</v>
      </c>
      <c r="BH127" s="7">
        <v>0</v>
      </c>
      <c r="BI127" s="7">
        <v>0.11700000000000001</v>
      </c>
      <c r="BJ127" s="21"/>
    </row>
    <row r="128" spans="1:62" ht="15.6" x14ac:dyDescent="0.3">
      <c r="A128" s="5" t="s">
        <v>239</v>
      </c>
      <c r="B128" s="5" t="s">
        <v>240</v>
      </c>
      <c r="C128" s="7">
        <v>4</v>
      </c>
      <c r="D128" s="7">
        <v>3</v>
      </c>
      <c r="E128" s="7">
        <v>2445.0450000000001</v>
      </c>
      <c r="F128" s="7">
        <v>1704.395</v>
      </c>
      <c r="G128" s="7">
        <v>116.90900000000001</v>
      </c>
      <c r="H128" s="7">
        <v>7.8E-2</v>
      </c>
      <c r="I128" s="7">
        <v>150.83099999999999</v>
      </c>
      <c r="J128" s="7">
        <v>1265.9749999999999</v>
      </c>
      <c r="K128" s="7">
        <v>0</v>
      </c>
      <c r="L128" s="7">
        <v>3653.1469999999999</v>
      </c>
      <c r="M128" s="7">
        <v>210.05</v>
      </c>
      <c r="N128" s="7">
        <v>0</v>
      </c>
      <c r="O128" s="7">
        <v>0</v>
      </c>
      <c r="P128" s="7">
        <v>5.0000000000000001E-3</v>
      </c>
      <c r="Q128" s="7">
        <v>0</v>
      </c>
      <c r="R128" s="7">
        <v>0</v>
      </c>
      <c r="S128" s="7">
        <v>683.05100000000004</v>
      </c>
      <c r="T128" s="7">
        <v>0</v>
      </c>
      <c r="U128" s="7">
        <v>0</v>
      </c>
      <c r="V128" s="7">
        <v>230.96600000000001</v>
      </c>
      <c r="W128" s="7">
        <v>2.254</v>
      </c>
      <c r="X128" s="7">
        <v>0</v>
      </c>
      <c r="Y128" s="7">
        <v>99.138000000000005</v>
      </c>
      <c r="Z128" s="7">
        <v>0</v>
      </c>
      <c r="AA128" s="7">
        <v>4337.4030000000002</v>
      </c>
      <c r="AB128" s="7">
        <v>0</v>
      </c>
      <c r="AC128" s="7">
        <v>283.85899999999998</v>
      </c>
      <c r="AD128" s="7">
        <v>0</v>
      </c>
      <c r="AE128" s="7">
        <v>873.73699999999997</v>
      </c>
      <c r="AF128" s="7">
        <v>31.244</v>
      </c>
      <c r="AG128" s="7">
        <v>0</v>
      </c>
      <c r="AH128" s="7">
        <v>5929.6040000000003</v>
      </c>
      <c r="AI128" s="7">
        <v>2.3E-2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628.16899999999998</v>
      </c>
      <c r="AP128" s="7">
        <v>0</v>
      </c>
      <c r="AQ128" s="7">
        <v>4.6029999999999998</v>
      </c>
      <c r="AR128" s="7">
        <v>0</v>
      </c>
      <c r="AS128" s="7">
        <v>2.4140000000000001</v>
      </c>
      <c r="AT128" s="7">
        <v>0</v>
      </c>
      <c r="AU128" s="7">
        <v>0.32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203.77199999999999</v>
      </c>
      <c r="BC128" s="7">
        <v>0</v>
      </c>
      <c r="BD128" s="7">
        <v>0</v>
      </c>
      <c r="BE128" s="7">
        <v>56.231000000000002</v>
      </c>
      <c r="BF128" s="7">
        <v>56.231000000000002</v>
      </c>
      <c r="BG128" s="7">
        <v>0</v>
      </c>
      <c r="BH128" s="7">
        <v>0</v>
      </c>
      <c r="BI128" s="7">
        <v>0</v>
      </c>
      <c r="BJ128" s="21"/>
    </row>
    <row r="129" spans="1:62" ht="15.6" x14ac:dyDescent="0.3">
      <c r="A129" s="5" t="s">
        <v>241</v>
      </c>
      <c r="B129" s="5" t="s">
        <v>242</v>
      </c>
      <c r="C129" s="7">
        <v>2</v>
      </c>
      <c r="D129" s="7">
        <v>2</v>
      </c>
      <c r="E129" s="7">
        <v>55809.241999999998</v>
      </c>
      <c r="F129" s="7">
        <v>11153.621999999999</v>
      </c>
      <c r="G129" s="7">
        <v>10910.663</v>
      </c>
      <c r="H129" s="7">
        <v>0</v>
      </c>
      <c r="I129" s="7">
        <v>2183.721</v>
      </c>
      <c r="J129" s="7">
        <v>8569.7829999999994</v>
      </c>
      <c r="K129" s="7">
        <v>0</v>
      </c>
      <c r="L129" s="7">
        <v>44707.302000000003</v>
      </c>
      <c r="M129" s="7">
        <v>31069.231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3205.7429999999999</v>
      </c>
      <c r="T129" s="7">
        <v>0</v>
      </c>
      <c r="U129" s="7">
        <v>0</v>
      </c>
      <c r="V129" s="7">
        <v>1385.2719999999999</v>
      </c>
      <c r="W129" s="7">
        <v>3122.9319999999998</v>
      </c>
      <c r="X129" s="7">
        <v>0</v>
      </c>
      <c r="Y129" s="7">
        <v>18930.289000000001</v>
      </c>
      <c r="Z129" s="7">
        <v>0</v>
      </c>
      <c r="AA129" s="7">
        <v>10725.52</v>
      </c>
      <c r="AB129" s="7">
        <v>0</v>
      </c>
      <c r="AC129" s="7">
        <v>1739.2819999999999</v>
      </c>
      <c r="AD129" s="7">
        <v>0</v>
      </c>
      <c r="AE129" s="7">
        <v>40525.199000000001</v>
      </c>
      <c r="AF129" s="7">
        <v>0</v>
      </c>
      <c r="AG129" s="7">
        <v>0</v>
      </c>
      <c r="AH129" s="7">
        <v>128649.476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891.58699999999999</v>
      </c>
      <c r="AP129" s="7">
        <v>0</v>
      </c>
      <c r="AQ129" s="7">
        <v>0</v>
      </c>
      <c r="AR129" s="7">
        <v>0</v>
      </c>
      <c r="AS129" s="7">
        <v>4.2039999999999997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311.65199999999999</v>
      </c>
      <c r="BC129" s="7">
        <v>0</v>
      </c>
      <c r="BD129" s="7">
        <v>0</v>
      </c>
      <c r="BE129" s="7">
        <v>132.34399999999999</v>
      </c>
      <c r="BF129" s="7">
        <v>132.34399999999999</v>
      </c>
      <c r="BG129" s="7">
        <v>0</v>
      </c>
      <c r="BH129" s="7">
        <v>0</v>
      </c>
      <c r="BI129" s="7">
        <v>0</v>
      </c>
      <c r="BJ129" s="21"/>
    </row>
    <row r="130" spans="1:62" ht="15.6" x14ac:dyDescent="0.3">
      <c r="A130" s="5" t="s">
        <v>243</v>
      </c>
      <c r="B130" s="5" t="s">
        <v>244</v>
      </c>
      <c r="C130" s="7">
        <v>4</v>
      </c>
      <c r="D130" s="7">
        <v>4</v>
      </c>
      <c r="E130" s="7">
        <v>28396.553</v>
      </c>
      <c r="F130" s="7">
        <v>6123.7489999999998</v>
      </c>
      <c r="G130" s="7">
        <v>0</v>
      </c>
      <c r="H130" s="7">
        <v>0</v>
      </c>
      <c r="I130" s="7">
        <v>125.759</v>
      </c>
      <c r="J130" s="7">
        <v>0</v>
      </c>
      <c r="K130" s="7">
        <v>0</v>
      </c>
      <c r="L130" s="7">
        <v>72526.884999999995</v>
      </c>
      <c r="M130" s="7">
        <v>1694.329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1934.4839999999999</v>
      </c>
      <c r="T130" s="7">
        <v>0</v>
      </c>
      <c r="U130" s="7">
        <v>0</v>
      </c>
      <c r="V130" s="7">
        <v>0</v>
      </c>
      <c r="W130" s="7">
        <v>583.14400000000001</v>
      </c>
      <c r="X130" s="7">
        <v>0</v>
      </c>
      <c r="Y130" s="7">
        <v>15190.249</v>
      </c>
      <c r="Z130" s="7">
        <v>0</v>
      </c>
      <c r="AA130" s="7">
        <v>0</v>
      </c>
      <c r="AB130" s="7">
        <v>0</v>
      </c>
      <c r="AC130" s="7">
        <v>1145.048</v>
      </c>
      <c r="AD130" s="7">
        <v>0</v>
      </c>
      <c r="AE130" s="7">
        <v>38165.591999999997</v>
      </c>
      <c r="AF130" s="7">
        <v>28922.281999999999</v>
      </c>
      <c r="AG130" s="7">
        <v>0</v>
      </c>
      <c r="AH130" s="7">
        <v>122222.08100000001</v>
      </c>
      <c r="AI130" s="7">
        <v>43462.853000000003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1419.548</v>
      </c>
      <c r="AP130" s="7">
        <v>0</v>
      </c>
      <c r="AQ130" s="7">
        <v>11070.52</v>
      </c>
      <c r="AR130" s="7">
        <v>0</v>
      </c>
      <c r="AS130" s="7">
        <v>20.626000000000001</v>
      </c>
      <c r="AT130" s="7">
        <v>0</v>
      </c>
      <c r="AU130" s="7">
        <v>127.682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481.17899999999997</v>
      </c>
      <c r="BC130" s="7">
        <v>0</v>
      </c>
      <c r="BD130" s="7">
        <v>0</v>
      </c>
      <c r="BE130" s="7">
        <v>138.70099999999999</v>
      </c>
      <c r="BF130" s="7">
        <v>138.70099999999999</v>
      </c>
      <c r="BG130" s="7">
        <v>0</v>
      </c>
      <c r="BH130" s="7">
        <v>0</v>
      </c>
      <c r="BI130" s="7">
        <v>0</v>
      </c>
      <c r="BJ130" s="21"/>
    </row>
    <row r="131" spans="1:62" ht="15.6" x14ac:dyDescent="0.3">
      <c r="A131" s="5" t="s">
        <v>245</v>
      </c>
      <c r="B131" s="5" t="s">
        <v>246</v>
      </c>
      <c r="C131" s="7">
        <v>4</v>
      </c>
      <c r="D131" s="7">
        <v>6</v>
      </c>
      <c r="E131" s="7">
        <v>1252.2670000000001</v>
      </c>
      <c r="F131" s="7">
        <v>445.58</v>
      </c>
      <c r="G131" s="7">
        <v>17.433</v>
      </c>
      <c r="H131" s="7">
        <v>1.2E-2</v>
      </c>
      <c r="I131" s="7">
        <v>26.422999999999998</v>
      </c>
      <c r="J131" s="7">
        <v>188.77699999999999</v>
      </c>
      <c r="K131" s="7">
        <v>0</v>
      </c>
      <c r="L131" s="7">
        <v>2811.92</v>
      </c>
      <c r="M131" s="7">
        <v>84.286000000000001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162.32599999999999</v>
      </c>
      <c r="T131" s="7">
        <v>0</v>
      </c>
      <c r="U131" s="7">
        <v>0</v>
      </c>
      <c r="V131" s="7">
        <v>34.441000000000003</v>
      </c>
      <c r="W131" s="7">
        <v>18.565000000000001</v>
      </c>
      <c r="X131" s="7">
        <v>0</v>
      </c>
      <c r="Y131" s="7">
        <v>489.62700000000001</v>
      </c>
      <c r="Z131" s="7">
        <v>0</v>
      </c>
      <c r="AA131" s="7">
        <v>646.77800000000002</v>
      </c>
      <c r="AB131" s="7">
        <v>0</v>
      </c>
      <c r="AC131" s="7">
        <v>78.122</v>
      </c>
      <c r="AD131" s="7">
        <v>0</v>
      </c>
      <c r="AE131" s="7">
        <v>1323.338</v>
      </c>
      <c r="AF131" s="7">
        <v>908.76400000000001</v>
      </c>
      <c r="AG131" s="7">
        <v>0</v>
      </c>
      <c r="AH131" s="7">
        <v>4704.84</v>
      </c>
      <c r="AI131" s="7">
        <v>1358.644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138.04499999999999</v>
      </c>
      <c r="AP131" s="7">
        <v>0</v>
      </c>
      <c r="AQ131" s="7">
        <v>346.74900000000002</v>
      </c>
      <c r="AR131" s="7">
        <v>0</v>
      </c>
      <c r="AS131" s="7">
        <v>1.0049999999999999</v>
      </c>
      <c r="AT131" s="7">
        <v>0</v>
      </c>
      <c r="AU131" s="7">
        <v>4.0389999999999997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45.427</v>
      </c>
      <c r="BC131" s="7">
        <v>0</v>
      </c>
      <c r="BD131" s="7">
        <v>0</v>
      </c>
      <c r="BE131" s="7">
        <v>12.721</v>
      </c>
      <c r="BF131" s="7">
        <v>12.721</v>
      </c>
      <c r="BG131" s="7">
        <v>0</v>
      </c>
      <c r="BH131" s="7">
        <v>0</v>
      </c>
      <c r="BI131" s="7">
        <v>0</v>
      </c>
      <c r="BJ131" s="21"/>
    </row>
    <row r="132" spans="1:62" ht="15.6" x14ac:dyDescent="0.3">
      <c r="A132" s="5" t="s">
        <v>247</v>
      </c>
      <c r="B132" s="5" t="s">
        <v>248</v>
      </c>
      <c r="C132" s="7">
        <v>6</v>
      </c>
      <c r="D132" s="7">
        <v>6</v>
      </c>
      <c r="E132" s="7">
        <v>53712.351999999999</v>
      </c>
      <c r="F132" s="7">
        <v>331.19299999999998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79175.483999999997</v>
      </c>
      <c r="M132" s="7">
        <v>12229.98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5973.1570000000002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28289.366000000002</v>
      </c>
      <c r="AF132" s="7">
        <v>56.85</v>
      </c>
      <c r="AG132" s="7">
        <v>0</v>
      </c>
      <c r="AH132" s="7">
        <v>143910.503</v>
      </c>
      <c r="AI132" s="7">
        <v>88.656999999999996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21"/>
    </row>
    <row r="133" spans="1:62" ht="15.6" x14ac:dyDescent="0.3">
      <c r="A133" s="5" t="s">
        <v>249</v>
      </c>
      <c r="B133" s="5" t="s">
        <v>250</v>
      </c>
      <c r="C133" s="7">
        <v>6</v>
      </c>
      <c r="D133" s="7">
        <v>6</v>
      </c>
      <c r="E133" s="7">
        <v>38237.601000000002</v>
      </c>
      <c r="F133" s="7">
        <v>2642.3789999999999</v>
      </c>
      <c r="G133" s="7">
        <v>3664.694</v>
      </c>
      <c r="H133" s="7">
        <v>0</v>
      </c>
      <c r="I133" s="7">
        <v>640.17999999999995</v>
      </c>
      <c r="J133" s="7">
        <v>2233.34</v>
      </c>
      <c r="K133" s="7">
        <v>0</v>
      </c>
      <c r="L133" s="7">
        <v>39839.892</v>
      </c>
      <c r="M133" s="7">
        <v>10551.312</v>
      </c>
      <c r="N133" s="7">
        <v>0</v>
      </c>
      <c r="O133" s="7">
        <v>0</v>
      </c>
      <c r="P133" s="7">
        <v>111.934</v>
      </c>
      <c r="Q133" s="7">
        <v>0</v>
      </c>
      <c r="R133" s="7">
        <v>0.61</v>
      </c>
      <c r="S133" s="7">
        <v>0</v>
      </c>
      <c r="T133" s="7">
        <v>0</v>
      </c>
      <c r="U133" s="7">
        <v>0</v>
      </c>
      <c r="V133" s="7">
        <v>374.40800000000002</v>
      </c>
      <c r="W133" s="7">
        <v>1102.511</v>
      </c>
      <c r="X133" s="7">
        <v>0</v>
      </c>
      <c r="Y133" s="7">
        <v>8708.0550000000003</v>
      </c>
      <c r="Z133" s="7">
        <v>0</v>
      </c>
      <c r="AA133" s="7">
        <v>3119.8620000000001</v>
      </c>
      <c r="AB133" s="7">
        <v>0</v>
      </c>
      <c r="AC133" s="7">
        <v>501.63099999999997</v>
      </c>
      <c r="AD133" s="7">
        <v>0</v>
      </c>
      <c r="AE133" s="7">
        <v>28836.823</v>
      </c>
      <c r="AF133" s="7">
        <v>0</v>
      </c>
      <c r="AG133" s="7">
        <v>0</v>
      </c>
      <c r="AH133" s="7">
        <v>72244.134999999995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21"/>
    </row>
    <row r="134" spans="1:62" ht="15.6" x14ac:dyDescent="0.3">
      <c r="A134" s="5" t="s">
        <v>251</v>
      </c>
      <c r="B134" s="5" t="s">
        <v>252</v>
      </c>
      <c r="C134" s="7">
        <v>6</v>
      </c>
      <c r="D134" s="7">
        <v>6</v>
      </c>
      <c r="E134" s="7">
        <v>13452.331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78831.812000000005</v>
      </c>
      <c r="M134" s="7">
        <v>1903.9659999999999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220.73099999999999</v>
      </c>
      <c r="AB134" s="7">
        <v>0</v>
      </c>
      <c r="AC134" s="7">
        <v>0</v>
      </c>
      <c r="AD134" s="7">
        <v>0</v>
      </c>
      <c r="AE134" s="7">
        <v>18102.508000000002</v>
      </c>
      <c r="AF134" s="7">
        <v>0</v>
      </c>
      <c r="AG134" s="7">
        <v>0</v>
      </c>
      <c r="AH134" s="7">
        <v>108397.618</v>
      </c>
      <c r="AI134" s="7">
        <v>20732.701000000001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21"/>
    </row>
    <row r="135" spans="1:62" ht="15.6" x14ac:dyDescent="0.3">
      <c r="A135" s="5" t="s">
        <v>253</v>
      </c>
      <c r="B135" s="5" t="s">
        <v>254</v>
      </c>
      <c r="C135" s="7">
        <v>6</v>
      </c>
      <c r="D135" s="7">
        <v>6</v>
      </c>
      <c r="E135" s="7">
        <v>183300.81400000001</v>
      </c>
      <c r="F135" s="7">
        <v>7593.3760000000002</v>
      </c>
      <c r="G135" s="7">
        <v>3981.828</v>
      </c>
      <c r="H135" s="7">
        <v>3661.5650000000001</v>
      </c>
      <c r="I135" s="7">
        <v>634.35299999999995</v>
      </c>
      <c r="J135" s="7">
        <v>2853.2890000000002</v>
      </c>
      <c r="K135" s="7">
        <v>0</v>
      </c>
      <c r="L135" s="7">
        <v>275842.49699999997</v>
      </c>
      <c r="M135" s="7">
        <v>49243.813999999998</v>
      </c>
      <c r="N135" s="7">
        <v>0</v>
      </c>
      <c r="O135" s="7">
        <v>0</v>
      </c>
      <c r="P135" s="7">
        <v>96.180999999999997</v>
      </c>
      <c r="Q135" s="7">
        <v>0</v>
      </c>
      <c r="R135" s="7">
        <v>83.364000000000004</v>
      </c>
      <c r="S135" s="7">
        <v>3316.4659999999999</v>
      </c>
      <c r="T135" s="7">
        <v>0</v>
      </c>
      <c r="U135" s="7">
        <v>0</v>
      </c>
      <c r="V135" s="7">
        <v>295.15499999999997</v>
      </c>
      <c r="W135" s="7">
        <v>876.17399999999998</v>
      </c>
      <c r="X135" s="7">
        <v>0</v>
      </c>
      <c r="Y135" s="7">
        <v>26557.456999999999</v>
      </c>
      <c r="Z135" s="7">
        <v>0</v>
      </c>
      <c r="AA135" s="7">
        <v>2406.2550000000001</v>
      </c>
      <c r="AB135" s="7">
        <v>0</v>
      </c>
      <c r="AC135" s="7">
        <v>379.59399999999999</v>
      </c>
      <c r="AD135" s="7">
        <v>0</v>
      </c>
      <c r="AE135" s="7">
        <v>112879.603</v>
      </c>
      <c r="AF135" s="7">
        <v>9644.8029999999999</v>
      </c>
      <c r="AG135" s="7">
        <v>0</v>
      </c>
      <c r="AH135" s="7">
        <v>421833.40299999999</v>
      </c>
      <c r="AI135" s="7">
        <v>10153.986000000001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35.671999999999997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21"/>
    </row>
    <row r="136" spans="1:62" ht="15.6" x14ac:dyDescent="0.3">
      <c r="A136" s="5" t="s">
        <v>255</v>
      </c>
      <c r="B136" s="5" t="s">
        <v>256</v>
      </c>
      <c r="C136" s="7">
        <v>6</v>
      </c>
      <c r="D136" s="7">
        <v>6</v>
      </c>
      <c r="E136" s="7">
        <v>11669.963</v>
      </c>
      <c r="F136" s="7">
        <v>28.495999999999999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10205.959000000001</v>
      </c>
      <c r="M136" s="7">
        <v>1085.3779999999999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1300.8889999999999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5988.3270000000002</v>
      </c>
      <c r="AF136" s="7">
        <v>722.42700000000002</v>
      </c>
      <c r="AG136" s="7">
        <v>0</v>
      </c>
      <c r="AH136" s="7">
        <v>22744.226999999999</v>
      </c>
      <c r="AI136" s="7">
        <v>2384.9630000000002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21"/>
    </row>
    <row r="137" spans="1:62" ht="15.6" x14ac:dyDescent="0.3">
      <c r="A137" s="5" t="s">
        <v>257</v>
      </c>
      <c r="B137" s="5" t="s">
        <v>258</v>
      </c>
      <c r="C137" s="7">
        <v>6</v>
      </c>
      <c r="D137" s="7">
        <v>6</v>
      </c>
      <c r="E137" s="7">
        <v>119194.01</v>
      </c>
      <c r="F137" s="7">
        <v>4262.3329999999996</v>
      </c>
      <c r="G137" s="7">
        <v>3546.48</v>
      </c>
      <c r="H137" s="7">
        <v>0</v>
      </c>
      <c r="I137" s="7">
        <v>620.72299999999996</v>
      </c>
      <c r="J137" s="7">
        <v>2165.5729999999999</v>
      </c>
      <c r="K137" s="7">
        <v>0</v>
      </c>
      <c r="L137" s="7">
        <v>108361.989</v>
      </c>
      <c r="M137" s="7">
        <v>35077.927000000003</v>
      </c>
      <c r="N137" s="7">
        <v>0</v>
      </c>
      <c r="O137" s="7">
        <v>0</v>
      </c>
      <c r="P137" s="7">
        <v>105.44199999999999</v>
      </c>
      <c r="Q137" s="7">
        <v>0</v>
      </c>
      <c r="R137" s="7">
        <v>1.054</v>
      </c>
      <c r="S137" s="7">
        <v>0</v>
      </c>
      <c r="T137" s="7">
        <v>0</v>
      </c>
      <c r="U137" s="7">
        <v>0</v>
      </c>
      <c r="V137" s="7">
        <v>377.01</v>
      </c>
      <c r="W137" s="7">
        <v>1103.731</v>
      </c>
      <c r="X137" s="7">
        <v>0</v>
      </c>
      <c r="Y137" s="7">
        <v>20118.473999999998</v>
      </c>
      <c r="Z137" s="7">
        <v>0</v>
      </c>
      <c r="AA137" s="7">
        <v>4027.8440000000001</v>
      </c>
      <c r="AB137" s="7">
        <v>0</v>
      </c>
      <c r="AC137" s="7">
        <v>519.63300000000004</v>
      </c>
      <c r="AD137" s="7">
        <v>0</v>
      </c>
      <c r="AE137" s="7">
        <v>78371.077999999994</v>
      </c>
      <c r="AF137" s="7">
        <v>1374.104</v>
      </c>
      <c r="AG137" s="7">
        <v>0</v>
      </c>
      <c r="AH137" s="7">
        <v>254533.3</v>
      </c>
      <c r="AI137" s="7">
        <v>1814.229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21"/>
    </row>
    <row r="138" spans="1:62" ht="15.6" x14ac:dyDescent="0.3">
      <c r="A138" s="5" t="s">
        <v>259</v>
      </c>
      <c r="B138" s="5" t="s">
        <v>260</v>
      </c>
      <c r="C138" s="7">
        <v>6</v>
      </c>
      <c r="D138" s="7">
        <v>6</v>
      </c>
      <c r="E138" s="7">
        <v>25695.313999999998</v>
      </c>
      <c r="F138" s="7">
        <v>-5.2389999999999999</v>
      </c>
      <c r="G138" s="7">
        <v>0</v>
      </c>
      <c r="H138" s="7">
        <v>0</v>
      </c>
      <c r="I138" s="7">
        <v>-0.193</v>
      </c>
      <c r="J138" s="7">
        <v>0</v>
      </c>
      <c r="K138" s="7">
        <v>0</v>
      </c>
      <c r="L138" s="7">
        <v>51681.461000000003</v>
      </c>
      <c r="M138" s="7">
        <v>4285.55</v>
      </c>
      <c r="N138" s="7">
        <v>0</v>
      </c>
      <c r="O138" s="7">
        <v>0</v>
      </c>
      <c r="P138" s="7">
        <v>-1E-3</v>
      </c>
      <c r="Q138" s="7">
        <v>0</v>
      </c>
      <c r="R138" s="7">
        <v>0</v>
      </c>
      <c r="S138" s="7">
        <v>-1.7010000000000001</v>
      </c>
      <c r="T138" s="7">
        <v>0</v>
      </c>
      <c r="U138" s="7">
        <v>0</v>
      </c>
      <c r="V138" s="7">
        <v>0</v>
      </c>
      <c r="W138" s="7">
        <v>-0.59499999999999997</v>
      </c>
      <c r="X138" s="7">
        <v>0</v>
      </c>
      <c r="Y138" s="7">
        <v>-13.375</v>
      </c>
      <c r="Z138" s="7">
        <v>0</v>
      </c>
      <c r="AA138" s="7">
        <v>0</v>
      </c>
      <c r="AB138" s="7">
        <v>0</v>
      </c>
      <c r="AC138" s="7">
        <v>-1.044</v>
      </c>
      <c r="AD138" s="7">
        <v>0</v>
      </c>
      <c r="AE138" s="7">
        <v>8846.1219999999994</v>
      </c>
      <c r="AF138" s="7">
        <v>-23.045000000000002</v>
      </c>
      <c r="AG138" s="7">
        <v>0</v>
      </c>
      <c r="AH138" s="7">
        <v>93970.375</v>
      </c>
      <c r="AI138" s="7">
        <v>-38.412999999999997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-1.0449999999999999</v>
      </c>
      <c r="AP138" s="7">
        <v>0</v>
      </c>
      <c r="AQ138" s="7">
        <v>-8.7639999999999993</v>
      </c>
      <c r="AR138" s="7">
        <v>0</v>
      </c>
      <c r="AS138" s="7">
        <v>-1.7000000000000001E-2</v>
      </c>
      <c r="AT138" s="7">
        <v>0</v>
      </c>
      <c r="AU138" s="7">
        <v>-0.112</v>
      </c>
      <c r="AV138" s="7">
        <v>0</v>
      </c>
      <c r="AW138" s="7">
        <v>0</v>
      </c>
      <c r="AX138" s="7">
        <v>0</v>
      </c>
      <c r="AY138" s="7">
        <v>-0.33400000000000002</v>
      </c>
      <c r="AZ138" s="7">
        <v>-10.561</v>
      </c>
      <c r="BA138" s="7">
        <v>0</v>
      </c>
      <c r="BB138" s="7">
        <v>-0.35099999999999998</v>
      </c>
      <c r="BC138" s="7">
        <v>0</v>
      </c>
      <c r="BD138" s="7">
        <v>-12.936999999999999</v>
      </c>
      <c r="BE138" s="7">
        <v>-9.4E-2</v>
      </c>
      <c r="BF138" s="7">
        <v>-9.4E-2</v>
      </c>
      <c r="BG138" s="7">
        <v>-4.38</v>
      </c>
      <c r="BH138" s="7">
        <v>0</v>
      </c>
      <c r="BI138" s="7">
        <v>0</v>
      </c>
      <c r="BJ138" s="21"/>
    </row>
    <row r="139" spans="1:62" ht="15.6" x14ac:dyDescent="0.3">
      <c r="A139" s="5" t="s">
        <v>261</v>
      </c>
      <c r="B139" s="5" t="s">
        <v>262</v>
      </c>
      <c r="C139" s="7">
        <v>6</v>
      </c>
      <c r="D139" s="7">
        <v>6</v>
      </c>
      <c r="E139" s="7">
        <v>1090307.1359999999</v>
      </c>
      <c r="F139" s="7">
        <v>22535.159</v>
      </c>
      <c r="G139" s="7">
        <v>26998.972000000002</v>
      </c>
      <c r="H139" s="7">
        <v>2158.9349999999999</v>
      </c>
      <c r="I139" s="7">
        <v>5075.9189999999999</v>
      </c>
      <c r="J139" s="7">
        <v>16010.464</v>
      </c>
      <c r="K139" s="7">
        <v>0</v>
      </c>
      <c r="L139" s="7">
        <v>1031326.042</v>
      </c>
      <c r="M139" s="7">
        <v>295412.16899999999</v>
      </c>
      <c r="N139" s="7">
        <v>0</v>
      </c>
      <c r="O139" s="7">
        <v>0</v>
      </c>
      <c r="P139" s="7">
        <v>774.69600000000003</v>
      </c>
      <c r="Q139" s="7">
        <v>0</v>
      </c>
      <c r="R139" s="7">
        <v>13.926</v>
      </c>
      <c r="S139" s="7">
        <v>0</v>
      </c>
      <c r="T139" s="7">
        <v>0</v>
      </c>
      <c r="U139" s="7">
        <v>0</v>
      </c>
      <c r="V139" s="7">
        <v>2544.252</v>
      </c>
      <c r="W139" s="7">
        <v>7436.8180000000002</v>
      </c>
      <c r="X139" s="7">
        <v>0</v>
      </c>
      <c r="Y139" s="7">
        <v>190561.11300000001</v>
      </c>
      <c r="Z139" s="7">
        <v>0</v>
      </c>
      <c r="AA139" s="7">
        <v>43470.868000000002</v>
      </c>
      <c r="AB139" s="7">
        <v>0</v>
      </c>
      <c r="AC139" s="7">
        <v>3731.2759999999998</v>
      </c>
      <c r="AD139" s="7">
        <v>0</v>
      </c>
      <c r="AE139" s="7">
        <v>673554.82299999997</v>
      </c>
      <c r="AF139" s="7">
        <v>17488.650000000001</v>
      </c>
      <c r="AG139" s="7">
        <v>0</v>
      </c>
      <c r="AH139" s="7">
        <v>2404896.8489999999</v>
      </c>
      <c r="AI139" s="7">
        <v>51607.35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87.040999999999997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21"/>
    </row>
    <row r="140" spans="1:62" ht="15.6" x14ac:dyDescent="0.3">
      <c r="A140" s="5" t="s">
        <v>263</v>
      </c>
      <c r="B140" s="5" t="s">
        <v>264</v>
      </c>
      <c r="C140" s="7">
        <v>4</v>
      </c>
      <c r="D140" s="7">
        <v>4</v>
      </c>
      <c r="E140" s="7">
        <v>1558.0709999999999</v>
      </c>
      <c r="F140" s="7">
        <v>244.99299999999999</v>
      </c>
      <c r="G140" s="7">
        <v>189.95699999999999</v>
      </c>
      <c r="H140" s="7">
        <v>123.96</v>
      </c>
      <c r="I140" s="7">
        <v>23.294</v>
      </c>
      <c r="J140" s="7">
        <v>110.946</v>
      </c>
      <c r="K140" s="7">
        <v>0</v>
      </c>
      <c r="L140" s="7">
        <v>1861.847</v>
      </c>
      <c r="M140" s="7">
        <v>534.73800000000006</v>
      </c>
      <c r="N140" s="7">
        <v>0</v>
      </c>
      <c r="O140" s="7">
        <v>0</v>
      </c>
      <c r="P140" s="7">
        <v>3.9E-2</v>
      </c>
      <c r="Q140" s="7">
        <v>0</v>
      </c>
      <c r="R140" s="7">
        <v>0</v>
      </c>
      <c r="S140" s="7">
        <v>93.281000000000006</v>
      </c>
      <c r="T140" s="7">
        <v>0</v>
      </c>
      <c r="U140" s="7">
        <v>0</v>
      </c>
      <c r="V140" s="7">
        <v>26.248000000000001</v>
      </c>
      <c r="W140" s="7">
        <v>49.968000000000004</v>
      </c>
      <c r="X140" s="7">
        <v>0</v>
      </c>
      <c r="Y140" s="7">
        <v>454.55</v>
      </c>
      <c r="Z140" s="7">
        <v>0</v>
      </c>
      <c r="AA140" s="7">
        <v>300.08600000000001</v>
      </c>
      <c r="AB140" s="7">
        <v>0</v>
      </c>
      <c r="AC140" s="7">
        <v>44.445999999999998</v>
      </c>
      <c r="AD140" s="7">
        <v>0</v>
      </c>
      <c r="AE140" s="7">
        <v>915.64</v>
      </c>
      <c r="AF140" s="7">
        <v>530.55399999999997</v>
      </c>
      <c r="AG140" s="7">
        <v>0</v>
      </c>
      <c r="AH140" s="7">
        <v>3364.8409999999999</v>
      </c>
      <c r="AI140" s="7">
        <v>884.976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44.447000000000003</v>
      </c>
      <c r="AP140" s="7">
        <v>0</v>
      </c>
      <c r="AQ140" s="7">
        <v>201.64500000000001</v>
      </c>
      <c r="AR140" s="7">
        <v>0</v>
      </c>
      <c r="AS140" s="7">
        <v>0.86899999999999999</v>
      </c>
      <c r="AT140" s="7">
        <v>0</v>
      </c>
      <c r="AU140" s="7">
        <v>16.023</v>
      </c>
      <c r="AV140" s="7">
        <v>0</v>
      </c>
      <c r="AW140" s="7">
        <v>0</v>
      </c>
      <c r="AX140" s="7">
        <v>0</v>
      </c>
      <c r="AY140" s="7">
        <v>22.638999999999999</v>
      </c>
      <c r="AZ140" s="7">
        <v>242.97399999999999</v>
      </c>
      <c r="BA140" s="7">
        <v>0</v>
      </c>
      <c r="BB140" s="7">
        <v>14.983000000000001</v>
      </c>
      <c r="BC140" s="7">
        <v>11.680999999999999</v>
      </c>
      <c r="BD140" s="7">
        <v>297.64999999999998</v>
      </c>
      <c r="BE140" s="7">
        <v>4.08</v>
      </c>
      <c r="BF140" s="7">
        <v>4.08</v>
      </c>
      <c r="BG140" s="7">
        <v>100.764</v>
      </c>
      <c r="BH140" s="7">
        <v>0</v>
      </c>
      <c r="BI140" s="7">
        <v>4.0979999999999999</v>
      </c>
      <c r="BJ140" s="21"/>
    </row>
    <row r="141" spans="1:62" ht="15.6" x14ac:dyDescent="0.3">
      <c r="A141" s="5" t="s">
        <v>265</v>
      </c>
      <c r="B141" s="5" t="s">
        <v>266</v>
      </c>
      <c r="C141" s="7">
        <v>6</v>
      </c>
      <c r="D141" s="7">
        <v>6</v>
      </c>
      <c r="E141" s="7">
        <v>2245.85</v>
      </c>
      <c r="F141" s="7">
        <v>62.165999999999997</v>
      </c>
      <c r="G141" s="7">
        <v>21.664000000000001</v>
      </c>
      <c r="H141" s="7">
        <v>1.0999999999999999E-2</v>
      </c>
      <c r="I141" s="7">
        <v>3.92</v>
      </c>
      <c r="J141" s="7">
        <v>12.653</v>
      </c>
      <c r="K141" s="7">
        <v>0</v>
      </c>
      <c r="L141" s="7">
        <v>3893.64</v>
      </c>
      <c r="M141" s="7">
        <v>640.78499999999997</v>
      </c>
      <c r="N141" s="7">
        <v>0</v>
      </c>
      <c r="O141" s="7">
        <v>0</v>
      </c>
      <c r="P141" s="7">
        <v>1.0999999999999999E-2</v>
      </c>
      <c r="Q141" s="7">
        <v>0</v>
      </c>
      <c r="R141" s="7">
        <v>0</v>
      </c>
      <c r="S141" s="7">
        <v>21.753</v>
      </c>
      <c r="T141" s="7">
        <v>0</v>
      </c>
      <c r="U141" s="7">
        <v>0</v>
      </c>
      <c r="V141" s="7">
        <v>2.9940000000000002</v>
      </c>
      <c r="W141" s="7">
        <v>9.5879999999999992</v>
      </c>
      <c r="X141" s="7">
        <v>0</v>
      </c>
      <c r="Y141" s="7">
        <v>577.96100000000001</v>
      </c>
      <c r="Z141" s="7">
        <v>0</v>
      </c>
      <c r="AA141" s="7">
        <v>34.225000000000001</v>
      </c>
      <c r="AB141" s="7">
        <v>0</v>
      </c>
      <c r="AC141" s="7">
        <v>11.888</v>
      </c>
      <c r="AD141" s="7">
        <v>0</v>
      </c>
      <c r="AE141" s="7">
        <v>2365.741</v>
      </c>
      <c r="AF141" s="7">
        <v>211.02600000000001</v>
      </c>
      <c r="AG141" s="7">
        <v>0</v>
      </c>
      <c r="AH141" s="7">
        <v>9277.5159999999996</v>
      </c>
      <c r="AI141" s="7">
        <v>351.74799999999999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11.893000000000001</v>
      </c>
      <c r="AP141" s="7">
        <v>0</v>
      </c>
      <c r="AQ141" s="7">
        <v>80.253</v>
      </c>
      <c r="AR141" s="7">
        <v>0</v>
      </c>
      <c r="AS141" s="7">
        <v>0.20899999999999999</v>
      </c>
      <c r="AT141" s="7">
        <v>0</v>
      </c>
      <c r="AU141" s="7">
        <v>2.5619999999999998</v>
      </c>
      <c r="AV141" s="7">
        <v>0</v>
      </c>
      <c r="AW141" s="7">
        <v>0</v>
      </c>
      <c r="AX141" s="7">
        <v>0</v>
      </c>
      <c r="AY141" s="7">
        <v>4.7629999999999999</v>
      </c>
      <c r="AZ141" s="7">
        <v>96.700999999999993</v>
      </c>
      <c r="BA141" s="7">
        <v>0</v>
      </c>
      <c r="BB141" s="7">
        <v>4.0049999999999999</v>
      </c>
      <c r="BC141" s="7">
        <v>1.3320000000000001</v>
      </c>
      <c r="BD141" s="7">
        <v>118.462</v>
      </c>
      <c r="BE141" s="7">
        <v>1.0820000000000001</v>
      </c>
      <c r="BF141" s="7">
        <v>1.0820000000000001</v>
      </c>
      <c r="BG141" s="7">
        <v>40.103000000000002</v>
      </c>
      <c r="BH141" s="7">
        <v>0</v>
      </c>
      <c r="BI141" s="7">
        <v>0.46700000000000003</v>
      </c>
      <c r="BJ141" s="21"/>
    </row>
    <row r="142" spans="1:62" ht="15.6" x14ac:dyDescent="0.3">
      <c r="A142" s="5" t="s">
        <v>267</v>
      </c>
      <c r="B142" s="5" t="s">
        <v>268</v>
      </c>
      <c r="C142" s="7">
        <v>4</v>
      </c>
      <c r="D142" s="7">
        <v>4</v>
      </c>
      <c r="E142" s="7">
        <v>142.703</v>
      </c>
      <c r="F142" s="7">
        <v>13.180999999999999</v>
      </c>
      <c r="G142" s="7">
        <v>17.518999999999998</v>
      </c>
      <c r="H142" s="7">
        <v>0</v>
      </c>
      <c r="I142" s="7">
        <v>3.0710000000000002</v>
      </c>
      <c r="J142" s="7">
        <v>10.648999999999999</v>
      </c>
      <c r="K142" s="7">
        <v>0</v>
      </c>
      <c r="L142" s="7">
        <v>109.874</v>
      </c>
      <c r="M142" s="7">
        <v>47.65</v>
      </c>
      <c r="N142" s="7">
        <v>0</v>
      </c>
      <c r="O142" s="7">
        <v>0</v>
      </c>
      <c r="P142" s="7">
        <v>0.55300000000000005</v>
      </c>
      <c r="Q142" s="7">
        <v>0</v>
      </c>
      <c r="R142" s="7">
        <v>0</v>
      </c>
      <c r="S142" s="7">
        <v>0.249</v>
      </c>
      <c r="T142" s="7">
        <v>0</v>
      </c>
      <c r="U142" s="7">
        <v>0</v>
      </c>
      <c r="V142" s="7">
        <v>1.698</v>
      </c>
      <c r="W142" s="7">
        <v>5.1159999999999997</v>
      </c>
      <c r="X142" s="7">
        <v>0</v>
      </c>
      <c r="Y142" s="7">
        <v>41.756999999999998</v>
      </c>
      <c r="Z142" s="7">
        <v>0</v>
      </c>
      <c r="AA142" s="7">
        <v>13.84</v>
      </c>
      <c r="AB142" s="7">
        <v>0</v>
      </c>
      <c r="AC142" s="7">
        <v>2.3319999999999999</v>
      </c>
      <c r="AD142" s="7">
        <v>0</v>
      </c>
      <c r="AE142" s="7">
        <v>133.28</v>
      </c>
      <c r="AF142" s="7">
        <v>3.68</v>
      </c>
      <c r="AG142" s="7">
        <v>0</v>
      </c>
      <c r="AH142" s="7">
        <v>307.61700000000002</v>
      </c>
      <c r="AI142" s="7">
        <v>5.6070000000000002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0.17899999999999999</v>
      </c>
      <c r="AP142" s="7">
        <v>0</v>
      </c>
      <c r="AQ142" s="7">
        <v>1.407</v>
      </c>
      <c r="AR142" s="7">
        <v>0</v>
      </c>
      <c r="AS142" s="7">
        <v>3.0000000000000001E-3</v>
      </c>
      <c r="AT142" s="7">
        <v>0</v>
      </c>
      <c r="AU142" s="7">
        <v>1.6E-2</v>
      </c>
      <c r="AV142" s="7">
        <v>0</v>
      </c>
      <c r="AW142" s="7">
        <v>0</v>
      </c>
      <c r="AX142" s="7">
        <v>0</v>
      </c>
      <c r="AY142" s="7">
        <v>7.0000000000000001E-3</v>
      </c>
      <c r="AZ142" s="7">
        <v>0.217</v>
      </c>
      <c r="BA142" s="7">
        <v>0</v>
      </c>
      <c r="BB142" s="7">
        <v>6.0999999999999999E-2</v>
      </c>
      <c r="BC142" s="7">
        <v>0</v>
      </c>
      <c r="BD142" s="7">
        <v>0.26600000000000001</v>
      </c>
      <c r="BE142" s="7">
        <v>1.7000000000000001E-2</v>
      </c>
      <c r="BF142" s="7">
        <v>1.7000000000000001E-2</v>
      </c>
      <c r="BG142" s="7">
        <v>0.09</v>
      </c>
      <c r="BH142" s="7">
        <v>0</v>
      </c>
      <c r="BI142" s="7">
        <v>0</v>
      </c>
      <c r="BJ142" s="21"/>
    </row>
    <row r="143" spans="1:62" ht="15.6" x14ac:dyDescent="0.3">
      <c r="A143" s="5" t="s">
        <v>269</v>
      </c>
      <c r="B143" s="5" t="s">
        <v>270</v>
      </c>
      <c r="C143" s="7">
        <v>6</v>
      </c>
      <c r="D143" s="7">
        <v>6</v>
      </c>
      <c r="E143" s="7">
        <v>1571.52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2479.0169999999998</v>
      </c>
      <c r="M143" s="7">
        <v>517.93799999999999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473.66899999999998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1881.3969999999999</v>
      </c>
      <c r="AF143" s="7">
        <v>0</v>
      </c>
      <c r="AG143" s="7">
        <v>0</v>
      </c>
      <c r="AH143" s="7">
        <v>5148.3869999999997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21"/>
    </row>
    <row r="144" spans="1:62" ht="15.6" x14ac:dyDescent="0.3">
      <c r="A144" s="5" t="s">
        <v>271</v>
      </c>
      <c r="B144" s="5" t="s">
        <v>272</v>
      </c>
      <c r="C144" s="7">
        <v>4</v>
      </c>
      <c r="D144" s="7">
        <v>4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21"/>
    </row>
    <row r="145" spans="1:62" ht="15.6" x14ac:dyDescent="0.3">
      <c r="A145" s="5" t="s">
        <v>273</v>
      </c>
      <c r="B145" s="5" t="s">
        <v>274</v>
      </c>
      <c r="C145" s="7">
        <v>6</v>
      </c>
      <c r="D145" s="7">
        <v>6</v>
      </c>
      <c r="E145" s="7">
        <v>14911.933999999999</v>
      </c>
      <c r="F145" s="7">
        <v>390.01600000000002</v>
      </c>
      <c r="G145" s="7">
        <v>0</v>
      </c>
      <c r="H145" s="7">
        <v>0</v>
      </c>
      <c r="I145" s="7">
        <v>14.401</v>
      </c>
      <c r="J145" s="7">
        <v>0</v>
      </c>
      <c r="K145" s="7">
        <v>0</v>
      </c>
      <c r="L145" s="7">
        <v>4925.4470000000001</v>
      </c>
      <c r="M145" s="7">
        <v>277.53300000000002</v>
      </c>
      <c r="N145" s="7">
        <v>0</v>
      </c>
      <c r="O145" s="7">
        <v>620.53800000000001</v>
      </c>
      <c r="P145" s="7">
        <v>7.4999999999999997E-2</v>
      </c>
      <c r="Q145" s="7">
        <v>677.41800000000001</v>
      </c>
      <c r="R145" s="7">
        <v>0</v>
      </c>
      <c r="S145" s="7">
        <v>126.655</v>
      </c>
      <c r="T145" s="7">
        <v>0</v>
      </c>
      <c r="U145" s="7">
        <v>0</v>
      </c>
      <c r="V145" s="7">
        <v>0</v>
      </c>
      <c r="W145" s="7">
        <v>44.314999999999998</v>
      </c>
      <c r="X145" s="7">
        <v>0</v>
      </c>
      <c r="Y145" s="7">
        <v>995.71</v>
      </c>
      <c r="Z145" s="7">
        <v>0</v>
      </c>
      <c r="AA145" s="7">
        <v>0</v>
      </c>
      <c r="AB145" s="7">
        <v>39248.46</v>
      </c>
      <c r="AC145" s="7">
        <v>77.712000000000003</v>
      </c>
      <c r="AD145" s="7">
        <v>0</v>
      </c>
      <c r="AE145" s="7">
        <v>30235.978999999999</v>
      </c>
      <c r="AF145" s="7">
        <v>1715.626</v>
      </c>
      <c r="AG145" s="7">
        <v>0</v>
      </c>
      <c r="AH145" s="7">
        <v>8194.4699999999993</v>
      </c>
      <c r="AI145" s="7">
        <v>2859.7060000000001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77.768000000000001</v>
      </c>
      <c r="AP145" s="7">
        <v>0</v>
      </c>
      <c r="AQ145" s="7">
        <v>652.46900000000005</v>
      </c>
      <c r="AR145" s="7">
        <v>0</v>
      </c>
      <c r="AS145" s="7">
        <v>1.252</v>
      </c>
      <c r="AT145" s="7">
        <v>0</v>
      </c>
      <c r="AU145" s="7">
        <v>8.3670000000000009</v>
      </c>
      <c r="AV145" s="7">
        <v>0</v>
      </c>
      <c r="AW145" s="7">
        <v>0</v>
      </c>
      <c r="AX145" s="7">
        <v>0</v>
      </c>
      <c r="AY145" s="7">
        <v>24.856000000000002</v>
      </c>
      <c r="AZ145" s="7">
        <v>786.19899999999996</v>
      </c>
      <c r="BA145" s="7">
        <v>0</v>
      </c>
      <c r="BB145" s="7">
        <v>26.164000000000001</v>
      </c>
      <c r="BC145" s="7">
        <v>0</v>
      </c>
      <c r="BD145" s="7">
        <v>963.11599999999999</v>
      </c>
      <c r="BE145" s="7">
        <v>7.0250000000000004</v>
      </c>
      <c r="BF145" s="7">
        <v>7.0250000000000004</v>
      </c>
      <c r="BG145" s="7">
        <v>326.04700000000003</v>
      </c>
      <c r="BH145" s="7">
        <v>0</v>
      </c>
      <c r="BI145" s="7">
        <v>0</v>
      </c>
      <c r="BJ145" s="21"/>
    </row>
    <row r="146" spans="1:62" ht="15.6" x14ac:dyDescent="0.3">
      <c r="A146" s="5" t="s">
        <v>275</v>
      </c>
      <c r="B146" s="5" t="s">
        <v>276</v>
      </c>
      <c r="C146" s="7">
        <v>6</v>
      </c>
      <c r="D146" s="7">
        <v>6</v>
      </c>
      <c r="E146" s="7">
        <v>102751.57</v>
      </c>
      <c r="F146" s="7">
        <v>5302.6719999999996</v>
      </c>
      <c r="G146" s="7">
        <v>5584.8959999999997</v>
      </c>
      <c r="H146" s="7">
        <v>-625.28099999999995</v>
      </c>
      <c r="I146" s="7">
        <v>689.26099999999997</v>
      </c>
      <c r="J146" s="7">
        <v>3382.1350000000002</v>
      </c>
      <c r="K146" s="7">
        <v>0</v>
      </c>
      <c r="L146" s="7">
        <v>98808.362999999998</v>
      </c>
      <c r="M146" s="7">
        <v>24725.08</v>
      </c>
      <c r="N146" s="7">
        <v>0</v>
      </c>
      <c r="O146" s="7">
        <v>-88.664000000000001</v>
      </c>
      <c r="P146" s="7">
        <v>49.192</v>
      </c>
      <c r="Q146" s="7">
        <v>-39.886000000000003</v>
      </c>
      <c r="R146" s="7">
        <v>-20.094999999999999</v>
      </c>
      <c r="S146" s="7">
        <v>1121.181</v>
      </c>
      <c r="T146" s="7">
        <v>0</v>
      </c>
      <c r="U146" s="7">
        <v>0</v>
      </c>
      <c r="V146" s="7">
        <v>780.99099999999999</v>
      </c>
      <c r="W146" s="7">
        <v>1222.5719999999999</v>
      </c>
      <c r="X146" s="7">
        <v>-3529.4340000000002</v>
      </c>
      <c r="Y146" s="7">
        <v>17892.731</v>
      </c>
      <c r="Z146" s="7">
        <v>-1530.095</v>
      </c>
      <c r="AA146" s="7">
        <v>9268.3089999999993</v>
      </c>
      <c r="AB146" s="7">
        <v>-2149.98</v>
      </c>
      <c r="AC146" s="7">
        <v>1280.702</v>
      </c>
      <c r="AD146" s="7">
        <v>-27.306000000000001</v>
      </c>
      <c r="AE146" s="7">
        <v>71343.808000000005</v>
      </c>
      <c r="AF146" s="7">
        <v>3166.8980000000001</v>
      </c>
      <c r="AG146" s="7">
        <v>-100.062</v>
      </c>
      <c r="AH146" s="7">
        <v>232626.68100000001</v>
      </c>
      <c r="AI146" s="7">
        <v>5690.384</v>
      </c>
      <c r="AJ146" s="7">
        <v>-8704.61</v>
      </c>
      <c r="AK146" s="7">
        <v>-144001.41200000001</v>
      </c>
      <c r="AL146" s="7">
        <v>-77376.601999999999</v>
      </c>
      <c r="AM146" s="7">
        <v>0</v>
      </c>
      <c r="AN146" s="7">
        <v>-51022.385000000002</v>
      </c>
      <c r="AO146" s="7">
        <v>1198.8340000000001</v>
      </c>
      <c r="AP146" s="7">
        <v>0</v>
      </c>
      <c r="AQ146" s="7">
        <v>996.26800000000003</v>
      </c>
      <c r="AR146" s="7">
        <v>0</v>
      </c>
      <c r="AS146" s="7">
        <v>0.63800000000000001</v>
      </c>
      <c r="AT146" s="7">
        <v>0</v>
      </c>
      <c r="AU146" s="7">
        <v>164.887</v>
      </c>
      <c r="AV146" s="7">
        <v>0</v>
      </c>
      <c r="AW146" s="7">
        <v>0</v>
      </c>
      <c r="AX146" s="7">
        <v>-4165.183</v>
      </c>
      <c r="AY146" s="7">
        <v>-33.235999999999997</v>
      </c>
      <c r="AZ146" s="7">
        <v>-234.947</v>
      </c>
      <c r="BA146" s="7">
        <v>-3057.846</v>
      </c>
      <c r="BB146" s="7">
        <v>360.93400000000003</v>
      </c>
      <c r="BC146" s="7">
        <v>19.216999999999999</v>
      </c>
      <c r="BD146" s="7">
        <v>-130.36699999999999</v>
      </c>
      <c r="BE146" s="7">
        <v>104.971</v>
      </c>
      <c r="BF146" s="7">
        <v>104.971</v>
      </c>
      <c r="BG146" s="7">
        <v>-127.819</v>
      </c>
      <c r="BH146" s="7">
        <v>-4774.1270000000004</v>
      </c>
      <c r="BI146" s="7">
        <v>-4.0229999999999997</v>
      </c>
      <c r="BJ146" s="21"/>
    </row>
    <row r="147" spans="1:62" ht="15.6" x14ac:dyDescent="0.3">
      <c r="A147" s="5" t="s">
        <v>277</v>
      </c>
      <c r="B147" s="5" t="s">
        <v>278</v>
      </c>
      <c r="C147" s="7">
        <v>6</v>
      </c>
      <c r="D147" s="7">
        <v>6</v>
      </c>
      <c r="E147" s="7">
        <v>-5627.2690000000002</v>
      </c>
      <c r="F147" s="7">
        <v>-2152.268</v>
      </c>
      <c r="G147" s="7">
        <v>462.25900000000001</v>
      </c>
      <c r="H147" s="7">
        <v>-0.03</v>
      </c>
      <c r="I147" s="7">
        <v>83.55</v>
      </c>
      <c r="J147" s="7">
        <v>-86.631</v>
      </c>
      <c r="K147" s="7">
        <v>0</v>
      </c>
      <c r="L147" s="7">
        <v>-22097.4</v>
      </c>
      <c r="M147" s="7">
        <v>1752.6959999999999</v>
      </c>
      <c r="N147" s="7">
        <v>0</v>
      </c>
      <c r="O147" s="7">
        <v>0</v>
      </c>
      <c r="P147" s="7">
        <v>-17.027000000000001</v>
      </c>
      <c r="Q147" s="7">
        <v>0</v>
      </c>
      <c r="R147" s="7">
        <v>0.78800000000000003</v>
      </c>
      <c r="S147" s="7">
        <v>-590.74900000000002</v>
      </c>
      <c r="T147" s="7">
        <v>0</v>
      </c>
      <c r="U147" s="7">
        <v>0</v>
      </c>
      <c r="V147" s="7">
        <v>24.547999999999998</v>
      </c>
      <c r="W147" s="7">
        <v>43.145000000000003</v>
      </c>
      <c r="X147" s="7">
        <v>0</v>
      </c>
      <c r="Y147" s="7">
        <v>-3995.2220000000002</v>
      </c>
      <c r="Z147" s="7">
        <v>0</v>
      </c>
      <c r="AA147" s="7">
        <v>-841.53300000000002</v>
      </c>
      <c r="AB147" s="7">
        <v>0</v>
      </c>
      <c r="AC147" s="7">
        <v>-352.50900000000001</v>
      </c>
      <c r="AD147" s="7">
        <v>0</v>
      </c>
      <c r="AE147" s="7">
        <v>-11453.671</v>
      </c>
      <c r="AF147" s="7">
        <v>-10441.780000000001</v>
      </c>
      <c r="AG147" s="7">
        <v>0</v>
      </c>
      <c r="AH147" s="7">
        <v>-33493.184999999998</v>
      </c>
      <c r="AI147" s="7">
        <v>-15871.217000000001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-658.38800000000003</v>
      </c>
      <c r="AP147" s="7">
        <v>0</v>
      </c>
      <c r="AQ147" s="7">
        <v>-3894.2550000000001</v>
      </c>
      <c r="AR147" s="7">
        <v>0</v>
      </c>
      <c r="AS147" s="7">
        <v>-8.3949999999999996</v>
      </c>
      <c r="AT147" s="7">
        <v>0</v>
      </c>
      <c r="AU147" s="7">
        <v>-43.014000000000003</v>
      </c>
      <c r="AV147" s="7">
        <v>0</v>
      </c>
      <c r="AW147" s="7">
        <v>0</v>
      </c>
      <c r="AX147" s="7">
        <v>0</v>
      </c>
      <c r="AY147" s="7">
        <v>-0.24099999999999999</v>
      </c>
      <c r="AZ147" s="7">
        <v>10.074999999999999</v>
      </c>
      <c r="BA147" s="7">
        <v>0</v>
      </c>
      <c r="BB147" s="7">
        <v>-218.542</v>
      </c>
      <c r="BC147" s="7">
        <v>-1.968</v>
      </c>
      <c r="BD147" s="7">
        <v>11.673999999999999</v>
      </c>
      <c r="BE147" s="7">
        <v>-57.384</v>
      </c>
      <c r="BF147" s="7">
        <v>-57.384</v>
      </c>
      <c r="BG147" s="7">
        <v>4.13</v>
      </c>
      <c r="BH147" s="7">
        <v>0</v>
      </c>
      <c r="BI147" s="7">
        <v>-0.79100000000000004</v>
      </c>
      <c r="BJ147" s="21"/>
    </row>
    <row r="148" spans="1:62" ht="15.6" x14ac:dyDescent="0.3">
      <c r="A148" s="5" t="s">
        <v>279</v>
      </c>
      <c r="B148" s="5" t="s">
        <v>280</v>
      </c>
      <c r="C148" s="7">
        <v>6</v>
      </c>
      <c r="D148" s="7">
        <v>6</v>
      </c>
      <c r="E148" s="7">
        <v>234.584</v>
      </c>
      <c r="F148" s="7">
        <v>17.524999999999999</v>
      </c>
      <c r="G148" s="7">
        <v>41.634999999999998</v>
      </c>
      <c r="H148" s="7">
        <v>0</v>
      </c>
      <c r="I148" s="7">
        <v>5.8659999999999997</v>
      </c>
      <c r="J148" s="7">
        <v>27.739000000000001</v>
      </c>
      <c r="K148" s="7">
        <v>0</v>
      </c>
      <c r="L148" s="7">
        <v>63.218000000000004</v>
      </c>
      <c r="M148" s="7">
        <v>71.430000000000007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5.2220000000000004</v>
      </c>
      <c r="T148" s="7">
        <v>0</v>
      </c>
      <c r="U148" s="7">
        <v>0</v>
      </c>
      <c r="V148" s="7">
        <v>3.524</v>
      </c>
      <c r="W148" s="7">
        <v>5.8140000000000001</v>
      </c>
      <c r="X148" s="7">
        <v>0</v>
      </c>
      <c r="Y148" s="7">
        <v>42.941000000000003</v>
      </c>
      <c r="Z148" s="7">
        <v>0</v>
      </c>
      <c r="AA148" s="7">
        <v>64.212000000000003</v>
      </c>
      <c r="AB148" s="7">
        <v>0</v>
      </c>
      <c r="AC148" s="7">
        <v>2.4729999999999999</v>
      </c>
      <c r="AD148" s="7">
        <v>1.357</v>
      </c>
      <c r="AE148" s="7">
        <v>109.45399999999999</v>
      </c>
      <c r="AF148" s="7">
        <v>0</v>
      </c>
      <c r="AG148" s="7">
        <v>5.0039999999999996</v>
      </c>
      <c r="AH148" s="7">
        <v>254.66800000000001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3.153</v>
      </c>
      <c r="AP148" s="7">
        <v>0</v>
      </c>
      <c r="AQ148" s="7">
        <v>0</v>
      </c>
      <c r="AR148" s="7">
        <v>0</v>
      </c>
      <c r="AS148" s="7">
        <v>0.15</v>
      </c>
      <c r="AT148" s="7">
        <v>0</v>
      </c>
      <c r="AU148" s="7">
        <v>2.91</v>
      </c>
      <c r="AV148" s="7">
        <v>0</v>
      </c>
      <c r="AW148" s="7">
        <v>0</v>
      </c>
      <c r="AX148" s="7">
        <v>0</v>
      </c>
      <c r="AY148" s="7">
        <v>1.9970000000000001</v>
      </c>
      <c r="AZ148" s="7">
        <v>0</v>
      </c>
      <c r="BA148" s="7">
        <v>0</v>
      </c>
      <c r="BB148" s="7">
        <v>1.1160000000000001</v>
      </c>
      <c r="BC148" s="7">
        <v>1.2689999999999999</v>
      </c>
      <c r="BD148" s="7">
        <v>0</v>
      </c>
      <c r="BE148" s="7">
        <v>0.28299999999999997</v>
      </c>
      <c r="BF148" s="7">
        <v>0.28299999999999997</v>
      </c>
      <c r="BG148" s="7">
        <v>0</v>
      </c>
      <c r="BH148" s="7">
        <v>0</v>
      </c>
      <c r="BI148" s="7">
        <v>0.378</v>
      </c>
      <c r="BJ148" s="21"/>
    </row>
    <row r="149" spans="1:62" ht="15.6" x14ac:dyDescent="0.3">
      <c r="A149" s="5" t="s">
        <v>281</v>
      </c>
      <c r="B149" s="5" t="s">
        <v>282</v>
      </c>
      <c r="C149" s="7">
        <v>6</v>
      </c>
      <c r="D149" s="7">
        <v>6</v>
      </c>
      <c r="E149" s="7">
        <v>-2155.8629999999998</v>
      </c>
      <c r="F149" s="7">
        <v>-363.935</v>
      </c>
      <c r="G149" s="7">
        <v>-887.01700000000005</v>
      </c>
      <c r="H149" s="7">
        <v>0</v>
      </c>
      <c r="I149" s="7">
        <v>-196.154</v>
      </c>
      <c r="J149" s="7">
        <v>-699.803</v>
      </c>
      <c r="K149" s="7">
        <v>0</v>
      </c>
      <c r="L149" s="7">
        <v>4045.2249999999999</v>
      </c>
      <c r="M149" s="7">
        <v>-2669.6579999999999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-84.578000000000003</v>
      </c>
      <c r="T149" s="7">
        <v>0</v>
      </c>
      <c r="U149" s="7">
        <v>0</v>
      </c>
      <c r="V149" s="7">
        <v>-134.24199999999999</v>
      </c>
      <c r="W149" s="7">
        <v>-234.239</v>
      </c>
      <c r="X149" s="7">
        <v>0</v>
      </c>
      <c r="Y149" s="7">
        <v>-94.798000000000002</v>
      </c>
      <c r="Z149" s="7">
        <v>0</v>
      </c>
      <c r="AA149" s="7">
        <v>-1039.3720000000001</v>
      </c>
      <c r="AB149" s="7">
        <v>0</v>
      </c>
      <c r="AC149" s="7">
        <v>-35.213999999999999</v>
      </c>
      <c r="AD149" s="7">
        <v>0</v>
      </c>
      <c r="AE149" s="7">
        <v>521.18499999999995</v>
      </c>
      <c r="AF149" s="7">
        <v>3344.7150000000001</v>
      </c>
      <c r="AG149" s="7">
        <v>0</v>
      </c>
      <c r="AH149" s="7">
        <v>2053.7220000000002</v>
      </c>
      <c r="AI149" s="7">
        <v>5032.6490000000003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76.171000000000006</v>
      </c>
      <c r="AP149" s="7">
        <v>0</v>
      </c>
      <c r="AQ149" s="7">
        <v>1271.8589999999999</v>
      </c>
      <c r="AR149" s="7">
        <v>0</v>
      </c>
      <c r="AS149" s="7">
        <v>1.9550000000000001</v>
      </c>
      <c r="AT149" s="7">
        <v>0</v>
      </c>
      <c r="AU149" s="7">
        <v>14.622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24.905000000000001</v>
      </c>
      <c r="BC149" s="7">
        <v>0</v>
      </c>
      <c r="BD149" s="7">
        <v>0</v>
      </c>
      <c r="BE149" s="7">
        <v>3.0590000000000002</v>
      </c>
      <c r="BF149" s="7">
        <v>3.0590000000000002</v>
      </c>
      <c r="BG149" s="7">
        <v>0</v>
      </c>
      <c r="BH149" s="7">
        <v>0</v>
      </c>
      <c r="BI149" s="7">
        <v>0</v>
      </c>
      <c r="BJ149" s="21"/>
    </row>
    <row r="150" spans="1:62" ht="15.6" x14ac:dyDescent="0.3">
      <c r="A150" s="5" t="s">
        <v>283</v>
      </c>
      <c r="B150" s="5" t="s">
        <v>284</v>
      </c>
      <c r="C150" s="7">
        <v>4</v>
      </c>
      <c r="D150" s="7">
        <v>4</v>
      </c>
      <c r="E150" s="7">
        <v>18271.206999999999</v>
      </c>
      <c r="F150" s="7">
        <v>3383.4110000000001</v>
      </c>
      <c r="G150" s="7">
        <v>0</v>
      </c>
      <c r="H150" s="7">
        <v>0</v>
      </c>
      <c r="I150" s="7">
        <v>71.363</v>
      </c>
      <c r="J150" s="7">
        <v>0</v>
      </c>
      <c r="K150" s="7">
        <v>0</v>
      </c>
      <c r="L150" s="7">
        <v>42438.692000000003</v>
      </c>
      <c r="M150" s="7">
        <v>3699.54</v>
      </c>
      <c r="N150" s="7">
        <v>0</v>
      </c>
      <c r="O150" s="7">
        <v>70.796999999999997</v>
      </c>
      <c r="P150" s="7">
        <v>0</v>
      </c>
      <c r="Q150" s="7">
        <v>24.667000000000002</v>
      </c>
      <c r="R150" s="7">
        <v>0</v>
      </c>
      <c r="S150" s="7">
        <v>1067.8150000000001</v>
      </c>
      <c r="T150" s="7">
        <v>0</v>
      </c>
      <c r="U150" s="7">
        <v>0</v>
      </c>
      <c r="V150" s="7">
        <v>0</v>
      </c>
      <c r="W150" s="7">
        <v>322.50700000000001</v>
      </c>
      <c r="X150" s="7">
        <v>-386.798</v>
      </c>
      <c r="Y150" s="7">
        <v>8294.5830000000005</v>
      </c>
      <c r="Z150" s="7">
        <v>92.313999999999993</v>
      </c>
      <c r="AA150" s="7">
        <v>0</v>
      </c>
      <c r="AB150" s="7">
        <v>1587.7360000000001</v>
      </c>
      <c r="AC150" s="7">
        <v>630.82500000000005</v>
      </c>
      <c r="AD150" s="7">
        <v>101.16200000000001</v>
      </c>
      <c r="AE150" s="7">
        <v>20868.785</v>
      </c>
      <c r="AF150" s="7">
        <v>15875.041999999999</v>
      </c>
      <c r="AG150" s="7">
        <v>753.01499999999999</v>
      </c>
      <c r="AH150" s="7">
        <v>69684.491999999998</v>
      </c>
      <c r="AI150" s="7">
        <v>23872.366000000002</v>
      </c>
      <c r="AJ150" s="7">
        <v>269.55099999999999</v>
      </c>
      <c r="AK150" s="7">
        <v>-2103.1239999999998</v>
      </c>
      <c r="AL150" s="7">
        <v>-1130.076</v>
      </c>
      <c r="AM150" s="7">
        <v>0</v>
      </c>
      <c r="AN150" s="7">
        <v>-745.17600000000004</v>
      </c>
      <c r="AO150" s="7">
        <v>775.13300000000004</v>
      </c>
      <c r="AP150" s="7">
        <v>0</v>
      </c>
      <c r="AQ150" s="7">
        <v>6055.1710000000003</v>
      </c>
      <c r="AR150" s="7">
        <v>0</v>
      </c>
      <c r="AS150" s="7">
        <v>11.26</v>
      </c>
      <c r="AT150" s="7">
        <v>0</v>
      </c>
      <c r="AU150" s="7">
        <v>69.706000000000003</v>
      </c>
      <c r="AV150" s="7">
        <v>0</v>
      </c>
      <c r="AW150" s="7">
        <v>0</v>
      </c>
      <c r="AX150" s="7">
        <v>-456.471</v>
      </c>
      <c r="AY150" s="7">
        <v>0</v>
      </c>
      <c r="AZ150" s="7">
        <v>0</v>
      </c>
      <c r="BA150" s="7">
        <v>-333.71199999999999</v>
      </c>
      <c r="BB150" s="7">
        <v>262.745</v>
      </c>
      <c r="BC150" s="7">
        <v>0</v>
      </c>
      <c r="BD150" s="7">
        <v>0</v>
      </c>
      <c r="BE150" s="7">
        <v>75.734999999999999</v>
      </c>
      <c r="BF150" s="7">
        <v>75.734999999999999</v>
      </c>
      <c r="BG150" s="7">
        <v>0</v>
      </c>
      <c r="BH150" s="7">
        <v>297.41800000000001</v>
      </c>
      <c r="BI150" s="7">
        <v>0</v>
      </c>
      <c r="BJ150" s="21"/>
    </row>
    <row r="151" spans="1:62" ht="15.6" x14ac:dyDescent="0.3">
      <c r="A151" s="5" t="s">
        <v>285</v>
      </c>
      <c r="B151" s="5" t="s">
        <v>286</v>
      </c>
      <c r="C151" s="7">
        <v>6</v>
      </c>
      <c r="D151" s="7">
        <v>6</v>
      </c>
      <c r="E151" s="7">
        <v>-1842.41</v>
      </c>
      <c r="F151" s="7">
        <v>1293.2760000000001</v>
      </c>
      <c r="G151" s="7">
        <v>-738.01</v>
      </c>
      <c r="H151" s="7">
        <v>0</v>
      </c>
      <c r="I151" s="7">
        <v>30.71</v>
      </c>
      <c r="J151" s="7">
        <v>-211.27600000000001</v>
      </c>
      <c r="K151" s="7">
        <v>0</v>
      </c>
      <c r="L151" s="7">
        <v>17858.478999999999</v>
      </c>
      <c r="M151" s="7">
        <v>79.635000000000005</v>
      </c>
      <c r="N151" s="7">
        <v>0</v>
      </c>
      <c r="O151" s="7">
        <v>-389.17200000000003</v>
      </c>
      <c r="P151" s="7">
        <v>6.4000000000000001E-2</v>
      </c>
      <c r="Q151" s="7">
        <v>-474.55599999999998</v>
      </c>
      <c r="R151" s="7">
        <v>0</v>
      </c>
      <c r="S151" s="7">
        <v>400.11799999999999</v>
      </c>
      <c r="T151" s="7">
        <v>0</v>
      </c>
      <c r="U151" s="7">
        <v>0</v>
      </c>
      <c r="V151" s="7">
        <v>-58.281999999999996</v>
      </c>
      <c r="W151" s="7">
        <v>142.47200000000001</v>
      </c>
      <c r="X151" s="7">
        <v>2098.8620000000001</v>
      </c>
      <c r="Y151" s="7">
        <v>3561.94</v>
      </c>
      <c r="Z151" s="7">
        <v>909.04399999999998</v>
      </c>
      <c r="AA151" s="7">
        <v>-504.91</v>
      </c>
      <c r="AB151" s="7">
        <v>-26987.548999999999</v>
      </c>
      <c r="AC151" s="7">
        <v>177.108</v>
      </c>
      <c r="AD151" s="7">
        <v>-19.641999999999999</v>
      </c>
      <c r="AE151" s="7">
        <v>-12645.833000000001</v>
      </c>
      <c r="AF151" s="7">
        <v>7421.48</v>
      </c>
      <c r="AG151" s="7">
        <v>-114.005</v>
      </c>
      <c r="AH151" s="7">
        <v>29614.455000000002</v>
      </c>
      <c r="AI151" s="7">
        <v>11393.891</v>
      </c>
      <c r="AJ151" s="7">
        <v>5374.1059999999998</v>
      </c>
      <c r="AK151" s="7">
        <v>238471.75599999999</v>
      </c>
      <c r="AL151" s="7">
        <v>128138.564</v>
      </c>
      <c r="AM151" s="7">
        <v>0</v>
      </c>
      <c r="AN151" s="7">
        <v>84494.989000000001</v>
      </c>
      <c r="AO151" s="7">
        <v>236.649</v>
      </c>
      <c r="AP151" s="7">
        <v>0</v>
      </c>
      <c r="AQ151" s="7">
        <v>2837.09</v>
      </c>
      <c r="AR151" s="7">
        <v>0</v>
      </c>
      <c r="AS151" s="7">
        <v>4.9950000000000001</v>
      </c>
      <c r="AT151" s="7">
        <v>0</v>
      </c>
      <c r="AU151" s="7">
        <v>33.441000000000003</v>
      </c>
      <c r="AV151" s="7">
        <v>0</v>
      </c>
      <c r="AW151" s="7">
        <v>0</v>
      </c>
      <c r="AX151" s="7">
        <v>2476.9250000000002</v>
      </c>
      <c r="AY151" s="7">
        <v>21.300999999999998</v>
      </c>
      <c r="AZ151" s="7">
        <v>673.75800000000004</v>
      </c>
      <c r="BA151" s="7">
        <v>1810.8019999999999</v>
      </c>
      <c r="BB151" s="7">
        <v>81.186000000000007</v>
      </c>
      <c r="BC151" s="7">
        <v>0</v>
      </c>
      <c r="BD151" s="7">
        <v>825.37199999999996</v>
      </c>
      <c r="BE151" s="7">
        <v>23.571999999999999</v>
      </c>
      <c r="BF151" s="7">
        <v>23.571999999999999</v>
      </c>
      <c r="BG151" s="7">
        <v>279.416</v>
      </c>
      <c r="BH151" s="7">
        <v>2781.1080000000002</v>
      </c>
      <c r="BI151" s="7">
        <v>0</v>
      </c>
      <c r="BJ151" s="21"/>
    </row>
    <row r="152" spans="1:62" ht="15.6" x14ac:dyDescent="0.3">
      <c r="A152" s="5" t="s">
        <v>287</v>
      </c>
      <c r="B152" s="5" t="s">
        <v>288</v>
      </c>
      <c r="C152" s="7">
        <v>6</v>
      </c>
      <c r="D152" s="7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21"/>
    </row>
    <row r="153" spans="1:62" ht="15.6" x14ac:dyDescent="0.3">
      <c r="A153" s="5" t="s">
        <v>289</v>
      </c>
      <c r="B153" s="5" t="s">
        <v>290</v>
      </c>
      <c r="C153" s="7">
        <v>6</v>
      </c>
      <c r="D153" s="7">
        <v>6</v>
      </c>
      <c r="E153" s="7">
        <v>-1158.008</v>
      </c>
      <c r="F153" s="7">
        <v>-807.226</v>
      </c>
      <c r="G153" s="7">
        <v>-55.37</v>
      </c>
      <c r="H153" s="7">
        <v>-3.6999999999999998E-2</v>
      </c>
      <c r="I153" s="7">
        <v>-71.436000000000007</v>
      </c>
      <c r="J153" s="7">
        <v>-599.58299999999997</v>
      </c>
      <c r="K153" s="7">
        <v>0</v>
      </c>
      <c r="L153" s="7">
        <v>-1730.182</v>
      </c>
      <c r="M153" s="7">
        <v>-99.483000000000004</v>
      </c>
      <c r="N153" s="7">
        <v>0</v>
      </c>
      <c r="O153" s="7">
        <v>0</v>
      </c>
      <c r="P153" s="7">
        <v>-2E-3</v>
      </c>
      <c r="Q153" s="7">
        <v>-966.57899999999995</v>
      </c>
      <c r="R153" s="7">
        <v>-1566.354</v>
      </c>
      <c r="S153" s="7">
        <v>-323.50299999999999</v>
      </c>
      <c r="T153" s="7">
        <v>0</v>
      </c>
      <c r="U153" s="7">
        <v>0</v>
      </c>
      <c r="V153" s="7">
        <v>-109.389</v>
      </c>
      <c r="W153" s="7">
        <v>-1.0680000000000001</v>
      </c>
      <c r="X153" s="7">
        <v>0</v>
      </c>
      <c r="Y153" s="7">
        <v>-46.953000000000003</v>
      </c>
      <c r="Z153" s="7">
        <v>-27943.837</v>
      </c>
      <c r="AA153" s="7">
        <v>-2054.2559999999999</v>
      </c>
      <c r="AB153" s="7">
        <v>0</v>
      </c>
      <c r="AC153" s="7">
        <v>-134.43899999999999</v>
      </c>
      <c r="AD153" s="7">
        <v>-7915.7529999999997</v>
      </c>
      <c r="AE153" s="7">
        <v>-413.81400000000002</v>
      </c>
      <c r="AF153" s="7">
        <v>-14.798</v>
      </c>
      <c r="AG153" s="7">
        <v>-28217.24</v>
      </c>
      <c r="AH153" s="7">
        <v>-2808.3449999999998</v>
      </c>
      <c r="AI153" s="7">
        <v>-1.0999999999999999E-2</v>
      </c>
      <c r="AJ153" s="7">
        <v>-145374.48699999999</v>
      </c>
      <c r="AK153" s="7">
        <v>0</v>
      </c>
      <c r="AL153" s="7">
        <v>0</v>
      </c>
      <c r="AM153" s="7">
        <v>0</v>
      </c>
      <c r="AN153" s="7">
        <v>0</v>
      </c>
      <c r="AO153" s="7">
        <v>-297.51</v>
      </c>
      <c r="AP153" s="7">
        <v>0</v>
      </c>
      <c r="AQ153" s="7">
        <v>-2.1800000000000002</v>
      </c>
      <c r="AR153" s="7">
        <v>0</v>
      </c>
      <c r="AS153" s="7">
        <v>-1.1439999999999999</v>
      </c>
      <c r="AT153" s="7">
        <v>0</v>
      </c>
      <c r="AU153" s="7">
        <v>-0.152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-96.51</v>
      </c>
      <c r="BC153" s="7">
        <v>0</v>
      </c>
      <c r="BD153" s="7">
        <v>0</v>
      </c>
      <c r="BE153" s="7">
        <v>-26.632000000000001</v>
      </c>
      <c r="BF153" s="7">
        <v>-26.632000000000001</v>
      </c>
      <c r="BG153" s="7">
        <v>0</v>
      </c>
      <c r="BH153" s="7">
        <v>-91713.566999999995</v>
      </c>
      <c r="BI153" s="7">
        <v>0</v>
      </c>
      <c r="BJ153" s="21"/>
    </row>
    <row r="154" spans="1:62" ht="15.6" x14ac:dyDescent="0.3">
      <c r="A154" s="5" t="s">
        <v>291</v>
      </c>
      <c r="B154" s="5" t="s">
        <v>292</v>
      </c>
      <c r="C154" s="7">
        <v>6</v>
      </c>
      <c r="D154" s="7">
        <v>6</v>
      </c>
      <c r="E154" s="7">
        <v>1377.2080000000001</v>
      </c>
      <c r="F154" s="7">
        <v>1122.2170000000001</v>
      </c>
      <c r="G154" s="7">
        <v>796.99400000000003</v>
      </c>
      <c r="H154" s="7">
        <v>3.6999999999999998E-2</v>
      </c>
      <c r="I154" s="7">
        <v>80.11</v>
      </c>
      <c r="J154" s="7">
        <v>821.19100000000003</v>
      </c>
      <c r="K154" s="7">
        <v>0</v>
      </c>
      <c r="L154" s="7">
        <v>2953.7280000000001</v>
      </c>
      <c r="M154" s="7">
        <v>609.78300000000002</v>
      </c>
      <c r="N154" s="7">
        <v>0</v>
      </c>
      <c r="O154" s="7">
        <v>0</v>
      </c>
      <c r="P154" s="7">
        <v>2E-3</v>
      </c>
      <c r="Q154" s="7">
        <v>992.91200000000003</v>
      </c>
      <c r="R154" s="7">
        <v>1609.027</v>
      </c>
      <c r="S154" s="7">
        <v>435.52300000000002</v>
      </c>
      <c r="T154" s="7">
        <v>0</v>
      </c>
      <c r="U154" s="7">
        <v>0</v>
      </c>
      <c r="V154" s="7">
        <v>169.62799999999999</v>
      </c>
      <c r="W154" s="7">
        <v>16.638000000000002</v>
      </c>
      <c r="X154" s="7">
        <v>0</v>
      </c>
      <c r="Y154" s="7">
        <v>466.245</v>
      </c>
      <c r="Z154" s="7">
        <v>28705.134999999998</v>
      </c>
      <c r="AA154" s="7">
        <v>2593.7539999999999</v>
      </c>
      <c r="AB154" s="7">
        <v>0</v>
      </c>
      <c r="AC154" s="7">
        <v>262.14499999999998</v>
      </c>
      <c r="AD154" s="7">
        <v>8042.1779999999999</v>
      </c>
      <c r="AE154" s="7">
        <v>3411.5219999999999</v>
      </c>
      <c r="AF154" s="7">
        <v>15.032999999999999</v>
      </c>
      <c r="AG154" s="7">
        <v>28630.773000000001</v>
      </c>
      <c r="AH154" s="7">
        <v>5419.7349999999997</v>
      </c>
      <c r="AI154" s="7">
        <v>1.0999999999999999E-2</v>
      </c>
      <c r="AJ154" s="7">
        <v>149335.049</v>
      </c>
      <c r="AK154" s="7">
        <v>0</v>
      </c>
      <c r="AL154" s="7">
        <v>0</v>
      </c>
      <c r="AM154" s="7">
        <v>0</v>
      </c>
      <c r="AN154" s="7">
        <v>0</v>
      </c>
      <c r="AO154" s="7">
        <v>424.79199999999997</v>
      </c>
      <c r="AP154" s="7">
        <v>0</v>
      </c>
      <c r="AQ154" s="7">
        <v>2.2149999999999999</v>
      </c>
      <c r="AR154" s="7">
        <v>0</v>
      </c>
      <c r="AS154" s="7">
        <v>1.4850000000000001</v>
      </c>
      <c r="AT154" s="7">
        <v>0</v>
      </c>
      <c r="AU154" s="7">
        <v>0.154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138.44200000000001</v>
      </c>
      <c r="BC154" s="7">
        <v>0</v>
      </c>
      <c r="BD154" s="7">
        <v>0</v>
      </c>
      <c r="BE154" s="7">
        <v>38.085000000000001</v>
      </c>
      <c r="BF154" s="7">
        <v>38.085000000000001</v>
      </c>
      <c r="BG154" s="7">
        <v>0</v>
      </c>
      <c r="BH154" s="7">
        <v>94212.198999999993</v>
      </c>
      <c r="BI154" s="7">
        <v>0</v>
      </c>
      <c r="BJ154" s="21"/>
    </row>
    <row r="155" spans="1:62" ht="15.6" x14ac:dyDescent="0.3">
      <c r="A155" s="5" t="s">
        <v>293</v>
      </c>
      <c r="B155" s="5" t="s">
        <v>294</v>
      </c>
      <c r="C155" s="7">
        <v>4</v>
      </c>
      <c r="D155" s="7">
        <v>4</v>
      </c>
      <c r="E155" s="7">
        <v>7969.2560000000003</v>
      </c>
      <c r="F155" s="7">
        <v>1472.508</v>
      </c>
      <c r="G155" s="7">
        <v>0</v>
      </c>
      <c r="H155" s="7">
        <v>0</v>
      </c>
      <c r="I155" s="7">
        <v>54.37</v>
      </c>
      <c r="J155" s="7">
        <v>0</v>
      </c>
      <c r="K155" s="7">
        <v>0</v>
      </c>
      <c r="L155" s="7">
        <v>18370.649000000001</v>
      </c>
      <c r="M155" s="7">
        <v>1047.829</v>
      </c>
      <c r="N155" s="7">
        <v>0</v>
      </c>
      <c r="O155" s="7">
        <v>0</v>
      </c>
      <c r="P155" s="7">
        <v>0.28100000000000003</v>
      </c>
      <c r="Q155" s="7">
        <v>0</v>
      </c>
      <c r="R155" s="7">
        <v>0</v>
      </c>
      <c r="S155" s="7">
        <v>478.18700000000001</v>
      </c>
      <c r="T155" s="7">
        <v>0</v>
      </c>
      <c r="U155" s="7">
        <v>0</v>
      </c>
      <c r="V155" s="7">
        <v>0</v>
      </c>
      <c r="W155" s="7">
        <v>167.31100000000001</v>
      </c>
      <c r="X155" s="7">
        <v>0</v>
      </c>
      <c r="Y155" s="7">
        <v>3759.32</v>
      </c>
      <c r="Z155" s="7">
        <v>0</v>
      </c>
      <c r="AA155" s="7">
        <v>0</v>
      </c>
      <c r="AB155" s="7">
        <v>0</v>
      </c>
      <c r="AC155" s="7">
        <v>293.39999999999998</v>
      </c>
      <c r="AD155" s="7">
        <v>0</v>
      </c>
      <c r="AE155" s="7">
        <v>9214.3379999999997</v>
      </c>
      <c r="AF155" s="7">
        <v>6477.3649999999998</v>
      </c>
      <c r="AG155" s="7">
        <v>0</v>
      </c>
      <c r="AH155" s="7">
        <v>30938.319</v>
      </c>
      <c r="AI155" s="7">
        <v>10796.858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293.61799999999999</v>
      </c>
      <c r="AP155" s="7">
        <v>0</v>
      </c>
      <c r="AQ155" s="7">
        <v>2463.4050000000002</v>
      </c>
      <c r="AR155" s="7">
        <v>0</v>
      </c>
      <c r="AS155" s="7">
        <v>4.726</v>
      </c>
      <c r="AT155" s="7">
        <v>0</v>
      </c>
      <c r="AU155" s="7">
        <v>31.582999999999998</v>
      </c>
      <c r="AV155" s="7">
        <v>0</v>
      </c>
      <c r="AW155" s="7">
        <v>0</v>
      </c>
      <c r="AX155" s="7">
        <v>0</v>
      </c>
      <c r="AY155" s="7">
        <v>93.844999999999999</v>
      </c>
      <c r="AZ155" s="7">
        <v>2968.3029999999999</v>
      </c>
      <c r="BA155" s="7">
        <v>0</v>
      </c>
      <c r="BB155" s="7">
        <v>98.784000000000006</v>
      </c>
      <c r="BC155" s="7">
        <v>0</v>
      </c>
      <c r="BD155" s="7">
        <v>3636.2570000000001</v>
      </c>
      <c r="BE155" s="7">
        <v>26.521000000000001</v>
      </c>
      <c r="BF155" s="7">
        <v>26.521000000000001</v>
      </c>
      <c r="BG155" s="7">
        <v>1230.9970000000001</v>
      </c>
      <c r="BH155" s="7">
        <v>0</v>
      </c>
      <c r="BI155" s="7">
        <v>0</v>
      </c>
      <c r="BJ155" s="21"/>
    </row>
    <row r="156" spans="1:62" ht="15.6" x14ac:dyDescent="0.3">
      <c r="A156" s="5" t="s">
        <v>295</v>
      </c>
      <c r="B156" s="5" t="s">
        <v>296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21"/>
    </row>
    <row r="157" spans="1:62" ht="15.6" x14ac:dyDescent="0.3">
      <c r="A157" s="5" t="s">
        <v>297</v>
      </c>
      <c r="B157" s="5" t="s">
        <v>298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21"/>
    </row>
    <row r="158" spans="1:62" ht="15.6" x14ac:dyDescent="0.3">
      <c r="A158" s="5" t="s">
        <v>299</v>
      </c>
      <c r="B158" s="5" t="s">
        <v>300</v>
      </c>
      <c r="C158" s="7">
        <v>4</v>
      </c>
      <c r="D158" s="7">
        <v>4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21"/>
    </row>
    <row r="159" spans="1:62" ht="15.6" x14ac:dyDescent="0.3">
      <c r="A159" s="5" t="s">
        <v>301</v>
      </c>
      <c r="B159" s="5" t="s">
        <v>302</v>
      </c>
      <c r="C159" s="7">
        <v>4</v>
      </c>
      <c r="D159" s="7">
        <v>4</v>
      </c>
      <c r="E159" s="7">
        <v>-0.10299999999999999</v>
      </c>
      <c r="F159" s="7">
        <v>-1.9E-2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-0.23799999999999999</v>
      </c>
      <c r="M159" s="7">
        <v>-1.4E-2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-6.0000000000000001E-3</v>
      </c>
      <c r="T159" s="7">
        <v>0</v>
      </c>
      <c r="U159" s="7">
        <v>0</v>
      </c>
      <c r="V159" s="7">
        <v>0</v>
      </c>
      <c r="W159" s="7">
        <v>-2E-3</v>
      </c>
      <c r="X159" s="7">
        <v>0</v>
      </c>
      <c r="Y159" s="7">
        <v>-4.9000000000000002E-2</v>
      </c>
      <c r="Z159" s="7">
        <v>0</v>
      </c>
      <c r="AA159" s="7">
        <v>0</v>
      </c>
      <c r="AB159" s="7">
        <v>0</v>
      </c>
      <c r="AC159" s="7">
        <v>-4.0000000000000001E-3</v>
      </c>
      <c r="AD159" s="7">
        <v>0</v>
      </c>
      <c r="AE159" s="7">
        <v>-0.11899999999999999</v>
      </c>
      <c r="AF159" s="7">
        <v>-8.4000000000000005E-2</v>
      </c>
      <c r="AG159" s="7">
        <v>0</v>
      </c>
      <c r="AH159" s="7">
        <v>-0.40100000000000002</v>
      </c>
      <c r="AI159" s="7">
        <v>-0.14000000000000001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-4.0000000000000001E-3</v>
      </c>
      <c r="AP159" s="7">
        <v>0</v>
      </c>
      <c r="AQ159" s="7">
        <v>-3.2000000000000001E-2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-1E-3</v>
      </c>
      <c r="AZ159" s="7">
        <v>-3.7999999999999999E-2</v>
      </c>
      <c r="BA159" s="7">
        <v>0</v>
      </c>
      <c r="BB159" s="7">
        <v>-1E-3</v>
      </c>
      <c r="BC159" s="7">
        <v>0</v>
      </c>
      <c r="BD159" s="7">
        <v>-4.7E-2</v>
      </c>
      <c r="BE159" s="7">
        <v>0</v>
      </c>
      <c r="BF159" s="7">
        <v>0</v>
      </c>
      <c r="BG159" s="7">
        <v>-1.6E-2</v>
      </c>
      <c r="BH159" s="7">
        <v>0</v>
      </c>
      <c r="BI159" s="7">
        <v>0</v>
      </c>
      <c r="BJ159" s="21"/>
    </row>
    <row r="160" spans="1:62" ht="15.6" x14ac:dyDescent="0.3">
      <c r="A160" s="5" t="s">
        <v>303</v>
      </c>
      <c r="B160" s="5" t="s">
        <v>304</v>
      </c>
      <c r="C160" s="7">
        <v>4</v>
      </c>
      <c r="D160" s="7">
        <v>4</v>
      </c>
      <c r="E160" s="7">
        <v>-14.715999999999999</v>
      </c>
      <c r="F160" s="7">
        <v>-3.1739999999999999</v>
      </c>
      <c r="G160" s="7">
        <v>0</v>
      </c>
      <c r="H160" s="7">
        <v>0</v>
      </c>
      <c r="I160" s="7">
        <v>-6.5000000000000002E-2</v>
      </c>
      <c r="J160" s="7">
        <v>0</v>
      </c>
      <c r="K160" s="7">
        <v>0</v>
      </c>
      <c r="L160" s="7">
        <v>-37.585999999999999</v>
      </c>
      <c r="M160" s="7">
        <v>-0.878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-1.0029999999999999</v>
      </c>
      <c r="T160" s="7">
        <v>0</v>
      </c>
      <c r="U160" s="7">
        <v>0</v>
      </c>
      <c r="V160" s="7">
        <v>0</v>
      </c>
      <c r="W160" s="7">
        <v>-0.30199999999999999</v>
      </c>
      <c r="X160" s="7">
        <v>0</v>
      </c>
      <c r="Y160" s="7">
        <v>-7.8719999999999999</v>
      </c>
      <c r="Z160" s="7">
        <v>0</v>
      </c>
      <c r="AA160" s="7">
        <v>0</v>
      </c>
      <c r="AB160" s="7">
        <v>0</v>
      </c>
      <c r="AC160" s="7">
        <v>-0.59299999999999997</v>
      </c>
      <c r="AD160" s="7">
        <v>0</v>
      </c>
      <c r="AE160" s="7">
        <v>-19.779</v>
      </c>
      <c r="AF160" s="7">
        <v>-14.989000000000001</v>
      </c>
      <c r="AG160" s="7">
        <v>0</v>
      </c>
      <c r="AH160" s="7">
        <v>-63.34</v>
      </c>
      <c r="AI160" s="7">
        <v>-22.524000000000001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-0.73599999999999999</v>
      </c>
      <c r="AP160" s="7">
        <v>0</v>
      </c>
      <c r="AQ160" s="7">
        <v>-5.7370000000000001</v>
      </c>
      <c r="AR160" s="7">
        <v>0</v>
      </c>
      <c r="AS160" s="7">
        <v>-1.0999999999999999E-2</v>
      </c>
      <c r="AT160" s="7">
        <v>0</v>
      </c>
      <c r="AU160" s="7">
        <v>-6.6000000000000003E-2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-0.249</v>
      </c>
      <c r="BC160" s="7">
        <v>0</v>
      </c>
      <c r="BD160" s="7">
        <v>0</v>
      </c>
      <c r="BE160" s="7">
        <v>-7.1999999999999995E-2</v>
      </c>
      <c r="BF160" s="7">
        <v>-7.1999999999999995E-2</v>
      </c>
      <c r="BG160" s="7">
        <v>0</v>
      </c>
      <c r="BH160" s="7">
        <v>0</v>
      </c>
      <c r="BI160" s="7">
        <v>0</v>
      </c>
      <c r="BJ160" s="21"/>
    </row>
    <row r="161" spans="1:62" ht="15.6" x14ac:dyDescent="0.3">
      <c r="A161" s="5" t="s">
        <v>305</v>
      </c>
      <c r="B161" s="5" t="s">
        <v>306</v>
      </c>
      <c r="C161" s="7">
        <v>4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21"/>
    </row>
    <row r="162" spans="1:62" ht="15.6" x14ac:dyDescent="0.3">
      <c r="A162" s="5" t="s">
        <v>307</v>
      </c>
      <c r="B162" s="5" t="s">
        <v>308</v>
      </c>
      <c r="C162" s="7">
        <v>4</v>
      </c>
      <c r="D162" s="7">
        <v>4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21"/>
    </row>
    <row r="163" spans="1:62" ht="15.6" x14ac:dyDescent="0.3">
      <c r="A163" s="5" t="s">
        <v>293</v>
      </c>
      <c r="B163" s="5" t="s">
        <v>309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3062.6950000000002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21"/>
    </row>
    <row r="164" spans="1:62" ht="15.6" x14ac:dyDescent="0.3">
      <c r="A164" s="5" t="s">
        <v>310</v>
      </c>
      <c r="B164" s="5" t="s">
        <v>311</v>
      </c>
      <c r="C164" s="7">
        <v>6</v>
      </c>
      <c r="D164" s="7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21"/>
    </row>
    <row r="165" spans="1:62" ht="15.6" x14ac:dyDescent="0.3">
      <c r="A165" s="5" t="s">
        <v>312</v>
      </c>
      <c r="B165" s="5" t="s">
        <v>313</v>
      </c>
      <c r="C165" s="7">
        <v>6</v>
      </c>
      <c r="D165" s="7">
        <v>6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21"/>
    </row>
    <row r="166" spans="1:62" ht="15.6" x14ac:dyDescent="0.3">
      <c r="A166" s="5" t="s">
        <v>297</v>
      </c>
      <c r="B166" s="5" t="s">
        <v>314</v>
      </c>
      <c r="C166" s="7">
        <v>6</v>
      </c>
      <c r="D166" s="7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21"/>
    </row>
    <row r="167" spans="1:62" ht="15.6" x14ac:dyDescent="0.3">
      <c r="A167" s="5" t="s">
        <v>299</v>
      </c>
      <c r="B167" s="5" t="s">
        <v>315</v>
      </c>
      <c r="C167" s="7">
        <v>6</v>
      </c>
      <c r="D167" s="7">
        <v>6</v>
      </c>
      <c r="E167" s="7">
        <v>1334.538</v>
      </c>
      <c r="F167" s="7">
        <v>119.02200000000001</v>
      </c>
      <c r="G167" s="7">
        <v>168.23</v>
      </c>
      <c r="H167" s="7">
        <v>0</v>
      </c>
      <c r="I167" s="7">
        <v>29.315999999999999</v>
      </c>
      <c r="J167" s="7">
        <v>102.265</v>
      </c>
      <c r="K167" s="7">
        <v>0</v>
      </c>
      <c r="L167" s="7">
        <v>965.00800000000004</v>
      </c>
      <c r="M167" s="7">
        <v>455.03800000000001</v>
      </c>
      <c r="N167" s="7">
        <v>0</v>
      </c>
      <c r="O167" s="7">
        <v>0</v>
      </c>
      <c r="P167" s="7">
        <v>5.3120000000000003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16.302</v>
      </c>
      <c r="W167" s="7">
        <v>48.392000000000003</v>
      </c>
      <c r="X167" s="7">
        <v>0</v>
      </c>
      <c r="Y167" s="7">
        <v>382.17399999999998</v>
      </c>
      <c r="Z167" s="7">
        <v>0</v>
      </c>
      <c r="AA167" s="7">
        <v>132.90100000000001</v>
      </c>
      <c r="AB167" s="7">
        <v>0</v>
      </c>
      <c r="AC167" s="7">
        <v>20.965</v>
      </c>
      <c r="AD167" s="7">
        <v>0</v>
      </c>
      <c r="AE167" s="7">
        <v>1232.779</v>
      </c>
      <c r="AF167" s="7">
        <v>0</v>
      </c>
      <c r="AG167" s="7">
        <v>0</v>
      </c>
      <c r="AH167" s="7">
        <v>2802.1849999999999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21"/>
    </row>
    <row r="168" spans="1:62" ht="15.6" x14ac:dyDescent="0.3">
      <c r="A168" s="5" t="s">
        <v>301</v>
      </c>
      <c r="B168" s="5" t="s">
        <v>316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21"/>
    </row>
    <row r="169" spans="1:62" ht="15.6" x14ac:dyDescent="0.3">
      <c r="A169" s="5" t="s">
        <v>317</v>
      </c>
      <c r="B169" s="5" t="s">
        <v>318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21"/>
    </row>
    <row r="170" spans="1:62" ht="15.6" x14ac:dyDescent="0.3">
      <c r="A170" s="5" t="s">
        <v>319</v>
      </c>
      <c r="B170" s="5" t="s">
        <v>320</v>
      </c>
      <c r="C170" s="7">
        <v>6</v>
      </c>
      <c r="D170" s="7">
        <v>6</v>
      </c>
      <c r="E170" s="7">
        <v>-15.903</v>
      </c>
      <c r="F170" s="7">
        <v>-3.2109999999999999</v>
      </c>
      <c r="G170" s="7">
        <v>-2.7069999999999999</v>
      </c>
      <c r="H170" s="7">
        <v>0</v>
      </c>
      <c r="I170" s="7">
        <v>-0.55100000000000005</v>
      </c>
      <c r="J170" s="7">
        <v>-2.1269999999999998</v>
      </c>
      <c r="K170" s="7">
        <v>0</v>
      </c>
      <c r="L170" s="7">
        <v>-16.341999999999999</v>
      </c>
      <c r="M170" s="7">
        <v>-7.8319999999999999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-0.93500000000000005</v>
      </c>
      <c r="T170" s="7">
        <v>0</v>
      </c>
      <c r="U170" s="7">
        <v>0</v>
      </c>
      <c r="V170" s="7">
        <v>-0.34399999999999997</v>
      </c>
      <c r="W170" s="7">
        <v>-0.81699999999999995</v>
      </c>
      <c r="X170" s="7">
        <v>0</v>
      </c>
      <c r="Y170" s="7">
        <v>-5.7969999999999997</v>
      </c>
      <c r="Z170" s="7">
        <v>0</v>
      </c>
      <c r="AA170" s="7">
        <v>-2.661</v>
      </c>
      <c r="AB170" s="7">
        <v>0</v>
      </c>
      <c r="AC170" s="7">
        <v>-0.51400000000000001</v>
      </c>
      <c r="AD170" s="7">
        <v>0</v>
      </c>
      <c r="AE170" s="7">
        <v>-12.818</v>
      </c>
      <c r="AF170" s="7">
        <v>-2.093</v>
      </c>
      <c r="AG170" s="7">
        <v>0</v>
      </c>
      <c r="AH170" s="7">
        <v>-40.768000000000001</v>
      </c>
      <c r="AI170" s="7">
        <v>-3.145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-0.32400000000000001</v>
      </c>
      <c r="AP170" s="7">
        <v>0</v>
      </c>
      <c r="AQ170" s="7">
        <v>-0.80100000000000005</v>
      </c>
      <c r="AR170" s="7">
        <v>0</v>
      </c>
      <c r="AS170" s="7">
        <v>-3.0000000000000001E-3</v>
      </c>
      <c r="AT170" s="7">
        <v>0</v>
      </c>
      <c r="AU170" s="7">
        <v>-8.9999999999999993E-3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-0.112</v>
      </c>
      <c r="BC170" s="7">
        <v>0</v>
      </c>
      <c r="BD170" s="7">
        <v>0</v>
      </c>
      <c r="BE170" s="7">
        <v>-4.2999999999999997E-2</v>
      </c>
      <c r="BF170" s="7">
        <v>-4.2999999999999997E-2</v>
      </c>
      <c r="BG170" s="7">
        <v>0</v>
      </c>
      <c r="BH170" s="7">
        <v>0</v>
      </c>
      <c r="BI170" s="7">
        <v>0</v>
      </c>
      <c r="BJ170" s="21"/>
    </row>
    <row r="171" spans="1:62" ht="15.6" x14ac:dyDescent="0.3">
      <c r="A171" s="5" t="s">
        <v>305</v>
      </c>
      <c r="B171" s="5" t="s">
        <v>321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21"/>
    </row>
    <row r="172" spans="1:62" ht="15.6" x14ac:dyDescent="0.3">
      <c r="A172" s="5" t="s">
        <v>307</v>
      </c>
      <c r="B172" s="5" t="s">
        <v>322</v>
      </c>
      <c r="C172" s="7">
        <v>6</v>
      </c>
      <c r="D172" s="7">
        <v>6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21"/>
    </row>
    <row r="173" spans="1:62" ht="15.6" x14ac:dyDescent="0.3">
      <c r="A173" s="5" t="s">
        <v>323</v>
      </c>
      <c r="B173" s="5" t="s">
        <v>324</v>
      </c>
      <c r="C173" s="7">
        <v>4</v>
      </c>
      <c r="D173" s="7">
        <v>4</v>
      </c>
      <c r="E173" s="7">
        <v>5212.3190000000004</v>
      </c>
      <c r="F173" s="7">
        <v>842.423</v>
      </c>
      <c r="G173" s="7">
        <v>0</v>
      </c>
      <c r="H173" s="7">
        <v>0</v>
      </c>
      <c r="I173" s="7">
        <v>31.963000000000001</v>
      </c>
      <c r="J173" s="7">
        <v>0</v>
      </c>
      <c r="K173" s="7">
        <v>0</v>
      </c>
      <c r="L173" s="7">
        <v>12018.706</v>
      </c>
      <c r="M173" s="7">
        <v>1046.229</v>
      </c>
      <c r="N173" s="7">
        <v>0</v>
      </c>
      <c r="O173" s="7">
        <v>0</v>
      </c>
      <c r="P173" s="7">
        <v>0.156</v>
      </c>
      <c r="Q173" s="7">
        <v>0</v>
      </c>
      <c r="R173" s="7">
        <v>0</v>
      </c>
      <c r="S173" s="7">
        <v>272.61500000000001</v>
      </c>
      <c r="T173" s="7">
        <v>0</v>
      </c>
      <c r="U173" s="7">
        <v>0</v>
      </c>
      <c r="V173" s="7">
        <v>0</v>
      </c>
      <c r="W173" s="7">
        <v>95.42</v>
      </c>
      <c r="X173" s="7">
        <v>0</v>
      </c>
      <c r="Y173" s="7">
        <v>2210.819</v>
      </c>
      <c r="Z173" s="7">
        <v>0</v>
      </c>
      <c r="AA173" s="7">
        <v>0</v>
      </c>
      <c r="AB173" s="7">
        <v>0</v>
      </c>
      <c r="AC173" s="7">
        <v>166.22399999999999</v>
      </c>
      <c r="AD173" s="7">
        <v>0</v>
      </c>
      <c r="AE173" s="7">
        <v>5097.3720000000003</v>
      </c>
      <c r="AF173" s="7">
        <v>3641.2</v>
      </c>
      <c r="AG173" s="7">
        <v>0</v>
      </c>
      <c r="AH173" s="7">
        <v>19851.947</v>
      </c>
      <c r="AI173" s="7">
        <v>6070.9459999999999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162.43799999999999</v>
      </c>
      <c r="AP173" s="7">
        <v>0</v>
      </c>
      <c r="AQ173" s="7">
        <v>1369.96</v>
      </c>
      <c r="AR173" s="7">
        <v>0</v>
      </c>
      <c r="AS173" s="7">
        <v>2.6150000000000002</v>
      </c>
      <c r="AT173" s="7">
        <v>0</v>
      </c>
      <c r="AU173" s="7">
        <v>17.472999999999999</v>
      </c>
      <c r="AV173" s="7">
        <v>0</v>
      </c>
      <c r="AW173" s="7">
        <v>0</v>
      </c>
      <c r="AX173" s="7">
        <v>0</v>
      </c>
      <c r="AY173" s="7">
        <v>51.886000000000003</v>
      </c>
      <c r="AZ173" s="7">
        <v>1641.1780000000001</v>
      </c>
      <c r="BA173" s="7">
        <v>0</v>
      </c>
      <c r="BB173" s="7">
        <v>54.651000000000003</v>
      </c>
      <c r="BC173" s="7">
        <v>0</v>
      </c>
      <c r="BD173" s="7">
        <v>2010.4880000000001</v>
      </c>
      <c r="BE173" s="7">
        <v>14.673</v>
      </c>
      <c r="BF173" s="7">
        <v>14.673</v>
      </c>
      <c r="BG173" s="7">
        <v>680.61699999999996</v>
      </c>
      <c r="BH173" s="7">
        <v>0</v>
      </c>
      <c r="BI173" s="7">
        <v>0</v>
      </c>
      <c r="BJ173" s="21"/>
    </row>
    <row r="174" spans="1:62" ht="15.6" x14ac:dyDescent="0.3">
      <c r="A174" s="5" t="s">
        <v>325</v>
      </c>
      <c r="B174" s="5" t="s">
        <v>326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21"/>
    </row>
    <row r="175" spans="1:62" ht="15.6" x14ac:dyDescent="0.3">
      <c r="A175" s="5" t="s">
        <v>327</v>
      </c>
      <c r="B175" s="5" t="s">
        <v>328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21"/>
    </row>
    <row r="176" spans="1:62" ht="15.6" x14ac:dyDescent="0.3">
      <c r="A176" s="5" t="s">
        <v>329</v>
      </c>
      <c r="B176" s="5" t="s">
        <v>330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21"/>
    </row>
    <row r="177" spans="1:62" ht="15.6" x14ac:dyDescent="0.3">
      <c r="A177" s="5" t="s">
        <v>331</v>
      </c>
      <c r="B177" s="5" t="s">
        <v>332</v>
      </c>
      <c r="C177" s="7">
        <v>4</v>
      </c>
      <c r="D177" s="7">
        <v>4</v>
      </c>
      <c r="E177" s="7">
        <v>273.56400000000002</v>
      </c>
      <c r="F177" s="7">
        <v>50.548000000000002</v>
      </c>
      <c r="G177" s="7">
        <v>0</v>
      </c>
      <c r="H177" s="7">
        <v>0</v>
      </c>
      <c r="I177" s="7">
        <v>1.8660000000000001</v>
      </c>
      <c r="J177" s="7">
        <v>0</v>
      </c>
      <c r="K177" s="7">
        <v>0</v>
      </c>
      <c r="L177" s="7">
        <v>630.61800000000005</v>
      </c>
      <c r="M177" s="7">
        <v>35.969000000000001</v>
      </c>
      <c r="N177" s="7">
        <v>0</v>
      </c>
      <c r="O177" s="7">
        <v>0</v>
      </c>
      <c r="P177" s="7">
        <v>0.01</v>
      </c>
      <c r="Q177" s="7">
        <v>0</v>
      </c>
      <c r="R177" s="7">
        <v>0</v>
      </c>
      <c r="S177" s="7">
        <v>16.414999999999999</v>
      </c>
      <c r="T177" s="7">
        <v>0</v>
      </c>
      <c r="U177" s="7">
        <v>0</v>
      </c>
      <c r="V177" s="7">
        <v>0</v>
      </c>
      <c r="W177" s="7">
        <v>5.7430000000000003</v>
      </c>
      <c r="X177" s="7">
        <v>0</v>
      </c>
      <c r="Y177" s="7">
        <v>129.048</v>
      </c>
      <c r="Z177" s="7">
        <v>0</v>
      </c>
      <c r="AA177" s="7">
        <v>0</v>
      </c>
      <c r="AB177" s="7">
        <v>0</v>
      </c>
      <c r="AC177" s="7">
        <v>10.071999999999999</v>
      </c>
      <c r="AD177" s="7">
        <v>0</v>
      </c>
      <c r="AE177" s="7">
        <v>316.30500000000001</v>
      </c>
      <c r="AF177" s="7">
        <v>222.351</v>
      </c>
      <c r="AG177" s="7">
        <v>0</v>
      </c>
      <c r="AH177" s="7">
        <v>1062.0340000000001</v>
      </c>
      <c r="AI177" s="7">
        <v>370.62900000000002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10.079000000000001</v>
      </c>
      <c r="AP177" s="7">
        <v>0</v>
      </c>
      <c r="AQ177" s="7">
        <v>84.561999999999998</v>
      </c>
      <c r="AR177" s="7">
        <v>0</v>
      </c>
      <c r="AS177" s="7">
        <v>0.16200000000000001</v>
      </c>
      <c r="AT177" s="7">
        <v>0</v>
      </c>
      <c r="AU177" s="7">
        <v>1.0840000000000001</v>
      </c>
      <c r="AV177" s="7">
        <v>0</v>
      </c>
      <c r="AW177" s="7">
        <v>0</v>
      </c>
      <c r="AX177" s="7">
        <v>0</v>
      </c>
      <c r="AY177" s="7">
        <v>3.2210000000000001</v>
      </c>
      <c r="AZ177" s="7">
        <v>101.89400000000001</v>
      </c>
      <c r="BA177" s="7">
        <v>0</v>
      </c>
      <c r="BB177" s="7">
        <v>3.391</v>
      </c>
      <c r="BC177" s="7">
        <v>0</v>
      </c>
      <c r="BD177" s="7">
        <v>124.82299999999999</v>
      </c>
      <c r="BE177" s="7">
        <v>0.91</v>
      </c>
      <c r="BF177" s="7">
        <v>0.91</v>
      </c>
      <c r="BG177" s="7">
        <v>42.256999999999998</v>
      </c>
      <c r="BH177" s="7">
        <v>0</v>
      </c>
      <c r="BI177" s="7">
        <v>0</v>
      </c>
      <c r="BJ177" s="21"/>
    </row>
    <row r="178" spans="1:62" ht="15.6" x14ac:dyDescent="0.3">
      <c r="A178" s="5" t="s">
        <v>333</v>
      </c>
      <c r="B178" s="5" t="s">
        <v>334</v>
      </c>
      <c r="C178" s="7">
        <v>4</v>
      </c>
      <c r="D178" s="7">
        <v>4</v>
      </c>
      <c r="E178" s="7">
        <v>-10889.317999999999</v>
      </c>
      <c r="F178" s="7">
        <v>-877.178</v>
      </c>
      <c r="G178" s="7">
        <v>0</v>
      </c>
      <c r="H178" s="7">
        <v>0</v>
      </c>
      <c r="I178" s="7">
        <v>-33.192</v>
      </c>
      <c r="J178" s="7">
        <v>0</v>
      </c>
      <c r="K178" s="7">
        <v>0</v>
      </c>
      <c r="L178" s="7">
        <v>-25121.893</v>
      </c>
      <c r="M178" s="7">
        <v>-3995.4209999999998</v>
      </c>
      <c r="N178" s="7">
        <v>0</v>
      </c>
      <c r="O178" s="7">
        <v>0</v>
      </c>
      <c r="P178" s="7">
        <v>-0.16</v>
      </c>
      <c r="Q178" s="7">
        <v>0</v>
      </c>
      <c r="R178" s="7">
        <v>0</v>
      </c>
      <c r="S178" s="7">
        <v>-283.7</v>
      </c>
      <c r="T178" s="7">
        <v>0</v>
      </c>
      <c r="U178" s="7">
        <v>0</v>
      </c>
      <c r="V178" s="7">
        <v>0</v>
      </c>
      <c r="W178" s="7">
        <v>-99.153999999999996</v>
      </c>
      <c r="X178" s="7">
        <v>0</v>
      </c>
      <c r="Y178" s="7">
        <v>-3190.5509999999999</v>
      </c>
      <c r="Z178" s="7">
        <v>0</v>
      </c>
      <c r="AA178" s="7">
        <v>0</v>
      </c>
      <c r="AB178" s="7">
        <v>0</v>
      </c>
      <c r="AC178" s="7">
        <v>-172.83199999999999</v>
      </c>
      <c r="AD178" s="7">
        <v>0</v>
      </c>
      <c r="AE178" s="7">
        <v>-5293.3909999999996</v>
      </c>
      <c r="AF178" s="7">
        <v>-3789.36</v>
      </c>
      <c r="AG178" s="7">
        <v>0</v>
      </c>
      <c r="AH178" s="7">
        <v>-32994.425999999999</v>
      </c>
      <c r="AI178" s="7">
        <v>-6310.5959999999995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-169.00700000000001</v>
      </c>
      <c r="AP178" s="7">
        <v>0</v>
      </c>
      <c r="AQ178" s="7">
        <v>-1424.6130000000001</v>
      </c>
      <c r="AR178" s="7">
        <v>0</v>
      </c>
      <c r="AS178" s="7">
        <v>-2.7170000000000001</v>
      </c>
      <c r="AT178" s="7">
        <v>0</v>
      </c>
      <c r="AU178" s="7">
        <v>-18.138999999999999</v>
      </c>
      <c r="AV178" s="7">
        <v>0</v>
      </c>
      <c r="AW178" s="7">
        <v>0</v>
      </c>
      <c r="AX178" s="7">
        <v>0</v>
      </c>
      <c r="AY178" s="7">
        <v>-53.265000000000001</v>
      </c>
      <c r="AZ178" s="7">
        <v>-1684.779</v>
      </c>
      <c r="BA178" s="7">
        <v>0</v>
      </c>
      <c r="BB178" s="7">
        <v>-56.866</v>
      </c>
      <c r="BC178" s="7">
        <v>0</v>
      </c>
      <c r="BD178" s="7">
        <v>-2063.9</v>
      </c>
      <c r="BE178" s="7">
        <v>-15.284000000000001</v>
      </c>
      <c r="BF178" s="7">
        <v>-15.284000000000001</v>
      </c>
      <c r="BG178" s="7">
        <v>-698.69899999999996</v>
      </c>
      <c r="BH178" s="7">
        <v>0</v>
      </c>
      <c r="BI178" s="7">
        <v>0</v>
      </c>
      <c r="BJ178" s="21"/>
    </row>
    <row r="179" spans="1:62" ht="15.6" x14ac:dyDescent="0.3">
      <c r="A179" s="5" t="s">
        <v>335</v>
      </c>
      <c r="B179" s="5" t="s">
        <v>336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21"/>
    </row>
    <row r="180" spans="1:62" ht="15.6" x14ac:dyDescent="0.3">
      <c r="A180" s="5" t="s">
        <v>337</v>
      </c>
      <c r="B180" s="5" t="s">
        <v>338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21"/>
    </row>
    <row r="181" spans="1:62" ht="15.6" x14ac:dyDescent="0.3">
      <c r="A181" s="5" t="s">
        <v>339</v>
      </c>
      <c r="B181" s="5" t="s">
        <v>340</v>
      </c>
      <c r="C181" s="7">
        <v>4</v>
      </c>
      <c r="D181" s="7">
        <v>4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21"/>
    </row>
    <row r="182" spans="1:62" ht="15.6" x14ac:dyDescent="0.3">
      <c r="A182" s="5" t="s">
        <v>341</v>
      </c>
      <c r="B182" s="5" t="s">
        <v>342</v>
      </c>
      <c r="C182" s="7">
        <v>4</v>
      </c>
      <c r="D182" s="7">
        <v>4</v>
      </c>
      <c r="E182" s="7">
        <v>-307.23899999999998</v>
      </c>
      <c r="F182" s="7">
        <v>-56.77</v>
      </c>
      <c r="G182" s="7">
        <v>0</v>
      </c>
      <c r="H182" s="7">
        <v>0</v>
      </c>
      <c r="I182" s="7">
        <v>-2.0960000000000001</v>
      </c>
      <c r="J182" s="7">
        <v>0</v>
      </c>
      <c r="K182" s="7">
        <v>0</v>
      </c>
      <c r="L182" s="7">
        <v>-708.245</v>
      </c>
      <c r="M182" s="7">
        <v>-40.396999999999998</v>
      </c>
      <c r="N182" s="7">
        <v>0</v>
      </c>
      <c r="O182" s="7">
        <v>0</v>
      </c>
      <c r="P182" s="7">
        <v>-1.0999999999999999E-2</v>
      </c>
      <c r="Q182" s="7">
        <v>0</v>
      </c>
      <c r="R182" s="7">
        <v>0</v>
      </c>
      <c r="S182" s="7">
        <v>-18.436</v>
      </c>
      <c r="T182" s="7">
        <v>0</v>
      </c>
      <c r="U182" s="7">
        <v>0</v>
      </c>
      <c r="V182" s="7">
        <v>0</v>
      </c>
      <c r="W182" s="7">
        <v>-6.45</v>
      </c>
      <c r="X182" s="7">
        <v>0</v>
      </c>
      <c r="Y182" s="7">
        <v>-144.93299999999999</v>
      </c>
      <c r="Z182" s="7">
        <v>0</v>
      </c>
      <c r="AA182" s="7">
        <v>0</v>
      </c>
      <c r="AB182" s="7">
        <v>0</v>
      </c>
      <c r="AC182" s="7">
        <v>-11.311999999999999</v>
      </c>
      <c r="AD182" s="7">
        <v>0</v>
      </c>
      <c r="AE182" s="7">
        <v>-355.24099999999999</v>
      </c>
      <c r="AF182" s="7">
        <v>-249.72200000000001</v>
      </c>
      <c r="AG182" s="7">
        <v>0</v>
      </c>
      <c r="AH182" s="7">
        <v>-1192.7670000000001</v>
      </c>
      <c r="AI182" s="7">
        <v>-416.25200000000001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-11.32</v>
      </c>
      <c r="AP182" s="7">
        <v>0</v>
      </c>
      <c r="AQ182" s="7">
        <v>-94.971999999999994</v>
      </c>
      <c r="AR182" s="7">
        <v>0</v>
      </c>
      <c r="AS182" s="7">
        <v>-0.182</v>
      </c>
      <c r="AT182" s="7">
        <v>0</v>
      </c>
      <c r="AU182" s="7">
        <v>-1.218</v>
      </c>
      <c r="AV182" s="7">
        <v>0</v>
      </c>
      <c r="AW182" s="7">
        <v>0</v>
      </c>
      <c r="AX182" s="7">
        <v>0</v>
      </c>
      <c r="AY182" s="7">
        <v>-3.6179999999999999</v>
      </c>
      <c r="AZ182" s="7">
        <v>-114.437</v>
      </c>
      <c r="BA182" s="7">
        <v>0</v>
      </c>
      <c r="BB182" s="7">
        <v>-3.8079999999999998</v>
      </c>
      <c r="BC182" s="7">
        <v>0</v>
      </c>
      <c r="BD182" s="7">
        <v>-140.18899999999999</v>
      </c>
      <c r="BE182" s="7">
        <v>-1.0229999999999999</v>
      </c>
      <c r="BF182" s="7">
        <v>-1.0229999999999999</v>
      </c>
      <c r="BG182" s="7">
        <v>-47.459000000000003</v>
      </c>
      <c r="BH182" s="7">
        <v>0</v>
      </c>
      <c r="BI182" s="7">
        <v>0</v>
      </c>
      <c r="BJ182" s="21"/>
    </row>
    <row r="183" spans="1:62" ht="15.6" x14ac:dyDescent="0.3">
      <c r="A183" s="5" t="s">
        <v>323</v>
      </c>
      <c r="B183" s="5" t="s">
        <v>343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21"/>
    </row>
    <row r="184" spans="1:62" ht="15.6" x14ac:dyDescent="0.3">
      <c r="A184" s="5" t="s">
        <v>325</v>
      </c>
      <c r="B184" s="5" t="s">
        <v>344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21"/>
    </row>
    <row r="185" spans="1:62" ht="15.6" x14ac:dyDescent="0.3">
      <c r="A185" s="5" t="s">
        <v>327</v>
      </c>
      <c r="B185" s="5" t="s">
        <v>345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21"/>
    </row>
    <row r="186" spans="1:62" ht="15.6" x14ac:dyDescent="0.3">
      <c r="A186" s="5" t="s">
        <v>329</v>
      </c>
      <c r="B186" s="5" t="s">
        <v>346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21"/>
    </row>
    <row r="187" spans="1:62" ht="15.6" x14ac:dyDescent="0.3">
      <c r="A187" s="5" t="s">
        <v>331</v>
      </c>
      <c r="B187" s="5" t="s">
        <v>347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21"/>
    </row>
    <row r="188" spans="1:62" ht="15.6" x14ac:dyDescent="0.3">
      <c r="A188" s="5" t="s">
        <v>333</v>
      </c>
      <c r="B188" s="5" t="s">
        <v>348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21"/>
    </row>
    <row r="189" spans="1:62" ht="15.6" x14ac:dyDescent="0.3">
      <c r="A189" s="5" t="s">
        <v>335</v>
      </c>
      <c r="B189" s="5" t="s">
        <v>349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21"/>
    </row>
    <row r="190" spans="1:62" ht="15.6" x14ac:dyDescent="0.3">
      <c r="A190" s="5" t="s">
        <v>337</v>
      </c>
      <c r="B190" s="5" t="s">
        <v>350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21"/>
    </row>
    <row r="191" spans="1:62" ht="15.6" x14ac:dyDescent="0.3">
      <c r="A191" s="5" t="s">
        <v>339</v>
      </c>
      <c r="B191" s="5" t="s">
        <v>351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21"/>
    </row>
    <row r="192" spans="1:62" ht="15.6" x14ac:dyDescent="0.3">
      <c r="A192" s="5" t="s">
        <v>341</v>
      </c>
      <c r="B192" s="5" t="s">
        <v>352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21"/>
    </row>
    <row r="193" spans="1:62" ht="15.6" x14ac:dyDescent="0.3">
      <c r="A193" s="5" t="s">
        <v>353</v>
      </c>
      <c r="B193" s="5" t="s">
        <v>354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21"/>
    </row>
    <row r="194" spans="1:62" ht="15.6" x14ac:dyDescent="0.3">
      <c r="A194" s="5" t="s">
        <v>355</v>
      </c>
      <c r="B194" s="5" t="s">
        <v>356</v>
      </c>
      <c r="C194" s="7">
        <v>6</v>
      </c>
      <c r="D194" s="7">
        <v>6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21"/>
    </row>
    <row r="195" spans="1:62" ht="15.6" x14ac:dyDescent="0.3">
      <c r="A195" s="5" t="s">
        <v>357</v>
      </c>
      <c r="B195" s="5" t="s">
        <v>358</v>
      </c>
      <c r="C195" s="7">
        <v>6</v>
      </c>
      <c r="D195" s="7">
        <v>6</v>
      </c>
      <c r="E195" s="7">
        <v>28.161000000000001</v>
      </c>
      <c r="F195" s="7">
        <v>2.6829999999999998</v>
      </c>
      <c r="G195" s="7">
        <v>7.2320000000000002</v>
      </c>
      <c r="H195" s="7">
        <v>0</v>
      </c>
      <c r="I195" s="7">
        <v>0.627</v>
      </c>
      <c r="J195" s="7">
        <v>5.468</v>
      </c>
      <c r="K195" s="7">
        <v>0</v>
      </c>
      <c r="L195" s="7">
        <v>10.622999999999999</v>
      </c>
      <c r="M195" s="7">
        <v>16.850000000000001</v>
      </c>
      <c r="N195" s="7">
        <v>0</v>
      </c>
      <c r="O195" s="7">
        <v>0</v>
      </c>
      <c r="P195" s="7">
        <v>1E-3</v>
      </c>
      <c r="Q195" s="7">
        <v>0</v>
      </c>
      <c r="R195" s="7">
        <v>0</v>
      </c>
      <c r="S195" s="7">
        <v>0.92</v>
      </c>
      <c r="T195" s="7">
        <v>0</v>
      </c>
      <c r="U195" s="7">
        <v>0</v>
      </c>
      <c r="V195" s="7">
        <v>0.70699999999999996</v>
      </c>
      <c r="W195" s="7">
        <v>1.702</v>
      </c>
      <c r="X195" s="7">
        <v>0</v>
      </c>
      <c r="Y195" s="7">
        <v>5.0279999999999996</v>
      </c>
      <c r="Z195" s="7">
        <v>0</v>
      </c>
      <c r="AA195" s="7">
        <v>8.9849999999999994</v>
      </c>
      <c r="AB195" s="7">
        <v>0</v>
      </c>
      <c r="AC195" s="7">
        <v>0.50800000000000001</v>
      </c>
      <c r="AD195" s="7">
        <v>0</v>
      </c>
      <c r="AE195" s="7">
        <v>16.315000000000001</v>
      </c>
      <c r="AF195" s="7">
        <v>0</v>
      </c>
      <c r="AG195" s="7">
        <v>0</v>
      </c>
      <c r="AH195" s="7">
        <v>36.668999999999997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0.57799999999999996</v>
      </c>
      <c r="AP195" s="7">
        <v>0</v>
      </c>
      <c r="AQ195" s="7">
        <v>0</v>
      </c>
      <c r="AR195" s="7">
        <v>0</v>
      </c>
      <c r="AS195" s="7">
        <v>4.0000000000000001E-3</v>
      </c>
      <c r="AT195" s="7">
        <v>0</v>
      </c>
      <c r="AU195" s="7">
        <v>0.19900000000000001</v>
      </c>
      <c r="AV195" s="7">
        <v>0</v>
      </c>
      <c r="AW195" s="7">
        <v>0</v>
      </c>
      <c r="AX195" s="7">
        <v>0</v>
      </c>
      <c r="AY195" s="7">
        <v>0.41399999999999998</v>
      </c>
      <c r="AZ195" s="7">
        <v>0</v>
      </c>
      <c r="BA195" s="7">
        <v>0</v>
      </c>
      <c r="BB195" s="7">
        <v>0.20200000000000001</v>
      </c>
      <c r="BC195" s="7">
        <v>0.33700000000000002</v>
      </c>
      <c r="BD195" s="7">
        <v>0</v>
      </c>
      <c r="BE195" s="7">
        <v>5.8000000000000003E-2</v>
      </c>
      <c r="BF195" s="7">
        <v>5.8000000000000003E-2</v>
      </c>
      <c r="BG195" s="7">
        <v>0</v>
      </c>
      <c r="BH195" s="7">
        <v>0</v>
      </c>
      <c r="BI195" s="7">
        <v>0.108</v>
      </c>
      <c r="BJ195" s="21"/>
    </row>
    <row r="196" spans="1:62" ht="15.6" x14ac:dyDescent="0.3">
      <c r="A196" s="5" t="s">
        <v>359</v>
      </c>
      <c r="B196" s="5" t="s">
        <v>360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55.234000000000002</v>
      </c>
      <c r="R196" s="7">
        <v>163.06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21"/>
    </row>
    <row r="197" spans="1:62" ht="15.6" x14ac:dyDescent="0.3">
      <c r="A197" s="5" t="s">
        <v>361</v>
      </c>
      <c r="B197" s="5" t="s">
        <v>362</v>
      </c>
      <c r="C197" s="7">
        <v>6</v>
      </c>
      <c r="D197" s="7">
        <v>6</v>
      </c>
      <c r="E197" s="7">
        <v>149.053</v>
      </c>
      <c r="F197" s="7">
        <v>0</v>
      </c>
      <c r="G197" s="7">
        <v>36.293999999999997</v>
      </c>
      <c r="H197" s="7">
        <v>0</v>
      </c>
      <c r="I197" s="7">
        <v>0</v>
      </c>
      <c r="J197" s="7">
        <v>63.131</v>
      </c>
      <c r="K197" s="7">
        <v>0</v>
      </c>
      <c r="L197" s="7">
        <v>536.11099999999999</v>
      </c>
      <c r="M197" s="7">
        <v>77.736999999999995</v>
      </c>
      <c r="N197" s="7">
        <v>0</v>
      </c>
      <c r="O197" s="7">
        <v>0</v>
      </c>
      <c r="P197" s="7">
        <v>0</v>
      </c>
      <c r="Q197" s="7">
        <v>39.301000000000002</v>
      </c>
      <c r="R197" s="7">
        <v>116.023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459.57400000000001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21"/>
    </row>
    <row r="198" spans="1:62" ht="15.6" x14ac:dyDescent="0.3">
      <c r="A198" s="5" t="s">
        <v>363</v>
      </c>
      <c r="B198" s="5" t="s">
        <v>364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21"/>
    </row>
    <row r="199" spans="1:62" ht="15.6" x14ac:dyDescent="0.3">
      <c r="A199" s="5" t="s">
        <v>365</v>
      </c>
      <c r="B199" s="5" t="s">
        <v>366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21"/>
    </row>
    <row r="200" spans="1:62" ht="15.6" x14ac:dyDescent="0.3">
      <c r="A200" s="5" t="s">
        <v>367</v>
      </c>
      <c r="B200" s="5" t="s">
        <v>368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21"/>
    </row>
    <row r="201" spans="1:62" ht="15.6" x14ac:dyDescent="0.3">
      <c r="A201" s="5" t="s">
        <v>369</v>
      </c>
      <c r="B201" s="5" t="s">
        <v>370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21"/>
    </row>
    <row r="202" spans="1:62" ht="15.6" x14ac:dyDescent="0.3">
      <c r="A202" s="5" t="s">
        <v>371</v>
      </c>
      <c r="B202" s="5" t="s">
        <v>372</v>
      </c>
      <c r="C202" s="7">
        <v>6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21"/>
    </row>
    <row r="203" spans="1:62" ht="15.6" x14ac:dyDescent="0.3">
      <c r="A203" s="5" t="s">
        <v>373</v>
      </c>
      <c r="B203" s="5" t="s">
        <v>374</v>
      </c>
      <c r="C203" s="7">
        <v>3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21"/>
    </row>
    <row r="204" spans="1:62" ht="15.6" x14ac:dyDescent="0.3">
      <c r="A204" s="5" t="s">
        <v>375</v>
      </c>
      <c r="B204" s="5" t="s">
        <v>376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21"/>
    </row>
    <row r="205" spans="1:62" ht="15.6" x14ac:dyDescent="0.3">
      <c r="A205" s="5" t="s">
        <v>377</v>
      </c>
      <c r="B205" s="5" t="s">
        <v>378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21"/>
    </row>
    <row r="206" spans="1:62" ht="15.6" x14ac:dyDescent="0.3">
      <c r="A206" s="5" t="s">
        <v>379</v>
      </c>
      <c r="B206" s="5" t="s">
        <v>380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21"/>
    </row>
    <row r="207" spans="1:62" ht="15.6" x14ac:dyDescent="0.3">
      <c r="A207" s="5" t="s">
        <v>381</v>
      </c>
      <c r="B207" s="5" t="s">
        <v>382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21"/>
    </row>
    <row r="208" spans="1:62" ht="15.6" x14ac:dyDescent="0.3">
      <c r="A208" s="5" t="s">
        <v>383</v>
      </c>
      <c r="B208" s="5" t="s">
        <v>384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21"/>
    </row>
    <row r="209" spans="1:62" ht="15.6" x14ac:dyDescent="0.3">
      <c r="A209" s="5" t="s">
        <v>385</v>
      </c>
      <c r="B209" s="5" t="s">
        <v>386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21"/>
    </row>
    <row r="210" spans="1:62" ht="15.6" x14ac:dyDescent="0.3">
      <c r="A210" s="5" t="s">
        <v>387</v>
      </c>
      <c r="B210" s="5" t="s">
        <v>388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21"/>
    </row>
    <row r="211" spans="1:62" ht="15.6" x14ac:dyDescent="0.3">
      <c r="A211" s="5" t="s">
        <v>389</v>
      </c>
      <c r="B211" s="5" t="s">
        <v>390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21"/>
    </row>
    <row r="212" spans="1:62" ht="15.6" x14ac:dyDescent="0.3">
      <c r="A212" s="5" t="s">
        <v>391</v>
      </c>
      <c r="B212" s="5" t="s">
        <v>392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21"/>
    </row>
    <row r="213" spans="1:62" ht="15.6" x14ac:dyDescent="0.3">
      <c r="A213" s="5" t="s">
        <v>393</v>
      </c>
      <c r="B213" s="5" t="s">
        <v>394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21"/>
    </row>
    <row r="214" spans="1:62" ht="15.6" x14ac:dyDescent="0.3">
      <c r="A214" s="5" t="s">
        <v>395</v>
      </c>
      <c r="B214" s="5" t="s">
        <v>396</v>
      </c>
      <c r="C214" s="7">
        <v>6</v>
      </c>
      <c r="D214" s="7">
        <v>6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21"/>
    </row>
    <row r="215" spans="1:62" ht="15.6" x14ac:dyDescent="0.3">
      <c r="A215" s="5" t="s">
        <v>353</v>
      </c>
      <c r="B215" s="5" t="s">
        <v>397</v>
      </c>
      <c r="C215" s="7">
        <v>6</v>
      </c>
      <c r="D215" s="7">
        <v>6</v>
      </c>
      <c r="E215" s="7">
        <v>1226.049</v>
      </c>
      <c r="F215" s="7">
        <v>109.009</v>
      </c>
      <c r="G215" s="7">
        <v>156.029</v>
      </c>
      <c r="H215" s="7">
        <v>0.161</v>
      </c>
      <c r="I215" s="7">
        <v>26.85</v>
      </c>
      <c r="J215" s="7">
        <v>94.212999999999994</v>
      </c>
      <c r="K215" s="7">
        <v>0</v>
      </c>
      <c r="L215" s="7">
        <v>888.14700000000005</v>
      </c>
      <c r="M215" s="7">
        <v>420.11799999999999</v>
      </c>
      <c r="N215" s="7">
        <v>0</v>
      </c>
      <c r="O215" s="7">
        <v>0</v>
      </c>
      <c r="P215" s="7">
        <v>4.8650000000000002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14.93</v>
      </c>
      <c r="W215" s="7">
        <v>44.320999999999998</v>
      </c>
      <c r="X215" s="7">
        <v>0</v>
      </c>
      <c r="Y215" s="7">
        <v>350.02300000000002</v>
      </c>
      <c r="Z215" s="7">
        <v>0</v>
      </c>
      <c r="AA215" s="7">
        <v>121.721</v>
      </c>
      <c r="AB215" s="7">
        <v>0</v>
      </c>
      <c r="AC215" s="7">
        <v>19.202000000000002</v>
      </c>
      <c r="AD215" s="7">
        <v>0</v>
      </c>
      <c r="AE215" s="7">
        <v>1129.0709999999999</v>
      </c>
      <c r="AF215" s="7">
        <v>0</v>
      </c>
      <c r="AG215" s="7">
        <v>0</v>
      </c>
      <c r="AH215" s="7">
        <v>2571.8829999999998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21"/>
    </row>
    <row r="216" spans="1:62" ht="15.6" x14ac:dyDescent="0.3">
      <c r="A216" s="5" t="s">
        <v>355</v>
      </c>
      <c r="B216" s="5" t="s">
        <v>398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21"/>
    </row>
    <row r="217" spans="1:62" ht="15.6" x14ac:dyDescent="0.3">
      <c r="A217" s="5" t="s">
        <v>357</v>
      </c>
      <c r="B217" s="5" t="s">
        <v>399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21"/>
    </row>
    <row r="218" spans="1:62" ht="15.6" x14ac:dyDescent="0.3">
      <c r="A218" s="5" t="s">
        <v>359</v>
      </c>
      <c r="B218" s="5" t="s">
        <v>400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21"/>
    </row>
    <row r="219" spans="1:62" ht="15.6" x14ac:dyDescent="0.3">
      <c r="A219" s="5" t="s">
        <v>361</v>
      </c>
      <c r="B219" s="5" t="s">
        <v>401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21"/>
    </row>
    <row r="220" spans="1:62" ht="15.6" x14ac:dyDescent="0.3">
      <c r="A220" s="5" t="s">
        <v>363</v>
      </c>
      <c r="B220" s="5" t="s">
        <v>402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-1E-3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21"/>
    </row>
    <row r="221" spans="1:62" ht="15.6" x14ac:dyDescent="0.3">
      <c r="A221" s="5" t="s">
        <v>365</v>
      </c>
      <c r="B221" s="5" t="s">
        <v>403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21"/>
    </row>
    <row r="222" spans="1:62" ht="15.6" x14ac:dyDescent="0.3">
      <c r="A222" s="5" t="s">
        <v>367</v>
      </c>
      <c r="B222" s="5" t="s">
        <v>404</v>
      </c>
      <c r="C222" s="7">
        <v>6</v>
      </c>
      <c r="D222" s="7">
        <v>6</v>
      </c>
      <c r="E222" s="7">
        <v>6343.9430000000002</v>
      </c>
      <c r="F222" s="7">
        <v>1172.194</v>
      </c>
      <c r="G222" s="7">
        <v>0</v>
      </c>
      <c r="H222" s="7">
        <v>0</v>
      </c>
      <c r="I222" s="7">
        <v>43.283000000000001</v>
      </c>
      <c r="J222" s="7">
        <v>0</v>
      </c>
      <c r="K222" s="7">
        <v>0</v>
      </c>
      <c r="L222" s="7">
        <v>14623.996999999999</v>
      </c>
      <c r="M222" s="7">
        <v>834.12699999999995</v>
      </c>
      <c r="N222" s="7">
        <v>0</v>
      </c>
      <c r="O222" s="7">
        <v>0</v>
      </c>
      <c r="P222" s="7">
        <v>0.22500000000000001</v>
      </c>
      <c r="Q222" s="7">
        <v>0</v>
      </c>
      <c r="R222" s="7">
        <v>0</v>
      </c>
      <c r="S222" s="7">
        <v>380.661</v>
      </c>
      <c r="T222" s="7">
        <v>0</v>
      </c>
      <c r="U222" s="7">
        <v>0</v>
      </c>
      <c r="V222" s="7">
        <v>0</v>
      </c>
      <c r="W222" s="7">
        <v>133.18899999999999</v>
      </c>
      <c r="X222" s="7">
        <v>0</v>
      </c>
      <c r="Y222" s="7">
        <v>2992.6129999999998</v>
      </c>
      <c r="Z222" s="7">
        <v>0</v>
      </c>
      <c r="AA222" s="7">
        <v>0</v>
      </c>
      <c r="AB222" s="7">
        <v>0</v>
      </c>
      <c r="AC222" s="7">
        <v>233.56299999999999</v>
      </c>
      <c r="AD222" s="7">
        <v>0</v>
      </c>
      <c r="AE222" s="7">
        <v>7335.0940000000001</v>
      </c>
      <c r="AF222" s="7">
        <v>5156.3220000000001</v>
      </c>
      <c r="AG222" s="7">
        <v>0</v>
      </c>
      <c r="AH222" s="7">
        <v>24628.521000000001</v>
      </c>
      <c r="AI222" s="7">
        <v>8594.8619999999992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233.733</v>
      </c>
      <c r="AP222" s="7">
        <v>0</v>
      </c>
      <c r="AQ222" s="7">
        <v>1960.999</v>
      </c>
      <c r="AR222" s="7">
        <v>0</v>
      </c>
      <c r="AS222" s="7">
        <v>3.7629999999999999</v>
      </c>
      <c r="AT222" s="7">
        <v>0</v>
      </c>
      <c r="AU222" s="7">
        <v>25.146000000000001</v>
      </c>
      <c r="AV222" s="7">
        <v>0</v>
      </c>
      <c r="AW222" s="7">
        <v>0</v>
      </c>
      <c r="AX222" s="7">
        <v>0</v>
      </c>
      <c r="AY222" s="7">
        <v>74.704999999999998</v>
      </c>
      <c r="AZ222" s="7">
        <v>2362.9259999999999</v>
      </c>
      <c r="BA222" s="7">
        <v>0</v>
      </c>
      <c r="BB222" s="7">
        <v>78.637</v>
      </c>
      <c r="BC222" s="7">
        <v>0</v>
      </c>
      <c r="BD222" s="7">
        <v>2894.6489999999999</v>
      </c>
      <c r="BE222" s="7">
        <v>21.113</v>
      </c>
      <c r="BF222" s="7">
        <v>21.113</v>
      </c>
      <c r="BG222" s="7">
        <v>979.93600000000004</v>
      </c>
      <c r="BH222" s="7">
        <v>0</v>
      </c>
      <c r="BI222" s="7">
        <v>0</v>
      </c>
      <c r="BJ222" s="21"/>
    </row>
    <row r="223" spans="1:62" ht="15.6" x14ac:dyDescent="0.3">
      <c r="A223" s="5" t="s">
        <v>369</v>
      </c>
      <c r="B223" s="5" t="s">
        <v>405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21"/>
    </row>
    <row r="224" spans="1:62" ht="15.6" x14ac:dyDescent="0.3">
      <c r="A224" s="5" t="s">
        <v>371</v>
      </c>
      <c r="B224" s="5" t="s">
        <v>406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21"/>
    </row>
    <row r="225" spans="1:62" ht="15.6" x14ac:dyDescent="0.3">
      <c r="A225" s="5" t="s">
        <v>373</v>
      </c>
      <c r="B225" s="5" t="s">
        <v>407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21"/>
    </row>
    <row r="226" spans="1:62" ht="15.6" x14ac:dyDescent="0.3">
      <c r="A226" s="5" t="s">
        <v>375</v>
      </c>
      <c r="B226" s="5" t="s">
        <v>408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21"/>
    </row>
    <row r="227" spans="1:62" ht="15.6" x14ac:dyDescent="0.3">
      <c r="A227" s="5" t="s">
        <v>377</v>
      </c>
      <c r="B227" s="5" t="s">
        <v>409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21"/>
    </row>
    <row r="228" spans="1:62" ht="15.6" x14ac:dyDescent="0.3">
      <c r="A228" s="5" t="s">
        <v>379</v>
      </c>
      <c r="B228" s="5" t="s">
        <v>410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21"/>
    </row>
    <row r="229" spans="1:62" ht="15.6" x14ac:dyDescent="0.3">
      <c r="A229" s="5" t="s">
        <v>381</v>
      </c>
      <c r="B229" s="5" t="s">
        <v>411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21"/>
    </row>
    <row r="230" spans="1:62" ht="15.6" x14ac:dyDescent="0.3">
      <c r="A230" s="5" t="s">
        <v>383</v>
      </c>
      <c r="B230" s="5" t="s">
        <v>412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21"/>
    </row>
    <row r="231" spans="1:62" ht="15.6" x14ac:dyDescent="0.3">
      <c r="A231" s="5" t="s">
        <v>385</v>
      </c>
      <c r="B231" s="5" t="s">
        <v>413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21"/>
    </row>
    <row r="232" spans="1:62" ht="15.6" x14ac:dyDescent="0.3">
      <c r="A232" s="5" t="s">
        <v>387</v>
      </c>
      <c r="B232" s="5" t="s">
        <v>414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21"/>
    </row>
    <row r="233" spans="1:62" ht="15.6" x14ac:dyDescent="0.3">
      <c r="A233" s="5" t="s">
        <v>389</v>
      </c>
      <c r="B233" s="5" t="s">
        <v>415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21"/>
    </row>
    <row r="234" spans="1:62" ht="15.6" x14ac:dyDescent="0.3">
      <c r="A234" s="5" t="s">
        <v>391</v>
      </c>
      <c r="B234" s="5" t="s">
        <v>416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21"/>
    </row>
    <row r="235" spans="1:62" ht="15.6" x14ac:dyDescent="0.3">
      <c r="A235" s="5" t="s">
        <v>393</v>
      </c>
      <c r="B235" s="5" t="s">
        <v>417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21"/>
    </row>
    <row r="236" spans="1:62" ht="15.6" x14ac:dyDescent="0.3">
      <c r="A236" s="5" t="s">
        <v>395</v>
      </c>
      <c r="B236" s="5" t="s">
        <v>418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21"/>
    </row>
    <row r="237" spans="1:62" ht="15.6" x14ac:dyDescent="0.3">
      <c r="A237" s="5" t="s">
        <v>419</v>
      </c>
      <c r="B237" s="5" t="s">
        <v>420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21"/>
    </row>
    <row r="238" spans="1:62" ht="15.6" x14ac:dyDescent="0.3">
      <c r="A238" s="5" t="s">
        <v>421</v>
      </c>
      <c r="B238" s="5" t="s">
        <v>422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21"/>
    </row>
    <row r="239" spans="1:62" ht="15.6" x14ac:dyDescent="0.3">
      <c r="A239" s="5" t="s">
        <v>423</v>
      </c>
      <c r="B239" s="5" t="s">
        <v>424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21"/>
    </row>
    <row r="240" spans="1:62" ht="15.6" x14ac:dyDescent="0.3">
      <c r="A240" s="5" t="s">
        <v>425</v>
      </c>
      <c r="B240" s="5" t="s">
        <v>426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21"/>
    </row>
    <row r="241" spans="1:62" ht="15.6" x14ac:dyDescent="0.3">
      <c r="A241" s="5" t="s">
        <v>427</v>
      </c>
      <c r="B241" s="5" t="s">
        <v>428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21"/>
    </row>
    <row r="242" spans="1:62" ht="15.6" x14ac:dyDescent="0.3">
      <c r="A242" s="5" t="s">
        <v>429</v>
      </c>
      <c r="B242" s="5" t="s">
        <v>430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21"/>
    </row>
    <row r="243" spans="1:62" ht="15.6" x14ac:dyDescent="0.3">
      <c r="A243" s="5" t="s">
        <v>431</v>
      </c>
      <c r="B243" s="5" t="s">
        <v>432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21"/>
    </row>
    <row r="244" spans="1:62" ht="15.6" x14ac:dyDescent="0.3">
      <c r="A244" s="5" t="s">
        <v>433</v>
      </c>
      <c r="B244" s="5" t="s">
        <v>434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21"/>
    </row>
    <row r="245" spans="1:62" ht="15.6" x14ac:dyDescent="0.3">
      <c r="A245" s="5" t="s">
        <v>435</v>
      </c>
      <c r="B245" s="5" t="s">
        <v>436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21"/>
    </row>
    <row r="246" spans="1:62" ht="15.6" x14ac:dyDescent="0.3">
      <c r="A246" s="5" t="s">
        <v>437</v>
      </c>
      <c r="B246" s="5" t="s">
        <v>438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21"/>
    </row>
    <row r="247" spans="1:62" ht="15.6" x14ac:dyDescent="0.3">
      <c r="A247" s="5" t="s">
        <v>439</v>
      </c>
      <c r="B247" s="5" t="s">
        <v>440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21"/>
    </row>
    <row r="248" spans="1:62" ht="15.6" x14ac:dyDescent="0.3">
      <c r="A248" s="5" t="s">
        <v>441</v>
      </c>
      <c r="B248" s="5" t="s">
        <v>442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21"/>
    </row>
    <row r="249" spans="1:62" ht="15.6" x14ac:dyDescent="0.3">
      <c r="A249" s="5" t="s">
        <v>443</v>
      </c>
      <c r="B249" s="5" t="s">
        <v>444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21"/>
    </row>
    <row r="250" spans="1:62" ht="15.6" x14ac:dyDescent="0.3">
      <c r="A250" s="5" t="s">
        <v>445</v>
      </c>
      <c r="B250" s="5" t="s">
        <v>446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21"/>
    </row>
    <row r="251" spans="1:62" ht="15.6" x14ac:dyDescent="0.3">
      <c r="A251" s="5" t="s">
        <v>447</v>
      </c>
      <c r="B251" s="5" t="s">
        <v>448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21"/>
    </row>
    <row r="252" spans="1:62" ht="15.6" x14ac:dyDescent="0.3">
      <c r="A252" s="5" t="s">
        <v>449</v>
      </c>
      <c r="B252" s="5" t="s">
        <v>450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21"/>
    </row>
    <row r="253" spans="1:62" ht="15.6" x14ac:dyDescent="0.3">
      <c r="A253" s="5" t="s">
        <v>451</v>
      </c>
      <c r="B253" s="5" t="s">
        <v>452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21"/>
    </row>
    <row r="254" spans="1:62" ht="15.6" x14ac:dyDescent="0.3">
      <c r="A254" s="5" t="s">
        <v>453</v>
      </c>
      <c r="B254" s="5" t="s">
        <v>454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21"/>
    </row>
    <row r="255" spans="1:62" ht="15.6" x14ac:dyDescent="0.3">
      <c r="A255" s="5" t="s">
        <v>455</v>
      </c>
      <c r="B255" s="5" t="s">
        <v>456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179.792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21"/>
    </row>
    <row r="256" spans="1:62" ht="15.6" x14ac:dyDescent="0.3">
      <c r="A256" s="5" t="s">
        <v>457</v>
      </c>
      <c r="B256" s="5" t="s">
        <v>458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3493.8910000000001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21"/>
    </row>
    <row r="257" spans="1:62" ht="15.6" x14ac:dyDescent="0.3">
      <c r="A257" s="5" t="s">
        <v>459</v>
      </c>
      <c r="B257" s="5" t="s">
        <v>460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4841.0510000000004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21"/>
    </row>
    <row r="258" spans="1:62" ht="15.6" x14ac:dyDescent="0.3">
      <c r="A258" s="5" t="s">
        <v>461</v>
      </c>
      <c r="B258" s="5" t="s">
        <v>462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461.79199999999997</v>
      </c>
      <c r="M258" s="7">
        <v>65.962999999999994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362.32900000000001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21"/>
    </row>
    <row r="259" spans="1:62" ht="15.6" x14ac:dyDescent="0.3">
      <c r="A259" s="5" t="s">
        <v>419</v>
      </c>
      <c r="B259" s="5" t="s">
        <v>463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6.0000000000000001E-3</v>
      </c>
      <c r="J259" s="7">
        <v>0</v>
      </c>
      <c r="K259" s="7">
        <v>0</v>
      </c>
      <c r="L259" s="7">
        <v>3.5000000000000003E-2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0.04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21"/>
    </row>
    <row r="260" spans="1:62" ht="15.6" x14ac:dyDescent="0.3">
      <c r="A260" s="5" t="s">
        <v>421</v>
      </c>
      <c r="B260" s="5" t="s">
        <v>464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21"/>
    </row>
    <row r="261" spans="1:62" ht="15.6" x14ac:dyDescent="0.3">
      <c r="A261" s="5" t="s">
        <v>423</v>
      </c>
      <c r="B261" s="5" t="s">
        <v>465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21"/>
    </row>
    <row r="262" spans="1:62" ht="15.6" x14ac:dyDescent="0.3">
      <c r="A262" s="5" t="s">
        <v>425</v>
      </c>
      <c r="B262" s="5" t="s">
        <v>466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21"/>
    </row>
    <row r="263" spans="1:62" ht="15.6" x14ac:dyDescent="0.3">
      <c r="A263" s="5" t="s">
        <v>427</v>
      </c>
      <c r="B263" s="5" t="s">
        <v>467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21"/>
    </row>
    <row r="264" spans="1:62" ht="15.6" x14ac:dyDescent="0.3">
      <c r="A264" s="5" t="s">
        <v>429</v>
      </c>
      <c r="B264" s="5" t="s">
        <v>468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21"/>
    </row>
    <row r="265" spans="1:62" ht="15.6" x14ac:dyDescent="0.3">
      <c r="A265" s="5" t="s">
        <v>431</v>
      </c>
      <c r="B265" s="5" t="s">
        <v>469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21"/>
    </row>
    <row r="266" spans="1:62" ht="15.6" x14ac:dyDescent="0.3">
      <c r="A266" s="5" t="s">
        <v>433</v>
      </c>
      <c r="B266" s="5" t="s">
        <v>470</v>
      </c>
      <c r="C266" s="7">
        <v>6</v>
      </c>
      <c r="D266" s="7">
        <v>6</v>
      </c>
      <c r="E266" s="7">
        <v>57701.966999999997</v>
      </c>
      <c r="F266" s="7">
        <v>10661.808000000001</v>
      </c>
      <c r="G266" s="7">
        <v>0</v>
      </c>
      <c r="H266" s="7">
        <v>0</v>
      </c>
      <c r="I266" s="7">
        <v>393.685</v>
      </c>
      <c r="J266" s="7">
        <v>0</v>
      </c>
      <c r="K266" s="7">
        <v>0</v>
      </c>
      <c r="L266" s="7">
        <v>133014.019</v>
      </c>
      <c r="M266" s="7">
        <v>7586.88</v>
      </c>
      <c r="N266" s="7">
        <v>0</v>
      </c>
      <c r="O266" s="7">
        <v>0</v>
      </c>
      <c r="P266" s="7">
        <v>2.0470000000000002</v>
      </c>
      <c r="Q266" s="7">
        <v>0</v>
      </c>
      <c r="R266" s="7">
        <v>0</v>
      </c>
      <c r="S266" s="7">
        <v>3462.3429999999998</v>
      </c>
      <c r="T266" s="7">
        <v>0</v>
      </c>
      <c r="U266" s="7">
        <v>0</v>
      </c>
      <c r="V266" s="7">
        <v>0</v>
      </c>
      <c r="W266" s="7">
        <v>1211.433</v>
      </c>
      <c r="X266" s="7">
        <v>0</v>
      </c>
      <c r="Y266" s="7">
        <v>27219.605</v>
      </c>
      <c r="Z266" s="7">
        <v>0</v>
      </c>
      <c r="AA266" s="7">
        <v>0</v>
      </c>
      <c r="AB266" s="7">
        <v>0</v>
      </c>
      <c r="AC266" s="7">
        <v>2124.3960000000002</v>
      </c>
      <c r="AD266" s="7">
        <v>0</v>
      </c>
      <c r="AE266" s="7">
        <v>66717.076000000001</v>
      </c>
      <c r="AF266" s="7">
        <v>46899.837</v>
      </c>
      <c r="AG266" s="7">
        <v>0</v>
      </c>
      <c r="AH266" s="7">
        <v>224011.16</v>
      </c>
      <c r="AI266" s="7">
        <v>78175.422000000006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2125.9459999999999</v>
      </c>
      <c r="AP266" s="7">
        <v>0</v>
      </c>
      <c r="AQ266" s="7">
        <v>17836.463</v>
      </c>
      <c r="AR266" s="7">
        <v>0</v>
      </c>
      <c r="AS266" s="7">
        <v>34.225999999999999</v>
      </c>
      <c r="AT266" s="7">
        <v>0</v>
      </c>
      <c r="AU266" s="7">
        <v>228.714</v>
      </c>
      <c r="AV266" s="7">
        <v>0</v>
      </c>
      <c r="AW266" s="7">
        <v>0</v>
      </c>
      <c r="AX266" s="7">
        <v>0</v>
      </c>
      <c r="AY266" s="7">
        <v>679.48299999999995</v>
      </c>
      <c r="AZ266" s="7">
        <v>21492.227999999999</v>
      </c>
      <c r="BA266" s="7">
        <v>0</v>
      </c>
      <c r="BB266" s="7">
        <v>715.25199999999995</v>
      </c>
      <c r="BC266" s="7">
        <v>0</v>
      </c>
      <c r="BD266" s="7">
        <v>26328.57</v>
      </c>
      <c r="BE266" s="7">
        <v>192.03399999999999</v>
      </c>
      <c r="BF266" s="7">
        <v>192.03399999999999</v>
      </c>
      <c r="BG266" s="7">
        <v>8913.1029999999992</v>
      </c>
      <c r="BH266" s="7">
        <v>0</v>
      </c>
      <c r="BI266" s="7">
        <v>0</v>
      </c>
      <c r="BJ266" s="21"/>
    </row>
    <row r="267" spans="1:62" ht="15.6" x14ac:dyDescent="0.3">
      <c r="A267" s="5" t="s">
        <v>435</v>
      </c>
      <c r="B267" s="5" t="s">
        <v>471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21"/>
    </row>
    <row r="268" spans="1:62" ht="15.6" x14ac:dyDescent="0.3">
      <c r="A268" s="5" t="s">
        <v>437</v>
      </c>
      <c r="B268" s="5" t="s">
        <v>472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21"/>
    </row>
    <row r="269" spans="1:62" ht="15.6" x14ac:dyDescent="0.3">
      <c r="A269" s="5" t="s">
        <v>439</v>
      </c>
      <c r="B269" s="5" t="s">
        <v>473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21"/>
    </row>
    <row r="270" spans="1:62" ht="15.6" x14ac:dyDescent="0.3">
      <c r="A270" s="5" t="s">
        <v>441</v>
      </c>
      <c r="B270" s="5" t="s">
        <v>474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21"/>
    </row>
    <row r="271" spans="1:62" ht="15.6" x14ac:dyDescent="0.3">
      <c r="A271" s="5" t="s">
        <v>443</v>
      </c>
      <c r="B271" s="5" t="s">
        <v>475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21"/>
    </row>
    <row r="272" spans="1:62" ht="15.6" x14ac:dyDescent="0.3">
      <c r="A272" s="5" t="s">
        <v>445</v>
      </c>
      <c r="B272" s="5" t="s">
        <v>476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21"/>
    </row>
    <row r="273" spans="1:62" ht="15.6" x14ac:dyDescent="0.3">
      <c r="A273" s="5" t="s">
        <v>447</v>
      </c>
      <c r="B273" s="5" t="s">
        <v>477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21"/>
    </row>
    <row r="274" spans="1:62" ht="15.6" x14ac:dyDescent="0.3">
      <c r="A274" s="5" t="s">
        <v>449</v>
      </c>
      <c r="B274" s="5" t="s">
        <v>478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21"/>
    </row>
    <row r="275" spans="1:62" ht="15.6" x14ac:dyDescent="0.3">
      <c r="A275" s="5" t="s">
        <v>451</v>
      </c>
      <c r="B275" s="5" t="s">
        <v>479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21"/>
    </row>
    <row r="276" spans="1:62" ht="15.6" x14ac:dyDescent="0.3">
      <c r="A276" s="5" t="s">
        <v>453</v>
      </c>
      <c r="B276" s="5" t="s">
        <v>480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21"/>
    </row>
    <row r="277" spans="1:62" ht="15.6" x14ac:dyDescent="0.3">
      <c r="A277" s="5" t="s">
        <v>455</v>
      </c>
      <c r="B277" s="5" t="s">
        <v>481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21"/>
    </row>
    <row r="278" spans="1:62" ht="15.6" x14ac:dyDescent="0.3">
      <c r="A278" s="5" t="s">
        <v>457</v>
      </c>
      <c r="B278" s="5" t="s">
        <v>482</v>
      </c>
      <c r="C278" s="7">
        <v>6</v>
      </c>
      <c r="D278" s="7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21"/>
    </row>
    <row r="279" spans="1:62" ht="15.6" x14ac:dyDescent="0.3">
      <c r="A279" s="5" t="s">
        <v>459</v>
      </c>
      <c r="B279" s="5" t="s">
        <v>483</v>
      </c>
      <c r="C279" s="7">
        <v>6</v>
      </c>
      <c r="D279" s="7">
        <v>6</v>
      </c>
      <c r="E279" s="7">
        <v>3173.1170000000002</v>
      </c>
      <c r="F279" s="7">
        <v>2211.92</v>
      </c>
      <c r="G279" s="7">
        <v>151.72200000000001</v>
      </c>
      <c r="H279" s="7">
        <v>0.10100000000000001</v>
      </c>
      <c r="I279" s="7">
        <v>195.745</v>
      </c>
      <c r="J279" s="7">
        <v>1642.95</v>
      </c>
      <c r="K279" s="7">
        <v>0</v>
      </c>
      <c r="L279" s="7">
        <v>4740.9610000000002</v>
      </c>
      <c r="M279" s="7">
        <v>272.59800000000001</v>
      </c>
      <c r="N279" s="7">
        <v>0</v>
      </c>
      <c r="O279" s="7">
        <v>0</v>
      </c>
      <c r="P279" s="7">
        <v>6.0000000000000001E-3</v>
      </c>
      <c r="Q279" s="7">
        <v>0</v>
      </c>
      <c r="R279" s="7">
        <v>0</v>
      </c>
      <c r="S279" s="7">
        <v>886.44600000000003</v>
      </c>
      <c r="T279" s="7">
        <v>0</v>
      </c>
      <c r="U279" s="7">
        <v>0</v>
      </c>
      <c r="V279" s="7">
        <v>299.74099999999999</v>
      </c>
      <c r="W279" s="7">
        <v>2.9249999999999998</v>
      </c>
      <c r="X279" s="7">
        <v>0</v>
      </c>
      <c r="Y279" s="7">
        <v>128.65899999999999</v>
      </c>
      <c r="Z279" s="7">
        <v>0</v>
      </c>
      <c r="AA279" s="7">
        <v>5628.9709999999995</v>
      </c>
      <c r="AB279" s="7">
        <v>0</v>
      </c>
      <c r="AC279" s="7">
        <v>368.38400000000001</v>
      </c>
      <c r="AD279" s="7">
        <v>0</v>
      </c>
      <c r="AE279" s="7">
        <v>1133.914</v>
      </c>
      <c r="AF279" s="7">
        <v>40.548000000000002</v>
      </c>
      <c r="AG279" s="7">
        <v>0</v>
      </c>
      <c r="AH279" s="7">
        <v>7695.2889999999998</v>
      </c>
      <c r="AI279" s="7">
        <v>0.03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815.221</v>
      </c>
      <c r="AP279" s="7">
        <v>0</v>
      </c>
      <c r="AQ279" s="7">
        <v>5.9729999999999999</v>
      </c>
      <c r="AR279" s="7">
        <v>0</v>
      </c>
      <c r="AS279" s="7">
        <v>3.133</v>
      </c>
      <c r="AT279" s="7">
        <v>0</v>
      </c>
      <c r="AU279" s="7">
        <v>0.41599999999999998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264.45100000000002</v>
      </c>
      <c r="BC279" s="7">
        <v>0</v>
      </c>
      <c r="BD279" s="7">
        <v>0</v>
      </c>
      <c r="BE279" s="7">
        <v>72.974999999999994</v>
      </c>
      <c r="BF279" s="7">
        <v>72.974999999999994</v>
      </c>
      <c r="BG279" s="7">
        <v>0</v>
      </c>
      <c r="BH279" s="7">
        <v>0</v>
      </c>
      <c r="BI279" s="7">
        <v>0</v>
      </c>
      <c r="BJ279" s="21"/>
    </row>
    <row r="280" spans="1:62" ht="15.6" x14ac:dyDescent="0.3">
      <c r="A280" s="5" t="s">
        <v>461</v>
      </c>
      <c r="B280" s="5" t="s">
        <v>484</v>
      </c>
      <c r="C280" s="7">
        <v>6</v>
      </c>
      <c r="D280" s="7">
        <v>6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21"/>
    </row>
    <row r="281" spans="1:62" ht="15.6" x14ac:dyDescent="0.3">
      <c r="A281" s="5" t="s">
        <v>485</v>
      </c>
      <c r="B281" s="5" t="s">
        <v>486</v>
      </c>
      <c r="C281" s="7">
        <v>5</v>
      </c>
      <c r="D281" s="7">
        <v>5</v>
      </c>
      <c r="E281" s="7">
        <v>152148.149</v>
      </c>
      <c r="F281" s="7">
        <v>0</v>
      </c>
      <c r="G281" s="7">
        <v>12337.829</v>
      </c>
      <c r="H281" s="7">
        <v>70.376999999999995</v>
      </c>
      <c r="I281" s="7">
        <v>0</v>
      </c>
      <c r="J281" s="7">
        <v>35171.999000000003</v>
      </c>
      <c r="K281" s="7">
        <v>19047.13</v>
      </c>
      <c r="L281" s="7">
        <v>99797.611000000004</v>
      </c>
      <c r="M281" s="7">
        <v>202497.978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2557.2339999999999</v>
      </c>
      <c r="V281" s="7">
        <v>4915.3379999999997</v>
      </c>
      <c r="W281" s="7">
        <v>11472.239</v>
      </c>
      <c r="X281" s="7">
        <v>0</v>
      </c>
      <c r="Y281" s="7">
        <v>27411.287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71202.425000000003</v>
      </c>
      <c r="AF281" s="7">
        <v>7778.2280000000001</v>
      </c>
      <c r="AG281" s="7">
        <v>12046.752</v>
      </c>
      <c r="AH281" s="7">
        <v>462742.614</v>
      </c>
      <c r="AI281" s="7">
        <v>109398.588</v>
      </c>
      <c r="AJ281" s="7">
        <v>10.022</v>
      </c>
      <c r="AK281" s="7">
        <v>266.553</v>
      </c>
      <c r="AL281" s="7">
        <v>113.72799999999999</v>
      </c>
      <c r="AM281" s="7">
        <v>667.22</v>
      </c>
      <c r="AN281" s="7">
        <v>110.68300000000001</v>
      </c>
      <c r="AO281" s="7">
        <v>0</v>
      </c>
      <c r="AP281" s="7">
        <v>0</v>
      </c>
      <c r="AQ281" s="7">
        <v>11338.261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21"/>
    </row>
    <row r="282" spans="1:62" ht="15.6" x14ac:dyDescent="0.3">
      <c r="A282" s="5" t="s">
        <v>487</v>
      </c>
      <c r="B282" s="5" t="s">
        <v>488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21"/>
    </row>
    <row r="283" spans="1:62" ht="15.6" x14ac:dyDescent="0.3">
      <c r="A283" s="5" t="s">
        <v>489</v>
      </c>
      <c r="B283" s="5" t="s">
        <v>490</v>
      </c>
      <c r="C283" s="7">
        <v>5</v>
      </c>
      <c r="D283" s="7">
        <v>5</v>
      </c>
      <c r="E283" s="7">
        <v>14263.727000000001</v>
      </c>
      <c r="F283" s="7">
        <v>1272.1210000000001</v>
      </c>
      <c r="G283" s="7">
        <v>1798.0619999999999</v>
      </c>
      <c r="H283" s="7">
        <v>0</v>
      </c>
      <c r="I283" s="7">
        <v>313.33100000000002</v>
      </c>
      <c r="J283" s="7">
        <v>1093.02</v>
      </c>
      <c r="K283" s="7">
        <v>0</v>
      </c>
      <c r="L283" s="7">
        <v>10314.142</v>
      </c>
      <c r="M283" s="7">
        <v>4863.5039999999999</v>
      </c>
      <c r="N283" s="7">
        <v>0</v>
      </c>
      <c r="O283" s="7">
        <v>0</v>
      </c>
      <c r="P283" s="7">
        <v>56.777999999999999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174.23599999999999</v>
      </c>
      <c r="W283" s="7">
        <v>517.22500000000002</v>
      </c>
      <c r="X283" s="7">
        <v>0</v>
      </c>
      <c r="Y283" s="7">
        <v>4084.7280000000001</v>
      </c>
      <c r="Z283" s="7">
        <v>0</v>
      </c>
      <c r="AA283" s="7">
        <v>1420.4649999999999</v>
      </c>
      <c r="AB283" s="7">
        <v>0</v>
      </c>
      <c r="AC283" s="7">
        <v>224.083</v>
      </c>
      <c r="AD283" s="7">
        <v>0</v>
      </c>
      <c r="AE283" s="7">
        <v>13176.111000000001</v>
      </c>
      <c r="AF283" s="7">
        <v>0</v>
      </c>
      <c r="AG283" s="7">
        <v>0</v>
      </c>
      <c r="AH283" s="7">
        <v>29950.14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21"/>
    </row>
    <row r="284" spans="1:62" ht="15.6" x14ac:dyDescent="0.3">
      <c r="A284" s="5" t="s">
        <v>491</v>
      </c>
      <c r="B284" s="5" t="s">
        <v>492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21"/>
    </row>
    <row r="285" spans="1:62" ht="15.6" x14ac:dyDescent="0.3">
      <c r="A285" s="5" t="s">
        <v>493</v>
      </c>
      <c r="B285" s="5" t="s">
        <v>494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21"/>
    </row>
    <row r="286" spans="1:62" ht="15.6" x14ac:dyDescent="0.3">
      <c r="A286" s="5" t="s">
        <v>495</v>
      </c>
      <c r="B286" s="5" t="s">
        <v>496</v>
      </c>
      <c r="C286" s="7">
        <v>5</v>
      </c>
      <c r="D286" s="7">
        <v>5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21"/>
    </row>
    <row r="287" spans="1:62" ht="15.6" x14ac:dyDescent="0.3">
      <c r="A287" s="5" t="s">
        <v>497</v>
      </c>
      <c r="B287" s="5" t="s">
        <v>498</v>
      </c>
      <c r="C287" s="7">
        <v>5</v>
      </c>
      <c r="D287" s="7">
        <v>5</v>
      </c>
      <c r="E287" s="7">
        <v>66057.289999999994</v>
      </c>
      <c r="F287" s="7">
        <v>6315.39</v>
      </c>
      <c r="G287" s="7">
        <v>9925.9879999999994</v>
      </c>
      <c r="H287" s="7">
        <v>0</v>
      </c>
      <c r="I287" s="7">
        <v>1614.931</v>
      </c>
      <c r="J287" s="7">
        <v>5651.93</v>
      </c>
      <c r="K287" s="7">
        <v>0</v>
      </c>
      <c r="L287" s="7">
        <v>58534.476000000002</v>
      </c>
      <c r="M287" s="7">
        <v>26394.964</v>
      </c>
      <c r="N287" s="7">
        <v>0</v>
      </c>
      <c r="O287" s="7">
        <v>0</v>
      </c>
      <c r="P287" s="7">
        <v>317.51900000000001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719.97</v>
      </c>
      <c r="W287" s="7">
        <v>2137.2460000000001</v>
      </c>
      <c r="X287" s="7">
        <v>0</v>
      </c>
      <c r="Y287" s="7">
        <v>17187.019</v>
      </c>
      <c r="Z287" s="7">
        <v>0</v>
      </c>
      <c r="AA287" s="7">
        <v>5869.5659999999998</v>
      </c>
      <c r="AB287" s="7">
        <v>0</v>
      </c>
      <c r="AC287" s="7">
        <v>925.94200000000001</v>
      </c>
      <c r="AD287" s="7">
        <v>0</v>
      </c>
      <c r="AE287" s="7">
        <v>55676.885999999999</v>
      </c>
      <c r="AF287" s="7">
        <v>0</v>
      </c>
      <c r="AG287" s="7">
        <v>0</v>
      </c>
      <c r="AH287" s="7">
        <v>150145.122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21"/>
    </row>
    <row r="288" spans="1:62" ht="15.6" x14ac:dyDescent="0.3">
      <c r="A288" s="5" t="s">
        <v>499</v>
      </c>
      <c r="B288" s="5" t="s">
        <v>500</v>
      </c>
      <c r="C288" s="7">
        <v>5</v>
      </c>
      <c r="D288" s="7">
        <v>5</v>
      </c>
      <c r="E288" s="7">
        <v>182000.17800000001</v>
      </c>
      <c r="F288" s="7">
        <v>17264.175999999999</v>
      </c>
      <c r="G288" s="7">
        <v>26289.427</v>
      </c>
      <c r="H288" s="7">
        <v>0</v>
      </c>
      <c r="I288" s="7">
        <v>4595.1210000000001</v>
      </c>
      <c r="J288" s="7">
        <v>15433.89</v>
      </c>
      <c r="K288" s="7">
        <v>0</v>
      </c>
      <c r="L288" s="7">
        <v>137822.76</v>
      </c>
      <c r="M288" s="7">
        <v>70049.506999999998</v>
      </c>
      <c r="N288" s="7">
        <v>0</v>
      </c>
      <c r="O288" s="7">
        <v>0</v>
      </c>
      <c r="P288" s="7">
        <v>833.78800000000001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2029.377</v>
      </c>
      <c r="W288" s="7">
        <v>6110.49</v>
      </c>
      <c r="X288" s="7">
        <v>0</v>
      </c>
      <c r="Y288" s="7">
        <v>47920.858</v>
      </c>
      <c r="Z288" s="7">
        <v>0</v>
      </c>
      <c r="AA288" s="7">
        <v>16818.118999999999</v>
      </c>
      <c r="AB288" s="7">
        <v>0</v>
      </c>
      <c r="AC288" s="7">
        <v>2609.9490000000001</v>
      </c>
      <c r="AD288" s="7">
        <v>0</v>
      </c>
      <c r="AE288" s="7">
        <v>154481.16399999999</v>
      </c>
      <c r="AF288" s="7">
        <v>0</v>
      </c>
      <c r="AG288" s="7">
        <v>0</v>
      </c>
      <c r="AH288" s="7">
        <v>380896.16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3.0000000000000001E-3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21"/>
    </row>
    <row r="289" spans="1:62" ht="15.6" x14ac:dyDescent="0.3">
      <c r="A289" s="5" t="s">
        <v>501</v>
      </c>
      <c r="B289" s="5" t="s">
        <v>502</v>
      </c>
      <c r="C289" s="7">
        <v>5</v>
      </c>
      <c r="D289" s="7">
        <v>5</v>
      </c>
      <c r="E289" s="7">
        <v>1191.3599999999999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3500.9789999999998</v>
      </c>
      <c r="M289" s="7">
        <v>174.18100000000001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1238.175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2599.5189999999998</v>
      </c>
      <c r="AF289" s="7">
        <v>0</v>
      </c>
      <c r="AG289" s="7">
        <v>0</v>
      </c>
      <c r="AH289" s="7">
        <v>7280.1419999999998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21"/>
    </row>
    <row r="290" spans="1:62" ht="15.6" x14ac:dyDescent="0.3">
      <c r="A290" s="5" t="s">
        <v>503</v>
      </c>
      <c r="B290" s="5" t="s">
        <v>504</v>
      </c>
      <c r="C290" s="7">
        <v>5</v>
      </c>
      <c r="D290" s="7">
        <v>5</v>
      </c>
      <c r="E290" s="7">
        <v>33005.286</v>
      </c>
      <c r="F290" s="7">
        <v>2825.01</v>
      </c>
      <c r="G290" s="7">
        <v>3992.973</v>
      </c>
      <c r="H290" s="7">
        <v>0</v>
      </c>
      <c r="I290" s="7">
        <v>695.81700000000001</v>
      </c>
      <c r="J290" s="7">
        <v>2427.279</v>
      </c>
      <c r="K290" s="7">
        <v>0</v>
      </c>
      <c r="L290" s="7">
        <v>24389.153999999999</v>
      </c>
      <c r="M290" s="7">
        <v>11694.323</v>
      </c>
      <c r="N290" s="7">
        <v>0</v>
      </c>
      <c r="O290" s="7">
        <v>0</v>
      </c>
      <c r="P290" s="7">
        <v>126.087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386.92899999999997</v>
      </c>
      <c r="W290" s="7">
        <v>1148.605</v>
      </c>
      <c r="X290" s="7">
        <v>0</v>
      </c>
      <c r="Y290" s="7">
        <v>9070.9940000000006</v>
      </c>
      <c r="Z290" s="7">
        <v>0</v>
      </c>
      <c r="AA290" s="7">
        <v>3154.44</v>
      </c>
      <c r="AB290" s="7">
        <v>0</v>
      </c>
      <c r="AC290" s="7">
        <v>497.62200000000001</v>
      </c>
      <c r="AD290" s="7">
        <v>0</v>
      </c>
      <c r="AE290" s="7">
        <v>29260.312999999998</v>
      </c>
      <c r="AF290" s="7">
        <v>0</v>
      </c>
      <c r="AG290" s="7">
        <v>0</v>
      </c>
      <c r="AH290" s="7">
        <v>67512.266000000003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21"/>
    </row>
    <row r="291" spans="1:62" ht="15.6" x14ac:dyDescent="0.3">
      <c r="A291" s="5" t="s">
        <v>505</v>
      </c>
      <c r="B291" s="5" t="s">
        <v>506</v>
      </c>
      <c r="C291" s="7">
        <v>5</v>
      </c>
      <c r="D291" s="7">
        <v>5</v>
      </c>
      <c r="E291" s="7">
        <v>52690.589</v>
      </c>
      <c r="F291" s="7">
        <v>820.64599999999996</v>
      </c>
      <c r="G291" s="7">
        <v>1159.931</v>
      </c>
      <c r="H291" s="7">
        <v>8989.3870000000006</v>
      </c>
      <c r="I291" s="7">
        <v>202.13</v>
      </c>
      <c r="J291" s="7">
        <v>705.10799999999995</v>
      </c>
      <c r="K291" s="7">
        <v>0</v>
      </c>
      <c r="L291" s="7">
        <v>64480.720999999998</v>
      </c>
      <c r="M291" s="7">
        <v>11414.89</v>
      </c>
      <c r="N291" s="7">
        <v>0</v>
      </c>
      <c r="O291" s="7">
        <v>0</v>
      </c>
      <c r="P291" s="7">
        <v>36.627000000000002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112.4</v>
      </c>
      <c r="W291" s="7">
        <v>333.66199999999998</v>
      </c>
      <c r="X291" s="7">
        <v>0</v>
      </c>
      <c r="Y291" s="7">
        <v>21914.12</v>
      </c>
      <c r="Z291" s="7">
        <v>0</v>
      </c>
      <c r="AA291" s="7">
        <v>1146.953</v>
      </c>
      <c r="AB291" s="7">
        <v>0</v>
      </c>
      <c r="AC291" s="7">
        <v>144.55600000000001</v>
      </c>
      <c r="AD291" s="7">
        <v>0</v>
      </c>
      <c r="AE291" s="7">
        <v>63235.432999999997</v>
      </c>
      <c r="AF291" s="7">
        <v>0</v>
      </c>
      <c r="AG291" s="7">
        <v>0</v>
      </c>
      <c r="AH291" s="7">
        <v>149398.41099999999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21"/>
    </row>
    <row r="292" spans="1:62" ht="15.6" x14ac:dyDescent="0.3">
      <c r="A292" s="5" t="s">
        <v>507</v>
      </c>
      <c r="B292" s="5" t="s">
        <v>508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21"/>
    </row>
    <row r="293" spans="1:62" ht="15.6" x14ac:dyDescent="0.3">
      <c r="A293" s="5" t="s">
        <v>509</v>
      </c>
      <c r="B293" s="5" t="s">
        <v>510</v>
      </c>
      <c r="C293" s="7">
        <v>5</v>
      </c>
      <c r="D293" s="7">
        <v>5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21"/>
    </row>
    <row r="294" spans="1:62" ht="15.6" x14ac:dyDescent="0.3">
      <c r="A294" s="5" t="s">
        <v>511</v>
      </c>
      <c r="B294" s="5" t="s">
        <v>512</v>
      </c>
      <c r="C294" s="7">
        <v>5</v>
      </c>
      <c r="D294" s="7">
        <v>5</v>
      </c>
      <c r="E294" s="7">
        <v>260001.155</v>
      </c>
      <c r="F294" s="7">
        <v>16788.924999999999</v>
      </c>
      <c r="G294" s="7">
        <v>19379.673999999999</v>
      </c>
      <c r="H294" s="7">
        <v>0</v>
      </c>
      <c r="I294" s="7">
        <v>3474.4180000000001</v>
      </c>
      <c r="J294" s="7">
        <v>12129.069</v>
      </c>
      <c r="K294" s="7">
        <v>0</v>
      </c>
      <c r="L294" s="7">
        <v>156813.902</v>
      </c>
      <c r="M294" s="7">
        <v>54659.858</v>
      </c>
      <c r="N294" s="7">
        <v>0</v>
      </c>
      <c r="O294" s="7">
        <v>0</v>
      </c>
      <c r="P294" s="7">
        <v>377.08499999999998</v>
      </c>
      <c r="Q294" s="7">
        <v>0</v>
      </c>
      <c r="R294" s="7">
        <v>37.83</v>
      </c>
      <c r="S294" s="7">
        <v>0</v>
      </c>
      <c r="T294" s="7">
        <v>0</v>
      </c>
      <c r="U294" s="7">
        <v>0</v>
      </c>
      <c r="V294" s="7">
        <v>3074.3879999999999</v>
      </c>
      <c r="W294" s="7">
        <v>8572.7209999999995</v>
      </c>
      <c r="X294" s="7">
        <v>0</v>
      </c>
      <c r="Y294" s="7">
        <v>68639.784</v>
      </c>
      <c r="Z294" s="7">
        <v>0</v>
      </c>
      <c r="AA294" s="7">
        <v>29250.269</v>
      </c>
      <c r="AB294" s="7">
        <v>0</v>
      </c>
      <c r="AC294" s="7">
        <v>5201.241</v>
      </c>
      <c r="AD294" s="7">
        <v>0</v>
      </c>
      <c r="AE294" s="7">
        <v>198981.72899999999</v>
      </c>
      <c r="AF294" s="7">
        <v>0</v>
      </c>
      <c r="AG294" s="7">
        <v>0</v>
      </c>
      <c r="AH294" s="7">
        <v>545405.76199999999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21"/>
    </row>
    <row r="295" spans="1:62" ht="15.6" x14ac:dyDescent="0.3">
      <c r="A295" s="5" t="s">
        <v>513</v>
      </c>
      <c r="B295" s="5" t="s">
        <v>514</v>
      </c>
      <c r="C295" s="7">
        <v>5</v>
      </c>
      <c r="D295" s="7">
        <v>5</v>
      </c>
      <c r="E295" s="7">
        <v>24787.951000000001</v>
      </c>
      <c r="F295" s="7">
        <v>1013.548</v>
      </c>
      <c r="G295" s="7">
        <v>1249.7159999999999</v>
      </c>
      <c r="H295" s="7">
        <v>0</v>
      </c>
      <c r="I295" s="7">
        <v>221.86600000000001</v>
      </c>
      <c r="J295" s="7">
        <v>774.33199999999999</v>
      </c>
      <c r="K295" s="7">
        <v>0</v>
      </c>
      <c r="L295" s="7">
        <v>28103.238000000001</v>
      </c>
      <c r="M295" s="7">
        <v>6958.8760000000002</v>
      </c>
      <c r="N295" s="7">
        <v>0</v>
      </c>
      <c r="O295" s="7">
        <v>0</v>
      </c>
      <c r="P295" s="7">
        <v>29.59</v>
      </c>
      <c r="Q295" s="7">
        <v>0</v>
      </c>
      <c r="R295" s="7">
        <v>1.59</v>
      </c>
      <c r="S295" s="7">
        <v>0</v>
      </c>
      <c r="T295" s="7">
        <v>0</v>
      </c>
      <c r="U295" s="7">
        <v>0</v>
      </c>
      <c r="V295" s="7">
        <v>171.393</v>
      </c>
      <c r="W295" s="7">
        <v>485.512</v>
      </c>
      <c r="X295" s="7">
        <v>0</v>
      </c>
      <c r="Y295" s="7">
        <v>3961.6790000000001</v>
      </c>
      <c r="Z295" s="7">
        <v>0</v>
      </c>
      <c r="AA295" s="7">
        <v>1573.2570000000001</v>
      </c>
      <c r="AB295" s="7">
        <v>0</v>
      </c>
      <c r="AC295" s="7">
        <v>272.85700000000003</v>
      </c>
      <c r="AD295" s="7">
        <v>0</v>
      </c>
      <c r="AE295" s="7">
        <v>14243.198</v>
      </c>
      <c r="AF295" s="7">
        <v>0</v>
      </c>
      <c r="AG295" s="7">
        <v>0</v>
      </c>
      <c r="AH295" s="7">
        <v>43517.881999999998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21"/>
    </row>
    <row r="296" spans="1:62" ht="15.6" x14ac:dyDescent="0.3">
      <c r="A296" s="5" t="s">
        <v>515</v>
      </c>
      <c r="B296" s="5" t="s">
        <v>516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21"/>
    </row>
    <row r="297" spans="1:62" ht="15.6" x14ac:dyDescent="0.3">
      <c r="A297" s="5" t="s">
        <v>517</v>
      </c>
      <c r="B297" s="5" t="s">
        <v>518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21"/>
    </row>
    <row r="298" spans="1:62" ht="15.6" x14ac:dyDescent="0.3">
      <c r="A298" s="5" t="s">
        <v>519</v>
      </c>
      <c r="B298" s="5" t="s">
        <v>520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21"/>
    </row>
    <row r="299" spans="1:62" ht="15.6" x14ac:dyDescent="0.3">
      <c r="A299" s="5" t="s">
        <v>521</v>
      </c>
      <c r="B299" s="5" t="s">
        <v>522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21"/>
    </row>
    <row r="300" spans="1:62" ht="15.6" x14ac:dyDescent="0.3">
      <c r="A300" s="5" t="s">
        <v>523</v>
      </c>
      <c r="B300" s="5" t="s">
        <v>524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21"/>
    </row>
    <row r="301" spans="1:62" ht="15.6" x14ac:dyDescent="0.3">
      <c r="A301" s="5" t="s">
        <v>525</v>
      </c>
      <c r="B301" s="5" t="s">
        <v>526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21"/>
    </row>
    <row r="302" spans="1:62" ht="15.6" x14ac:dyDescent="0.3">
      <c r="A302" s="5" t="s">
        <v>527</v>
      </c>
      <c r="B302" s="5" t="s">
        <v>528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21"/>
    </row>
    <row r="303" spans="1:62" ht="15.6" x14ac:dyDescent="0.3">
      <c r="A303" s="5" t="s">
        <v>529</v>
      </c>
      <c r="B303" s="5" t="s">
        <v>530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21"/>
    </row>
    <row r="304" spans="1:62" ht="15.6" x14ac:dyDescent="0.3">
      <c r="A304" s="5" t="s">
        <v>531</v>
      </c>
      <c r="B304" s="5" t="s">
        <v>532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21"/>
    </row>
    <row r="305" spans="1:62" ht="15.6" x14ac:dyDescent="0.3">
      <c r="A305" s="5" t="s">
        <v>533</v>
      </c>
      <c r="B305" s="5" t="s">
        <v>534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21"/>
    </row>
    <row r="306" spans="1:62" ht="15.6" x14ac:dyDescent="0.3">
      <c r="A306" s="5" t="s">
        <v>535</v>
      </c>
      <c r="B306" s="5" t="s">
        <v>536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21"/>
    </row>
    <row r="307" spans="1:62" ht="15.6" x14ac:dyDescent="0.3">
      <c r="A307" s="5" t="s">
        <v>537</v>
      </c>
      <c r="B307" s="5" t="s">
        <v>538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21"/>
    </row>
    <row r="308" spans="1:62" ht="15.6" x14ac:dyDescent="0.3">
      <c r="A308" s="5" t="s">
        <v>539</v>
      </c>
      <c r="B308" s="5" t="s">
        <v>540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21"/>
    </row>
    <row r="309" spans="1:62" ht="15.6" x14ac:dyDescent="0.3">
      <c r="A309" s="5" t="s">
        <v>541</v>
      </c>
      <c r="B309" s="5" t="s">
        <v>542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21"/>
    </row>
    <row r="310" spans="1:62" ht="15.6" x14ac:dyDescent="0.3">
      <c r="A310" s="5" t="s">
        <v>543</v>
      </c>
      <c r="B310" s="5" t="s">
        <v>544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21"/>
    </row>
    <row r="311" spans="1:62" ht="15.6" x14ac:dyDescent="0.3">
      <c r="A311" s="5" t="s">
        <v>545</v>
      </c>
      <c r="B311" s="5" t="s">
        <v>546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21"/>
    </row>
    <row r="312" spans="1:62" ht="15.6" x14ac:dyDescent="0.3">
      <c r="A312" s="5" t="s">
        <v>547</v>
      </c>
      <c r="B312" s="5" t="s">
        <v>548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21"/>
    </row>
    <row r="313" spans="1:62" ht="15.6" x14ac:dyDescent="0.3">
      <c r="A313" s="5" t="s">
        <v>549</v>
      </c>
      <c r="B313" s="5" t="s">
        <v>550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21"/>
    </row>
    <row r="314" spans="1:62" ht="15.6" x14ac:dyDescent="0.3">
      <c r="A314" s="5" t="s">
        <v>551</v>
      </c>
      <c r="B314" s="5" t="s">
        <v>552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21"/>
    </row>
    <row r="315" spans="1:62" ht="15.6" x14ac:dyDescent="0.3">
      <c r="A315" s="5" t="s">
        <v>553</v>
      </c>
      <c r="B315" s="5" t="s">
        <v>554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21"/>
    </row>
    <row r="316" spans="1:62" ht="15.6" x14ac:dyDescent="0.3">
      <c r="A316" s="5" t="s">
        <v>555</v>
      </c>
      <c r="B316" s="5" t="s">
        <v>556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21"/>
    </row>
    <row r="317" spans="1:62" ht="15.6" x14ac:dyDescent="0.3">
      <c r="A317" s="5" t="s">
        <v>557</v>
      </c>
      <c r="B317" s="5" t="s">
        <v>558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21"/>
    </row>
    <row r="318" spans="1:62" ht="15.6" x14ac:dyDescent="0.3">
      <c r="A318" s="5" t="s">
        <v>559</v>
      </c>
      <c r="B318" s="5" t="s">
        <v>560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21"/>
    </row>
    <row r="319" spans="1:62" ht="15.6" x14ac:dyDescent="0.3">
      <c r="A319" s="5" t="s">
        <v>561</v>
      </c>
      <c r="B319" s="5" t="s">
        <v>562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21"/>
    </row>
    <row r="320" spans="1:62" ht="15.6" x14ac:dyDescent="0.3">
      <c r="A320" s="5" t="s">
        <v>563</v>
      </c>
      <c r="B320" s="5" t="s">
        <v>564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21"/>
    </row>
    <row r="321" spans="1:62" ht="15.6" x14ac:dyDescent="0.3">
      <c r="A321" s="5" t="s">
        <v>565</v>
      </c>
      <c r="B321" s="5" t="s">
        <v>566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21"/>
    </row>
    <row r="322" spans="1:62" ht="15.6" x14ac:dyDescent="0.3">
      <c r="A322" s="5" t="s">
        <v>567</v>
      </c>
      <c r="B322" s="5" t="s">
        <v>568</v>
      </c>
      <c r="C322" s="7">
        <v>5</v>
      </c>
      <c r="D322" s="7">
        <v>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21"/>
    </row>
    <row r="323" spans="1:62" ht="15.6" x14ac:dyDescent="0.3">
      <c r="A323" s="5" t="s">
        <v>569</v>
      </c>
      <c r="B323" s="5" t="s">
        <v>570</v>
      </c>
      <c r="C323" s="7">
        <v>5</v>
      </c>
      <c r="D323" s="7">
        <v>5</v>
      </c>
      <c r="E323" s="7">
        <v>-66676.505000000005</v>
      </c>
      <c r="F323" s="7">
        <v>-14313.481</v>
      </c>
      <c r="G323" s="7">
        <v>-809.10699999999997</v>
      </c>
      <c r="H323" s="7">
        <v>0</v>
      </c>
      <c r="I323" s="7">
        <v>-438.899</v>
      </c>
      <c r="J323" s="7">
        <v>-635.51300000000003</v>
      </c>
      <c r="K323" s="7">
        <v>0</v>
      </c>
      <c r="L323" s="7">
        <v>-163041.60399999999</v>
      </c>
      <c r="M323" s="7">
        <v>-6035.4430000000002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-4498.0510000000004</v>
      </c>
      <c r="T323" s="7">
        <v>0</v>
      </c>
      <c r="U323" s="7">
        <v>0</v>
      </c>
      <c r="V323" s="7">
        <v>-102.72799999999999</v>
      </c>
      <c r="W323" s="7">
        <v>-1515.848</v>
      </c>
      <c r="X323" s="7">
        <v>0</v>
      </c>
      <c r="Y323" s="7">
        <v>-34857.360999999997</v>
      </c>
      <c r="Z323" s="7">
        <v>0</v>
      </c>
      <c r="AA323" s="7">
        <v>-795.37699999999995</v>
      </c>
      <c r="AB323" s="7">
        <v>0</v>
      </c>
      <c r="AC323" s="7">
        <v>-2650.7220000000002</v>
      </c>
      <c r="AD323" s="7">
        <v>0</v>
      </c>
      <c r="AE323" s="7">
        <v>-87057.467999999993</v>
      </c>
      <c r="AF323" s="7">
        <v>-63695.65</v>
      </c>
      <c r="AG323" s="7">
        <v>0</v>
      </c>
      <c r="AH323" s="7">
        <v>-278710.45699999999</v>
      </c>
      <c r="AI323" s="7">
        <v>-95718.402000000002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-3192.395</v>
      </c>
      <c r="AP323" s="7">
        <v>0</v>
      </c>
      <c r="AQ323" s="7">
        <v>-24380.648000000001</v>
      </c>
      <c r="AR323" s="7">
        <v>0</v>
      </c>
      <c r="AS323" s="7">
        <v>-45.734000000000002</v>
      </c>
      <c r="AT323" s="7">
        <v>0</v>
      </c>
      <c r="AU323" s="7">
        <v>-281.18400000000003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-1082.8150000000001</v>
      </c>
      <c r="BC323" s="7">
        <v>0</v>
      </c>
      <c r="BD323" s="7">
        <v>0</v>
      </c>
      <c r="BE323" s="7">
        <v>-315.274</v>
      </c>
      <c r="BF323" s="7">
        <v>-315.274</v>
      </c>
      <c r="BG323" s="7">
        <v>0</v>
      </c>
      <c r="BH323" s="7">
        <v>0</v>
      </c>
      <c r="BI323" s="7">
        <v>0</v>
      </c>
      <c r="BJ323" s="21"/>
    </row>
    <row r="324" spans="1:62" ht="15.6" x14ac:dyDescent="0.3">
      <c r="A324" s="5" t="s">
        <v>571</v>
      </c>
      <c r="B324" s="5" t="s">
        <v>572</v>
      </c>
      <c r="C324" s="7">
        <v>5</v>
      </c>
      <c r="D324" s="7">
        <v>5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21"/>
    </row>
    <row r="325" spans="1:62" ht="15.6" x14ac:dyDescent="0.3">
      <c r="A325" s="5" t="s">
        <v>573</v>
      </c>
      <c r="B325" s="5" t="s">
        <v>574</v>
      </c>
      <c r="C325" s="7">
        <v>5</v>
      </c>
      <c r="D325" s="7">
        <v>5</v>
      </c>
      <c r="E325" s="7">
        <v>-25582.968000000001</v>
      </c>
      <c r="F325" s="7">
        <v>-5516.9970000000003</v>
      </c>
      <c r="G325" s="7">
        <v>0</v>
      </c>
      <c r="H325" s="7">
        <v>0</v>
      </c>
      <c r="I325" s="7">
        <v>-113.29900000000001</v>
      </c>
      <c r="J325" s="7">
        <v>0</v>
      </c>
      <c r="K325" s="7">
        <v>0</v>
      </c>
      <c r="L325" s="7">
        <v>-65340.783000000003</v>
      </c>
      <c r="M325" s="7">
        <v>-1526.452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-1742.8119999999999</v>
      </c>
      <c r="T325" s="7">
        <v>0</v>
      </c>
      <c r="U325" s="7">
        <v>0</v>
      </c>
      <c r="V325" s="7">
        <v>0</v>
      </c>
      <c r="W325" s="7">
        <v>-525.36400000000003</v>
      </c>
      <c r="X325" s="7">
        <v>0</v>
      </c>
      <c r="Y325" s="7">
        <v>-13685.169</v>
      </c>
      <c r="Z325" s="7">
        <v>0</v>
      </c>
      <c r="AA325" s="7">
        <v>0</v>
      </c>
      <c r="AB325" s="7">
        <v>0</v>
      </c>
      <c r="AC325" s="7">
        <v>-1031.5940000000001</v>
      </c>
      <c r="AD325" s="7">
        <v>0</v>
      </c>
      <c r="AE325" s="7">
        <v>-34384.072</v>
      </c>
      <c r="AF325" s="7">
        <v>-26056.608</v>
      </c>
      <c r="AG325" s="7">
        <v>0</v>
      </c>
      <c r="AH325" s="7">
        <v>-110112.08500000001</v>
      </c>
      <c r="AI325" s="7">
        <v>-39156.470999999998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-1278.8969999999999</v>
      </c>
      <c r="AP325" s="7">
        <v>0</v>
      </c>
      <c r="AQ325" s="7">
        <v>-9973.6319999999996</v>
      </c>
      <c r="AR325" s="7">
        <v>0</v>
      </c>
      <c r="AS325" s="7">
        <v>-18.581</v>
      </c>
      <c r="AT325" s="7">
        <v>0</v>
      </c>
      <c r="AU325" s="7">
        <v>-115.026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-433.50400000000002</v>
      </c>
      <c r="BC325" s="7">
        <v>0</v>
      </c>
      <c r="BD325" s="7">
        <v>0</v>
      </c>
      <c r="BE325" s="7">
        <v>-124.95699999999999</v>
      </c>
      <c r="BF325" s="7">
        <v>-124.95699999999999</v>
      </c>
      <c r="BG325" s="7">
        <v>0</v>
      </c>
      <c r="BH325" s="7">
        <v>0</v>
      </c>
      <c r="BI325" s="7">
        <v>0</v>
      </c>
      <c r="BJ325" s="21"/>
    </row>
    <row r="326" spans="1:62" ht="15.6" x14ac:dyDescent="0.3">
      <c r="A326" s="5" t="s">
        <v>575</v>
      </c>
      <c r="B326" s="5" t="s">
        <v>576</v>
      </c>
      <c r="C326" s="7">
        <v>6</v>
      </c>
      <c r="D326" s="7">
        <v>6</v>
      </c>
      <c r="E326" s="7">
        <v>64.634</v>
      </c>
      <c r="F326" s="7">
        <v>0</v>
      </c>
      <c r="G326" s="7">
        <v>0</v>
      </c>
      <c r="H326" s="7">
        <v>0</v>
      </c>
      <c r="I326" s="7">
        <v>91.162999999999997</v>
      </c>
      <c r="J326" s="7">
        <v>0</v>
      </c>
      <c r="K326" s="7">
        <v>0</v>
      </c>
      <c r="L326" s="7">
        <v>14686.31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21"/>
    </row>
    <row r="327" spans="1:62" ht="15.6" x14ac:dyDescent="0.3">
      <c r="A327" s="5" t="s">
        <v>577</v>
      </c>
      <c r="B327" s="5" t="s">
        <v>578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21"/>
    </row>
    <row r="328" spans="1:62" ht="15.6" x14ac:dyDescent="0.3">
      <c r="A328" s="5" t="s">
        <v>579</v>
      </c>
      <c r="B328" s="5" t="s">
        <v>580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21"/>
    </row>
    <row r="329" spans="1:62" ht="15.6" x14ac:dyDescent="0.3">
      <c r="A329" s="5" t="s">
        <v>581</v>
      </c>
      <c r="B329" s="5" t="s">
        <v>582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21"/>
    </row>
    <row r="330" spans="1:62" ht="15.6" x14ac:dyDescent="0.3">
      <c r="A330" s="5" t="s">
        <v>583</v>
      </c>
      <c r="B330" s="5" t="s">
        <v>584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21"/>
    </row>
    <row r="331" spans="1:62" ht="15.6" x14ac:dyDescent="0.3">
      <c r="A331" s="5" t="s">
        <v>585</v>
      </c>
      <c r="B331" s="5" t="s">
        <v>586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21"/>
    </row>
    <row r="332" spans="1:62" ht="15.6" x14ac:dyDescent="0.3">
      <c r="A332" s="5" t="s">
        <v>587</v>
      </c>
      <c r="B332" s="5" t="s">
        <v>588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21"/>
    </row>
    <row r="333" spans="1:62" ht="15.6" x14ac:dyDescent="0.3">
      <c r="A333" s="5" t="s">
        <v>589</v>
      </c>
      <c r="B333" s="5" t="s">
        <v>590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21"/>
    </row>
    <row r="334" spans="1:62" ht="15.6" x14ac:dyDescent="0.3">
      <c r="A334" s="5" t="s">
        <v>591</v>
      </c>
      <c r="B334" s="5" t="s">
        <v>592</v>
      </c>
      <c r="C334" s="7">
        <v>6</v>
      </c>
      <c r="D334" s="7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21"/>
    </row>
    <row r="335" spans="1:62" ht="15.6" x14ac:dyDescent="0.3">
      <c r="A335" s="5" t="s">
        <v>593</v>
      </c>
      <c r="B335" s="5" t="s">
        <v>594</v>
      </c>
      <c r="C335" s="7">
        <v>6</v>
      </c>
      <c r="D335" s="7">
        <v>6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21"/>
    </row>
    <row r="336" spans="1:62" ht="15.6" x14ac:dyDescent="0.3">
      <c r="A336" s="5" t="s">
        <v>595</v>
      </c>
      <c r="B336" s="5" t="s">
        <v>596</v>
      </c>
      <c r="C336" s="7">
        <v>6</v>
      </c>
      <c r="D336" s="7">
        <v>6</v>
      </c>
      <c r="E336" s="7">
        <v>30759.935000000001</v>
      </c>
      <c r="F336" s="7">
        <v>2623.1120000000001</v>
      </c>
      <c r="G336" s="7">
        <v>3321.0320000000002</v>
      </c>
      <c r="H336" s="7">
        <v>1645.865</v>
      </c>
      <c r="I336" s="7">
        <v>485.15899999999999</v>
      </c>
      <c r="J336" s="7">
        <v>2175.7150000000001</v>
      </c>
      <c r="K336" s="7">
        <v>0</v>
      </c>
      <c r="L336" s="7">
        <v>16275.357</v>
      </c>
      <c r="M336" s="7">
        <v>7730.8869999999997</v>
      </c>
      <c r="N336" s="7">
        <v>0</v>
      </c>
      <c r="O336" s="7">
        <v>4.0000000000000001E-3</v>
      </c>
      <c r="P336" s="7">
        <v>14.847</v>
      </c>
      <c r="Q336" s="7">
        <v>16.587</v>
      </c>
      <c r="R336" s="7">
        <v>49.256</v>
      </c>
      <c r="S336" s="7">
        <v>451.97899999999998</v>
      </c>
      <c r="T336" s="7">
        <v>0</v>
      </c>
      <c r="U336" s="7">
        <v>0</v>
      </c>
      <c r="V336" s="7">
        <v>443.92399999999998</v>
      </c>
      <c r="W336" s="7">
        <v>960.99199999999996</v>
      </c>
      <c r="X336" s="7">
        <v>75.933000000000007</v>
      </c>
      <c r="Y336" s="7">
        <v>7194.3490000000002</v>
      </c>
      <c r="Z336" s="7">
        <v>0</v>
      </c>
      <c r="AA336" s="7">
        <v>5509.8249999999998</v>
      </c>
      <c r="AB336" s="7">
        <v>0.76</v>
      </c>
      <c r="AC336" s="7">
        <v>579.38099999999997</v>
      </c>
      <c r="AD336" s="7">
        <v>39.610999999999997</v>
      </c>
      <c r="AE336" s="7">
        <v>17963.833999999999</v>
      </c>
      <c r="AF336" s="7">
        <v>795.35900000000004</v>
      </c>
      <c r="AG336" s="7">
        <v>146.066</v>
      </c>
      <c r="AH336" s="7">
        <v>53270.42</v>
      </c>
      <c r="AI336" s="7">
        <v>1009.984</v>
      </c>
      <c r="AJ336" s="7">
        <v>2E-3</v>
      </c>
      <c r="AK336" s="7">
        <v>364684.33399999997</v>
      </c>
      <c r="AL336" s="7">
        <v>195966.03899999999</v>
      </c>
      <c r="AM336" s="7">
        <v>0</v>
      </c>
      <c r="AN336" s="7">
        <v>129223.247</v>
      </c>
      <c r="AO336" s="7">
        <v>219.82</v>
      </c>
      <c r="AP336" s="7">
        <v>20.013000000000002</v>
      </c>
      <c r="AQ336" s="7">
        <v>226.23099999999999</v>
      </c>
      <c r="AR336" s="7">
        <v>6.3079999999999998</v>
      </c>
      <c r="AS336" s="7">
        <v>6.95</v>
      </c>
      <c r="AT336" s="7">
        <v>0</v>
      </c>
      <c r="AU336" s="7">
        <v>165.74</v>
      </c>
      <c r="AV336" s="7">
        <v>18.913</v>
      </c>
      <c r="AW336" s="7">
        <v>30.652000000000001</v>
      </c>
      <c r="AX336" s="7">
        <v>89.819000000000003</v>
      </c>
      <c r="AY336" s="7">
        <v>145.49700000000001</v>
      </c>
      <c r="AZ336" s="7">
        <v>267.82299999999998</v>
      </c>
      <c r="BA336" s="7">
        <v>65.453999999999994</v>
      </c>
      <c r="BB336" s="7">
        <v>75.843000000000004</v>
      </c>
      <c r="BC336" s="7">
        <v>95.087999999999994</v>
      </c>
      <c r="BD336" s="7">
        <v>328.09</v>
      </c>
      <c r="BE336" s="7">
        <v>20.213000000000001</v>
      </c>
      <c r="BF336" s="7">
        <v>20.213000000000001</v>
      </c>
      <c r="BG336" s="7">
        <v>111.07</v>
      </c>
      <c r="BH336" s="7">
        <v>0.317</v>
      </c>
      <c r="BI336" s="7">
        <v>31.157</v>
      </c>
      <c r="BJ336" s="21"/>
    </row>
    <row r="337" spans="1:62" ht="15.6" x14ac:dyDescent="0.3">
      <c r="A337" s="5" t="s">
        <v>597</v>
      </c>
      <c r="B337" s="5" t="s">
        <v>598</v>
      </c>
      <c r="C337" s="7">
        <v>6</v>
      </c>
      <c r="D337" s="7">
        <v>6</v>
      </c>
      <c r="E337" s="7">
        <v>-8786.1460000000006</v>
      </c>
      <c r="F337" s="7">
        <v>-1724.65</v>
      </c>
      <c r="G337" s="7">
        <v>-758.67100000000005</v>
      </c>
      <c r="H337" s="7">
        <v>-23074.912</v>
      </c>
      <c r="I337" s="7">
        <v>-274.95800000000003</v>
      </c>
      <c r="J337" s="7">
        <v>-602.60799999999995</v>
      </c>
      <c r="K337" s="7">
        <v>0</v>
      </c>
      <c r="L337" s="7">
        <v>-16398.292000000001</v>
      </c>
      <c r="M337" s="7">
        <v>-2709.0929999999998</v>
      </c>
      <c r="N337" s="7">
        <v>-0.33300000000000002</v>
      </c>
      <c r="O337" s="7">
        <v>-8.6999999999999994E-2</v>
      </c>
      <c r="P337" s="7">
        <v>-67.751000000000005</v>
      </c>
      <c r="Q337" s="7">
        <v>0</v>
      </c>
      <c r="R337" s="7">
        <v>-137.22999999999999</v>
      </c>
      <c r="S337" s="7">
        <v>-19.600000000000001</v>
      </c>
      <c r="T337" s="7">
        <v>0</v>
      </c>
      <c r="U337" s="7">
        <v>0</v>
      </c>
      <c r="V337" s="7">
        <v>-38.311</v>
      </c>
      <c r="W337" s="7">
        <v>-107.221</v>
      </c>
      <c r="X337" s="7">
        <v>-9.923</v>
      </c>
      <c r="Y337" s="7">
        <v>-1087.6610000000001</v>
      </c>
      <c r="Z337" s="7">
        <v>-0.75</v>
      </c>
      <c r="AA337" s="7">
        <v>-986.14400000000001</v>
      </c>
      <c r="AB337" s="7">
        <v>-19.117999999999999</v>
      </c>
      <c r="AC337" s="7">
        <v>-65.489000000000004</v>
      </c>
      <c r="AD337" s="7">
        <v>0</v>
      </c>
      <c r="AE337" s="7">
        <v>-3626.0079999999998</v>
      </c>
      <c r="AF337" s="7">
        <v>-44.08</v>
      </c>
      <c r="AG337" s="7">
        <v>0</v>
      </c>
      <c r="AH337" s="7">
        <v>-23260.184000000001</v>
      </c>
      <c r="AI337" s="7">
        <v>-426.13200000000001</v>
      </c>
      <c r="AJ337" s="7">
        <v>-2.605</v>
      </c>
      <c r="AK337" s="7">
        <v>-20.577999999999999</v>
      </c>
      <c r="AL337" s="7">
        <v>-0.39100000000000001</v>
      </c>
      <c r="AM337" s="7">
        <v>0</v>
      </c>
      <c r="AN337" s="7">
        <v>-57.707999999999998</v>
      </c>
      <c r="AO337" s="7">
        <v>-0.65400000000000003</v>
      </c>
      <c r="AP337" s="7">
        <v>0</v>
      </c>
      <c r="AQ337" s="7">
        <v>-4.8040000000000003</v>
      </c>
      <c r="AR337" s="7">
        <v>0</v>
      </c>
      <c r="AS337" s="7">
        <v>-1.476</v>
      </c>
      <c r="AT337" s="7">
        <v>0</v>
      </c>
      <c r="AU337" s="7">
        <v>-5.5E-2</v>
      </c>
      <c r="AV337" s="7">
        <v>0</v>
      </c>
      <c r="AW337" s="7">
        <v>0</v>
      </c>
      <c r="AX337" s="7">
        <v>-77.543999999999997</v>
      </c>
      <c r="AY337" s="7">
        <v>0</v>
      </c>
      <c r="AZ337" s="7">
        <v>0</v>
      </c>
      <c r="BA337" s="7">
        <v>0</v>
      </c>
      <c r="BB337" s="7">
        <v>-5.1559999999999997</v>
      </c>
      <c r="BC337" s="7">
        <v>0</v>
      </c>
      <c r="BD337" s="7">
        <v>0</v>
      </c>
      <c r="BE337" s="7">
        <v>-0.123</v>
      </c>
      <c r="BF337" s="7">
        <v>-0.123</v>
      </c>
      <c r="BG337" s="7">
        <v>0</v>
      </c>
      <c r="BH337" s="7">
        <v>-76.072999999999993</v>
      </c>
      <c r="BI337" s="7">
        <v>0</v>
      </c>
      <c r="BJ337" s="21"/>
    </row>
    <row r="338" spans="1:62" ht="15.6" x14ac:dyDescent="0.3">
      <c r="A338" s="5" t="s">
        <v>599</v>
      </c>
      <c r="B338" s="5" t="s">
        <v>600</v>
      </c>
      <c r="C338" s="7">
        <v>6</v>
      </c>
      <c r="D338" s="7">
        <v>6</v>
      </c>
      <c r="E338" s="7">
        <v>-903.56200000000001</v>
      </c>
      <c r="F338" s="7">
        <v>-191.131</v>
      </c>
      <c r="G338" s="7">
        <v>-28.248999999999999</v>
      </c>
      <c r="H338" s="7">
        <v>-68.435000000000002</v>
      </c>
      <c r="I338" s="7">
        <v>0</v>
      </c>
      <c r="J338" s="7">
        <v>-27.852</v>
      </c>
      <c r="K338" s="7">
        <v>-1.3480000000000001</v>
      </c>
      <c r="L338" s="7">
        <v>-1387.9469999999999</v>
      </c>
      <c r="M338" s="7">
        <v>-102.498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-109.146</v>
      </c>
      <c r="V338" s="7">
        <v>-12.175000000000001</v>
      </c>
      <c r="W338" s="7">
        <v>-20.748999999999999</v>
      </c>
      <c r="X338" s="7">
        <v>-36.460999999999999</v>
      </c>
      <c r="Y338" s="7">
        <v>-327.24599999999998</v>
      </c>
      <c r="Z338" s="7">
        <v>-6.6589999999999998</v>
      </c>
      <c r="AA338" s="7">
        <v>-85.042000000000002</v>
      </c>
      <c r="AB338" s="7">
        <v>-87.811000000000007</v>
      </c>
      <c r="AC338" s="7">
        <v>-48.923000000000002</v>
      </c>
      <c r="AD338" s="7">
        <v>-8.2810000000000006</v>
      </c>
      <c r="AE338" s="7">
        <v>-854.09799999999996</v>
      </c>
      <c r="AF338" s="7">
        <v>-172.12899999999999</v>
      </c>
      <c r="AG338" s="7">
        <v>-8.7430000000000003</v>
      </c>
      <c r="AH338" s="7">
        <v>-1852.1</v>
      </c>
      <c r="AI338" s="7">
        <v>-116.036</v>
      </c>
      <c r="AJ338" s="7">
        <v>-36.567999999999998</v>
      </c>
      <c r="AK338" s="7">
        <v>-761.71900000000005</v>
      </c>
      <c r="AL338" s="7">
        <v>-467.92</v>
      </c>
      <c r="AM338" s="7">
        <v>-12.143000000000001</v>
      </c>
      <c r="AN338" s="7">
        <v>-1111.027</v>
      </c>
      <c r="AO338" s="7">
        <v>0</v>
      </c>
      <c r="AP338" s="7">
        <v>-7.9969999999999999</v>
      </c>
      <c r="AQ338" s="7">
        <v>-207.31</v>
      </c>
      <c r="AR338" s="7">
        <v>-10.685</v>
      </c>
      <c r="AS338" s="7">
        <v>0</v>
      </c>
      <c r="AT338" s="7">
        <v>0</v>
      </c>
      <c r="AU338" s="7">
        <v>-15.125999999999999</v>
      </c>
      <c r="AV338" s="7">
        <v>-19.135000000000002</v>
      </c>
      <c r="AW338" s="7">
        <v>-38.976999999999997</v>
      </c>
      <c r="AX338" s="7">
        <v>-6.2430000000000003</v>
      </c>
      <c r="AY338" s="7">
        <v>0</v>
      </c>
      <c r="AZ338" s="7">
        <v>-49.628</v>
      </c>
      <c r="BA338" s="7">
        <v>-6.5010000000000003</v>
      </c>
      <c r="BB338" s="7">
        <v>0</v>
      </c>
      <c r="BC338" s="7">
        <v>-5.8579999999999997</v>
      </c>
      <c r="BD338" s="7">
        <v>-10.178000000000001</v>
      </c>
      <c r="BE338" s="7">
        <v>-7.8109999999999999</v>
      </c>
      <c r="BF338" s="7">
        <v>-7.8109999999999999</v>
      </c>
      <c r="BG338" s="7">
        <v>-34.003</v>
      </c>
      <c r="BH338" s="7">
        <v>-145.44999999999999</v>
      </c>
      <c r="BI338" s="7">
        <v>-0.80500000000000005</v>
      </c>
      <c r="BJ338" s="21"/>
    </row>
    <row r="339" spans="1:62" ht="15.6" x14ac:dyDescent="0.3">
      <c r="A339" s="5" t="s">
        <v>601</v>
      </c>
      <c r="B339" s="5" t="s">
        <v>602</v>
      </c>
      <c r="C339" s="7">
        <v>6</v>
      </c>
      <c r="D339" s="7">
        <v>6</v>
      </c>
      <c r="E339" s="7">
        <v>0</v>
      </c>
      <c r="F339" s="7">
        <v>0</v>
      </c>
      <c r="G339" s="7">
        <v>0</v>
      </c>
      <c r="H339" s="7">
        <v>0</v>
      </c>
      <c r="I339" s="7">
        <v>470.71800000000002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21"/>
    </row>
    <row r="340" spans="1:62" ht="15.6" x14ac:dyDescent="0.3">
      <c r="A340" s="5" t="s">
        <v>603</v>
      </c>
      <c r="B340" s="5" t="s">
        <v>604</v>
      </c>
      <c r="C340" s="7">
        <v>6</v>
      </c>
      <c r="D340" s="7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 s="21"/>
    </row>
    <row r="341" spans="1:62" ht="15.6" x14ac:dyDescent="0.3">
      <c r="A341" s="5" t="s">
        <v>605</v>
      </c>
      <c r="B341" s="5" t="s">
        <v>606</v>
      </c>
      <c r="C341" s="5"/>
      <c r="D341" s="5"/>
      <c r="E341">
        <v>9379676.625</v>
      </c>
      <c r="F341">
        <v>1049906.1189999999</v>
      </c>
      <c r="G341">
        <v>1003821.394</v>
      </c>
      <c r="H341">
        <v>1128464.612</v>
      </c>
      <c r="I341">
        <v>136338.75899999999</v>
      </c>
      <c r="J341">
        <v>702094.57299999997</v>
      </c>
      <c r="K341">
        <v>249262.663</v>
      </c>
      <c r="L341">
        <v>10066555.824999999</v>
      </c>
      <c r="M341">
        <v>2973082.2149999999</v>
      </c>
      <c r="N341">
        <v>15514.778</v>
      </c>
      <c r="O341">
        <v>13931.337</v>
      </c>
      <c r="P341">
        <v>19598.699000000001</v>
      </c>
      <c r="Q341">
        <v>13985.877</v>
      </c>
      <c r="R341">
        <v>18540.039000000001</v>
      </c>
      <c r="S341">
        <v>330824.951</v>
      </c>
      <c r="T341">
        <v>1002.583</v>
      </c>
      <c r="U341">
        <v>179898.37400000001</v>
      </c>
      <c r="V341">
        <v>113402.01700000001</v>
      </c>
      <c r="W341">
        <v>248932.139</v>
      </c>
      <c r="X341">
        <v>230291.424</v>
      </c>
      <c r="Y341">
        <v>2509538.6159999999</v>
      </c>
      <c r="Z341">
        <v>106592.29399999999</v>
      </c>
      <c r="AA341">
        <v>1503584.46</v>
      </c>
      <c r="AB341">
        <v>431288.565</v>
      </c>
      <c r="AC341">
        <v>187692.745</v>
      </c>
      <c r="AD341">
        <v>64840.845000000001</v>
      </c>
      <c r="AE341">
        <v>6812102.4019999998</v>
      </c>
      <c r="AF341">
        <v>2234353.7439999999</v>
      </c>
      <c r="AG341">
        <v>312203.26</v>
      </c>
      <c r="AH341">
        <v>20994909.469999999</v>
      </c>
      <c r="AI341">
        <v>3640079.895</v>
      </c>
      <c r="AJ341">
        <v>562800.74600000004</v>
      </c>
      <c r="AK341">
        <v>11342999.199999999</v>
      </c>
      <c r="AL341">
        <v>6088373.7759999996</v>
      </c>
      <c r="AM341">
        <v>45976.283000000003</v>
      </c>
      <c r="AN341">
        <v>4013769.0959999999</v>
      </c>
      <c r="AO341">
        <v>195433.685</v>
      </c>
      <c r="AP341">
        <v>87890.099000000002</v>
      </c>
      <c r="AQ341">
        <v>839353.56099999999</v>
      </c>
      <c r="AR341">
        <v>27151.187999999998</v>
      </c>
      <c r="AS341">
        <v>3808.4340000000002</v>
      </c>
      <c r="AT341">
        <v>0</v>
      </c>
      <c r="AU341">
        <v>82174.395000000004</v>
      </c>
      <c r="AV341">
        <v>80567.074999999997</v>
      </c>
      <c r="AW341">
        <v>133839.26800000001</v>
      </c>
      <c r="AX341">
        <v>271914.96799999999</v>
      </c>
      <c r="AY341">
        <v>63481.468000000001</v>
      </c>
      <c r="AZ341">
        <v>455345.467</v>
      </c>
      <c r="BA341">
        <v>200731.826</v>
      </c>
      <c r="BB341">
        <v>66375.486000000004</v>
      </c>
      <c r="BC341">
        <v>35570.980000000003</v>
      </c>
      <c r="BD341">
        <v>525147.08299999998</v>
      </c>
      <c r="BE341">
        <v>18847.296999999999</v>
      </c>
      <c r="BF341">
        <v>18847.296999999999</v>
      </c>
      <c r="BG341">
        <v>176746.283</v>
      </c>
      <c r="BH341">
        <v>340258.52899999998</v>
      </c>
      <c r="BI341">
        <v>12476.808000000001</v>
      </c>
      <c r="BJ341" s="21"/>
    </row>
    <row r="342" spans="1:62" x14ac:dyDescent="0.25">
      <c r="BJ342" s="21"/>
    </row>
    <row r="343" spans="1:62" ht="15.6" x14ac:dyDescent="0.3">
      <c r="A343" s="5" t="s">
        <v>607</v>
      </c>
      <c r="E343">
        <f t="shared" ref="E343:AW343" si="0">SUM(E8:E340)-E341</f>
        <v>0</v>
      </c>
      <c r="F343">
        <f t="shared" si="0"/>
        <v>0</v>
      </c>
      <c r="G343">
        <f t="shared" si="0"/>
        <v>0</v>
      </c>
      <c r="H343">
        <f t="shared" si="0"/>
        <v>0</v>
      </c>
      <c r="I343">
        <f t="shared" si="0"/>
        <v>0</v>
      </c>
      <c r="J343">
        <f t="shared" si="0"/>
        <v>0</v>
      </c>
      <c r="K343">
        <f t="shared" si="0"/>
        <v>0</v>
      </c>
      <c r="L343">
        <f t="shared" si="0"/>
        <v>0</v>
      </c>
      <c r="M343">
        <f t="shared" si="0"/>
        <v>0</v>
      </c>
      <c r="N343">
        <f t="shared" si="0"/>
        <v>0</v>
      </c>
      <c r="O343">
        <f t="shared" si="0"/>
        <v>0</v>
      </c>
      <c r="P343">
        <f t="shared" si="0"/>
        <v>0</v>
      </c>
      <c r="Q343">
        <f t="shared" si="0"/>
        <v>0</v>
      </c>
      <c r="R343">
        <f t="shared" si="0"/>
        <v>0</v>
      </c>
      <c r="S343">
        <f t="shared" si="0"/>
        <v>0</v>
      </c>
      <c r="T343">
        <f t="shared" si="0"/>
        <v>0</v>
      </c>
      <c r="U343">
        <f t="shared" si="0"/>
        <v>0</v>
      </c>
      <c r="V343">
        <f t="shared" si="0"/>
        <v>0</v>
      </c>
      <c r="W343">
        <f t="shared" si="0"/>
        <v>0</v>
      </c>
      <c r="X343">
        <f t="shared" si="0"/>
        <v>0</v>
      </c>
      <c r="Y343">
        <f t="shared" si="0"/>
        <v>0</v>
      </c>
      <c r="Z343">
        <f t="shared" si="0"/>
        <v>0</v>
      </c>
      <c r="AA343">
        <f t="shared" si="0"/>
        <v>0</v>
      </c>
      <c r="AB343">
        <f t="shared" si="0"/>
        <v>0</v>
      </c>
      <c r="AC343">
        <f t="shared" si="0"/>
        <v>0</v>
      </c>
      <c r="AD343">
        <f t="shared" si="0"/>
        <v>0</v>
      </c>
      <c r="AE343">
        <f t="shared" si="0"/>
        <v>0</v>
      </c>
      <c r="AF343">
        <f t="shared" si="0"/>
        <v>0</v>
      </c>
      <c r="AG343">
        <f t="shared" si="0"/>
        <v>0</v>
      </c>
      <c r="AH343">
        <f t="shared" si="0"/>
        <v>0</v>
      </c>
      <c r="AI343">
        <f t="shared" si="0"/>
        <v>0</v>
      </c>
      <c r="AJ343">
        <f t="shared" si="0"/>
        <v>0</v>
      </c>
      <c r="AK343">
        <f t="shared" si="0"/>
        <v>0</v>
      </c>
      <c r="AL343">
        <f t="shared" si="0"/>
        <v>0</v>
      </c>
      <c r="AM343">
        <f>SUM(AM8:AM340)-AM341</f>
        <v>0</v>
      </c>
      <c r="AN343">
        <f>SUM(AN8:AN340)-AN341</f>
        <v>0</v>
      </c>
      <c r="AO343">
        <f>SUM(AO8:AO340)-AO341</f>
        <v>0</v>
      </c>
      <c r="AP343">
        <f t="shared" si="0"/>
        <v>0</v>
      </c>
      <c r="AQ343">
        <f t="shared" si="0"/>
        <v>0</v>
      </c>
      <c r="AR343">
        <f t="shared" si="0"/>
        <v>0</v>
      </c>
      <c r="AS343">
        <f t="shared" si="0"/>
        <v>0</v>
      </c>
      <c r="AT343">
        <f t="shared" si="0"/>
        <v>0</v>
      </c>
      <c r="AU343">
        <f t="shared" si="0"/>
        <v>0</v>
      </c>
      <c r="AV343">
        <f t="shared" si="0"/>
        <v>0</v>
      </c>
      <c r="AW343">
        <f t="shared" si="0"/>
        <v>0</v>
      </c>
      <c r="AX343">
        <f>SUM(AX8:AX340)-AX341</f>
        <v>0</v>
      </c>
      <c r="AY343">
        <f t="shared" ref="AY343:BI343" si="1">SUM(AY8:AY340)-AY341</f>
        <v>0</v>
      </c>
      <c r="AZ343">
        <f t="shared" si="1"/>
        <v>0</v>
      </c>
      <c r="BA343">
        <f t="shared" si="1"/>
        <v>0</v>
      </c>
      <c r="BB343">
        <f t="shared" si="1"/>
        <v>0</v>
      </c>
      <c r="BC343">
        <f t="shared" si="1"/>
        <v>0</v>
      </c>
      <c r="BD343">
        <f t="shared" si="1"/>
        <v>0</v>
      </c>
      <c r="BE343">
        <f t="shared" si="1"/>
        <v>0</v>
      </c>
      <c r="BF343">
        <f t="shared" si="1"/>
        <v>0</v>
      </c>
      <c r="BG343">
        <f t="shared" si="1"/>
        <v>0</v>
      </c>
      <c r="BH343">
        <f t="shared" si="1"/>
        <v>0</v>
      </c>
      <c r="BI343">
        <f t="shared" si="1"/>
        <v>0</v>
      </c>
      <c r="BJ343" s="21"/>
    </row>
    <row r="344" spans="1:62" x14ac:dyDescent="0.25">
      <c r="BJ344" s="21"/>
    </row>
    <row r="345" spans="1:62" x14ac:dyDescent="0.25">
      <c r="A345" t="s">
        <v>608</v>
      </c>
      <c r="D345">
        <v>1</v>
      </c>
      <c r="E345" s="16">
        <f t="shared" ref="E345:AW345" si="2">SUMIF($D$7:$D$339,$D$345,E7:E339)</f>
        <v>1036451.871</v>
      </c>
      <c r="F345" s="16">
        <f t="shared" si="2"/>
        <v>175472.12299999999</v>
      </c>
      <c r="G345" s="16">
        <f t="shared" si="2"/>
        <v>55350.875</v>
      </c>
      <c r="H345" s="16">
        <f t="shared" si="2"/>
        <v>17173.253000000001</v>
      </c>
      <c r="I345" s="16">
        <f t="shared" si="2"/>
        <v>11002.418</v>
      </c>
      <c r="J345" s="16">
        <f t="shared" si="2"/>
        <v>36987.637000000002</v>
      </c>
      <c r="K345" s="16">
        <f t="shared" si="2"/>
        <v>366.13400000000001</v>
      </c>
      <c r="L345" s="16">
        <f t="shared" si="2"/>
        <v>1825237.97</v>
      </c>
      <c r="M345" s="16">
        <f t="shared" si="2"/>
        <v>181390.59799999997</v>
      </c>
      <c r="N345" s="16">
        <f>SUMIF($D$7:$D$339,$D$345,N7:N339)</f>
        <v>70.259</v>
      </c>
      <c r="O345" s="16">
        <f t="shared" si="2"/>
        <v>11248.366</v>
      </c>
      <c r="P345" s="16">
        <f t="shared" si="2"/>
        <v>629.92099999999994</v>
      </c>
      <c r="Q345" s="16">
        <f t="shared" si="2"/>
        <v>6545.799</v>
      </c>
      <c r="R345" s="16">
        <f t="shared" si="2"/>
        <v>2492.2449999999994</v>
      </c>
      <c r="S345" s="16">
        <f t="shared" si="2"/>
        <v>57133.07</v>
      </c>
      <c r="T345" s="16">
        <f t="shared" si="2"/>
        <v>32.387999999999998</v>
      </c>
      <c r="U345" s="16">
        <f t="shared" si="2"/>
        <v>224.92599999999993</v>
      </c>
      <c r="V345" s="16">
        <f t="shared" si="2"/>
        <v>6053.7560000000003</v>
      </c>
      <c r="W345" s="16">
        <f t="shared" si="2"/>
        <v>25900.376</v>
      </c>
      <c r="X345" s="16">
        <f t="shared" si="2"/>
        <v>49310.766000000003</v>
      </c>
      <c r="Y345" s="16">
        <f t="shared" si="2"/>
        <v>427788.05700000003</v>
      </c>
      <c r="Z345" s="16">
        <f t="shared" si="2"/>
        <v>61891.985000000001</v>
      </c>
      <c r="AA345" s="16">
        <f t="shared" si="2"/>
        <v>100717.989</v>
      </c>
      <c r="AB345" s="16">
        <f t="shared" si="2"/>
        <v>347277.41499999998</v>
      </c>
      <c r="AC345" s="16">
        <f t="shared" si="2"/>
        <v>32343.584999999999</v>
      </c>
      <c r="AD345" s="16">
        <f t="shared" si="2"/>
        <v>20018.273999999998</v>
      </c>
      <c r="AE345" s="16">
        <f t="shared" si="2"/>
        <v>1184080.3019999997</v>
      </c>
      <c r="AF345" s="16">
        <f t="shared" si="2"/>
        <v>692306.598</v>
      </c>
      <c r="AG345" s="16">
        <f t="shared" si="2"/>
        <v>113840.503</v>
      </c>
      <c r="AH345" s="16">
        <f t="shared" si="2"/>
        <v>3276641.196</v>
      </c>
      <c r="AI345" s="16">
        <f t="shared" si="2"/>
        <v>1036008.4659999999</v>
      </c>
      <c r="AJ345" s="16">
        <f t="shared" si="2"/>
        <v>315911.43099999998</v>
      </c>
      <c r="AK345" s="16">
        <f t="shared" si="2"/>
        <v>7718251.1519999998</v>
      </c>
      <c r="AL345" s="16">
        <f t="shared" si="2"/>
        <v>4140747.8340000003</v>
      </c>
      <c r="AM345" s="16">
        <f>SUMIF($D$7:$D$339,$D$345,AM7:AM339)</f>
        <v>412.40200000000004</v>
      </c>
      <c r="AN345" s="16">
        <f>SUMIF($D$7:$D$339,$D$345,AN7:AN339)</f>
        <v>2730319.8149999999</v>
      </c>
      <c r="AO345" s="16">
        <f>SUMIF($D$7:$D$339,$D$345,AO7:AO339)</f>
        <v>37668.283000000003</v>
      </c>
      <c r="AP345" s="16">
        <f t="shared" si="2"/>
        <v>8976.4830000000002</v>
      </c>
      <c r="AQ345" s="16">
        <f t="shared" si="2"/>
        <v>258950.13400000002</v>
      </c>
      <c r="AR345" s="16">
        <f t="shared" si="2"/>
        <v>2683.45</v>
      </c>
      <c r="AS345" s="16">
        <f t="shared" si="2"/>
        <v>630.15700000000004</v>
      </c>
      <c r="AT345" s="16">
        <f t="shared" si="2"/>
        <v>0</v>
      </c>
      <c r="AU345" s="16">
        <f t="shared" si="2"/>
        <v>13703.734</v>
      </c>
      <c r="AV345" s="16">
        <f t="shared" si="2"/>
        <v>7936.857</v>
      </c>
      <c r="AW345" s="16">
        <f t="shared" si="2"/>
        <v>14776.742999999999</v>
      </c>
      <c r="AX345" s="16">
        <f>SUMIF($D$7:$D$339,$D$345,AX7:AX339)</f>
        <v>58363.512999999999</v>
      </c>
      <c r="AY345" s="16">
        <f t="shared" ref="AY345:BI345" si="3">SUMIF($D$7:$D$339,$D$345,AY7:AY339)</f>
        <v>3883.317</v>
      </c>
      <c r="AZ345" s="16">
        <f t="shared" si="3"/>
        <v>28584.128000000001</v>
      </c>
      <c r="BA345" s="16">
        <f t="shared" si="3"/>
        <v>44569.290000000008</v>
      </c>
      <c r="BB345" s="16">
        <f t="shared" si="3"/>
        <v>12786.511</v>
      </c>
      <c r="BC345" s="16">
        <f t="shared" si="3"/>
        <v>975.53100000000006</v>
      </c>
      <c r="BD345" s="16">
        <f t="shared" si="3"/>
        <v>28317.858</v>
      </c>
      <c r="BE345" s="16">
        <f t="shared" si="3"/>
        <v>4111.4219999999996</v>
      </c>
      <c r="BF345" s="16">
        <f t="shared" si="3"/>
        <v>4111.4219999999996</v>
      </c>
      <c r="BG345" s="16">
        <f t="shared" si="3"/>
        <v>8667.0119999999988</v>
      </c>
      <c r="BH345" s="16">
        <f t="shared" si="3"/>
        <v>197190.88400000002</v>
      </c>
      <c r="BI345" s="16">
        <f t="shared" si="3"/>
        <v>1147.269</v>
      </c>
      <c r="BJ345" s="21"/>
    </row>
    <row r="346" spans="1:62" x14ac:dyDescent="0.25">
      <c r="A346" t="s">
        <v>609</v>
      </c>
      <c r="D346">
        <v>2</v>
      </c>
      <c r="E346" s="16">
        <f t="shared" ref="E346:AW346" si="4">SUMIF($D$7:$D$339,$D$346,E7:E339)</f>
        <v>2096226.53</v>
      </c>
      <c r="F346" s="16">
        <f t="shared" si="4"/>
        <v>186415.97600000002</v>
      </c>
      <c r="G346" s="16">
        <f t="shared" si="4"/>
        <v>349747.87599999999</v>
      </c>
      <c r="H346" s="16">
        <f t="shared" si="4"/>
        <v>0</v>
      </c>
      <c r="I346" s="16">
        <f t="shared" si="4"/>
        <v>50676.309000000001</v>
      </c>
      <c r="J346" s="16">
        <f t="shared" si="4"/>
        <v>235246.77599999998</v>
      </c>
      <c r="K346" s="16">
        <f t="shared" si="4"/>
        <v>181381.97700000001</v>
      </c>
      <c r="L346" s="16">
        <f t="shared" si="4"/>
        <v>927282.36400000006</v>
      </c>
      <c r="M346" s="16">
        <f t="shared" si="4"/>
        <v>627350.804</v>
      </c>
      <c r="N346" s="16">
        <f>SUMIF($D$7:$D$339,$D$346,N7:N339)</f>
        <v>12536.582</v>
      </c>
      <c r="O346" s="16">
        <f t="shared" si="4"/>
        <v>122.163</v>
      </c>
      <c r="P346" s="16">
        <f t="shared" si="4"/>
        <v>15857.567999999999</v>
      </c>
      <c r="Q346" s="16">
        <f t="shared" si="4"/>
        <v>2180.5740000000001</v>
      </c>
      <c r="R346" s="16">
        <f t="shared" si="4"/>
        <v>3477.0989999999997</v>
      </c>
      <c r="S346" s="16">
        <f t="shared" si="4"/>
        <v>55896.021999999997</v>
      </c>
      <c r="T346" s="16">
        <f t="shared" si="4"/>
        <v>970.19500000000005</v>
      </c>
      <c r="U346" s="16">
        <f t="shared" si="4"/>
        <v>139853.739</v>
      </c>
      <c r="V346" s="16">
        <f t="shared" si="4"/>
        <v>30192.550999999999</v>
      </c>
      <c r="W346" s="16">
        <f t="shared" si="4"/>
        <v>53952.040999999997</v>
      </c>
      <c r="X346" s="16">
        <f t="shared" si="4"/>
        <v>1397.569</v>
      </c>
      <c r="Y346" s="16">
        <f t="shared" si="4"/>
        <v>444431.10399999999</v>
      </c>
      <c r="Z346" s="16">
        <f t="shared" si="4"/>
        <v>367.85599999999999</v>
      </c>
      <c r="AA346" s="16">
        <f t="shared" si="4"/>
        <v>527170.46799999999</v>
      </c>
      <c r="AB346" s="16">
        <f t="shared" si="4"/>
        <v>2773.0549999999998</v>
      </c>
      <c r="AC346" s="16">
        <f t="shared" si="4"/>
        <v>27931.647999999997</v>
      </c>
      <c r="AD346" s="16">
        <f t="shared" si="4"/>
        <v>10928.909</v>
      </c>
      <c r="AE346" s="16">
        <f t="shared" si="4"/>
        <v>1118812.0010000002</v>
      </c>
      <c r="AF346" s="16">
        <f t="shared" si="4"/>
        <v>139347.239</v>
      </c>
      <c r="AG346" s="16">
        <f t="shared" si="4"/>
        <v>40867.262999999992</v>
      </c>
      <c r="AH346" s="16">
        <f t="shared" si="4"/>
        <v>2821836.3759999997</v>
      </c>
      <c r="AI346" s="16">
        <f t="shared" si="4"/>
        <v>209792.55000000002</v>
      </c>
      <c r="AJ346" s="16">
        <f t="shared" si="4"/>
        <v>1758.348</v>
      </c>
      <c r="AK346" s="16">
        <f t="shared" si="4"/>
        <v>784593.62</v>
      </c>
      <c r="AL346" s="16">
        <f t="shared" si="4"/>
        <v>421587.45299999998</v>
      </c>
      <c r="AM346" s="16">
        <f>SUMIF($D$7:$D$339,$D$346,AM7:AM339)</f>
        <v>35438.856</v>
      </c>
      <c r="AN346" s="16">
        <f>SUMIF($D$7:$D$339,$D$346,AN7:AN339)</f>
        <v>277996.14600000001</v>
      </c>
      <c r="AO346" s="16">
        <f>SUMIF($D$7:$D$339,$D$346,AO7:AO339)</f>
        <v>33296.373</v>
      </c>
      <c r="AP346" s="16">
        <f t="shared" si="4"/>
        <v>0</v>
      </c>
      <c r="AQ346" s="16">
        <f t="shared" si="4"/>
        <v>53331.82</v>
      </c>
      <c r="AR346" s="16">
        <f t="shared" si="4"/>
        <v>0</v>
      </c>
      <c r="AS346" s="16">
        <f t="shared" si="4"/>
        <v>1299.03</v>
      </c>
      <c r="AT346" s="16">
        <f t="shared" si="4"/>
        <v>0</v>
      </c>
      <c r="AU346" s="16">
        <f t="shared" si="4"/>
        <v>30750.371999999999</v>
      </c>
      <c r="AV346" s="16">
        <f t="shared" si="4"/>
        <v>0</v>
      </c>
      <c r="AW346" s="16">
        <f t="shared" si="4"/>
        <v>0</v>
      </c>
      <c r="AX346" s="16">
        <f>SUMIF($D$7:$D$339,$D$346,AX7:AX339)</f>
        <v>1649.309</v>
      </c>
      <c r="AY346" s="16">
        <f t="shared" ref="AY346:BI346" si="5">SUMIF($D$7:$D$339,$D$346,AY7:AY339)</f>
        <v>15901.242000000002</v>
      </c>
      <c r="AZ346" s="16">
        <f t="shared" si="5"/>
        <v>1086.222</v>
      </c>
      <c r="BA346" s="16">
        <f t="shared" si="5"/>
        <v>1205.759</v>
      </c>
      <c r="BB346" s="16">
        <f t="shared" si="5"/>
        <v>11675.688999999998</v>
      </c>
      <c r="BC346" s="16">
        <f t="shared" si="5"/>
        <v>10085.961000000001</v>
      </c>
      <c r="BD346" s="16">
        <f t="shared" si="5"/>
        <v>1330.6510000000001</v>
      </c>
      <c r="BE346" s="16">
        <f t="shared" si="5"/>
        <v>3123.4839999999999</v>
      </c>
      <c r="BF346" s="16">
        <f t="shared" si="5"/>
        <v>3123.4839999999999</v>
      </c>
      <c r="BG346" s="16">
        <f t="shared" si="5"/>
        <v>450.47</v>
      </c>
      <c r="BH346" s="16">
        <f t="shared" si="5"/>
        <v>13719.212</v>
      </c>
      <c r="BI346" s="16">
        <f t="shared" si="5"/>
        <v>2999.6550000000002</v>
      </c>
      <c r="BJ346" s="21"/>
    </row>
    <row r="347" spans="1:62" x14ac:dyDescent="0.25">
      <c r="A347" t="s">
        <v>610</v>
      </c>
      <c r="D347">
        <v>3</v>
      </c>
      <c r="E347" s="16">
        <f t="shared" ref="E347:AW347" si="6">SUMIF($D$7:$D$339,$D$347,E7:E339)</f>
        <v>1936515.6120000004</v>
      </c>
      <c r="F347" s="16">
        <f t="shared" si="6"/>
        <v>279106.85500000004</v>
      </c>
      <c r="G347" s="16">
        <f t="shared" si="6"/>
        <v>445190.0070000001</v>
      </c>
      <c r="H347" s="16">
        <f t="shared" si="6"/>
        <v>56586.148000000001</v>
      </c>
      <c r="I347" s="16">
        <f t="shared" si="6"/>
        <v>42565.132999999994</v>
      </c>
      <c r="J347" s="16">
        <f t="shared" si="6"/>
        <v>305295.571</v>
      </c>
      <c r="K347" s="16">
        <f t="shared" si="6"/>
        <v>38911.379999999997</v>
      </c>
      <c r="L347" s="16">
        <f t="shared" si="6"/>
        <v>950868.55100000021</v>
      </c>
      <c r="M347" s="16">
        <f t="shared" si="6"/>
        <v>1006712.8329999998</v>
      </c>
      <c r="N347" s="16">
        <f>SUMIF($D$7:$D$339,$D$347,N7:N339)</f>
        <v>2908.27</v>
      </c>
      <c r="O347" s="16">
        <f t="shared" si="6"/>
        <v>0</v>
      </c>
      <c r="P347" s="16">
        <f t="shared" si="6"/>
        <v>50.622000000000007</v>
      </c>
      <c r="Q347" s="16">
        <f t="shared" si="6"/>
        <v>3963.8910000000005</v>
      </c>
      <c r="R347" s="16">
        <f t="shared" si="6"/>
        <v>11511.109999999999</v>
      </c>
      <c r="S347" s="16">
        <f t="shared" si="6"/>
        <v>112409.539</v>
      </c>
      <c r="T347" s="16">
        <f t="shared" si="6"/>
        <v>0</v>
      </c>
      <c r="U347" s="16">
        <f t="shared" si="6"/>
        <v>30002.44</v>
      </c>
      <c r="V347" s="16">
        <f t="shared" si="6"/>
        <v>57214.764999999992</v>
      </c>
      <c r="W347" s="16">
        <f t="shared" si="6"/>
        <v>87939.974000000017</v>
      </c>
      <c r="X347" s="16">
        <f t="shared" si="6"/>
        <v>0</v>
      </c>
      <c r="Y347" s="16">
        <f t="shared" si="6"/>
        <v>348364.277</v>
      </c>
      <c r="Z347" s="16">
        <f t="shared" si="6"/>
        <v>7086.4080000000004</v>
      </c>
      <c r="AA347" s="16">
        <f t="shared" si="6"/>
        <v>703058.91599999997</v>
      </c>
      <c r="AB347" s="16">
        <f t="shared" si="6"/>
        <v>0</v>
      </c>
      <c r="AC347" s="16">
        <f t="shared" si="6"/>
        <v>50534.919999999991</v>
      </c>
      <c r="AD347" s="16">
        <f t="shared" si="6"/>
        <v>13697.501999999999</v>
      </c>
      <c r="AE347" s="16">
        <f t="shared" si="6"/>
        <v>777915.68799999997</v>
      </c>
      <c r="AF347" s="16">
        <f t="shared" si="6"/>
        <v>42335.921000000002</v>
      </c>
      <c r="AG347" s="16">
        <f t="shared" si="6"/>
        <v>54816.938000000002</v>
      </c>
      <c r="AH347" s="16">
        <f t="shared" si="6"/>
        <v>2346560.4519999996</v>
      </c>
      <c r="AI347" s="16">
        <f t="shared" si="6"/>
        <v>69533.603000000003</v>
      </c>
      <c r="AJ347" s="16">
        <f t="shared" si="6"/>
        <v>36866.192000000003</v>
      </c>
      <c r="AK347" s="16">
        <f t="shared" si="6"/>
        <v>0</v>
      </c>
      <c r="AL347" s="16">
        <f t="shared" si="6"/>
        <v>0</v>
      </c>
      <c r="AM347" s="16">
        <f>SUMIF($D$7:$D$339,$D$347,AM7:AM339)</f>
        <v>7602.6009999999987</v>
      </c>
      <c r="AN347" s="16">
        <f>SUMIF($D$7:$D$339,$D$347,AN7:AN339)</f>
        <v>0</v>
      </c>
      <c r="AO347" s="16">
        <f>SUMIF($D$7:$D$339,$D$347,AO7:AO339)</f>
        <v>58950.107999999993</v>
      </c>
      <c r="AP347" s="16">
        <f t="shared" si="6"/>
        <v>0</v>
      </c>
      <c r="AQ347" s="16">
        <f t="shared" si="6"/>
        <v>15950.904999999999</v>
      </c>
      <c r="AR347" s="16">
        <f t="shared" si="6"/>
        <v>0</v>
      </c>
      <c r="AS347" s="16">
        <f t="shared" si="6"/>
        <v>846.3449999999998</v>
      </c>
      <c r="AT347" s="16">
        <f t="shared" si="6"/>
        <v>0</v>
      </c>
      <c r="AU347" s="16">
        <f t="shared" si="6"/>
        <v>25204.024000000005</v>
      </c>
      <c r="AV347" s="16">
        <f t="shared" si="6"/>
        <v>0</v>
      </c>
      <c r="AW347" s="16">
        <f t="shared" si="6"/>
        <v>0</v>
      </c>
      <c r="AX347" s="16">
        <f>SUMIF($D$7:$D$339,$D$347,AX7:AX339)</f>
        <v>0</v>
      </c>
      <c r="AY347" s="16">
        <f t="shared" ref="AY347:BI347" si="7">SUMIF($D$7:$D$339,$D$347,AY7:AY339)</f>
        <v>29555.194000000003</v>
      </c>
      <c r="AZ347" s="16">
        <f t="shared" si="7"/>
        <v>19108.422999999999</v>
      </c>
      <c r="BA347" s="16">
        <f t="shared" si="7"/>
        <v>0</v>
      </c>
      <c r="BB347" s="16">
        <f t="shared" si="7"/>
        <v>19852.700000000004</v>
      </c>
      <c r="BC347" s="16">
        <f t="shared" si="7"/>
        <v>22934.827999999994</v>
      </c>
      <c r="BD347" s="16">
        <f t="shared" si="7"/>
        <v>23408.343000000001</v>
      </c>
      <c r="BE347" s="16">
        <f t="shared" si="7"/>
        <v>5526.1349999999993</v>
      </c>
      <c r="BF347" s="16">
        <f t="shared" si="7"/>
        <v>5526.1349999999993</v>
      </c>
      <c r="BG347" s="16">
        <f t="shared" si="7"/>
        <v>7924.5069999999996</v>
      </c>
      <c r="BH347" s="16">
        <f t="shared" si="7"/>
        <v>36287.362000000001</v>
      </c>
      <c r="BI347" s="16">
        <f t="shared" si="7"/>
        <v>7806.1220000000003</v>
      </c>
      <c r="BJ347" s="21"/>
    </row>
    <row r="348" spans="1:62" x14ac:dyDescent="0.25">
      <c r="A348" t="s">
        <v>611</v>
      </c>
      <c r="B348">
        <v>7</v>
      </c>
      <c r="D348">
        <v>4</v>
      </c>
      <c r="E348" s="16">
        <f t="shared" ref="E348:AW348" si="8">SUMIF($D$7:$D$339,$D$348,E7:E339)</f>
        <v>1521513.3530000004</v>
      </c>
      <c r="F348" s="16">
        <f t="shared" si="8"/>
        <v>305146.32199999999</v>
      </c>
      <c r="G348" s="16">
        <f t="shared" si="8"/>
        <v>453.90100000000001</v>
      </c>
      <c r="H348" s="16">
        <f t="shared" si="8"/>
        <v>47590.537000000004</v>
      </c>
      <c r="I348" s="16">
        <f t="shared" si="8"/>
        <v>9288.2080000000024</v>
      </c>
      <c r="J348" s="16">
        <f t="shared" si="8"/>
        <v>266.02699999999999</v>
      </c>
      <c r="K348" s="16">
        <f t="shared" si="8"/>
        <v>0</v>
      </c>
      <c r="L348" s="16">
        <f t="shared" si="8"/>
        <v>3625931.6769999987</v>
      </c>
      <c r="M348" s="16">
        <f t="shared" si="8"/>
        <v>166128.40400000001</v>
      </c>
      <c r="N348" s="16">
        <f>SUMIF($D$7:$D$339,$D$348,N7:N339)</f>
        <v>0</v>
      </c>
      <c r="O348" s="16">
        <f t="shared" si="8"/>
        <v>2418.1889999999999</v>
      </c>
      <c r="P348" s="16">
        <f t="shared" si="8"/>
        <v>34.853999999999992</v>
      </c>
      <c r="Q348" s="16">
        <f t="shared" si="8"/>
        <v>995.18200000000002</v>
      </c>
      <c r="R348" s="16">
        <f t="shared" si="8"/>
        <v>93.739000000000004</v>
      </c>
      <c r="S348" s="16">
        <f t="shared" si="8"/>
        <v>96238.180999999997</v>
      </c>
      <c r="T348" s="16">
        <f t="shared" si="8"/>
        <v>0</v>
      </c>
      <c r="U348" s="16">
        <f t="shared" si="8"/>
        <v>0</v>
      </c>
      <c r="V348" s="16">
        <f t="shared" si="8"/>
        <v>61.878999999999998</v>
      </c>
      <c r="W348" s="16">
        <f t="shared" si="8"/>
        <v>31923.921000000006</v>
      </c>
      <c r="X348" s="16">
        <f t="shared" si="8"/>
        <v>180984.11199999999</v>
      </c>
      <c r="Y348" s="16">
        <f t="shared" si="8"/>
        <v>746797.63900000008</v>
      </c>
      <c r="Z348" s="16">
        <f t="shared" si="8"/>
        <v>37113.206999999995</v>
      </c>
      <c r="AA348" s="16">
        <f t="shared" si="8"/>
        <v>702.22900000000004</v>
      </c>
      <c r="AB348" s="16">
        <f t="shared" si="8"/>
        <v>71233.333000000013</v>
      </c>
      <c r="AC348" s="16">
        <f t="shared" si="8"/>
        <v>58087.224000000002</v>
      </c>
      <c r="AD348" s="16">
        <f t="shared" si="8"/>
        <v>20083.996000000003</v>
      </c>
      <c r="AE348" s="16">
        <f t="shared" si="8"/>
        <v>1879302.9669999995</v>
      </c>
      <c r="AF348" s="16">
        <f t="shared" si="8"/>
        <v>1347662.8859999995</v>
      </c>
      <c r="AG348" s="16">
        <f t="shared" si="8"/>
        <v>90290.010999999999</v>
      </c>
      <c r="AH348" s="16">
        <f t="shared" si="8"/>
        <v>6222187.1359999999</v>
      </c>
      <c r="AI348" s="16">
        <f t="shared" si="8"/>
        <v>2155473.8469999996</v>
      </c>
      <c r="AJ348" s="16">
        <f t="shared" si="8"/>
        <v>207663.86600000001</v>
      </c>
      <c r="AK348" s="16">
        <f t="shared" si="8"/>
        <v>2381515.4940000004</v>
      </c>
      <c r="AL348" s="16">
        <f t="shared" si="8"/>
        <v>1279665.0710000002</v>
      </c>
      <c r="AM348" s="16">
        <f>SUMIF($D$7:$D$339,$D$348,AM7:AM339)</f>
        <v>0</v>
      </c>
      <c r="AN348" s="16">
        <f>SUMIF($D$7:$D$339,$D$348,AN7:AN339)</f>
        <v>843815.33600000001</v>
      </c>
      <c r="AO348" s="16">
        <f>SUMIF($D$7:$D$339,$D$348,AO7:AO339)</f>
        <v>62889.358000000007</v>
      </c>
      <c r="AP348" s="16">
        <f t="shared" si="8"/>
        <v>78901.600000000006</v>
      </c>
      <c r="AQ348" s="16">
        <f t="shared" si="8"/>
        <v>512036.43500000006</v>
      </c>
      <c r="AR348" s="16">
        <f t="shared" si="8"/>
        <v>24472.115000000002</v>
      </c>
      <c r="AS348" s="16">
        <f t="shared" si="8"/>
        <v>970.02800000000013</v>
      </c>
      <c r="AT348" s="16">
        <f t="shared" si="8"/>
        <v>0</v>
      </c>
      <c r="AU348" s="16">
        <f t="shared" si="8"/>
        <v>10881.048000000001</v>
      </c>
      <c r="AV348" s="16">
        <f t="shared" si="8"/>
        <v>72630.44</v>
      </c>
      <c r="AW348" s="16">
        <f t="shared" si="8"/>
        <v>119070.85</v>
      </c>
      <c r="AX348" s="16">
        <f>SUMIF($D$7:$D$339,$D$348,AX7:AX339)</f>
        <v>213584.372</v>
      </c>
      <c r="AY348" s="16">
        <f t="shared" ref="AY348:BI348" si="9">SUMIF($D$7:$D$339,$D$348,AY7:AY339)</f>
        <v>11409.629999999997</v>
      </c>
      <c r="AZ348" s="16">
        <f t="shared" si="9"/>
        <v>381169.9150000001</v>
      </c>
      <c r="BA348" s="16">
        <f t="shared" si="9"/>
        <v>156144.86800000002</v>
      </c>
      <c r="BB348" s="16">
        <f t="shared" si="9"/>
        <v>21227.407999999999</v>
      </c>
      <c r="BC348" s="16">
        <f t="shared" si="9"/>
        <v>26.790999999999997</v>
      </c>
      <c r="BD348" s="16">
        <f t="shared" si="9"/>
        <v>440771.07899999997</v>
      </c>
      <c r="BE348" s="16">
        <f t="shared" si="9"/>
        <v>5881.9419999999982</v>
      </c>
      <c r="BF348" s="16">
        <f t="shared" si="9"/>
        <v>5881.9419999999982</v>
      </c>
      <c r="BG348" s="16">
        <f t="shared" si="9"/>
        <v>149215.777</v>
      </c>
      <c r="BH348" s="16">
        <f t="shared" si="9"/>
        <v>92776.664000000004</v>
      </c>
      <c r="BI348" s="16">
        <f t="shared" si="9"/>
        <v>9.3940000000000001</v>
      </c>
      <c r="BJ348" s="21"/>
    </row>
    <row r="349" spans="1:62" x14ac:dyDescent="0.25">
      <c r="A349" t="s">
        <v>612</v>
      </c>
      <c r="D349">
        <v>5</v>
      </c>
      <c r="E349" s="16">
        <f t="shared" ref="E349:AW349" si="10">SUMIF($D$7:$D$339,$D$349,E7:E339)</f>
        <v>693886.21200000006</v>
      </c>
      <c r="F349" s="16">
        <f t="shared" si="10"/>
        <v>26469.338</v>
      </c>
      <c r="G349" s="16">
        <f t="shared" si="10"/>
        <v>75324.492999999988</v>
      </c>
      <c r="H349" s="16">
        <f t="shared" si="10"/>
        <v>992834.45899999992</v>
      </c>
      <c r="I349" s="16">
        <f t="shared" si="10"/>
        <v>10565.415999999999</v>
      </c>
      <c r="J349" s="16">
        <f t="shared" si="10"/>
        <v>72751.113999999987</v>
      </c>
      <c r="K349" s="16">
        <f t="shared" si="10"/>
        <v>19047.13</v>
      </c>
      <c r="L349" s="16">
        <f t="shared" si="10"/>
        <v>355374.59600000002</v>
      </c>
      <c r="M349" s="16">
        <f t="shared" si="10"/>
        <v>381146.18599999993</v>
      </c>
      <c r="N349" s="16">
        <f>SUMIF($D$7:$D$339,$D$349,N7:N339)</f>
        <v>0</v>
      </c>
      <c r="O349" s="16">
        <f t="shared" si="10"/>
        <v>0</v>
      </c>
      <c r="P349" s="16">
        <f t="shared" si="10"/>
        <v>1777.4739999999999</v>
      </c>
      <c r="Q349" s="16">
        <f t="shared" si="10"/>
        <v>0</v>
      </c>
      <c r="R349" s="16">
        <f t="shared" si="10"/>
        <v>39.42</v>
      </c>
      <c r="S349" s="16">
        <f t="shared" si="10"/>
        <v>-6240.8630000000003</v>
      </c>
      <c r="T349" s="16">
        <f t="shared" si="10"/>
        <v>0</v>
      </c>
      <c r="U349" s="16">
        <f t="shared" si="10"/>
        <v>2557.2339999999999</v>
      </c>
      <c r="V349" s="16">
        <f t="shared" si="10"/>
        <v>11481.303</v>
      </c>
      <c r="W349" s="16">
        <f t="shared" si="10"/>
        <v>28736.48799999999</v>
      </c>
      <c r="X349" s="16">
        <f t="shared" si="10"/>
        <v>0</v>
      </c>
      <c r="Y349" s="16">
        <f t="shared" si="10"/>
        <v>152886.114</v>
      </c>
      <c r="Z349" s="16">
        <f t="shared" si="10"/>
        <v>0</v>
      </c>
      <c r="AA349" s="16">
        <f t="shared" si="10"/>
        <v>58437.691999999995</v>
      </c>
      <c r="AB349" s="16">
        <f t="shared" si="10"/>
        <v>0</v>
      </c>
      <c r="AC349" s="16">
        <f t="shared" si="10"/>
        <v>6193.9340000000002</v>
      </c>
      <c r="AD349" s="16">
        <f t="shared" si="10"/>
        <v>0</v>
      </c>
      <c r="AE349" s="16">
        <f t="shared" si="10"/>
        <v>481415.23800000007</v>
      </c>
      <c r="AF349" s="16">
        <f t="shared" si="10"/>
        <v>-81974.03</v>
      </c>
      <c r="AG349" s="16">
        <f t="shared" si="10"/>
        <v>12046.752</v>
      </c>
      <c r="AH349" s="16">
        <f t="shared" si="10"/>
        <v>1448025.9570000002</v>
      </c>
      <c r="AI349" s="16">
        <f t="shared" si="10"/>
        <v>-25476.284999999996</v>
      </c>
      <c r="AJ349" s="16">
        <f t="shared" si="10"/>
        <v>10.022</v>
      </c>
      <c r="AK349" s="16">
        <f t="shared" si="10"/>
        <v>266.553</v>
      </c>
      <c r="AL349" s="16">
        <f t="shared" si="10"/>
        <v>113.72799999999999</v>
      </c>
      <c r="AM349" s="16">
        <f>SUMIF($D$7:$D$339,$D$349,AM7:AM339)</f>
        <v>667.22</v>
      </c>
      <c r="AN349" s="16">
        <f>SUMIF($D$7:$D$339,$D$349,AN7:AN339)</f>
        <v>110.68300000000001</v>
      </c>
      <c r="AO349" s="16">
        <f>SUMIF($D$7:$D$339,$D$349,AO7:AO339)</f>
        <v>-4471.2919999999995</v>
      </c>
      <c r="AP349" s="16">
        <f t="shared" si="10"/>
        <v>0</v>
      </c>
      <c r="AQ349" s="16">
        <f t="shared" si="10"/>
        <v>-23016.019</v>
      </c>
      <c r="AR349" s="16">
        <f t="shared" si="10"/>
        <v>0</v>
      </c>
      <c r="AS349" s="16">
        <f t="shared" si="10"/>
        <v>-64.314999999999998</v>
      </c>
      <c r="AT349" s="16">
        <f t="shared" si="10"/>
        <v>0</v>
      </c>
      <c r="AU349" s="16">
        <f t="shared" si="10"/>
        <v>-396.20700000000005</v>
      </c>
      <c r="AV349" s="16">
        <f t="shared" si="10"/>
        <v>0</v>
      </c>
      <c r="AW349" s="16">
        <f t="shared" si="10"/>
        <v>0</v>
      </c>
      <c r="AX349" s="16">
        <f>SUMIF($D$7:$D$339,$D$349,AX7:AX339)</f>
        <v>0</v>
      </c>
      <c r="AY349" s="16">
        <f t="shared" ref="AY349:BI349" si="11">SUMIF($D$7:$D$339,$D$349,AY7:AY339)</f>
        <v>0</v>
      </c>
      <c r="AZ349" s="16">
        <f t="shared" si="11"/>
        <v>0</v>
      </c>
      <c r="BA349" s="16">
        <f t="shared" si="11"/>
        <v>0</v>
      </c>
      <c r="BB349" s="16">
        <f t="shared" si="11"/>
        <v>-1516.319</v>
      </c>
      <c r="BC349" s="16">
        <f t="shared" si="11"/>
        <v>0</v>
      </c>
      <c r="BD349" s="16">
        <f t="shared" si="11"/>
        <v>0</v>
      </c>
      <c r="BE349" s="16">
        <f t="shared" si="11"/>
        <v>-440.23099999999999</v>
      </c>
      <c r="BF349" s="16">
        <f t="shared" si="11"/>
        <v>-440.23099999999999</v>
      </c>
      <c r="BG349" s="16">
        <f t="shared" si="11"/>
        <v>0</v>
      </c>
      <c r="BH349" s="16">
        <f t="shared" si="11"/>
        <v>0</v>
      </c>
      <c r="BI349" s="16">
        <f t="shared" si="11"/>
        <v>0</v>
      </c>
      <c r="BJ349" s="21"/>
    </row>
    <row r="350" spans="1:62" x14ac:dyDescent="0.25">
      <c r="A350" t="s">
        <v>613</v>
      </c>
      <c r="B350">
        <v>7</v>
      </c>
      <c r="D350">
        <v>6</v>
      </c>
      <c r="E350" s="16">
        <f t="shared" ref="E350:AW350" si="12">SUMIF($D$7:$D$339,$D$350,E7:E339)+SUMIF($D$7:$D$339,$B$350,E7:E339)</f>
        <v>2095083.047000001</v>
      </c>
      <c r="F350" s="16">
        <f t="shared" si="12"/>
        <v>77295.505000000005</v>
      </c>
      <c r="G350" s="16">
        <f t="shared" si="12"/>
        <v>77754.242000000013</v>
      </c>
      <c r="H350" s="16">
        <f t="shared" si="12"/>
        <v>14280.215000000006</v>
      </c>
      <c r="I350" s="16">
        <f t="shared" si="12"/>
        <v>12241.275</v>
      </c>
      <c r="J350" s="16">
        <f t="shared" si="12"/>
        <v>51547.448000000011</v>
      </c>
      <c r="K350" s="16">
        <f t="shared" si="12"/>
        <v>9556.0419999999995</v>
      </c>
      <c r="L350" s="16">
        <f t="shared" si="12"/>
        <v>2381860.6669999999</v>
      </c>
      <c r="M350" s="16">
        <f t="shared" si="12"/>
        <v>610353.38999999978</v>
      </c>
      <c r="N350" s="16">
        <f>SUMIF($D$7:$D$339,$D$350,N7:N339)+SUMIF($D$7:$D$339,$B$350,N7:N339)</f>
        <v>-0.33300000000000002</v>
      </c>
      <c r="O350" s="16">
        <f t="shared" si="12"/>
        <v>142.619</v>
      </c>
      <c r="P350" s="16">
        <f t="shared" si="12"/>
        <v>1248.26</v>
      </c>
      <c r="Q350" s="16">
        <f t="shared" si="12"/>
        <v>300.43100000000021</v>
      </c>
      <c r="R350" s="16">
        <f t="shared" si="12"/>
        <v>926.42600000000016</v>
      </c>
      <c r="S350" s="16">
        <f t="shared" si="12"/>
        <v>15389.002000000002</v>
      </c>
      <c r="T350" s="16">
        <f t="shared" si="12"/>
        <v>0</v>
      </c>
      <c r="U350" s="16">
        <f t="shared" si="12"/>
        <v>7260.0350000000008</v>
      </c>
      <c r="V350" s="16">
        <f t="shared" si="12"/>
        <v>8397.7630000000008</v>
      </c>
      <c r="W350" s="16">
        <f t="shared" si="12"/>
        <v>20479.338999999996</v>
      </c>
      <c r="X350" s="16">
        <f t="shared" si="12"/>
        <v>-1401.0230000000001</v>
      </c>
      <c r="Y350" s="16">
        <f t="shared" si="12"/>
        <v>389271.42499999993</v>
      </c>
      <c r="Z350" s="16">
        <f t="shared" si="12"/>
        <v>132.8379999999994</v>
      </c>
      <c r="AA350" s="16">
        <f t="shared" si="12"/>
        <v>113497.16600000001</v>
      </c>
      <c r="AB350" s="16">
        <f t="shared" si="12"/>
        <v>10004.761999999997</v>
      </c>
      <c r="AC350" s="16">
        <f t="shared" si="12"/>
        <v>12601.433999999999</v>
      </c>
      <c r="AD350" s="16">
        <f t="shared" si="12"/>
        <v>112.16399999999982</v>
      </c>
      <c r="AE350" s="16">
        <f t="shared" si="12"/>
        <v>1370576.206</v>
      </c>
      <c r="AF350" s="16">
        <f t="shared" si="12"/>
        <v>94675.12999999999</v>
      </c>
      <c r="AG350" s="16">
        <f t="shared" si="12"/>
        <v>341.7930000000012</v>
      </c>
      <c r="AH350" s="16">
        <f t="shared" si="12"/>
        <v>4879658.3529999992</v>
      </c>
      <c r="AI350" s="16">
        <f t="shared" si="12"/>
        <v>194747.71400000001</v>
      </c>
      <c r="AJ350" s="16">
        <f t="shared" si="12"/>
        <v>590.88700000001904</v>
      </c>
      <c r="AK350" s="16">
        <f t="shared" si="12"/>
        <v>458372.38099999999</v>
      </c>
      <c r="AL350" s="16">
        <f t="shared" si="12"/>
        <v>246259.68999999997</v>
      </c>
      <c r="AM350" s="16">
        <f>SUMIF($D$7:$D$339,$D$350,AM7:AM339)+SUMIF($D$7:$D$339,$B$350,AM7:AM339)</f>
        <v>1855.204</v>
      </c>
      <c r="AN350" s="16">
        <f>SUMIF($D$7:$D$339,$D$350,AN7:AN339)+SUMIF($D$7:$D$339,$B$350,AN7:AN339)</f>
        <v>161527.11599999998</v>
      </c>
      <c r="AO350" s="16">
        <f>SUMIF($D$7:$D$339,$D$350,AO7:AO339)+SUMIF($D$7:$D$339,$B$350,AO7:AO339)</f>
        <v>7100.8549999999977</v>
      </c>
      <c r="AP350" s="16">
        <f t="shared" si="12"/>
        <v>12.016000000000002</v>
      </c>
      <c r="AQ350" s="16">
        <f t="shared" si="12"/>
        <v>22100.286</v>
      </c>
      <c r="AR350" s="16">
        <f t="shared" si="12"/>
        <v>-4.3770000000000007</v>
      </c>
      <c r="AS350" s="16">
        <f t="shared" si="12"/>
        <v>127.18900000000002</v>
      </c>
      <c r="AT350" s="16">
        <f t="shared" si="12"/>
        <v>0</v>
      </c>
      <c r="AU350" s="16">
        <f t="shared" si="12"/>
        <v>2031.4239999999995</v>
      </c>
      <c r="AV350" s="16">
        <f t="shared" si="12"/>
        <v>-0.22200000000000131</v>
      </c>
      <c r="AW350" s="16">
        <f t="shared" si="12"/>
        <v>-8.3249999999999957</v>
      </c>
      <c r="AX350" s="16">
        <f>SUMIF($D$7:$D$339,$D$350,AX7:AX339)+SUMIF($D$7:$D$339,$B$350,AX7:AX339)</f>
        <v>-1682.2259999999999</v>
      </c>
      <c r="AY350" s="16">
        <f t="shared" ref="AY350:BI350" si="13">SUMIF($D$7:$D$339,$D$350,AY7:AY339)+SUMIF($D$7:$D$339,$B$350,AY7:AY339)</f>
        <v>2732.0849999999996</v>
      </c>
      <c r="AZ350" s="16">
        <f t="shared" si="13"/>
        <v>25396.778999999999</v>
      </c>
      <c r="BA350" s="16">
        <f t="shared" si="13"/>
        <v>-1188.0910000000001</v>
      </c>
      <c r="BB350" s="16">
        <f t="shared" si="13"/>
        <v>2349.4969999999994</v>
      </c>
      <c r="BC350" s="16">
        <f t="shared" si="13"/>
        <v>1547.8690000000001</v>
      </c>
      <c r="BD350" s="16">
        <f t="shared" si="13"/>
        <v>31319.151999999998</v>
      </c>
      <c r="BE350" s="16">
        <f t="shared" si="13"/>
        <v>644.54499999999996</v>
      </c>
      <c r="BF350" s="16">
        <f t="shared" si="13"/>
        <v>644.54499999999996</v>
      </c>
      <c r="BG350" s="16">
        <f t="shared" si="13"/>
        <v>10488.516999999998</v>
      </c>
      <c r="BH350" s="16">
        <f t="shared" si="13"/>
        <v>284.40699999999759</v>
      </c>
      <c r="BI350" s="16">
        <f t="shared" si="13"/>
        <v>514.36799999999994</v>
      </c>
      <c r="BJ350" s="21"/>
    </row>
    <row r="351" spans="1:62" x14ac:dyDescent="0.25"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21"/>
    </row>
    <row r="352" spans="1:62" x14ac:dyDescent="0.25">
      <c r="E352">
        <f t="shared" ref="E352:M352" si="14">SUM(E345:E351)</f>
        <v>9379676.6250000019</v>
      </c>
      <c r="F352">
        <f t="shared" si="14"/>
        <v>1049906.1189999999</v>
      </c>
      <c r="G352">
        <f t="shared" si="14"/>
        <v>1003821.3940000001</v>
      </c>
      <c r="H352">
        <f t="shared" si="14"/>
        <v>1128464.612</v>
      </c>
      <c r="I352">
        <f t="shared" si="14"/>
        <v>136338.75899999999</v>
      </c>
      <c r="J352">
        <f t="shared" si="14"/>
        <v>702094.57299999986</v>
      </c>
      <c r="K352">
        <f t="shared" si="14"/>
        <v>249262.663</v>
      </c>
      <c r="L352" s="17">
        <f t="shared" si="14"/>
        <v>10066555.824999999</v>
      </c>
      <c r="M352">
        <f t="shared" si="14"/>
        <v>2973082.2149999994</v>
      </c>
      <c r="N352">
        <f>SUM(N345:N351)</f>
        <v>15514.778</v>
      </c>
      <c r="O352">
        <f t="shared" ref="O352:AL352" si="15">SUM(O345:O351)</f>
        <v>13931.337000000001</v>
      </c>
      <c r="P352">
        <f t="shared" si="15"/>
        <v>19598.698999999993</v>
      </c>
      <c r="Q352">
        <f t="shared" si="15"/>
        <v>13985.877</v>
      </c>
      <c r="R352">
        <f t="shared" si="15"/>
        <v>18540.038999999997</v>
      </c>
      <c r="S352">
        <f t="shared" si="15"/>
        <v>330824.95099999994</v>
      </c>
      <c r="T352">
        <f t="shared" si="15"/>
        <v>1002.5830000000001</v>
      </c>
      <c r="U352">
        <f t="shared" si="15"/>
        <v>179898.37400000001</v>
      </c>
      <c r="V352">
        <f t="shared" si="15"/>
        <v>113402.01699999999</v>
      </c>
      <c r="W352">
        <f t="shared" si="15"/>
        <v>248932.139</v>
      </c>
      <c r="X352">
        <f t="shared" si="15"/>
        <v>230291.424</v>
      </c>
      <c r="Y352">
        <f t="shared" si="15"/>
        <v>2509538.6159999999</v>
      </c>
      <c r="Z352">
        <f t="shared" si="15"/>
        <v>106592.29399999999</v>
      </c>
      <c r="AA352">
        <f t="shared" si="15"/>
        <v>1503584.46</v>
      </c>
      <c r="AB352">
        <f t="shared" si="15"/>
        <v>431288.56499999994</v>
      </c>
      <c r="AC352">
        <f t="shared" si="15"/>
        <v>187692.745</v>
      </c>
      <c r="AD352">
        <f t="shared" si="15"/>
        <v>64840.844999999994</v>
      </c>
      <c r="AE352">
        <f t="shared" si="15"/>
        <v>6812102.4019999998</v>
      </c>
      <c r="AF352">
        <f t="shared" si="15"/>
        <v>2234353.7439999995</v>
      </c>
      <c r="AG352">
        <f t="shared" si="15"/>
        <v>312203.25999999995</v>
      </c>
      <c r="AH352">
        <f t="shared" si="15"/>
        <v>20994909.469999999</v>
      </c>
      <c r="AI352">
        <f t="shared" si="15"/>
        <v>3640079.8949999996</v>
      </c>
      <c r="AJ352">
        <f t="shared" si="15"/>
        <v>562800.74599999993</v>
      </c>
      <c r="AK352">
        <f t="shared" si="15"/>
        <v>11342999.199999999</v>
      </c>
      <c r="AL352">
        <f t="shared" si="15"/>
        <v>6088373.7760000015</v>
      </c>
      <c r="AM352">
        <f>SUM(AM345:AM351)</f>
        <v>45976.282999999996</v>
      </c>
      <c r="AN352">
        <f>SUM(AN345:AN351)</f>
        <v>4013769.0960000004</v>
      </c>
      <c r="AO352">
        <f>SUM(AO345:AO351)</f>
        <v>195433.68500000003</v>
      </c>
      <c r="AP352">
        <f>SUM(AP345:AP351)</f>
        <v>87890.099000000017</v>
      </c>
      <c r="AQ352">
        <f t="shared" ref="AQ352:AW352" si="16">SUM(AQ345:AQ351)</f>
        <v>839353.5610000001</v>
      </c>
      <c r="AR352">
        <f t="shared" si="16"/>
        <v>27151.188000000002</v>
      </c>
      <c r="AS352">
        <f t="shared" si="16"/>
        <v>3808.4339999999997</v>
      </c>
      <c r="AT352">
        <f t="shared" si="16"/>
        <v>0</v>
      </c>
      <c r="AU352">
        <f t="shared" si="16"/>
        <v>82174.395000000004</v>
      </c>
      <c r="AV352">
        <f t="shared" si="16"/>
        <v>80567.075000000012</v>
      </c>
      <c r="AW352">
        <f t="shared" si="16"/>
        <v>133839.26799999998</v>
      </c>
      <c r="AX352">
        <f>SUM(AX345:AX351)</f>
        <v>271914.96799999999</v>
      </c>
      <c r="AY352">
        <f t="shared" ref="AY352:BI352" si="17">SUM(AY345:AY351)</f>
        <v>63481.468000000001</v>
      </c>
      <c r="AZ352">
        <f t="shared" si="17"/>
        <v>455345.46700000006</v>
      </c>
      <c r="BA352">
        <f t="shared" si="17"/>
        <v>200731.82600000003</v>
      </c>
      <c r="BB352">
        <f t="shared" si="17"/>
        <v>66375.486000000004</v>
      </c>
      <c r="BC352">
        <f t="shared" si="17"/>
        <v>35570.979999999989</v>
      </c>
      <c r="BD352">
        <f t="shared" si="17"/>
        <v>525147.08299999998</v>
      </c>
      <c r="BE352">
        <f t="shared" si="17"/>
        <v>18847.296999999995</v>
      </c>
      <c r="BF352">
        <f t="shared" si="17"/>
        <v>18847.296999999995</v>
      </c>
      <c r="BG352">
        <f t="shared" si="17"/>
        <v>176746.283</v>
      </c>
      <c r="BH352">
        <f t="shared" si="17"/>
        <v>340258.52900000004</v>
      </c>
      <c r="BI352">
        <f t="shared" si="17"/>
        <v>12476.808000000001</v>
      </c>
      <c r="BJ352" s="21"/>
    </row>
    <row r="353" spans="1:62" x14ac:dyDescent="0.25"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21"/>
    </row>
    <row r="354" spans="1:62" x14ac:dyDescent="0.25">
      <c r="A354" s="8"/>
      <c r="B354" s="8"/>
      <c r="C354" s="8"/>
      <c r="D354" s="8"/>
      <c r="E354" s="8">
        <f t="shared" ref="E354:AJ354" si="18">E352-E340</f>
        <v>9379676.6250000019</v>
      </c>
      <c r="F354" s="8">
        <f t="shared" si="18"/>
        <v>1049906.1189999999</v>
      </c>
      <c r="G354" s="8">
        <f t="shared" si="18"/>
        <v>1003821.3940000001</v>
      </c>
      <c r="H354" s="8">
        <f t="shared" si="18"/>
        <v>1128464.612</v>
      </c>
      <c r="I354" s="8">
        <f t="shared" si="18"/>
        <v>136338.75899999999</v>
      </c>
      <c r="J354" s="8">
        <f t="shared" si="18"/>
        <v>702094.57299999986</v>
      </c>
      <c r="K354" s="8">
        <f t="shared" si="18"/>
        <v>249262.663</v>
      </c>
      <c r="L354" s="18">
        <f t="shared" si="18"/>
        <v>10066555.824999999</v>
      </c>
      <c r="M354" s="8">
        <f t="shared" si="18"/>
        <v>2973082.2149999994</v>
      </c>
      <c r="N354" s="8">
        <f>N352-N340</f>
        <v>15514.778</v>
      </c>
      <c r="O354" s="8">
        <f t="shared" si="18"/>
        <v>13931.337000000001</v>
      </c>
      <c r="P354" s="8">
        <f t="shared" si="18"/>
        <v>19598.698999999993</v>
      </c>
      <c r="Q354" s="8">
        <f t="shared" si="18"/>
        <v>13985.877</v>
      </c>
      <c r="R354" s="8">
        <f t="shared" si="18"/>
        <v>18540.038999999997</v>
      </c>
      <c r="S354" s="8">
        <f t="shared" si="18"/>
        <v>330824.95099999994</v>
      </c>
      <c r="T354" s="8">
        <f t="shared" si="18"/>
        <v>1002.5830000000001</v>
      </c>
      <c r="U354" s="8">
        <f t="shared" si="18"/>
        <v>179898.37400000001</v>
      </c>
      <c r="V354" s="8">
        <f t="shared" si="18"/>
        <v>113402.01699999999</v>
      </c>
      <c r="W354" s="8">
        <f t="shared" si="18"/>
        <v>248932.139</v>
      </c>
      <c r="X354" s="8">
        <f t="shared" si="18"/>
        <v>230291.424</v>
      </c>
      <c r="Y354" s="8">
        <f t="shared" si="18"/>
        <v>2509538.6159999999</v>
      </c>
      <c r="Z354" s="8">
        <f t="shared" si="18"/>
        <v>106592.29399999999</v>
      </c>
      <c r="AA354" s="8">
        <f t="shared" si="18"/>
        <v>1503584.46</v>
      </c>
      <c r="AB354" s="8">
        <f t="shared" si="18"/>
        <v>431288.56499999994</v>
      </c>
      <c r="AC354" s="8">
        <f t="shared" si="18"/>
        <v>187692.745</v>
      </c>
      <c r="AD354" s="8">
        <f t="shared" si="18"/>
        <v>64840.844999999994</v>
      </c>
      <c r="AE354" s="8">
        <f t="shared" si="18"/>
        <v>6812102.4019999998</v>
      </c>
      <c r="AF354" s="8">
        <f t="shared" si="18"/>
        <v>2234353.7439999995</v>
      </c>
      <c r="AG354" s="8">
        <f t="shared" si="18"/>
        <v>312203.25999999995</v>
      </c>
      <c r="AH354" s="8">
        <f t="shared" si="18"/>
        <v>20994909.469999999</v>
      </c>
      <c r="AI354" s="8">
        <f t="shared" si="18"/>
        <v>3640079.8949999996</v>
      </c>
      <c r="AJ354" s="8">
        <f t="shared" si="18"/>
        <v>562800.74599999993</v>
      </c>
      <c r="AK354" s="8">
        <f>AK352-AK340</f>
        <v>11342999.199999999</v>
      </c>
      <c r="AL354" s="8">
        <f>AL352-AL340</f>
        <v>6088373.7760000015</v>
      </c>
      <c r="AM354" s="8">
        <f>AM352-AM340</f>
        <v>45976.282999999996</v>
      </c>
      <c r="AN354" s="8">
        <f>AN352-AN340</f>
        <v>4013769.0960000004</v>
      </c>
      <c r="AO354" s="8">
        <f>AO352-AO340</f>
        <v>195433.68500000003</v>
      </c>
      <c r="AP354" s="8">
        <f t="shared" ref="AP354:AW354" si="19">AP352-AP340</f>
        <v>87890.099000000017</v>
      </c>
      <c r="AQ354" s="8">
        <f t="shared" si="19"/>
        <v>839353.5610000001</v>
      </c>
      <c r="AR354" s="8">
        <f t="shared" si="19"/>
        <v>27151.188000000002</v>
      </c>
      <c r="AS354" s="8">
        <f t="shared" si="19"/>
        <v>3808.4339999999997</v>
      </c>
      <c r="AT354" s="8">
        <f t="shared" si="19"/>
        <v>0</v>
      </c>
      <c r="AU354" s="8">
        <f t="shared" si="19"/>
        <v>82174.395000000004</v>
      </c>
      <c r="AV354" s="8">
        <f t="shared" si="19"/>
        <v>80567.075000000012</v>
      </c>
      <c r="AW354" s="8">
        <f t="shared" si="19"/>
        <v>133839.26799999998</v>
      </c>
      <c r="AX354" s="8">
        <f>AX352-AX340</f>
        <v>271914.96799999999</v>
      </c>
      <c r="AY354" s="8">
        <f t="shared" ref="AY354:BI354" si="20">AY352-AY340</f>
        <v>63481.468000000001</v>
      </c>
      <c r="AZ354" s="8">
        <f t="shared" si="20"/>
        <v>455345.46700000006</v>
      </c>
      <c r="BA354" s="8">
        <f t="shared" si="20"/>
        <v>200731.82600000003</v>
      </c>
      <c r="BB354" s="8">
        <f t="shared" si="20"/>
        <v>66375.486000000004</v>
      </c>
      <c r="BC354" s="8">
        <f t="shared" si="20"/>
        <v>35570.979999999989</v>
      </c>
      <c r="BD354" s="8">
        <f t="shared" si="20"/>
        <v>525147.08299999998</v>
      </c>
      <c r="BE354" s="8">
        <f t="shared" si="20"/>
        <v>18847.296999999995</v>
      </c>
      <c r="BF354" s="8">
        <f t="shared" si="20"/>
        <v>18847.296999999995</v>
      </c>
      <c r="BG354" s="8">
        <f t="shared" si="20"/>
        <v>176746.283</v>
      </c>
      <c r="BH354" s="8">
        <f t="shared" si="20"/>
        <v>340258.52900000004</v>
      </c>
      <c r="BI354" s="8">
        <f t="shared" si="20"/>
        <v>12476.808000000001</v>
      </c>
      <c r="BJ354" s="21"/>
    </row>
    <row r="355" spans="1:62" x14ac:dyDescent="0.25">
      <c r="E355" s="19">
        <f t="shared" ref="E355:M355" si="21">E5</f>
        <v>401</v>
      </c>
      <c r="F355" s="19">
        <f t="shared" si="21"/>
        <v>242</v>
      </c>
      <c r="G355" s="19">
        <f t="shared" si="21"/>
        <v>385</v>
      </c>
      <c r="H355" s="19">
        <f t="shared" si="21"/>
        <v>528</v>
      </c>
      <c r="I355" s="19">
        <f t="shared" si="21"/>
        <v>384</v>
      </c>
      <c r="J355" s="19">
        <f t="shared" si="21"/>
        <v>716</v>
      </c>
      <c r="K355" s="19">
        <f t="shared" si="21"/>
        <v>715</v>
      </c>
      <c r="L355" s="19">
        <f t="shared" si="21"/>
        <v>9916</v>
      </c>
      <c r="M355" s="19">
        <f t="shared" si="21"/>
        <v>1100</v>
      </c>
      <c r="N355" s="19">
        <f>N5</f>
        <v>801</v>
      </c>
      <c r="O355" s="19">
        <f t="shared" ref="O355:T355" si="22">O5</f>
        <v>804</v>
      </c>
      <c r="P355" s="19">
        <f t="shared" si="22"/>
        <v>806</v>
      </c>
      <c r="Q355" s="19">
        <f t="shared" si="22"/>
        <v>8765</v>
      </c>
      <c r="R355" s="19">
        <f t="shared" si="22"/>
        <v>8766</v>
      </c>
      <c r="S355" s="19">
        <f t="shared" si="22"/>
        <v>9418</v>
      </c>
      <c r="T355" s="19">
        <f t="shared" si="22"/>
        <v>9475</v>
      </c>
      <c r="U355" s="19">
        <f>U5</f>
        <v>9906</v>
      </c>
      <c r="V355" s="19">
        <f>V5</f>
        <v>7905</v>
      </c>
      <c r="W355" s="19">
        <f t="shared" ref="W355:AJ355" si="23">W5</f>
        <v>7906</v>
      </c>
      <c r="X355" s="19">
        <f t="shared" si="23"/>
        <v>7907</v>
      </c>
      <c r="Y355" s="19">
        <f t="shared" si="23"/>
        <v>7908</v>
      </c>
      <c r="Z355" s="19">
        <f t="shared" si="23"/>
        <v>7909</v>
      </c>
      <c r="AA355" s="19">
        <f t="shared" si="23"/>
        <v>11310</v>
      </c>
      <c r="AB355" s="19">
        <f t="shared" si="23"/>
        <v>11311</v>
      </c>
      <c r="AC355" s="19">
        <f t="shared" si="23"/>
        <v>11312</v>
      </c>
      <c r="AD355" s="19">
        <f t="shared" si="23"/>
        <v>11335</v>
      </c>
      <c r="AE355" s="19">
        <f t="shared" si="23"/>
        <v>9529</v>
      </c>
      <c r="AF355" s="19">
        <f t="shared" si="23"/>
        <v>961</v>
      </c>
      <c r="AG355" s="19">
        <f t="shared" si="23"/>
        <v>9528</v>
      </c>
      <c r="AH355" s="19">
        <f t="shared" si="23"/>
        <v>964</v>
      </c>
      <c r="AI355" s="19">
        <f t="shared" si="23"/>
        <v>968</v>
      </c>
      <c r="AJ355" s="19">
        <f t="shared" si="23"/>
        <v>8629</v>
      </c>
      <c r="AK355" s="19">
        <f>AK5</f>
        <v>13264</v>
      </c>
      <c r="AL355" s="19">
        <f>AL5</f>
        <v>13263</v>
      </c>
      <c r="AM355" s="19">
        <f>AM5</f>
        <v>13209</v>
      </c>
      <c r="AN355" s="19">
        <f>AN5</f>
        <v>13250</v>
      </c>
      <c r="AO355" s="19">
        <f>AO5</f>
        <v>14281</v>
      </c>
      <c r="AP355" s="19">
        <f t="shared" ref="AP355:AW355" si="24">AP5</f>
        <v>2049</v>
      </c>
      <c r="AQ355" s="19">
        <f t="shared" si="24"/>
        <v>7975</v>
      </c>
      <c r="AR355" s="19">
        <f t="shared" si="24"/>
        <v>8004</v>
      </c>
      <c r="AS355" s="19">
        <f t="shared" si="24"/>
        <v>1008</v>
      </c>
      <c r="AT355" s="19">
        <f t="shared" si="24"/>
        <v>9484</v>
      </c>
      <c r="AU355" s="19">
        <f t="shared" si="24"/>
        <v>682</v>
      </c>
      <c r="AV355" s="19">
        <f t="shared" si="24"/>
        <v>11352</v>
      </c>
      <c r="AW355" s="19">
        <f t="shared" si="24"/>
        <v>2058</v>
      </c>
      <c r="AX355" s="19">
        <f>AX5</f>
        <v>15007</v>
      </c>
      <c r="AY355" s="19">
        <f t="shared" ref="AY355:BI355" si="25">AY5</f>
        <v>15208</v>
      </c>
      <c r="AZ355" s="19">
        <f t="shared" si="25"/>
        <v>15209</v>
      </c>
      <c r="BA355" s="19">
        <f t="shared" si="25"/>
        <v>15210</v>
      </c>
      <c r="BB355" s="19">
        <f t="shared" si="25"/>
        <v>15211</v>
      </c>
      <c r="BC355" s="19">
        <f t="shared" si="25"/>
        <v>15212</v>
      </c>
      <c r="BD355" s="19">
        <f t="shared" si="25"/>
        <v>15232</v>
      </c>
      <c r="BE355" s="19">
        <f t="shared" si="25"/>
        <v>15214</v>
      </c>
      <c r="BF355" s="19">
        <f t="shared" si="25"/>
        <v>15214</v>
      </c>
      <c r="BG355" s="19">
        <f t="shared" si="25"/>
        <v>15233</v>
      </c>
      <c r="BH355" s="19">
        <f t="shared" si="25"/>
        <v>15234</v>
      </c>
      <c r="BI355" s="19">
        <f t="shared" si="25"/>
        <v>15215</v>
      </c>
      <c r="BJ355" s="21"/>
    </row>
    <row r="356" spans="1:62" x14ac:dyDescent="0.25">
      <c r="A356" t="s">
        <v>608</v>
      </c>
      <c r="E356" s="20">
        <f t="shared" ref="E356:AL356" si="26">E345/E352</f>
        <v>0.11049974454742995</v>
      </c>
      <c r="F356" s="20">
        <f t="shared" si="26"/>
        <v>0.16713125090377723</v>
      </c>
      <c r="G356" s="20">
        <f t="shared" si="26"/>
        <v>5.5140162713049327E-2</v>
      </c>
      <c r="H356" s="20">
        <f t="shared" si="26"/>
        <v>1.5218246826157453E-2</v>
      </c>
      <c r="I356" s="20">
        <f t="shared" si="26"/>
        <v>8.0699120930094431E-2</v>
      </c>
      <c r="J356" s="20">
        <f t="shared" si="26"/>
        <v>5.2681844330393378E-2</v>
      </c>
      <c r="K356" s="20">
        <f t="shared" si="26"/>
        <v>1.4688682034982511E-3</v>
      </c>
      <c r="L356" s="20">
        <f t="shared" si="26"/>
        <v>0.18131702657100202</v>
      </c>
      <c r="M356" s="20">
        <f t="shared" si="26"/>
        <v>6.1010959294982028E-2</v>
      </c>
      <c r="N356" s="20">
        <f>N345/N352</f>
        <v>4.5285211299832973E-3</v>
      </c>
      <c r="O356" s="20">
        <f t="shared" si="26"/>
        <v>0.80741467958172275</v>
      </c>
      <c r="P356" s="20">
        <f t="shared" si="26"/>
        <v>3.2140959968822429E-2</v>
      </c>
      <c r="Q356" s="20">
        <f t="shared" si="26"/>
        <v>0.46802921261212294</v>
      </c>
      <c r="R356" s="20">
        <f t="shared" si="26"/>
        <v>0.13442501388481437</v>
      </c>
      <c r="S356" s="20">
        <f t="shared" si="26"/>
        <v>0.17269879381014405</v>
      </c>
      <c r="T356" s="20">
        <f t="shared" si="26"/>
        <v>3.2304557328420684E-2</v>
      </c>
      <c r="U356" s="20">
        <f t="shared" si="26"/>
        <v>1.2502947914359687E-3</v>
      </c>
      <c r="V356" s="20">
        <f t="shared" si="26"/>
        <v>5.3383142206368348E-2</v>
      </c>
      <c r="W356" s="20">
        <f t="shared" si="26"/>
        <v>0.10404593036498193</v>
      </c>
      <c r="X356" s="20">
        <f t="shared" si="26"/>
        <v>0.21412332749308113</v>
      </c>
      <c r="Y356" s="20">
        <f t="shared" si="26"/>
        <v>0.17046482340321956</v>
      </c>
      <c r="Z356" s="20">
        <f t="shared" si="26"/>
        <v>0.58064220852588089</v>
      </c>
      <c r="AA356" s="20">
        <f t="shared" si="26"/>
        <v>6.6985255354394924E-2</v>
      </c>
      <c r="AB356" s="20">
        <f t="shared" si="26"/>
        <v>0.80520895563275607</v>
      </c>
      <c r="AC356" s="20">
        <f t="shared" si="26"/>
        <v>0.1723219776022776</v>
      </c>
      <c r="AD356" s="20">
        <f t="shared" si="26"/>
        <v>0.30872938191968347</v>
      </c>
      <c r="AE356" s="20">
        <f t="shared" si="26"/>
        <v>0.17382009725108646</v>
      </c>
      <c r="AF356" s="20">
        <f t="shared" si="26"/>
        <v>0.30984646001515154</v>
      </c>
      <c r="AG356" s="20">
        <f t="shared" si="26"/>
        <v>0.36463585614064381</v>
      </c>
      <c r="AH356" s="20">
        <f t="shared" si="26"/>
        <v>0.15606836508069022</v>
      </c>
      <c r="AI356" s="20">
        <f t="shared" si="26"/>
        <v>0.28461146345250754</v>
      </c>
      <c r="AJ356" s="20">
        <f t="shared" si="26"/>
        <v>0.5613202065656111</v>
      </c>
      <c r="AK356" s="20">
        <f t="shared" si="26"/>
        <v>0.68044183164537297</v>
      </c>
      <c r="AL356" s="20">
        <f t="shared" si="26"/>
        <v>0.68010736304045194</v>
      </c>
      <c r="AM356" s="20">
        <f>AM345/AM352</f>
        <v>8.9698856255952687E-3</v>
      </c>
      <c r="AN356" s="20">
        <f>AN345/AN352</f>
        <v>0.68023838683718829</v>
      </c>
      <c r="AO356" s="20">
        <f>AO345/AO352</f>
        <v>0.19274201885923606</v>
      </c>
      <c r="AP356" s="20">
        <f>AP345/AP352</f>
        <v>0.10213304003673951</v>
      </c>
      <c r="AQ356" s="20">
        <f t="shared" ref="AQ356:AW356" si="27">AQ345/AQ352</f>
        <v>0.30851139023165469</v>
      </c>
      <c r="AR356" s="20">
        <f t="shared" si="27"/>
        <v>9.8833612731789103E-2</v>
      </c>
      <c r="AS356" s="20">
        <f t="shared" si="27"/>
        <v>0.16546354748434661</v>
      </c>
      <c r="AT356" s="20" t="e">
        <f t="shared" si="27"/>
        <v>#DIV/0!</v>
      </c>
      <c r="AU356" s="20">
        <f t="shared" si="27"/>
        <v>0.16676403884689384</v>
      </c>
      <c r="AV356" s="20">
        <f t="shared" si="27"/>
        <v>9.8512413414536884E-2</v>
      </c>
      <c r="AW356" s="20">
        <f t="shared" si="27"/>
        <v>0.11040663342540098</v>
      </c>
      <c r="AX356" s="20">
        <f>AX345/AX352</f>
        <v>0.21463883885935989</v>
      </c>
      <c r="AY356" s="20">
        <f t="shared" ref="AY356:BI356" si="28">AY345/AY352</f>
        <v>6.1172451147475042E-2</v>
      </c>
      <c r="AZ356" s="20">
        <f t="shared" si="28"/>
        <v>6.277459658997768E-2</v>
      </c>
      <c r="BA356" s="20">
        <f t="shared" si="28"/>
        <v>0.2220339987342117</v>
      </c>
      <c r="BB356" s="20">
        <f t="shared" si="28"/>
        <v>0.19263905653361241</v>
      </c>
      <c r="BC356" s="20">
        <f t="shared" si="28"/>
        <v>2.7424912105317324E-2</v>
      </c>
      <c r="BD356" s="20">
        <f t="shared" si="28"/>
        <v>5.3923669990184449E-2</v>
      </c>
      <c r="BE356" s="20">
        <f t="shared" si="28"/>
        <v>0.21814385373138656</v>
      </c>
      <c r="BF356" s="20">
        <f t="shared" si="28"/>
        <v>0.21814385373138656</v>
      </c>
      <c r="BG356" s="20">
        <f t="shared" si="28"/>
        <v>4.9036459793612742E-2</v>
      </c>
      <c r="BH356" s="20">
        <f t="shared" si="28"/>
        <v>0.57953252363587338</v>
      </c>
      <c r="BI356" s="20">
        <f t="shared" si="28"/>
        <v>9.1952124293328871E-2</v>
      </c>
      <c r="BJ356" s="21"/>
    </row>
    <row r="357" spans="1:62" x14ac:dyDescent="0.25">
      <c r="A357" t="s">
        <v>609</v>
      </c>
      <c r="E357" s="20">
        <f t="shared" ref="E357:AL357" si="29">E346/E352</f>
        <v>0.22348601277072275</v>
      </c>
      <c r="F357" s="20">
        <f t="shared" si="29"/>
        <v>0.17755490003006644</v>
      </c>
      <c r="G357" s="20">
        <f t="shared" si="29"/>
        <v>0.3484164395085606</v>
      </c>
      <c r="H357" s="20">
        <f t="shared" si="29"/>
        <v>0</v>
      </c>
      <c r="I357" s="20">
        <f t="shared" si="29"/>
        <v>0.3716940756369948</v>
      </c>
      <c r="J357" s="20">
        <f t="shared" si="29"/>
        <v>0.33506422787859952</v>
      </c>
      <c r="K357" s="20">
        <f t="shared" si="29"/>
        <v>0.72767407206910895</v>
      </c>
      <c r="L357" s="20">
        <f t="shared" si="29"/>
        <v>9.2115156377230945E-2</v>
      </c>
      <c r="M357" s="20">
        <f t="shared" si="29"/>
        <v>0.21101024412807909</v>
      </c>
      <c r="N357" s="20">
        <f>N346/N352</f>
        <v>0.80804133968272063</v>
      </c>
      <c r="O357" s="20">
        <f t="shared" si="29"/>
        <v>8.7689358171437522E-3</v>
      </c>
      <c r="P357" s="20">
        <f t="shared" si="29"/>
        <v>0.80911329879600702</v>
      </c>
      <c r="Q357" s="20">
        <f t="shared" si="29"/>
        <v>0.15591256808564813</v>
      </c>
      <c r="R357" s="20">
        <f t="shared" si="29"/>
        <v>0.18754539836728501</v>
      </c>
      <c r="S357" s="20">
        <f t="shared" si="29"/>
        <v>0.16895951115851598</v>
      </c>
      <c r="T357" s="20">
        <f t="shared" si="29"/>
        <v>0.96769544267157925</v>
      </c>
      <c r="U357" s="20">
        <f t="shared" si="29"/>
        <v>0.77740413040086731</v>
      </c>
      <c r="V357" s="20">
        <f t="shared" si="29"/>
        <v>0.26624350958413728</v>
      </c>
      <c r="W357" s="20">
        <f t="shared" si="29"/>
        <v>0.21673393084851933</v>
      </c>
      <c r="X357" s="20">
        <f t="shared" si="29"/>
        <v>6.0686975473302901E-3</v>
      </c>
      <c r="Y357" s="20">
        <f t="shared" si="29"/>
        <v>0.17709673848668922</v>
      </c>
      <c r="Z357" s="20">
        <f t="shared" si="29"/>
        <v>3.451056227385443E-3</v>
      </c>
      <c r="AA357" s="20">
        <f t="shared" si="29"/>
        <v>0.350609149019803</v>
      </c>
      <c r="AB357" s="20">
        <f t="shared" si="29"/>
        <v>6.429697481082069E-3</v>
      </c>
      <c r="AC357" s="20">
        <f t="shared" si="29"/>
        <v>0.14881581064840838</v>
      </c>
      <c r="AD357" s="20">
        <f t="shared" si="29"/>
        <v>0.16854976211368006</v>
      </c>
      <c r="AE357" s="20">
        <f t="shared" si="29"/>
        <v>0.16423887002513679</v>
      </c>
      <c r="AF357" s="20">
        <f t="shared" si="29"/>
        <v>6.2365791170800405E-2</v>
      </c>
      <c r="AG357" s="20">
        <f t="shared" si="29"/>
        <v>0.13089953961403222</v>
      </c>
      <c r="AH357" s="20">
        <f t="shared" si="29"/>
        <v>0.13440574154569096</v>
      </c>
      <c r="AI357" s="20">
        <f t="shared" si="29"/>
        <v>5.7634050914148971E-2</v>
      </c>
      <c r="AJ357" s="20">
        <f t="shared" si="29"/>
        <v>3.1242815730027481E-3</v>
      </c>
      <c r="AK357" s="20">
        <f t="shared" si="29"/>
        <v>6.9169855887850198E-2</v>
      </c>
      <c r="AL357" s="20">
        <f t="shared" si="29"/>
        <v>6.9244673292213441E-2</v>
      </c>
      <c r="AM357" s="20">
        <f>AM346/AM352</f>
        <v>0.77080733124946188</v>
      </c>
      <c r="AN357" s="20">
        <f>AN346/AN352</f>
        <v>6.9260622460081842E-2</v>
      </c>
      <c r="AO357" s="20">
        <f>AO346/AO352</f>
        <v>0.17037171969612094</v>
      </c>
      <c r="AP357" s="20">
        <f>AP346/AP352</f>
        <v>0</v>
      </c>
      <c r="AQ357" s="20">
        <f t="shared" ref="AQ357:AW357" si="30">AQ346/AQ352</f>
        <v>6.3539159751059893E-2</v>
      </c>
      <c r="AR357" s="20">
        <f t="shared" si="30"/>
        <v>0</v>
      </c>
      <c r="AS357" s="20">
        <f t="shared" si="30"/>
        <v>0.34109295316657712</v>
      </c>
      <c r="AT357" s="20" t="e">
        <f t="shared" si="30"/>
        <v>#DIV/0!</v>
      </c>
      <c r="AU357" s="20">
        <f t="shared" si="30"/>
        <v>0.37420868142686048</v>
      </c>
      <c r="AV357" s="20">
        <f t="shared" si="30"/>
        <v>0</v>
      </c>
      <c r="AW357" s="20">
        <f t="shared" si="30"/>
        <v>0</v>
      </c>
      <c r="AX357" s="20">
        <f>AX346/AX352</f>
        <v>6.0655322218231104E-3</v>
      </c>
      <c r="AY357" s="20">
        <f t="shared" ref="AY357:BI357" si="31">AY346/AY352</f>
        <v>0.25048636241367328</v>
      </c>
      <c r="AZ357" s="20">
        <f t="shared" si="31"/>
        <v>2.3854898724620438E-3</v>
      </c>
      <c r="BA357" s="20">
        <f t="shared" si="31"/>
        <v>6.0068152819971847E-3</v>
      </c>
      <c r="BB357" s="20">
        <f t="shared" si="31"/>
        <v>0.17590363104836623</v>
      </c>
      <c r="BC357" s="20">
        <f t="shared" si="31"/>
        <v>0.28354464791242762</v>
      </c>
      <c r="BD357" s="20">
        <f t="shared" si="31"/>
        <v>2.5338634509753147E-3</v>
      </c>
      <c r="BE357" s="20">
        <f t="shared" si="31"/>
        <v>0.16572583325874266</v>
      </c>
      <c r="BF357" s="20">
        <f t="shared" si="31"/>
        <v>0.16572583325874266</v>
      </c>
      <c r="BG357" s="20">
        <f t="shared" si="31"/>
        <v>2.5486816036747999E-3</v>
      </c>
      <c r="BH357" s="20">
        <f t="shared" si="31"/>
        <v>4.0319965058098511E-2</v>
      </c>
      <c r="BI357" s="20">
        <f t="shared" si="31"/>
        <v>0.240418462799139</v>
      </c>
      <c r="BJ357" s="21"/>
    </row>
    <row r="358" spans="1:62" x14ac:dyDescent="0.25">
      <c r="A358" t="s">
        <v>610</v>
      </c>
      <c r="E358" s="20">
        <f t="shared" ref="E358:AL358" si="32">E347/E352</f>
        <v>0.20645867543434634</v>
      </c>
      <c r="F358" s="20">
        <f t="shared" si="32"/>
        <v>0.26583982124596045</v>
      </c>
      <c r="G358" s="20">
        <f t="shared" si="32"/>
        <v>0.4434952369624432</v>
      </c>
      <c r="H358" s="20">
        <f t="shared" si="32"/>
        <v>5.014437085422755E-2</v>
      </c>
      <c r="I358" s="20">
        <f t="shared" si="32"/>
        <v>0.31220126479220772</v>
      </c>
      <c r="J358" s="20">
        <f t="shared" si="32"/>
        <v>0.43483539503160362</v>
      </c>
      <c r="K358" s="20">
        <f t="shared" si="32"/>
        <v>0.15610593071454107</v>
      </c>
      <c r="L358" s="20">
        <f t="shared" si="32"/>
        <v>9.4458180884324477E-2</v>
      </c>
      <c r="M358" s="20">
        <f t="shared" si="32"/>
        <v>0.33860914707331763</v>
      </c>
      <c r="N358" s="20">
        <f>N347/N352</f>
        <v>0.18745160259463589</v>
      </c>
      <c r="O358" s="20">
        <f t="shared" si="32"/>
        <v>0</v>
      </c>
      <c r="P358" s="20">
        <f t="shared" si="32"/>
        <v>2.5829265503796973E-3</v>
      </c>
      <c r="Q358" s="20">
        <f t="shared" si="32"/>
        <v>0.2834209824668128</v>
      </c>
      <c r="R358" s="20">
        <f t="shared" si="32"/>
        <v>0.6208784134704356</v>
      </c>
      <c r="S358" s="20">
        <f t="shared" si="32"/>
        <v>0.33978555323658166</v>
      </c>
      <c r="T358" s="20">
        <f t="shared" si="32"/>
        <v>0</v>
      </c>
      <c r="U358" s="20">
        <f t="shared" si="32"/>
        <v>0.16677438118479046</v>
      </c>
      <c r="V358" s="20">
        <f t="shared" si="32"/>
        <v>0.50453040001925187</v>
      </c>
      <c r="W358" s="20">
        <f t="shared" si="32"/>
        <v>0.35326886417024689</v>
      </c>
      <c r="X358" s="20">
        <f t="shared" si="32"/>
        <v>0</v>
      </c>
      <c r="Y358" s="20">
        <f t="shared" si="32"/>
        <v>0.13881606554246384</v>
      </c>
      <c r="Z358" s="20">
        <f t="shared" si="32"/>
        <v>6.6481428760694475E-2</v>
      </c>
      <c r="AA358" s="20">
        <f t="shared" si="32"/>
        <v>0.46758857563611689</v>
      </c>
      <c r="AB358" s="20">
        <f t="shared" si="32"/>
        <v>0</v>
      </c>
      <c r="AC358" s="20">
        <f t="shared" si="32"/>
        <v>0.26924279891585579</v>
      </c>
      <c r="AD358" s="20">
        <f t="shared" si="32"/>
        <v>0.21124804897283495</v>
      </c>
      <c r="AE358" s="20">
        <f t="shared" si="32"/>
        <v>0.11419612361840123</v>
      </c>
      <c r="AF358" s="20">
        <f t="shared" si="32"/>
        <v>1.8947725315960538E-2</v>
      </c>
      <c r="AG358" s="20">
        <f t="shared" si="32"/>
        <v>0.17558092763028807</v>
      </c>
      <c r="AH358" s="20">
        <f t="shared" si="32"/>
        <v>0.11176806717614295</v>
      </c>
      <c r="AI358" s="20">
        <f t="shared" si="32"/>
        <v>1.9102218908851727E-2</v>
      </c>
      <c r="AJ358" s="20">
        <f t="shared" si="32"/>
        <v>6.5504874082025488E-2</v>
      </c>
      <c r="AK358" s="20">
        <f t="shared" si="32"/>
        <v>0</v>
      </c>
      <c r="AL358" s="20">
        <f t="shared" si="32"/>
        <v>0</v>
      </c>
      <c r="AM358" s="20">
        <f>AM347/AM352</f>
        <v>0.16535919182505465</v>
      </c>
      <c r="AN358" s="20">
        <f>AN347/AN352</f>
        <v>0</v>
      </c>
      <c r="AO358" s="20">
        <f>AO347/AO352</f>
        <v>0.30163739684896174</v>
      </c>
      <c r="AP358" s="20">
        <f>AP347/AP352</f>
        <v>0</v>
      </c>
      <c r="AQ358" s="20">
        <f t="shared" ref="AQ358:AW358" si="33">AQ347/AQ352</f>
        <v>1.9003797375918913E-2</v>
      </c>
      <c r="AR358" s="20">
        <f t="shared" si="33"/>
        <v>0</v>
      </c>
      <c r="AS358" s="20">
        <f t="shared" si="33"/>
        <v>0.22222913670028149</v>
      </c>
      <c r="AT358" s="20" t="e">
        <f t="shared" si="33"/>
        <v>#DIV/0!</v>
      </c>
      <c r="AU358" s="20">
        <f t="shared" si="33"/>
        <v>0.30671383707783917</v>
      </c>
      <c r="AV358" s="20">
        <f t="shared" si="33"/>
        <v>0</v>
      </c>
      <c r="AW358" s="20">
        <f t="shared" si="33"/>
        <v>0</v>
      </c>
      <c r="AX358" s="20">
        <f>AX347/AX352</f>
        <v>0</v>
      </c>
      <c r="AY358" s="20">
        <f t="shared" ref="AY358:BI358" si="34">AY347/AY352</f>
        <v>0.46557199968973628</v>
      </c>
      <c r="AZ358" s="20">
        <f t="shared" si="34"/>
        <v>4.196467162810253E-2</v>
      </c>
      <c r="BA358" s="20">
        <f t="shared" si="34"/>
        <v>0</v>
      </c>
      <c r="BB358" s="20">
        <f t="shared" si="34"/>
        <v>0.2990968683830052</v>
      </c>
      <c r="BC358" s="20">
        <f t="shared" si="34"/>
        <v>0.64476233154104834</v>
      </c>
      <c r="BD358" s="20">
        <f t="shared" si="34"/>
        <v>4.457483199997133E-2</v>
      </c>
      <c r="BE358" s="20">
        <f t="shared" si="34"/>
        <v>0.29320570477559732</v>
      </c>
      <c r="BF358" s="20">
        <f t="shared" si="34"/>
        <v>0.29320570477559732</v>
      </c>
      <c r="BG358" s="20">
        <f t="shared" si="34"/>
        <v>4.4835494503723171E-2</v>
      </c>
      <c r="BH358" s="20">
        <f t="shared" si="34"/>
        <v>0.10664644353411637</v>
      </c>
      <c r="BI358" s="20">
        <f t="shared" si="34"/>
        <v>0.62565056703605604</v>
      </c>
      <c r="BJ358" s="21"/>
    </row>
    <row r="359" spans="1:62" x14ac:dyDescent="0.25">
      <c r="A359" t="s">
        <v>611</v>
      </c>
      <c r="E359" s="20">
        <f t="shared" ref="E359:AL359" si="35">E348/E352</f>
        <v>0.1622138389019355</v>
      </c>
      <c r="F359" s="20">
        <f t="shared" si="35"/>
        <v>0.29064153115960645</v>
      </c>
      <c r="G359" s="20">
        <f t="shared" si="35"/>
        <v>4.5217306854888569E-4</v>
      </c>
      <c r="H359" s="20">
        <f t="shared" si="35"/>
        <v>4.2172821809320506E-2</v>
      </c>
      <c r="I359" s="20">
        <f t="shared" si="35"/>
        <v>6.8125953823593211E-2</v>
      </c>
      <c r="J359" s="20">
        <f t="shared" si="35"/>
        <v>3.7890479463939688E-4</v>
      </c>
      <c r="K359" s="20">
        <f t="shared" si="35"/>
        <v>0</v>
      </c>
      <c r="L359" s="20">
        <f t="shared" si="35"/>
        <v>0.36019585447438762</v>
      </c>
      <c r="M359" s="20">
        <f t="shared" si="35"/>
        <v>5.5877500851418613E-2</v>
      </c>
      <c r="N359" s="20">
        <f>N348/N352</f>
        <v>0</v>
      </c>
      <c r="O359" s="20">
        <f t="shared" si="35"/>
        <v>0.1735791044319723</v>
      </c>
      <c r="P359" s="20">
        <f t="shared" si="35"/>
        <v>1.7783833508540543E-3</v>
      </c>
      <c r="Q359" s="20">
        <f t="shared" si="35"/>
        <v>7.1156209939498255E-2</v>
      </c>
      <c r="R359" s="20">
        <f t="shared" si="35"/>
        <v>5.0560303567861974E-3</v>
      </c>
      <c r="S359" s="20">
        <f t="shared" si="35"/>
        <v>0.29090363562088162</v>
      </c>
      <c r="T359" s="20">
        <f t="shared" si="35"/>
        <v>0</v>
      </c>
      <c r="U359" s="20">
        <f t="shared" si="35"/>
        <v>0</v>
      </c>
      <c r="V359" s="20">
        <f t="shared" si="35"/>
        <v>5.456604885607987E-4</v>
      </c>
      <c r="W359" s="20">
        <f t="shared" si="35"/>
        <v>0.128243468795325</v>
      </c>
      <c r="X359" s="20">
        <f t="shared" si="35"/>
        <v>0.78589167089435341</v>
      </c>
      <c r="Y359" s="20">
        <f t="shared" si="35"/>
        <v>0.29758364116760821</v>
      </c>
      <c r="Z359" s="20">
        <f t="shared" si="35"/>
        <v>0.34817908131332642</v>
      </c>
      <c r="AA359" s="20">
        <f t="shared" si="35"/>
        <v>4.6703661728453891E-4</v>
      </c>
      <c r="AB359" s="20">
        <f t="shared" si="35"/>
        <v>0.16516397322057455</v>
      </c>
      <c r="AC359" s="20">
        <f t="shared" si="35"/>
        <v>0.30948039041146747</v>
      </c>
      <c r="AD359" s="20">
        <f t="shared" si="35"/>
        <v>0.30974297142487894</v>
      </c>
      <c r="AE359" s="20">
        <f t="shared" si="35"/>
        <v>0.2758770869986108</v>
      </c>
      <c r="AF359" s="20">
        <f t="shared" si="35"/>
        <v>0.60315556102919388</v>
      </c>
      <c r="AG359" s="20">
        <f t="shared" si="35"/>
        <v>0.28920265278459939</v>
      </c>
      <c r="AH359" s="20">
        <f t="shared" si="35"/>
        <v>0.29636646658996052</v>
      </c>
      <c r="AI359" s="20">
        <f t="shared" si="35"/>
        <v>0.59215014757251638</v>
      </c>
      <c r="AJ359" s="20">
        <f t="shared" si="35"/>
        <v>0.36898292597501292</v>
      </c>
      <c r="AK359" s="20">
        <f t="shared" si="35"/>
        <v>0.20995465590793663</v>
      </c>
      <c r="AL359" s="20">
        <f t="shared" si="35"/>
        <v>0.21018175264540459</v>
      </c>
      <c r="AM359" s="20">
        <f>AM348/AM352</f>
        <v>0</v>
      </c>
      <c r="AN359" s="20">
        <f>AN348/AN352</f>
        <v>0.21023016417185547</v>
      </c>
      <c r="AO359" s="20">
        <f>AO348/AO352</f>
        <v>0.32179385043064607</v>
      </c>
      <c r="AP359" s="20">
        <f>AP348/AP352</f>
        <v>0.89773024376727562</v>
      </c>
      <c r="AQ359" s="20">
        <f t="shared" ref="AQ359:AW359" si="36">AQ348/AQ352</f>
        <v>0.61003665057423873</v>
      </c>
      <c r="AR359" s="20">
        <f t="shared" si="36"/>
        <v>0.90132759568384269</v>
      </c>
      <c r="AS359" s="20">
        <f t="shared" si="36"/>
        <v>0.25470521479432234</v>
      </c>
      <c r="AT359" s="20" t="e">
        <f t="shared" si="36"/>
        <v>#DIV/0!</v>
      </c>
      <c r="AU359" s="20">
        <f t="shared" si="36"/>
        <v>0.13241409322210404</v>
      </c>
      <c r="AV359" s="20">
        <f t="shared" si="36"/>
        <v>0.90149034205350009</v>
      </c>
      <c r="AW359" s="20">
        <f t="shared" si="36"/>
        <v>0.88965556805047696</v>
      </c>
      <c r="AX359" s="20">
        <f>AX348/AX352</f>
        <v>0.78548221736730583</v>
      </c>
      <c r="AY359" s="20">
        <f t="shared" ref="AY359:BI359" si="37">AY348/AY352</f>
        <v>0.17973166594068046</v>
      </c>
      <c r="AZ359" s="20">
        <f t="shared" si="37"/>
        <v>0.83710049319542268</v>
      </c>
      <c r="BA359" s="20">
        <f t="shared" si="37"/>
        <v>0.77787798333483993</v>
      </c>
      <c r="BB359" s="20">
        <f t="shared" si="37"/>
        <v>0.31980794837419341</v>
      </c>
      <c r="BC359" s="20">
        <f t="shared" si="37"/>
        <v>7.5317014037847723E-4</v>
      </c>
      <c r="BD359" s="20">
        <f t="shared" si="37"/>
        <v>0.83932881523784453</v>
      </c>
      <c r="BE359" s="20">
        <f t="shared" si="37"/>
        <v>0.31208411476722631</v>
      </c>
      <c r="BF359" s="20">
        <f t="shared" si="37"/>
        <v>0.31208411476722631</v>
      </c>
      <c r="BG359" s="20">
        <f t="shared" si="37"/>
        <v>0.84423714302382247</v>
      </c>
      <c r="BH359" s="20">
        <f t="shared" si="37"/>
        <v>0.27266521216283751</v>
      </c>
      <c r="BI359" s="20">
        <f t="shared" si="37"/>
        <v>7.5291693195887917E-4</v>
      </c>
      <c r="BJ359" s="21"/>
    </row>
    <row r="360" spans="1:62" x14ac:dyDescent="0.25">
      <c r="A360" t="s">
        <v>612</v>
      </c>
      <c r="E360" s="20">
        <f t="shared" ref="E360:AL360" si="38">E349/E352</f>
        <v>7.3977626280906025E-2</v>
      </c>
      <c r="F360" s="20">
        <f t="shared" si="38"/>
        <v>2.5211147474034298E-2</v>
      </c>
      <c r="G360" s="20">
        <f t="shared" si="38"/>
        <v>7.5037744214485211E-2</v>
      </c>
      <c r="H360" s="20">
        <f t="shared" si="38"/>
        <v>0.87981000772401707</v>
      </c>
      <c r="I360" s="20">
        <f t="shared" si="38"/>
        <v>7.7493854847248536E-2</v>
      </c>
      <c r="J360" s="20">
        <f t="shared" si="38"/>
        <v>0.10362010589134692</v>
      </c>
      <c r="K360" s="20">
        <f t="shared" si="38"/>
        <v>7.6413891157056282E-2</v>
      </c>
      <c r="L360" s="20">
        <f t="shared" si="38"/>
        <v>3.5302500892851307E-2</v>
      </c>
      <c r="M360" s="20">
        <f t="shared" si="38"/>
        <v>0.12819900643077239</v>
      </c>
      <c r="N360" s="20">
        <f>N349/N352</f>
        <v>0</v>
      </c>
      <c r="O360" s="20">
        <f t="shared" si="38"/>
        <v>0</v>
      </c>
      <c r="P360" s="20">
        <f t="shared" si="38"/>
        <v>9.0693468989956963E-2</v>
      </c>
      <c r="Q360" s="20">
        <f t="shared" si="38"/>
        <v>0</v>
      </c>
      <c r="R360" s="20">
        <f t="shared" si="38"/>
        <v>2.1262091196248296E-3</v>
      </c>
      <c r="S360" s="20">
        <f t="shared" si="38"/>
        <v>-1.8864547492973109E-2</v>
      </c>
      <c r="T360" s="20">
        <f t="shared" si="38"/>
        <v>0</v>
      </c>
      <c r="U360" s="20">
        <f t="shared" si="38"/>
        <v>1.4214881119492496E-2</v>
      </c>
      <c r="V360" s="20">
        <f t="shared" si="38"/>
        <v>0.10124425741034218</v>
      </c>
      <c r="W360" s="20">
        <f t="shared" si="38"/>
        <v>0.11543904340933651</v>
      </c>
      <c r="X360" s="20">
        <f t="shared" si="38"/>
        <v>0</v>
      </c>
      <c r="Y360" s="20">
        <f t="shared" si="38"/>
        <v>6.0922000970715491E-2</v>
      </c>
      <c r="Z360" s="20">
        <f t="shared" si="38"/>
        <v>0</v>
      </c>
      <c r="AA360" s="20">
        <f t="shared" si="38"/>
        <v>3.8865586573034946E-2</v>
      </c>
      <c r="AB360" s="20">
        <f t="shared" si="38"/>
        <v>0</v>
      </c>
      <c r="AC360" s="20">
        <f t="shared" si="38"/>
        <v>3.300039114458047E-2</v>
      </c>
      <c r="AD360" s="20">
        <f t="shared" si="38"/>
        <v>0</v>
      </c>
      <c r="AE360" s="20">
        <f t="shared" si="38"/>
        <v>7.0670581501924998E-2</v>
      </c>
      <c r="AF360" s="20">
        <f t="shared" si="38"/>
        <v>-3.6688026781850534E-2</v>
      </c>
      <c r="AG360" s="20">
        <f t="shared" si="38"/>
        <v>3.8586246665073265E-2</v>
      </c>
      <c r="AH360" s="20">
        <f t="shared" si="38"/>
        <v>6.897033583636597E-2</v>
      </c>
      <c r="AI360" s="20">
        <f t="shared" si="38"/>
        <v>-6.9988257771468497E-3</v>
      </c>
      <c r="AJ360" s="20">
        <f t="shared" si="38"/>
        <v>1.7807368009423358E-5</v>
      </c>
      <c r="AK360" s="20">
        <f t="shared" si="38"/>
        <v>2.3499340456622797E-5</v>
      </c>
      <c r="AL360" s="20">
        <f t="shared" si="38"/>
        <v>1.8679536471349517E-5</v>
      </c>
      <c r="AM360" s="20">
        <f>AM349/AM352</f>
        <v>1.451226494320996E-2</v>
      </c>
      <c r="AN360" s="20">
        <f>AN349/AN352</f>
        <v>2.7575826449584084E-5</v>
      </c>
      <c r="AO360" s="20">
        <f>AO349/AO352</f>
        <v>-2.2878819482936113E-2</v>
      </c>
      <c r="AP360" s="20">
        <f>AP349/AP352</f>
        <v>0</v>
      </c>
      <c r="AQ360" s="20">
        <f t="shared" ref="AQ360:AW360" si="39">AQ349/AQ352</f>
        <v>-2.7421125100820294E-2</v>
      </c>
      <c r="AR360" s="20">
        <f t="shared" si="39"/>
        <v>0</v>
      </c>
      <c r="AS360" s="20">
        <f t="shared" si="39"/>
        <v>-1.6887518596882603E-2</v>
      </c>
      <c r="AT360" s="20" t="e">
        <f t="shared" si="39"/>
        <v>#DIV/0!</v>
      </c>
      <c r="AU360" s="20">
        <f t="shared" si="39"/>
        <v>-4.8215383879613603E-3</v>
      </c>
      <c r="AV360" s="20">
        <f t="shared" si="39"/>
        <v>0</v>
      </c>
      <c r="AW360" s="20">
        <f t="shared" si="39"/>
        <v>0</v>
      </c>
      <c r="AX360" s="20">
        <f>AX349/AX352</f>
        <v>0</v>
      </c>
      <c r="AY360" s="20">
        <f t="shared" ref="AY360:BI360" si="40">AY349/AY352</f>
        <v>0</v>
      </c>
      <c r="AZ360" s="20">
        <f t="shared" si="40"/>
        <v>0</v>
      </c>
      <c r="BA360" s="20">
        <f t="shared" si="40"/>
        <v>0</v>
      </c>
      <c r="BB360" s="20">
        <f t="shared" si="40"/>
        <v>-2.2844563428130679E-2</v>
      </c>
      <c r="BC360" s="20">
        <f t="shared" si="40"/>
        <v>0</v>
      </c>
      <c r="BD360" s="20">
        <f t="shared" si="40"/>
        <v>0</v>
      </c>
      <c r="BE360" s="20">
        <f t="shared" si="40"/>
        <v>-2.3357779102223523E-2</v>
      </c>
      <c r="BF360" s="20">
        <f t="shared" si="40"/>
        <v>-2.3357779102223523E-2</v>
      </c>
      <c r="BG360" s="20">
        <f t="shared" si="40"/>
        <v>0</v>
      </c>
      <c r="BH360" s="20">
        <f t="shared" si="40"/>
        <v>0</v>
      </c>
      <c r="BI360" s="20">
        <f t="shared" si="40"/>
        <v>0</v>
      </c>
      <c r="BJ360" s="21"/>
    </row>
    <row r="361" spans="1:62" x14ac:dyDescent="0.25">
      <c r="A361" t="s">
        <v>613</v>
      </c>
      <c r="E361" s="20">
        <f t="shared" ref="E361:M361" si="41">E350/E352</f>
        <v>0.22336410206465945</v>
      </c>
      <c r="F361" s="20">
        <f t="shared" si="41"/>
        <v>7.3621349186555232E-2</v>
      </c>
      <c r="G361" s="20">
        <f t="shared" si="41"/>
        <v>7.7458243532912793E-2</v>
      </c>
      <c r="H361" s="20">
        <f t="shared" si="41"/>
        <v>1.2654552786277366E-2</v>
      </c>
      <c r="I361" s="20">
        <f t="shared" si="41"/>
        <v>8.9785729969861325E-2</v>
      </c>
      <c r="J361" s="20">
        <f t="shared" si="41"/>
        <v>7.3419522073417343E-2</v>
      </c>
      <c r="K361" s="20">
        <f t="shared" si="41"/>
        <v>3.8337237855795514E-2</v>
      </c>
      <c r="L361" s="20">
        <f t="shared" si="41"/>
        <v>0.23661128080020358</v>
      </c>
      <c r="M361" s="20">
        <f t="shared" si="41"/>
        <v>0.20529314222143027</v>
      </c>
      <c r="N361" s="20">
        <f>N350/N352</f>
        <v>-2.1463407339763419E-5</v>
      </c>
      <c r="O361" s="20">
        <f t="shared" ref="O361:AL361" si="42">O350/O352</f>
        <v>1.0237280169161079E-2</v>
      </c>
      <c r="P361" s="20">
        <f t="shared" si="42"/>
        <v>6.3690962343980098E-2</v>
      </c>
      <c r="Q361" s="20">
        <f t="shared" si="42"/>
        <v>2.1481026895917948E-2</v>
      </c>
      <c r="R361" s="20">
        <f t="shared" si="42"/>
        <v>4.9968934801054105E-2</v>
      </c>
      <c r="S361" s="20">
        <f t="shared" si="42"/>
        <v>4.6517053666849953E-2</v>
      </c>
      <c r="T361" s="20">
        <f t="shared" si="42"/>
        <v>0</v>
      </c>
      <c r="U361" s="20">
        <f t="shared" si="42"/>
        <v>4.0356312503413733E-2</v>
      </c>
      <c r="V361" s="20">
        <f t="shared" si="42"/>
        <v>7.4053030291339542E-2</v>
      </c>
      <c r="W361" s="20">
        <f t="shared" si="42"/>
        <v>8.2268762411590396E-2</v>
      </c>
      <c r="X361" s="20">
        <f t="shared" si="42"/>
        <v>-6.0836959347648142E-3</v>
      </c>
      <c r="Y361" s="20">
        <f t="shared" si="42"/>
        <v>0.15511673042930371</v>
      </c>
      <c r="Z361" s="20">
        <f t="shared" si="42"/>
        <v>1.2462251727127611E-3</v>
      </c>
      <c r="AA361" s="20">
        <f t="shared" si="42"/>
        <v>7.5484396799365708E-2</v>
      </c>
      <c r="AB361" s="20">
        <f t="shared" si="42"/>
        <v>2.3197373665587443E-2</v>
      </c>
      <c r="AC361" s="20">
        <f t="shared" si="42"/>
        <v>6.7138631277410321E-2</v>
      </c>
      <c r="AD361" s="20">
        <f t="shared" si="42"/>
        <v>1.7298355689226417E-3</v>
      </c>
      <c r="AE361" s="20">
        <f t="shared" si="42"/>
        <v>0.20119724060483965</v>
      </c>
      <c r="AF361" s="20">
        <f t="shared" si="42"/>
        <v>4.2372489250744182E-2</v>
      </c>
      <c r="AG361" s="20">
        <f t="shared" si="42"/>
        <v>1.0947771653633637E-3</v>
      </c>
      <c r="AH361" s="20">
        <f t="shared" si="42"/>
        <v>0.2324210237711494</v>
      </c>
      <c r="AI361" s="20">
        <f t="shared" si="42"/>
        <v>5.3500944929122232E-2</v>
      </c>
      <c r="AJ361" s="20">
        <f t="shared" si="42"/>
        <v>1.0499044363385032E-3</v>
      </c>
      <c r="AK361" s="20">
        <f t="shared" si="42"/>
        <v>4.0410157218383654E-2</v>
      </c>
      <c r="AL361" s="20">
        <f t="shared" si="42"/>
        <v>4.0447531485458509E-2</v>
      </c>
      <c r="AM361" s="20">
        <f>AM350/AM352</f>
        <v>4.0351326356678291E-2</v>
      </c>
      <c r="AN361" s="20">
        <f>AN350/AN352</f>
        <v>4.0243250704424666E-2</v>
      </c>
      <c r="AO361" s="20">
        <f>AO350/AO352</f>
        <v>3.6333833647971159E-2</v>
      </c>
      <c r="AP361" s="20">
        <f>AP350/AP352</f>
        <v>1.3671619598471494E-4</v>
      </c>
      <c r="AQ361" s="20">
        <f t="shared" ref="AQ361:AW361" si="43">AQ350/AQ352</f>
        <v>2.6330127167947998E-2</v>
      </c>
      <c r="AR361" s="20">
        <f t="shared" si="43"/>
        <v>-1.6120841563175799E-4</v>
      </c>
      <c r="AS361" s="20">
        <f t="shared" si="43"/>
        <v>3.3396666451355077E-2</v>
      </c>
      <c r="AT361" s="20" t="e">
        <f t="shared" si="43"/>
        <v>#DIV/0!</v>
      </c>
      <c r="AU361" s="20">
        <f t="shared" si="43"/>
        <v>2.4720887814263792E-2</v>
      </c>
      <c r="AV361" s="20">
        <f t="shared" si="43"/>
        <v>-2.755468037036237E-6</v>
      </c>
      <c r="AW361" s="20">
        <f t="shared" si="43"/>
        <v>-6.2201475877767025E-5</v>
      </c>
      <c r="AX361" s="20">
        <f>AX350/AX352</f>
        <v>-6.1865884484887937E-3</v>
      </c>
      <c r="AY361" s="20">
        <f t="shared" ref="AY361:BI361" si="44">AY350/AY352</f>
        <v>4.3037520808434981E-2</v>
      </c>
      <c r="AZ361" s="20">
        <f t="shared" si="44"/>
        <v>5.577474871403517E-2</v>
      </c>
      <c r="BA361" s="20">
        <f t="shared" si="44"/>
        <v>-5.9187973510488566E-3</v>
      </c>
      <c r="BB361" s="20">
        <f t="shared" si="44"/>
        <v>3.5397059088953402E-2</v>
      </c>
      <c r="BC361" s="20">
        <f t="shared" si="44"/>
        <v>4.3514938300828393E-2</v>
      </c>
      <c r="BD361" s="20">
        <f t="shared" si="44"/>
        <v>5.963881932102439E-2</v>
      </c>
      <c r="BE361" s="20">
        <f t="shared" si="44"/>
        <v>3.4198272569270813E-2</v>
      </c>
      <c r="BF361" s="20">
        <f t="shared" si="44"/>
        <v>3.4198272569270813E-2</v>
      </c>
      <c r="BG361" s="20">
        <f t="shared" si="44"/>
        <v>5.9342221075166818E-2</v>
      </c>
      <c r="BH361" s="20">
        <f t="shared" si="44"/>
        <v>8.3585560907423293E-4</v>
      </c>
      <c r="BI361" s="20">
        <f t="shared" si="44"/>
        <v>4.1225928939517216E-2</v>
      </c>
      <c r="BJ361" s="21"/>
    </row>
    <row r="362" spans="1:62" x14ac:dyDescent="0.25">
      <c r="A362" s="21" t="s">
        <v>694</v>
      </c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</row>
  </sheetData>
  <mergeCells count="3">
    <mergeCell ref="A3:BI3"/>
    <mergeCell ref="BJ3:BJ362"/>
    <mergeCell ref="A362:BI362"/>
  </mergeCells>
  <conditionalFormatting sqref="A19:A35">
    <cfRule type="cellIs" dxfId="3" priority="17" stopIfTrue="1" operator="lessThan">
      <formula>0</formula>
    </cfRule>
  </conditionalFormatting>
  <conditionalFormatting sqref="B25:B35">
    <cfRule type="cellIs" dxfId="2" priority="26" stopIfTrue="1" operator="lessThan">
      <formula>0</formula>
    </cfRule>
  </conditionalFormatting>
  <conditionalFormatting sqref="C18:D26">
    <cfRule type="cellIs" dxfId="1" priority="18" stopIfTrue="1" operator="lessThan">
      <formula>0</formula>
    </cfRule>
  </conditionalFormatting>
  <conditionalFormatting sqref="E17:BI25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40A2A6AB-3B9F-48E8-AC4F-A648B80BE367}"/>
</file>

<file path=customXml/itemProps2.xml><?xml version="1.0" encoding="utf-8"?>
<ds:datastoreItem xmlns:ds="http://schemas.openxmlformats.org/officeDocument/2006/customXml" ds:itemID="{CD398DFB-942B-4FB5-8C08-2CAC6152D77A}"/>
</file>

<file path=customXml/itemProps3.xml><?xml version="1.0" encoding="utf-8"?>
<ds:datastoreItem xmlns:ds="http://schemas.openxmlformats.org/officeDocument/2006/customXml" ds:itemID="{2E60EF67-6A9C-4CC7-86BC-9C737085F1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10/2025</dc:title>
  <dc:creator>פרידמן אמיר</dc:creator>
  <cp:lastModifiedBy>Tami Berman</cp:lastModifiedBy>
  <dcterms:created xsi:type="dcterms:W3CDTF">2025-11-17T12:48:26Z</dcterms:created>
  <dcterms:modified xsi:type="dcterms:W3CDTF">2025-11-18T21:11:00Z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