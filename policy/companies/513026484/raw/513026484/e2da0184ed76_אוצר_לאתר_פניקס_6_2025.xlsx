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4659656D-181F-4B9D-94BA-1A55C2C30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5" i="1" l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M352" i="1" l="1"/>
  <c r="M354" i="1" s="1"/>
  <c r="AC352" i="1"/>
  <c r="AC354" i="1" s="1"/>
  <c r="AS352" i="1"/>
  <c r="AS354" i="1" s="1"/>
  <c r="H352" i="1"/>
  <c r="H354" i="1" s="1"/>
  <c r="L352" i="1"/>
  <c r="L354" i="1" s="1"/>
  <c r="P352" i="1"/>
  <c r="P354" i="1" s="1"/>
  <c r="T352" i="1"/>
  <c r="T354" i="1" s="1"/>
  <c r="X352" i="1"/>
  <c r="X354" i="1" s="1"/>
  <c r="AB352" i="1"/>
  <c r="AB354" i="1" s="1"/>
  <c r="AF352" i="1"/>
  <c r="AF354" i="1" s="1"/>
  <c r="AJ352" i="1"/>
  <c r="AJ354" i="1" s="1"/>
  <c r="AN352" i="1"/>
  <c r="AN354" i="1" s="1"/>
  <c r="AR352" i="1"/>
  <c r="AR354" i="1" s="1"/>
  <c r="AV352" i="1"/>
  <c r="AV354" i="1" s="1"/>
  <c r="AZ352" i="1"/>
  <c r="AZ354" i="1" s="1"/>
  <c r="BD352" i="1"/>
  <c r="BD354" i="1" s="1"/>
  <c r="BH352" i="1"/>
  <c r="BH354" i="1" s="1"/>
  <c r="U352" i="1"/>
  <c r="U354" i="1" s="1"/>
  <c r="AK352" i="1"/>
  <c r="AK354" i="1" s="1"/>
  <c r="BA352" i="1"/>
  <c r="BA354" i="1" s="1"/>
  <c r="BE352" i="1"/>
  <c r="BE354" i="1" s="1"/>
  <c r="BI352" i="1"/>
  <c r="BI354" i="1" s="1"/>
  <c r="AF357" i="1"/>
  <c r="E352" i="1"/>
  <c r="E354" i="1" s="1"/>
  <c r="Q352" i="1"/>
  <c r="Q354" i="1" s="1"/>
  <c r="AG352" i="1"/>
  <c r="AG354" i="1" s="1"/>
  <c r="AW352" i="1"/>
  <c r="AW354" i="1" s="1"/>
  <c r="BH357" i="1"/>
  <c r="F352" i="1"/>
  <c r="F354" i="1" s="1"/>
  <c r="J352" i="1"/>
  <c r="J354" i="1" s="1"/>
  <c r="N352" i="1"/>
  <c r="N356" i="1" s="1"/>
  <c r="R352" i="1"/>
  <c r="R354" i="1" s="1"/>
  <c r="V352" i="1"/>
  <c r="V354" i="1" s="1"/>
  <c r="V356" i="1"/>
  <c r="Z352" i="1"/>
  <c r="Z354" i="1" s="1"/>
  <c r="AD352" i="1"/>
  <c r="AD358" i="1" s="1"/>
  <c r="AH352" i="1"/>
  <c r="AH354" i="1" s="1"/>
  <c r="AL352" i="1"/>
  <c r="AL354" i="1" s="1"/>
  <c r="AP352" i="1"/>
  <c r="AP354" i="1" s="1"/>
  <c r="AT352" i="1"/>
  <c r="AT357" i="1" s="1"/>
  <c r="AX352" i="1"/>
  <c r="AX354" i="1" s="1"/>
  <c r="BB352" i="1"/>
  <c r="BB354" i="1" s="1"/>
  <c r="BF352" i="1"/>
  <c r="BF354" i="1" s="1"/>
  <c r="M357" i="1"/>
  <c r="AC357" i="1"/>
  <c r="I352" i="1"/>
  <c r="I354" i="1" s="1"/>
  <c r="Y352" i="1"/>
  <c r="Y354" i="1" s="1"/>
  <c r="AO352" i="1"/>
  <c r="AO354" i="1" s="1"/>
  <c r="G352" i="1"/>
  <c r="G354" i="1" s="1"/>
  <c r="K352" i="1"/>
  <c r="K354" i="1" s="1"/>
  <c r="O352" i="1"/>
  <c r="O354" i="1" s="1"/>
  <c r="S352" i="1"/>
  <c r="S354" i="1" s="1"/>
  <c r="W352" i="1"/>
  <c r="W354" i="1" s="1"/>
  <c r="AA352" i="1"/>
  <c r="AA358" i="1" s="1"/>
  <c r="AE352" i="1"/>
  <c r="AE354" i="1" s="1"/>
  <c r="AI352" i="1"/>
  <c r="AI354" i="1" s="1"/>
  <c r="AM352" i="1"/>
  <c r="AM354" i="1" s="1"/>
  <c r="AQ352" i="1"/>
  <c r="AQ361" i="1" s="1"/>
  <c r="AU352" i="1"/>
  <c r="AU354" i="1" s="1"/>
  <c r="AY352" i="1"/>
  <c r="AY354" i="1" s="1"/>
  <c r="BC352" i="1"/>
  <c r="BC354" i="1" s="1"/>
  <c r="BG352" i="1"/>
  <c r="BG361" i="1" s="1"/>
  <c r="M358" i="1"/>
  <c r="AC358" i="1"/>
  <c r="AS358" i="1"/>
  <c r="H359" i="1"/>
  <c r="L359" i="1"/>
  <c r="AB359" i="1"/>
  <c r="AF359" i="1"/>
  <c r="BH359" i="1"/>
  <c r="AM360" i="1"/>
  <c r="AX361" i="1"/>
  <c r="M360" i="1"/>
  <c r="U360" i="1"/>
  <c r="AC360" i="1"/>
  <c r="AG360" i="1"/>
  <c r="AS360" i="1"/>
  <c r="H361" i="1"/>
  <c r="L361" i="1"/>
  <c r="AF361" i="1"/>
  <c r="AJ361" i="1"/>
  <c r="AN361" i="1"/>
  <c r="BH361" i="1"/>
  <c r="H358" i="1"/>
  <c r="AF358" i="1"/>
  <c r="AJ358" i="1"/>
  <c r="BH358" i="1"/>
  <c r="W359" i="1"/>
  <c r="AA359" i="1"/>
  <c r="AE359" i="1"/>
  <c r="AI359" i="1"/>
  <c r="AX360" i="1"/>
  <c r="M361" i="1"/>
  <c r="AC361" i="1"/>
  <c r="M359" i="1"/>
  <c r="Q359" i="1"/>
  <c r="U359" i="1"/>
  <c r="AC359" i="1"/>
  <c r="H360" i="1"/>
  <c r="AB360" i="1"/>
  <c r="AF360" i="1"/>
  <c r="AJ360" i="1"/>
  <c r="AN360" i="1"/>
  <c r="AV360" i="1"/>
  <c r="BH360" i="1"/>
  <c r="E361" i="1" l="1"/>
  <c r="AT358" i="1"/>
  <c r="L360" i="1"/>
  <c r="AT360" i="1"/>
  <c r="BC361" i="1"/>
  <c r="R360" i="1"/>
  <c r="AN359" i="1"/>
  <c r="AJ357" i="1"/>
  <c r="R358" i="1"/>
  <c r="AS361" i="1"/>
  <c r="AK360" i="1"/>
  <c r="BD360" i="1"/>
  <c r="AS359" i="1"/>
  <c r="AO361" i="1"/>
  <c r="AR361" i="1"/>
  <c r="AJ359" i="1"/>
  <c r="H357" i="1"/>
  <c r="AP361" i="1"/>
  <c r="AP360" i="1"/>
  <c r="AU360" i="1"/>
  <c r="AP357" i="1"/>
  <c r="AZ357" i="1"/>
  <c r="L357" i="1"/>
  <c r="N358" i="1"/>
  <c r="BD358" i="1"/>
  <c r="J357" i="1"/>
  <c r="E358" i="1"/>
  <c r="J358" i="1"/>
  <c r="BD361" i="1"/>
  <c r="AP358" i="1"/>
  <c r="N360" i="1"/>
  <c r="BD359" i="1"/>
  <c r="J361" i="1"/>
  <c r="AL360" i="1"/>
  <c r="N357" i="1"/>
  <c r="AL358" i="1"/>
  <c r="I361" i="1"/>
  <c r="J360" i="1"/>
  <c r="P361" i="1"/>
  <c r="AV359" i="1"/>
  <c r="AH360" i="1"/>
  <c r="AZ361" i="1"/>
  <c r="AE361" i="1"/>
  <c r="AD360" i="1"/>
  <c r="AA361" i="1"/>
  <c r="BI360" i="1"/>
  <c r="BE358" i="1"/>
  <c r="W361" i="1"/>
  <c r="BA359" i="1"/>
  <c r="L358" i="1"/>
  <c r="BE360" i="1"/>
  <c r="BB361" i="1"/>
  <c r="AE360" i="1"/>
  <c r="BA358" i="1"/>
  <c r="AH357" i="1"/>
  <c r="AI361" i="1"/>
  <c r="BI358" i="1"/>
  <c r="P358" i="1"/>
  <c r="AI360" i="1"/>
  <c r="BI361" i="1"/>
  <c r="X360" i="1"/>
  <c r="AW359" i="1"/>
  <c r="BE361" i="1"/>
  <c r="AW360" i="1"/>
  <c r="X359" i="1"/>
  <c r="AW358" i="1"/>
  <c r="AD357" i="1"/>
  <c r="BI359" i="1"/>
  <c r="T358" i="1"/>
  <c r="AV356" i="1"/>
  <c r="BG357" i="1"/>
  <c r="BG359" i="1"/>
  <c r="AZ358" i="1"/>
  <c r="BI357" i="1"/>
  <c r="T359" i="1"/>
  <c r="Z357" i="1"/>
  <c r="BE357" i="1"/>
  <c r="AV361" i="1"/>
  <c r="BE356" i="1"/>
  <c r="BE359" i="1"/>
  <c r="T360" i="1"/>
  <c r="AW361" i="1"/>
  <c r="AZ360" i="1"/>
  <c r="P360" i="1"/>
  <c r="AO359" i="1"/>
  <c r="AH358" i="1"/>
  <c r="BC359" i="1"/>
  <c r="AV358" i="1"/>
  <c r="T361" i="1"/>
  <c r="AH361" i="1"/>
  <c r="AZ359" i="1"/>
  <c r="P359" i="1"/>
  <c r="V357" i="1"/>
  <c r="AS357" i="1"/>
  <c r="AK361" i="1"/>
  <c r="I359" i="1"/>
  <c r="AG361" i="1"/>
  <c r="BF360" i="1"/>
  <c r="Z360" i="1"/>
  <c r="AY359" i="1"/>
  <c r="S359" i="1"/>
  <c r="AR358" i="1"/>
  <c r="AK358" i="1"/>
  <c r="BF357" i="1"/>
  <c r="AR357" i="1"/>
  <c r="AY361" i="1"/>
  <c r="S361" i="1"/>
  <c r="AR360" i="1"/>
  <c r="AK359" i="1"/>
  <c r="E359" i="1"/>
  <c r="BB360" i="1"/>
  <c r="V360" i="1"/>
  <c r="AU359" i="1"/>
  <c r="O359" i="1"/>
  <c r="AN358" i="1"/>
  <c r="Y360" i="1"/>
  <c r="AR359" i="1"/>
  <c r="AG358" i="1"/>
  <c r="AX357" i="1"/>
  <c r="AK357" i="1"/>
  <c r="AB357" i="1"/>
  <c r="P357" i="1"/>
  <c r="AN356" i="1"/>
  <c r="F357" i="1"/>
  <c r="AG357" i="1"/>
  <c r="AM359" i="1"/>
  <c r="G359" i="1"/>
  <c r="AB361" i="1"/>
  <c r="BA360" i="1"/>
  <c r="Q360" i="1"/>
  <c r="V361" i="1"/>
  <c r="O360" i="1"/>
  <c r="Y358" i="1"/>
  <c r="BD356" i="1"/>
  <c r="F358" i="1"/>
  <c r="AK356" i="1"/>
  <c r="AU361" i="1"/>
  <c r="O361" i="1"/>
  <c r="AG359" i="1"/>
  <c r="BF358" i="1"/>
  <c r="Z358" i="1"/>
  <c r="Y361" i="1"/>
  <c r="AQ359" i="1"/>
  <c r="K359" i="1"/>
  <c r="Z361" i="1"/>
  <c r="S360" i="1"/>
  <c r="K361" i="1"/>
  <c r="BB358" i="1"/>
  <c r="V358" i="1"/>
  <c r="BA361" i="1"/>
  <c r="U361" i="1"/>
  <c r="AM361" i="1"/>
  <c r="G361" i="1"/>
  <c r="Y359" i="1"/>
  <c r="AX358" i="1"/>
  <c r="Q361" i="1"/>
  <c r="AB358" i="1"/>
  <c r="X361" i="1"/>
  <c r="K360" i="1"/>
  <c r="U358" i="1"/>
  <c r="Q357" i="1"/>
  <c r="AW356" i="1"/>
  <c r="AF356" i="1"/>
  <c r="F360" i="1"/>
  <c r="X358" i="1"/>
  <c r="BF361" i="1"/>
  <c r="F361" i="1"/>
  <c r="Q358" i="1"/>
  <c r="F356" i="1"/>
  <c r="BC360" i="1"/>
  <c r="BB357" i="1"/>
  <c r="AL357" i="1"/>
  <c r="AO356" i="1"/>
  <c r="BA357" i="1"/>
  <c r="E360" i="1"/>
  <c r="BA356" i="1"/>
  <c r="AO360" i="1"/>
  <c r="AL361" i="1"/>
  <c r="R361" i="1"/>
  <c r="W360" i="1"/>
  <c r="G360" i="1"/>
  <c r="AO358" i="1"/>
  <c r="I358" i="1"/>
  <c r="R357" i="1"/>
  <c r="T357" i="1"/>
  <c r="AW357" i="1"/>
  <c r="E357" i="1"/>
  <c r="AV357" i="1"/>
  <c r="BH356" i="1"/>
  <c r="AZ356" i="1"/>
  <c r="AR356" i="1"/>
  <c r="AJ356" i="1"/>
  <c r="AB356" i="1"/>
  <c r="M356" i="1"/>
  <c r="U357" i="1"/>
  <c r="Z356" i="1"/>
  <c r="R356" i="1"/>
  <c r="J356" i="1"/>
  <c r="E356" i="1"/>
  <c r="AY360" i="1"/>
  <c r="BC356" i="1"/>
  <c r="AU356" i="1"/>
  <c r="AM356" i="1"/>
  <c r="AE356" i="1"/>
  <c r="W356" i="1"/>
  <c r="O356" i="1"/>
  <c r="W358" i="1"/>
  <c r="Y356" i="1"/>
  <c r="AO357" i="1"/>
  <c r="Y357" i="1"/>
  <c r="I357" i="1"/>
  <c r="BF356" i="1"/>
  <c r="AX356" i="1"/>
  <c r="AP356" i="1"/>
  <c r="AH356" i="1"/>
  <c r="Q356" i="1"/>
  <c r="I360" i="1"/>
  <c r="BB359" i="1"/>
  <c r="AL359" i="1"/>
  <c r="V359" i="1"/>
  <c r="AY358" i="1"/>
  <c r="BI356" i="1"/>
  <c r="AY357" i="1"/>
  <c r="AI357" i="1"/>
  <c r="S357" i="1"/>
  <c r="G357" i="1"/>
  <c r="X357" i="1"/>
  <c r="BG354" i="1"/>
  <c r="BG360" i="1"/>
  <c r="AQ354" i="1"/>
  <c r="AQ360" i="1"/>
  <c r="AA354" i="1"/>
  <c r="AA360" i="1"/>
  <c r="AT361" i="1"/>
  <c r="AT354" i="1"/>
  <c r="AD361" i="1"/>
  <c r="AD354" i="1"/>
  <c r="AU358" i="1"/>
  <c r="AX359" i="1"/>
  <c r="AH359" i="1"/>
  <c r="R359" i="1"/>
  <c r="F359" i="1"/>
  <c r="AI358" i="1"/>
  <c r="AU357" i="1"/>
  <c r="AE357" i="1"/>
  <c r="O357" i="1"/>
  <c r="T356" i="1"/>
  <c r="L356" i="1"/>
  <c r="H356" i="1"/>
  <c r="K358" i="1"/>
  <c r="AC356" i="1"/>
  <c r="BG356" i="1"/>
  <c r="AY356" i="1"/>
  <c r="AQ356" i="1"/>
  <c r="AI356" i="1"/>
  <c r="AA356" i="1"/>
  <c r="S356" i="1"/>
  <c r="K356" i="1"/>
  <c r="G356" i="1"/>
  <c r="I356" i="1"/>
  <c r="BB356" i="1"/>
  <c r="AT356" i="1"/>
  <c r="AL356" i="1"/>
  <c r="AD356" i="1"/>
  <c r="N361" i="1"/>
  <c r="N354" i="1"/>
  <c r="AE358" i="1"/>
  <c r="AT359" i="1"/>
  <c r="AD359" i="1"/>
  <c r="N359" i="1"/>
  <c r="BG358" i="1"/>
  <c r="S358" i="1"/>
  <c r="AQ357" i="1"/>
  <c r="AA357" i="1"/>
  <c r="K357" i="1"/>
  <c r="BD357" i="1"/>
  <c r="AM358" i="1"/>
  <c r="O358" i="1"/>
  <c r="AG356" i="1"/>
  <c r="BF359" i="1"/>
  <c r="AP359" i="1"/>
  <c r="Z359" i="1"/>
  <c r="J359" i="1"/>
  <c r="BC358" i="1"/>
  <c r="G358" i="1"/>
  <c r="U356" i="1"/>
  <c r="BC357" i="1"/>
  <c r="AM357" i="1"/>
  <c r="W357" i="1"/>
  <c r="X356" i="1"/>
  <c r="P356" i="1"/>
  <c r="AQ358" i="1"/>
  <c r="AN357" i="1"/>
  <c r="AS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<sst xmlns="http://schemas.openxmlformats.org/spreadsheetml/2006/main" count="765" uniqueCount="697">
  <si>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</si>
  <si>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</si>
  <si>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</si>
  <si>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</si>
  <si>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</si>
  <si>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</si>
  <si>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</si>
  <si>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</si>
  <si>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</si>
  <si>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</si>
  <si>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</si>
  <si>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</si>
  <si>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</si>
  <si>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</si>
  <si>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</si>
  <si>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</si>
  <si>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</si>
  <si>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</si>
  <si>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</si>
  <si>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</si>
  <si>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</si>
  <si>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</si>
  <si>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</si>
  <si>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</si>
  <si>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</si>
  <si>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</si>
  <si>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</si>
  <si>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</si>
  <si>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</si>
  <si>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</si>
  <si>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</si>
  <si>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</si>
  <si>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</si>
  <si>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</si>
  <si>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</si>
  <si>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</si>
  <si>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</si>
  <si>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</si>
  <si>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</si>
  <si>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</si>
  <si>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</si>
  <si>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</si>
  <si>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</si>
  <si>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</si>
  <si>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</si>
  <si>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</si>
  <si>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</si>
  <si>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</si>
  <si>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</si>
  <si>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</si>
  <si>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</si>
  <si>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</si>
  <si>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</si>
  <si>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</si>
  <si>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</si>
  <si>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</si>
  <si>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</si>
  <si>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</si>
  <si>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</si>
  <si>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</si>
  <si>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</si>
  <si>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</si>
  <si>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</si>
  <si>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</si>
  <si>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</si>
  <si>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</si>
  <si>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</si>
  <si>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</si>
  <si>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</si>
  <si>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</si>
  <si>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</si>
  <si>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</si>
  <si>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</si>
  <si>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</si>
  <si>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</si>
  <si>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</si>
  <si>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</si>
  <si>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</si>
  <si>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</si>
  <si>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</si>
  <si>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</si>
  <si>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</si>
  <si>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</si>
  <si>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</si>
  <si>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</si>
  <si>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</si>
  <si>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</si>
  <si>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</si>
  <si>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</si>
  <si>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</si>
  <si>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</si>
  <si>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</si>
  <si>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</si>
  <si>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</si>
  <si>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</si>
  <si>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</si>
  <si>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</si>
  <si>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</si>
  <si>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</si>
  <si>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</si>
  <si>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</si>
  <si>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</si>
  <si>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</si>
  <si>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</si>
  <si>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</si>
  <si>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</si>
  <si>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</si>
  <si>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</si>
  <si>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</si>
  <si>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</si>
  <si>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</si>
  <si>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</si>
  <si>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</si>
  <si>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</si>
  <si>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</si>
  <si>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</si>
  <si>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</si>
  <si>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</si>
  <si>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</si>
  <si>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</si>
  <si>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</si>
  <si>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</si>
  <si>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</si>
  <si>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</si>
  <si>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</si>
  <si>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</si>
  <si>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</si>
  <si>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</si>
  <si>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</si>
  <si>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</si>
  <si>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</si>
  <si>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</si>
  <si>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</si>
  <si>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</si>
  <si>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</si>
  <si>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</si>
  <si>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</si>
  <si>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</si>
  <si>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</si>
  <si>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</si>
  <si>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</si>
  <si>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</si>
  <si>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</si>
  <si>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</si>
  <si>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</si>
  <si>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</si>
  <si>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</si>
  <si>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</si>
  <si>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</si>
  <si>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</si>
  <si>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</si>
  <si>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</si>
  <si>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</si>
  <si>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</si>
  <si>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</si>
  <si>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</si>
  <si>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</si>
  <si>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</si>
  <si>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</si>
  <si>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</si>
  <si>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</si>
  <si>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</si>
  <si>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</si>
  <si>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</si>
  <si>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</si>
  <si>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</si>
  <si>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</si>
  <si>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</si>
  <si>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</si>
  <si>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</si>
  <si>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</si>
  <si>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</si>
  <si>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</si>
  <si>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</si>
  <si>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</si>
  <si>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</si>
  <si>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</si>
  <si>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</si>
  <si>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</si>
  <si>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</si>
  <si>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</si>
  <si>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</si>
  <si>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</si>
  <si>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</si>
  <si>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</si>
  <si>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</si>
  <si>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</si>
  <si>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</si>
  <si>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</si>
  <si>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</si>
  <si>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</si>
  <si>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</si>
  <si>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</si>
  <si>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</si>
  <si>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</si>
  <si>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</si>
  <si>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</si>
  <si>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</si>
  <si>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</si>
  <si>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</si>
  <si>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</si>
  <si>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</si>
  <si>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</si>
  <si>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</si>
  <si>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</si>
  <si>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</si>
  <si>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</si>
  <si>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</si>
  <si>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</si>
  <si>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</si>
  <si>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</si>
  <si>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</si>
  <si>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</si>
  <si>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</si>
  <si>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</si>
  <si>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</si>
  <si>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</si>
  <si>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</si>
  <si>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</si>
  <si>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</si>
  <si>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</si>
  <si>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</si>
  <si>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</si>
  <si>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</si>
  <si>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</si>
  <si>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</si>
  <si>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</si>
  <si>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</si>
  <si>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</si>
  <si>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</si>
  <si>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</si>
  <si>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</si>
  <si>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</si>
  <si>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</si>
  <si>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</si>
  <si>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</si>
  <si>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</si>
  <si>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</si>
  <si>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</si>
  <si>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</si>
  <si>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</si>
  <si>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</si>
  <si>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</si>
  <si>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</si>
  <si>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</si>
  <si>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</si>
  <si>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</si>
  <si>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</si>
  <si>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</si>
  <si>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</si>
  <si>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</si>
  <si>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</si>
  <si>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</si>
  <si>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</si>
  <si>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</si>
  <si>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</si>
  <si>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</si>
  <si>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</si>
  <si>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</si>
  <si>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</si>
  <si>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</si>
  <si>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</si>
  <si>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</si>
  <si>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</si>
  <si>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</si>
  <si>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</si>
  <si>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</si>
  <si>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</si>
  <si>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</si>
  <si>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</si>
  <si>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</si>
  <si>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</si>
  <si>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</si>
  <si>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</si>
  <si>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</si>
  <si>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</si>
  <si>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</si>
  <si>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</si>
  <si>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</si>
  <si>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</si>
  <si>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</si>
  <si>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</si>
  <si>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</si>
  <si>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</si>
  <si>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</si>
  <si>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</si>
  <si>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</si>
  <si>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</si>
  <si>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</si>
  <si>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</si>
  <si>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</si>
  <si>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</si>
  <si>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</si>
  <si>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</si>
  <si>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</si>
  <si>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</si>
  <si>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</si>
  <si>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</si>
  <si>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</si>
  <si>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</si>
  <si>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</si>
  <si>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</si>
  <si>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</si>
  <si>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</si>
  <si>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</si>
  <si>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</si>
  <si>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</si>
  <si>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</si>
  <si>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</si>
  <si>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</si>
  <si>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</si>
  <si>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</si>
  <si>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</si>
  <si>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</si>
  <si>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</si>
  <si>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</si>
  <si>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</si>
  <si>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</si>
  <si>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</si>
  <si>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</si>
  <si>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</si>
  <si>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</si>
  <si>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</si>
  <si>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</si>
  <si>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</si>
  <si>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</si>
  <si>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</si>
  <si>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</si>
  <si>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</si>
  <si>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</si>
  <si>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</si>
  <si>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</si>
  <si>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</si>
  <si>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</si>
  <si>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</si>
  <si>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</si>
  <si>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</si>
  <si>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</si>
  <si>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</si>
  <si>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</si>
  <si>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</si>
  <si>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</si>
  <si>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</si>
  <si>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</si>
  <si>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</si>
  <si>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</si>
  <si>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</si>
  <si>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</si>
  <si>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</si>
  <si>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</si>
  <si>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</si>
  <si>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</si>
  <si>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</si>
  <si>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</si>
  <si>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</si>
  <si>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</si>
  <si>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</si>
  <si>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</si>
  <si>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</si>
  <si>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</si>
  <si>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</si>
  <si>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</si>
  <si>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</si>
  <si>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</si>
  <si>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</si>
  <si>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</si>
  <si>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</si>
  <si>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</si>
  <si>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</si>
  <si>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</si>
  <si>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</si>
  <si>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</si>
  <si>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</si>
  <si>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</si>
  <si>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</si>
  <si>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</si>
  <si>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</si>
  <si>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</si>
  <si>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</si>
  <si>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</si>
  <si>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</si>
  <si>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</si>
  <si>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</si>
  <si>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</si>
  <si>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</si>
  <si>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</si>
  <si>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</si>
  <si>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</si>
  <si>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</si>
  <si>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</si>
  <si>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</si>
  <si>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</si>
  <si>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</si>
  <si>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</si>
  <si>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</si>
  <si>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</si>
  <si>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</si>
  <si>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</si>
  <si>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</si>
  <si>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</si>
  <si>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</si>
  <si>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</si>
  <si>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</si>
  <si>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</si>
  <si>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</si>
  <si>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</si>
  <si>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</si>
  <si>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</si>
  <si>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</si>
  <si>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</si>
  <si>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</si>
  <si>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</si>
  <si>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</si>
  <si>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</si>
  <si>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</si>
  <si>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</si>
  <si>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</si>
  <si>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</si>
  <si>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</si>
  <si>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</si>
  <si>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</si>
  <si>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</si>
  <si>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</si>
  <si>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</si>
  <si>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</si>
  <si>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</si>
  <si>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</si>
  <si>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</si>
  <si>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</si>
  <si>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</si>
  <si>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</si>
  <si>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</si>
  <si>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</si>
  <si>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</si>
  <si>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</si>
  <si>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</si>
  <si>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</si>
  <si>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</si>
  <si>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</si>
  <si>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</si>
  <si>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</si>
  <si>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</si>
  <si>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</si>
  <si>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</si>
  <si>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</si>
  <si>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</si>
  <si>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</si>
  <si>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</si>
  <si>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</si>
  <si>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</si>
  <si>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</si>
  <si>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</si>
  <si>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</si>
  <si>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</si>
  <si>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</si>
  <si>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</si>
  <si>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</si>
  <si>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</si>
  <si>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</si>
  <si>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</si>
  <si>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</si>
  <si>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</si>
  <si>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</si>
  <si>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</si>
  <si>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</si>
  <si>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</si>
  <si>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</si>
  <si>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</si>
  <si>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</si>
  <si>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</si>
  <si>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</si>
  <si>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</si>
  <si>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</si>
  <si>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</si>
  <si>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</si>
  <si>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</si>
  <si>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</si>
  <si>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</si>
  <si>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</si>
  <si>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</si>
  <si>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</si>
  <si>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</si>
  <si>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</si>
  <si>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</si>
  <si>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</si>
  <si>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</si>
  <si>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</si>
  <si>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</si>
  <si>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</si>
  <si>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</si>
  <si>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</si>
  <si>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</si>
  <si>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</si>
  <si>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</si>
  <si>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</si>
  <si>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</si>
  <si>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</si>
  <si>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</si>
  <si>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</si>
  <si>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</si>
  <si>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</si>
  <si>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</si>
  <si>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</si>
  <si>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</si>
  <si>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</si>
  <si>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</si>
  <si>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</si>
  <si>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</si>
  <si>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</si>
  <si>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</si>
  <si>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</si>
  <si>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</si>
  <si>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</si>
  <si>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</si>
  <si>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</si>
  <si>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</si>
  <si>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</si>
  <si>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</si>
  <si>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</si>
  <si>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</si>
  <si>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</si>
  <si>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</si>
  <si>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</si>
  <si>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</si>
  <si>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</si>
  <si>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</si>
  <si>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</si>
  <si>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</si>
  <si>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</si>
  <si>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</si>
  <si>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</si>
  <si>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</si>
  <si>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</si>
  <si>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</si>
  <si>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</si>
  <si>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</si>
  <si>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</si>
  <si>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</si>
  <si>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</si>
  <si>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</si>
  <si>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</si>
  <si>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</si>
  <si>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</si>
  <si>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</si>
  <si>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</si>
  <si>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</si>
  <si>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</si>
  <si>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</si>
  <si>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</si>
  <si>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</si>
  <si>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</si>
  <si>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</si>
  <si>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</si>
  <si>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</si>
  <si>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</si>
  <si>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</si>
  <si>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</si>
  <si>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</si>
  <si>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</si>
  <si>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</si>
  <si>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</si>
  <si>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</si>
  <si>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</si>
  <si>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</si>
  <si>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</si>
  <si>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</si>
  <si>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</si>
  <si>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</si>
  <si>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</si>
  <si>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</si>
  <si>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</si>
  <si>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</si>
  <si>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</si>
  <si>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</si>
  <si>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</si>
  <si>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</si>
  <si>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</si>
  <si>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</si>
  <si>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</si>
  <si>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</si>
  <si>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</si>
  <si>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</si>
  <si>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</si>
  <si>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</si>
  <si>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</si>
  <si>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</si>
  <si>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</si>
  <si>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</si>
  <si>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</si>
  <si>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</si>
  <si>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</si>
  <si>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</si>
  <si>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</si>
  <si>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</si>
  <si>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</si>
  <si>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</si>
  <si>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</si>
  <si>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</si>
  <si>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</si>
  <si>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</si>
  <si>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</si>
  <si>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</si>
  <si>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</si>
  <si>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</si>
  <si>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</si>
  <si>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</si>
  <si>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</si>
  <si>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</si>
  <si>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</si>
  <si>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</si>
  <si>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</si>
  <si>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</si>
  <si>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</si>
  <si>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</si>
  <si>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</si>
  <si>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</si>
  <si>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</si>
  <si>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</si>
  <si>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</si>
  <si>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</si>
  <si>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</si>
  <si>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</si>
  <si>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</si>
  <si>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</si>
  <si>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</si>
  <si>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</si>
  <si>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</si>
  <si>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</si>
  <si>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</si>
  <si>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</si>
  <si>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</si>
  <si>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</si>
  <si>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</si>
  <si>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</si>
  <si>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</si>
  <si>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</si>
  <si>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</si>
  <si>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</si>
  <si>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</si>
  <si>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</si>
  <si>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</si>
  <si>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</si>
  <si>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</si>
  <si>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</si>
  <si>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</si>
  <si>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</si>
  <si>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</si>
  <si>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</si>
  <si>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</si>
  <si>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</si>
  <si>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</si>
  <si>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</si>
  <si>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</si>
  <si>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</si>
  <si>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</si>
  <si>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</si>
  <si>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</si>
  <si>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</si>
  <si>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</si>
  <si>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</si>
  <si>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</si>
  <si>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</si>
  <si>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</si>
  <si>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</si>
  <si>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</si>
  <si>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</si>
  <si>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</si>
  <si>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</si>
  <si>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</si>
  <si>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</si>
  <si>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</si>
  <si>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</si>
  <si>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</si>
  <si>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</si>
  <si>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</si>
  <si>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</si>
  <si>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</si>
  <si>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</si>
  <si>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</si>
  <si>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</si>
  <si>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</si>
  <si>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</si>
  <si>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</si>
  <si>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</si>
  <si>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</si>
  <si>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</si>
  <si>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</si>
  <si>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</si>
  <si>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</si>
  <si>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</si>
  <si>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</si>
  <si>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</si>
  <si>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</si>
  <si>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</si>
  <si>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</si>
  <si>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סיום מידע טבלה צד שמאל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</si>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</sst>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358140</xdr:colOff>
      <xdr:row>1</xdr:row>
      <xdr:rowOff>167640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1C82BCBA-ECB6-4595-AE95-6181285C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525400" y="0"/>
          <a:ext cx="35814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22"/>
      <sheetName val="גיליון124"/>
      <sheetName val="גיליון126"/>
      <sheetName val="גיליון128"/>
      <sheetName val="גיליון130"/>
      <sheetName val="גיליון1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362"/>
  <sheetViews>
    <sheetView rightToLeft="1" tabSelected="1" workbookViewId="0"/>
  </sheetViews>
  <sheetFormatPr defaultRowHeight="13.8" x14ac:dyDescent="0.25"/>
  <cols>
    <col min="5" max="5" width="18.8984375" customWidth="1"/>
  </cols>
  <sheetData>
    <row r="3" spans="1:62" x14ac:dyDescent="0.25">
      <c r="A3" s="21" t="s">
        <v>694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695</v>
      </c>
    </row>
    <row r="4" spans="1:62" ht="15.6" x14ac:dyDescent="0.3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9">
        <v>828</v>
      </c>
      <c r="AQ4" s="9">
        <v>844</v>
      </c>
      <c r="AR4" s="9">
        <v>839</v>
      </c>
      <c r="AS4" s="9">
        <v>857</v>
      </c>
      <c r="AT4" s="9">
        <v>851</v>
      </c>
      <c r="AU4" s="9">
        <v>849</v>
      </c>
      <c r="AV4" s="9">
        <v>846</v>
      </c>
      <c r="AW4" s="9">
        <v>834</v>
      </c>
      <c r="AX4" s="9">
        <v>506</v>
      </c>
      <c r="AY4" s="9">
        <v>521</v>
      </c>
      <c r="AZ4" s="9">
        <v>522</v>
      </c>
      <c r="BA4" s="9">
        <v>528</v>
      </c>
      <c r="BB4" s="9">
        <v>548</v>
      </c>
      <c r="BC4" s="9">
        <v>551</v>
      </c>
      <c r="BD4" s="9">
        <v>555</v>
      </c>
      <c r="BE4" s="9">
        <v>558</v>
      </c>
      <c r="BF4" s="9">
        <v>558</v>
      </c>
      <c r="BG4" s="9">
        <v>578</v>
      </c>
      <c r="BH4" s="9">
        <v>580</v>
      </c>
      <c r="BI4" s="9">
        <v>577</v>
      </c>
      <c r="BJ4" s="21"/>
    </row>
    <row r="5" spans="1:62" x14ac:dyDescent="0.25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715</v>
      </c>
      <c r="L5" s="10">
        <v>9916</v>
      </c>
      <c r="M5" s="10">
        <v>1100</v>
      </c>
      <c r="N5" s="10">
        <v>801</v>
      </c>
      <c r="O5" s="10">
        <v>804</v>
      </c>
      <c r="P5" s="10">
        <v>806</v>
      </c>
      <c r="Q5" s="10">
        <v>8765</v>
      </c>
      <c r="R5" s="10">
        <v>8766</v>
      </c>
      <c r="S5" s="10">
        <v>9418</v>
      </c>
      <c r="T5" s="10">
        <v>9475</v>
      </c>
      <c r="U5" s="10">
        <v>9906</v>
      </c>
      <c r="V5" s="10">
        <v>7905</v>
      </c>
      <c r="W5" s="10">
        <v>7906</v>
      </c>
      <c r="X5" s="10">
        <v>7907</v>
      </c>
      <c r="Y5" s="10">
        <v>7908</v>
      </c>
      <c r="Z5" s="10">
        <v>7909</v>
      </c>
      <c r="AA5" s="10">
        <v>11310</v>
      </c>
      <c r="AB5" s="10">
        <v>11311</v>
      </c>
      <c r="AC5" s="10">
        <v>11312</v>
      </c>
      <c r="AD5" s="10">
        <v>11335</v>
      </c>
      <c r="AE5" s="10">
        <v>9529</v>
      </c>
      <c r="AF5" s="10">
        <v>961</v>
      </c>
      <c r="AG5" s="10">
        <v>9528</v>
      </c>
      <c r="AH5" s="10">
        <v>964</v>
      </c>
      <c r="AI5" s="10">
        <v>968</v>
      </c>
      <c r="AJ5" s="10">
        <v>8629</v>
      </c>
      <c r="AK5" s="10">
        <v>13264</v>
      </c>
      <c r="AL5" s="10">
        <v>13263</v>
      </c>
      <c r="AM5" s="10">
        <v>13209</v>
      </c>
      <c r="AN5" s="10">
        <v>13250</v>
      </c>
      <c r="AO5" s="10">
        <v>14281</v>
      </c>
      <c r="AP5" s="11">
        <v>2049</v>
      </c>
      <c r="AQ5" s="12">
        <v>7975</v>
      </c>
      <c r="AR5" s="12">
        <v>8004</v>
      </c>
      <c r="AS5" s="11">
        <v>1008</v>
      </c>
      <c r="AT5" s="11">
        <v>9484</v>
      </c>
      <c r="AU5" s="11">
        <v>682</v>
      </c>
      <c r="AV5" s="11">
        <v>11352</v>
      </c>
      <c r="AW5" s="11">
        <v>2058</v>
      </c>
      <c r="AX5" s="11">
        <v>15007</v>
      </c>
      <c r="AY5" s="11">
        <v>15208</v>
      </c>
      <c r="AZ5" s="11">
        <v>15209</v>
      </c>
      <c r="BA5" s="11">
        <v>15210</v>
      </c>
      <c r="BB5" s="11">
        <v>15211</v>
      </c>
      <c r="BC5" s="11">
        <v>15212</v>
      </c>
      <c r="BD5" s="11">
        <v>15232</v>
      </c>
      <c r="BE5" s="11">
        <v>15214</v>
      </c>
      <c r="BF5" s="11">
        <v>15214</v>
      </c>
      <c r="BG5" s="11">
        <v>15233</v>
      </c>
      <c r="BH5" s="11">
        <v>15234</v>
      </c>
      <c r="BI5" s="11">
        <v>15215</v>
      </c>
      <c r="BJ5" s="21"/>
    </row>
    <row r="6" spans="1:62" ht="15.6" x14ac:dyDescent="0.3">
      <c r="A6" s="3">
        <v>45809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3" t="s">
        <v>651</v>
      </c>
      <c r="AQ6" s="14" t="s">
        <v>652</v>
      </c>
      <c r="AR6" s="13" t="s">
        <v>653</v>
      </c>
      <c r="AS6" s="13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21"/>
    </row>
    <row r="7" spans="1:62" ht="15.6" x14ac:dyDescent="0.3">
      <c r="A7" s="4"/>
      <c r="B7" s="5"/>
      <c r="C7" s="5"/>
      <c r="D7" s="6" t="s">
        <v>0</v>
      </c>
      <c r="E7" s="15" t="s">
        <v>660</v>
      </c>
      <c r="F7" s="15" t="s">
        <v>661</v>
      </c>
      <c r="G7" s="15" t="s">
        <v>662</v>
      </c>
      <c r="H7" s="15" t="s">
        <v>663</v>
      </c>
      <c r="I7" s="15" t="s">
        <v>664</v>
      </c>
      <c r="J7" s="15" t="s">
        <v>665</v>
      </c>
      <c r="K7" s="15" t="s">
        <v>666</v>
      </c>
      <c r="L7" s="15" t="s">
        <v>667</v>
      </c>
      <c r="M7" s="15" t="s">
        <v>668</v>
      </c>
      <c r="N7" s="15" t="s">
        <v>669</v>
      </c>
      <c r="O7" s="15" t="s">
        <v>670</v>
      </c>
      <c r="P7" s="15" t="s">
        <v>671</v>
      </c>
      <c r="Q7" s="15" t="s">
        <v>672</v>
      </c>
      <c r="R7" s="15" t="s">
        <v>673</v>
      </c>
      <c r="S7" s="15" t="s">
        <v>674</v>
      </c>
      <c r="T7" s="15" t="s">
        <v>675</v>
      </c>
      <c r="U7" s="15" t="s">
        <v>676</v>
      </c>
      <c r="V7" s="15" t="s">
        <v>677</v>
      </c>
      <c r="W7" s="15" t="s">
        <v>678</v>
      </c>
      <c r="X7" s="15" t="s">
        <v>679</v>
      </c>
      <c r="Y7" s="15" t="s">
        <v>680</v>
      </c>
      <c r="Z7" s="15" t="s">
        <v>681</v>
      </c>
      <c r="AA7" s="15" t="s">
        <v>682</v>
      </c>
      <c r="AB7" s="15" t="s">
        <v>683</v>
      </c>
      <c r="AC7" s="15" t="s">
        <v>684</v>
      </c>
      <c r="AD7" s="15" t="s">
        <v>685</v>
      </c>
      <c r="AE7" s="15" t="s">
        <v>686</v>
      </c>
      <c r="AF7" s="15" t="s">
        <v>687</v>
      </c>
      <c r="AG7" s="15" t="s">
        <v>688</v>
      </c>
      <c r="AH7" s="15" t="s">
        <v>689</v>
      </c>
      <c r="AI7" s="15" t="s">
        <v>690</v>
      </c>
      <c r="AJ7" s="15" t="s">
        <v>691</v>
      </c>
      <c r="AK7" s="15" t="s">
        <v>692</v>
      </c>
      <c r="AL7" s="15" t="s">
        <v>693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21"/>
    </row>
    <row r="8" spans="1:62" ht="15.6" x14ac:dyDescent="0.3">
      <c r="A8" s="5" t="s">
        <v>1</v>
      </c>
      <c r="B8" s="5" t="s">
        <v>2</v>
      </c>
      <c r="C8" s="7">
        <v>1</v>
      </c>
      <c r="D8" s="7">
        <v>1</v>
      </c>
      <c r="E8" s="7">
        <v>216253.98800000001</v>
      </c>
      <c r="F8" s="7">
        <v>34299.165000000001</v>
      </c>
      <c r="G8" s="7">
        <v>18745.432000000001</v>
      </c>
      <c r="H8" s="7">
        <v>17.077000000000002</v>
      </c>
      <c r="I8" s="7">
        <v>2949.848</v>
      </c>
      <c r="J8" s="7">
        <v>12657.172</v>
      </c>
      <c r="K8" s="7">
        <v>-4363.3459999999995</v>
      </c>
      <c r="L8" s="7">
        <v>321745.83899999998</v>
      </c>
      <c r="M8" s="7">
        <v>50593.27</v>
      </c>
      <c r="N8" s="7">
        <v>5.5E-2</v>
      </c>
      <c r="O8" s="7">
        <v>2031.7560000000001</v>
      </c>
      <c r="P8" s="7">
        <v>88.363</v>
      </c>
      <c r="Q8" s="7">
        <v>996.92200000000003</v>
      </c>
      <c r="R8" s="7">
        <v>273.34800000000001</v>
      </c>
      <c r="S8" s="7">
        <v>10566.329</v>
      </c>
      <c r="T8" s="7">
        <v>2.1999999999999999E-2</v>
      </c>
      <c r="U8" s="7">
        <v>-3468.194</v>
      </c>
      <c r="V8" s="7">
        <v>2009.338</v>
      </c>
      <c r="W8" s="7">
        <v>6082.8130000000001</v>
      </c>
      <c r="X8" s="7">
        <v>5074.5230000000001</v>
      </c>
      <c r="Y8" s="7">
        <v>74775.978000000003</v>
      </c>
      <c r="Z8" s="7">
        <v>9981.2559999999994</v>
      </c>
      <c r="AA8" s="7">
        <v>26201.378000000001</v>
      </c>
      <c r="AB8" s="7">
        <v>49693.372000000003</v>
      </c>
      <c r="AC8" s="7">
        <v>6320.8320000000003</v>
      </c>
      <c r="AD8" s="7">
        <v>2642.5430000000001</v>
      </c>
      <c r="AE8" s="7">
        <v>199976.266</v>
      </c>
      <c r="AF8" s="7">
        <v>78233.657000000007</v>
      </c>
      <c r="AG8" s="7">
        <v>16201.767</v>
      </c>
      <c r="AH8" s="7">
        <v>607603.17299999995</v>
      </c>
      <c r="AI8" s="7">
        <v>123996.173</v>
      </c>
      <c r="AJ8" s="7">
        <v>49463.574000000001</v>
      </c>
      <c r="AK8" s="7">
        <v>12129.817999999999</v>
      </c>
      <c r="AL8" s="7">
        <v>6698.1760000000004</v>
      </c>
      <c r="AM8" s="7">
        <v>-738.92399999999998</v>
      </c>
      <c r="AN8" s="7">
        <v>4365.9870000000001</v>
      </c>
      <c r="AO8" s="7">
        <v>5183.3249999999998</v>
      </c>
      <c r="AP8" s="7">
        <v>2298.875</v>
      </c>
      <c r="AQ8" s="7">
        <v>32882.377</v>
      </c>
      <c r="AR8" s="7">
        <v>-289.17200000000003</v>
      </c>
      <c r="AS8" s="7">
        <v>132.62700000000001</v>
      </c>
      <c r="AT8" s="7">
        <v>0</v>
      </c>
      <c r="AU8" s="7">
        <v>6853.1270000000004</v>
      </c>
      <c r="AV8" s="7">
        <v>2157.3719999999998</v>
      </c>
      <c r="AW8" s="7">
        <v>5422.8119999999999</v>
      </c>
      <c r="AX8" s="7">
        <v>5347.165</v>
      </c>
      <c r="AY8" s="7">
        <v>2113.0169999999998</v>
      </c>
      <c r="AZ8" s="7">
        <v>16682.726999999999</v>
      </c>
      <c r="BA8" s="7">
        <v>9425.8639999999996</v>
      </c>
      <c r="BB8" s="7">
        <v>2900.3989999999999</v>
      </c>
      <c r="BC8" s="7">
        <v>1370.376</v>
      </c>
      <c r="BD8" s="7">
        <v>11214.491</v>
      </c>
      <c r="BE8" s="7">
        <v>555.19299999999998</v>
      </c>
      <c r="BF8" s="7">
        <v>555.19299999999998</v>
      </c>
      <c r="BG8" s="7">
        <v>4360.473</v>
      </c>
      <c r="BH8" s="7">
        <v>35245.440999999999</v>
      </c>
      <c r="BI8" s="7">
        <v>475.56799999999998</v>
      </c>
      <c r="BJ8" s="21"/>
    </row>
    <row r="9" spans="1:62" ht="15.6" x14ac:dyDescent="0.3">
      <c r="A9" s="5" t="s">
        <v>3</v>
      </c>
      <c r="B9" s="5" t="s">
        <v>4</v>
      </c>
      <c r="C9" s="7">
        <v>1</v>
      </c>
      <c r="D9" s="7">
        <v>1</v>
      </c>
      <c r="E9" s="7">
        <v>95468.34</v>
      </c>
      <c r="F9" s="7">
        <v>14216.102999999999</v>
      </c>
      <c r="G9" s="7">
        <v>7076.6480000000001</v>
      </c>
      <c r="H9" s="7">
        <v>451.27499999999998</v>
      </c>
      <c r="I9" s="7">
        <v>3519.241</v>
      </c>
      <c r="J9" s="7">
        <v>4340.0820000000003</v>
      </c>
      <c r="K9" s="7">
        <v>0</v>
      </c>
      <c r="L9" s="7">
        <v>143848.83799999999</v>
      </c>
      <c r="M9" s="7">
        <v>28671.881000000001</v>
      </c>
      <c r="N9" s="7">
        <v>0</v>
      </c>
      <c r="O9" s="7">
        <v>20.041</v>
      </c>
      <c r="P9" s="7">
        <v>406.41899999999998</v>
      </c>
      <c r="Q9" s="7">
        <v>22.545000000000002</v>
      </c>
      <c r="R9" s="7">
        <v>253.23699999999999</v>
      </c>
      <c r="S9" s="7">
        <v>2871.94</v>
      </c>
      <c r="T9" s="7">
        <v>0</v>
      </c>
      <c r="U9" s="7">
        <v>0</v>
      </c>
      <c r="V9" s="7">
        <v>830.875</v>
      </c>
      <c r="W9" s="7">
        <v>2900.0239999999999</v>
      </c>
      <c r="X9" s="7">
        <v>613.36400000000003</v>
      </c>
      <c r="Y9" s="7">
        <v>29584.617999999999</v>
      </c>
      <c r="Z9" s="7">
        <v>1032.0640000000001</v>
      </c>
      <c r="AA9" s="7">
        <v>37311.923999999999</v>
      </c>
      <c r="AB9" s="7">
        <v>600.13599999999997</v>
      </c>
      <c r="AC9" s="7">
        <v>2464.4059999999999</v>
      </c>
      <c r="AD9" s="7">
        <v>391.05900000000003</v>
      </c>
      <c r="AE9" s="7">
        <v>76047.410999999993</v>
      </c>
      <c r="AF9" s="7">
        <v>21599.366000000002</v>
      </c>
      <c r="AG9" s="7">
        <v>1932.5440000000001</v>
      </c>
      <c r="AH9" s="7">
        <v>232053.30600000001</v>
      </c>
      <c r="AI9" s="7">
        <v>34362.707999999999</v>
      </c>
      <c r="AJ9" s="7">
        <v>4173.4870000000001</v>
      </c>
      <c r="AK9" s="7">
        <v>16509.439999999999</v>
      </c>
      <c r="AL9" s="7">
        <v>7506.41</v>
      </c>
      <c r="AM9" s="7">
        <v>0</v>
      </c>
      <c r="AN9" s="7">
        <v>4613.8280000000004</v>
      </c>
      <c r="AO9" s="7">
        <v>1523.377</v>
      </c>
      <c r="AP9" s="7">
        <v>4501.9560000000001</v>
      </c>
      <c r="AQ9" s="7">
        <v>7997.3869999999997</v>
      </c>
      <c r="AR9" s="7">
        <v>2690.482</v>
      </c>
      <c r="AS9" s="7">
        <v>145.196</v>
      </c>
      <c r="AT9" s="7">
        <v>0</v>
      </c>
      <c r="AU9" s="7">
        <v>3463.7640000000001</v>
      </c>
      <c r="AV9" s="7">
        <v>4916.6000000000004</v>
      </c>
      <c r="AW9" s="7">
        <v>5638.3280000000004</v>
      </c>
      <c r="AX9" s="7">
        <v>622.43600000000004</v>
      </c>
      <c r="AY9" s="7">
        <v>234.55799999999999</v>
      </c>
      <c r="AZ9" s="7">
        <v>326.91199999999998</v>
      </c>
      <c r="BA9" s="7">
        <v>443.39699999999999</v>
      </c>
      <c r="BB9" s="7">
        <v>487.23</v>
      </c>
      <c r="BC9" s="7">
        <v>226.9</v>
      </c>
      <c r="BD9" s="7">
        <v>396.56</v>
      </c>
      <c r="BE9" s="7">
        <v>134.26900000000001</v>
      </c>
      <c r="BF9" s="7">
        <v>134.26900000000001</v>
      </c>
      <c r="BG9" s="7">
        <v>132.43199999999999</v>
      </c>
      <c r="BH9" s="7">
        <v>4239.3729999999996</v>
      </c>
      <c r="BI9" s="7">
        <v>41.567999999999998</v>
      </c>
      <c r="BJ9" s="21"/>
    </row>
    <row r="10" spans="1:62" ht="15.6" x14ac:dyDescent="0.3">
      <c r="A10" s="5" t="s">
        <v>5</v>
      </c>
      <c r="B10" s="5" t="s">
        <v>6</v>
      </c>
      <c r="C10" s="7">
        <v>1</v>
      </c>
      <c r="D10" s="7">
        <v>1</v>
      </c>
      <c r="E10" s="7">
        <v>119464.56600000001</v>
      </c>
      <c r="F10" s="7">
        <v>10561.744000000001</v>
      </c>
      <c r="G10" s="7">
        <v>1624.902</v>
      </c>
      <c r="H10" s="7">
        <v>34182.705000000002</v>
      </c>
      <c r="I10" s="7">
        <v>725.81399999999996</v>
      </c>
      <c r="J10" s="7">
        <v>18050.918000000001</v>
      </c>
      <c r="K10" s="7">
        <v>4169.1589999999997</v>
      </c>
      <c r="L10" s="7">
        <v>120178.258</v>
      </c>
      <c r="M10" s="7">
        <v>11305.342000000001</v>
      </c>
      <c r="N10" s="7">
        <v>1158.1859999999999</v>
      </c>
      <c r="O10" s="7">
        <v>554.45399999999995</v>
      </c>
      <c r="P10" s="7">
        <v>254.00399999999999</v>
      </c>
      <c r="Q10" s="7">
        <v>415.46600000000001</v>
      </c>
      <c r="R10" s="7">
        <v>743.62</v>
      </c>
      <c r="S10" s="7">
        <v>3533.355</v>
      </c>
      <c r="T10" s="7">
        <v>35.781999999999996</v>
      </c>
      <c r="U10" s="7">
        <v>1019.582</v>
      </c>
      <c r="V10" s="7">
        <v>2855.5520000000001</v>
      </c>
      <c r="W10" s="7">
        <v>2194.1260000000002</v>
      </c>
      <c r="X10" s="7">
        <v>6670.348</v>
      </c>
      <c r="Y10" s="7">
        <v>31187.093000000001</v>
      </c>
      <c r="Z10" s="7">
        <v>4709.8500000000004</v>
      </c>
      <c r="AA10" s="7">
        <v>43159.934999999998</v>
      </c>
      <c r="AB10" s="7">
        <v>41829.300999999999</v>
      </c>
      <c r="AC10" s="7">
        <v>2617.692</v>
      </c>
      <c r="AD10" s="7">
        <v>3143.201</v>
      </c>
      <c r="AE10" s="7">
        <v>120008.17200000001</v>
      </c>
      <c r="AF10" s="7">
        <v>27898.633999999998</v>
      </c>
      <c r="AG10" s="7">
        <v>16656.886999999999</v>
      </c>
      <c r="AH10" s="7">
        <v>165178.182</v>
      </c>
      <c r="AI10" s="7">
        <v>44962.542999999998</v>
      </c>
      <c r="AJ10" s="7">
        <v>24611.07</v>
      </c>
      <c r="AK10" s="7">
        <v>340266.50799999997</v>
      </c>
      <c r="AL10" s="7">
        <v>185472.68299999999</v>
      </c>
      <c r="AM10" s="7">
        <v>546.39499999999998</v>
      </c>
      <c r="AN10" s="7">
        <v>120154.25599999999</v>
      </c>
      <c r="AO10" s="7">
        <v>4115.5810000000001</v>
      </c>
      <c r="AP10" s="7">
        <v>0</v>
      </c>
      <c r="AQ10" s="7">
        <v>6521.4040000000005</v>
      </c>
      <c r="AR10" s="7">
        <v>0</v>
      </c>
      <c r="AS10" s="7">
        <v>27.736999999999998</v>
      </c>
      <c r="AT10" s="7">
        <v>0</v>
      </c>
      <c r="AU10" s="7">
        <v>322.47699999999998</v>
      </c>
      <c r="AV10" s="7">
        <v>0</v>
      </c>
      <c r="AW10" s="7">
        <v>0</v>
      </c>
      <c r="AX10" s="7">
        <v>15035.37</v>
      </c>
      <c r="AY10" s="7">
        <v>218.30600000000001</v>
      </c>
      <c r="AZ10" s="7">
        <v>1268.0740000000001</v>
      </c>
      <c r="BA10" s="7">
        <v>878.06200000000001</v>
      </c>
      <c r="BB10" s="7">
        <v>531.21500000000003</v>
      </c>
      <c r="BC10" s="7">
        <v>112.687</v>
      </c>
      <c r="BD10" s="7">
        <v>1581.8869999999999</v>
      </c>
      <c r="BE10" s="7">
        <v>126.202</v>
      </c>
      <c r="BF10" s="7">
        <v>126.202</v>
      </c>
      <c r="BG10" s="7">
        <v>508.06900000000002</v>
      </c>
      <c r="BH10" s="7">
        <v>12606.885</v>
      </c>
      <c r="BI10" s="7">
        <v>45.954999999999998</v>
      </c>
      <c r="BJ10" s="21"/>
    </row>
    <row r="11" spans="1:62" ht="15.6" x14ac:dyDescent="0.3">
      <c r="A11" s="5" t="s">
        <v>7</v>
      </c>
      <c r="B11" s="5" t="s">
        <v>8</v>
      </c>
      <c r="C11" s="7">
        <v>1</v>
      </c>
      <c r="D11" s="7">
        <v>1</v>
      </c>
      <c r="E11" s="7">
        <v>433578.03899999999</v>
      </c>
      <c r="F11" s="7">
        <v>88603.673999999999</v>
      </c>
      <c r="G11" s="7">
        <v>0</v>
      </c>
      <c r="H11" s="7">
        <v>0</v>
      </c>
      <c r="I11" s="7">
        <v>1853.8230000000001</v>
      </c>
      <c r="J11" s="7">
        <v>0</v>
      </c>
      <c r="K11" s="7">
        <v>0</v>
      </c>
      <c r="L11" s="7">
        <v>1018576.921</v>
      </c>
      <c r="M11" s="7">
        <v>35910.705999999998</v>
      </c>
      <c r="N11" s="7">
        <v>0</v>
      </c>
      <c r="O11" s="7">
        <v>6398.84</v>
      </c>
      <c r="P11" s="7">
        <v>0</v>
      </c>
      <c r="Q11" s="7">
        <v>4115.4939999999997</v>
      </c>
      <c r="R11" s="7">
        <v>1257.7760000000001</v>
      </c>
      <c r="S11" s="7">
        <v>27714.428</v>
      </c>
      <c r="T11" s="7">
        <v>0</v>
      </c>
      <c r="U11" s="7">
        <v>0</v>
      </c>
      <c r="V11" s="7">
        <v>0</v>
      </c>
      <c r="W11" s="7">
        <v>8184.6210000000001</v>
      </c>
      <c r="X11" s="7">
        <v>22434.976999999999</v>
      </c>
      <c r="Y11" s="7">
        <v>203142.64799999999</v>
      </c>
      <c r="Z11" s="7">
        <v>52768.891000000003</v>
      </c>
      <c r="AA11" s="7">
        <v>553.875</v>
      </c>
      <c r="AB11" s="7">
        <v>184683.807</v>
      </c>
      <c r="AC11" s="7">
        <v>16495.420999999998</v>
      </c>
      <c r="AD11" s="7">
        <v>11162.097</v>
      </c>
      <c r="AE11" s="7">
        <v>570718.49300000002</v>
      </c>
      <c r="AF11" s="7">
        <v>290565.35800000001</v>
      </c>
      <c r="AG11" s="7">
        <v>56823.095000000001</v>
      </c>
      <c r="AH11" s="7">
        <v>1702036.5330000001</v>
      </c>
      <c r="AI11" s="7">
        <v>451971.13299999997</v>
      </c>
      <c r="AJ11" s="7">
        <v>266193.80599999998</v>
      </c>
      <c r="AK11" s="7">
        <v>7564098.4309999999</v>
      </c>
      <c r="AL11" s="7">
        <v>4177955.7239999999</v>
      </c>
      <c r="AM11" s="7">
        <v>0</v>
      </c>
      <c r="AN11" s="7">
        <v>2723264.5440000002</v>
      </c>
      <c r="AO11" s="7">
        <v>15179.216</v>
      </c>
      <c r="AP11" s="7">
        <v>0</v>
      </c>
      <c r="AQ11" s="7">
        <v>101969.52099999999</v>
      </c>
      <c r="AR11" s="7">
        <v>0</v>
      </c>
      <c r="AS11" s="7">
        <v>292.76100000000002</v>
      </c>
      <c r="AT11" s="7">
        <v>0</v>
      </c>
      <c r="AU11" s="7">
        <v>1890.135</v>
      </c>
      <c r="AV11" s="7">
        <v>0</v>
      </c>
      <c r="AW11" s="7">
        <v>0</v>
      </c>
      <c r="AX11" s="7">
        <v>23654.294000000002</v>
      </c>
      <c r="AY11" s="7">
        <v>0</v>
      </c>
      <c r="AZ11" s="7">
        <v>0</v>
      </c>
      <c r="BA11" s="7">
        <v>17714.124</v>
      </c>
      <c r="BB11" s="7">
        <v>5342.9290000000001</v>
      </c>
      <c r="BC11" s="7">
        <v>0</v>
      </c>
      <c r="BD11" s="7">
        <v>0</v>
      </c>
      <c r="BE11" s="7">
        <v>1341.86</v>
      </c>
      <c r="BF11" s="7">
        <v>1341.86</v>
      </c>
      <c r="BG11" s="7">
        <v>0</v>
      </c>
      <c r="BH11" s="7">
        <v>174217.481</v>
      </c>
      <c r="BI11" s="7">
        <v>0</v>
      </c>
      <c r="BJ11" s="21"/>
    </row>
    <row r="12" spans="1:62" ht="15.6" x14ac:dyDescent="0.3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13</v>
      </c>
      <c r="B14" s="5" t="s">
        <v>14</v>
      </c>
      <c r="C14" s="7">
        <v>1</v>
      </c>
      <c r="D14" s="7">
        <v>1</v>
      </c>
      <c r="E14" s="7">
        <v>55680.175000000003</v>
      </c>
      <c r="F14" s="7">
        <v>12698.415999999999</v>
      </c>
      <c r="G14" s="7">
        <v>5506.085</v>
      </c>
      <c r="H14" s="7">
        <v>8.5000000000000006E-2</v>
      </c>
      <c r="I14" s="7">
        <v>725.76199999999994</v>
      </c>
      <c r="J14" s="7">
        <v>4882.607</v>
      </c>
      <c r="K14" s="7">
        <v>0</v>
      </c>
      <c r="L14" s="7">
        <v>92448.989000000001</v>
      </c>
      <c r="M14" s="7">
        <v>14811.058999999999</v>
      </c>
      <c r="N14" s="7">
        <v>0</v>
      </c>
      <c r="O14" s="7">
        <v>48.066000000000003</v>
      </c>
      <c r="P14" s="7">
        <v>54.030999999999999</v>
      </c>
      <c r="Q14" s="7">
        <v>42.396999999999998</v>
      </c>
      <c r="R14" s="7">
        <v>45.557000000000002</v>
      </c>
      <c r="S14" s="7">
        <v>3151.2530000000002</v>
      </c>
      <c r="T14" s="7">
        <v>0</v>
      </c>
      <c r="U14" s="7">
        <v>0</v>
      </c>
      <c r="V14" s="7">
        <v>497.238</v>
      </c>
      <c r="W14" s="7">
        <v>1285.3579999999999</v>
      </c>
      <c r="X14" s="7">
        <v>1190.3599999999999</v>
      </c>
      <c r="Y14" s="7">
        <v>24265.395</v>
      </c>
      <c r="Z14" s="7">
        <v>1613.5840000000001</v>
      </c>
      <c r="AA14" s="7">
        <v>8390.7990000000009</v>
      </c>
      <c r="AB14" s="7">
        <v>1062.0540000000001</v>
      </c>
      <c r="AC14" s="7">
        <v>1876.194</v>
      </c>
      <c r="AD14" s="7">
        <v>196.459</v>
      </c>
      <c r="AE14" s="7">
        <v>52768.584999999999</v>
      </c>
      <c r="AF14" s="7">
        <v>26814.399000000001</v>
      </c>
      <c r="AG14" s="7">
        <v>735.32299999999998</v>
      </c>
      <c r="AH14" s="7">
        <v>174574.81400000001</v>
      </c>
      <c r="AI14" s="7">
        <v>43019.462</v>
      </c>
      <c r="AJ14" s="7">
        <v>8564.0300000000007</v>
      </c>
      <c r="AK14" s="7">
        <v>251450.109</v>
      </c>
      <c r="AL14" s="7">
        <v>138886.00599999999</v>
      </c>
      <c r="AM14" s="7">
        <v>0</v>
      </c>
      <c r="AN14" s="7">
        <v>90528.324999999997</v>
      </c>
      <c r="AO14" s="7">
        <v>1732.3150000000001</v>
      </c>
      <c r="AP14" s="7">
        <v>0</v>
      </c>
      <c r="AQ14" s="7">
        <v>7801.6580000000004</v>
      </c>
      <c r="AR14" s="7">
        <v>0</v>
      </c>
      <c r="AS14" s="7">
        <v>26.602</v>
      </c>
      <c r="AT14" s="7">
        <v>0</v>
      </c>
      <c r="AU14" s="7">
        <v>183.505</v>
      </c>
      <c r="AV14" s="7">
        <v>0</v>
      </c>
      <c r="AW14" s="7">
        <v>0</v>
      </c>
      <c r="AX14" s="7">
        <v>1255.0309999999999</v>
      </c>
      <c r="AY14" s="7">
        <v>27.614999999999998</v>
      </c>
      <c r="AZ14" s="7">
        <v>2E-3</v>
      </c>
      <c r="BA14" s="7">
        <v>939.86199999999997</v>
      </c>
      <c r="BB14" s="7">
        <v>605.35799999999995</v>
      </c>
      <c r="BC14" s="7">
        <v>20.809000000000001</v>
      </c>
      <c r="BD14" s="7">
        <v>2E-3</v>
      </c>
      <c r="BE14" s="7">
        <v>148.62899999999999</v>
      </c>
      <c r="BF14" s="7">
        <v>148.62899999999999</v>
      </c>
      <c r="BG14" s="7">
        <v>0</v>
      </c>
      <c r="BH14" s="7">
        <v>5319.9979999999996</v>
      </c>
      <c r="BI14" s="7">
        <v>8.6050000000000004</v>
      </c>
      <c r="BJ14" s="21"/>
    </row>
    <row r="15" spans="1:62" ht="15.6" x14ac:dyDescent="0.3">
      <c r="A15" s="5" t="s">
        <v>3</v>
      </c>
      <c r="B15" s="5" t="s">
        <v>15</v>
      </c>
      <c r="C15" s="7">
        <v>1</v>
      </c>
      <c r="D15" s="7">
        <v>1</v>
      </c>
      <c r="E15" s="7">
        <v>30.788</v>
      </c>
      <c r="F15" s="7">
        <v>4.26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137.249</v>
      </c>
      <c r="M15" s="7">
        <v>10.186999999999999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9.4030000000000005</v>
      </c>
      <c r="AF15" s="7">
        <v>1.4</v>
      </c>
      <c r="AG15" s="7">
        <v>0</v>
      </c>
      <c r="AH15" s="7">
        <v>88.128</v>
      </c>
      <c r="AI15" s="7">
        <v>0.94899999999999995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16</v>
      </c>
      <c r="B16" s="5" t="s">
        <v>17</v>
      </c>
      <c r="C16" s="7">
        <v>1</v>
      </c>
      <c r="D16" s="7">
        <v>1</v>
      </c>
      <c r="E16" s="7">
        <v>10780.609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10088.262000000001</v>
      </c>
      <c r="M16" s="7">
        <v>11189.413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12674.572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18</v>
      </c>
      <c r="B17" s="5" t="s">
        <v>19</v>
      </c>
      <c r="C17" s="7">
        <v>2</v>
      </c>
      <c r="D17" s="7">
        <v>2</v>
      </c>
      <c r="E17" s="7">
        <v>1285593.44</v>
      </c>
      <c r="F17" s="7">
        <v>93062.638999999996</v>
      </c>
      <c r="G17" s="7">
        <v>237058.36300000001</v>
      </c>
      <c r="H17" s="7">
        <v>0</v>
      </c>
      <c r="I17" s="7">
        <v>32439.401000000002</v>
      </c>
      <c r="J17" s="7">
        <v>161544.954</v>
      </c>
      <c r="K17" s="7">
        <v>0</v>
      </c>
      <c r="L17" s="7">
        <v>341553.80699999997</v>
      </c>
      <c r="M17" s="7">
        <v>386137.03</v>
      </c>
      <c r="N17" s="7">
        <v>0</v>
      </c>
      <c r="O17" s="7">
        <v>0</v>
      </c>
      <c r="P17" s="7">
        <v>15546.290999999999</v>
      </c>
      <c r="Q17" s="7">
        <v>724.95</v>
      </c>
      <c r="R17" s="7">
        <v>1488.5530000000001</v>
      </c>
      <c r="S17" s="7">
        <v>28755.834999999999</v>
      </c>
      <c r="T17" s="7">
        <v>0</v>
      </c>
      <c r="U17" s="7">
        <v>0</v>
      </c>
      <c r="V17" s="7">
        <v>18928.006000000001</v>
      </c>
      <c r="W17" s="7">
        <v>32420.864000000001</v>
      </c>
      <c r="X17" s="7">
        <v>0</v>
      </c>
      <c r="Y17" s="7">
        <v>218163.52299999999</v>
      </c>
      <c r="Z17" s="7">
        <v>0</v>
      </c>
      <c r="AA17" s="7">
        <v>366969.54100000003</v>
      </c>
      <c r="AB17" s="7">
        <v>0</v>
      </c>
      <c r="AC17" s="7">
        <v>13191.293</v>
      </c>
      <c r="AD17" s="7">
        <v>7145.1459999999997</v>
      </c>
      <c r="AE17" s="7">
        <v>532900.19200000004</v>
      </c>
      <c r="AF17" s="7">
        <v>0</v>
      </c>
      <c r="AG17" s="7">
        <v>24996.758000000002</v>
      </c>
      <c r="AH17" s="7">
        <v>1347645.7879999999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12772.246999999999</v>
      </c>
      <c r="AP17" s="7">
        <v>0</v>
      </c>
      <c r="AQ17" s="7">
        <v>0</v>
      </c>
      <c r="AR17" s="7">
        <v>0</v>
      </c>
      <c r="AS17" s="7">
        <v>815.36</v>
      </c>
      <c r="AT17" s="7">
        <v>0</v>
      </c>
      <c r="AU17" s="7">
        <v>19478.100999999999</v>
      </c>
      <c r="AV17" s="7">
        <v>0</v>
      </c>
      <c r="AW17" s="7">
        <v>0</v>
      </c>
      <c r="AX17" s="7">
        <v>0</v>
      </c>
      <c r="AY17" s="7">
        <v>8687.8709999999992</v>
      </c>
      <c r="AZ17" s="7">
        <v>0</v>
      </c>
      <c r="BA17" s="7">
        <v>0</v>
      </c>
      <c r="BB17" s="7">
        <v>4902.5450000000001</v>
      </c>
      <c r="BC17" s="7">
        <v>5386.8069999999998</v>
      </c>
      <c r="BD17" s="7">
        <v>0</v>
      </c>
      <c r="BE17" s="7">
        <v>982.40200000000004</v>
      </c>
      <c r="BF17" s="7">
        <v>982.40200000000004</v>
      </c>
      <c r="BG17" s="7">
        <v>0</v>
      </c>
      <c r="BH17" s="7">
        <v>0</v>
      </c>
      <c r="BI17" s="7">
        <v>2106.3510000000001</v>
      </c>
      <c r="BJ17" s="21"/>
    </row>
    <row r="18" spans="1:62" ht="15.6" x14ac:dyDescent="0.3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22</v>
      </c>
      <c r="B19" s="5" t="s">
        <v>23</v>
      </c>
      <c r="C19" s="7">
        <v>2</v>
      </c>
      <c r="D19" s="7">
        <v>2</v>
      </c>
      <c r="E19" s="7">
        <v>577902.94099999999</v>
      </c>
      <c r="F19" s="7">
        <v>47029.398000000001</v>
      </c>
      <c r="G19" s="7">
        <v>100481.842</v>
      </c>
      <c r="H19" s="7">
        <v>0</v>
      </c>
      <c r="I19" s="7">
        <v>13908.733</v>
      </c>
      <c r="J19" s="7">
        <v>68474.001000000004</v>
      </c>
      <c r="K19" s="7">
        <v>74224.301999999996</v>
      </c>
      <c r="L19" s="7">
        <v>231008.399</v>
      </c>
      <c r="M19" s="7">
        <v>166745.10999999999</v>
      </c>
      <c r="N19" s="7">
        <v>11665.187</v>
      </c>
      <c r="O19" s="7">
        <v>0</v>
      </c>
      <c r="P19" s="7">
        <v>0</v>
      </c>
      <c r="Q19" s="7">
        <v>1134.2090000000001</v>
      </c>
      <c r="R19" s="7">
        <v>2328.8919999999998</v>
      </c>
      <c r="S19" s="7">
        <v>14560.61</v>
      </c>
      <c r="T19" s="7">
        <v>0</v>
      </c>
      <c r="U19" s="7">
        <v>58956.711000000003</v>
      </c>
      <c r="V19" s="7">
        <v>8023.0069999999996</v>
      </c>
      <c r="W19" s="7">
        <v>14442.683999999999</v>
      </c>
      <c r="X19" s="7">
        <v>0</v>
      </c>
      <c r="Y19" s="7">
        <v>109432.629</v>
      </c>
      <c r="Z19" s="7">
        <v>0</v>
      </c>
      <c r="AA19" s="7">
        <v>155547.24600000001</v>
      </c>
      <c r="AB19" s="7">
        <v>0</v>
      </c>
      <c r="AC19" s="7">
        <v>7003.1170000000002</v>
      </c>
      <c r="AD19" s="7">
        <v>3028.61</v>
      </c>
      <c r="AE19" s="7">
        <v>268220.78399999999</v>
      </c>
      <c r="AF19" s="7">
        <v>24867.463</v>
      </c>
      <c r="AG19" s="7">
        <v>10595.367</v>
      </c>
      <c r="AH19" s="7">
        <v>716638.95600000001</v>
      </c>
      <c r="AI19" s="7">
        <v>38681.057999999997</v>
      </c>
      <c r="AJ19" s="7">
        <v>0</v>
      </c>
      <c r="AK19" s="7">
        <v>0</v>
      </c>
      <c r="AL19" s="7">
        <v>0</v>
      </c>
      <c r="AM19" s="7">
        <v>12561.382</v>
      </c>
      <c r="AN19" s="7">
        <v>0</v>
      </c>
      <c r="AO19" s="7">
        <v>6712.8509999999997</v>
      </c>
      <c r="AP19" s="7">
        <v>0</v>
      </c>
      <c r="AQ19" s="7">
        <v>8726.86</v>
      </c>
      <c r="AR19" s="7">
        <v>0</v>
      </c>
      <c r="AS19" s="7">
        <v>370.66199999999998</v>
      </c>
      <c r="AT19" s="7">
        <v>0</v>
      </c>
      <c r="AU19" s="7">
        <v>10601.076999999999</v>
      </c>
      <c r="AV19" s="7">
        <v>0</v>
      </c>
      <c r="AW19" s="7">
        <v>0</v>
      </c>
      <c r="AX19" s="7">
        <v>0</v>
      </c>
      <c r="AY19" s="7">
        <v>3682.5250000000001</v>
      </c>
      <c r="AZ19" s="7">
        <v>0</v>
      </c>
      <c r="BA19" s="7">
        <v>0</v>
      </c>
      <c r="BB19" s="7">
        <v>2535.3040000000001</v>
      </c>
      <c r="BC19" s="7">
        <v>2283.3040000000001</v>
      </c>
      <c r="BD19" s="7">
        <v>0</v>
      </c>
      <c r="BE19" s="7">
        <v>531.25099999999998</v>
      </c>
      <c r="BF19" s="7">
        <v>531.25099999999998</v>
      </c>
      <c r="BG19" s="7">
        <v>0</v>
      </c>
      <c r="BH19" s="7">
        <v>0</v>
      </c>
      <c r="BI19" s="7">
        <v>892.81799999999998</v>
      </c>
      <c r="BJ19" s="21"/>
    </row>
    <row r="20" spans="1:62" ht="15.6" x14ac:dyDescent="0.3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7.0359999999999996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26</v>
      </c>
      <c r="B21" s="5" t="s">
        <v>27</v>
      </c>
      <c r="C21" s="7">
        <v>2</v>
      </c>
      <c r="D21" s="7">
        <v>2</v>
      </c>
      <c r="E21" s="7">
        <v>43135.396000000001</v>
      </c>
      <c r="F21" s="7">
        <v>9809.0360000000001</v>
      </c>
      <c r="G21" s="7">
        <v>0</v>
      </c>
      <c r="H21" s="7">
        <v>0</v>
      </c>
      <c r="I21" s="7">
        <v>214.13499999999999</v>
      </c>
      <c r="J21" s="7">
        <v>0</v>
      </c>
      <c r="K21" s="7">
        <v>135182.94</v>
      </c>
      <c r="L21" s="7">
        <v>111869.664</v>
      </c>
      <c r="M21" s="7">
        <v>4201.9920000000002</v>
      </c>
      <c r="N21" s="7">
        <v>0</v>
      </c>
      <c r="O21" s="7">
        <v>0</v>
      </c>
      <c r="P21" s="7">
        <v>0.105</v>
      </c>
      <c r="Q21" s="7">
        <v>0</v>
      </c>
      <c r="R21" s="7">
        <v>0</v>
      </c>
      <c r="S21" s="7">
        <v>3075.2779999999998</v>
      </c>
      <c r="T21" s="7">
        <v>956.68700000000001</v>
      </c>
      <c r="U21" s="7">
        <v>107376.444</v>
      </c>
      <c r="V21" s="7">
        <v>0</v>
      </c>
      <c r="W21" s="7">
        <v>916.33699999999999</v>
      </c>
      <c r="X21" s="7">
        <v>0</v>
      </c>
      <c r="Y21" s="7">
        <v>21956.494999999999</v>
      </c>
      <c r="Z21" s="7">
        <v>0</v>
      </c>
      <c r="AA21" s="7">
        <v>0</v>
      </c>
      <c r="AB21" s="7">
        <v>0</v>
      </c>
      <c r="AC21" s="7">
        <v>1832.5450000000001</v>
      </c>
      <c r="AD21" s="7">
        <v>0</v>
      </c>
      <c r="AE21" s="7">
        <v>54785.641000000003</v>
      </c>
      <c r="AF21" s="7">
        <v>32098.42</v>
      </c>
      <c r="AG21" s="7">
        <v>0</v>
      </c>
      <c r="AH21" s="7">
        <v>189147.595</v>
      </c>
      <c r="AI21" s="7">
        <v>50311.775000000001</v>
      </c>
      <c r="AJ21" s="7">
        <v>0</v>
      </c>
      <c r="AK21" s="7">
        <v>0</v>
      </c>
      <c r="AL21" s="7">
        <v>0</v>
      </c>
      <c r="AM21" s="7">
        <v>22877.743999999999</v>
      </c>
      <c r="AN21" s="7">
        <v>0</v>
      </c>
      <c r="AO21" s="7">
        <v>1668.2239999999999</v>
      </c>
      <c r="AP21" s="7">
        <v>0</v>
      </c>
      <c r="AQ21" s="7">
        <v>11265.088</v>
      </c>
      <c r="AR21" s="7">
        <v>0</v>
      </c>
      <c r="AS21" s="7">
        <v>32.314</v>
      </c>
      <c r="AT21" s="7">
        <v>0</v>
      </c>
      <c r="AU21" s="7">
        <v>209.63200000000001</v>
      </c>
      <c r="AV21" s="7">
        <v>0</v>
      </c>
      <c r="AW21" s="7">
        <v>0</v>
      </c>
      <c r="AX21" s="7">
        <v>0</v>
      </c>
      <c r="AY21" s="7">
        <v>32.109000000000002</v>
      </c>
      <c r="AZ21" s="7">
        <v>626.03800000000001</v>
      </c>
      <c r="BA21" s="7">
        <v>0</v>
      </c>
      <c r="BB21" s="7">
        <v>588.35400000000004</v>
      </c>
      <c r="BC21" s="7">
        <v>0</v>
      </c>
      <c r="BD21" s="7">
        <v>780.96500000000003</v>
      </c>
      <c r="BE21" s="7">
        <v>146.95500000000001</v>
      </c>
      <c r="BF21" s="7">
        <v>146.95500000000001</v>
      </c>
      <c r="BG21" s="7">
        <v>250.83</v>
      </c>
      <c r="BH21" s="7">
        <v>0</v>
      </c>
      <c r="BI21" s="7">
        <v>0</v>
      </c>
      <c r="BJ21" s="21"/>
    </row>
    <row r="22" spans="1:62" ht="15.6" x14ac:dyDescent="0.3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961724.83799999999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32</v>
      </c>
      <c r="B24" s="5" t="s">
        <v>33</v>
      </c>
      <c r="C24" s="7">
        <v>2</v>
      </c>
      <c r="D24" s="7">
        <v>2</v>
      </c>
      <c r="E24" s="7">
        <v>6639.3540000000003</v>
      </c>
      <c r="F24" s="7">
        <v>0</v>
      </c>
      <c r="G24" s="7">
        <v>1703.5609999999999</v>
      </c>
      <c r="H24" s="7">
        <v>0</v>
      </c>
      <c r="I24" s="7">
        <v>0</v>
      </c>
      <c r="J24" s="7">
        <v>1307.096</v>
      </c>
      <c r="K24" s="7">
        <v>0</v>
      </c>
      <c r="L24" s="7">
        <v>4156.6899999999996</v>
      </c>
      <c r="M24" s="7">
        <v>2274.5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774.346</v>
      </c>
      <c r="AF24" s="7">
        <v>0</v>
      </c>
      <c r="AG24" s="7">
        <v>0</v>
      </c>
      <c r="AH24" s="7">
        <v>3908.8989999999999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34</v>
      </c>
      <c r="B25" s="5" t="s">
        <v>35</v>
      </c>
      <c r="C25" s="7">
        <v>2</v>
      </c>
      <c r="D25" s="7">
        <v>2</v>
      </c>
      <c r="E25" s="7">
        <v>41999.205999999998</v>
      </c>
      <c r="F25" s="7">
        <v>8685.2099999999991</v>
      </c>
      <c r="G25" s="7">
        <v>6297.5910000000003</v>
      </c>
      <c r="H25" s="7">
        <v>0</v>
      </c>
      <c r="I25" s="7">
        <v>1310.74</v>
      </c>
      <c r="J25" s="7">
        <v>4960.8720000000003</v>
      </c>
      <c r="K25" s="7">
        <v>0</v>
      </c>
      <c r="L25" s="7">
        <v>51224.025000000001</v>
      </c>
      <c r="M25" s="7">
        <v>22627.562999999998</v>
      </c>
      <c r="N25" s="7">
        <v>0</v>
      </c>
      <c r="O25" s="7">
        <v>160.345</v>
      </c>
      <c r="P25" s="7">
        <v>0</v>
      </c>
      <c r="Q25" s="7">
        <v>58.926000000000002</v>
      </c>
      <c r="R25" s="7">
        <v>0</v>
      </c>
      <c r="S25" s="7">
        <v>2552.8270000000002</v>
      </c>
      <c r="T25" s="7">
        <v>0</v>
      </c>
      <c r="U25" s="7">
        <v>0</v>
      </c>
      <c r="V25" s="7">
        <v>771.52099999999996</v>
      </c>
      <c r="W25" s="7">
        <v>2013.665</v>
      </c>
      <c r="X25" s="7">
        <v>2266.2860000000001</v>
      </c>
      <c r="Y25" s="7">
        <v>14192.471</v>
      </c>
      <c r="Z25" s="7">
        <v>248.459</v>
      </c>
      <c r="AA25" s="7">
        <v>6345.5910000000003</v>
      </c>
      <c r="AB25" s="7">
        <v>3156.3829999999998</v>
      </c>
      <c r="AC25" s="7">
        <v>1421.7360000000001</v>
      </c>
      <c r="AD25" s="7">
        <v>223.214</v>
      </c>
      <c r="AE25" s="7">
        <v>33793.953999999998</v>
      </c>
      <c r="AF25" s="7">
        <v>7308.4549999999999</v>
      </c>
      <c r="AG25" s="7">
        <v>1575.605</v>
      </c>
      <c r="AH25" s="7">
        <v>117106.32399999999</v>
      </c>
      <c r="AI25" s="7">
        <v>11368.22</v>
      </c>
      <c r="AJ25" s="7">
        <v>611.53399999999999</v>
      </c>
      <c r="AK25" s="7">
        <v>801431.00199999998</v>
      </c>
      <c r="AL25" s="7">
        <v>442662.56900000002</v>
      </c>
      <c r="AM25" s="7">
        <v>0</v>
      </c>
      <c r="AN25" s="7">
        <v>288535.19699999999</v>
      </c>
      <c r="AO25" s="7">
        <v>769.99599999999998</v>
      </c>
      <c r="AP25" s="7">
        <v>0</v>
      </c>
      <c r="AQ25" s="7">
        <v>2564.7919999999999</v>
      </c>
      <c r="AR25" s="7">
        <v>0</v>
      </c>
      <c r="AS25" s="7">
        <v>9.7639999999999993</v>
      </c>
      <c r="AT25" s="7">
        <v>0</v>
      </c>
      <c r="AU25" s="7">
        <v>142.17699999999999</v>
      </c>
      <c r="AV25" s="7">
        <v>0</v>
      </c>
      <c r="AW25" s="7">
        <v>0</v>
      </c>
      <c r="AX25" s="7">
        <v>2389.4560000000001</v>
      </c>
      <c r="AY25" s="7">
        <v>0</v>
      </c>
      <c r="AZ25" s="7">
        <v>0</v>
      </c>
      <c r="BA25" s="7">
        <v>1789.405</v>
      </c>
      <c r="BB25" s="7">
        <v>280.35500000000002</v>
      </c>
      <c r="BC25" s="7">
        <v>0</v>
      </c>
      <c r="BD25" s="7">
        <v>0</v>
      </c>
      <c r="BE25" s="7">
        <v>93.51</v>
      </c>
      <c r="BF25" s="7">
        <v>93.51</v>
      </c>
      <c r="BG25" s="7">
        <v>0</v>
      </c>
      <c r="BH25" s="7">
        <v>27298.701000000001</v>
      </c>
      <c r="BI25" s="7">
        <v>0</v>
      </c>
      <c r="BJ25" s="21"/>
    </row>
    <row r="26" spans="1:62" ht="15.6" x14ac:dyDescent="0.3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4747.0330000000004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3770.5909999999999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22.306999999999999</v>
      </c>
      <c r="AI33" s="7">
        <v>0</v>
      </c>
      <c r="AJ33" s="7">
        <v>0</v>
      </c>
      <c r="AK33" s="7">
        <v>0</v>
      </c>
      <c r="AL33" s="7">
        <v>0</v>
      </c>
      <c r="AM33" s="7">
        <v>803.36599999999999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4747.5079999999998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3770.9679999999998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22.309000000000001</v>
      </c>
      <c r="AI36" s="7">
        <v>0</v>
      </c>
      <c r="AJ36" s="7">
        <v>0</v>
      </c>
      <c r="AK36" s="7">
        <v>0</v>
      </c>
      <c r="AL36" s="7">
        <v>0</v>
      </c>
      <c r="AM36" s="7">
        <v>803.447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21"/>
    </row>
    <row r="63" spans="1:62" ht="15.6" x14ac:dyDescent="0.3">
      <c r="A63" s="5" t="s">
        <v>110</v>
      </c>
      <c r="B63" s="5" t="s">
        <v>111</v>
      </c>
      <c r="C63" s="7">
        <v>3</v>
      </c>
      <c r="D63" s="7">
        <v>3</v>
      </c>
      <c r="E63" s="7">
        <v>974763.19900000002</v>
      </c>
      <c r="F63" s="7">
        <v>104706.984</v>
      </c>
      <c r="G63" s="7">
        <v>240960.13800000001</v>
      </c>
      <c r="H63" s="7">
        <v>3244.1770000000001</v>
      </c>
      <c r="I63" s="7">
        <v>22051.131000000001</v>
      </c>
      <c r="J63" s="7">
        <v>165278.041</v>
      </c>
      <c r="K63" s="7">
        <v>0</v>
      </c>
      <c r="L63" s="7">
        <v>361319.67700000003</v>
      </c>
      <c r="M63" s="7">
        <v>571369.28599999996</v>
      </c>
      <c r="N63" s="7">
        <v>0</v>
      </c>
      <c r="O63" s="7">
        <v>0</v>
      </c>
      <c r="P63" s="7">
        <v>33.115000000000002</v>
      </c>
      <c r="Q63" s="7">
        <v>1547.489</v>
      </c>
      <c r="R63" s="7">
        <v>4604.2290000000003</v>
      </c>
      <c r="S63" s="7">
        <v>42033.033000000003</v>
      </c>
      <c r="T63" s="7">
        <v>0</v>
      </c>
      <c r="U63" s="7">
        <v>0</v>
      </c>
      <c r="V63" s="7">
        <v>25241.32</v>
      </c>
      <c r="W63" s="7">
        <v>52311.580999999998</v>
      </c>
      <c r="X63" s="7">
        <v>0</v>
      </c>
      <c r="Y63" s="7">
        <v>150896.27900000001</v>
      </c>
      <c r="Z63" s="7">
        <v>0</v>
      </c>
      <c r="AA63" s="7">
        <v>291519.90000000002</v>
      </c>
      <c r="AB63" s="7">
        <v>0</v>
      </c>
      <c r="AC63" s="7">
        <v>19123.933000000001</v>
      </c>
      <c r="AD63" s="7">
        <v>224.089</v>
      </c>
      <c r="AE63" s="7">
        <v>332432.43099999998</v>
      </c>
      <c r="AF63" s="7">
        <v>0</v>
      </c>
      <c r="AG63" s="7">
        <v>456.86</v>
      </c>
      <c r="AH63" s="7">
        <v>1096641.294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15626.855</v>
      </c>
      <c r="AP63" s="7">
        <v>0</v>
      </c>
      <c r="AQ63" s="7">
        <v>0</v>
      </c>
      <c r="AR63" s="7">
        <v>0</v>
      </c>
      <c r="AS63" s="7">
        <v>267.86200000000002</v>
      </c>
      <c r="AT63" s="7">
        <v>0</v>
      </c>
      <c r="AU63" s="7">
        <v>10322.923000000001</v>
      </c>
      <c r="AV63" s="7">
        <v>0</v>
      </c>
      <c r="AW63" s="7">
        <v>0</v>
      </c>
      <c r="AX63" s="7">
        <v>0</v>
      </c>
      <c r="AY63" s="7">
        <v>11359.901</v>
      </c>
      <c r="AZ63" s="7">
        <v>0</v>
      </c>
      <c r="BA63" s="7">
        <v>0</v>
      </c>
      <c r="BB63" s="7">
        <v>5779.4809999999998</v>
      </c>
      <c r="BC63" s="7">
        <v>9296.5290000000005</v>
      </c>
      <c r="BD63" s="7">
        <v>0</v>
      </c>
      <c r="BE63" s="7">
        <v>1376.13</v>
      </c>
      <c r="BF63" s="7">
        <v>1376.13</v>
      </c>
      <c r="BG63" s="7">
        <v>0</v>
      </c>
      <c r="BH63" s="7">
        <v>0</v>
      </c>
      <c r="BI63" s="7">
        <v>3833.538</v>
      </c>
      <c r="BJ63" s="21"/>
    </row>
    <row r="64" spans="1:62" ht="15.6" x14ac:dyDescent="0.3">
      <c r="A64" s="5" t="s">
        <v>112</v>
      </c>
      <c r="B64" s="5" t="s">
        <v>113</v>
      </c>
      <c r="C64" s="7">
        <v>3</v>
      </c>
      <c r="D64" s="7">
        <v>3</v>
      </c>
      <c r="E64" s="7">
        <v>6112.402</v>
      </c>
      <c r="F64" s="7">
        <v>835.154</v>
      </c>
      <c r="G64" s="7">
        <v>1333.9870000000001</v>
      </c>
      <c r="H64" s="7">
        <v>0</v>
      </c>
      <c r="I64" s="7">
        <v>136.279</v>
      </c>
      <c r="J64" s="7">
        <v>769.93499999999995</v>
      </c>
      <c r="K64" s="7">
        <v>0</v>
      </c>
      <c r="L64" s="7">
        <v>2424.1770000000001</v>
      </c>
      <c r="M64" s="7">
        <v>3334.806</v>
      </c>
      <c r="N64" s="7">
        <v>0</v>
      </c>
      <c r="O64" s="7">
        <v>0</v>
      </c>
      <c r="P64" s="7">
        <v>0.11600000000000001</v>
      </c>
      <c r="Q64" s="7">
        <v>128.15700000000001</v>
      </c>
      <c r="R64" s="7">
        <v>381.303</v>
      </c>
      <c r="S64" s="7">
        <v>362.04300000000001</v>
      </c>
      <c r="T64" s="7">
        <v>0</v>
      </c>
      <c r="U64" s="7">
        <v>0</v>
      </c>
      <c r="V64" s="7">
        <v>172.554</v>
      </c>
      <c r="W64" s="7">
        <v>253.81899999999999</v>
      </c>
      <c r="X64" s="7">
        <v>0</v>
      </c>
      <c r="Y64" s="7">
        <v>937.00800000000004</v>
      </c>
      <c r="Z64" s="7">
        <v>0</v>
      </c>
      <c r="AA64" s="7">
        <v>1862.9960000000001</v>
      </c>
      <c r="AB64" s="7">
        <v>0</v>
      </c>
      <c r="AC64" s="7">
        <v>135.74700000000001</v>
      </c>
      <c r="AD64" s="7">
        <v>0</v>
      </c>
      <c r="AE64" s="7">
        <v>1068.057</v>
      </c>
      <c r="AF64" s="7">
        <v>0</v>
      </c>
      <c r="AG64" s="7">
        <v>0</v>
      </c>
      <c r="AH64" s="7">
        <v>5815.4930000000004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104.542</v>
      </c>
      <c r="AP64" s="7">
        <v>0</v>
      </c>
      <c r="AQ64" s="7">
        <v>0</v>
      </c>
      <c r="AR64" s="7">
        <v>0</v>
      </c>
      <c r="AS64" s="7">
        <v>3.1459999999999999</v>
      </c>
      <c r="AT64" s="7">
        <v>0</v>
      </c>
      <c r="AU64" s="7">
        <v>91.183000000000007</v>
      </c>
      <c r="AV64" s="7">
        <v>0</v>
      </c>
      <c r="AW64" s="7">
        <v>0</v>
      </c>
      <c r="AX64" s="7">
        <v>0</v>
      </c>
      <c r="AY64" s="7">
        <v>74.91</v>
      </c>
      <c r="AZ64" s="7">
        <v>0</v>
      </c>
      <c r="BA64" s="7">
        <v>0</v>
      </c>
      <c r="BB64" s="7">
        <v>37.645000000000003</v>
      </c>
      <c r="BC64" s="7">
        <v>60.366999999999997</v>
      </c>
      <c r="BD64" s="7">
        <v>0</v>
      </c>
      <c r="BE64" s="7">
        <v>8.7439999999999998</v>
      </c>
      <c r="BF64" s="7">
        <v>8.7439999999999998</v>
      </c>
      <c r="BG64" s="7">
        <v>0</v>
      </c>
      <c r="BH64" s="7">
        <v>0</v>
      </c>
      <c r="BI64" s="7">
        <v>25.341999999999999</v>
      </c>
      <c r="BJ64" s="21"/>
    </row>
    <row r="65" spans="1:62" ht="15.6" x14ac:dyDescent="0.3">
      <c r="A65" s="5" t="s">
        <v>114</v>
      </c>
      <c r="B65" s="5" t="s">
        <v>115</v>
      </c>
      <c r="C65" s="7">
        <v>3</v>
      </c>
      <c r="D65" s="7">
        <v>3</v>
      </c>
      <c r="E65" s="7">
        <v>157004.82699999999</v>
      </c>
      <c r="F65" s="7">
        <v>20454.034</v>
      </c>
      <c r="G65" s="7">
        <v>35254.267999999996</v>
      </c>
      <c r="H65" s="7">
        <v>0</v>
      </c>
      <c r="I65" s="7">
        <v>3511.6610000000001</v>
      </c>
      <c r="J65" s="7">
        <v>21265.913</v>
      </c>
      <c r="K65" s="7">
        <v>17195.723000000002</v>
      </c>
      <c r="L65" s="7">
        <v>61382.476999999999</v>
      </c>
      <c r="M65" s="7">
        <v>87044.995999999999</v>
      </c>
      <c r="N65" s="7">
        <v>0</v>
      </c>
      <c r="O65" s="7">
        <v>0</v>
      </c>
      <c r="P65" s="7">
        <v>3.4820000000000002</v>
      </c>
      <c r="Q65" s="7">
        <v>574.80399999999997</v>
      </c>
      <c r="R65" s="7">
        <v>1710.2090000000001</v>
      </c>
      <c r="S65" s="7">
        <v>8749.2420000000002</v>
      </c>
      <c r="T65" s="7">
        <v>0</v>
      </c>
      <c r="U65" s="7">
        <v>13658.644</v>
      </c>
      <c r="V65" s="7">
        <v>4352.491</v>
      </c>
      <c r="W65" s="7">
        <v>6934.3909999999996</v>
      </c>
      <c r="X65" s="7">
        <v>0</v>
      </c>
      <c r="Y65" s="7">
        <v>24119.723000000002</v>
      </c>
      <c r="Z65" s="7">
        <v>0</v>
      </c>
      <c r="AA65" s="7">
        <v>47657.953999999998</v>
      </c>
      <c r="AB65" s="7">
        <v>0</v>
      </c>
      <c r="AC65" s="7">
        <v>3398.3789999999999</v>
      </c>
      <c r="AD65" s="7">
        <v>0</v>
      </c>
      <c r="AE65" s="7">
        <v>33115.224000000002</v>
      </c>
      <c r="AF65" s="7">
        <v>0</v>
      </c>
      <c r="AG65" s="7">
        <v>0</v>
      </c>
      <c r="AH65" s="7">
        <v>155389.52499999999</v>
      </c>
      <c r="AI65" s="7">
        <v>0</v>
      </c>
      <c r="AJ65" s="7">
        <v>0</v>
      </c>
      <c r="AK65" s="7">
        <v>0</v>
      </c>
      <c r="AL65" s="7">
        <v>0</v>
      </c>
      <c r="AM65" s="7">
        <v>2910.1260000000002</v>
      </c>
      <c r="AN65" s="7">
        <v>0</v>
      </c>
      <c r="AO65" s="7">
        <v>2648.6759999999999</v>
      </c>
      <c r="AP65" s="7">
        <v>0</v>
      </c>
      <c r="AQ65" s="7">
        <v>0</v>
      </c>
      <c r="AR65" s="7">
        <v>0</v>
      </c>
      <c r="AS65" s="7">
        <v>72.622</v>
      </c>
      <c r="AT65" s="7">
        <v>0</v>
      </c>
      <c r="AU65" s="7">
        <v>2300.1129999999998</v>
      </c>
      <c r="AV65" s="7">
        <v>0</v>
      </c>
      <c r="AW65" s="7">
        <v>0</v>
      </c>
      <c r="AX65" s="7">
        <v>0</v>
      </c>
      <c r="AY65" s="7">
        <v>1903.606</v>
      </c>
      <c r="AZ65" s="7">
        <v>0</v>
      </c>
      <c r="BA65" s="7">
        <v>0</v>
      </c>
      <c r="BB65" s="7">
        <v>959.11099999999999</v>
      </c>
      <c r="BC65" s="7">
        <v>1539.0219999999999</v>
      </c>
      <c r="BD65" s="7">
        <v>0</v>
      </c>
      <c r="BE65" s="7">
        <v>223.96799999999999</v>
      </c>
      <c r="BF65" s="7">
        <v>223.96799999999999</v>
      </c>
      <c r="BG65" s="7">
        <v>0</v>
      </c>
      <c r="BH65" s="7">
        <v>0</v>
      </c>
      <c r="BI65" s="7">
        <v>643.649</v>
      </c>
      <c r="BJ65" s="21"/>
    </row>
    <row r="66" spans="1:62" ht="15.6" x14ac:dyDescent="0.3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21"/>
    </row>
    <row r="67" spans="1:62" ht="15.6" x14ac:dyDescent="0.3">
      <c r="A67" s="5" t="s">
        <v>118</v>
      </c>
      <c r="B67" s="5" t="s">
        <v>119</v>
      </c>
      <c r="C67" s="7">
        <v>3</v>
      </c>
      <c r="D67" s="7">
        <v>3</v>
      </c>
      <c r="E67" s="7">
        <v>183510.29699999999</v>
      </c>
      <c r="F67" s="7">
        <v>25434.159</v>
      </c>
      <c r="G67" s="7">
        <v>40030.961000000003</v>
      </c>
      <c r="H67" s="7">
        <v>8791.652</v>
      </c>
      <c r="I67" s="7">
        <v>4051.9720000000002</v>
      </c>
      <c r="J67" s="7">
        <v>22993.722000000002</v>
      </c>
      <c r="K67" s="7">
        <v>0</v>
      </c>
      <c r="L67" s="7">
        <v>76343.176999999996</v>
      </c>
      <c r="M67" s="7">
        <v>99930.278000000006</v>
      </c>
      <c r="N67" s="7">
        <v>0</v>
      </c>
      <c r="O67" s="7">
        <v>0</v>
      </c>
      <c r="P67" s="7">
        <v>3.274</v>
      </c>
      <c r="Q67" s="7">
        <v>509.88499999999999</v>
      </c>
      <c r="R67" s="7">
        <v>1517.0540000000001</v>
      </c>
      <c r="S67" s="7">
        <v>10949.226000000001</v>
      </c>
      <c r="T67" s="7">
        <v>0</v>
      </c>
      <c r="U67" s="7">
        <v>0</v>
      </c>
      <c r="V67" s="7">
        <v>5160.41</v>
      </c>
      <c r="W67" s="7">
        <v>7421.3339999999998</v>
      </c>
      <c r="X67" s="7">
        <v>0</v>
      </c>
      <c r="Y67" s="7">
        <v>28023.614000000001</v>
      </c>
      <c r="Z67" s="7">
        <v>0</v>
      </c>
      <c r="AA67" s="7">
        <v>55604.084999999999</v>
      </c>
      <c r="AB67" s="7">
        <v>0</v>
      </c>
      <c r="AC67" s="7">
        <v>4067.8420000000001</v>
      </c>
      <c r="AD67" s="7">
        <v>0</v>
      </c>
      <c r="AE67" s="7">
        <v>30933.81</v>
      </c>
      <c r="AF67" s="7">
        <v>0</v>
      </c>
      <c r="AG67" s="7">
        <v>0</v>
      </c>
      <c r="AH67" s="7">
        <v>174477.26199999999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3122.7049999999999</v>
      </c>
      <c r="AP67" s="7">
        <v>0</v>
      </c>
      <c r="AQ67" s="7">
        <v>0</v>
      </c>
      <c r="AR67" s="7">
        <v>0</v>
      </c>
      <c r="AS67" s="7">
        <v>96.242999999999995</v>
      </c>
      <c r="AT67" s="7">
        <v>0</v>
      </c>
      <c r="AU67" s="7">
        <v>2823.4830000000002</v>
      </c>
      <c r="AV67" s="7">
        <v>0</v>
      </c>
      <c r="AW67" s="7">
        <v>0</v>
      </c>
      <c r="AX67" s="7">
        <v>0</v>
      </c>
      <c r="AY67" s="7">
        <v>2235.7649999999999</v>
      </c>
      <c r="AZ67" s="7">
        <v>0</v>
      </c>
      <c r="BA67" s="7">
        <v>0</v>
      </c>
      <c r="BB67" s="7">
        <v>1122.768</v>
      </c>
      <c r="BC67" s="7">
        <v>1800.136</v>
      </c>
      <c r="BD67" s="7">
        <v>0</v>
      </c>
      <c r="BE67" s="7">
        <v>260.42899999999997</v>
      </c>
      <c r="BF67" s="7">
        <v>260.42899999999997</v>
      </c>
      <c r="BG67" s="7">
        <v>0</v>
      </c>
      <c r="BH67" s="7">
        <v>0</v>
      </c>
      <c r="BI67" s="7">
        <v>756.45500000000004</v>
      </c>
      <c r="BJ67" s="21"/>
    </row>
    <row r="68" spans="1:62" ht="15.6" x14ac:dyDescent="0.3">
      <c r="A68" s="5" t="s">
        <v>120</v>
      </c>
      <c r="B68" s="5" t="s">
        <v>121</v>
      </c>
      <c r="C68" s="7">
        <v>3</v>
      </c>
      <c r="D68" s="7">
        <v>3</v>
      </c>
      <c r="E68" s="7">
        <v>24381.315999999999</v>
      </c>
      <c r="F68" s="7">
        <v>3373.8780000000002</v>
      </c>
      <c r="G68" s="7">
        <v>5278.8270000000002</v>
      </c>
      <c r="H68" s="7">
        <v>0</v>
      </c>
      <c r="I68" s="7">
        <v>543.11900000000003</v>
      </c>
      <c r="J68" s="7">
        <v>3007.5790000000002</v>
      </c>
      <c r="K68" s="7">
        <v>0</v>
      </c>
      <c r="L68" s="7">
        <v>9707.4210000000003</v>
      </c>
      <c r="M68" s="7">
        <v>13242.800999999999</v>
      </c>
      <c r="N68" s="7">
        <v>0</v>
      </c>
      <c r="O68" s="7">
        <v>0</v>
      </c>
      <c r="P68" s="7">
        <v>0.439</v>
      </c>
      <c r="Q68" s="7">
        <v>79.56</v>
      </c>
      <c r="R68" s="7">
        <v>236.715</v>
      </c>
      <c r="S68" s="7">
        <v>1467.614</v>
      </c>
      <c r="T68" s="7">
        <v>0</v>
      </c>
      <c r="U68" s="7">
        <v>0</v>
      </c>
      <c r="V68" s="7">
        <v>691.69200000000001</v>
      </c>
      <c r="W68" s="7">
        <v>994.74199999999996</v>
      </c>
      <c r="X68" s="7">
        <v>0</v>
      </c>
      <c r="Y68" s="7">
        <v>3735.3679999999999</v>
      </c>
      <c r="Z68" s="7">
        <v>0</v>
      </c>
      <c r="AA68" s="7">
        <v>7439.51</v>
      </c>
      <c r="AB68" s="7">
        <v>0</v>
      </c>
      <c r="AC68" s="7">
        <v>545.24599999999998</v>
      </c>
      <c r="AD68" s="7">
        <v>0</v>
      </c>
      <c r="AE68" s="7">
        <v>4017.8389999999999</v>
      </c>
      <c r="AF68" s="7">
        <v>0</v>
      </c>
      <c r="AG68" s="7">
        <v>0</v>
      </c>
      <c r="AH68" s="7">
        <v>22943.894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418.56099999999998</v>
      </c>
      <c r="AP68" s="7">
        <v>0</v>
      </c>
      <c r="AQ68" s="7">
        <v>0</v>
      </c>
      <c r="AR68" s="7">
        <v>0</v>
      </c>
      <c r="AS68" s="7">
        <v>12.9</v>
      </c>
      <c r="AT68" s="7">
        <v>0</v>
      </c>
      <c r="AU68" s="7">
        <v>387.464</v>
      </c>
      <c r="AV68" s="7">
        <v>0</v>
      </c>
      <c r="AW68" s="7">
        <v>0</v>
      </c>
      <c r="AX68" s="7">
        <v>0</v>
      </c>
      <c r="AY68" s="7">
        <v>299.678</v>
      </c>
      <c r="AZ68" s="7">
        <v>0</v>
      </c>
      <c r="BA68" s="7">
        <v>0</v>
      </c>
      <c r="BB68" s="7">
        <v>150.494</v>
      </c>
      <c r="BC68" s="7">
        <v>241.28700000000001</v>
      </c>
      <c r="BD68" s="7">
        <v>0</v>
      </c>
      <c r="BE68" s="7">
        <v>34.906999999999996</v>
      </c>
      <c r="BF68" s="7">
        <v>34.906999999999996</v>
      </c>
      <c r="BG68" s="7">
        <v>0</v>
      </c>
      <c r="BH68" s="7">
        <v>0</v>
      </c>
      <c r="BI68" s="7">
        <v>101.39400000000001</v>
      </c>
      <c r="BJ68" s="21"/>
    </row>
    <row r="69" spans="1:62" ht="15.6" x14ac:dyDescent="0.3">
      <c r="A69" s="5" t="s">
        <v>122</v>
      </c>
      <c r="B69" s="5" t="s">
        <v>123</v>
      </c>
      <c r="C69" s="7">
        <v>3</v>
      </c>
      <c r="D69" s="7">
        <v>3</v>
      </c>
      <c r="E69" s="7">
        <v>164830.45800000001</v>
      </c>
      <c r="F69" s="7">
        <v>22809.184000000001</v>
      </c>
      <c r="G69" s="7">
        <v>35687.635999999999</v>
      </c>
      <c r="H69" s="7">
        <v>0</v>
      </c>
      <c r="I69" s="7">
        <v>3671.7669999999998</v>
      </c>
      <c r="J69" s="7">
        <v>20332.811000000002</v>
      </c>
      <c r="K69" s="7">
        <v>3769.01</v>
      </c>
      <c r="L69" s="7">
        <v>65627.245999999999</v>
      </c>
      <c r="M69" s="7">
        <v>89528.269</v>
      </c>
      <c r="N69" s="7">
        <v>0</v>
      </c>
      <c r="O69" s="7">
        <v>0</v>
      </c>
      <c r="P69" s="7">
        <v>2.9670000000000001</v>
      </c>
      <c r="Q69" s="7">
        <v>824.61599999999999</v>
      </c>
      <c r="R69" s="7">
        <v>2453.473</v>
      </c>
      <c r="S69" s="7">
        <v>9921.8369999999995</v>
      </c>
      <c r="T69" s="7">
        <v>0</v>
      </c>
      <c r="U69" s="7">
        <v>2993.7429999999999</v>
      </c>
      <c r="V69" s="7">
        <v>4676.1980000000003</v>
      </c>
      <c r="W69" s="7">
        <v>6724.9740000000002</v>
      </c>
      <c r="X69" s="7">
        <v>0</v>
      </c>
      <c r="Y69" s="7">
        <v>25253.043000000001</v>
      </c>
      <c r="Z69" s="7">
        <v>0</v>
      </c>
      <c r="AA69" s="7">
        <v>50294.983999999997</v>
      </c>
      <c r="AB69" s="7">
        <v>0</v>
      </c>
      <c r="AC69" s="7">
        <v>3686.1469999999999</v>
      </c>
      <c r="AD69" s="7">
        <v>0</v>
      </c>
      <c r="AE69" s="7">
        <v>27162.695</v>
      </c>
      <c r="AF69" s="7">
        <v>0</v>
      </c>
      <c r="AG69" s="7">
        <v>0</v>
      </c>
      <c r="AH69" s="7">
        <v>155130.44500000001</v>
      </c>
      <c r="AI69" s="7">
        <v>0</v>
      </c>
      <c r="AJ69" s="7">
        <v>0</v>
      </c>
      <c r="AK69" s="7">
        <v>0</v>
      </c>
      <c r="AL69" s="7">
        <v>0</v>
      </c>
      <c r="AM69" s="7">
        <v>637.85</v>
      </c>
      <c r="AN69" s="7">
        <v>0</v>
      </c>
      <c r="AO69" s="7">
        <v>2829.6950000000002</v>
      </c>
      <c r="AP69" s="7">
        <v>0</v>
      </c>
      <c r="AQ69" s="7">
        <v>0</v>
      </c>
      <c r="AR69" s="7">
        <v>0</v>
      </c>
      <c r="AS69" s="7">
        <v>87.212000000000003</v>
      </c>
      <c r="AT69" s="7">
        <v>0</v>
      </c>
      <c r="AU69" s="7">
        <v>2577.1779999999999</v>
      </c>
      <c r="AV69" s="7">
        <v>0</v>
      </c>
      <c r="AW69" s="7">
        <v>0</v>
      </c>
      <c r="AX69" s="7">
        <v>0</v>
      </c>
      <c r="AY69" s="7">
        <v>2025.979</v>
      </c>
      <c r="AZ69" s="7">
        <v>0</v>
      </c>
      <c r="BA69" s="7">
        <v>0</v>
      </c>
      <c r="BB69" s="7">
        <v>1017.4160000000001</v>
      </c>
      <c r="BC69" s="7">
        <v>1631.2249999999999</v>
      </c>
      <c r="BD69" s="7">
        <v>0</v>
      </c>
      <c r="BE69" s="7">
        <v>235.99299999999999</v>
      </c>
      <c r="BF69" s="7">
        <v>235.99299999999999</v>
      </c>
      <c r="BG69" s="7">
        <v>0</v>
      </c>
      <c r="BH69" s="7">
        <v>0</v>
      </c>
      <c r="BI69" s="7">
        <v>685.47500000000002</v>
      </c>
      <c r="BJ69" s="21"/>
    </row>
    <row r="70" spans="1:62" ht="15.6" x14ac:dyDescent="0.3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126</v>
      </c>
      <c r="B71" s="5" t="s">
        <v>127</v>
      </c>
      <c r="C71" s="7">
        <v>3</v>
      </c>
      <c r="D71" s="7">
        <v>3</v>
      </c>
      <c r="E71" s="7">
        <v>42845.595999999998</v>
      </c>
      <c r="F71" s="7">
        <v>5928.9589999999998</v>
      </c>
      <c r="G71" s="7">
        <v>9276.5499999999993</v>
      </c>
      <c r="H71" s="7">
        <v>17316.866000000002</v>
      </c>
      <c r="I71" s="7">
        <v>954.42899999999997</v>
      </c>
      <c r="J71" s="7">
        <v>5285.2579999999998</v>
      </c>
      <c r="K71" s="7">
        <v>0</v>
      </c>
      <c r="L71" s="7">
        <v>17058.973999999998</v>
      </c>
      <c r="M71" s="7">
        <v>23271.742999999999</v>
      </c>
      <c r="N71" s="7">
        <v>0</v>
      </c>
      <c r="O71" s="7">
        <v>0</v>
      </c>
      <c r="P71" s="7">
        <v>0.77100000000000002</v>
      </c>
      <c r="Q71" s="7">
        <v>0</v>
      </c>
      <c r="R71" s="7">
        <v>0</v>
      </c>
      <c r="S71" s="7">
        <v>2579.056</v>
      </c>
      <c r="T71" s="7">
        <v>0</v>
      </c>
      <c r="U71" s="7">
        <v>0</v>
      </c>
      <c r="V71" s="7">
        <v>1215.519</v>
      </c>
      <c r="W71" s="7">
        <v>1748.0719999999999</v>
      </c>
      <c r="X71" s="7">
        <v>0</v>
      </c>
      <c r="Y71" s="7">
        <v>6564.21</v>
      </c>
      <c r="Z71" s="7">
        <v>0</v>
      </c>
      <c r="AA71" s="7">
        <v>13073.546</v>
      </c>
      <c r="AB71" s="7">
        <v>0</v>
      </c>
      <c r="AC71" s="7">
        <v>958.16700000000003</v>
      </c>
      <c r="AD71" s="7">
        <v>0</v>
      </c>
      <c r="AE71" s="7">
        <v>7060.6</v>
      </c>
      <c r="AF71" s="7">
        <v>0</v>
      </c>
      <c r="AG71" s="7">
        <v>0</v>
      </c>
      <c r="AH71" s="7">
        <v>40319.595999999998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735.54300000000001</v>
      </c>
      <c r="AP71" s="7">
        <v>0</v>
      </c>
      <c r="AQ71" s="7">
        <v>0</v>
      </c>
      <c r="AR71" s="7">
        <v>0</v>
      </c>
      <c r="AS71" s="7">
        <v>22.67</v>
      </c>
      <c r="AT71" s="7">
        <v>0</v>
      </c>
      <c r="AU71" s="7">
        <v>651.22799999999995</v>
      </c>
      <c r="AV71" s="7">
        <v>0</v>
      </c>
      <c r="AW71" s="7">
        <v>0</v>
      </c>
      <c r="AX71" s="7">
        <v>0</v>
      </c>
      <c r="AY71" s="7">
        <v>526.62800000000004</v>
      </c>
      <c r="AZ71" s="7">
        <v>0</v>
      </c>
      <c r="BA71" s="7">
        <v>0</v>
      </c>
      <c r="BB71" s="7">
        <v>264.464</v>
      </c>
      <c r="BC71" s="7">
        <v>424.01600000000002</v>
      </c>
      <c r="BD71" s="7">
        <v>0</v>
      </c>
      <c r="BE71" s="7">
        <v>61.343000000000004</v>
      </c>
      <c r="BF71" s="7">
        <v>61.343000000000004</v>
      </c>
      <c r="BG71" s="7">
        <v>0</v>
      </c>
      <c r="BH71" s="7">
        <v>0</v>
      </c>
      <c r="BI71" s="7">
        <v>178.18100000000001</v>
      </c>
      <c r="BJ71" s="21"/>
    </row>
    <row r="72" spans="1:62" ht="15.6" x14ac:dyDescent="0.3">
      <c r="A72" s="5" t="s">
        <v>128</v>
      </c>
      <c r="B72" s="5" t="s">
        <v>129</v>
      </c>
      <c r="C72" s="7">
        <v>3</v>
      </c>
      <c r="D72" s="7">
        <v>3</v>
      </c>
      <c r="E72" s="7">
        <v>19343.721000000001</v>
      </c>
      <c r="F72" s="7">
        <v>2676.7779999999998</v>
      </c>
      <c r="G72" s="7">
        <v>4188.1319999999996</v>
      </c>
      <c r="H72" s="7">
        <v>3037.5</v>
      </c>
      <c r="I72" s="7">
        <v>430.90100000000001</v>
      </c>
      <c r="J72" s="7">
        <v>2386.1619999999998</v>
      </c>
      <c r="K72" s="7">
        <v>0</v>
      </c>
      <c r="L72" s="7">
        <v>7701.7030000000004</v>
      </c>
      <c r="M72" s="7">
        <v>10506.612999999999</v>
      </c>
      <c r="N72" s="7">
        <v>0</v>
      </c>
      <c r="O72" s="7">
        <v>0</v>
      </c>
      <c r="P72" s="7">
        <v>0.34799999999999998</v>
      </c>
      <c r="Q72" s="7">
        <v>0</v>
      </c>
      <c r="R72" s="7">
        <v>0</v>
      </c>
      <c r="S72" s="7">
        <v>1164.3800000000001</v>
      </c>
      <c r="T72" s="7">
        <v>0</v>
      </c>
      <c r="U72" s="7">
        <v>0</v>
      </c>
      <c r="V72" s="7">
        <v>548.77599999999995</v>
      </c>
      <c r="W72" s="7">
        <v>789.21100000000001</v>
      </c>
      <c r="X72" s="7">
        <v>0</v>
      </c>
      <c r="Y72" s="7">
        <v>2963.5770000000002</v>
      </c>
      <c r="Z72" s="7">
        <v>0</v>
      </c>
      <c r="AA72" s="7">
        <v>5902.3810000000003</v>
      </c>
      <c r="AB72" s="7">
        <v>0</v>
      </c>
      <c r="AC72" s="7">
        <v>432.589</v>
      </c>
      <c r="AD72" s="7">
        <v>0</v>
      </c>
      <c r="AE72" s="7">
        <v>3187.6849999999999</v>
      </c>
      <c r="AF72" s="7">
        <v>0</v>
      </c>
      <c r="AG72" s="7">
        <v>0</v>
      </c>
      <c r="AH72" s="7">
        <v>18203.294999999998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332.08</v>
      </c>
      <c r="AP72" s="7">
        <v>0</v>
      </c>
      <c r="AQ72" s="7">
        <v>0</v>
      </c>
      <c r="AR72" s="7">
        <v>0</v>
      </c>
      <c r="AS72" s="7">
        <v>10.234999999999999</v>
      </c>
      <c r="AT72" s="7">
        <v>0</v>
      </c>
      <c r="AU72" s="7">
        <v>294.01299999999998</v>
      </c>
      <c r="AV72" s="7">
        <v>0</v>
      </c>
      <c r="AW72" s="7">
        <v>0</v>
      </c>
      <c r="AX72" s="7">
        <v>0</v>
      </c>
      <c r="AY72" s="7">
        <v>237.75899999999999</v>
      </c>
      <c r="AZ72" s="7">
        <v>0</v>
      </c>
      <c r="BA72" s="7">
        <v>0</v>
      </c>
      <c r="BB72" s="7">
        <v>119.399</v>
      </c>
      <c r="BC72" s="7">
        <v>191.43299999999999</v>
      </c>
      <c r="BD72" s="7">
        <v>0</v>
      </c>
      <c r="BE72" s="7">
        <v>27.695</v>
      </c>
      <c r="BF72" s="7">
        <v>27.695</v>
      </c>
      <c r="BG72" s="7">
        <v>0</v>
      </c>
      <c r="BH72" s="7">
        <v>0</v>
      </c>
      <c r="BI72" s="7">
        <v>80.444000000000003</v>
      </c>
      <c r="BJ72" s="21"/>
    </row>
    <row r="73" spans="1:62" ht="15.6" x14ac:dyDescent="0.3">
      <c r="A73" s="5" t="s">
        <v>130</v>
      </c>
      <c r="B73" s="5" t="s">
        <v>131</v>
      </c>
      <c r="C73" s="7">
        <v>3</v>
      </c>
      <c r="D73" s="7">
        <v>3</v>
      </c>
      <c r="E73" s="7">
        <v>54320.966</v>
      </c>
      <c r="F73" s="7">
        <v>7516.9170000000004</v>
      </c>
      <c r="G73" s="7">
        <v>11761.096</v>
      </c>
      <c r="H73" s="7">
        <v>11024.635</v>
      </c>
      <c r="I73" s="7">
        <v>1210.0550000000001</v>
      </c>
      <c r="J73" s="7">
        <v>6700.8119999999999</v>
      </c>
      <c r="K73" s="7">
        <v>96.206999999999994</v>
      </c>
      <c r="L73" s="7">
        <v>21627.893</v>
      </c>
      <c r="M73" s="7">
        <v>29504.632000000001</v>
      </c>
      <c r="N73" s="7">
        <v>0</v>
      </c>
      <c r="O73" s="7">
        <v>0</v>
      </c>
      <c r="P73" s="7">
        <v>0.97799999999999998</v>
      </c>
      <c r="Q73" s="7">
        <v>2.3290000000000002</v>
      </c>
      <c r="R73" s="7">
        <v>6.93</v>
      </c>
      <c r="S73" s="7">
        <v>3269.8069999999998</v>
      </c>
      <c r="T73" s="7">
        <v>0</v>
      </c>
      <c r="U73" s="7">
        <v>76.418000000000006</v>
      </c>
      <c r="V73" s="7">
        <v>1541.0719999999999</v>
      </c>
      <c r="W73" s="7">
        <v>2216.2600000000002</v>
      </c>
      <c r="X73" s="7">
        <v>0</v>
      </c>
      <c r="Y73" s="7">
        <v>8322.3070000000007</v>
      </c>
      <c r="Z73" s="7">
        <v>0</v>
      </c>
      <c r="AA73" s="7">
        <v>16575.044000000002</v>
      </c>
      <c r="AB73" s="7">
        <v>0</v>
      </c>
      <c r="AC73" s="7">
        <v>1214.7940000000001</v>
      </c>
      <c r="AD73" s="7">
        <v>0</v>
      </c>
      <c r="AE73" s="7">
        <v>8951.6460000000006</v>
      </c>
      <c r="AF73" s="7">
        <v>7.8289999999999997</v>
      </c>
      <c r="AG73" s="7">
        <v>0</v>
      </c>
      <c r="AH73" s="7">
        <v>51118.877999999997</v>
      </c>
      <c r="AI73" s="7">
        <v>27.170999999999999</v>
      </c>
      <c r="AJ73" s="7">
        <v>0</v>
      </c>
      <c r="AK73" s="7">
        <v>0</v>
      </c>
      <c r="AL73" s="7">
        <v>0</v>
      </c>
      <c r="AM73" s="7">
        <v>16.282</v>
      </c>
      <c r="AN73" s="7">
        <v>0</v>
      </c>
      <c r="AO73" s="7">
        <v>932.54499999999996</v>
      </c>
      <c r="AP73" s="7">
        <v>0</v>
      </c>
      <c r="AQ73" s="7">
        <v>0</v>
      </c>
      <c r="AR73" s="7">
        <v>0</v>
      </c>
      <c r="AS73" s="7">
        <v>28.741</v>
      </c>
      <c r="AT73" s="7">
        <v>0</v>
      </c>
      <c r="AU73" s="7">
        <v>825.64700000000005</v>
      </c>
      <c r="AV73" s="7">
        <v>0</v>
      </c>
      <c r="AW73" s="7">
        <v>0</v>
      </c>
      <c r="AX73" s="7">
        <v>0</v>
      </c>
      <c r="AY73" s="7">
        <v>667.67499999999995</v>
      </c>
      <c r="AZ73" s="7">
        <v>0</v>
      </c>
      <c r="BA73" s="7">
        <v>0</v>
      </c>
      <c r="BB73" s="7">
        <v>335.29599999999999</v>
      </c>
      <c r="BC73" s="7">
        <v>537.58100000000002</v>
      </c>
      <c r="BD73" s="7">
        <v>0</v>
      </c>
      <c r="BE73" s="7">
        <v>77.772999999999996</v>
      </c>
      <c r="BF73" s="7">
        <v>77.772999999999996</v>
      </c>
      <c r="BG73" s="7">
        <v>0</v>
      </c>
      <c r="BH73" s="7">
        <v>0</v>
      </c>
      <c r="BI73" s="7">
        <v>225.90299999999999</v>
      </c>
      <c r="BJ73" s="21"/>
    </row>
    <row r="74" spans="1:62" ht="15.6" x14ac:dyDescent="0.3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134</v>
      </c>
      <c r="B75" s="5" t="s">
        <v>135</v>
      </c>
      <c r="C75" s="7">
        <v>6</v>
      </c>
      <c r="D75" s="7">
        <v>6</v>
      </c>
      <c r="E75" s="7">
        <v>57876.14</v>
      </c>
      <c r="F75" s="7">
        <v>5566.3230000000003</v>
      </c>
      <c r="G75" s="7">
        <v>14850.36</v>
      </c>
      <c r="H75" s="7">
        <v>1873.3420000000001</v>
      </c>
      <c r="I75" s="7">
        <v>1225.375</v>
      </c>
      <c r="J75" s="7">
        <v>11087.415999999999</v>
      </c>
      <c r="K75" s="7">
        <v>0</v>
      </c>
      <c r="L75" s="7">
        <v>24759.489000000001</v>
      </c>
      <c r="M75" s="7">
        <v>32883.648999999998</v>
      </c>
      <c r="N75" s="7">
        <v>0</v>
      </c>
      <c r="O75" s="7">
        <v>0</v>
      </c>
      <c r="P75" s="7">
        <v>33.945999999999998</v>
      </c>
      <c r="Q75" s="7">
        <v>0</v>
      </c>
      <c r="R75" s="7">
        <v>131.94800000000001</v>
      </c>
      <c r="S75" s="7">
        <v>1647.4359999999999</v>
      </c>
      <c r="T75" s="7">
        <v>0</v>
      </c>
      <c r="U75" s="7">
        <v>0</v>
      </c>
      <c r="V75" s="7">
        <v>1239.0260000000001</v>
      </c>
      <c r="W75" s="7">
        <v>3014.2420000000002</v>
      </c>
      <c r="X75" s="7">
        <v>0</v>
      </c>
      <c r="Y75" s="7">
        <v>9402.23</v>
      </c>
      <c r="Z75" s="7">
        <v>0</v>
      </c>
      <c r="AA75" s="7">
        <v>14450.602999999999</v>
      </c>
      <c r="AB75" s="7">
        <v>0</v>
      </c>
      <c r="AC75" s="7">
        <v>972.29399999999998</v>
      </c>
      <c r="AD75" s="7">
        <v>0</v>
      </c>
      <c r="AE75" s="7">
        <v>31857.191999999999</v>
      </c>
      <c r="AF75" s="7">
        <v>0</v>
      </c>
      <c r="AG75" s="7">
        <v>0</v>
      </c>
      <c r="AH75" s="7">
        <v>78460.653000000006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716.24900000000002</v>
      </c>
      <c r="AP75" s="7">
        <v>0</v>
      </c>
      <c r="AQ75" s="7">
        <v>0</v>
      </c>
      <c r="AR75" s="7">
        <v>0</v>
      </c>
      <c r="AS75" s="7">
        <v>7.601</v>
      </c>
      <c r="AT75" s="7">
        <v>0</v>
      </c>
      <c r="AU75" s="7">
        <v>370.88299999999998</v>
      </c>
      <c r="AV75" s="7">
        <v>0</v>
      </c>
      <c r="AW75" s="7">
        <v>0</v>
      </c>
      <c r="AX75" s="7">
        <v>0</v>
      </c>
      <c r="AY75" s="7">
        <v>524.428</v>
      </c>
      <c r="AZ75" s="7">
        <v>0</v>
      </c>
      <c r="BA75" s="7">
        <v>0</v>
      </c>
      <c r="BB75" s="7">
        <v>268.41800000000001</v>
      </c>
      <c r="BC75" s="7">
        <v>432.40499999999997</v>
      </c>
      <c r="BD75" s="7">
        <v>0</v>
      </c>
      <c r="BE75" s="7">
        <v>64.668000000000006</v>
      </c>
      <c r="BF75" s="7">
        <v>64.668000000000006</v>
      </c>
      <c r="BG75" s="7">
        <v>0</v>
      </c>
      <c r="BH75" s="7">
        <v>0</v>
      </c>
      <c r="BI75" s="7">
        <v>176.75899999999999</v>
      </c>
      <c r="BJ75" s="21"/>
    </row>
    <row r="76" spans="1:62" ht="15.6" x14ac:dyDescent="0.3">
      <c r="A76" s="5" t="s">
        <v>136</v>
      </c>
      <c r="B76" s="5" t="s">
        <v>137</v>
      </c>
      <c r="C76" s="7">
        <v>6</v>
      </c>
      <c r="D76" s="7">
        <v>6</v>
      </c>
      <c r="E76" s="7">
        <v>969.43799999999999</v>
      </c>
      <c r="F76" s="7">
        <v>87.317999999999998</v>
      </c>
      <c r="G76" s="7">
        <v>123.01600000000001</v>
      </c>
      <c r="H76" s="7">
        <v>0</v>
      </c>
      <c r="I76" s="7">
        <v>21.632999999999999</v>
      </c>
      <c r="J76" s="7">
        <v>75.063999999999993</v>
      </c>
      <c r="K76" s="7">
        <v>0</v>
      </c>
      <c r="L76" s="7">
        <v>700.31600000000003</v>
      </c>
      <c r="M76" s="7">
        <v>335.00900000000001</v>
      </c>
      <c r="N76" s="7">
        <v>0</v>
      </c>
      <c r="O76" s="7">
        <v>0</v>
      </c>
      <c r="P76" s="7">
        <v>3.944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11.667</v>
      </c>
      <c r="W76" s="7">
        <v>35.012999999999998</v>
      </c>
      <c r="X76" s="7">
        <v>0</v>
      </c>
      <c r="Y76" s="7">
        <v>275.01400000000001</v>
      </c>
      <c r="Z76" s="7">
        <v>0</v>
      </c>
      <c r="AA76" s="7">
        <v>96.897999999999996</v>
      </c>
      <c r="AB76" s="7">
        <v>0</v>
      </c>
      <c r="AC76" s="7">
        <v>15.096</v>
      </c>
      <c r="AD76" s="7">
        <v>0</v>
      </c>
      <c r="AE76" s="7">
        <v>886.77200000000005</v>
      </c>
      <c r="AF76" s="7">
        <v>0</v>
      </c>
      <c r="AG76" s="7">
        <v>0</v>
      </c>
      <c r="AH76" s="7">
        <v>2032.0239999999999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138</v>
      </c>
      <c r="B77" s="5" t="s">
        <v>139</v>
      </c>
      <c r="C77" s="7">
        <v>6</v>
      </c>
      <c r="D77" s="7">
        <v>6</v>
      </c>
      <c r="E77" s="7">
        <v>8227.2659999999996</v>
      </c>
      <c r="F77" s="7">
        <v>1529.6320000000001</v>
      </c>
      <c r="G77" s="7">
        <v>847.63</v>
      </c>
      <c r="H77" s="7">
        <v>0</v>
      </c>
      <c r="I77" s="7">
        <v>101.77200000000001</v>
      </c>
      <c r="J77" s="7">
        <v>1135.472</v>
      </c>
      <c r="K77" s="7">
        <v>0</v>
      </c>
      <c r="L77" s="7">
        <v>16938.034</v>
      </c>
      <c r="M77" s="7">
        <v>3301.5329999999999</v>
      </c>
      <c r="N77" s="7">
        <v>0</v>
      </c>
      <c r="O77" s="7">
        <v>0</v>
      </c>
      <c r="P77" s="7">
        <v>6.4530000000000003</v>
      </c>
      <c r="Q77" s="7">
        <v>0</v>
      </c>
      <c r="R77" s="7">
        <v>250.05799999999999</v>
      </c>
      <c r="S77" s="7">
        <v>180.16800000000001</v>
      </c>
      <c r="T77" s="7">
        <v>0</v>
      </c>
      <c r="U77" s="7">
        <v>0</v>
      </c>
      <c r="V77" s="7">
        <v>103.843</v>
      </c>
      <c r="W77" s="7">
        <v>178.92400000000001</v>
      </c>
      <c r="X77" s="7">
        <v>0</v>
      </c>
      <c r="Y77" s="7">
        <v>904.75900000000001</v>
      </c>
      <c r="Z77" s="7">
        <v>0</v>
      </c>
      <c r="AA77" s="7">
        <v>1070.5060000000001</v>
      </c>
      <c r="AB77" s="7">
        <v>0</v>
      </c>
      <c r="AC77" s="7">
        <v>91.427999999999997</v>
      </c>
      <c r="AD77" s="7">
        <v>0</v>
      </c>
      <c r="AE77" s="7">
        <v>3567.5459999999998</v>
      </c>
      <c r="AF77" s="7">
        <v>0</v>
      </c>
      <c r="AG77" s="7">
        <v>0</v>
      </c>
      <c r="AH77" s="7">
        <v>15683.409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51.384</v>
      </c>
      <c r="AP77" s="7">
        <v>0</v>
      </c>
      <c r="AQ77" s="7">
        <v>0</v>
      </c>
      <c r="AR77" s="7">
        <v>0</v>
      </c>
      <c r="AS77" s="7">
        <v>1.5840000000000001</v>
      </c>
      <c r="AT77" s="7">
        <v>0</v>
      </c>
      <c r="AU77" s="7">
        <v>45.494</v>
      </c>
      <c r="AV77" s="7">
        <v>0</v>
      </c>
      <c r="AW77" s="7">
        <v>0</v>
      </c>
      <c r="AX77" s="7">
        <v>0</v>
      </c>
      <c r="AY77" s="7">
        <v>36.789000000000001</v>
      </c>
      <c r="AZ77" s="7">
        <v>0</v>
      </c>
      <c r="BA77" s="7">
        <v>0</v>
      </c>
      <c r="BB77" s="7">
        <v>18.475000000000001</v>
      </c>
      <c r="BC77" s="7">
        <v>29.620999999999999</v>
      </c>
      <c r="BD77" s="7">
        <v>0</v>
      </c>
      <c r="BE77" s="7">
        <v>4.2850000000000001</v>
      </c>
      <c r="BF77" s="7">
        <v>4.2850000000000001</v>
      </c>
      <c r="BG77" s="7">
        <v>0</v>
      </c>
      <c r="BH77" s="7">
        <v>0</v>
      </c>
      <c r="BI77" s="7">
        <v>12.446999999999999</v>
      </c>
      <c r="BJ77" s="21"/>
    </row>
    <row r="78" spans="1:62" ht="15.6" x14ac:dyDescent="0.3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142</v>
      </c>
      <c r="B79" s="5" t="s">
        <v>143</v>
      </c>
      <c r="C79" s="7">
        <v>6</v>
      </c>
      <c r="D79" s="7">
        <v>6</v>
      </c>
      <c r="E79" s="7">
        <v>9204.5689999999995</v>
      </c>
      <c r="F79" s="7">
        <v>1168.691</v>
      </c>
      <c r="G79" s="7">
        <v>1798.0440000000001</v>
      </c>
      <c r="H79" s="7">
        <v>5524.3760000000002</v>
      </c>
      <c r="I79" s="7">
        <v>205.125</v>
      </c>
      <c r="J79" s="7">
        <v>1035.585</v>
      </c>
      <c r="K79" s="7">
        <v>0</v>
      </c>
      <c r="L79" s="7">
        <v>4369.7809999999999</v>
      </c>
      <c r="M79" s="7">
        <v>4569.9030000000002</v>
      </c>
      <c r="N79" s="7">
        <v>0</v>
      </c>
      <c r="O79" s="7">
        <v>0</v>
      </c>
      <c r="P79" s="7">
        <v>8.9719999999999995</v>
      </c>
      <c r="Q79" s="7">
        <v>0</v>
      </c>
      <c r="R79" s="7">
        <v>0</v>
      </c>
      <c r="S79" s="7">
        <v>423.18599999999998</v>
      </c>
      <c r="T79" s="7">
        <v>0</v>
      </c>
      <c r="U79" s="7">
        <v>0</v>
      </c>
      <c r="V79" s="7">
        <v>225.61600000000001</v>
      </c>
      <c r="W79" s="7">
        <v>365.36</v>
      </c>
      <c r="X79" s="7">
        <v>0</v>
      </c>
      <c r="Y79" s="7">
        <v>1693.885</v>
      </c>
      <c r="Z79" s="7">
        <v>0</v>
      </c>
      <c r="AA79" s="7">
        <v>2362.4989999999998</v>
      </c>
      <c r="AB79" s="7">
        <v>0</v>
      </c>
      <c r="AC79" s="7">
        <v>191.078</v>
      </c>
      <c r="AD79" s="7">
        <v>0</v>
      </c>
      <c r="AE79" s="7">
        <v>3147.37</v>
      </c>
      <c r="AF79" s="7">
        <v>0</v>
      </c>
      <c r="AG79" s="7">
        <v>0</v>
      </c>
      <c r="AH79" s="7">
        <v>11173.228999999999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120.69199999999999</v>
      </c>
      <c r="AP79" s="7">
        <v>0</v>
      </c>
      <c r="AQ79" s="7">
        <v>0</v>
      </c>
      <c r="AR79" s="7">
        <v>0</v>
      </c>
      <c r="AS79" s="7">
        <v>3.72</v>
      </c>
      <c r="AT79" s="7">
        <v>0</v>
      </c>
      <c r="AU79" s="7">
        <v>106.857</v>
      </c>
      <c r="AV79" s="7">
        <v>0</v>
      </c>
      <c r="AW79" s="7">
        <v>0</v>
      </c>
      <c r="AX79" s="7">
        <v>0</v>
      </c>
      <c r="AY79" s="7">
        <v>86.412000000000006</v>
      </c>
      <c r="AZ79" s="7">
        <v>0</v>
      </c>
      <c r="BA79" s="7">
        <v>0</v>
      </c>
      <c r="BB79" s="7">
        <v>43.395000000000003</v>
      </c>
      <c r="BC79" s="7">
        <v>69.575000000000003</v>
      </c>
      <c r="BD79" s="7">
        <v>0</v>
      </c>
      <c r="BE79" s="7">
        <v>10.066000000000001</v>
      </c>
      <c r="BF79" s="7">
        <v>10.066000000000001</v>
      </c>
      <c r="BG79" s="7">
        <v>0</v>
      </c>
      <c r="BH79" s="7">
        <v>0</v>
      </c>
      <c r="BI79" s="7">
        <v>29.236999999999998</v>
      </c>
      <c r="BJ79" s="21"/>
    </row>
    <row r="80" spans="1:62" ht="15.6" x14ac:dyDescent="0.3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146</v>
      </c>
      <c r="B81" s="5" t="s">
        <v>147</v>
      </c>
      <c r="C81" s="7">
        <v>6</v>
      </c>
      <c r="D81" s="7">
        <v>6</v>
      </c>
      <c r="E81" s="7">
        <v>10512.481</v>
      </c>
      <c r="F81" s="7">
        <v>1356.278</v>
      </c>
      <c r="G81" s="7">
        <v>2068.0990000000002</v>
      </c>
      <c r="H81" s="7">
        <v>0</v>
      </c>
      <c r="I81" s="7">
        <v>196.17400000000001</v>
      </c>
      <c r="J81" s="7">
        <v>1397.42</v>
      </c>
      <c r="K81" s="7">
        <v>0</v>
      </c>
      <c r="L81" s="7">
        <v>10407.707</v>
      </c>
      <c r="M81" s="7">
        <v>4330.0169999999998</v>
      </c>
      <c r="N81" s="7">
        <v>0</v>
      </c>
      <c r="O81" s="7">
        <v>0</v>
      </c>
      <c r="P81" s="7">
        <v>20.902999999999999</v>
      </c>
      <c r="Q81" s="7">
        <v>0</v>
      </c>
      <c r="R81" s="7">
        <v>100.40900000000001</v>
      </c>
      <c r="S81" s="7">
        <v>221.255</v>
      </c>
      <c r="T81" s="7">
        <v>0</v>
      </c>
      <c r="U81" s="7">
        <v>0</v>
      </c>
      <c r="V81" s="7">
        <v>165.92099999999999</v>
      </c>
      <c r="W81" s="7">
        <v>334.95600000000002</v>
      </c>
      <c r="X81" s="7">
        <v>0</v>
      </c>
      <c r="Y81" s="7">
        <v>2173.9430000000002</v>
      </c>
      <c r="Z81" s="7">
        <v>0</v>
      </c>
      <c r="AA81" s="7">
        <v>1712.845</v>
      </c>
      <c r="AB81" s="7">
        <v>0</v>
      </c>
      <c r="AC81" s="7">
        <v>161.95699999999999</v>
      </c>
      <c r="AD81" s="7">
        <v>0</v>
      </c>
      <c r="AE81" s="7">
        <v>6299.7330000000002</v>
      </c>
      <c r="AF81" s="7">
        <v>0</v>
      </c>
      <c r="AG81" s="7">
        <v>0</v>
      </c>
      <c r="AH81" s="7">
        <v>18348.195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63.101999999999997</v>
      </c>
      <c r="AP81" s="7">
        <v>0</v>
      </c>
      <c r="AQ81" s="7">
        <v>0</v>
      </c>
      <c r="AR81" s="7">
        <v>0</v>
      </c>
      <c r="AS81" s="7">
        <v>1.9450000000000001</v>
      </c>
      <c r="AT81" s="7">
        <v>0</v>
      </c>
      <c r="AU81" s="7">
        <v>55.868000000000002</v>
      </c>
      <c r="AV81" s="7">
        <v>0</v>
      </c>
      <c r="AW81" s="7">
        <v>0</v>
      </c>
      <c r="AX81" s="7">
        <v>0</v>
      </c>
      <c r="AY81" s="7">
        <v>45.179000000000002</v>
      </c>
      <c r="AZ81" s="7">
        <v>0</v>
      </c>
      <c r="BA81" s="7">
        <v>0</v>
      </c>
      <c r="BB81" s="7">
        <v>22.687999999999999</v>
      </c>
      <c r="BC81" s="7">
        <v>36.375999999999998</v>
      </c>
      <c r="BD81" s="7">
        <v>0</v>
      </c>
      <c r="BE81" s="7">
        <v>5.2629999999999999</v>
      </c>
      <c r="BF81" s="7">
        <v>5.2629999999999999</v>
      </c>
      <c r="BG81" s="7">
        <v>0</v>
      </c>
      <c r="BH81" s="7">
        <v>0</v>
      </c>
      <c r="BI81" s="7">
        <v>15.286</v>
      </c>
      <c r="BJ81" s="21"/>
    </row>
    <row r="82" spans="1:62" ht="15.6" x14ac:dyDescent="0.3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158</v>
      </c>
      <c r="B87" s="5" t="s">
        <v>159</v>
      </c>
      <c r="C87" s="7">
        <v>6</v>
      </c>
      <c r="D87" s="7">
        <v>6</v>
      </c>
      <c r="E87" s="7">
        <v>16095.235000000001</v>
      </c>
      <c r="F87" s="7">
        <v>2227.7939999999999</v>
      </c>
      <c r="G87" s="7">
        <v>3484.9659999999999</v>
      </c>
      <c r="H87" s="7">
        <v>2379.5700000000002</v>
      </c>
      <c r="I87" s="7">
        <v>358.58</v>
      </c>
      <c r="J87" s="7">
        <v>1985.5070000000001</v>
      </c>
      <c r="K87" s="7">
        <v>0</v>
      </c>
      <c r="L87" s="7">
        <v>6424.8069999999998</v>
      </c>
      <c r="M87" s="7">
        <v>8743.8189999999995</v>
      </c>
      <c r="N87" s="7">
        <v>0</v>
      </c>
      <c r="O87" s="7">
        <v>0</v>
      </c>
      <c r="P87" s="7">
        <v>0.313</v>
      </c>
      <c r="Q87" s="7">
        <v>0</v>
      </c>
      <c r="R87" s="7">
        <v>0</v>
      </c>
      <c r="S87" s="7">
        <v>968.58799999999997</v>
      </c>
      <c r="T87" s="7">
        <v>0</v>
      </c>
      <c r="U87" s="7">
        <v>0</v>
      </c>
      <c r="V87" s="7">
        <v>456.50900000000001</v>
      </c>
      <c r="W87" s="7">
        <v>656.54499999999996</v>
      </c>
      <c r="X87" s="7">
        <v>0</v>
      </c>
      <c r="Y87" s="7">
        <v>2465.3629999999998</v>
      </c>
      <c r="Z87" s="7">
        <v>0</v>
      </c>
      <c r="AA87" s="7">
        <v>4909.9930000000004</v>
      </c>
      <c r="AB87" s="7">
        <v>0</v>
      </c>
      <c r="AC87" s="7">
        <v>359.86200000000002</v>
      </c>
      <c r="AD87" s="7">
        <v>0</v>
      </c>
      <c r="AE87" s="7">
        <v>2651.9470000000001</v>
      </c>
      <c r="AF87" s="7">
        <v>0</v>
      </c>
      <c r="AG87" s="7">
        <v>0</v>
      </c>
      <c r="AH87" s="7">
        <v>15169.027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276.24</v>
      </c>
      <c r="AP87" s="7">
        <v>0</v>
      </c>
      <c r="AQ87" s="7">
        <v>0</v>
      </c>
      <c r="AR87" s="7">
        <v>0</v>
      </c>
      <c r="AS87" s="7">
        <v>8.5139999999999993</v>
      </c>
      <c r="AT87" s="7">
        <v>0</v>
      </c>
      <c r="AU87" s="7">
        <v>244.57499999999999</v>
      </c>
      <c r="AV87" s="7">
        <v>0</v>
      </c>
      <c r="AW87" s="7">
        <v>0</v>
      </c>
      <c r="AX87" s="7">
        <v>0</v>
      </c>
      <c r="AY87" s="7">
        <v>197.78</v>
      </c>
      <c r="AZ87" s="7">
        <v>0</v>
      </c>
      <c r="BA87" s="7">
        <v>0</v>
      </c>
      <c r="BB87" s="7">
        <v>99.322000000000003</v>
      </c>
      <c r="BC87" s="7">
        <v>159.24299999999999</v>
      </c>
      <c r="BD87" s="7">
        <v>0</v>
      </c>
      <c r="BE87" s="7">
        <v>23.038</v>
      </c>
      <c r="BF87" s="7">
        <v>23.038</v>
      </c>
      <c r="BG87" s="7">
        <v>0</v>
      </c>
      <c r="BH87" s="7">
        <v>0</v>
      </c>
      <c r="BI87" s="7">
        <v>66.917000000000002</v>
      </c>
      <c r="BJ87" s="21"/>
    </row>
    <row r="88" spans="1:62" ht="15.6" x14ac:dyDescent="0.3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162</v>
      </c>
      <c r="B89" s="5" t="s">
        <v>163</v>
      </c>
      <c r="C89" s="7">
        <v>6</v>
      </c>
      <c r="D89" s="7">
        <v>6</v>
      </c>
      <c r="E89" s="7">
        <v>39777.415000000001</v>
      </c>
      <c r="F89" s="7">
        <v>5896.8549999999996</v>
      </c>
      <c r="G89" s="7">
        <v>8116.78</v>
      </c>
      <c r="H89" s="7">
        <v>5956.0349999999999</v>
      </c>
      <c r="I89" s="7">
        <v>1024.854</v>
      </c>
      <c r="J89" s="7">
        <v>4860.8509999999997</v>
      </c>
      <c r="K89" s="7">
        <v>0</v>
      </c>
      <c r="L89" s="7">
        <v>26296.992999999999</v>
      </c>
      <c r="M89" s="7">
        <v>20461.913</v>
      </c>
      <c r="N89" s="7">
        <v>0</v>
      </c>
      <c r="O89" s="7">
        <v>0</v>
      </c>
      <c r="P89" s="7">
        <v>71.415000000000006</v>
      </c>
      <c r="Q89" s="7">
        <v>0</v>
      </c>
      <c r="R89" s="7">
        <v>111.181</v>
      </c>
      <c r="S89" s="7">
        <v>2134.567</v>
      </c>
      <c r="T89" s="7">
        <v>0</v>
      </c>
      <c r="U89" s="7">
        <v>0</v>
      </c>
      <c r="V89" s="7">
        <v>1013.003</v>
      </c>
      <c r="W89" s="7">
        <v>1467.7280000000001</v>
      </c>
      <c r="X89" s="7">
        <v>0</v>
      </c>
      <c r="Y89" s="7">
        <v>5704.3720000000003</v>
      </c>
      <c r="Z89" s="7">
        <v>0</v>
      </c>
      <c r="AA89" s="7">
        <v>10878.296</v>
      </c>
      <c r="AB89" s="7">
        <v>0</v>
      </c>
      <c r="AC89" s="7">
        <v>802.05499999999995</v>
      </c>
      <c r="AD89" s="7">
        <v>0</v>
      </c>
      <c r="AE89" s="7">
        <v>7499.03</v>
      </c>
      <c r="AF89" s="7">
        <v>0</v>
      </c>
      <c r="AG89" s="7">
        <v>0</v>
      </c>
      <c r="AH89" s="7">
        <v>46383.512999999999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608.77599999999995</v>
      </c>
      <c r="AP89" s="7">
        <v>0</v>
      </c>
      <c r="AQ89" s="7">
        <v>0</v>
      </c>
      <c r="AR89" s="7">
        <v>0</v>
      </c>
      <c r="AS89" s="7">
        <v>18.763000000000002</v>
      </c>
      <c r="AT89" s="7">
        <v>0</v>
      </c>
      <c r="AU89" s="7">
        <v>538.99199999999996</v>
      </c>
      <c r="AV89" s="7">
        <v>0</v>
      </c>
      <c r="AW89" s="7">
        <v>0</v>
      </c>
      <c r="AX89" s="7">
        <v>0</v>
      </c>
      <c r="AY89" s="7">
        <v>435.86599999999999</v>
      </c>
      <c r="AZ89" s="7">
        <v>0</v>
      </c>
      <c r="BA89" s="7">
        <v>0</v>
      </c>
      <c r="BB89" s="7">
        <v>218.88499999999999</v>
      </c>
      <c r="BC89" s="7">
        <v>350.93900000000002</v>
      </c>
      <c r="BD89" s="7">
        <v>0</v>
      </c>
      <c r="BE89" s="7">
        <v>50.771000000000001</v>
      </c>
      <c r="BF89" s="7">
        <v>50.771000000000001</v>
      </c>
      <c r="BG89" s="7">
        <v>0</v>
      </c>
      <c r="BH89" s="7">
        <v>0</v>
      </c>
      <c r="BI89" s="7">
        <v>147.47200000000001</v>
      </c>
      <c r="BJ89" s="21"/>
    </row>
    <row r="90" spans="1:62" ht="15.6" x14ac:dyDescent="0.3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21"/>
    </row>
    <row r="92" spans="1:62" ht="15.6" x14ac:dyDescent="0.3">
      <c r="A92" s="5" t="s">
        <v>168</v>
      </c>
      <c r="B92" s="5" t="s">
        <v>169</v>
      </c>
      <c r="C92" s="7">
        <v>3</v>
      </c>
      <c r="D92" s="7">
        <v>3</v>
      </c>
      <c r="E92" s="7">
        <v>62408.635000000002</v>
      </c>
      <c r="F92" s="7">
        <v>8553.2669999999998</v>
      </c>
      <c r="G92" s="7">
        <v>14491.263000000001</v>
      </c>
      <c r="H92" s="7">
        <v>0</v>
      </c>
      <c r="I92" s="7">
        <v>1339.559</v>
      </c>
      <c r="J92" s="7">
        <v>8956.2960000000003</v>
      </c>
      <c r="K92" s="7">
        <v>0</v>
      </c>
      <c r="L92" s="7">
        <v>24892.334999999999</v>
      </c>
      <c r="M92" s="7">
        <v>34468.188999999998</v>
      </c>
      <c r="N92" s="7">
        <v>0</v>
      </c>
      <c r="O92" s="7">
        <v>0</v>
      </c>
      <c r="P92" s="7">
        <v>1.0820000000000001</v>
      </c>
      <c r="Q92" s="7">
        <v>0</v>
      </c>
      <c r="R92" s="7">
        <v>133.76900000000001</v>
      </c>
      <c r="S92" s="7">
        <v>3619.752</v>
      </c>
      <c r="T92" s="7">
        <v>0</v>
      </c>
      <c r="U92" s="7">
        <v>0</v>
      </c>
      <c r="V92" s="7">
        <v>1706.002</v>
      </c>
      <c r="W92" s="7">
        <v>2453.451</v>
      </c>
      <c r="X92" s="7">
        <v>0</v>
      </c>
      <c r="Y92" s="7">
        <v>9212.9860000000008</v>
      </c>
      <c r="Z92" s="7">
        <v>0</v>
      </c>
      <c r="AA92" s="7">
        <v>18348.955999999998</v>
      </c>
      <c r="AB92" s="7">
        <v>0</v>
      </c>
      <c r="AC92" s="7">
        <v>1344.8050000000001</v>
      </c>
      <c r="AD92" s="7">
        <v>0</v>
      </c>
      <c r="AE92" s="7">
        <v>14078.81</v>
      </c>
      <c r="AF92" s="7">
        <v>0</v>
      </c>
      <c r="AG92" s="7">
        <v>0</v>
      </c>
      <c r="AH92" s="7">
        <v>61048.241000000002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1032.348</v>
      </c>
      <c r="AP92" s="7">
        <v>0</v>
      </c>
      <c r="AQ92" s="7">
        <v>0</v>
      </c>
      <c r="AR92" s="7">
        <v>0</v>
      </c>
      <c r="AS92" s="7">
        <v>31.817</v>
      </c>
      <c r="AT92" s="7">
        <v>0</v>
      </c>
      <c r="AU92" s="7">
        <v>914.01099999999997</v>
      </c>
      <c r="AV92" s="7">
        <v>0</v>
      </c>
      <c r="AW92" s="7">
        <v>0</v>
      </c>
      <c r="AX92" s="7">
        <v>0</v>
      </c>
      <c r="AY92" s="7">
        <v>739.13099999999997</v>
      </c>
      <c r="AZ92" s="7">
        <v>0</v>
      </c>
      <c r="BA92" s="7">
        <v>0</v>
      </c>
      <c r="BB92" s="7">
        <v>371.18099999999998</v>
      </c>
      <c r="BC92" s="7">
        <v>595.11500000000001</v>
      </c>
      <c r="BD92" s="7">
        <v>0</v>
      </c>
      <c r="BE92" s="7">
        <v>86.096000000000004</v>
      </c>
      <c r="BF92" s="7">
        <v>86.096000000000004</v>
      </c>
      <c r="BG92" s="7">
        <v>0</v>
      </c>
      <c r="BH92" s="7">
        <v>0</v>
      </c>
      <c r="BI92" s="7">
        <v>250.08</v>
      </c>
      <c r="BJ92" s="21"/>
    </row>
    <row r="93" spans="1:62" ht="15.6" x14ac:dyDescent="0.3">
      <c r="A93" s="5" t="s">
        <v>170</v>
      </c>
      <c r="B93" s="5" t="s">
        <v>171</v>
      </c>
      <c r="C93" s="7">
        <v>3</v>
      </c>
      <c r="D93" s="7">
        <v>3</v>
      </c>
      <c r="E93" s="7">
        <v>78263.702000000005</v>
      </c>
      <c r="F93" s="7">
        <v>10830.105</v>
      </c>
      <c r="G93" s="7">
        <v>16944.966</v>
      </c>
      <c r="H93" s="7">
        <v>0</v>
      </c>
      <c r="I93" s="7">
        <v>1743.404</v>
      </c>
      <c r="J93" s="7">
        <v>9654.2900000000009</v>
      </c>
      <c r="K93" s="7">
        <v>0</v>
      </c>
      <c r="L93" s="7">
        <v>31160.692999999999</v>
      </c>
      <c r="M93" s="7">
        <v>42509.216999999997</v>
      </c>
      <c r="N93" s="7">
        <v>0</v>
      </c>
      <c r="O93" s="7">
        <v>0</v>
      </c>
      <c r="P93" s="7">
        <v>1.409</v>
      </c>
      <c r="Q93" s="7">
        <v>0</v>
      </c>
      <c r="R93" s="7">
        <v>0</v>
      </c>
      <c r="S93" s="7">
        <v>4711.0209999999997</v>
      </c>
      <c r="T93" s="7">
        <v>0</v>
      </c>
      <c r="U93" s="7">
        <v>0</v>
      </c>
      <c r="V93" s="7">
        <v>2220.3209999999999</v>
      </c>
      <c r="W93" s="7">
        <v>3193.1080000000002</v>
      </c>
      <c r="X93" s="7">
        <v>0</v>
      </c>
      <c r="Y93" s="7">
        <v>11990.482</v>
      </c>
      <c r="Z93" s="7">
        <v>0</v>
      </c>
      <c r="AA93" s="7">
        <v>23880.73</v>
      </c>
      <c r="AB93" s="7">
        <v>0</v>
      </c>
      <c r="AC93" s="7">
        <v>1750.232</v>
      </c>
      <c r="AD93" s="7">
        <v>0</v>
      </c>
      <c r="AE93" s="7">
        <v>12897.21</v>
      </c>
      <c r="AF93" s="7">
        <v>0</v>
      </c>
      <c r="AG93" s="7">
        <v>0</v>
      </c>
      <c r="AH93" s="7">
        <v>73649.596999999994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1343.577</v>
      </c>
      <c r="AP93" s="7">
        <v>0</v>
      </c>
      <c r="AQ93" s="7">
        <v>0</v>
      </c>
      <c r="AR93" s="7">
        <v>0</v>
      </c>
      <c r="AS93" s="7">
        <v>41.408999999999999</v>
      </c>
      <c r="AT93" s="7">
        <v>0</v>
      </c>
      <c r="AU93" s="7">
        <v>1189.5630000000001</v>
      </c>
      <c r="AV93" s="7">
        <v>0</v>
      </c>
      <c r="AW93" s="7">
        <v>0</v>
      </c>
      <c r="AX93" s="7">
        <v>0</v>
      </c>
      <c r="AY93" s="7">
        <v>961.96199999999999</v>
      </c>
      <c r="AZ93" s="7">
        <v>0</v>
      </c>
      <c r="BA93" s="7">
        <v>0</v>
      </c>
      <c r="BB93" s="7">
        <v>483.08300000000003</v>
      </c>
      <c r="BC93" s="7">
        <v>774.52800000000002</v>
      </c>
      <c r="BD93" s="7">
        <v>0</v>
      </c>
      <c r="BE93" s="7">
        <v>112.05200000000001</v>
      </c>
      <c r="BF93" s="7">
        <v>112.05200000000001</v>
      </c>
      <c r="BG93" s="7">
        <v>0</v>
      </c>
      <c r="BH93" s="7">
        <v>0</v>
      </c>
      <c r="BI93" s="7">
        <v>325.47300000000001</v>
      </c>
      <c r="BJ93" s="21"/>
    </row>
    <row r="94" spans="1:62" ht="15.6" x14ac:dyDescent="0.3">
      <c r="A94" s="5" t="s">
        <v>172</v>
      </c>
      <c r="B94" s="5" t="s">
        <v>173</v>
      </c>
      <c r="C94" s="7">
        <v>3</v>
      </c>
      <c r="D94" s="7">
        <v>3</v>
      </c>
      <c r="E94" s="7">
        <v>6914.01</v>
      </c>
      <c r="F94" s="7">
        <v>2407.605</v>
      </c>
      <c r="G94" s="7">
        <v>5580.22</v>
      </c>
      <c r="H94" s="7">
        <v>0</v>
      </c>
      <c r="I94" s="7">
        <v>131.56899999999999</v>
      </c>
      <c r="J94" s="7">
        <v>1904.202</v>
      </c>
      <c r="K94" s="7">
        <v>0</v>
      </c>
      <c r="L94" s="7">
        <v>15255.718999999999</v>
      </c>
      <c r="M94" s="7">
        <v>5426.933</v>
      </c>
      <c r="N94" s="7">
        <v>0</v>
      </c>
      <c r="O94" s="7">
        <v>0</v>
      </c>
      <c r="P94" s="7">
        <v>0.222</v>
      </c>
      <c r="Q94" s="7">
        <v>0</v>
      </c>
      <c r="R94" s="7">
        <v>0</v>
      </c>
      <c r="S94" s="7">
        <v>957.274</v>
      </c>
      <c r="T94" s="7">
        <v>0</v>
      </c>
      <c r="U94" s="7">
        <v>0</v>
      </c>
      <c r="V94" s="7">
        <v>428.55799999999999</v>
      </c>
      <c r="W94" s="7">
        <v>329.83499999999998</v>
      </c>
      <c r="X94" s="7">
        <v>0</v>
      </c>
      <c r="Y94" s="7">
        <v>4371.18</v>
      </c>
      <c r="Z94" s="7">
        <v>0</v>
      </c>
      <c r="AA94" s="7">
        <v>3710.123</v>
      </c>
      <c r="AB94" s="7">
        <v>0</v>
      </c>
      <c r="AC94" s="7">
        <v>964.88</v>
      </c>
      <c r="AD94" s="7">
        <v>0</v>
      </c>
      <c r="AE94" s="7">
        <v>16831.11</v>
      </c>
      <c r="AF94" s="7">
        <v>1747.0930000000001</v>
      </c>
      <c r="AG94" s="7">
        <v>0</v>
      </c>
      <c r="AH94" s="7">
        <v>28003.557000000001</v>
      </c>
      <c r="AI94" s="7">
        <v>3087.4189999999999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722.702</v>
      </c>
      <c r="AP94" s="7">
        <v>0</v>
      </c>
      <c r="AQ94" s="7">
        <v>613.72699999999998</v>
      </c>
      <c r="AR94" s="7">
        <v>0</v>
      </c>
      <c r="AS94" s="7">
        <v>4.1289999999999996</v>
      </c>
      <c r="AT94" s="7">
        <v>0</v>
      </c>
      <c r="AU94" s="7">
        <v>288.09800000000001</v>
      </c>
      <c r="AV94" s="7">
        <v>0</v>
      </c>
      <c r="AW94" s="7">
        <v>0</v>
      </c>
      <c r="AX94" s="7">
        <v>0</v>
      </c>
      <c r="AY94" s="7">
        <v>62.146999999999998</v>
      </c>
      <c r="AZ94" s="7">
        <v>604.44899999999996</v>
      </c>
      <c r="BA94" s="7">
        <v>0</v>
      </c>
      <c r="BB94" s="7">
        <v>254.488</v>
      </c>
      <c r="BC94" s="7">
        <v>25.751000000000001</v>
      </c>
      <c r="BD94" s="7">
        <v>754.03300000000002</v>
      </c>
      <c r="BE94" s="7">
        <v>57.878</v>
      </c>
      <c r="BF94" s="7">
        <v>57.878</v>
      </c>
      <c r="BG94" s="7">
        <v>242.18</v>
      </c>
      <c r="BH94" s="7">
        <v>0</v>
      </c>
      <c r="BI94" s="7">
        <v>10.493</v>
      </c>
      <c r="BJ94" s="21"/>
    </row>
    <row r="95" spans="1:62" ht="15.6" x14ac:dyDescent="0.3">
      <c r="A95" s="5" t="s">
        <v>174</v>
      </c>
      <c r="B95" s="5" t="s">
        <v>175</v>
      </c>
      <c r="C95" s="7">
        <v>3</v>
      </c>
      <c r="D95" s="7">
        <v>3</v>
      </c>
      <c r="E95" s="7">
        <v>18224.901000000002</v>
      </c>
      <c r="F95" s="7">
        <v>13520.200999999999</v>
      </c>
      <c r="G95" s="7">
        <v>22407.481</v>
      </c>
      <c r="H95" s="7">
        <v>0.24099999999999999</v>
      </c>
      <c r="I95" s="7">
        <v>721.45899999999995</v>
      </c>
      <c r="J95" s="7">
        <v>10114.721</v>
      </c>
      <c r="K95" s="7">
        <v>0</v>
      </c>
      <c r="L95" s="7">
        <v>57249.75</v>
      </c>
      <c r="M95" s="7">
        <v>21427.690999999999</v>
      </c>
      <c r="N95" s="7">
        <v>0</v>
      </c>
      <c r="O95" s="7">
        <v>0</v>
      </c>
      <c r="P95" s="7">
        <v>0.185</v>
      </c>
      <c r="Q95" s="7">
        <v>0</v>
      </c>
      <c r="R95" s="7">
        <v>0</v>
      </c>
      <c r="S95" s="7">
        <v>5537.4629999999997</v>
      </c>
      <c r="T95" s="7">
        <v>0</v>
      </c>
      <c r="U95" s="7">
        <v>0</v>
      </c>
      <c r="V95" s="7">
        <v>2330.2530000000002</v>
      </c>
      <c r="W95" s="7">
        <v>562.66700000000003</v>
      </c>
      <c r="X95" s="7">
        <v>0</v>
      </c>
      <c r="Y95" s="7">
        <v>14615.148999999999</v>
      </c>
      <c r="Z95" s="7">
        <v>0</v>
      </c>
      <c r="AA95" s="7">
        <v>25302.589</v>
      </c>
      <c r="AB95" s="7">
        <v>0</v>
      </c>
      <c r="AC95" s="7">
        <v>4726.6660000000002</v>
      </c>
      <c r="AD95" s="7">
        <v>0</v>
      </c>
      <c r="AE95" s="7">
        <v>64716.822999999997</v>
      </c>
      <c r="AF95" s="7">
        <v>3014.0819999999999</v>
      </c>
      <c r="AG95" s="7">
        <v>0</v>
      </c>
      <c r="AH95" s="7">
        <v>97386.707999999999</v>
      </c>
      <c r="AI95" s="7">
        <v>5155.2139999999999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4330.5749999999998</v>
      </c>
      <c r="AP95" s="7">
        <v>0</v>
      </c>
      <c r="AQ95" s="7">
        <v>1039.0319999999999</v>
      </c>
      <c r="AR95" s="7">
        <v>0</v>
      </c>
      <c r="AS95" s="7">
        <v>19.593</v>
      </c>
      <c r="AT95" s="7">
        <v>0</v>
      </c>
      <c r="AU95" s="7">
        <v>21.321000000000002</v>
      </c>
      <c r="AV95" s="7">
        <v>0</v>
      </c>
      <c r="AW95" s="7">
        <v>0</v>
      </c>
      <c r="AX95" s="7">
        <v>0</v>
      </c>
      <c r="AY95" s="7">
        <v>51.764000000000003</v>
      </c>
      <c r="AZ95" s="7">
        <v>1009.264</v>
      </c>
      <c r="BA95" s="7">
        <v>0</v>
      </c>
      <c r="BB95" s="7">
        <v>1501.595</v>
      </c>
      <c r="BC95" s="7">
        <v>0</v>
      </c>
      <c r="BD95" s="7">
        <v>1259.029</v>
      </c>
      <c r="BE95" s="7">
        <v>341.33100000000002</v>
      </c>
      <c r="BF95" s="7">
        <v>341.33100000000002</v>
      </c>
      <c r="BG95" s="7">
        <v>404.37400000000002</v>
      </c>
      <c r="BH95" s="7">
        <v>0</v>
      </c>
      <c r="BI95" s="7">
        <v>0</v>
      </c>
      <c r="BJ95" s="21"/>
    </row>
    <row r="96" spans="1:62" ht="15.6" x14ac:dyDescent="0.3">
      <c r="A96" s="5" t="s">
        <v>176</v>
      </c>
      <c r="B96" s="5" t="s">
        <v>177</v>
      </c>
      <c r="C96" s="7">
        <v>3</v>
      </c>
      <c r="D96" s="7">
        <v>3</v>
      </c>
      <c r="E96" s="7">
        <v>52840.364000000001</v>
      </c>
      <c r="F96" s="7">
        <v>29863.749</v>
      </c>
      <c r="G96" s="7">
        <v>2750.4749999999999</v>
      </c>
      <c r="H96" s="7">
        <v>2691.9259999999999</v>
      </c>
      <c r="I96" s="7">
        <v>2484.3960000000002</v>
      </c>
      <c r="J96" s="7">
        <v>20191.814999999999</v>
      </c>
      <c r="K96" s="7">
        <v>0</v>
      </c>
      <c r="L96" s="7">
        <v>91391.38</v>
      </c>
      <c r="M96" s="7">
        <v>26524.502</v>
      </c>
      <c r="N96" s="7">
        <v>0</v>
      </c>
      <c r="O96" s="7">
        <v>0</v>
      </c>
      <c r="P96" s="7">
        <v>0.57899999999999996</v>
      </c>
      <c r="Q96" s="7">
        <v>0</v>
      </c>
      <c r="R96" s="7">
        <v>0</v>
      </c>
      <c r="S96" s="7">
        <v>11770.097</v>
      </c>
      <c r="T96" s="7">
        <v>0</v>
      </c>
      <c r="U96" s="7">
        <v>0</v>
      </c>
      <c r="V96" s="7">
        <v>3564.3580000000002</v>
      </c>
      <c r="W96" s="7">
        <v>353.34</v>
      </c>
      <c r="X96" s="7">
        <v>0</v>
      </c>
      <c r="Y96" s="7">
        <v>8213.8140000000003</v>
      </c>
      <c r="Z96" s="7">
        <v>0</v>
      </c>
      <c r="AA96" s="7">
        <v>62217.748</v>
      </c>
      <c r="AB96" s="7">
        <v>0</v>
      </c>
      <c r="AC96" s="7">
        <v>5154.192</v>
      </c>
      <c r="AD96" s="7">
        <v>0</v>
      </c>
      <c r="AE96" s="7">
        <v>31275.286</v>
      </c>
      <c r="AF96" s="7">
        <v>9082.8700000000008</v>
      </c>
      <c r="AG96" s="7">
        <v>0</v>
      </c>
      <c r="AH96" s="7">
        <v>151926.315</v>
      </c>
      <c r="AI96" s="7">
        <v>15181.433000000001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8016.7870000000003</v>
      </c>
      <c r="AP96" s="7">
        <v>0</v>
      </c>
      <c r="AQ96" s="7">
        <v>3090.26</v>
      </c>
      <c r="AR96" s="7">
        <v>0</v>
      </c>
      <c r="AS96" s="7">
        <v>46.415999999999997</v>
      </c>
      <c r="AT96" s="7">
        <v>0</v>
      </c>
      <c r="AU96" s="7">
        <v>64.933999999999997</v>
      </c>
      <c r="AV96" s="7">
        <v>0</v>
      </c>
      <c r="AW96" s="7">
        <v>0</v>
      </c>
      <c r="AX96" s="7">
        <v>0</v>
      </c>
      <c r="AY96" s="7">
        <v>152.43799999999999</v>
      </c>
      <c r="AZ96" s="7">
        <v>2972.1190000000001</v>
      </c>
      <c r="BA96" s="7">
        <v>0</v>
      </c>
      <c r="BB96" s="7">
        <v>2749.5140000000001</v>
      </c>
      <c r="BC96" s="7">
        <v>0</v>
      </c>
      <c r="BD96" s="7">
        <v>3707.6370000000002</v>
      </c>
      <c r="BE96" s="7">
        <v>628.55399999999997</v>
      </c>
      <c r="BF96" s="7">
        <v>628.55399999999997</v>
      </c>
      <c r="BG96" s="7">
        <v>1190.816</v>
      </c>
      <c r="BH96" s="7">
        <v>0</v>
      </c>
      <c r="BI96" s="7">
        <v>0</v>
      </c>
      <c r="BJ96" s="21"/>
    </row>
    <row r="97" spans="1:62" ht="15.6" x14ac:dyDescent="0.3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188</v>
      </c>
      <c r="B102" s="5" t="s">
        <v>189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192</v>
      </c>
      <c r="B104" s="5" t="s">
        <v>193</v>
      </c>
      <c r="C104" s="7">
        <v>6</v>
      </c>
      <c r="D104" s="7">
        <v>6</v>
      </c>
      <c r="E104" s="7">
        <v>0.53700000000000003</v>
      </c>
      <c r="F104" s="7">
        <v>0.374</v>
      </c>
      <c r="G104" s="7">
        <v>2.5999999999999999E-2</v>
      </c>
      <c r="H104" s="7">
        <v>1713.0930000000001</v>
      </c>
      <c r="I104" s="7">
        <v>3.3000000000000002E-2</v>
      </c>
      <c r="J104" s="7">
        <v>0.27800000000000002</v>
      </c>
      <c r="K104" s="7">
        <v>0</v>
      </c>
      <c r="L104" s="7">
        <v>0.80300000000000005</v>
      </c>
      <c r="M104" s="7">
        <v>0.30199999999999999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0.15</v>
      </c>
      <c r="T104" s="7">
        <v>0</v>
      </c>
      <c r="U104" s="7">
        <v>0</v>
      </c>
      <c r="V104" s="7">
        <v>4.9000000000000002E-2</v>
      </c>
      <c r="W104" s="7">
        <v>0</v>
      </c>
      <c r="X104" s="7">
        <v>0</v>
      </c>
      <c r="Y104" s="7">
        <v>2.1999999999999999E-2</v>
      </c>
      <c r="Z104" s="7">
        <v>0</v>
      </c>
      <c r="AA104" s="7">
        <v>0.86</v>
      </c>
      <c r="AB104" s="7">
        <v>0</v>
      </c>
      <c r="AC104" s="7">
        <v>6.2E-2</v>
      </c>
      <c r="AD104" s="7">
        <v>0</v>
      </c>
      <c r="AE104" s="7">
        <v>0.192</v>
      </c>
      <c r="AF104" s="7">
        <v>7.0000000000000001E-3</v>
      </c>
      <c r="AG104" s="7">
        <v>0</v>
      </c>
      <c r="AH104" s="7">
        <v>1.3029999999999999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0.105</v>
      </c>
      <c r="AP104" s="7">
        <v>0</v>
      </c>
      <c r="AQ104" s="7">
        <v>1E-3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3.5999999999999997E-2</v>
      </c>
      <c r="BC104" s="7">
        <v>0</v>
      </c>
      <c r="BD104" s="7">
        <v>0</v>
      </c>
      <c r="BE104" s="7">
        <v>8.0000000000000002E-3</v>
      </c>
      <c r="BF104" s="7">
        <v>8.0000000000000002E-3</v>
      </c>
      <c r="BG104" s="7">
        <v>0</v>
      </c>
      <c r="BH104" s="7">
        <v>0</v>
      </c>
      <c r="BI104" s="7">
        <v>0</v>
      </c>
      <c r="BJ104" s="21"/>
    </row>
    <row r="105" spans="1:62" ht="15.6" x14ac:dyDescent="0.3">
      <c r="A105" s="5" t="s">
        <v>194</v>
      </c>
      <c r="B105" s="5" t="s">
        <v>195</v>
      </c>
      <c r="C105" s="7">
        <v>4</v>
      </c>
      <c r="D105" s="7">
        <v>4</v>
      </c>
      <c r="E105" s="7">
        <v>429379.25900000002</v>
      </c>
      <c r="F105" s="7">
        <v>86063.773000000001</v>
      </c>
      <c r="G105" s="7">
        <v>0</v>
      </c>
      <c r="H105" s="7">
        <v>5475.1270000000004</v>
      </c>
      <c r="I105" s="7">
        <v>2992.5189999999998</v>
      </c>
      <c r="J105" s="7">
        <v>0</v>
      </c>
      <c r="K105" s="7">
        <v>0</v>
      </c>
      <c r="L105" s="7">
        <v>990397</v>
      </c>
      <c r="M105" s="7">
        <v>65697.490000000005</v>
      </c>
      <c r="N105" s="7">
        <v>0</v>
      </c>
      <c r="O105" s="7">
        <v>95.245999999999995</v>
      </c>
      <c r="P105" s="7">
        <v>15.112</v>
      </c>
      <c r="Q105" s="7">
        <v>107.02500000000001</v>
      </c>
      <c r="R105" s="7">
        <v>0</v>
      </c>
      <c r="S105" s="7">
        <v>26686.39</v>
      </c>
      <c r="T105" s="7">
        <v>0</v>
      </c>
      <c r="U105" s="7">
        <v>0</v>
      </c>
      <c r="V105" s="7">
        <v>0</v>
      </c>
      <c r="W105" s="7">
        <v>9048.06</v>
      </c>
      <c r="X105" s="7">
        <v>0</v>
      </c>
      <c r="Y105" s="7">
        <v>186127.535</v>
      </c>
      <c r="Z105" s="7">
        <v>0</v>
      </c>
      <c r="AA105" s="7">
        <v>0</v>
      </c>
      <c r="AB105" s="7">
        <v>5493.049</v>
      </c>
      <c r="AC105" s="7">
        <v>16193.276</v>
      </c>
      <c r="AD105" s="7">
        <v>0</v>
      </c>
      <c r="AE105" s="7">
        <v>464712.14799999999</v>
      </c>
      <c r="AF105" s="7">
        <v>259215.22399999999</v>
      </c>
      <c r="AG105" s="7">
        <v>0</v>
      </c>
      <c r="AH105" s="7">
        <v>1704792.419</v>
      </c>
      <c r="AI105" s="7">
        <v>458078.71399999998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12308.547</v>
      </c>
      <c r="AP105" s="7">
        <v>0</v>
      </c>
      <c r="AQ105" s="7">
        <v>91058.357999999993</v>
      </c>
      <c r="AR105" s="7">
        <v>0</v>
      </c>
      <c r="AS105" s="7">
        <v>257.28899999999999</v>
      </c>
      <c r="AT105" s="7">
        <v>0</v>
      </c>
      <c r="AU105" s="7">
        <v>1805.223</v>
      </c>
      <c r="AV105" s="7">
        <v>0</v>
      </c>
      <c r="AW105" s="7">
        <v>0</v>
      </c>
      <c r="AX105" s="7">
        <v>0</v>
      </c>
      <c r="AY105" s="7">
        <v>4599.7030000000004</v>
      </c>
      <c r="AZ105" s="7">
        <v>89681.754000000001</v>
      </c>
      <c r="BA105" s="7">
        <v>0</v>
      </c>
      <c r="BB105" s="7">
        <v>4498.134</v>
      </c>
      <c r="BC105" s="7">
        <v>0</v>
      </c>
      <c r="BD105" s="7">
        <v>111875.515</v>
      </c>
      <c r="BE105" s="7">
        <v>1013.907</v>
      </c>
      <c r="BF105" s="7">
        <v>1013.907</v>
      </c>
      <c r="BG105" s="7">
        <v>35932.089</v>
      </c>
      <c r="BH105" s="7">
        <v>0</v>
      </c>
      <c r="BI105" s="7">
        <v>0</v>
      </c>
      <c r="BJ105" s="21"/>
    </row>
    <row r="106" spans="1:62" ht="15.6" x14ac:dyDescent="0.3">
      <c r="A106" s="5" t="s">
        <v>196</v>
      </c>
      <c r="B106" s="5" t="s">
        <v>197</v>
      </c>
      <c r="C106" s="7">
        <v>4</v>
      </c>
      <c r="D106" s="7">
        <v>4</v>
      </c>
      <c r="E106" s="7">
        <v>217912.38699999999</v>
      </c>
      <c r="F106" s="7">
        <v>42028.622000000003</v>
      </c>
      <c r="G106" s="7">
        <v>0</v>
      </c>
      <c r="H106" s="7">
        <v>614.92399999999998</v>
      </c>
      <c r="I106" s="7">
        <v>1532.58</v>
      </c>
      <c r="J106" s="7">
        <v>0</v>
      </c>
      <c r="K106" s="7">
        <v>0</v>
      </c>
      <c r="L106" s="7">
        <v>501569.364</v>
      </c>
      <c r="M106" s="7">
        <v>33646.114000000001</v>
      </c>
      <c r="N106" s="7">
        <v>0</v>
      </c>
      <c r="O106" s="7">
        <v>12.957000000000001</v>
      </c>
      <c r="P106" s="7">
        <v>7.74</v>
      </c>
      <c r="Q106" s="7">
        <v>14.558999999999999</v>
      </c>
      <c r="R106" s="7">
        <v>0</v>
      </c>
      <c r="S106" s="7">
        <v>13667.087</v>
      </c>
      <c r="T106" s="7">
        <v>0</v>
      </c>
      <c r="U106" s="7">
        <v>0</v>
      </c>
      <c r="V106" s="7">
        <v>0</v>
      </c>
      <c r="W106" s="7">
        <v>4633.8459999999995</v>
      </c>
      <c r="X106" s="7">
        <v>0</v>
      </c>
      <c r="Y106" s="7">
        <v>95322.792000000001</v>
      </c>
      <c r="Z106" s="7">
        <v>0</v>
      </c>
      <c r="AA106" s="7">
        <v>0</v>
      </c>
      <c r="AB106" s="7">
        <v>747.24099999999999</v>
      </c>
      <c r="AC106" s="7">
        <v>8293.1749999999993</v>
      </c>
      <c r="AD106" s="7">
        <v>0</v>
      </c>
      <c r="AE106" s="7">
        <v>236391.709</v>
      </c>
      <c r="AF106" s="7">
        <v>132753.70000000001</v>
      </c>
      <c r="AG106" s="7">
        <v>0</v>
      </c>
      <c r="AH106" s="7">
        <v>867342.87100000004</v>
      </c>
      <c r="AI106" s="7">
        <v>234599.046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6303.6620000000003</v>
      </c>
      <c r="AP106" s="7">
        <v>0</v>
      </c>
      <c r="AQ106" s="7">
        <v>46634.351999999999</v>
      </c>
      <c r="AR106" s="7">
        <v>0</v>
      </c>
      <c r="AS106" s="7">
        <v>131.767</v>
      </c>
      <c r="AT106" s="7">
        <v>0</v>
      </c>
      <c r="AU106" s="7">
        <v>924.52</v>
      </c>
      <c r="AV106" s="7">
        <v>0</v>
      </c>
      <c r="AW106" s="7">
        <v>0</v>
      </c>
      <c r="AX106" s="7">
        <v>0</v>
      </c>
      <c r="AY106" s="7">
        <v>2355.6779999999999</v>
      </c>
      <c r="AZ106" s="7">
        <v>45929.341999999997</v>
      </c>
      <c r="BA106" s="7">
        <v>0</v>
      </c>
      <c r="BB106" s="7">
        <v>2303.6610000000001</v>
      </c>
      <c r="BC106" s="7">
        <v>0</v>
      </c>
      <c r="BD106" s="7">
        <v>57295.587</v>
      </c>
      <c r="BE106" s="7">
        <v>519.25900000000001</v>
      </c>
      <c r="BF106" s="7">
        <v>519.25900000000001</v>
      </c>
      <c r="BG106" s="7">
        <v>18402.151000000002</v>
      </c>
      <c r="BH106" s="7">
        <v>0</v>
      </c>
      <c r="BI106" s="7">
        <v>0</v>
      </c>
      <c r="BJ106" s="21"/>
    </row>
    <row r="107" spans="1:62" ht="15.6" x14ac:dyDescent="0.3">
      <c r="A107" s="5" t="s">
        <v>198</v>
      </c>
      <c r="B107" s="5" t="s">
        <v>199</v>
      </c>
      <c r="C107" s="7">
        <v>4</v>
      </c>
      <c r="D107" s="7">
        <v>4</v>
      </c>
      <c r="E107" s="7">
        <v>90795.213000000003</v>
      </c>
      <c r="F107" s="7">
        <v>17815.425999999999</v>
      </c>
      <c r="G107" s="7">
        <v>280.83</v>
      </c>
      <c r="H107" s="7">
        <v>3.677</v>
      </c>
      <c r="I107" s="7">
        <v>818.68299999999999</v>
      </c>
      <c r="J107" s="7">
        <v>160.001</v>
      </c>
      <c r="K107" s="7">
        <v>0</v>
      </c>
      <c r="L107" s="7">
        <v>200460.193</v>
      </c>
      <c r="M107" s="7">
        <v>19174.848000000002</v>
      </c>
      <c r="N107" s="7">
        <v>0</v>
      </c>
      <c r="O107" s="7">
        <v>116.358</v>
      </c>
      <c r="P107" s="7">
        <v>2.8839999999999999</v>
      </c>
      <c r="Q107" s="7">
        <v>130.749</v>
      </c>
      <c r="R107" s="7">
        <v>0</v>
      </c>
      <c r="S107" s="7">
        <v>5129.6130000000003</v>
      </c>
      <c r="T107" s="7">
        <v>0</v>
      </c>
      <c r="U107" s="7">
        <v>0</v>
      </c>
      <c r="V107" s="7">
        <v>36.798000000000002</v>
      </c>
      <c r="W107" s="7">
        <v>1765.6510000000001</v>
      </c>
      <c r="X107" s="7">
        <v>0</v>
      </c>
      <c r="Y107" s="7">
        <v>35431.292000000001</v>
      </c>
      <c r="Z107" s="7">
        <v>0</v>
      </c>
      <c r="AA107" s="7">
        <v>395.77699999999999</v>
      </c>
      <c r="AB107" s="7">
        <v>6710.6679999999997</v>
      </c>
      <c r="AC107" s="7">
        <v>3094.2750000000001</v>
      </c>
      <c r="AD107" s="7">
        <v>0</v>
      </c>
      <c r="AE107" s="7">
        <v>92584.736000000004</v>
      </c>
      <c r="AF107" s="7">
        <v>49070.17</v>
      </c>
      <c r="AG107" s="7">
        <v>0</v>
      </c>
      <c r="AH107" s="7">
        <v>340092.152</v>
      </c>
      <c r="AI107" s="7">
        <v>86720.078999999998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2352.1849999999999</v>
      </c>
      <c r="AP107" s="7">
        <v>0</v>
      </c>
      <c r="AQ107" s="7">
        <v>17236.677</v>
      </c>
      <c r="AR107" s="7">
        <v>0</v>
      </c>
      <c r="AS107" s="7">
        <v>49.389000000000003</v>
      </c>
      <c r="AT107" s="7">
        <v>0</v>
      </c>
      <c r="AU107" s="7">
        <v>361.43</v>
      </c>
      <c r="AV107" s="7">
        <v>0</v>
      </c>
      <c r="AW107" s="7">
        <v>0</v>
      </c>
      <c r="AX107" s="7">
        <v>0</v>
      </c>
      <c r="AY107" s="7">
        <v>886.63300000000004</v>
      </c>
      <c r="AZ107" s="7">
        <v>16976.096000000001</v>
      </c>
      <c r="BA107" s="7">
        <v>0</v>
      </c>
      <c r="BB107" s="7">
        <v>859.47</v>
      </c>
      <c r="BC107" s="7">
        <v>12.836</v>
      </c>
      <c r="BD107" s="7">
        <v>21177.212</v>
      </c>
      <c r="BE107" s="7">
        <v>193.78200000000001</v>
      </c>
      <c r="BF107" s="7">
        <v>193.78200000000001</v>
      </c>
      <c r="BG107" s="7">
        <v>6801.68</v>
      </c>
      <c r="BH107" s="7">
        <v>0</v>
      </c>
      <c r="BI107" s="7">
        <v>5.3940000000000001</v>
      </c>
      <c r="BJ107" s="21"/>
    </row>
    <row r="108" spans="1:62" ht="15.6" x14ac:dyDescent="0.3">
      <c r="A108" s="5" t="s">
        <v>200</v>
      </c>
      <c r="B108" s="5" t="s">
        <v>201</v>
      </c>
      <c r="C108" s="7">
        <v>4</v>
      </c>
      <c r="D108" s="7">
        <v>4</v>
      </c>
      <c r="E108" s="7">
        <v>474.54599999999999</v>
      </c>
      <c r="F108" s="7">
        <v>85.204999999999998</v>
      </c>
      <c r="G108" s="7">
        <v>1.7230000000000001</v>
      </c>
      <c r="H108" s="7">
        <v>0</v>
      </c>
      <c r="I108" s="7">
        <v>3.2440000000000002</v>
      </c>
      <c r="J108" s="7">
        <v>0.98199999999999998</v>
      </c>
      <c r="K108" s="7">
        <v>0</v>
      </c>
      <c r="L108" s="7">
        <v>1018.083</v>
      </c>
      <c r="M108" s="7">
        <v>71.652000000000001</v>
      </c>
      <c r="N108" s="7">
        <v>0</v>
      </c>
      <c r="O108" s="7">
        <v>1.5049999999999999</v>
      </c>
      <c r="P108" s="7">
        <v>1.6E-2</v>
      </c>
      <c r="Q108" s="7">
        <v>1.6919999999999999</v>
      </c>
      <c r="R108" s="7">
        <v>0</v>
      </c>
      <c r="S108" s="7">
        <v>27.827999999999999</v>
      </c>
      <c r="T108" s="7">
        <v>0</v>
      </c>
      <c r="U108" s="7">
        <v>0</v>
      </c>
      <c r="V108" s="7">
        <v>0.22600000000000001</v>
      </c>
      <c r="W108" s="7">
        <v>9.5980000000000008</v>
      </c>
      <c r="X108" s="7">
        <v>0</v>
      </c>
      <c r="Y108" s="7">
        <v>191.971</v>
      </c>
      <c r="Z108" s="7">
        <v>0</v>
      </c>
      <c r="AA108" s="7">
        <v>2.4279999999999999</v>
      </c>
      <c r="AB108" s="7">
        <v>86.820999999999998</v>
      </c>
      <c r="AC108" s="7">
        <v>16.774000000000001</v>
      </c>
      <c r="AD108" s="7">
        <v>0</v>
      </c>
      <c r="AE108" s="7">
        <v>540.62800000000004</v>
      </c>
      <c r="AF108" s="7">
        <v>265.65499999999997</v>
      </c>
      <c r="AG108" s="7">
        <v>0</v>
      </c>
      <c r="AH108" s="7">
        <v>1743.1410000000001</v>
      </c>
      <c r="AI108" s="7">
        <v>469.46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12.750999999999999</v>
      </c>
      <c r="AP108" s="7">
        <v>0</v>
      </c>
      <c r="AQ108" s="7">
        <v>93.320999999999998</v>
      </c>
      <c r="AR108" s="7">
        <v>0</v>
      </c>
      <c r="AS108" s="7">
        <v>0.26800000000000002</v>
      </c>
      <c r="AT108" s="7">
        <v>0</v>
      </c>
      <c r="AU108" s="7">
        <v>1.9710000000000001</v>
      </c>
      <c r="AV108" s="7">
        <v>0</v>
      </c>
      <c r="AW108" s="7">
        <v>0</v>
      </c>
      <c r="AX108" s="7">
        <v>0</v>
      </c>
      <c r="AY108" s="7">
        <v>4.8120000000000003</v>
      </c>
      <c r="AZ108" s="7">
        <v>91.91</v>
      </c>
      <c r="BA108" s="7">
        <v>0</v>
      </c>
      <c r="BB108" s="7">
        <v>4.6589999999999998</v>
      </c>
      <c r="BC108" s="7">
        <v>7.9000000000000001E-2</v>
      </c>
      <c r="BD108" s="7">
        <v>114.655</v>
      </c>
      <c r="BE108" s="7">
        <v>1.05</v>
      </c>
      <c r="BF108" s="7">
        <v>1.05</v>
      </c>
      <c r="BG108" s="7">
        <v>36.825000000000003</v>
      </c>
      <c r="BH108" s="7">
        <v>0</v>
      </c>
      <c r="BI108" s="7">
        <v>3.3000000000000002E-2</v>
      </c>
      <c r="BJ108" s="21"/>
    </row>
    <row r="109" spans="1:62" ht="15.6" x14ac:dyDescent="0.3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21"/>
    </row>
    <row r="111" spans="1:62" ht="15.6" x14ac:dyDescent="0.3">
      <c r="A111" s="5" t="s">
        <v>206</v>
      </c>
      <c r="B111" s="5" t="s">
        <v>207</v>
      </c>
      <c r="C111" s="7">
        <v>6</v>
      </c>
      <c r="D111" s="7">
        <v>6</v>
      </c>
      <c r="E111" s="7">
        <v>89190.972999999998</v>
      </c>
      <c r="F111" s="7">
        <v>580.78</v>
      </c>
      <c r="G111" s="7">
        <v>0</v>
      </c>
      <c r="H111" s="7">
        <v>9771.2620000000006</v>
      </c>
      <c r="I111" s="7">
        <v>4.2999999999999997E-2</v>
      </c>
      <c r="J111" s="7">
        <v>0</v>
      </c>
      <c r="K111" s="7">
        <v>0</v>
      </c>
      <c r="L111" s="7">
        <v>134488.087</v>
      </c>
      <c r="M111" s="7">
        <v>21397.083999999999</v>
      </c>
      <c r="N111" s="7">
        <v>0</v>
      </c>
      <c r="O111" s="7">
        <v>0</v>
      </c>
      <c r="P111" s="7">
        <v>0</v>
      </c>
      <c r="Q111" s="7">
        <v>0</v>
      </c>
      <c r="R111" s="7">
        <v>2E-3</v>
      </c>
      <c r="S111" s="7">
        <v>0.38400000000000001</v>
      </c>
      <c r="T111" s="7">
        <v>0</v>
      </c>
      <c r="U111" s="7">
        <v>0</v>
      </c>
      <c r="V111" s="7">
        <v>0</v>
      </c>
      <c r="W111" s="7">
        <v>0.13</v>
      </c>
      <c r="X111" s="7">
        <v>0</v>
      </c>
      <c r="Y111" s="7">
        <v>34220.976000000002</v>
      </c>
      <c r="Z111" s="7">
        <v>0</v>
      </c>
      <c r="AA111" s="7">
        <v>0</v>
      </c>
      <c r="AB111" s="7">
        <v>0</v>
      </c>
      <c r="AC111" s="7">
        <v>0.23300000000000001</v>
      </c>
      <c r="AD111" s="7">
        <v>0</v>
      </c>
      <c r="AE111" s="7">
        <v>109300.68399999999</v>
      </c>
      <c r="AF111" s="7">
        <v>5202.09</v>
      </c>
      <c r="AG111" s="7">
        <v>0</v>
      </c>
      <c r="AH111" s="7">
        <v>320114.95400000003</v>
      </c>
      <c r="AI111" s="7">
        <v>6671.2920000000004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0.17699999999999999</v>
      </c>
      <c r="AP111" s="7">
        <v>0</v>
      </c>
      <c r="AQ111" s="7">
        <v>1.3089999999999999</v>
      </c>
      <c r="AR111" s="7">
        <v>0</v>
      </c>
      <c r="AS111" s="7">
        <v>8.9999999999999993E-3</v>
      </c>
      <c r="AT111" s="7">
        <v>0</v>
      </c>
      <c r="AU111" s="7">
        <v>2.5999999999999999E-2</v>
      </c>
      <c r="AV111" s="7">
        <v>0</v>
      </c>
      <c r="AW111" s="7">
        <v>0</v>
      </c>
      <c r="AX111" s="7">
        <v>0</v>
      </c>
      <c r="AY111" s="7">
        <v>6.6000000000000003E-2</v>
      </c>
      <c r="AZ111" s="7">
        <v>1.2889999999999999</v>
      </c>
      <c r="BA111" s="7">
        <v>0</v>
      </c>
      <c r="BB111" s="7">
        <v>6.5000000000000002E-2</v>
      </c>
      <c r="BC111" s="7">
        <v>0</v>
      </c>
      <c r="BD111" s="7">
        <v>1.6080000000000001</v>
      </c>
      <c r="BE111" s="7">
        <v>1.4999999999999999E-2</v>
      </c>
      <c r="BF111" s="7">
        <v>1.4999999999999999E-2</v>
      </c>
      <c r="BG111" s="7">
        <v>0.51600000000000001</v>
      </c>
      <c r="BH111" s="7">
        <v>0</v>
      </c>
      <c r="BI111" s="7">
        <v>0</v>
      </c>
      <c r="BJ111" s="21"/>
    </row>
    <row r="112" spans="1:62" ht="15.6" x14ac:dyDescent="0.3">
      <c r="A112" s="5" t="s">
        <v>208</v>
      </c>
      <c r="B112" s="5" t="s">
        <v>209</v>
      </c>
      <c r="C112" s="7">
        <v>4</v>
      </c>
      <c r="D112" s="7">
        <v>4</v>
      </c>
      <c r="E112" s="7">
        <v>95506.596999999994</v>
      </c>
      <c r="F112" s="7">
        <v>18488.103999999999</v>
      </c>
      <c r="G112" s="7">
        <v>0</v>
      </c>
      <c r="H112" s="7">
        <v>0</v>
      </c>
      <c r="I112" s="7">
        <v>669.52700000000004</v>
      </c>
      <c r="J112" s="7">
        <v>0</v>
      </c>
      <c r="K112" s="7">
        <v>0</v>
      </c>
      <c r="L112" s="7">
        <v>220800.35800000001</v>
      </c>
      <c r="M112" s="7">
        <v>14690.898999999999</v>
      </c>
      <c r="N112" s="7">
        <v>0</v>
      </c>
      <c r="O112" s="7">
        <v>0</v>
      </c>
      <c r="P112" s="7">
        <v>3.3530000000000002</v>
      </c>
      <c r="Q112" s="7">
        <v>0</v>
      </c>
      <c r="R112" s="7">
        <v>0</v>
      </c>
      <c r="S112" s="7">
        <v>6003.0230000000001</v>
      </c>
      <c r="T112" s="7">
        <v>0</v>
      </c>
      <c r="U112" s="7">
        <v>0</v>
      </c>
      <c r="V112" s="7">
        <v>0</v>
      </c>
      <c r="W112" s="7">
        <v>2031.826</v>
      </c>
      <c r="X112" s="7">
        <v>0</v>
      </c>
      <c r="Y112" s="7">
        <v>41900.932999999997</v>
      </c>
      <c r="Z112" s="7">
        <v>0</v>
      </c>
      <c r="AA112" s="7">
        <v>0</v>
      </c>
      <c r="AB112" s="7">
        <v>12.003</v>
      </c>
      <c r="AC112" s="7">
        <v>3641.6979999999999</v>
      </c>
      <c r="AD112" s="7">
        <v>0</v>
      </c>
      <c r="AE112" s="7">
        <v>103707.82799999999</v>
      </c>
      <c r="AF112" s="7">
        <v>58401.536999999997</v>
      </c>
      <c r="AG112" s="7">
        <v>0</v>
      </c>
      <c r="AH112" s="7">
        <v>381957.47700000001</v>
      </c>
      <c r="AI112" s="7">
        <v>103004.662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2775.7089999999998</v>
      </c>
      <c r="AP112" s="7">
        <v>0</v>
      </c>
      <c r="AQ112" s="7">
        <v>20516.739000000001</v>
      </c>
      <c r="AR112" s="7">
        <v>0</v>
      </c>
      <c r="AS112" s="7">
        <v>57.951000000000001</v>
      </c>
      <c r="AT112" s="7">
        <v>0</v>
      </c>
      <c r="AU112" s="7">
        <v>550.44399999999996</v>
      </c>
      <c r="AV112" s="7">
        <v>0</v>
      </c>
      <c r="AW112" s="7">
        <v>0</v>
      </c>
      <c r="AX112" s="7">
        <v>0</v>
      </c>
      <c r="AY112" s="7">
        <v>1020.86</v>
      </c>
      <c r="AZ112" s="7">
        <v>19904.008999999998</v>
      </c>
      <c r="BA112" s="7">
        <v>0</v>
      </c>
      <c r="BB112" s="7">
        <v>1013.785</v>
      </c>
      <c r="BC112" s="7">
        <v>0</v>
      </c>
      <c r="BD112" s="7">
        <v>24829.703000000001</v>
      </c>
      <c r="BE112" s="7">
        <v>228.91300000000001</v>
      </c>
      <c r="BF112" s="7">
        <v>228.91300000000001</v>
      </c>
      <c r="BG112" s="7">
        <v>7974.7839999999997</v>
      </c>
      <c r="BH112" s="7">
        <v>0</v>
      </c>
      <c r="BI112" s="7">
        <v>0</v>
      </c>
      <c r="BJ112" s="21"/>
    </row>
    <row r="113" spans="1:62" ht="15.6" x14ac:dyDescent="0.3">
      <c r="A113" s="5" t="s">
        <v>210</v>
      </c>
      <c r="B113" s="5" t="s">
        <v>211</v>
      </c>
      <c r="C113" s="7">
        <v>4</v>
      </c>
      <c r="D113" s="7">
        <v>4</v>
      </c>
      <c r="E113" s="7">
        <v>153174.10999999999</v>
      </c>
      <c r="F113" s="7">
        <v>37934.815000000002</v>
      </c>
      <c r="G113" s="7">
        <v>1.365</v>
      </c>
      <c r="H113" s="7">
        <v>0</v>
      </c>
      <c r="I113" s="7">
        <v>982.31799999999998</v>
      </c>
      <c r="J113" s="7">
        <v>14.497999999999999</v>
      </c>
      <c r="K113" s="7">
        <v>0</v>
      </c>
      <c r="L113" s="7">
        <v>396797.63199999998</v>
      </c>
      <c r="M113" s="7">
        <v>19667.907999999999</v>
      </c>
      <c r="N113" s="7">
        <v>0</v>
      </c>
      <c r="O113" s="7">
        <v>0</v>
      </c>
      <c r="P113" s="7">
        <v>0.44700000000000001</v>
      </c>
      <c r="Q113" s="7">
        <v>0</v>
      </c>
      <c r="R113" s="7">
        <v>0</v>
      </c>
      <c r="S113" s="7">
        <v>11826.808999999999</v>
      </c>
      <c r="T113" s="7">
        <v>0</v>
      </c>
      <c r="U113" s="7">
        <v>0</v>
      </c>
      <c r="V113" s="7">
        <v>2.5430000000000001</v>
      </c>
      <c r="W113" s="7">
        <v>3580.13</v>
      </c>
      <c r="X113" s="7">
        <v>82447.034</v>
      </c>
      <c r="Y113" s="7">
        <v>77768.274999999994</v>
      </c>
      <c r="Z113" s="7">
        <v>0</v>
      </c>
      <c r="AA113" s="7">
        <v>44.841999999999999</v>
      </c>
      <c r="AB113" s="7">
        <v>0</v>
      </c>
      <c r="AC113" s="7">
        <v>6944.9809999999998</v>
      </c>
      <c r="AD113" s="7">
        <v>0</v>
      </c>
      <c r="AE113" s="7">
        <v>194033.272</v>
      </c>
      <c r="AF113" s="7">
        <v>120223.573</v>
      </c>
      <c r="AG113" s="7">
        <v>0</v>
      </c>
      <c r="AH113" s="7">
        <v>774868.38199999998</v>
      </c>
      <c r="AI113" s="7">
        <v>189584.62400000001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5904.0730000000003</v>
      </c>
      <c r="AP113" s="7">
        <v>60837.508999999998</v>
      </c>
      <c r="AQ113" s="7">
        <v>40693.607000000004</v>
      </c>
      <c r="AR113" s="7">
        <v>22867.794999999998</v>
      </c>
      <c r="AS113" s="7">
        <v>114.393</v>
      </c>
      <c r="AT113" s="7">
        <v>0</v>
      </c>
      <c r="AU113" s="7">
        <v>742.55100000000004</v>
      </c>
      <c r="AV113" s="7">
        <v>64221.266000000003</v>
      </c>
      <c r="AW113" s="7">
        <v>93453.870999999999</v>
      </c>
      <c r="AX113" s="7">
        <v>86927.847999999998</v>
      </c>
      <c r="AY113" s="7">
        <v>136.215</v>
      </c>
      <c r="AZ113" s="7">
        <v>2655.8130000000001</v>
      </c>
      <c r="BA113" s="7">
        <v>65098.207999999999</v>
      </c>
      <c r="BB113" s="7">
        <v>2083.0340000000001</v>
      </c>
      <c r="BC113" s="7">
        <v>0</v>
      </c>
      <c r="BD113" s="7">
        <v>3313.0540000000001</v>
      </c>
      <c r="BE113" s="7">
        <v>519.67100000000005</v>
      </c>
      <c r="BF113" s="7">
        <v>519.67100000000005</v>
      </c>
      <c r="BG113" s="7">
        <v>1064.0840000000001</v>
      </c>
      <c r="BH113" s="7">
        <v>0</v>
      </c>
      <c r="BI113" s="7">
        <v>0</v>
      </c>
      <c r="BJ113" s="21"/>
    </row>
    <row r="114" spans="1:62" ht="15.6" x14ac:dyDescent="0.3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214</v>
      </c>
      <c r="B115" s="5" t="s">
        <v>215</v>
      </c>
      <c r="C115" s="7">
        <v>6</v>
      </c>
      <c r="D115" s="7">
        <v>6</v>
      </c>
      <c r="E115" s="7">
        <v>3294.683</v>
      </c>
      <c r="F115" s="7">
        <v>240.28399999999999</v>
      </c>
      <c r="G115" s="7">
        <v>283.411</v>
      </c>
      <c r="H115" s="7">
        <v>0</v>
      </c>
      <c r="I115" s="7">
        <v>49.838999999999999</v>
      </c>
      <c r="J115" s="7">
        <v>172.935</v>
      </c>
      <c r="K115" s="7">
        <v>0</v>
      </c>
      <c r="L115" s="7">
        <v>3894.9290000000001</v>
      </c>
      <c r="M115" s="7">
        <v>917.63699999999994</v>
      </c>
      <c r="N115" s="7">
        <v>0</v>
      </c>
      <c r="O115" s="7">
        <v>0</v>
      </c>
      <c r="P115" s="7">
        <v>9.0860000000000003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26.88</v>
      </c>
      <c r="W115" s="7">
        <v>80.665999999999997</v>
      </c>
      <c r="X115" s="7">
        <v>0</v>
      </c>
      <c r="Y115" s="7">
        <v>1377.0650000000001</v>
      </c>
      <c r="Z115" s="7">
        <v>0</v>
      </c>
      <c r="AA115" s="7">
        <v>223.239</v>
      </c>
      <c r="AB115" s="7">
        <v>0</v>
      </c>
      <c r="AC115" s="7">
        <v>34.779000000000003</v>
      </c>
      <c r="AD115" s="7">
        <v>0</v>
      </c>
      <c r="AE115" s="7">
        <v>3267.9059999999999</v>
      </c>
      <c r="AF115" s="7">
        <v>22.599</v>
      </c>
      <c r="AG115" s="7">
        <v>0</v>
      </c>
      <c r="AH115" s="7">
        <v>14684.921</v>
      </c>
      <c r="AI115" s="7">
        <v>1506.2650000000001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216</v>
      </c>
      <c r="B116" s="5" t="s">
        <v>217</v>
      </c>
      <c r="C116" s="7">
        <v>6</v>
      </c>
      <c r="D116" s="7">
        <v>6</v>
      </c>
      <c r="E116" s="7">
        <v>85565.301000000007</v>
      </c>
      <c r="F116" s="7">
        <v>858.00199999999995</v>
      </c>
      <c r="G116" s="7">
        <v>0</v>
      </c>
      <c r="H116" s="7">
        <v>0</v>
      </c>
      <c r="I116" s="7">
        <v>80.438000000000002</v>
      </c>
      <c r="J116" s="7">
        <v>0</v>
      </c>
      <c r="K116" s="7">
        <v>0</v>
      </c>
      <c r="L116" s="7">
        <v>175407.008</v>
      </c>
      <c r="M116" s="7">
        <v>38396.25</v>
      </c>
      <c r="N116" s="7">
        <v>0</v>
      </c>
      <c r="O116" s="7">
        <v>0</v>
      </c>
      <c r="P116" s="7">
        <v>26.812999999999999</v>
      </c>
      <c r="Q116" s="7">
        <v>0</v>
      </c>
      <c r="R116" s="7">
        <v>26.812999999999999</v>
      </c>
      <c r="S116" s="7">
        <v>0</v>
      </c>
      <c r="T116" s="7">
        <v>0</v>
      </c>
      <c r="U116" s="7">
        <v>0</v>
      </c>
      <c r="V116" s="7">
        <v>0</v>
      </c>
      <c r="W116" s="7">
        <v>268.12599999999998</v>
      </c>
      <c r="X116" s="7">
        <v>0</v>
      </c>
      <c r="Y116" s="7">
        <v>18107.417000000001</v>
      </c>
      <c r="Z116" s="7">
        <v>0</v>
      </c>
      <c r="AA116" s="7">
        <v>2520.3809999999999</v>
      </c>
      <c r="AB116" s="7">
        <v>0</v>
      </c>
      <c r="AC116" s="7">
        <v>214.501</v>
      </c>
      <c r="AD116" s="7">
        <v>0</v>
      </c>
      <c r="AE116" s="7">
        <v>52859.815000000002</v>
      </c>
      <c r="AF116" s="7">
        <v>8.0000000000000002E-3</v>
      </c>
      <c r="AG116" s="7">
        <v>0</v>
      </c>
      <c r="AH116" s="7">
        <v>265109.15399999998</v>
      </c>
      <c r="AI116" s="7">
        <v>1.2E-2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218</v>
      </c>
      <c r="B117" s="5" t="s">
        <v>219</v>
      </c>
      <c r="C117" s="7">
        <v>4</v>
      </c>
      <c r="D117" s="7">
        <v>4</v>
      </c>
      <c r="E117" s="7">
        <v>49509.909</v>
      </c>
      <c r="F117" s="7">
        <v>9041.2939999999999</v>
      </c>
      <c r="G117" s="7">
        <v>0</v>
      </c>
      <c r="H117" s="7">
        <v>28896.766</v>
      </c>
      <c r="I117" s="7">
        <v>329.69200000000001</v>
      </c>
      <c r="J117" s="7">
        <v>0</v>
      </c>
      <c r="K117" s="7">
        <v>0</v>
      </c>
      <c r="L117" s="7">
        <v>108866.073</v>
      </c>
      <c r="M117" s="7">
        <v>7238.0290000000005</v>
      </c>
      <c r="N117" s="7">
        <v>0</v>
      </c>
      <c r="O117" s="7">
        <v>130.37799999999999</v>
      </c>
      <c r="P117" s="7">
        <v>1.665</v>
      </c>
      <c r="Q117" s="7">
        <v>146.50299999999999</v>
      </c>
      <c r="R117" s="7">
        <v>0</v>
      </c>
      <c r="S117" s="7">
        <v>2940.0949999999998</v>
      </c>
      <c r="T117" s="7">
        <v>0</v>
      </c>
      <c r="U117" s="7">
        <v>0</v>
      </c>
      <c r="V117" s="7">
        <v>0</v>
      </c>
      <c r="W117" s="7">
        <v>996.84400000000005</v>
      </c>
      <c r="X117" s="7">
        <v>0</v>
      </c>
      <c r="Y117" s="7">
        <v>20506.058000000001</v>
      </c>
      <c r="Z117" s="7">
        <v>0</v>
      </c>
      <c r="AA117" s="7">
        <v>0</v>
      </c>
      <c r="AB117" s="7">
        <v>7519.241</v>
      </c>
      <c r="AC117" s="7">
        <v>1784.047</v>
      </c>
      <c r="AD117" s="7">
        <v>11192.864</v>
      </c>
      <c r="AE117" s="7">
        <v>56568.250999999997</v>
      </c>
      <c r="AF117" s="7">
        <v>28558.281999999999</v>
      </c>
      <c r="AG117" s="7">
        <v>51794.934999999998</v>
      </c>
      <c r="AH117" s="7">
        <v>186584.79500000001</v>
      </c>
      <c r="AI117" s="7">
        <v>50467.487000000001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1356.058</v>
      </c>
      <c r="AP117" s="7">
        <v>0</v>
      </c>
      <c r="AQ117" s="7">
        <v>10032.089</v>
      </c>
      <c r="AR117" s="7">
        <v>0</v>
      </c>
      <c r="AS117" s="7">
        <v>28.346</v>
      </c>
      <c r="AT117" s="7">
        <v>0</v>
      </c>
      <c r="AU117" s="7">
        <v>2618.6880000000001</v>
      </c>
      <c r="AV117" s="7">
        <v>0</v>
      </c>
      <c r="AW117" s="7">
        <v>0</v>
      </c>
      <c r="AX117" s="7">
        <v>0</v>
      </c>
      <c r="AY117" s="7">
        <v>506.75900000000001</v>
      </c>
      <c r="AZ117" s="7">
        <v>25935.56</v>
      </c>
      <c r="BA117" s="7">
        <v>0</v>
      </c>
      <c r="BB117" s="7">
        <v>495.56900000000002</v>
      </c>
      <c r="BC117" s="7">
        <v>0</v>
      </c>
      <c r="BD117" s="7">
        <v>12325.558999999999</v>
      </c>
      <c r="BE117" s="7">
        <v>111.70399999999999</v>
      </c>
      <c r="BF117" s="7">
        <v>111.70399999999999</v>
      </c>
      <c r="BG117" s="7">
        <v>3958.7130000000002</v>
      </c>
      <c r="BH117" s="7">
        <v>0</v>
      </c>
      <c r="BI117" s="7">
        <v>0</v>
      </c>
      <c r="BJ117" s="21"/>
    </row>
    <row r="118" spans="1:62" ht="15.6" x14ac:dyDescent="0.3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318.59100000000001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641220.84199999995</v>
      </c>
      <c r="AL118" s="7">
        <v>354172.05499999999</v>
      </c>
      <c r="AM118" s="7">
        <v>0</v>
      </c>
      <c r="AN118" s="7">
        <v>230855.53400000001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1643.971</v>
      </c>
      <c r="AV118" s="7">
        <v>0</v>
      </c>
      <c r="AW118" s="7">
        <v>0</v>
      </c>
      <c r="AX118" s="7">
        <v>335.90600000000001</v>
      </c>
      <c r="AY118" s="7">
        <v>0</v>
      </c>
      <c r="AZ118" s="7">
        <v>0</v>
      </c>
      <c r="BA118" s="7">
        <v>251.55199999999999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222</v>
      </c>
      <c r="B119" s="5" t="s">
        <v>223</v>
      </c>
      <c r="C119" s="7">
        <v>4</v>
      </c>
      <c r="D119" s="7">
        <v>3</v>
      </c>
      <c r="E119" s="7">
        <v>28642.446</v>
      </c>
      <c r="F119" s="7">
        <v>3963.5320000000002</v>
      </c>
      <c r="G119" s="7">
        <v>6201.41</v>
      </c>
      <c r="H119" s="7">
        <v>0</v>
      </c>
      <c r="I119" s="7">
        <v>638.04</v>
      </c>
      <c r="J119" s="7">
        <v>3533.2150000000001</v>
      </c>
      <c r="K119" s="7">
        <v>12007.947</v>
      </c>
      <c r="L119" s="7">
        <v>11403.99</v>
      </c>
      <c r="M119" s="7">
        <v>15557.25</v>
      </c>
      <c r="N119" s="7">
        <v>2248.788</v>
      </c>
      <c r="O119" s="7">
        <v>0</v>
      </c>
      <c r="P119" s="7">
        <v>0.51600000000000001</v>
      </c>
      <c r="Q119" s="7">
        <v>0</v>
      </c>
      <c r="R119" s="7">
        <v>0</v>
      </c>
      <c r="S119" s="7">
        <v>1724.1089999999999</v>
      </c>
      <c r="T119" s="7">
        <v>0</v>
      </c>
      <c r="U119" s="7">
        <v>9537.9689999999991</v>
      </c>
      <c r="V119" s="7">
        <v>812.57899999999995</v>
      </c>
      <c r="W119" s="7">
        <v>1168.5930000000001</v>
      </c>
      <c r="X119" s="7">
        <v>0</v>
      </c>
      <c r="Y119" s="7">
        <v>4388.1989999999996</v>
      </c>
      <c r="Z119" s="7">
        <v>0</v>
      </c>
      <c r="AA119" s="7">
        <v>8739.7160000000003</v>
      </c>
      <c r="AB119" s="7">
        <v>0</v>
      </c>
      <c r="AC119" s="7">
        <v>640.53899999999999</v>
      </c>
      <c r="AD119" s="7">
        <v>11402.007</v>
      </c>
      <c r="AE119" s="7">
        <v>4720.0379999999996</v>
      </c>
      <c r="AF119" s="7">
        <v>0</v>
      </c>
      <c r="AG119" s="7">
        <v>47368.95</v>
      </c>
      <c r="AH119" s="7">
        <v>27010.232</v>
      </c>
      <c r="AI119" s="7">
        <v>0</v>
      </c>
      <c r="AJ119" s="7">
        <v>0</v>
      </c>
      <c r="AK119" s="7">
        <v>0</v>
      </c>
      <c r="AL119" s="7">
        <v>0</v>
      </c>
      <c r="AM119" s="7">
        <v>2032.17</v>
      </c>
      <c r="AN119" s="7">
        <v>0</v>
      </c>
      <c r="AO119" s="7">
        <v>491.714</v>
      </c>
      <c r="AP119" s="7">
        <v>0</v>
      </c>
      <c r="AQ119" s="7">
        <v>0</v>
      </c>
      <c r="AR119" s="7">
        <v>0</v>
      </c>
      <c r="AS119" s="7">
        <v>59.993000000000002</v>
      </c>
      <c r="AT119" s="7">
        <v>0</v>
      </c>
      <c r="AU119" s="7">
        <v>2648.9490000000001</v>
      </c>
      <c r="AV119" s="7">
        <v>0</v>
      </c>
      <c r="AW119" s="7">
        <v>0</v>
      </c>
      <c r="AX119" s="7">
        <v>0</v>
      </c>
      <c r="AY119" s="7">
        <v>352.053</v>
      </c>
      <c r="AZ119" s="7">
        <v>0</v>
      </c>
      <c r="BA119" s="7">
        <v>0</v>
      </c>
      <c r="BB119" s="7">
        <v>176.79499999999999</v>
      </c>
      <c r="BC119" s="7">
        <v>283.45699999999999</v>
      </c>
      <c r="BD119" s="7">
        <v>0</v>
      </c>
      <c r="BE119" s="7">
        <v>41.008000000000003</v>
      </c>
      <c r="BF119" s="7">
        <v>41.008000000000003</v>
      </c>
      <c r="BG119" s="7">
        <v>0</v>
      </c>
      <c r="BH119" s="7">
        <v>0</v>
      </c>
      <c r="BI119" s="7">
        <v>119.114</v>
      </c>
      <c r="BJ119" s="21"/>
    </row>
    <row r="120" spans="1:62" ht="15.6" x14ac:dyDescent="0.3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230</v>
      </c>
      <c r="B123" s="5" t="s">
        <v>231</v>
      </c>
      <c r="C123" s="7">
        <v>4</v>
      </c>
      <c r="D123" s="7">
        <v>4</v>
      </c>
      <c r="E123" s="7">
        <v>312029.11599999998</v>
      </c>
      <c r="F123" s="7">
        <v>71818.441000000006</v>
      </c>
      <c r="G123" s="7">
        <v>0</v>
      </c>
      <c r="H123" s="7">
        <v>0</v>
      </c>
      <c r="I123" s="7">
        <v>1506.058</v>
      </c>
      <c r="J123" s="7">
        <v>0</v>
      </c>
      <c r="K123" s="7">
        <v>0</v>
      </c>
      <c r="L123" s="7">
        <v>815906.61800000002</v>
      </c>
      <c r="M123" s="7">
        <v>29183.746999999999</v>
      </c>
      <c r="N123" s="7">
        <v>0</v>
      </c>
      <c r="O123" s="7">
        <v>1930.019</v>
      </c>
      <c r="P123" s="7">
        <v>0</v>
      </c>
      <c r="Q123" s="7">
        <v>597.452</v>
      </c>
      <c r="R123" s="7">
        <v>0</v>
      </c>
      <c r="S123" s="7">
        <v>22462.567999999999</v>
      </c>
      <c r="T123" s="7">
        <v>0</v>
      </c>
      <c r="U123" s="7">
        <v>0</v>
      </c>
      <c r="V123" s="7">
        <v>0</v>
      </c>
      <c r="W123" s="7">
        <v>6634.8829999999998</v>
      </c>
      <c r="X123" s="7">
        <v>95197.305999999997</v>
      </c>
      <c r="Y123" s="7">
        <v>160463.397</v>
      </c>
      <c r="Z123" s="7">
        <v>40226.366999999998</v>
      </c>
      <c r="AA123" s="7">
        <v>0</v>
      </c>
      <c r="AB123" s="7">
        <v>42819.432999999997</v>
      </c>
      <c r="AC123" s="7">
        <v>13367.195</v>
      </c>
      <c r="AD123" s="7">
        <v>7220.223</v>
      </c>
      <c r="AE123" s="7">
        <v>413761.74800000002</v>
      </c>
      <c r="AF123" s="7">
        <v>235432.78700000001</v>
      </c>
      <c r="AG123" s="7">
        <v>30564.046999999999</v>
      </c>
      <c r="AH123" s="7">
        <v>1374951.909</v>
      </c>
      <c r="AI123" s="7">
        <v>366234.86900000001</v>
      </c>
      <c r="AJ123" s="7">
        <v>222483.75899999999</v>
      </c>
      <c r="AK123" s="7">
        <v>572084.93500000006</v>
      </c>
      <c r="AL123" s="7">
        <v>315985.51400000002</v>
      </c>
      <c r="AM123" s="7">
        <v>0</v>
      </c>
      <c r="AN123" s="7">
        <v>205964.87899999999</v>
      </c>
      <c r="AO123" s="7">
        <v>12291.173000000001</v>
      </c>
      <c r="AP123" s="7">
        <v>0</v>
      </c>
      <c r="AQ123" s="7">
        <v>82587.270999999993</v>
      </c>
      <c r="AR123" s="7">
        <v>0</v>
      </c>
      <c r="AS123" s="7">
        <v>237.06200000000001</v>
      </c>
      <c r="AT123" s="7">
        <v>0</v>
      </c>
      <c r="AU123" s="7">
        <v>1530.5350000000001</v>
      </c>
      <c r="AV123" s="7">
        <v>0</v>
      </c>
      <c r="AW123" s="7">
        <v>0</v>
      </c>
      <c r="AX123" s="7">
        <v>100371.177</v>
      </c>
      <c r="AY123" s="7">
        <v>0</v>
      </c>
      <c r="AZ123" s="7">
        <v>0</v>
      </c>
      <c r="BA123" s="7">
        <v>75165.505999999994</v>
      </c>
      <c r="BB123" s="7">
        <v>4326.3580000000002</v>
      </c>
      <c r="BC123" s="7">
        <v>0</v>
      </c>
      <c r="BD123" s="7">
        <v>0</v>
      </c>
      <c r="BE123" s="7">
        <v>1086.559</v>
      </c>
      <c r="BF123" s="7">
        <v>1086.559</v>
      </c>
      <c r="BG123" s="7">
        <v>0</v>
      </c>
      <c r="BH123" s="7">
        <v>104604.845</v>
      </c>
      <c r="BI123" s="7">
        <v>0</v>
      </c>
      <c r="BJ123" s="21"/>
    </row>
    <row r="124" spans="1:62" ht="15.6" x14ac:dyDescent="0.3">
      <c r="A124" s="5" t="s">
        <v>232</v>
      </c>
      <c r="B124" s="5" t="s">
        <v>233</v>
      </c>
      <c r="C124" s="7">
        <v>4</v>
      </c>
      <c r="D124" s="7">
        <v>3</v>
      </c>
      <c r="E124" s="7">
        <v>946.33399999999995</v>
      </c>
      <c r="F124" s="7">
        <v>659.67200000000003</v>
      </c>
      <c r="G124" s="7">
        <v>46.139000000000003</v>
      </c>
      <c r="H124" s="7">
        <v>0.03</v>
      </c>
      <c r="I124" s="7">
        <v>58.378</v>
      </c>
      <c r="J124" s="7">
        <v>489.98500000000001</v>
      </c>
      <c r="K124" s="7">
        <v>0</v>
      </c>
      <c r="L124" s="7">
        <v>1413.92</v>
      </c>
      <c r="M124" s="7">
        <v>532.20399999999995</v>
      </c>
      <c r="N124" s="7">
        <v>0</v>
      </c>
      <c r="O124" s="7">
        <v>0</v>
      </c>
      <c r="P124" s="7">
        <v>2E-3</v>
      </c>
      <c r="Q124" s="7">
        <v>297.947</v>
      </c>
      <c r="R124" s="7">
        <v>495.077</v>
      </c>
      <c r="S124" s="7">
        <v>264.36900000000003</v>
      </c>
      <c r="T124" s="7">
        <v>0</v>
      </c>
      <c r="U124" s="7">
        <v>0</v>
      </c>
      <c r="V124" s="7">
        <v>85.960999999999999</v>
      </c>
      <c r="W124" s="7">
        <v>0.872</v>
      </c>
      <c r="X124" s="7">
        <v>0</v>
      </c>
      <c r="Y124" s="7">
        <v>38.371000000000002</v>
      </c>
      <c r="Z124" s="7">
        <v>10881.804</v>
      </c>
      <c r="AA124" s="7">
        <v>1515.5530000000001</v>
      </c>
      <c r="AB124" s="7">
        <v>0</v>
      </c>
      <c r="AC124" s="7">
        <v>109.86499999999999</v>
      </c>
      <c r="AD124" s="7">
        <v>2026.5419999999999</v>
      </c>
      <c r="AE124" s="7">
        <v>338.17200000000003</v>
      </c>
      <c r="AF124" s="7">
        <v>12.093</v>
      </c>
      <c r="AG124" s="7">
        <v>6710.0569999999998</v>
      </c>
      <c r="AH124" s="7">
        <v>2295.0030000000002</v>
      </c>
      <c r="AI124" s="7">
        <v>8.9999999999999993E-3</v>
      </c>
      <c r="AJ124" s="7">
        <v>55317.305</v>
      </c>
      <c r="AK124" s="7">
        <v>0</v>
      </c>
      <c r="AL124" s="7">
        <v>0</v>
      </c>
      <c r="AM124" s="7">
        <v>0</v>
      </c>
      <c r="AN124" s="7">
        <v>0</v>
      </c>
      <c r="AO124" s="7">
        <v>184.268</v>
      </c>
      <c r="AP124" s="7">
        <v>0</v>
      </c>
      <c r="AQ124" s="7">
        <v>1.7809999999999999</v>
      </c>
      <c r="AR124" s="7">
        <v>0</v>
      </c>
      <c r="AS124" s="7">
        <v>0.92200000000000004</v>
      </c>
      <c r="AT124" s="7">
        <v>0</v>
      </c>
      <c r="AU124" s="7">
        <v>45.783000000000001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62.957999999999998</v>
      </c>
      <c r="BC124" s="7">
        <v>0</v>
      </c>
      <c r="BD124" s="7">
        <v>0</v>
      </c>
      <c r="BE124" s="7">
        <v>14.406000000000001</v>
      </c>
      <c r="BF124" s="7">
        <v>14.406000000000001</v>
      </c>
      <c r="BG124" s="7">
        <v>0</v>
      </c>
      <c r="BH124" s="7">
        <v>36663.591999999997</v>
      </c>
      <c r="BI124" s="7">
        <v>0</v>
      </c>
      <c r="BJ124" s="21"/>
    </row>
    <row r="125" spans="1:62" ht="15.6" x14ac:dyDescent="0.3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237</v>
      </c>
      <c r="B127" s="5" t="s">
        <v>238</v>
      </c>
      <c r="C127" s="7">
        <v>4</v>
      </c>
      <c r="D127" s="7">
        <v>4</v>
      </c>
      <c r="E127" s="7">
        <v>28.87</v>
      </c>
      <c r="F127" s="7">
        <v>3.38</v>
      </c>
      <c r="G127" s="7">
        <v>6.86</v>
      </c>
      <c r="H127" s="7">
        <v>0</v>
      </c>
      <c r="I127" s="7">
        <v>0.65</v>
      </c>
      <c r="J127" s="7">
        <v>4.4790000000000001</v>
      </c>
      <c r="K127" s="7">
        <v>0</v>
      </c>
      <c r="L127" s="7">
        <v>10.949</v>
      </c>
      <c r="M127" s="7">
        <v>16.535</v>
      </c>
      <c r="N127" s="7">
        <v>0</v>
      </c>
      <c r="O127" s="7">
        <v>0</v>
      </c>
      <c r="P127" s="7">
        <v>0</v>
      </c>
      <c r="Q127" s="7">
        <v>0</v>
      </c>
      <c r="R127" s="7">
        <v>96.415000000000006</v>
      </c>
      <c r="S127" s="7">
        <v>1.399</v>
      </c>
      <c r="T127" s="7">
        <v>0</v>
      </c>
      <c r="U127" s="7">
        <v>0</v>
      </c>
      <c r="V127" s="7">
        <v>0.77</v>
      </c>
      <c r="W127" s="7">
        <v>1.4330000000000001</v>
      </c>
      <c r="X127" s="7">
        <v>0</v>
      </c>
      <c r="Y127" s="7">
        <v>4.4550000000000001</v>
      </c>
      <c r="Z127" s="7">
        <v>0</v>
      </c>
      <c r="AA127" s="7">
        <v>8.6890000000000001</v>
      </c>
      <c r="AB127" s="7">
        <v>0</v>
      </c>
      <c r="AC127" s="7">
        <v>0.59099999999999997</v>
      </c>
      <c r="AD127" s="7">
        <v>0</v>
      </c>
      <c r="AE127" s="7">
        <v>8.2569999999999997</v>
      </c>
      <c r="AF127" s="7">
        <v>0</v>
      </c>
      <c r="AG127" s="7">
        <v>0</v>
      </c>
      <c r="AH127" s="7">
        <v>30.821999999999999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0.47299999999999998</v>
      </c>
      <c r="AP127" s="7">
        <v>0</v>
      </c>
      <c r="AQ127" s="7">
        <v>0</v>
      </c>
      <c r="AR127" s="7">
        <v>0</v>
      </c>
      <c r="AS127" s="7">
        <v>0.01</v>
      </c>
      <c r="AT127" s="7">
        <v>0</v>
      </c>
      <c r="AU127" s="7">
        <v>0.34</v>
      </c>
      <c r="AV127" s="7">
        <v>0</v>
      </c>
      <c r="AW127" s="7">
        <v>0</v>
      </c>
      <c r="AX127" s="7">
        <v>0</v>
      </c>
      <c r="AY127" s="7">
        <v>0.34200000000000003</v>
      </c>
      <c r="AZ127" s="7">
        <v>0</v>
      </c>
      <c r="BA127" s="7">
        <v>0</v>
      </c>
      <c r="BB127" s="7">
        <v>0.17299999999999999</v>
      </c>
      <c r="BC127" s="7">
        <v>0.27900000000000003</v>
      </c>
      <c r="BD127" s="7">
        <v>0</v>
      </c>
      <c r="BE127" s="7">
        <v>4.1000000000000002E-2</v>
      </c>
      <c r="BF127" s="7">
        <v>4.1000000000000002E-2</v>
      </c>
      <c r="BG127" s="7">
        <v>0</v>
      </c>
      <c r="BH127" s="7">
        <v>0</v>
      </c>
      <c r="BI127" s="7">
        <v>0.11600000000000001</v>
      </c>
      <c r="BJ127" s="21"/>
    </row>
    <row r="128" spans="1:62" ht="15.6" x14ac:dyDescent="0.3">
      <c r="A128" s="5" t="s">
        <v>239</v>
      </c>
      <c r="B128" s="5" t="s">
        <v>240</v>
      </c>
      <c r="C128" s="7">
        <v>4</v>
      </c>
      <c r="D128" s="7">
        <v>3</v>
      </c>
      <c r="E128" s="7">
        <v>2470.0279999999998</v>
      </c>
      <c r="F128" s="7">
        <v>1721.81</v>
      </c>
      <c r="G128" s="7">
        <v>120.426</v>
      </c>
      <c r="H128" s="7">
        <v>7.8E-2</v>
      </c>
      <c r="I128" s="7">
        <v>152.37200000000001</v>
      </c>
      <c r="J128" s="7">
        <v>1278.9100000000001</v>
      </c>
      <c r="K128" s="7">
        <v>0</v>
      </c>
      <c r="L128" s="7">
        <v>3690.4740000000002</v>
      </c>
      <c r="M128" s="7">
        <v>1389.106</v>
      </c>
      <c r="N128" s="7">
        <v>0</v>
      </c>
      <c r="O128" s="7">
        <v>0</v>
      </c>
      <c r="P128" s="7">
        <v>5.0000000000000001E-3</v>
      </c>
      <c r="Q128" s="7">
        <v>0</v>
      </c>
      <c r="R128" s="7">
        <v>0</v>
      </c>
      <c r="S128" s="7">
        <v>690.03</v>
      </c>
      <c r="T128" s="7">
        <v>0</v>
      </c>
      <c r="U128" s="7">
        <v>0</v>
      </c>
      <c r="V128" s="7">
        <v>224.36600000000001</v>
      </c>
      <c r="W128" s="7">
        <v>2.2770000000000001</v>
      </c>
      <c r="X128" s="7">
        <v>0</v>
      </c>
      <c r="Y128" s="7">
        <v>100.151</v>
      </c>
      <c r="Z128" s="7">
        <v>0</v>
      </c>
      <c r="AA128" s="7">
        <v>3955.748</v>
      </c>
      <c r="AB128" s="7">
        <v>0</v>
      </c>
      <c r="AC128" s="7">
        <v>286.75900000000001</v>
      </c>
      <c r="AD128" s="7">
        <v>0</v>
      </c>
      <c r="AE128" s="7">
        <v>882.66399999999999</v>
      </c>
      <c r="AF128" s="7">
        <v>31.564</v>
      </c>
      <c r="AG128" s="7">
        <v>0</v>
      </c>
      <c r="AH128" s="7">
        <v>5990.1909999999998</v>
      </c>
      <c r="AI128" s="7">
        <v>2.4E-2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480.95800000000003</v>
      </c>
      <c r="AP128" s="7">
        <v>0</v>
      </c>
      <c r="AQ128" s="7">
        <v>4.6500000000000004</v>
      </c>
      <c r="AR128" s="7">
        <v>0</v>
      </c>
      <c r="AS128" s="7">
        <v>2.4060000000000001</v>
      </c>
      <c r="AT128" s="7">
        <v>0</v>
      </c>
      <c r="AU128" s="7">
        <v>0.32600000000000001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164.328</v>
      </c>
      <c r="BC128" s="7">
        <v>0</v>
      </c>
      <c r="BD128" s="7">
        <v>0</v>
      </c>
      <c r="BE128" s="7">
        <v>37.601999999999997</v>
      </c>
      <c r="BF128" s="7">
        <v>37.601999999999997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241</v>
      </c>
      <c r="B129" s="5" t="s">
        <v>242</v>
      </c>
      <c r="C129" s="7">
        <v>2</v>
      </c>
      <c r="D129" s="7">
        <v>2</v>
      </c>
      <c r="E129" s="7">
        <v>57708.279000000002</v>
      </c>
      <c r="F129" s="7">
        <v>11533.152</v>
      </c>
      <c r="G129" s="7">
        <v>11249.116</v>
      </c>
      <c r="H129" s="7">
        <v>0</v>
      </c>
      <c r="I129" s="7">
        <v>2258.0279999999998</v>
      </c>
      <c r="J129" s="7">
        <v>8861.3889999999992</v>
      </c>
      <c r="K129" s="7">
        <v>0</v>
      </c>
      <c r="L129" s="7">
        <v>46228.572999999997</v>
      </c>
      <c r="M129" s="7">
        <v>38805.207000000002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3314.828</v>
      </c>
      <c r="T129" s="7">
        <v>0</v>
      </c>
      <c r="U129" s="7">
        <v>0</v>
      </c>
      <c r="V129" s="7">
        <v>1378.135</v>
      </c>
      <c r="W129" s="7">
        <v>3229.1970000000001</v>
      </c>
      <c r="X129" s="7">
        <v>0</v>
      </c>
      <c r="Y129" s="7">
        <v>16447.969000000001</v>
      </c>
      <c r="Z129" s="7">
        <v>0</v>
      </c>
      <c r="AA129" s="7">
        <v>11334.852000000001</v>
      </c>
      <c r="AB129" s="7">
        <v>0</v>
      </c>
      <c r="AC129" s="7">
        <v>1798.4659999999999</v>
      </c>
      <c r="AD129" s="7">
        <v>0</v>
      </c>
      <c r="AE129" s="7">
        <v>38059.872000000003</v>
      </c>
      <c r="AF129" s="7">
        <v>0</v>
      </c>
      <c r="AG129" s="7">
        <v>0</v>
      </c>
      <c r="AH129" s="7">
        <v>133027.07399999999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693.42499999999995</v>
      </c>
      <c r="AP129" s="7">
        <v>0</v>
      </c>
      <c r="AQ129" s="7">
        <v>0</v>
      </c>
      <c r="AR129" s="7">
        <v>0</v>
      </c>
      <c r="AS129" s="7">
        <v>4.2859999999999996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260.73500000000001</v>
      </c>
      <c r="BC129" s="7">
        <v>0</v>
      </c>
      <c r="BD129" s="7">
        <v>0</v>
      </c>
      <c r="BE129" s="7">
        <v>106.745</v>
      </c>
      <c r="BF129" s="7">
        <v>106.745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243</v>
      </c>
      <c r="B130" s="5" t="s">
        <v>244</v>
      </c>
      <c r="C130" s="7">
        <v>4</v>
      </c>
      <c r="D130" s="7">
        <v>4</v>
      </c>
      <c r="E130" s="7">
        <v>25195.578000000001</v>
      </c>
      <c r="F130" s="7">
        <v>5793.3770000000004</v>
      </c>
      <c r="G130" s="7">
        <v>0</v>
      </c>
      <c r="H130" s="7">
        <v>0</v>
      </c>
      <c r="I130" s="7">
        <v>121.232</v>
      </c>
      <c r="J130" s="7">
        <v>0</v>
      </c>
      <c r="K130" s="7">
        <v>0</v>
      </c>
      <c r="L130" s="7">
        <v>65881.892999999996</v>
      </c>
      <c r="M130" s="7">
        <v>2347.9850000000001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1812.1679999999999</v>
      </c>
      <c r="T130" s="7">
        <v>0</v>
      </c>
      <c r="U130" s="7">
        <v>0</v>
      </c>
      <c r="V130" s="7">
        <v>0</v>
      </c>
      <c r="W130" s="7">
        <v>535.08199999999999</v>
      </c>
      <c r="X130" s="7">
        <v>0</v>
      </c>
      <c r="Y130" s="7">
        <v>12956.993</v>
      </c>
      <c r="Z130" s="7">
        <v>0</v>
      </c>
      <c r="AA130" s="7">
        <v>0</v>
      </c>
      <c r="AB130" s="7">
        <v>0</v>
      </c>
      <c r="AC130" s="7">
        <v>1078.568</v>
      </c>
      <c r="AD130" s="7">
        <v>0</v>
      </c>
      <c r="AE130" s="7">
        <v>32347.760999999999</v>
      </c>
      <c r="AF130" s="7">
        <v>18998.468000000001</v>
      </c>
      <c r="AG130" s="7">
        <v>0</v>
      </c>
      <c r="AH130" s="7">
        <v>110827.363</v>
      </c>
      <c r="AI130" s="7">
        <v>29551.896000000001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992.43700000000001</v>
      </c>
      <c r="AP130" s="7">
        <v>0</v>
      </c>
      <c r="AQ130" s="7">
        <v>6667.2809999999999</v>
      </c>
      <c r="AR130" s="7">
        <v>0</v>
      </c>
      <c r="AS130" s="7">
        <v>19.207999999999998</v>
      </c>
      <c r="AT130" s="7">
        <v>0</v>
      </c>
      <c r="AU130" s="7">
        <v>123.366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349.31599999999997</v>
      </c>
      <c r="BC130" s="7">
        <v>0</v>
      </c>
      <c r="BD130" s="7">
        <v>0</v>
      </c>
      <c r="BE130" s="7">
        <v>87.751999999999995</v>
      </c>
      <c r="BF130" s="7">
        <v>87.751999999999995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245</v>
      </c>
      <c r="B131" s="5" t="s">
        <v>246</v>
      </c>
      <c r="C131" s="7">
        <v>4</v>
      </c>
      <c r="D131" s="7">
        <v>6</v>
      </c>
      <c r="E131" s="7">
        <v>1842.11</v>
      </c>
      <c r="F131" s="7">
        <v>596.89800000000002</v>
      </c>
      <c r="G131" s="7">
        <v>18.09</v>
      </c>
      <c r="H131" s="7">
        <v>1.2E-2</v>
      </c>
      <c r="I131" s="7">
        <v>29.968</v>
      </c>
      <c r="J131" s="7">
        <v>192.11500000000001</v>
      </c>
      <c r="K131" s="7">
        <v>0</v>
      </c>
      <c r="L131" s="7">
        <v>4400.95</v>
      </c>
      <c r="M131" s="7">
        <v>345.762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209.45400000000001</v>
      </c>
      <c r="T131" s="7">
        <v>0</v>
      </c>
      <c r="U131" s="7">
        <v>0</v>
      </c>
      <c r="V131" s="7">
        <v>33.704000000000001</v>
      </c>
      <c r="W131" s="7">
        <v>31.588000000000001</v>
      </c>
      <c r="X131" s="7">
        <v>0</v>
      </c>
      <c r="Y131" s="7">
        <v>771.55100000000004</v>
      </c>
      <c r="Z131" s="7">
        <v>0</v>
      </c>
      <c r="AA131" s="7">
        <v>594.22500000000002</v>
      </c>
      <c r="AB131" s="7">
        <v>0</v>
      </c>
      <c r="AC131" s="7">
        <v>106.05200000000001</v>
      </c>
      <c r="AD131" s="7">
        <v>0</v>
      </c>
      <c r="AE131" s="7">
        <v>2021.2439999999999</v>
      </c>
      <c r="AF131" s="7">
        <v>1113.9860000000001</v>
      </c>
      <c r="AG131" s="7">
        <v>0</v>
      </c>
      <c r="AH131" s="7">
        <v>7370.5950000000003</v>
      </c>
      <c r="AI131" s="7">
        <v>1725.423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130.19800000000001</v>
      </c>
      <c r="AP131" s="7">
        <v>0</v>
      </c>
      <c r="AQ131" s="7">
        <v>389.97</v>
      </c>
      <c r="AR131" s="7">
        <v>0</v>
      </c>
      <c r="AS131" s="7">
        <v>1.4790000000000001</v>
      </c>
      <c r="AT131" s="7">
        <v>0</v>
      </c>
      <c r="AU131" s="7">
        <v>7.29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45.082999999999998</v>
      </c>
      <c r="BC131" s="7">
        <v>0</v>
      </c>
      <c r="BD131" s="7">
        <v>0</v>
      </c>
      <c r="BE131" s="7">
        <v>10.769</v>
      </c>
      <c r="BF131" s="7">
        <v>10.769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247</v>
      </c>
      <c r="B132" s="5" t="s">
        <v>248</v>
      </c>
      <c r="C132" s="7">
        <v>6</v>
      </c>
      <c r="D132" s="7">
        <v>6</v>
      </c>
      <c r="E132" s="7">
        <v>43922.131999999998</v>
      </c>
      <c r="F132" s="7">
        <v>342.339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69788.149000000005</v>
      </c>
      <c r="M132" s="7">
        <v>10834.764999999999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5059.4939999999997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24583.947</v>
      </c>
      <c r="AF132" s="7">
        <v>58.509</v>
      </c>
      <c r="AG132" s="7">
        <v>0</v>
      </c>
      <c r="AH132" s="7">
        <v>110622.38499999999</v>
      </c>
      <c r="AI132" s="7">
        <v>37.337000000000003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249</v>
      </c>
      <c r="B133" s="5" t="s">
        <v>250</v>
      </c>
      <c r="C133" s="7">
        <v>6</v>
      </c>
      <c r="D133" s="7">
        <v>6</v>
      </c>
      <c r="E133" s="7">
        <v>59873.517</v>
      </c>
      <c r="F133" s="7">
        <v>4611.9059999999999</v>
      </c>
      <c r="G133" s="7">
        <v>6475.7269999999999</v>
      </c>
      <c r="H133" s="7">
        <v>0</v>
      </c>
      <c r="I133" s="7">
        <v>1136.3340000000001</v>
      </c>
      <c r="J133" s="7">
        <v>3956.194</v>
      </c>
      <c r="K133" s="7">
        <v>0</v>
      </c>
      <c r="L133" s="7">
        <v>56700.025999999998</v>
      </c>
      <c r="M133" s="7">
        <v>18294.985000000001</v>
      </c>
      <c r="N133" s="7">
        <v>0</v>
      </c>
      <c r="O133" s="7">
        <v>0</v>
      </c>
      <c r="P133" s="7">
        <v>206.316</v>
      </c>
      <c r="Q133" s="7">
        <v>0</v>
      </c>
      <c r="R133" s="7">
        <v>0.32</v>
      </c>
      <c r="S133" s="7">
        <v>0</v>
      </c>
      <c r="T133" s="7">
        <v>0</v>
      </c>
      <c r="U133" s="7">
        <v>0</v>
      </c>
      <c r="V133" s="7">
        <v>622.61900000000003</v>
      </c>
      <c r="W133" s="7">
        <v>1866.56</v>
      </c>
      <c r="X133" s="7">
        <v>0</v>
      </c>
      <c r="Y133" s="7">
        <v>14671.307000000001</v>
      </c>
      <c r="Z133" s="7">
        <v>0</v>
      </c>
      <c r="AA133" s="7">
        <v>5194.66</v>
      </c>
      <c r="AB133" s="7">
        <v>0</v>
      </c>
      <c r="AC133" s="7">
        <v>812.34699999999998</v>
      </c>
      <c r="AD133" s="7">
        <v>0</v>
      </c>
      <c r="AE133" s="7">
        <v>48384.095999999998</v>
      </c>
      <c r="AF133" s="7">
        <v>0</v>
      </c>
      <c r="AG133" s="7">
        <v>0</v>
      </c>
      <c r="AH133" s="7">
        <v>116530.277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251</v>
      </c>
      <c r="B134" s="5" t="s">
        <v>252</v>
      </c>
      <c r="C134" s="7">
        <v>6</v>
      </c>
      <c r="D134" s="7">
        <v>6</v>
      </c>
      <c r="E134" s="7">
        <v>12569.630999999999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66715.441999999995</v>
      </c>
      <c r="M134" s="7">
        <v>1834.7439999999999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212.70599999999999</v>
      </c>
      <c r="AB134" s="7">
        <v>0</v>
      </c>
      <c r="AC134" s="7">
        <v>0</v>
      </c>
      <c r="AD134" s="7">
        <v>0</v>
      </c>
      <c r="AE134" s="7">
        <v>14452.825999999999</v>
      </c>
      <c r="AF134" s="7">
        <v>0</v>
      </c>
      <c r="AG134" s="7">
        <v>0</v>
      </c>
      <c r="AH134" s="7">
        <v>89910.191999999995</v>
      </c>
      <c r="AI134" s="7">
        <v>16744.087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253</v>
      </c>
      <c r="B135" s="5" t="s">
        <v>254</v>
      </c>
      <c r="C135" s="7">
        <v>6</v>
      </c>
      <c r="D135" s="7">
        <v>6</v>
      </c>
      <c r="E135" s="7">
        <v>200806.85500000001</v>
      </c>
      <c r="F135" s="7">
        <v>12409.601000000001</v>
      </c>
      <c r="G135" s="7">
        <v>8787.9159999999993</v>
      </c>
      <c r="H135" s="7">
        <v>4354.5050000000001</v>
      </c>
      <c r="I135" s="7">
        <v>1387.7059999999999</v>
      </c>
      <c r="J135" s="7">
        <v>5981.5439999999999</v>
      </c>
      <c r="K135" s="7">
        <v>0</v>
      </c>
      <c r="L135" s="7">
        <v>284956.91100000002</v>
      </c>
      <c r="M135" s="7">
        <v>60048.84</v>
      </c>
      <c r="N135" s="7">
        <v>0</v>
      </c>
      <c r="O135" s="7">
        <v>0</v>
      </c>
      <c r="P135" s="7">
        <v>205.107</v>
      </c>
      <c r="Q135" s="7">
        <v>0</v>
      </c>
      <c r="R135" s="7">
        <v>99.466999999999999</v>
      </c>
      <c r="S135" s="7">
        <v>3249.3240000000001</v>
      </c>
      <c r="T135" s="7">
        <v>0</v>
      </c>
      <c r="U135" s="7">
        <v>0</v>
      </c>
      <c r="V135" s="7">
        <v>1030.748</v>
      </c>
      <c r="W135" s="7">
        <v>3026.8820000000001</v>
      </c>
      <c r="X135" s="7">
        <v>0</v>
      </c>
      <c r="Y135" s="7">
        <v>32763.332999999999</v>
      </c>
      <c r="Z135" s="7">
        <v>0</v>
      </c>
      <c r="AA135" s="7">
        <v>9379.6409999999996</v>
      </c>
      <c r="AB135" s="7">
        <v>0</v>
      </c>
      <c r="AC135" s="7">
        <v>1567.434</v>
      </c>
      <c r="AD135" s="7">
        <v>0</v>
      </c>
      <c r="AE135" s="7">
        <v>115251.63</v>
      </c>
      <c r="AF135" s="7">
        <v>828.92200000000003</v>
      </c>
      <c r="AG135" s="7">
        <v>0</v>
      </c>
      <c r="AH135" s="7">
        <v>466373.75</v>
      </c>
      <c r="AI135" s="7">
        <v>1775.45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79.86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255</v>
      </c>
      <c r="B136" s="5" t="s">
        <v>256</v>
      </c>
      <c r="C136" s="7">
        <v>6</v>
      </c>
      <c r="D136" s="7">
        <v>6</v>
      </c>
      <c r="E136" s="7">
        <v>8699.7870000000003</v>
      </c>
      <c r="F136" s="7">
        <v>29.501999999999999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8839.1849999999995</v>
      </c>
      <c r="M136" s="7">
        <v>796.6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1020.279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4587.9880000000003</v>
      </c>
      <c r="AF136" s="7">
        <v>566.59500000000003</v>
      </c>
      <c r="AG136" s="7">
        <v>0</v>
      </c>
      <c r="AH136" s="7">
        <v>17692.93</v>
      </c>
      <c r="AI136" s="7">
        <v>1870.511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257</v>
      </c>
      <c r="B137" s="5" t="s">
        <v>258</v>
      </c>
      <c r="C137" s="7">
        <v>6</v>
      </c>
      <c r="D137" s="7">
        <v>6</v>
      </c>
      <c r="E137" s="7">
        <v>94502.005000000005</v>
      </c>
      <c r="F137" s="7">
        <v>2631.904</v>
      </c>
      <c r="G137" s="7">
        <v>1091.8430000000001</v>
      </c>
      <c r="H137" s="7">
        <v>0</v>
      </c>
      <c r="I137" s="7">
        <v>176.95699999999999</v>
      </c>
      <c r="J137" s="7">
        <v>695.50900000000001</v>
      </c>
      <c r="K137" s="7">
        <v>0</v>
      </c>
      <c r="L137" s="7">
        <v>95871.144</v>
      </c>
      <c r="M137" s="7">
        <v>28968.385999999999</v>
      </c>
      <c r="N137" s="7">
        <v>0</v>
      </c>
      <c r="O137" s="7">
        <v>0</v>
      </c>
      <c r="P137" s="7">
        <v>27.013000000000002</v>
      </c>
      <c r="Q137" s="7">
        <v>0</v>
      </c>
      <c r="R137" s="7">
        <v>1.9750000000000001</v>
      </c>
      <c r="S137" s="7">
        <v>0</v>
      </c>
      <c r="T137" s="7">
        <v>0</v>
      </c>
      <c r="U137" s="7">
        <v>0</v>
      </c>
      <c r="V137" s="7">
        <v>155.69800000000001</v>
      </c>
      <c r="W137" s="7">
        <v>455.38200000000001</v>
      </c>
      <c r="X137" s="7">
        <v>0</v>
      </c>
      <c r="Y137" s="7">
        <v>14387.742</v>
      </c>
      <c r="Z137" s="7">
        <v>0</v>
      </c>
      <c r="AA137" s="7">
        <v>2314.61</v>
      </c>
      <c r="AB137" s="7">
        <v>0</v>
      </c>
      <c r="AC137" s="7">
        <v>243.24100000000001</v>
      </c>
      <c r="AD137" s="7">
        <v>0</v>
      </c>
      <c r="AE137" s="7">
        <v>51265.995999999999</v>
      </c>
      <c r="AF137" s="7">
        <v>1455.365</v>
      </c>
      <c r="AG137" s="7">
        <v>0</v>
      </c>
      <c r="AH137" s="7">
        <v>203675.49299999999</v>
      </c>
      <c r="AI137" s="7">
        <v>1924.126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259</v>
      </c>
      <c r="B138" s="5" t="s">
        <v>260</v>
      </c>
      <c r="C138" s="7">
        <v>6</v>
      </c>
      <c r="D138" s="7">
        <v>6</v>
      </c>
      <c r="E138" s="7">
        <v>24225.806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49261.607000000004</v>
      </c>
      <c r="M138" s="7">
        <v>4046.9949999999999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8862.14</v>
      </c>
      <c r="AF138" s="7">
        <v>0</v>
      </c>
      <c r="AG138" s="7">
        <v>0</v>
      </c>
      <c r="AH138" s="7">
        <v>89530.433000000005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261</v>
      </c>
      <c r="B139" s="5" t="s">
        <v>262</v>
      </c>
      <c r="C139" s="7">
        <v>6</v>
      </c>
      <c r="D139" s="7">
        <v>6</v>
      </c>
      <c r="E139" s="7">
        <v>1027079.077</v>
      </c>
      <c r="F139" s="7">
        <v>18900.822</v>
      </c>
      <c r="G139" s="7">
        <v>22363.21</v>
      </c>
      <c r="H139" s="7">
        <v>1475.3820000000001</v>
      </c>
      <c r="I139" s="7">
        <v>4250.45</v>
      </c>
      <c r="J139" s="7">
        <v>13131.123</v>
      </c>
      <c r="K139" s="7">
        <v>0</v>
      </c>
      <c r="L139" s="7">
        <v>1003640.2169999999</v>
      </c>
      <c r="M139" s="7">
        <v>300137.45799999998</v>
      </c>
      <c r="N139" s="7">
        <v>0</v>
      </c>
      <c r="O139" s="7">
        <v>0</v>
      </c>
      <c r="P139" s="7">
        <v>711.572</v>
      </c>
      <c r="Q139" s="7">
        <v>0</v>
      </c>
      <c r="R139" s="7">
        <v>2.8580000000000001</v>
      </c>
      <c r="S139" s="7">
        <v>0</v>
      </c>
      <c r="T139" s="7">
        <v>0</v>
      </c>
      <c r="U139" s="7">
        <v>0</v>
      </c>
      <c r="V139" s="7">
        <v>1679.1089999999999</v>
      </c>
      <c r="W139" s="7">
        <v>5112.5389999999998</v>
      </c>
      <c r="X139" s="7">
        <v>0</v>
      </c>
      <c r="Y139" s="7">
        <v>161486.53200000001</v>
      </c>
      <c r="Z139" s="7">
        <v>0</v>
      </c>
      <c r="AA139" s="7">
        <v>36523.232000000004</v>
      </c>
      <c r="AB139" s="7">
        <v>0</v>
      </c>
      <c r="AC139" s="7">
        <v>2233.0230000000001</v>
      </c>
      <c r="AD139" s="7">
        <v>0</v>
      </c>
      <c r="AE139" s="7">
        <v>596705.17500000005</v>
      </c>
      <c r="AF139" s="7">
        <v>14381.308000000001</v>
      </c>
      <c r="AG139" s="7">
        <v>0</v>
      </c>
      <c r="AH139" s="7">
        <v>2225930.1359999999</v>
      </c>
      <c r="AI139" s="7">
        <v>47370.612999999998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100.378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263</v>
      </c>
      <c r="B140" s="5" t="s">
        <v>264</v>
      </c>
      <c r="C140" s="7">
        <v>4</v>
      </c>
      <c r="D140" s="7">
        <v>4</v>
      </c>
      <c r="E140" s="7">
        <v>792.47900000000004</v>
      </c>
      <c r="F140" s="7">
        <v>130.44800000000001</v>
      </c>
      <c r="G140" s="7">
        <v>89.35</v>
      </c>
      <c r="H140" s="7">
        <v>0</v>
      </c>
      <c r="I140" s="7">
        <v>11.867000000000001</v>
      </c>
      <c r="J140" s="7">
        <v>50.905999999999999</v>
      </c>
      <c r="K140" s="7">
        <v>0</v>
      </c>
      <c r="L140" s="7">
        <v>1039.3969999999999</v>
      </c>
      <c r="M140" s="7">
        <v>282.86200000000002</v>
      </c>
      <c r="N140" s="7">
        <v>0</v>
      </c>
      <c r="O140" s="7">
        <v>0</v>
      </c>
      <c r="P140" s="7">
        <v>2.1000000000000001E-2</v>
      </c>
      <c r="Q140" s="7">
        <v>0</v>
      </c>
      <c r="R140" s="7">
        <v>0</v>
      </c>
      <c r="S140" s="7">
        <v>48.691000000000003</v>
      </c>
      <c r="T140" s="7">
        <v>0</v>
      </c>
      <c r="U140" s="7">
        <v>0</v>
      </c>
      <c r="V140" s="7">
        <v>11.708</v>
      </c>
      <c r="W140" s="7">
        <v>24.922999999999998</v>
      </c>
      <c r="X140" s="7">
        <v>0</v>
      </c>
      <c r="Y140" s="7">
        <v>229.56700000000001</v>
      </c>
      <c r="Z140" s="7">
        <v>0</v>
      </c>
      <c r="AA140" s="7">
        <v>125.92100000000001</v>
      </c>
      <c r="AB140" s="7">
        <v>0</v>
      </c>
      <c r="AC140" s="7">
        <v>23.701000000000001</v>
      </c>
      <c r="AD140" s="7">
        <v>0</v>
      </c>
      <c r="AE140" s="7">
        <v>479.50700000000001</v>
      </c>
      <c r="AF140" s="7">
        <v>232.011</v>
      </c>
      <c r="AG140" s="7">
        <v>0</v>
      </c>
      <c r="AH140" s="7">
        <v>1901.9</v>
      </c>
      <c r="AI140" s="7">
        <v>410.59899999999999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18.085000000000001</v>
      </c>
      <c r="AP140" s="7">
        <v>0</v>
      </c>
      <c r="AQ140" s="7">
        <v>81.379000000000005</v>
      </c>
      <c r="AR140" s="7">
        <v>0</v>
      </c>
      <c r="AS140" s="7">
        <v>0.44800000000000001</v>
      </c>
      <c r="AT140" s="7">
        <v>0</v>
      </c>
      <c r="AU140" s="7">
        <v>7.8860000000000001</v>
      </c>
      <c r="AV140" s="7">
        <v>0</v>
      </c>
      <c r="AW140" s="7">
        <v>0</v>
      </c>
      <c r="AX140" s="7">
        <v>0</v>
      </c>
      <c r="AY140" s="7">
        <v>9.1829999999999998</v>
      </c>
      <c r="AZ140" s="7">
        <v>80.149000000000001</v>
      </c>
      <c r="BA140" s="7">
        <v>0</v>
      </c>
      <c r="BB140" s="7">
        <v>6.5670000000000002</v>
      </c>
      <c r="BC140" s="7">
        <v>4.0839999999999996</v>
      </c>
      <c r="BD140" s="7">
        <v>99.983000000000004</v>
      </c>
      <c r="BE140" s="7">
        <v>1.4970000000000001</v>
      </c>
      <c r="BF140" s="7">
        <v>1.4970000000000001</v>
      </c>
      <c r="BG140" s="7">
        <v>32.113</v>
      </c>
      <c r="BH140" s="7">
        <v>0</v>
      </c>
      <c r="BI140" s="7">
        <v>1.716</v>
      </c>
      <c r="BJ140" s="21"/>
    </row>
    <row r="141" spans="1:62" ht="15.6" x14ac:dyDescent="0.3">
      <c r="A141" s="5" t="s">
        <v>265</v>
      </c>
      <c r="B141" s="5" t="s">
        <v>266</v>
      </c>
      <c r="C141" s="7">
        <v>6</v>
      </c>
      <c r="D141" s="7">
        <v>6</v>
      </c>
      <c r="E141" s="7">
        <v>2132.8780000000002</v>
      </c>
      <c r="F141" s="7">
        <v>45.353000000000002</v>
      </c>
      <c r="G141" s="7">
        <v>0</v>
      </c>
      <c r="H141" s="7">
        <v>1.0999999999999999E-2</v>
      </c>
      <c r="I141" s="7">
        <v>1.6539999999999999</v>
      </c>
      <c r="J141" s="7">
        <v>0</v>
      </c>
      <c r="K141" s="7">
        <v>0</v>
      </c>
      <c r="L141" s="7">
        <v>3802.1729999999998</v>
      </c>
      <c r="M141" s="7">
        <v>594.42499999999995</v>
      </c>
      <c r="N141" s="7">
        <v>0</v>
      </c>
      <c r="O141" s="7">
        <v>0</v>
      </c>
      <c r="P141" s="7">
        <v>8.0000000000000002E-3</v>
      </c>
      <c r="Q141" s="7">
        <v>0</v>
      </c>
      <c r="R141" s="7">
        <v>0</v>
      </c>
      <c r="S141" s="7">
        <v>14.747999999999999</v>
      </c>
      <c r="T141" s="7">
        <v>0</v>
      </c>
      <c r="U141" s="7">
        <v>0</v>
      </c>
      <c r="V141" s="7">
        <v>0</v>
      </c>
      <c r="W141" s="7">
        <v>5</v>
      </c>
      <c r="X141" s="7">
        <v>0</v>
      </c>
      <c r="Y141" s="7">
        <v>541.60900000000004</v>
      </c>
      <c r="Z141" s="7">
        <v>0</v>
      </c>
      <c r="AA141" s="7">
        <v>0</v>
      </c>
      <c r="AB141" s="7">
        <v>0</v>
      </c>
      <c r="AC141" s="7">
        <v>8.9489999999999998</v>
      </c>
      <c r="AD141" s="7">
        <v>0</v>
      </c>
      <c r="AE141" s="7">
        <v>2312.366</v>
      </c>
      <c r="AF141" s="7">
        <v>143.262</v>
      </c>
      <c r="AG141" s="7">
        <v>0</v>
      </c>
      <c r="AH141" s="7">
        <v>9181.6110000000008</v>
      </c>
      <c r="AI141" s="7">
        <v>253.166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6.8019999999999996</v>
      </c>
      <c r="AP141" s="7">
        <v>0</v>
      </c>
      <c r="AQ141" s="7">
        <v>50.323</v>
      </c>
      <c r="AR141" s="7">
        <v>0</v>
      </c>
      <c r="AS141" s="7">
        <v>0.14199999999999999</v>
      </c>
      <c r="AT141" s="7">
        <v>0</v>
      </c>
      <c r="AU141" s="7">
        <v>0.998</v>
      </c>
      <c r="AV141" s="7">
        <v>0</v>
      </c>
      <c r="AW141" s="7">
        <v>0</v>
      </c>
      <c r="AX141" s="7">
        <v>0</v>
      </c>
      <c r="AY141" s="7">
        <v>2.5419999999999998</v>
      </c>
      <c r="AZ141" s="7">
        <v>49.563000000000002</v>
      </c>
      <c r="BA141" s="7">
        <v>0</v>
      </c>
      <c r="BB141" s="7">
        <v>2.4860000000000002</v>
      </c>
      <c r="BC141" s="7">
        <v>0</v>
      </c>
      <c r="BD141" s="7">
        <v>61.828000000000003</v>
      </c>
      <c r="BE141" s="7">
        <v>0.56000000000000005</v>
      </c>
      <c r="BF141" s="7">
        <v>0.56000000000000005</v>
      </c>
      <c r="BG141" s="7">
        <v>19.858000000000001</v>
      </c>
      <c r="BH141" s="7">
        <v>0</v>
      </c>
      <c r="BI141" s="7">
        <v>0</v>
      </c>
      <c r="BJ141" s="21"/>
    </row>
    <row r="142" spans="1:62" ht="15.6" x14ac:dyDescent="0.3">
      <c r="A142" s="5" t="s">
        <v>267</v>
      </c>
      <c r="B142" s="5" t="s">
        <v>268</v>
      </c>
      <c r="C142" s="7">
        <v>4</v>
      </c>
      <c r="D142" s="7">
        <v>4</v>
      </c>
      <c r="E142" s="7">
        <v>8.91</v>
      </c>
      <c r="F142" s="7">
        <v>2.0230000000000001</v>
      </c>
      <c r="G142" s="7">
        <v>0</v>
      </c>
      <c r="H142" s="7">
        <v>0</v>
      </c>
      <c r="I142" s="7">
        <v>4.3999999999999997E-2</v>
      </c>
      <c r="J142" s="7">
        <v>0</v>
      </c>
      <c r="K142" s="7">
        <v>0</v>
      </c>
      <c r="L142" s="7">
        <v>23.082999999999998</v>
      </c>
      <c r="M142" s="7">
        <v>0.873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0.63500000000000001</v>
      </c>
      <c r="T142" s="7">
        <v>0</v>
      </c>
      <c r="U142" s="7">
        <v>0</v>
      </c>
      <c r="V142" s="7">
        <v>0</v>
      </c>
      <c r="W142" s="7">
        <v>0.189</v>
      </c>
      <c r="X142" s="7">
        <v>0</v>
      </c>
      <c r="Y142" s="7">
        <v>4.5289999999999999</v>
      </c>
      <c r="Z142" s="7">
        <v>0</v>
      </c>
      <c r="AA142" s="7">
        <v>0</v>
      </c>
      <c r="AB142" s="7">
        <v>0</v>
      </c>
      <c r="AC142" s="7">
        <v>0.378</v>
      </c>
      <c r="AD142" s="7">
        <v>0</v>
      </c>
      <c r="AE142" s="7">
        <v>11.3</v>
      </c>
      <c r="AF142" s="7">
        <v>6.6189999999999998</v>
      </c>
      <c r="AG142" s="7">
        <v>0</v>
      </c>
      <c r="AH142" s="7">
        <v>38.905999999999999</v>
      </c>
      <c r="AI142" s="7">
        <v>10.385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0.34399999999999997</v>
      </c>
      <c r="AP142" s="7">
        <v>0</v>
      </c>
      <c r="AQ142" s="7">
        <v>2.323</v>
      </c>
      <c r="AR142" s="7">
        <v>0</v>
      </c>
      <c r="AS142" s="7">
        <v>7.0000000000000001E-3</v>
      </c>
      <c r="AT142" s="7">
        <v>0</v>
      </c>
      <c r="AU142" s="7">
        <v>4.2999999999999997E-2</v>
      </c>
      <c r="AV142" s="7">
        <v>0</v>
      </c>
      <c r="AW142" s="7">
        <v>0</v>
      </c>
      <c r="AX142" s="7">
        <v>0</v>
      </c>
      <c r="AY142" s="7">
        <v>7.0000000000000001E-3</v>
      </c>
      <c r="AZ142" s="7">
        <v>0.14599999999999999</v>
      </c>
      <c r="BA142" s="7">
        <v>0</v>
      </c>
      <c r="BB142" s="7">
        <v>0.121</v>
      </c>
      <c r="BC142" s="7">
        <v>0</v>
      </c>
      <c r="BD142" s="7">
        <v>0.182</v>
      </c>
      <c r="BE142" s="7">
        <v>0.03</v>
      </c>
      <c r="BF142" s="7">
        <v>0.03</v>
      </c>
      <c r="BG142" s="7">
        <v>5.8999999999999997E-2</v>
      </c>
      <c r="BH142" s="7">
        <v>0</v>
      </c>
      <c r="BI142" s="7">
        <v>0</v>
      </c>
      <c r="BJ142" s="21"/>
    </row>
    <row r="143" spans="1:62" ht="15.6" x14ac:dyDescent="0.3">
      <c r="A143" s="5" t="s">
        <v>269</v>
      </c>
      <c r="B143" s="5" t="s">
        <v>270</v>
      </c>
      <c r="C143" s="7">
        <v>6</v>
      </c>
      <c r="D143" s="7">
        <v>6</v>
      </c>
      <c r="E143" s="7">
        <v>1796.8710000000001</v>
      </c>
      <c r="F143" s="7">
        <v>13.127000000000001</v>
      </c>
      <c r="G143" s="7">
        <v>18.494</v>
      </c>
      <c r="H143" s="7">
        <v>0</v>
      </c>
      <c r="I143" s="7">
        <v>3.2519999999999998</v>
      </c>
      <c r="J143" s="7">
        <v>11.285</v>
      </c>
      <c r="K143" s="7">
        <v>0</v>
      </c>
      <c r="L143" s="7">
        <v>2709.8809999999999</v>
      </c>
      <c r="M143" s="7">
        <v>594.53899999999999</v>
      </c>
      <c r="N143" s="7">
        <v>0</v>
      </c>
      <c r="O143" s="7">
        <v>0</v>
      </c>
      <c r="P143" s="7">
        <v>0.59299999999999997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1.754</v>
      </c>
      <c r="W143" s="7">
        <v>5.2640000000000002</v>
      </c>
      <c r="X143" s="7">
        <v>0</v>
      </c>
      <c r="Y143" s="7">
        <v>539.00900000000001</v>
      </c>
      <c r="Z143" s="7">
        <v>0</v>
      </c>
      <c r="AA143" s="7">
        <v>14.567</v>
      </c>
      <c r="AB143" s="7">
        <v>0</v>
      </c>
      <c r="AC143" s="7">
        <v>2.2690000000000001</v>
      </c>
      <c r="AD143" s="7">
        <v>0</v>
      </c>
      <c r="AE143" s="7">
        <v>2110.018</v>
      </c>
      <c r="AF143" s="7">
        <v>0</v>
      </c>
      <c r="AG143" s="7">
        <v>0</v>
      </c>
      <c r="AH143" s="7">
        <v>5714.6790000000001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21"/>
    </row>
    <row r="145" spans="1:62" ht="15.6" x14ac:dyDescent="0.3">
      <c r="A145" s="5" t="s">
        <v>273</v>
      </c>
      <c r="B145" s="5" t="s">
        <v>274</v>
      </c>
      <c r="C145" s="7">
        <v>6</v>
      </c>
      <c r="D145" s="7">
        <v>6</v>
      </c>
      <c r="E145" s="7">
        <v>7425.4530000000004</v>
      </c>
      <c r="F145" s="7">
        <v>575.12199999999996</v>
      </c>
      <c r="G145" s="7">
        <v>0</v>
      </c>
      <c r="H145" s="7">
        <v>0</v>
      </c>
      <c r="I145" s="7">
        <v>20.972000000000001</v>
      </c>
      <c r="J145" s="7">
        <v>0</v>
      </c>
      <c r="K145" s="7">
        <v>0</v>
      </c>
      <c r="L145" s="7">
        <v>8496.5419999999995</v>
      </c>
      <c r="M145" s="7">
        <v>460.416</v>
      </c>
      <c r="N145" s="7">
        <v>0</v>
      </c>
      <c r="O145" s="7">
        <v>215.578</v>
      </c>
      <c r="P145" s="7">
        <v>0.106</v>
      </c>
      <c r="Q145" s="7">
        <v>242.239</v>
      </c>
      <c r="R145" s="7">
        <v>0</v>
      </c>
      <c r="S145" s="7">
        <v>187.02099999999999</v>
      </c>
      <c r="T145" s="7">
        <v>0</v>
      </c>
      <c r="U145" s="7">
        <v>0</v>
      </c>
      <c r="V145" s="7">
        <v>0</v>
      </c>
      <c r="W145" s="7">
        <v>63.41</v>
      </c>
      <c r="X145" s="7">
        <v>0</v>
      </c>
      <c r="Y145" s="7">
        <v>1304.403</v>
      </c>
      <c r="Z145" s="7">
        <v>0</v>
      </c>
      <c r="AA145" s="7">
        <v>0</v>
      </c>
      <c r="AB145" s="7">
        <v>12432.897000000001</v>
      </c>
      <c r="AC145" s="7">
        <v>113.48399999999999</v>
      </c>
      <c r="AD145" s="7">
        <v>0</v>
      </c>
      <c r="AE145" s="7">
        <v>12883.12</v>
      </c>
      <c r="AF145" s="7">
        <v>1816.61</v>
      </c>
      <c r="AG145" s="7">
        <v>0</v>
      </c>
      <c r="AH145" s="7">
        <v>11868.777</v>
      </c>
      <c r="AI145" s="7">
        <v>3210.2689999999998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86.26</v>
      </c>
      <c r="AP145" s="7">
        <v>0</v>
      </c>
      <c r="AQ145" s="7">
        <v>638.14800000000002</v>
      </c>
      <c r="AR145" s="7">
        <v>0</v>
      </c>
      <c r="AS145" s="7">
        <v>1.8029999999999999</v>
      </c>
      <c r="AT145" s="7">
        <v>0</v>
      </c>
      <c r="AU145" s="7">
        <v>12.651</v>
      </c>
      <c r="AV145" s="7">
        <v>0</v>
      </c>
      <c r="AW145" s="7">
        <v>0</v>
      </c>
      <c r="AX145" s="7">
        <v>0</v>
      </c>
      <c r="AY145" s="7">
        <v>32.234999999999999</v>
      </c>
      <c r="AZ145" s="7">
        <v>628.5</v>
      </c>
      <c r="BA145" s="7">
        <v>0</v>
      </c>
      <c r="BB145" s="7">
        <v>31.523</v>
      </c>
      <c r="BC145" s="7">
        <v>0</v>
      </c>
      <c r="BD145" s="7">
        <v>784.03700000000003</v>
      </c>
      <c r="BE145" s="7">
        <v>7.1059999999999999</v>
      </c>
      <c r="BF145" s="7">
        <v>7.1059999999999999</v>
      </c>
      <c r="BG145" s="7">
        <v>251.816</v>
      </c>
      <c r="BH145" s="7">
        <v>0</v>
      </c>
      <c r="BI145" s="7">
        <v>0</v>
      </c>
      <c r="BJ145" s="21"/>
    </row>
    <row r="146" spans="1:62" ht="15.6" x14ac:dyDescent="0.3">
      <c r="A146" s="5" t="s">
        <v>275</v>
      </c>
      <c r="B146" s="5" t="s">
        <v>276</v>
      </c>
      <c r="C146" s="7">
        <v>6</v>
      </c>
      <c r="D146" s="7">
        <v>6</v>
      </c>
      <c r="E146" s="7">
        <v>112058.027</v>
      </c>
      <c r="F146" s="7">
        <v>6260.66</v>
      </c>
      <c r="G146" s="7">
        <v>4712.8209999999999</v>
      </c>
      <c r="H146" s="7">
        <v>6.4000000000000001E-2</v>
      </c>
      <c r="I146" s="7">
        <v>823.99099999999999</v>
      </c>
      <c r="J146" s="7">
        <v>3365.6410000000001</v>
      </c>
      <c r="K146" s="7">
        <v>0</v>
      </c>
      <c r="L146" s="7">
        <v>106321.803</v>
      </c>
      <c r="M146" s="7">
        <v>25883.848000000002</v>
      </c>
      <c r="N146" s="7">
        <v>0</v>
      </c>
      <c r="O146" s="7">
        <v>-73.363</v>
      </c>
      <c r="P146" s="7">
        <v>77.394999999999996</v>
      </c>
      <c r="Q146" s="7">
        <v>-59.969000000000001</v>
      </c>
      <c r="R146" s="7">
        <v>-59.366</v>
      </c>
      <c r="S146" s="7">
        <v>1787.7059999999999</v>
      </c>
      <c r="T146" s="7">
        <v>0</v>
      </c>
      <c r="U146" s="7">
        <v>0</v>
      </c>
      <c r="V146" s="7">
        <v>778.38400000000001</v>
      </c>
      <c r="W146" s="7">
        <v>1441.1120000000001</v>
      </c>
      <c r="X146" s="7">
        <v>-2546.7420000000002</v>
      </c>
      <c r="Y146" s="7">
        <v>20134.633999999998</v>
      </c>
      <c r="Z146" s="7">
        <v>-2487.9380000000001</v>
      </c>
      <c r="AA146" s="7">
        <v>9715.3070000000007</v>
      </c>
      <c r="AB146" s="7">
        <v>-1657.155</v>
      </c>
      <c r="AC146" s="7">
        <v>1576.213</v>
      </c>
      <c r="AD146" s="7">
        <v>-203.47399999999999</v>
      </c>
      <c r="AE146" s="7">
        <v>78939.104000000007</v>
      </c>
      <c r="AF146" s="7">
        <v>2639.6489999999999</v>
      </c>
      <c r="AG146" s="7">
        <v>-668.03399999999999</v>
      </c>
      <c r="AH146" s="7">
        <v>268742.87800000003</v>
      </c>
      <c r="AI146" s="7">
        <v>6407.5619999999999</v>
      </c>
      <c r="AJ146" s="7">
        <v>-13372.644</v>
      </c>
      <c r="AK146" s="7">
        <v>-631286.07900000003</v>
      </c>
      <c r="AL146" s="7">
        <v>-348684.68599999999</v>
      </c>
      <c r="AM146" s="7">
        <v>0</v>
      </c>
      <c r="AN146" s="7">
        <v>-227278.77100000001</v>
      </c>
      <c r="AO146" s="7">
        <v>1103.7339999999999</v>
      </c>
      <c r="AP146" s="7">
        <v>0</v>
      </c>
      <c r="AQ146" s="7">
        <v>508.09300000000002</v>
      </c>
      <c r="AR146" s="7">
        <v>0</v>
      </c>
      <c r="AS146" s="7">
        <v>6.43</v>
      </c>
      <c r="AT146" s="7">
        <v>0</v>
      </c>
      <c r="AU146" s="7">
        <v>161.40700000000001</v>
      </c>
      <c r="AV146" s="7">
        <v>0</v>
      </c>
      <c r="AW146" s="7">
        <v>0</v>
      </c>
      <c r="AX146" s="7">
        <v>-2685.1550000000002</v>
      </c>
      <c r="AY146" s="7">
        <v>-91.837000000000003</v>
      </c>
      <c r="AZ146" s="7">
        <v>-234.17599999999999</v>
      </c>
      <c r="BA146" s="7">
        <v>-2041.575</v>
      </c>
      <c r="BB146" s="7">
        <v>354.41</v>
      </c>
      <c r="BC146" s="7">
        <v>-23.783999999999999</v>
      </c>
      <c r="BD146" s="7">
        <v>-77.156000000000006</v>
      </c>
      <c r="BE146" s="7">
        <v>86.462000000000003</v>
      </c>
      <c r="BF146" s="7">
        <v>86.462000000000003</v>
      </c>
      <c r="BG146" s="7">
        <v>-120.77</v>
      </c>
      <c r="BH146" s="7">
        <v>-8167.2820000000002</v>
      </c>
      <c r="BI146" s="7">
        <v>-16.105</v>
      </c>
      <c r="BJ146" s="21"/>
    </row>
    <row r="147" spans="1:62" ht="15.6" x14ac:dyDescent="0.3">
      <c r="A147" s="5" t="s">
        <v>277</v>
      </c>
      <c r="B147" s="5" t="s">
        <v>278</v>
      </c>
      <c r="C147" s="7">
        <v>6</v>
      </c>
      <c r="D147" s="7">
        <v>6</v>
      </c>
      <c r="E147" s="7">
        <v>-38841.953000000001</v>
      </c>
      <c r="F147" s="7">
        <v>-6792.74</v>
      </c>
      <c r="G147" s="7">
        <v>-2375.4960000000001</v>
      </c>
      <c r="H147" s="7">
        <v>-0.13700000000000001</v>
      </c>
      <c r="I147" s="7">
        <v>-725.43</v>
      </c>
      <c r="J147" s="7">
        <v>-3448.2739999999999</v>
      </c>
      <c r="K147" s="7">
        <v>0</v>
      </c>
      <c r="L147" s="7">
        <v>-51393.133999999998</v>
      </c>
      <c r="M147" s="7">
        <v>-9946.4560000000001</v>
      </c>
      <c r="N147" s="7">
        <v>0</v>
      </c>
      <c r="O147" s="7">
        <v>4.8000000000000001E-2</v>
      </c>
      <c r="P147" s="7">
        <v>-58.679000000000002</v>
      </c>
      <c r="Q147" s="7">
        <v>1.4999999999999999E-2</v>
      </c>
      <c r="R147" s="7">
        <v>-1.833</v>
      </c>
      <c r="S147" s="7">
        <v>-2029.856</v>
      </c>
      <c r="T147" s="7">
        <v>0</v>
      </c>
      <c r="U147" s="7">
        <v>0</v>
      </c>
      <c r="V147" s="7">
        <v>-656.822</v>
      </c>
      <c r="W147" s="7">
        <v>-989.45600000000002</v>
      </c>
      <c r="X147" s="7">
        <v>0</v>
      </c>
      <c r="Y147" s="7">
        <v>-12008.099</v>
      </c>
      <c r="Z147" s="7">
        <v>0.50600000000000001</v>
      </c>
      <c r="AA147" s="7">
        <v>-9155.0460000000003</v>
      </c>
      <c r="AB147" s="7">
        <v>1.032</v>
      </c>
      <c r="AC147" s="7">
        <v>-1332.0329999999999</v>
      </c>
      <c r="AD147" s="7">
        <v>-0.32200000000000001</v>
      </c>
      <c r="AE147" s="7">
        <v>-36327.864000000001</v>
      </c>
      <c r="AF147" s="7">
        <v>-8252.5480000000007</v>
      </c>
      <c r="AG147" s="7">
        <v>-1.04</v>
      </c>
      <c r="AH147" s="7">
        <v>-105579.78200000001</v>
      </c>
      <c r="AI147" s="7">
        <v>-13125.313</v>
      </c>
      <c r="AJ147" s="7">
        <v>2.8260000000000001</v>
      </c>
      <c r="AK147" s="7">
        <v>0</v>
      </c>
      <c r="AL147" s="7">
        <v>0</v>
      </c>
      <c r="AM147" s="7">
        <v>0</v>
      </c>
      <c r="AN147" s="7">
        <v>0</v>
      </c>
      <c r="AO147" s="7">
        <v>-1257.2429999999999</v>
      </c>
      <c r="AP147" s="7">
        <v>0</v>
      </c>
      <c r="AQ147" s="7">
        <v>-2805.1840000000002</v>
      </c>
      <c r="AR147" s="7">
        <v>0</v>
      </c>
      <c r="AS147" s="7">
        <v>-14.082000000000001</v>
      </c>
      <c r="AT147" s="7">
        <v>0</v>
      </c>
      <c r="AU147" s="7">
        <v>-60.503999999999998</v>
      </c>
      <c r="AV147" s="7">
        <v>0</v>
      </c>
      <c r="AW147" s="7">
        <v>0</v>
      </c>
      <c r="AX147" s="7">
        <v>0</v>
      </c>
      <c r="AY147" s="7">
        <v>-2.84</v>
      </c>
      <c r="AZ147" s="7">
        <v>-8.6039999999999992</v>
      </c>
      <c r="BA147" s="7">
        <v>0</v>
      </c>
      <c r="BB147" s="7">
        <v>-437.24799999999999</v>
      </c>
      <c r="BC147" s="7">
        <v>-1.444</v>
      </c>
      <c r="BD147" s="7">
        <v>-10.743</v>
      </c>
      <c r="BE147" s="7">
        <v>-103.121</v>
      </c>
      <c r="BF147" s="7">
        <v>-103.121</v>
      </c>
      <c r="BG147" s="7">
        <v>-4.0229999999999997</v>
      </c>
      <c r="BH147" s="7">
        <v>1.6120000000000001</v>
      </c>
      <c r="BI147" s="7">
        <v>-0.59199999999999997</v>
      </c>
      <c r="BJ147" s="21"/>
    </row>
    <row r="148" spans="1:62" ht="15.6" x14ac:dyDescent="0.3">
      <c r="A148" s="5" t="s">
        <v>279</v>
      </c>
      <c r="B148" s="5" t="s">
        <v>280</v>
      </c>
      <c r="C148" s="7">
        <v>6</v>
      </c>
      <c r="D148" s="7">
        <v>6</v>
      </c>
      <c r="E148" s="7">
        <v>2386.2800000000002</v>
      </c>
      <c r="F148" s="7">
        <v>263.43700000000001</v>
      </c>
      <c r="G148" s="7">
        <v>381.59399999999999</v>
      </c>
      <c r="H148" s="7">
        <v>2E-3</v>
      </c>
      <c r="I148" s="7">
        <v>55.994</v>
      </c>
      <c r="J148" s="7">
        <v>274.75299999999999</v>
      </c>
      <c r="K148" s="7">
        <v>0</v>
      </c>
      <c r="L148" s="7">
        <v>1394.451</v>
      </c>
      <c r="M148" s="7">
        <v>778.44299999999998</v>
      </c>
      <c r="N148" s="7">
        <v>0</v>
      </c>
      <c r="O148" s="7">
        <v>0</v>
      </c>
      <c r="P148" s="7">
        <v>1.696</v>
      </c>
      <c r="Q148" s="7">
        <v>0</v>
      </c>
      <c r="R148" s="7">
        <v>0</v>
      </c>
      <c r="S148" s="7">
        <v>78.430000000000007</v>
      </c>
      <c r="T148" s="7">
        <v>0</v>
      </c>
      <c r="U148" s="7">
        <v>0</v>
      </c>
      <c r="V148" s="7">
        <v>39.043999999999997</v>
      </c>
      <c r="W148" s="7">
        <v>67.153999999999996</v>
      </c>
      <c r="X148" s="7">
        <v>0</v>
      </c>
      <c r="Y148" s="7">
        <v>509.334</v>
      </c>
      <c r="Z148" s="7">
        <v>0</v>
      </c>
      <c r="AA148" s="7">
        <v>622.17600000000004</v>
      </c>
      <c r="AB148" s="7">
        <v>0</v>
      </c>
      <c r="AC148" s="7">
        <v>42.246000000000002</v>
      </c>
      <c r="AD148" s="7">
        <v>7.9429999999999996</v>
      </c>
      <c r="AE148" s="7">
        <v>1294.6610000000001</v>
      </c>
      <c r="AF148" s="7">
        <v>150.79900000000001</v>
      </c>
      <c r="AG148" s="7">
        <v>27.789000000000001</v>
      </c>
      <c r="AH148" s="7">
        <v>3645.1860000000001</v>
      </c>
      <c r="AI148" s="7">
        <v>233.52099999999999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37.259</v>
      </c>
      <c r="AP148" s="7">
        <v>0</v>
      </c>
      <c r="AQ148" s="7">
        <v>52.783999999999999</v>
      </c>
      <c r="AR148" s="7">
        <v>0</v>
      </c>
      <c r="AS148" s="7">
        <v>1.262</v>
      </c>
      <c r="AT148" s="7">
        <v>0</v>
      </c>
      <c r="AU148" s="7">
        <v>23.459</v>
      </c>
      <c r="AV148" s="7">
        <v>0</v>
      </c>
      <c r="AW148" s="7">
        <v>0</v>
      </c>
      <c r="AX148" s="7">
        <v>0</v>
      </c>
      <c r="AY148" s="7">
        <v>13.222</v>
      </c>
      <c r="AZ148" s="7">
        <v>0</v>
      </c>
      <c r="BA148" s="7">
        <v>0</v>
      </c>
      <c r="BB148" s="7">
        <v>13.499000000000001</v>
      </c>
      <c r="BC148" s="7">
        <v>8.8580000000000005</v>
      </c>
      <c r="BD148" s="7">
        <v>0</v>
      </c>
      <c r="BE148" s="7">
        <v>3.0009999999999999</v>
      </c>
      <c r="BF148" s="7">
        <v>3.0009999999999999</v>
      </c>
      <c r="BG148" s="7">
        <v>0</v>
      </c>
      <c r="BH148" s="7">
        <v>0</v>
      </c>
      <c r="BI148" s="7">
        <v>3.5470000000000002</v>
      </c>
      <c r="BJ148" s="21"/>
    </row>
    <row r="149" spans="1:62" ht="15.6" x14ac:dyDescent="0.3">
      <c r="A149" s="5" t="s">
        <v>281</v>
      </c>
      <c r="B149" s="5" t="s">
        <v>282</v>
      </c>
      <c r="C149" s="7">
        <v>6</v>
      </c>
      <c r="D149" s="7">
        <v>6</v>
      </c>
      <c r="E149" s="7">
        <v>-1413.7550000000001</v>
      </c>
      <c r="F149" s="7">
        <v>-1108.2729999999999</v>
      </c>
      <c r="G149" s="7">
        <v>-813.79200000000003</v>
      </c>
      <c r="H149" s="7">
        <v>0</v>
      </c>
      <c r="I149" s="7">
        <v>-81.828999999999994</v>
      </c>
      <c r="J149" s="7">
        <v>-788.45600000000002</v>
      </c>
      <c r="K149" s="7">
        <v>0</v>
      </c>
      <c r="L149" s="7">
        <v>-3073.3409999999999</v>
      </c>
      <c r="M149" s="7">
        <v>-1178.991</v>
      </c>
      <c r="N149" s="7">
        <v>0</v>
      </c>
      <c r="O149" s="7">
        <v>0</v>
      </c>
      <c r="P149" s="7">
        <v>-2E-3</v>
      </c>
      <c r="Q149" s="7">
        <v>-601.15499999999997</v>
      </c>
      <c r="R149" s="7">
        <v>-998.89700000000005</v>
      </c>
      <c r="S149" s="7">
        <v>-451.339</v>
      </c>
      <c r="T149" s="7">
        <v>0</v>
      </c>
      <c r="U149" s="7">
        <v>0</v>
      </c>
      <c r="V149" s="7">
        <v>-170.62899999999999</v>
      </c>
      <c r="W149" s="7">
        <v>-18.367999999999999</v>
      </c>
      <c r="X149" s="7">
        <v>0</v>
      </c>
      <c r="Y149" s="7">
        <v>-513.03200000000004</v>
      </c>
      <c r="Z149" s="7">
        <v>-21955.797999999999</v>
      </c>
      <c r="AA149" s="7">
        <v>-2407.77</v>
      </c>
      <c r="AB149" s="7">
        <v>0</v>
      </c>
      <c r="AC149" s="7">
        <v>-277.67599999999999</v>
      </c>
      <c r="AD149" s="7">
        <v>-3208.924</v>
      </c>
      <c r="AE149" s="7">
        <v>-2550.259</v>
      </c>
      <c r="AF149" s="7">
        <v>-15.217000000000001</v>
      </c>
      <c r="AG149" s="7">
        <v>-10214.737999999999</v>
      </c>
      <c r="AH149" s="7">
        <v>-5168.6779999999999</v>
      </c>
      <c r="AI149" s="7">
        <v>-1.0999999999999999E-2</v>
      </c>
      <c r="AJ149" s="7">
        <v>-111611.625</v>
      </c>
      <c r="AK149" s="7">
        <v>0</v>
      </c>
      <c r="AL149" s="7">
        <v>0</v>
      </c>
      <c r="AM149" s="7">
        <v>0</v>
      </c>
      <c r="AN149" s="7">
        <v>0</v>
      </c>
      <c r="AO149" s="7">
        <v>-335.202</v>
      </c>
      <c r="AP149" s="7">
        <v>0</v>
      </c>
      <c r="AQ149" s="7">
        <v>-2.242</v>
      </c>
      <c r="AR149" s="7">
        <v>0</v>
      </c>
      <c r="AS149" s="7">
        <v>-1.514</v>
      </c>
      <c r="AT149" s="7">
        <v>0</v>
      </c>
      <c r="AU149" s="7">
        <v>-0.158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-115.239</v>
      </c>
      <c r="BC149" s="7">
        <v>0</v>
      </c>
      <c r="BD149" s="7">
        <v>0</v>
      </c>
      <c r="BE149" s="7">
        <v>-26.289000000000001</v>
      </c>
      <c r="BF149" s="7">
        <v>-26.289000000000001</v>
      </c>
      <c r="BG149" s="7">
        <v>0</v>
      </c>
      <c r="BH149" s="7">
        <v>-73974.740000000005</v>
      </c>
      <c r="BI149" s="7">
        <v>0</v>
      </c>
      <c r="BJ149" s="21"/>
    </row>
    <row r="150" spans="1:62" ht="15.6" x14ac:dyDescent="0.3">
      <c r="A150" s="5" t="s">
        <v>283</v>
      </c>
      <c r="B150" s="5" t="s">
        <v>284</v>
      </c>
      <c r="C150" s="7">
        <v>4</v>
      </c>
      <c r="D150" s="7">
        <v>4</v>
      </c>
      <c r="E150" s="7">
        <v>15480.011</v>
      </c>
      <c r="F150" s="7">
        <v>2510.7460000000001</v>
      </c>
      <c r="G150" s="7">
        <v>591.20399999999995</v>
      </c>
      <c r="H150" s="7">
        <v>0</v>
      </c>
      <c r="I150" s="7">
        <v>129.47499999999999</v>
      </c>
      <c r="J150" s="7">
        <v>402.88</v>
      </c>
      <c r="K150" s="7">
        <v>0</v>
      </c>
      <c r="L150" s="7">
        <v>28765.978999999999</v>
      </c>
      <c r="M150" s="7">
        <v>4245.4489999999996</v>
      </c>
      <c r="N150" s="7">
        <v>0</v>
      </c>
      <c r="O150" s="7">
        <v>15.417999999999999</v>
      </c>
      <c r="P150" s="7">
        <v>0</v>
      </c>
      <c r="Q150" s="7">
        <v>5.7009999999999996</v>
      </c>
      <c r="R150" s="7">
        <v>0</v>
      </c>
      <c r="S150" s="7">
        <v>784.03200000000004</v>
      </c>
      <c r="T150" s="7">
        <v>0</v>
      </c>
      <c r="U150" s="7">
        <v>0</v>
      </c>
      <c r="V150" s="7">
        <v>47.204999999999998</v>
      </c>
      <c r="W150" s="7">
        <v>291.548</v>
      </c>
      <c r="X150" s="7">
        <v>976.38300000000004</v>
      </c>
      <c r="Y150" s="7">
        <v>5597.701</v>
      </c>
      <c r="Z150" s="7">
        <v>-7.1999999999999995E-2</v>
      </c>
      <c r="AA150" s="7">
        <v>915.19200000000001</v>
      </c>
      <c r="AB150" s="7">
        <v>297.50099999999998</v>
      </c>
      <c r="AC150" s="7">
        <v>456.25400000000002</v>
      </c>
      <c r="AD150" s="7">
        <v>41.802</v>
      </c>
      <c r="AE150" s="7">
        <v>13936.269</v>
      </c>
      <c r="AF150" s="7">
        <v>7449.6220000000003</v>
      </c>
      <c r="AG150" s="7">
        <v>230.494</v>
      </c>
      <c r="AH150" s="7">
        <v>49207.190999999999</v>
      </c>
      <c r="AI150" s="7">
        <v>11593.528</v>
      </c>
      <c r="AJ150" s="7">
        <v>-87.322999999999993</v>
      </c>
      <c r="AK150" s="7">
        <v>4277.2070000000003</v>
      </c>
      <c r="AL150" s="7">
        <v>2362.4490000000001</v>
      </c>
      <c r="AM150" s="7">
        <v>0</v>
      </c>
      <c r="AN150" s="7">
        <v>1539.82</v>
      </c>
      <c r="AO150" s="7">
        <v>418.94400000000002</v>
      </c>
      <c r="AP150" s="7">
        <v>0</v>
      </c>
      <c r="AQ150" s="7">
        <v>2605.3209999999999</v>
      </c>
      <c r="AR150" s="7">
        <v>0</v>
      </c>
      <c r="AS150" s="7">
        <v>9.4979999999999993</v>
      </c>
      <c r="AT150" s="7">
        <v>0</v>
      </c>
      <c r="AU150" s="7">
        <v>88.754999999999995</v>
      </c>
      <c r="AV150" s="7">
        <v>0</v>
      </c>
      <c r="AW150" s="7">
        <v>0</v>
      </c>
      <c r="AX150" s="7">
        <v>1029.451</v>
      </c>
      <c r="AY150" s="7">
        <v>21.667000000000002</v>
      </c>
      <c r="AZ150" s="7">
        <v>0</v>
      </c>
      <c r="BA150" s="7">
        <v>770.92700000000002</v>
      </c>
      <c r="BB150" s="7">
        <v>148.47399999999999</v>
      </c>
      <c r="BC150" s="7">
        <v>13.433999999999999</v>
      </c>
      <c r="BD150" s="7">
        <v>0</v>
      </c>
      <c r="BE150" s="7">
        <v>36.670999999999999</v>
      </c>
      <c r="BF150" s="7">
        <v>36.670999999999999</v>
      </c>
      <c r="BG150" s="7">
        <v>0</v>
      </c>
      <c r="BH150" s="7">
        <v>6.0119999999999996</v>
      </c>
      <c r="BI150" s="7">
        <v>5.2530000000000001</v>
      </c>
      <c r="BJ150" s="21"/>
    </row>
    <row r="151" spans="1:62" ht="15.6" x14ac:dyDescent="0.3">
      <c r="A151" s="5" t="s">
        <v>285</v>
      </c>
      <c r="B151" s="5" t="s">
        <v>286</v>
      </c>
      <c r="C151" s="7">
        <v>6</v>
      </c>
      <c r="D151" s="7">
        <v>6</v>
      </c>
      <c r="E151" s="7">
        <v>14471.106</v>
      </c>
      <c r="F151" s="7">
        <v>3311.9270000000001</v>
      </c>
      <c r="G151" s="7">
        <v>0</v>
      </c>
      <c r="H151" s="7">
        <v>0</v>
      </c>
      <c r="I151" s="7">
        <v>70.555000000000007</v>
      </c>
      <c r="J151" s="7">
        <v>0</v>
      </c>
      <c r="K151" s="7">
        <v>0</v>
      </c>
      <c r="L151" s="7">
        <v>37708.874000000003</v>
      </c>
      <c r="M151" s="7">
        <v>1374.374</v>
      </c>
      <c r="N151" s="7">
        <v>0</v>
      </c>
      <c r="O151" s="7">
        <v>609.29499999999996</v>
      </c>
      <c r="P151" s="7">
        <v>1.4999999999999999E-2</v>
      </c>
      <c r="Q151" s="7">
        <v>-47.731999999999999</v>
      </c>
      <c r="R151" s="7">
        <v>-436.62200000000001</v>
      </c>
      <c r="S151" s="7">
        <v>1036.9459999999999</v>
      </c>
      <c r="T151" s="7">
        <v>0</v>
      </c>
      <c r="U151" s="7">
        <v>0</v>
      </c>
      <c r="V151" s="7">
        <v>0</v>
      </c>
      <c r="W151" s="7">
        <v>307.38499999999999</v>
      </c>
      <c r="X151" s="7">
        <v>0</v>
      </c>
      <c r="Y151" s="7">
        <v>7409.8630000000003</v>
      </c>
      <c r="Z151" s="7">
        <v>-6874.259</v>
      </c>
      <c r="AA151" s="7">
        <v>0</v>
      </c>
      <c r="AB151" s="7">
        <v>12377.171</v>
      </c>
      <c r="AC151" s="7">
        <v>617.48900000000003</v>
      </c>
      <c r="AD151" s="7">
        <v>-3197.1790000000001</v>
      </c>
      <c r="AE151" s="7">
        <v>19662.341</v>
      </c>
      <c r="AF151" s="7">
        <v>10851.281000000001</v>
      </c>
      <c r="AG151" s="7">
        <v>-9026.9570000000003</v>
      </c>
      <c r="AH151" s="7">
        <v>63480.177000000003</v>
      </c>
      <c r="AI151" s="7">
        <v>16933.287</v>
      </c>
      <c r="AJ151" s="7">
        <v>-35579.391000000003</v>
      </c>
      <c r="AK151" s="7">
        <v>1292898.8940000001</v>
      </c>
      <c r="AL151" s="7">
        <v>714120.04799999995</v>
      </c>
      <c r="AM151" s="7">
        <v>0</v>
      </c>
      <c r="AN151" s="7">
        <v>465475.92499999999</v>
      </c>
      <c r="AO151" s="7">
        <v>565.65499999999997</v>
      </c>
      <c r="AP151" s="7">
        <v>0</v>
      </c>
      <c r="AQ151" s="7">
        <v>3808.183</v>
      </c>
      <c r="AR151" s="7">
        <v>0</v>
      </c>
      <c r="AS151" s="7">
        <v>10.929</v>
      </c>
      <c r="AT151" s="7">
        <v>0</v>
      </c>
      <c r="AU151" s="7">
        <v>70.706000000000003</v>
      </c>
      <c r="AV151" s="7">
        <v>0</v>
      </c>
      <c r="AW151" s="7">
        <v>0</v>
      </c>
      <c r="AX151" s="7">
        <v>0</v>
      </c>
      <c r="AY151" s="7">
        <v>4.5469999999999997</v>
      </c>
      <c r="AZ151" s="7">
        <v>88.650999999999996</v>
      </c>
      <c r="BA151" s="7">
        <v>0</v>
      </c>
      <c r="BB151" s="7">
        <v>199.26900000000001</v>
      </c>
      <c r="BC151" s="7">
        <v>0</v>
      </c>
      <c r="BD151" s="7">
        <v>110.589</v>
      </c>
      <c r="BE151" s="7">
        <v>49.930999999999997</v>
      </c>
      <c r="BF151" s="7">
        <v>49.930999999999997</v>
      </c>
      <c r="BG151" s="7">
        <v>35.518999999999998</v>
      </c>
      <c r="BH151" s="7">
        <v>-23519.062000000002</v>
      </c>
      <c r="BI151" s="7">
        <v>0</v>
      </c>
      <c r="BJ151" s="21"/>
    </row>
    <row r="152" spans="1:62" ht="15.6" x14ac:dyDescent="0.3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-3.7999999999999999E-2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291</v>
      </c>
      <c r="B154" s="5" t="s">
        <v>292</v>
      </c>
      <c r="C154" s="7">
        <v>6</v>
      </c>
      <c r="D154" s="7">
        <v>6</v>
      </c>
      <c r="E154" s="7">
        <v>1420.7850000000001</v>
      </c>
      <c r="F154" s="7">
        <v>1117.127</v>
      </c>
      <c r="G154" s="7">
        <v>923.67100000000005</v>
      </c>
      <c r="H154" s="7">
        <v>3.7999999999999999E-2</v>
      </c>
      <c r="I154" s="7">
        <v>82.09</v>
      </c>
      <c r="J154" s="7">
        <v>859.55399999999997</v>
      </c>
      <c r="K154" s="7">
        <v>0</v>
      </c>
      <c r="L154" s="7">
        <v>3149.79</v>
      </c>
      <c r="M154" s="7">
        <v>1257.836</v>
      </c>
      <c r="N154" s="7">
        <v>0</v>
      </c>
      <c r="O154" s="7">
        <v>0</v>
      </c>
      <c r="P154" s="7">
        <v>2E-3</v>
      </c>
      <c r="Q154" s="7">
        <v>890.88699999999994</v>
      </c>
      <c r="R154" s="7">
        <v>1480.3240000000001</v>
      </c>
      <c r="S154" s="7">
        <v>455.11900000000003</v>
      </c>
      <c r="T154" s="7">
        <v>0</v>
      </c>
      <c r="U154" s="7">
        <v>0</v>
      </c>
      <c r="V154" s="7">
        <v>172.626</v>
      </c>
      <c r="W154" s="7">
        <v>18.923999999999999</v>
      </c>
      <c r="X154" s="7">
        <v>0</v>
      </c>
      <c r="Y154" s="7">
        <v>527.99199999999996</v>
      </c>
      <c r="Z154" s="7">
        <v>32537.591</v>
      </c>
      <c r="AA154" s="7">
        <v>2423.654</v>
      </c>
      <c r="AB154" s="7">
        <v>0</v>
      </c>
      <c r="AC154" s="7">
        <v>282.149</v>
      </c>
      <c r="AD154" s="7">
        <v>7259.59</v>
      </c>
      <c r="AE154" s="7">
        <v>2657.5129999999999</v>
      </c>
      <c r="AF154" s="7">
        <v>15.215</v>
      </c>
      <c r="AG154" s="7">
        <v>24596.634999999998</v>
      </c>
      <c r="AH154" s="7">
        <v>5241.7619999999997</v>
      </c>
      <c r="AI154" s="7">
        <v>1.0999999999999999E-2</v>
      </c>
      <c r="AJ154" s="7">
        <v>165403.84</v>
      </c>
      <c r="AK154" s="7">
        <v>0</v>
      </c>
      <c r="AL154" s="7">
        <v>0</v>
      </c>
      <c r="AM154" s="7">
        <v>0</v>
      </c>
      <c r="AN154" s="7">
        <v>0</v>
      </c>
      <c r="AO154" s="7">
        <v>338.50099999999998</v>
      </c>
      <c r="AP154" s="7">
        <v>0</v>
      </c>
      <c r="AQ154" s="7">
        <v>2.2410000000000001</v>
      </c>
      <c r="AR154" s="7">
        <v>0</v>
      </c>
      <c r="AS154" s="7">
        <v>1.5249999999999999</v>
      </c>
      <c r="AT154" s="7">
        <v>0</v>
      </c>
      <c r="AU154" s="7">
        <v>0.158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116.389</v>
      </c>
      <c r="BC154" s="7">
        <v>0</v>
      </c>
      <c r="BD154" s="7">
        <v>0</v>
      </c>
      <c r="BE154" s="7">
        <v>26.55</v>
      </c>
      <c r="BF154" s="7">
        <v>26.55</v>
      </c>
      <c r="BG154" s="7">
        <v>0</v>
      </c>
      <c r="BH154" s="7">
        <v>109627.523</v>
      </c>
      <c r="BI154" s="7">
        <v>0</v>
      </c>
      <c r="BJ154" s="21"/>
    </row>
    <row r="155" spans="1:62" ht="15.6" x14ac:dyDescent="0.3">
      <c r="A155" s="5" t="s">
        <v>293</v>
      </c>
      <c r="B155" s="5" t="s">
        <v>294</v>
      </c>
      <c r="C155" s="7">
        <v>4</v>
      </c>
      <c r="D155" s="7">
        <v>4</v>
      </c>
      <c r="E155" s="7">
        <v>3735.5230000000001</v>
      </c>
      <c r="F155" s="7">
        <v>721.35599999999999</v>
      </c>
      <c r="G155" s="7">
        <v>0</v>
      </c>
      <c r="H155" s="7">
        <v>0</v>
      </c>
      <c r="I155" s="7">
        <v>26.3</v>
      </c>
      <c r="J155" s="7">
        <v>0</v>
      </c>
      <c r="K155" s="7">
        <v>0</v>
      </c>
      <c r="L155" s="7">
        <v>8606.9320000000007</v>
      </c>
      <c r="M155" s="7">
        <v>577.48199999999997</v>
      </c>
      <c r="N155" s="7">
        <v>0</v>
      </c>
      <c r="O155" s="7">
        <v>0</v>
      </c>
      <c r="P155" s="7">
        <v>0.13400000000000001</v>
      </c>
      <c r="Q155" s="7">
        <v>0</v>
      </c>
      <c r="R155" s="7">
        <v>0</v>
      </c>
      <c r="S155" s="7">
        <v>234.578</v>
      </c>
      <c r="T155" s="7">
        <v>0</v>
      </c>
      <c r="U155" s="7">
        <v>0</v>
      </c>
      <c r="V155" s="7">
        <v>0</v>
      </c>
      <c r="W155" s="7">
        <v>79.531999999999996</v>
      </c>
      <c r="X155" s="7">
        <v>0</v>
      </c>
      <c r="Y155" s="7">
        <v>1636.0550000000001</v>
      </c>
      <c r="Z155" s="7">
        <v>0</v>
      </c>
      <c r="AA155" s="7">
        <v>0</v>
      </c>
      <c r="AB155" s="7">
        <v>0</v>
      </c>
      <c r="AC155" s="7">
        <v>142.33699999999999</v>
      </c>
      <c r="AD155" s="7">
        <v>0</v>
      </c>
      <c r="AE155" s="7">
        <v>4047.3180000000002</v>
      </c>
      <c r="AF155" s="7">
        <v>2278.502</v>
      </c>
      <c r="AG155" s="7">
        <v>0</v>
      </c>
      <c r="AH155" s="7">
        <v>14886.531000000001</v>
      </c>
      <c r="AI155" s="7">
        <v>4026.5129999999999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108.187</v>
      </c>
      <c r="AP155" s="7">
        <v>0</v>
      </c>
      <c r="AQ155" s="7">
        <v>800.40099999999995</v>
      </c>
      <c r="AR155" s="7">
        <v>0</v>
      </c>
      <c r="AS155" s="7">
        <v>2.2610000000000001</v>
      </c>
      <c r="AT155" s="7">
        <v>0</v>
      </c>
      <c r="AU155" s="7">
        <v>15.866</v>
      </c>
      <c r="AV155" s="7">
        <v>0</v>
      </c>
      <c r="AW155" s="7">
        <v>0</v>
      </c>
      <c r="AX155" s="7">
        <v>0</v>
      </c>
      <c r="AY155" s="7">
        <v>40.433</v>
      </c>
      <c r="AZ155" s="7">
        <v>788.30600000000004</v>
      </c>
      <c r="BA155" s="7">
        <v>0</v>
      </c>
      <c r="BB155" s="7">
        <v>39.539000000000001</v>
      </c>
      <c r="BC155" s="7">
        <v>0</v>
      </c>
      <c r="BD155" s="7">
        <v>983.38800000000003</v>
      </c>
      <c r="BE155" s="7">
        <v>8.9139999999999997</v>
      </c>
      <c r="BF155" s="7">
        <v>8.9139999999999997</v>
      </c>
      <c r="BG155" s="7">
        <v>315.839</v>
      </c>
      <c r="BH155" s="7">
        <v>0</v>
      </c>
      <c r="BI155" s="7">
        <v>0</v>
      </c>
      <c r="BJ155" s="21"/>
    </row>
    <row r="156" spans="1:62" ht="15.6" x14ac:dyDescent="0.3">
      <c r="A156" s="5" t="s">
        <v>295</v>
      </c>
      <c r="B156" s="5" t="s">
        <v>296</v>
      </c>
      <c r="C156" s="7">
        <v>4</v>
      </c>
      <c r="D156" s="7">
        <v>4</v>
      </c>
      <c r="E156" s="7">
        <v>16.332999999999998</v>
      </c>
      <c r="F156" s="7">
        <v>3.7559999999999998</v>
      </c>
      <c r="G156" s="7">
        <v>0</v>
      </c>
      <c r="H156" s="7">
        <v>0</v>
      </c>
      <c r="I156" s="7">
        <v>7.9000000000000001E-2</v>
      </c>
      <c r="J156" s="7">
        <v>0</v>
      </c>
      <c r="K156" s="7">
        <v>0</v>
      </c>
      <c r="L156" s="7">
        <v>42.707999999999998</v>
      </c>
      <c r="M156" s="7">
        <v>1.522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1.175</v>
      </c>
      <c r="T156" s="7">
        <v>0</v>
      </c>
      <c r="U156" s="7">
        <v>0</v>
      </c>
      <c r="V156" s="7">
        <v>0</v>
      </c>
      <c r="W156" s="7">
        <v>0.34699999999999998</v>
      </c>
      <c r="X156" s="7">
        <v>0</v>
      </c>
      <c r="Y156" s="7">
        <v>8.3989999999999991</v>
      </c>
      <c r="Z156" s="7">
        <v>0</v>
      </c>
      <c r="AA156" s="7">
        <v>0</v>
      </c>
      <c r="AB156" s="7">
        <v>0</v>
      </c>
      <c r="AC156" s="7">
        <v>0.69899999999999995</v>
      </c>
      <c r="AD156" s="7">
        <v>0</v>
      </c>
      <c r="AE156" s="7">
        <v>20.97</v>
      </c>
      <c r="AF156" s="7">
        <v>12.316000000000001</v>
      </c>
      <c r="AG156" s="7">
        <v>0</v>
      </c>
      <c r="AH156" s="7">
        <v>71.843999999999994</v>
      </c>
      <c r="AI156" s="7">
        <v>19.157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0.64300000000000002</v>
      </c>
      <c r="AP156" s="7">
        <v>0</v>
      </c>
      <c r="AQ156" s="7">
        <v>4.3220000000000001</v>
      </c>
      <c r="AR156" s="7">
        <v>0</v>
      </c>
      <c r="AS156" s="7">
        <v>1.2E-2</v>
      </c>
      <c r="AT156" s="7">
        <v>0</v>
      </c>
      <c r="AU156" s="7">
        <v>7.9000000000000001E-2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0.22600000000000001</v>
      </c>
      <c r="BC156" s="7">
        <v>0</v>
      </c>
      <c r="BD156" s="7">
        <v>0</v>
      </c>
      <c r="BE156" s="7">
        <v>5.7000000000000002E-2</v>
      </c>
      <c r="BF156" s="7">
        <v>5.7000000000000002E-2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299</v>
      </c>
      <c r="B158" s="5" t="s">
        <v>300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301</v>
      </c>
      <c r="B159" s="5" t="s">
        <v>302</v>
      </c>
      <c r="C159" s="7">
        <v>4</v>
      </c>
      <c r="D159" s="7">
        <v>4</v>
      </c>
      <c r="E159" s="7">
        <v>-1.4999999999999999E-2</v>
      </c>
      <c r="F159" s="7">
        <v>-3.0000000000000001E-3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-3.4000000000000002E-2</v>
      </c>
      <c r="M159" s="7">
        <v>-2E-3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-1E-3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-7.0000000000000001E-3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-1.6E-2</v>
      </c>
      <c r="AF159" s="7">
        <v>-8.9999999999999993E-3</v>
      </c>
      <c r="AG159" s="7">
        <v>0</v>
      </c>
      <c r="AH159" s="7">
        <v>-0.06</v>
      </c>
      <c r="AI159" s="7">
        <v>-1.6E-2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-3.0000000000000001E-3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-3.0000000000000001E-3</v>
      </c>
      <c r="BA159" s="7">
        <v>0</v>
      </c>
      <c r="BB159" s="7">
        <v>0</v>
      </c>
      <c r="BC159" s="7">
        <v>0</v>
      </c>
      <c r="BD159" s="7">
        <v>-4.0000000000000001E-3</v>
      </c>
      <c r="BE159" s="7">
        <v>0</v>
      </c>
      <c r="BF159" s="7">
        <v>0</v>
      </c>
      <c r="BG159" s="7">
        <v>-1E-3</v>
      </c>
      <c r="BH159" s="7">
        <v>0</v>
      </c>
      <c r="BI159" s="7">
        <v>0</v>
      </c>
      <c r="BJ159" s="21"/>
    </row>
    <row r="160" spans="1:62" ht="15.6" x14ac:dyDescent="0.3">
      <c r="A160" s="5" t="s">
        <v>303</v>
      </c>
      <c r="B160" s="5" t="s">
        <v>304</v>
      </c>
      <c r="C160" s="7">
        <v>4</v>
      </c>
      <c r="D160" s="7">
        <v>4</v>
      </c>
      <c r="E160" s="7">
        <v>-594.65300000000002</v>
      </c>
      <c r="F160" s="7">
        <v>-136.73099999999999</v>
      </c>
      <c r="G160" s="7">
        <v>0</v>
      </c>
      <c r="H160" s="7">
        <v>0</v>
      </c>
      <c r="I160" s="7">
        <v>-2.8610000000000002</v>
      </c>
      <c r="J160" s="7">
        <v>0</v>
      </c>
      <c r="K160" s="7">
        <v>0</v>
      </c>
      <c r="L160" s="7">
        <v>-1554.914</v>
      </c>
      <c r="M160" s="7">
        <v>-55.415999999999997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-42.768000000000001</v>
      </c>
      <c r="T160" s="7">
        <v>0</v>
      </c>
      <c r="U160" s="7">
        <v>0</v>
      </c>
      <c r="V160" s="7">
        <v>0</v>
      </c>
      <c r="W160" s="7">
        <v>-12.63</v>
      </c>
      <c r="X160" s="7">
        <v>0</v>
      </c>
      <c r="Y160" s="7">
        <v>-305.80599999999998</v>
      </c>
      <c r="Z160" s="7">
        <v>0</v>
      </c>
      <c r="AA160" s="7">
        <v>0</v>
      </c>
      <c r="AB160" s="7">
        <v>0</v>
      </c>
      <c r="AC160" s="7">
        <v>-25.454999999999998</v>
      </c>
      <c r="AD160" s="7">
        <v>0</v>
      </c>
      <c r="AE160" s="7">
        <v>-763.45600000000002</v>
      </c>
      <c r="AF160" s="7">
        <v>-448.39299999999997</v>
      </c>
      <c r="AG160" s="7">
        <v>0</v>
      </c>
      <c r="AH160" s="7">
        <v>-2615.694</v>
      </c>
      <c r="AI160" s="7">
        <v>-697.47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-23.423999999999999</v>
      </c>
      <c r="AP160" s="7">
        <v>0</v>
      </c>
      <c r="AQ160" s="7">
        <v>-157.357</v>
      </c>
      <c r="AR160" s="7">
        <v>0</v>
      </c>
      <c r="AS160" s="7">
        <v>-0.45200000000000001</v>
      </c>
      <c r="AT160" s="7">
        <v>0</v>
      </c>
      <c r="AU160" s="7">
        <v>-2.9159999999999999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-8.2449999999999992</v>
      </c>
      <c r="BC160" s="7">
        <v>0</v>
      </c>
      <c r="BD160" s="7">
        <v>0</v>
      </c>
      <c r="BE160" s="7">
        <v>-2.0710000000000002</v>
      </c>
      <c r="BF160" s="7">
        <v>-2.0710000000000002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2985.444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312</v>
      </c>
      <c r="B165" s="5" t="s">
        <v>313</v>
      </c>
      <c r="C165" s="7">
        <v>6</v>
      </c>
      <c r="D165" s="7">
        <v>6</v>
      </c>
      <c r="E165" s="7">
        <v>5.1429999999999998</v>
      </c>
      <c r="F165" s="7">
        <v>1.028</v>
      </c>
      <c r="G165" s="7">
        <v>1.002</v>
      </c>
      <c r="H165" s="7">
        <v>0</v>
      </c>
      <c r="I165" s="7">
        <v>0.20100000000000001</v>
      </c>
      <c r="J165" s="7">
        <v>0.79</v>
      </c>
      <c r="K165" s="7">
        <v>0</v>
      </c>
      <c r="L165" s="7">
        <v>4.12</v>
      </c>
      <c r="M165" s="7">
        <v>3.4580000000000002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0.29499999999999998</v>
      </c>
      <c r="T165" s="7">
        <v>0</v>
      </c>
      <c r="U165" s="7">
        <v>0</v>
      </c>
      <c r="V165" s="7">
        <v>0.123</v>
      </c>
      <c r="W165" s="7">
        <v>0.28799999999999998</v>
      </c>
      <c r="X165" s="7">
        <v>0</v>
      </c>
      <c r="Y165" s="7">
        <v>1.466</v>
      </c>
      <c r="Z165" s="7">
        <v>0</v>
      </c>
      <c r="AA165" s="7">
        <v>1.01</v>
      </c>
      <c r="AB165" s="7">
        <v>0</v>
      </c>
      <c r="AC165" s="7">
        <v>0.16</v>
      </c>
      <c r="AD165" s="7">
        <v>0</v>
      </c>
      <c r="AE165" s="7">
        <v>3.3919999999999999</v>
      </c>
      <c r="AF165" s="7">
        <v>0</v>
      </c>
      <c r="AG165" s="7">
        <v>0</v>
      </c>
      <c r="AH165" s="7">
        <v>11.855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6.2E-2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2.3E-2</v>
      </c>
      <c r="BC165" s="7">
        <v>0</v>
      </c>
      <c r="BD165" s="7">
        <v>0</v>
      </c>
      <c r="BE165" s="7">
        <v>0.01</v>
      </c>
      <c r="BF165" s="7">
        <v>0.01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299</v>
      </c>
      <c r="B167" s="5" t="s">
        <v>315</v>
      </c>
      <c r="C167" s="7">
        <v>6</v>
      </c>
      <c r="D167" s="7">
        <v>6</v>
      </c>
      <c r="E167" s="7">
        <v>1334.442</v>
      </c>
      <c r="F167" s="7">
        <v>120.19499999999999</v>
      </c>
      <c r="G167" s="7">
        <v>169.333</v>
      </c>
      <c r="H167" s="7">
        <v>0</v>
      </c>
      <c r="I167" s="7">
        <v>29.777999999999999</v>
      </c>
      <c r="J167" s="7">
        <v>103.32599999999999</v>
      </c>
      <c r="K167" s="7">
        <v>0</v>
      </c>
      <c r="L167" s="7">
        <v>963.99300000000005</v>
      </c>
      <c r="M167" s="7">
        <v>461.14299999999997</v>
      </c>
      <c r="N167" s="7">
        <v>0</v>
      </c>
      <c r="O167" s="7">
        <v>0</v>
      </c>
      <c r="P167" s="7">
        <v>5.4290000000000003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16.059999999999999</v>
      </c>
      <c r="W167" s="7">
        <v>48.195999999999998</v>
      </c>
      <c r="X167" s="7">
        <v>0</v>
      </c>
      <c r="Y167" s="7">
        <v>378.55900000000003</v>
      </c>
      <c r="Z167" s="7">
        <v>0</v>
      </c>
      <c r="AA167" s="7">
        <v>133.381</v>
      </c>
      <c r="AB167" s="7">
        <v>0</v>
      </c>
      <c r="AC167" s="7">
        <v>20.779</v>
      </c>
      <c r="AD167" s="7">
        <v>0</v>
      </c>
      <c r="AE167" s="7">
        <v>1220.6500000000001</v>
      </c>
      <c r="AF167" s="7">
        <v>0</v>
      </c>
      <c r="AG167" s="7">
        <v>0</v>
      </c>
      <c r="AH167" s="7">
        <v>2797.1019999999999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319</v>
      </c>
      <c r="B170" s="5" t="s">
        <v>320</v>
      </c>
      <c r="C170" s="7">
        <v>6</v>
      </c>
      <c r="D170" s="7">
        <v>6</v>
      </c>
      <c r="E170" s="7">
        <v>-52.012999999999998</v>
      </c>
      <c r="F170" s="7">
        <v>-11.198</v>
      </c>
      <c r="G170" s="7">
        <v>-4.9329999999999998</v>
      </c>
      <c r="H170" s="7">
        <v>0</v>
      </c>
      <c r="I170" s="7">
        <v>-1.119</v>
      </c>
      <c r="J170" s="7">
        <v>-3.8860000000000001</v>
      </c>
      <c r="K170" s="7">
        <v>0</v>
      </c>
      <c r="L170" s="7">
        <v>-90.105999999999995</v>
      </c>
      <c r="M170" s="7">
        <v>-19.506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-3.3740000000000001</v>
      </c>
      <c r="T170" s="7">
        <v>0</v>
      </c>
      <c r="U170" s="7">
        <v>0</v>
      </c>
      <c r="V170" s="7">
        <v>-0.60399999999999998</v>
      </c>
      <c r="W170" s="7">
        <v>-1.9830000000000001</v>
      </c>
      <c r="X170" s="7">
        <v>0</v>
      </c>
      <c r="Y170" s="7">
        <v>-20.946999999999999</v>
      </c>
      <c r="Z170" s="7">
        <v>0</v>
      </c>
      <c r="AA170" s="7">
        <v>-4.9710000000000001</v>
      </c>
      <c r="AB170" s="7">
        <v>0</v>
      </c>
      <c r="AC170" s="7">
        <v>-1.9319999999999999</v>
      </c>
      <c r="AD170" s="7">
        <v>0</v>
      </c>
      <c r="AE170" s="7">
        <v>-50.978000000000002</v>
      </c>
      <c r="AF170" s="7">
        <v>-20.138000000000002</v>
      </c>
      <c r="AG170" s="7">
        <v>0</v>
      </c>
      <c r="AH170" s="7">
        <v>-175.81100000000001</v>
      </c>
      <c r="AI170" s="7">
        <v>-31.324000000000002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-1.3560000000000001</v>
      </c>
      <c r="AP170" s="7">
        <v>0</v>
      </c>
      <c r="AQ170" s="7">
        <v>-7.0670000000000002</v>
      </c>
      <c r="AR170" s="7">
        <v>0</v>
      </c>
      <c r="AS170" s="7">
        <v>-2.1999999999999999E-2</v>
      </c>
      <c r="AT170" s="7">
        <v>0</v>
      </c>
      <c r="AU170" s="7">
        <v>-0.13100000000000001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-0.48499999999999999</v>
      </c>
      <c r="BC170" s="7">
        <v>0</v>
      </c>
      <c r="BD170" s="7">
        <v>0</v>
      </c>
      <c r="BE170" s="7">
        <v>-0.14000000000000001</v>
      </c>
      <c r="BF170" s="7">
        <v>-0.14000000000000001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323</v>
      </c>
      <c r="B173" s="5" t="s">
        <v>324</v>
      </c>
      <c r="C173" s="7">
        <v>4</v>
      </c>
      <c r="D173" s="7">
        <v>4</v>
      </c>
      <c r="E173" s="7">
        <v>7546.3549999999996</v>
      </c>
      <c r="F173" s="7">
        <v>904.24199999999996</v>
      </c>
      <c r="G173" s="7">
        <v>0</v>
      </c>
      <c r="H173" s="7">
        <v>0</v>
      </c>
      <c r="I173" s="7">
        <v>32.024000000000001</v>
      </c>
      <c r="J173" s="7">
        <v>0</v>
      </c>
      <c r="K173" s="7">
        <v>0</v>
      </c>
      <c r="L173" s="7">
        <v>17510.252</v>
      </c>
      <c r="M173" s="7">
        <v>2288.4679999999998</v>
      </c>
      <c r="N173" s="7">
        <v>0</v>
      </c>
      <c r="O173" s="7">
        <v>0</v>
      </c>
      <c r="P173" s="7">
        <v>0.14899999999999999</v>
      </c>
      <c r="Q173" s="7">
        <v>0</v>
      </c>
      <c r="R173" s="7">
        <v>0</v>
      </c>
      <c r="S173" s="7">
        <v>292.56200000000001</v>
      </c>
      <c r="T173" s="7">
        <v>0</v>
      </c>
      <c r="U173" s="7">
        <v>0</v>
      </c>
      <c r="V173" s="7">
        <v>0</v>
      </c>
      <c r="W173" s="7">
        <v>98.078000000000003</v>
      </c>
      <c r="X173" s="7">
        <v>0</v>
      </c>
      <c r="Y173" s="7">
        <v>2509.989</v>
      </c>
      <c r="Z173" s="7">
        <v>0</v>
      </c>
      <c r="AA173" s="7">
        <v>0</v>
      </c>
      <c r="AB173" s="7">
        <v>0</v>
      </c>
      <c r="AC173" s="7">
        <v>176.78399999999999</v>
      </c>
      <c r="AD173" s="7">
        <v>0</v>
      </c>
      <c r="AE173" s="7">
        <v>5002.9309999999996</v>
      </c>
      <c r="AF173" s="7">
        <v>2853.3820000000001</v>
      </c>
      <c r="AG173" s="7">
        <v>0</v>
      </c>
      <c r="AH173" s="7">
        <v>25417.746999999999</v>
      </c>
      <c r="AI173" s="7">
        <v>4981.223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135.626</v>
      </c>
      <c r="AP173" s="7">
        <v>0</v>
      </c>
      <c r="AQ173" s="7">
        <v>996.50699999999995</v>
      </c>
      <c r="AR173" s="7">
        <v>0</v>
      </c>
      <c r="AS173" s="7">
        <v>2.8109999999999999</v>
      </c>
      <c r="AT173" s="7">
        <v>0</v>
      </c>
      <c r="AU173" s="7">
        <v>19.565000000000001</v>
      </c>
      <c r="AV173" s="7">
        <v>0</v>
      </c>
      <c r="AW173" s="7">
        <v>0</v>
      </c>
      <c r="AX173" s="7">
        <v>0</v>
      </c>
      <c r="AY173" s="7">
        <v>45.195999999999998</v>
      </c>
      <c r="AZ173" s="7">
        <v>881.20899999999995</v>
      </c>
      <c r="BA173" s="7">
        <v>0</v>
      </c>
      <c r="BB173" s="7">
        <v>49.366</v>
      </c>
      <c r="BC173" s="7">
        <v>0</v>
      </c>
      <c r="BD173" s="7">
        <v>1099.2829999999999</v>
      </c>
      <c r="BE173" s="7">
        <v>11.26</v>
      </c>
      <c r="BF173" s="7">
        <v>11.26</v>
      </c>
      <c r="BG173" s="7">
        <v>353.06700000000001</v>
      </c>
      <c r="BH173" s="7">
        <v>0</v>
      </c>
      <c r="BI173" s="7">
        <v>0</v>
      </c>
      <c r="BJ173" s="21"/>
    </row>
    <row r="174" spans="1:62" ht="15.6" x14ac:dyDescent="0.3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2.4E-2</v>
      </c>
      <c r="G177" s="7">
        <v>0</v>
      </c>
      <c r="H177" s="7">
        <v>0</v>
      </c>
      <c r="I177" s="7">
        <v>2E-3</v>
      </c>
      <c r="J177" s="7">
        <v>0</v>
      </c>
      <c r="K177" s="7">
        <v>0</v>
      </c>
      <c r="L177" s="7">
        <v>3.0000000000000001E-3</v>
      </c>
      <c r="M177" s="7">
        <v>3.5000000000000003E-2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7.0000000000000001E-3</v>
      </c>
      <c r="T177" s="7">
        <v>0</v>
      </c>
      <c r="U177" s="7">
        <v>0</v>
      </c>
      <c r="V177" s="7">
        <v>0</v>
      </c>
      <c r="W177" s="7">
        <v>2E-3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3.0000000000000001E-3</v>
      </c>
      <c r="AD177" s="7">
        <v>0</v>
      </c>
      <c r="AE177" s="7">
        <v>0</v>
      </c>
      <c r="AF177" s="7">
        <v>0.05</v>
      </c>
      <c r="AG177" s="7">
        <v>0</v>
      </c>
      <c r="AH177" s="7">
        <v>0.8</v>
      </c>
      <c r="AI177" s="7">
        <v>8.4000000000000005E-2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6.0000000000000001E-3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333</v>
      </c>
      <c r="B178" s="5" t="s">
        <v>334</v>
      </c>
      <c r="C178" s="7">
        <v>4</v>
      </c>
      <c r="D178" s="7">
        <v>4</v>
      </c>
      <c r="E178" s="7">
        <v>-7650.2049999999999</v>
      </c>
      <c r="F178" s="7">
        <v>-669.54399999999998</v>
      </c>
      <c r="G178" s="7">
        <v>0</v>
      </c>
      <c r="H178" s="7">
        <v>0</v>
      </c>
      <c r="I178" s="7">
        <v>-22.071999999999999</v>
      </c>
      <c r="J178" s="7">
        <v>0</v>
      </c>
      <c r="K178" s="7">
        <v>0</v>
      </c>
      <c r="L178" s="7">
        <v>-17867.116999999998</v>
      </c>
      <c r="M178" s="7">
        <v>-2796.6689999999999</v>
      </c>
      <c r="N178" s="7">
        <v>0</v>
      </c>
      <c r="O178" s="7">
        <v>0</v>
      </c>
      <c r="P178" s="7">
        <v>-0.09</v>
      </c>
      <c r="Q178" s="7">
        <v>0</v>
      </c>
      <c r="R178" s="7">
        <v>0</v>
      </c>
      <c r="S178" s="7">
        <v>-215.267</v>
      </c>
      <c r="T178" s="7">
        <v>0</v>
      </c>
      <c r="U178" s="7">
        <v>0</v>
      </c>
      <c r="V178" s="7">
        <v>0</v>
      </c>
      <c r="W178" s="7">
        <v>-70.694999999999993</v>
      </c>
      <c r="X178" s="7">
        <v>0</v>
      </c>
      <c r="Y178" s="7">
        <v>-2205.1579999999999</v>
      </c>
      <c r="Z178" s="7">
        <v>0</v>
      </c>
      <c r="AA178" s="7">
        <v>0</v>
      </c>
      <c r="AB178" s="7">
        <v>0</v>
      </c>
      <c r="AC178" s="7">
        <v>-129.655</v>
      </c>
      <c r="AD178" s="7">
        <v>0</v>
      </c>
      <c r="AE178" s="7">
        <v>-3696.596</v>
      </c>
      <c r="AF178" s="7">
        <v>-2124.7930000000001</v>
      </c>
      <c r="AG178" s="7">
        <v>0</v>
      </c>
      <c r="AH178" s="7">
        <v>-23510.274000000001</v>
      </c>
      <c r="AI178" s="7">
        <v>-3634.9580000000001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-102.581</v>
      </c>
      <c r="AP178" s="7">
        <v>0</v>
      </c>
      <c r="AQ178" s="7">
        <v>-741.54499999999996</v>
      </c>
      <c r="AR178" s="7">
        <v>0</v>
      </c>
      <c r="AS178" s="7">
        <v>-2.097</v>
      </c>
      <c r="AT178" s="7">
        <v>0</v>
      </c>
      <c r="AU178" s="7">
        <v>-14.391</v>
      </c>
      <c r="AV178" s="7">
        <v>0</v>
      </c>
      <c r="AW178" s="7">
        <v>0</v>
      </c>
      <c r="AX178" s="7">
        <v>0</v>
      </c>
      <c r="AY178" s="7">
        <v>-27.402999999999999</v>
      </c>
      <c r="AZ178" s="7">
        <v>-534.28499999999997</v>
      </c>
      <c r="BA178" s="7">
        <v>0</v>
      </c>
      <c r="BB178" s="7">
        <v>-37.094999999999999</v>
      </c>
      <c r="BC178" s="7">
        <v>0</v>
      </c>
      <c r="BD178" s="7">
        <v>-666.505</v>
      </c>
      <c r="BE178" s="7">
        <v>-8.6270000000000007</v>
      </c>
      <c r="BF178" s="7">
        <v>-8.6270000000000007</v>
      </c>
      <c r="BG178" s="7">
        <v>-214.06700000000001</v>
      </c>
      <c r="BH178" s="7">
        <v>0</v>
      </c>
      <c r="BI178" s="7">
        <v>0</v>
      </c>
      <c r="BJ178" s="21"/>
    </row>
    <row r="179" spans="1:62" ht="15.6" x14ac:dyDescent="0.3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341</v>
      </c>
      <c r="B182" s="5" t="s">
        <v>342</v>
      </c>
      <c r="C182" s="7">
        <v>4</v>
      </c>
      <c r="D182" s="7">
        <v>4</v>
      </c>
      <c r="E182" s="7">
        <v>-349.61</v>
      </c>
      <c r="F182" s="7">
        <v>-25.315999999999999</v>
      </c>
      <c r="G182" s="7">
        <v>-64.466999999999999</v>
      </c>
      <c r="H182" s="7">
        <v>0</v>
      </c>
      <c r="I182" s="7">
        <v>-8.8219999999999992</v>
      </c>
      <c r="J182" s="7">
        <v>-43.930999999999997</v>
      </c>
      <c r="K182" s="7">
        <v>0</v>
      </c>
      <c r="L182" s="7">
        <v>-92.885000000000005</v>
      </c>
      <c r="M182" s="7">
        <v>-105.02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-7.8220000000000001</v>
      </c>
      <c r="T182" s="7">
        <v>0</v>
      </c>
      <c r="U182" s="7">
        <v>0</v>
      </c>
      <c r="V182" s="7">
        <v>-5.1470000000000002</v>
      </c>
      <c r="W182" s="7">
        <v>-8.8179999999999996</v>
      </c>
      <c r="X182" s="7">
        <v>0</v>
      </c>
      <c r="Y182" s="7">
        <v>-59.328000000000003</v>
      </c>
      <c r="Z182" s="7">
        <v>0</v>
      </c>
      <c r="AA182" s="7">
        <v>-99.795000000000002</v>
      </c>
      <c r="AB182" s="7">
        <v>0</v>
      </c>
      <c r="AC182" s="7">
        <v>-3.589</v>
      </c>
      <c r="AD182" s="7">
        <v>-1.9430000000000001</v>
      </c>
      <c r="AE182" s="7">
        <v>-144.91900000000001</v>
      </c>
      <c r="AF182" s="7">
        <v>-1.7999999999999999E-2</v>
      </c>
      <c r="AG182" s="7">
        <v>-6.798</v>
      </c>
      <c r="AH182" s="7">
        <v>-366.77</v>
      </c>
      <c r="AI182" s="7">
        <v>-0.03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-3.4729999999999999</v>
      </c>
      <c r="AP182" s="7">
        <v>0</v>
      </c>
      <c r="AQ182" s="7">
        <v>-2E-3</v>
      </c>
      <c r="AR182" s="7">
        <v>0</v>
      </c>
      <c r="AS182" s="7">
        <v>-0.222</v>
      </c>
      <c r="AT182" s="7">
        <v>0</v>
      </c>
      <c r="AU182" s="7">
        <v>-4.42</v>
      </c>
      <c r="AV182" s="7">
        <v>0</v>
      </c>
      <c r="AW182" s="7">
        <v>0</v>
      </c>
      <c r="AX182" s="7">
        <v>0</v>
      </c>
      <c r="AY182" s="7">
        <v>-2.363</v>
      </c>
      <c r="AZ182" s="7">
        <v>0</v>
      </c>
      <c r="BA182" s="7">
        <v>0</v>
      </c>
      <c r="BB182" s="7">
        <v>-1.333</v>
      </c>
      <c r="BC182" s="7">
        <v>-1.4650000000000001</v>
      </c>
      <c r="BD182" s="7">
        <v>0</v>
      </c>
      <c r="BE182" s="7">
        <v>-0.26700000000000002</v>
      </c>
      <c r="BF182" s="7">
        <v>-0.26700000000000002</v>
      </c>
      <c r="BG182" s="7">
        <v>0</v>
      </c>
      <c r="BH182" s="7">
        <v>0</v>
      </c>
      <c r="BI182" s="7">
        <v>-0.57299999999999995</v>
      </c>
      <c r="BJ182" s="21"/>
    </row>
    <row r="183" spans="1:62" ht="15.6" x14ac:dyDescent="0.3">
      <c r="A183" s="5" t="s">
        <v>323</v>
      </c>
      <c r="B183" s="5" t="s">
        <v>343</v>
      </c>
      <c r="C183" s="7">
        <v>6</v>
      </c>
      <c r="D183" s="7">
        <v>6</v>
      </c>
      <c r="E183" s="7">
        <v>5.59</v>
      </c>
      <c r="F183" s="7">
        <v>1.079</v>
      </c>
      <c r="G183" s="7">
        <v>0</v>
      </c>
      <c r="H183" s="7">
        <v>0</v>
      </c>
      <c r="I183" s="7">
        <v>3.9E-2</v>
      </c>
      <c r="J183" s="7">
        <v>0</v>
      </c>
      <c r="K183" s="7">
        <v>0</v>
      </c>
      <c r="L183" s="7">
        <v>12.88</v>
      </c>
      <c r="M183" s="7">
        <v>0.86399999999999999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0.35099999999999998</v>
      </c>
      <c r="T183" s="7">
        <v>0</v>
      </c>
      <c r="U183" s="7">
        <v>0</v>
      </c>
      <c r="V183" s="7">
        <v>0</v>
      </c>
      <c r="W183" s="7">
        <v>0.11899999999999999</v>
      </c>
      <c r="X183" s="7">
        <v>0</v>
      </c>
      <c r="Y183" s="7">
        <v>2.448</v>
      </c>
      <c r="Z183" s="7">
        <v>0</v>
      </c>
      <c r="AA183" s="7">
        <v>0</v>
      </c>
      <c r="AB183" s="7">
        <v>0</v>
      </c>
      <c r="AC183" s="7">
        <v>0.21299999999999999</v>
      </c>
      <c r="AD183" s="7">
        <v>0</v>
      </c>
      <c r="AE183" s="7">
        <v>6.0570000000000004</v>
      </c>
      <c r="AF183" s="7">
        <v>3.41</v>
      </c>
      <c r="AG183" s="7">
        <v>0</v>
      </c>
      <c r="AH183" s="7">
        <v>22.277000000000001</v>
      </c>
      <c r="AI183" s="7">
        <v>6.0259999999999998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0.16200000000000001</v>
      </c>
      <c r="AP183" s="7">
        <v>0</v>
      </c>
      <c r="AQ183" s="7">
        <v>1.198</v>
      </c>
      <c r="AR183" s="7">
        <v>0</v>
      </c>
      <c r="AS183" s="7">
        <v>3.0000000000000001E-3</v>
      </c>
      <c r="AT183" s="7">
        <v>0</v>
      </c>
      <c r="AU183" s="7">
        <v>2.4E-2</v>
      </c>
      <c r="AV183" s="7">
        <v>0</v>
      </c>
      <c r="AW183" s="7">
        <v>0</v>
      </c>
      <c r="AX183" s="7">
        <v>0</v>
      </c>
      <c r="AY183" s="7">
        <v>0.06</v>
      </c>
      <c r="AZ183" s="7">
        <v>1.18</v>
      </c>
      <c r="BA183" s="7">
        <v>0</v>
      </c>
      <c r="BB183" s="7">
        <v>5.8999999999999997E-2</v>
      </c>
      <c r="BC183" s="7">
        <v>0</v>
      </c>
      <c r="BD183" s="7">
        <v>1.472</v>
      </c>
      <c r="BE183" s="7">
        <v>1.2999999999999999E-2</v>
      </c>
      <c r="BF183" s="7">
        <v>1.2999999999999999E-2</v>
      </c>
      <c r="BG183" s="7">
        <v>0.47299999999999998</v>
      </c>
      <c r="BH183" s="7">
        <v>0</v>
      </c>
      <c r="BI183" s="7">
        <v>0</v>
      </c>
      <c r="BJ183" s="21"/>
    </row>
    <row r="184" spans="1:62" ht="15.6" x14ac:dyDescent="0.3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357</v>
      </c>
      <c r="B195" s="5" t="s">
        <v>358</v>
      </c>
      <c r="C195" s="7">
        <v>6</v>
      </c>
      <c r="D195" s="7">
        <v>6</v>
      </c>
      <c r="E195" s="7">
        <v>31.071999999999999</v>
      </c>
      <c r="F195" s="7">
        <v>2.7730000000000001</v>
      </c>
      <c r="G195" s="7">
        <v>8.24</v>
      </c>
      <c r="H195" s="7">
        <v>0</v>
      </c>
      <c r="I195" s="7">
        <v>0.70899999999999996</v>
      </c>
      <c r="J195" s="7">
        <v>6.1109999999999998</v>
      </c>
      <c r="K195" s="7">
        <v>0</v>
      </c>
      <c r="L195" s="7">
        <v>11.016999999999999</v>
      </c>
      <c r="M195" s="7">
        <v>18.997</v>
      </c>
      <c r="N195" s="7">
        <v>0</v>
      </c>
      <c r="O195" s="7">
        <v>0</v>
      </c>
      <c r="P195" s="7">
        <v>1E-3</v>
      </c>
      <c r="Q195" s="7">
        <v>0</v>
      </c>
      <c r="R195" s="7">
        <v>0</v>
      </c>
      <c r="S195" s="7">
        <v>1.0289999999999999</v>
      </c>
      <c r="T195" s="7">
        <v>0</v>
      </c>
      <c r="U195" s="7">
        <v>0</v>
      </c>
      <c r="V195" s="7">
        <v>0.76</v>
      </c>
      <c r="W195" s="7">
        <v>1.9019999999999999</v>
      </c>
      <c r="X195" s="7">
        <v>0</v>
      </c>
      <c r="Y195" s="7">
        <v>4.8390000000000004</v>
      </c>
      <c r="Z195" s="7">
        <v>0</v>
      </c>
      <c r="AA195" s="7">
        <v>9.1820000000000004</v>
      </c>
      <c r="AB195" s="7">
        <v>0</v>
      </c>
      <c r="AC195" s="7">
        <v>0.56000000000000005</v>
      </c>
      <c r="AD195" s="7">
        <v>0</v>
      </c>
      <c r="AE195" s="7">
        <v>13.808999999999999</v>
      </c>
      <c r="AF195" s="7">
        <v>0</v>
      </c>
      <c r="AG195" s="7">
        <v>0</v>
      </c>
      <c r="AH195" s="7">
        <v>38.31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0.47699999999999998</v>
      </c>
      <c r="AP195" s="7">
        <v>0</v>
      </c>
      <c r="AQ195" s="7">
        <v>0</v>
      </c>
      <c r="AR195" s="7">
        <v>0</v>
      </c>
      <c r="AS195" s="7">
        <v>4.0000000000000001E-3</v>
      </c>
      <c r="AT195" s="7">
        <v>0</v>
      </c>
      <c r="AU195" s="7">
        <v>0.22600000000000001</v>
      </c>
      <c r="AV195" s="7">
        <v>0</v>
      </c>
      <c r="AW195" s="7">
        <v>0</v>
      </c>
      <c r="AX195" s="7">
        <v>0</v>
      </c>
      <c r="AY195" s="7">
        <v>0.35099999999999998</v>
      </c>
      <c r="AZ195" s="7">
        <v>0</v>
      </c>
      <c r="BA195" s="7">
        <v>0</v>
      </c>
      <c r="BB195" s="7">
        <v>0.18</v>
      </c>
      <c r="BC195" s="7">
        <v>0.28999999999999998</v>
      </c>
      <c r="BD195" s="7">
        <v>0</v>
      </c>
      <c r="BE195" s="7">
        <v>4.3999999999999997E-2</v>
      </c>
      <c r="BF195" s="7">
        <v>4.3999999999999997E-2</v>
      </c>
      <c r="BG195" s="7">
        <v>0</v>
      </c>
      <c r="BH195" s="7">
        <v>0</v>
      </c>
      <c r="BI195" s="7">
        <v>0.11799999999999999</v>
      </c>
      <c r="BJ195" s="21"/>
    </row>
    <row r="196" spans="1:62" ht="15.6" x14ac:dyDescent="0.3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33.302</v>
      </c>
      <c r="R196" s="7">
        <v>99.081999999999994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361</v>
      </c>
      <c r="B197" s="5" t="s">
        <v>362</v>
      </c>
      <c r="C197" s="7">
        <v>6</v>
      </c>
      <c r="D197" s="7">
        <v>6</v>
      </c>
      <c r="E197" s="7">
        <v>146.17699999999999</v>
      </c>
      <c r="F197" s="7">
        <v>0</v>
      </c>
      <c r="G197" s="7">
        <v>35.594000000000001</v>
      </c>
      <c r="H197" s="7">
        <v>0</v>
      </c>
      <c r="I197" s="7">
        <v>0</v>
      </c>
      <c r="J197" s="7">
        <v>61.912999999999997</v>
      </c>
      <c r="K197" s="7">
        <v>0</v>
      </c>
      <c r="L197" s="7">
        <v>525.76599999999996</v>
      </c>
      <c r="M197" s="7">
        <v>76.236999999999995</v>
      </c>
      <c r="N197" s="7">
        <v>0</v>
      </c>
      <c r="O197" s="7">
        <v>0</v>
      </c>
      <c r="P197" s="7">
        <v>0</v>
      </c>
      <c r="Q197" s="7">
        <v>26.771000000000001</v>
      </c>
      <c r="R197" s="7">
        <v>79.650000000000006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450.70600000000002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353</v>
      </c>
      <c r="B215" s="5" t="s">
        <v>397</v>
      </c>
      <c r="C215" s="7">
        <v>6</v>
      </c>
      <c r="D215" s="7">
        <v>6</v>
      </c>
      <c r="E215" s="7">
        <v>1280.4369999999999</v>
      </c>
      <c r="F215" s="7">
        <v>113.529</v>
      </c>
      <c r="G215" s="7">
        <v>170.26900000000001</v>
      </c>
      <c r="H215" s="7">
        <v>0.83299999999999996</v>
      </c>
      <c r="I215" s="7">
        <v>28.126000000000001</v>
      </c>
      <c r="J215" s="7">
        <v>100.511</v>
      </c>
      <c r="K215" s="7">
        <v>0</v>
      </c>
      <c r="L215" s="7">
        <v>933.39700000000005</v>
      </c>
      <c r="M215" s="7">
        <v>453.35199999999998</v>
      </c>
      <c r="N215" s="7">
        <v>0</v>
      </c>
      <c r="O215" s="7">
        <v>0</v>
      </c>
      <c r="P215" s="7">
        <v>5.1280000000000001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15.169</v>
      </c>
      <c r="W215" s="7">
        <v>45.523000000000003</v>
      </c>
      <c r="X215" s="7">
        <v>0</v>
      </c>
      <c r="Y215" s="7">
        <v>357.56700000000001</v>
      </c>
      <c r="Z215" s="7">
        <v>0</v>
      </c>
      <c r="AA215" s="7">
        <v>125.985</v>
      </c>
      <c r="AB215" s="7">
        <v>0</v>
      </c>
      <c r="AC215" s="7">
        <v>19.626999999999999</v>
      </c>
      <c r="AD215" s="7">
        <v>0</v>
      </c>
      <c r="AE215" s="7">
        <v>1152.962</v>
      </c>
      <c r="AF215" s="7">
        <v>0</v>
      </c>
      <c r="AG215" s="7">
        <v>0</v>
      </c>
      <c r="AH215" s="7">
        <v>2670.741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-1E-3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367</v>
      </c>
      <c r="B222" s="5" t="s">
        <v>404</v>
      </c>
      <c r="C222" s="7">
        <v>6</v>
      </c>
      <c r="D222" s="7">
        <v>6</v>
      </c>
      <c r="E222" s="7">
        <v>64468.148000000001</v>
      </c>
      <c r="F222" s="7">
        <v>12449.2</v>
      </c>
      <c r="G222" s="7">
        <v>0</v>
      </c>
      <c r="H222" s="7">
        <v>0</v>
      </c>
      <c r="I222" s="7">
        <v>453.96199999999999</v>
      </c>
      <c r="J222" s="7">
        <v>0</v>
      </c>
      <c r="K222" s="7">
        <v>0</v>
      </c>
      <c r="L222" s="7">
        <v>148539.595</v>
      </c>
      <c r="M222" s="7">
        <v>9966.2369999999992</v>
      </c>
      <c r="N222" s="7">
        <v>0</v>
      </c>
      <c r="O222" s="7">
        <v>0</v>
      </c>
      <c r="P222" s="7">
        <v>2.2930000000000001</v>
      </c>
      <c r="Q222" s="7">
        <v>0</v>
      </c>
      <c r="R222" s="7">
        <v>0</v>
      </c>
      <c r="S222" s="7">
        <v>4048.2959999999998</v>
      </c>
      <c r="T222" s="7">
        <v>0</v>
      </c>
      <c r="U222" s="7">
        <v>0</v>
      </c>
      <c r="V222" s="7">
        <v>0</v>
      </c>
      <c r="W222" s="7">
        <v>1372.5809999999999</v>
      </c>
      <c r="X222" s="7">
        <v>0</v>
      </c>
      <c r="Y222" s="7">
        <v>28235.342000000001</v>
      </c>
      <c r="Z222" s="7">
        <v>0</v>
      </c>
      <c r="AA222" s="7">
        <v>0</v>
      </c>
      <c r="AB222" s="7">
        <v>0</v>
      </c>
      <c r="AC222" s="7">
        <v>2456.502</v>
      </c>
      <c r="AD222" s="7">
        <v>0</v>
      </c>
      <c r="AE222" s="7">
        <v>69849.13</v>
      </c>
      <c r="AF222" s="7">
        <v>39322.663999999997</v>
      </c>
      <c r="AG222" s="7">
        <v>0</v>
      </c>
      <c r="AH222" s="7">
        <v>256913.609</v>
      </c>
      <c r="AI222" s="7">
        <v>69490.035999999993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1867.193</v>
      </c>
      <c r="AP222" s="7">
        <v>0</v>
      </c>
      <c r="AQ222" s="7">
        <v>13813.453</v>
      </c>
      <c r="AR222" s="7">
        <v>0</v>
      </c>
      <c r="AS222" s="7">
        <v>39.030999999999999</v>
      </c>
      <c r="AT222" s="7">
        <v>0</v>
      </c>
      <c r="AU222" s="7">
        <v>273.85000000000002</v>
      </c>
      <c r="AV222" s="7">
        <v>0</v>
      </c>
      <c r="AW222" s="7">
        <v>0</v>
      </c>
      <c r="AX222" s="7">
        <v>0</v>
      </c>
      <c r="AY222" s="7">
        <v>697.77</v>
      </c>
      <c r="AZ222" s="7">
        <v>13604.623</v>
      </c>
      <c r="BA222" s="7">
        <v>0</v>
      </c>
      <c r="BB222" s="7">
        <v>682.36199999999997</v>
      </c>
      <c r="BC222" s="7">
        <v>0</v>
      </c>
      <c r="BD222" s="7">
        <v>16971.392</v>
      </c>
      <c r="BE222" s="7">
        <v>153.809</v>
      </c>
      <c r="BF222" s="7">
        <v>153.809</v>
      </c>
      <c r="BG222" s="7">
        <v>5450.8580000000002</v>
      </c>
      <c r="BH222" s="7">
        <v>0</v>
      </c>
      <c r="BI222" s="7">
        <v>0</v>
      </c>
      <c r="BJ222" s="21"/>
    </row>
    <row r="223" spans="1:62" ht="15.6" x14ac:dyDescent="0.3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168.011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3336.5059999999999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4679.7139999999999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478.09699999999998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375.12299999999999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6.0000000000000001E-3</v>
      </c>
      <c r="J259" s="7">
        <v>0</v>
      </c>
      <c r="K259" s="7">
        <v>0</v>
      </c>
      <c r="L259" s="7">
        <v>3.5999999999999997E-2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4.2000000000000003E-2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459</v>
      </c>
      <c r="B279" s="5" t="s">
        <v>483</v>
      </c>
      <c r="C279" s="7">
        <v>6</v>
      </c>
      <c r="D279" s="7">
        <v>6</v>
      </c>
      <c r="E279" s="7">
        <v>3482.6210000000001</v>
      </c>
      <c r="F279" s="7">
        <v>2427.6689999999999</v>
      </c>
      <c r="G279" s="7">
        <v>169.79499999999999</v>
      </c>
      <c r="H279" s="7">
        <v>0.111</v>
      </c>
      <c r="I279" s="7">
        <v>214.83699999999999</v>
      </c>
      <c r="J279" s="7">
        <v>1803.202</v>
      </c>
      <c r="K279" s="7">
        <v>0</v>
      </c>
      <c r="L279" s="7">
        <v>5203.3909999999996</v>
      </c>
      <c r="M279" s="7">
        <v>1958.5730000000001</v>
      </c>
      <c r="N279" s="7">
        <v>0</v>
      </c>
      <c r="O279" s="7">
        <v>0</v>
      </c>
      <c r="P279" s="7">
        <v>7.0000000000000001E-3</v>
      </c>
      <c r="Q279" s="7">
        <v>0</v>
      </c>
      <c r="R279" s="7">
        <v>0</v>
      </c>
      <c r="S279" s="7">
        <v>972.91</v>
      </c>
      <c r="T279" s="7">
        <v>0</v>
      </c>
      <c r="U279" s="7">
        <v>0</v>
      </c>
      <c r="V279" s="7">
        <v>316.346</v>
      </c>
      <c r="W279" s="7">
        <v>3.2109999999999999</v>
      </c>
      <c r="X279" s="7">
        <v>0</v>
      </c>
      <c r="Y279" s="7">
        <v>141.209</v>
      </c>
      <c r="Z279" s="7">
        <v>0</v>
      </c>
      <c r="AA279" s="7">
        <v>5577.415</v>
      </c>
      <c r="AB279" s="7">
        <v>0</v>
      </c>
      <c r="AC279" s="7">
        <v>404.31599999999997</v>
      </c>
      <c r="AD279" s="7">
        <v>0</v>
      </c>
      <c r="AE279" s="7">
        <v>1244.5150000000001</v>
      </c>
      <c r="AF279" s="7">
        <v>44.503</v>
      </c>
      <c r="AG279" s="7">
        <v>0</v>
      </c>
      <c r="AH279" s="7">
        <v>8445.8819999999996</v>
      </c>
      <c r="AI279" s="7">
        <v>3.3000000000000002E-2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678.12800000000004</v>
      </c>
      <c r="AP279" s="7">
        <v>0</v>
      </c>
      <c r="AQ279" s="7">
        <v>6.556</v>
      </c>
      <c r="AR279" s="7">
        <v>0</v>
      </c>
      <c r="AS279" s="7">
        <v>3.3919999999999999</v>
      </c>
      <c r="AT279" s="7">
        <v>0</v>
      </c>
      <c r="AU279" s="7">
        <v>0.46200000000000002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231.69399999999999</v>
      </c>
      <c r="BC279" s="7">
        <v>0</v>
      </c>
      <c r="BD279" s="7">
        <v>0</v>
      </c>
      <c r="BE279" s="7">
        <v>53.015999999999998</v>
      </c>
      <c r="BF279" s="7">
        <v>53.015999999999998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485</v>
      </c>
      <c r="B281" s="5" t="s">
        <v>486</v>
      </c>
      <c r="C281" s="7">
        <v>5</v>
      </c>
      <c r="D281" s="7">
        <v>5</v>
      </c>
      <c r="E281" s="7">
        <v>146841.93599999999</v>
      </c>
      <c r="F281" s="7">
        <v>0</v>
      </c>
      <c r="G281" s="7">
        <v>12627.338</v>
      </c>
      <c r="H281" s="7">
        <v>81.302000000000007</v>
      </c>
      <c r="I281" s="7">
        <v>0</v>
      </c>
      <c r="J281" s="7">
        <v>31942.037</v>
      </c>
      <c r="K281" s="7">
        <v>16608.347000000002</v>
      </c>
      <c r="L281" s="7">
        <v>111199.848</v>
      </c>
      <c r="M281" s="7">
        <v>178831.13200000001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3051.7510000000002</v>
      </c>
      <c r="V281" s="7">
        <v>5354.7120000000004</v>
      </c>
      <c r="W281" s="7">
        <v>9474.7430000000004</v>
      </c>
      <c r="X281" s="7">
        <v>0</v>
      </c>
      <c r="Y281" s="7">
        <v>26471.037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75924.562000000005</v>
      </c>
      <c r="AF281" s="7">
        <v>8648.2360000000008</v>
      </c>
      <c r="AG281" s="7">
        <v>9981.8850000000002</v>
      </c>
      <c r="AH281" s="7">
        <v>493925.30699999997</v>
      </c>
      <c r="AI281" s="7">
        <v>97519.201000000001</v>
      </c>
      <c r="AJ281" s="7">
        <v>14.358000000000001</v>
      </c>
      <c r="AK281" s="7">
        <v>414.38900000000001</v>
      </c>
      <c r="AL281" s="7">
        <v>114.73099999999999</v>
      </c>
      <c r="AM281" s="7">
        <v>700.92</v>
      </c>
      <c r="AN281" s="7">
        <v>115.32</v>
      </c>
      <c r="AO281" s="7">
        <v>0</v>
      </c>
      <c r="AP281" s="7">
        <v>0</v>
      </c>
      <c r="AQ281" s="7">
        <v>9324.973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489</v>
      </c>
      <c r="B283" s="5" t="s">
        <v>490</v>
      </c>
      <c r="C283" s="7">
        <v>5</v>
      </c>
      <c r="D283" s="7">
        <v>5</v>
      </c>
      <c r="E283" s="7">
        <v>15046.638000000001</v>
      </c>
      <c r="F283" s="7">
        <v>1355.2670000000001</v>
      </c>
      <c r="G283" s="7">
        <v>1909.327</v>
      </c>
      <c r="H283" s="7">
        <v>0</v>
      </c>
      <c r="I283" s="7">
        <v>335.75900000000001</v>
      </c>
      <c r="J283" s="7">
        <v>1165.0619999999999</v>
      </c>
      <c r="K283" s="7">
        <v>0</v>
      </c>
      <c r="L283" s="7">
        <v>10869.602999999999</v>
      </c>
      <c r="M283" s="7">
        <v>5199.6660000000002</v>
      </c>
      <c r="N283" s="7">
        <v>0</v>
      </c>
      <c r="O283" s="7">
        <v>0</v>
      </c>
      <c r="P283" s="7">
        <v>61.212000000000003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181.08600000000001</v>
      </c>
      <c r="W283" s="7">
        <v>543.44000000000005</v>
      </c>
      <c r="X283" s="7">
        <v>0</v>
      </c>
      <c r="Y283" s="7">
        <v>4268.4849999999997</v>
      </c>
      <c r="Z283" s="7">
        <v>0</v>
      </c>
      <c r="AA283" s="7">
        <v>1503.951</v>
      </c>
      <c r="AB283" s="7">
        <v>0</v>
      </c>
      <c r="AC283" s="7">
        <v>234.3</v>
      </c>
      <c r="AD283" s="7">
        <v>0</v>
      </c>
      <c r="AE283" s="7">
        <v>13763.572</v>
      </c>
      <c r="AF283" s="7">
        <v>0</v>
      </c>
      <c r="AG283" s="7">
        <v>0</v>
      </c>
      <c r="AH283" s="7">
        <v>31539.024000000001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497</v>
      </c>
      <c r="B287" s="5" t="s">
        <v>498</v>
      </c>
      <c r="C287" s="7">
        <v>5</v>
      </c>
      <c r="D287" s="7">
        <v>5</v>
      </c>
      <c r="E287" s="7">
        <v>80778.009000000005</v>
      </c>
      <c r="F287" s="7">
        <v>7589.6490000000003</v>
      </c>
      <c r="G287" s="7">
        <v>11672.34</v>
      </c>
      <c r="H287" s="7">
        <v>0</v>
      </c>
      <c r="I287" s="7">
        <v>1936.7629999999999</v>
      </c>
      <c r="J287" s="7">
        <v>6744.174</v>
      </c>
      <c r="K287" s="7">
        <v>0</v>
      </c>
      <c r="L287" s="7">
        <v>69884.028000000006</v>
      </c>
      <c r="M287" s="7">
        <v>31642.569</v>
      </c>
      <c r="N287" s="7">
        <v>0</v>
      </c>
      <c r="O287" s="7">
        <v>0</v>
      </c>
      <c r="P287" s="7">
        <v>377.02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876.09100000000001</v>
      </c>
      <c r="W287" s="7">
        <v>2629.15</v>
      </c>
      <c r="X287" s="7">
        <v>0</v>
      </c>
      <c r="Y287" s="7">
        <v>21264.897000000001</v>
      </c>
      <c r="Z287" s="7">
        <v>0</v>
      </c>
      <c r="AA287" s="7">
        <v>7276.08</v>
      </c>
      <c r="AB287" s="7">
        <v>0</v>
      </c>
      <c r="AC287" s="7">
        <v>1133.537</v>
      </c>
      <c r="AD287" s="7">
        <v>0</v>
      </c>
      <c r="AE287" s="7">
        <v>69033.328999999998</v>
      </c>
      <c r="AF287" s="7">
        <v>0</v>
      </c>
      <c r="AG287" s="7">
        <v>0</v>
      </c>
      <c r="AH287" s="7">
        <v>181958.68900000001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499</v>
      </c>
      <c r="B288" s="5" t="s">
        <v>500</v>
      </c>
      <c r="C288" s="7">
        <v>5</v>
      </c>
      <c r="D288" s="7">
        <v>5</v>
      </c>
      <c r="E288" s="7">
        <v>187263.63099999999</v>
      </c>
      <c r="F288" s="7">
        <v>17888.422999999999</v>
      </c>
      <c r="G288" s="7">
        <v>27106.191999999999</v>
      </c>
      <c r="H288" s="7">
        <v>9348.4509999999991</v>
      </c>
      <c r="I288" s="7">
        <v>4772.1009999999997</v>
      </c>
      <c r="J288" s="7">
        <v>15978.907999999999</v>
      </c>
      <c r="K288" s="7">
        <v>0</v>
      </c>
      <c r="L288" s="7">
        <v>141526.08799999999</v>
      </c>
      <c r="M288" s="7">
        <v>72656.468999999997</v>
      </c>
      <c r="N288" s="7">
        <v>0</v>
      </c>
      <c r="O288" s="7">
        <v>0</v>
      </c>
      <c r="P288" s="7">
        <v>870.07799999999997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2062.183</v>
      </c>
      <c r="W288" s="7">
        <v>6275.1170000000002</v>
      </c>
      <c r="X288" s="7">
        <v>0</v>
      </c>
      <c r="Y288" s="7">
        <v>48954.909</v>
      </c>
      <c r="Z288" s="7">
        <v>0</v>
      </c>
      <c r="AA288" s="7">
        <v>17401.195</v>
      </c>
      <c r="AB288" s="7">
        <v>0</v>
      </c>
      <c r="AC288" s="7">
        <v>2668.1729999999998</v>
      </c>
      <c r="AD288" s="7">
        <v>0</v>
      </c>
      <c r="AE288" s="7">
        <v>157756.24400000001</v>
      </c>
      <c r="AF288" s="7">
        <v>0</v>
      </c>
      <c r="AG288" s="7">
        <v>0</v>
      </c>
      <c r="AH288" s="7">
        <v>391292.32699999999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-2E-3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501</v>
      </c>
      <c r="B289" s="5" t="s">
        <v>502</v>
      </c>
      <c r="C289" s="7">
        <v>5</v>
      </c>
      <c r="D289" s="7">
        <v>5</v>
      </c>
      <c r="E289" s="7">
        <v>2107.7310000000002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6016.2039999999997</v>
      </c>
      <c r="M289" s="7">
        <v>289.65499999999997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2378.3150000000001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4880.4269999999997</v>
      </c>
      <c r="AF289" s="7">
        <v>0</v>
      </c>
      <c r="AG289" s="7">
        <v>0</v>
      </c>
      <c r="AH289" s="7">
        <v>12109.644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503</v>
      </c>
      <c r="B290" s="5" t="s">
        <v>504</v>
      </c>
      <c r="C290" s="7">
        <v>5</v>
      </c>
      <c r="D290" s="7">
        <v>5</v>
      </c>
      <c r="E290" s="7">
        <v>32131.23</v>
      </c>
      <c r="F290" s="7">
        <v>2620.3589999999999</v>
      </c>
      <c r="G290" s="7">
        <v>3691.6129999999998</v>
      </c>
      <c r="H290" s="7">
        <v>0</v>
      </c>
      <c r="I290" s="7">
        <v>649.178</v>
      </c>
      <c r="J290" s="7">
        <v>2252.6030000000001</v>
      </c>
      <c r="K290" s="7">
        <v>0</v>
      </c>
      <c r="L290" s="7">
        <v>27243.748</v>
      </c>
      <c r="M290" s="7">
        <v>11149.166999999999</v>
      </c>
      <c r="N290" s="7">
        <v>0</v>
      </c>
      <c r="O290" s="7">
        <v>0</v>
      </c>
      <c r="P290" s="7">
        <v>118.352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350.12299999999999</v>
      </c>
      <c r="W290" s="7">
        <v>1050.72</v>
      </c>
      <c r="X290" s="7">
        <v>0</v>
      </c>
      <c r="Y290" s="7">
        <v>10424.32</v>
      </c>
      <c r="Z290" s="7">
        <v>0</v>
      </c>
      <c r="AA290" s="7">
        <v>2907.8319999999999</v>
      </c>
      <c r="AB290" s="7">
        <v>0</v>
      </c>
      <c r="AC290" s="7">
        <v>453.01</v>
      </c>
      <c r="AD290" s="7">
        <v>0</v>
      </c>
      <c r="AE290" s="7">
        <v>30946.351999999999</v>
      </c>
      <c r="AF290" s="7">
        <v>0</v>
      </c>
      <c r="AG290" s="7">
        <v>0</v>
      </c>
      <c r="AH290" s="7">
        <v>71074.676999999996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505</v>
      </c>
      <c r="B291" s="5" t="s">
        <v>506</v>
      </c>
      <c r="C291" s="7">
        <v>5</v>
      </c>
      <c r="D291" s="7">
        <v>5</v>
      </c>
      <c r="E291" s="7">
        <v>54381.894999999997</v>
      </c>
      <c r="F291" s="7">
        <v>820.96400000000006</v>
      </c>
      <c r="G291" s="7">
        <v>1156.5899999999999</v>
      </c>
      <c r="H291" s="7">
        <v>8847.6460000000006</v>
      </c>
      <c r="I291" s="7">
        <v>203.38900000000001</v>
      </c>
      <c r="J291" s="7">
        <v>705.745</v>
      </c>
      <c r="K291" s="7">
        <v>0</v>
      </c>
      <c r="L291" s="7">
        <v>40971.275000000001</v>
      </c>
      <c r="M291" s="7">
        <v>8921.3889999999992</v>
      </c>
      <c r="N291" s="7">
        <v>0</v>
      </c>
      <c r="O291" s="7">
        <v>0</v>
      </c>
      <c r="P291" s="7">
        <v>37.08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109.694</v>
      </c>
      <c r="W291" s="7">
        <v>329.19299999999998</v>
      </c>
      <c r="X291" s="7">
        <v>0</v>
      </c>
      <c r="Y291" s="7">
        <v>16888.63</v>
      </c>
      <c r="Z291" s="7">
        <v>0</v>
      </c>
      <c r="AA291" s="7">
        <v>1517.942</v>
      </c>
      <c r="AB291" s="7">
        <v>0</v>
      </c>
      <c r="AC291" s="7">
        <v>141.929</v>
      </c>
      <c r="AD291" s="7">
        <v>0</v>
      </c>
      <c r="AE291" s="7">
        <v>43305.139000000003</v>
      </c>
      <c r="AF291" s="7">
        <v>0</v>
      </c>
      <c r="AG291" s="7">
        <v>0</v>
      </c>
      <c r="AH291" s="7">
        <v>108081.662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511</v>
      </c>
      <c r="B294" s="5" t="s">
        <v>512</v>
      </c>
      <c r="C294" s="7">
        <v>5</v>
      </c>
      <c r="D294" s="7">
        <v>5</v>
      </c>
      <c r="E294" s="7">
        <v>236735.08100000001</v>
      </c>
      <c r="F294" s="7">
        <v>16184.237999999999</v>
      </c>
      <c r="G294" s="7">
        <v>20127.645</v>
      </c>
      <c r="H294" s="7">
        <v>0</v>
      </c>
      <c r="I294" s="7">
        <v>3238.279</v>
      </c>
      <c r="J294" s="7">
        <v>12867.787</v>
      </c>
      <c r="K294" s="7">
        <v>0</v>
      </c>
      <c r="L294" s="7">
        <v>147211.47899999999</v>
      </c>
      <c r="M294" s="7">
        <v>56366.599000000002</v>
      </c>
      <c r="N294" s="7">
        <v>0</v>
      </c>
      <c r="O294" s="7">
        <v>0</v>
      </c>
      <c r="P294" s="7">
        <v>485.32100000000003</v>
      </c>
      <c r="Q294" s="7">
        <v>0</v>
      </c>
      <c r="R294" s="7">
        <v>39.53</v>
      </c>
      <c r="S294" s="7">
        <v>0</v>
      </c>
      <c r="T294" s="7">
        <v>0</v>
      </c>
      <c r="U294" s="7">
        <v>0</v>
      </c>
      <c r="V294" s="7">
        <v>2952.8449999999998</v>
      </c>
      <c r="W294" s="7">
        <v>8623.9130000000005</v>
      </c>
      <c r="X294" s="7">
        <v>0</v>
      </c>
      <c r="Y294" s="7">
        <v>69900.567999999999</v>
      </c>
      <c r="Z294" s="7">
        <v>0</v>
      </c>
      <c r="AA294" s="7">
        <v>27454.907999999999</v>
      </c>
      <c r="AB294" s="7">
        <v>0</v>
      </c>
      <c r="AC294" s="7">
        <v>4657.1459999999997</v>
      </c>
      <c r="AD294" s="7">
        <v>0</v>
      </c>
      <c r="AE294" s="7">
        <v>205687.53400000001</v>
      </c>
      <c r="AF294" s="7">
        <v>0</v>
      </c>
      <c r="AG294" s="7">
        <v>0</v>
      </c>
      <c r="AH294" s="7">
        <v>506929.88900000002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513</v>
      </c>
      <c r="B295" s="5" t="s">
        <v>514</v>
      </c>
      <c r="C295" s="7">
        <v>5</v>
      </c>
      <c r="D295" s="7">
        <v>5</v>
      </c>
      <c r="E295" s="7">
        <v>26478.371999999999</v>
      </c>
      <c r="F295" s="7">
        <v>1117.326</v>
      </c>
      <c r="G295" s="7">
        <v>1424.8320000000001</v>
      </c>
      <c r="H295" s="7">
        <v>0</v>
      </c>
      <c r="I295" s="7">
        <v>233.738</v>
      </c>
      <c r="J295" s="7">
        <v>902.15099999999995</v>
      </c>
      <c r="K295" s="7">
        <v>0</v>
      </c>
      <c r="L295" s="7">
        <v>29838.098999999998</v>
      </c>
      <c r="M295" s="7">
        <v>7612.3130000000001</v>
      </c>
      <c r="N295" s="7">
        <v>0</v>
      </c>
      <c r="O295" s="7">
        <v>0</v>
      </c>
      <c r="P295" s="7">
        <v>36.746000000000002</v>
      </c>
      <c r="Q295" s="7">
        <v>0</v>
      </c>
      <c r="R295" s="7">
        <v>2.2080000000000002</v>
      </c>
      <c r="S295" s="7">
        <v>0</v>
      </c>
      <c r="T295" s="7">
        <v>0</v>
      </c>
      <c r="U295" s="7">
        <v>0</v>
      </c>
      <c r="V295" s="7">
        <v>193.43199999999999</v>
      </c>
      <c r="W295" s="7">
        <v>567.22199999999998</v>
      </c>
      <c r="X295" s="7">
        <v>0</v>
      </c>
      <c r="Y295" s="7">
        <v>4654.3239999999996</v>
      </c>
      <c r="Z295" s="7">
        <v>0</v>
      </c>
      <c r="AA295" s="7">
        <v>1770.174</v>
      </c>
      <c r="AB295" s="7">
        <v>0</v>
      </c>
      <c r="AC295" s="7">
        <v>296.99400000000003</v>
      </c>
      <c r="AD295" s="7">
        <v>0</v>
      </c>
      <c r="AE295" s="7">
        <v>16425.526999999998</v>
      </c>
      <c r="AF295" s="7">
        <v>0</v>
      </c>
      <c r="AG295" s="7">
        <v>0</v>
      </c>
      <c r="AH295" s="7">
        <v>47144.324000000001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569</v>
      </c>
      <c r="B323" s="5" t="s">
        <v>570</v>
      </c>
      <c r="C323" s="7">
        <v>5</v>
      </c>
      <c r="D323" s="7">
        <v>5</v>
      </c>
      <c r="E323" s="7">
        <v>-58014.862000000001</v>
      </c>
      <c r="F323" s="7">
        <v>-13209.624</v>
      </c>
      <c r="G323" s="7">
        <v>-842.14800000000002</v>
      </c>
      <c r="H323" s="7">
        <v>0</v>
      </c>
      <c r="I323" s="7">
        <v>-427.35899999999998</v>
      </c>
      <c r="J323" s="7">
        <v>-663.39499999999998</v>
      </c>
      <c r="K323" s="7">
        <v>0</v>
      </c>
      <c r="L323" s="7">
        <v>-143862.88500000001</v>
      </c>
      <c r="M323" s="7">
        <v>-7908.9639999999999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-4109.9430000000002</v>
      </c>
      <c r="T323" s="7">
        <v>0</v>
      </c>
      <c r="U323" s="7">
        <v>0</v>
      </c>
      <c r="V323" s="7">
        <v>-103.172</v>
      </c>
      <c r="W323" s="7">
        <v>-1382.21</v>
      </c>
      <c r="X323" s="7">
        <v>0</v>
      </c>
      <c r="Y323" s="7">
        <v>-28844.344000000001</v>
      </c>
      <c r="Z323" s="7">
        <v>0</v>
      </c>
      <c r="AA323" s="7">
        <v>-848.56700000000001</v>
      </c>
      <c r="AB323" s="7">
        <v>0</v>
      </c>
      <c r="AC323" s="7">
        <v>-2433.1439999999998</v>
      </c>
      <c r="AD323" s="7">
        <v>0</v>
      </c>
      <c r="AE323" s="7">
        <v>-71786.092000000004</v>
      </c>
      <c r="AF323" s="7">
        <v>-40487.955000000002</v>
      </c>
      <c r="AG323" s="7">
        <v>0</v>
      </c>
      <c r="AH323" s="7">
        <v>-246144.86</v>
      </c>
      <c r="AI323" s="7">
        <v>-62978.557000000001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-2167.0140000000001</v>
      </c>
      <c r="AP323" s="7">
        <v>0</v>
      </c>
      <c r="AQ323" s="7">
        <v>-14208.636</v>
      </c>
      <c r="AR323" s="7">
        <v>0</v>
      </c>
      <c r="AS323" s="7">
        <v>-41.115000000000002</v>
      </c>
      <c r="AT323" s="7">
        <v>0</v>
      </c>
      <c r="AU323" s="7">
        <v>-263.375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-764.01400000000001</v>
      </c>
      <c r="BC323" s="7">
        <v>0</v>
      </c>
      <c r="BD323" s="7">
        <v>0</v>
      </c>
      <c r="BE323" s="7">
        <v>-194.96899999999999</v>
      </c>
      <c r="BF323" s="7">
        <v>-194.96899999999999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573</v>
      </c>
      <c r="B325" s="5" t="s">
        <v>574</v>
      </c>
      <c r="C325" s="7">
        <v>5</v>
      </c>
      <c r="D325" s="7">
        <v>5</v>
      </c>
      <c r="E325" s="7">
        <v>-5546.7820000000002</v>
      </c>
      <c r="F325" s="7">
        <v>-1275.393</v>
      </c>
      <c r="G325" s="7">
        <v>0</v>
      </c>
      <c r="H325" s="7">
        <v>0</v>
      </c>
      <c r="I325" s="7">
        <v>-26.684999999999999</v>
      </c>
      <c r="J325" s="7">
        <v>0</v>
      </c>
      <c r="K325" s="7">
        <v>0</v>
      </c>
      <c r="L325" s="7">
        <v>-14503.866</v>
      </c>
      <c r="M325" s="7">
        <v>-516.91200000000003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-398.93099999999998</v>
      </c>
      <c r="T325" s="7">
        <v>0</v>
      </c>
      <c r="U325" s="7">
        <v>0</v>
      </c>
      <c r="V325" s="7">
        <v>0</v>
      </c>
      <c r="W325" s="7">
        <v>-117.812</v>
      </c>
      <c r="X325" s="7">
        <v>0</v>
      </c>
      <c r="Y325" s="7">
        <v>-2852.4879999999998</v>
      </c>
      <c r="Z325" s="7">
        <v>0</v>
      </c>
      <c r="AA325" s="7">
        <v>0</v>
      </c>
      <c r="AB325" s="7">
        <v>0</v>
      </c>
      <c r="AC325" s="7">
        <v>-237.441</v>
      </c>
      <c r="AD325" s="7">
        <v>0</v>
      </c>
      <c r="AE325" s="7">
        <v>-7121.335</v>
      </c>
      <c r="AF325" s="7">
        <v>-4182.5020000000004</v>
      </c>
      <c r="AG325" s="7">
        <v>0</v>
      </c>
      <c r="AH325" s="7">
        <v>-24398.574000000001</v>
      </c>
      <c r="AI325" s="7">
        <v>-6505.835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-218.495</v>
      </c>
      <c r="AP325" s="7">
        <v>0</v>
      </c>
      <c r="AQ325" s="7">
        <v>-1467.7860000000001</v>
      </c>
      <c r="AR325" s="7">
        <v>0</v>
      </c>
      <c r="AS325" s="7">
        <v>-4.2140000000000004</v>
      </c>
      <c r="AT325" s="7">
        <v>0</v>
      </c>
      <c r="AU325" s="7">
        <v>-27.207000000000001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-76.908000000000001</v>
      </c>
      <c r="BC325" s="7">
        <v>0</v>
      </c>
      <c r="BD325" s="7">
        <v>0</v>
      </c>
      <c r="BE325" s="7">
        <v>-19.315000000000001</v>
      </c>
      <c r="BF325" s="7">
        <v>-19.315000000000001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575</v>
      </c>
      <c r="B326" s="5" t="s">
        <v>576</v>
      </c>
      <c r="C326" s="7">
        <v>6</v>
      </c>
      <c r="D326" s="7">
        <v>6</v>
      </c>
      <c r="E326" s="7">
        <v>64.596000000000004</v>
      </c>
      <c r="F326" s="7">
        <v>0</v>
      </c>
      <c r="G326" s="7">
        <v>0</v>
      </c>
      <c r="H326" s="7">
        <v>0</v>
      </c>
      <c r="I326" s="7">
        <v>91.108999999999995</v>
      </c>
      <c r="J326" s="7">
        <v>0</v>
      </c>
      <c r="K326" s="7">
        <v>0</v>
      </c>
      <c r="L326" s="7">
        <v>14686.08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21"/>
    </row>
    <row r="336" spans="1:62" ht="15.6" x14ac:dyDescent="0.3">
      <c r="A336" s="5" t="s">
        <v>595</v>
      </c>
      <c r="B336" s="5" t="s">
        <v>596</v>
      </c>
      <c r="C336" s="7">
        <v>6</v>
      </c>
      <c r="D336" s="7">
        <v>6</v>
      </c>
      <c r="E336" s="7">
        <v>35148.682999999997</v>
      </c>
      <c r="F336" s="7">
        <v>5272.4650000000001</v>
      </c>
      <c r="G336" s="7">
        <v>2597.71</v>
      </c>
      <c r="H336" s="7">
        <v>2143.038</v>
      </c>
      <c r="I336" s="7">
        <v>395.29300000000001</v>
      </c>
      <c r="J336" s="7">
        <v>1615.365</v>
      </c>
      <c r="K336" s="7">
        <v>9494.0669999999991</v>
      </c>
      <c r="L336" s="7">
        <v>47903.794999999998</v>
      </c>
      <c r="M336" s="7">
        <v>8270.8320000000003</v>
      </c>
      <c r="N336" s="7">
        <v>0</v>
      </c>
      <c r="O336" s="7">
        <v>0.125</v>
      </c>
      <c r="P336" s="7">
        <v>20.745000000000001</v>
      </c>
      <c r="Q336" s="7">
        <v>10.959</v>
      </c>
      <c r="R336" s="7">
        <v>43.401000000000003</v>
      </c>
      <c r="S336" s="7">
        <v>1413.607</v>
      </c>
      <c r="T336" s="7">
        <v>0</v>
      </c>
      <c r="U336" s="7">
        <v>7541.1819999999998</v>
      </c>
      <c r="V336" s="7">
        <v>374.09100000000001</v>
      </c>
      <c r="W336" s="7">
        <v>1069.7619999999999</v>
      </c>
      <c r="X336" s="7">
        <v>49.539000000000001</v>
      </c>
      <c r="Y336" s="7">
        <v>12432.642</v>
      </c>
      <c r="Z336" s="7">
        <v>0</v>
      </c>
      <c r="AA336" s="7">
        <v>3814.319</v>
      </c>
      <c r="AB336" s="7">
        <v>7.4960000000000004</v>
      </c>
      <c r="AC336" s="7">
        <v>1013.398</v>
      </c>
      <c r="AD336" s="7">
        <v>0.33200000000000002</v>
      </c>
      <c r="AE336" s="7">
        <v>30205.469000000001</v>
      </c>
      <c r="AF336" s="7">
        <v>10345.870000000001</v>
      </c>
      <c r="AG336" s="7">
        <v>27.771000000000001</v>
      </c>
      <c r="AH336" s="7">
        <v>96997.212</v>
      </c>
      <c r="AI336" s="7">
        <v>15877.895</v>
      </c>
      <c r="AJ336" s="7">
        <v>3.0000000000000001E-3</v>
      </c>
      <c r="AK336" s="7">
        <v>4.7380000000000004</v>
      </c>
      <c r="AL336" s="7">
        <v>11.936</v>
      </c>
      <c r="AM336" s="7">
        <v>1606.7329999999999</v>
      </c>
      <c r="AN336" s="7">
        <v>10.444000000000001</v>
      </c>
      <c r="AO336" s="7">
        <v>654.51599999999996</v>
      </c>
      <c r="AP336" s="7">
        <v>13.254</v>
      </c>
      <c r="AQ336" s="7">
        <v>3560.6149999999998</v>
      </c>
      <c r="AR336" s="7">
        <v>5.2030000000000003</v>
      </c>
      <c r="AS336" s="7">
        <v>14.089</v>
      </c>
      <c r="AT336" s="7">
        <v>0</v>
      </c>
      <c r="AU336" s="7">
        <v>178.81</v>
      </c>
      <c r="AV336" s="7">
        <v>14.186999999999999</v>
      </c>
      <c r="AW336" s="7">
        <v>20.012</v>
      </c>
      <c r="AX336" s="7">
        <v>52.418999999999997</v>
      </c>
      <c r="AY336" s="7">
        <v>101.92</v>
      </c>
      <c r="AZ336" s="7">
        <v>125.846</v>
      </c>
      <c r="BA336" s="7">
        <v>39.051000000000002</v>
      </c>
      <c r="BB336" s="7">
        <v>231.58699999999999</v>
      </c>
      <c r="BC336" s="7">
        <v>72.906000000000006</v>
      </c>
      <c r="BD336" s="7">
        <v>156.989</v>
      </c>
      <c r="BE336" s="7">
        <v>57.131</v>
      </c>
      <c r="BF336" s="7">
        <v>57.131</v>
      </c>
      <c r="BG336" s="7">
        <v>50.421999999999997</v>
      </c>
      <c r="BH336" s="7">
        <v>0.32800000000000001</v>
      </c>
      <c r="BI336" s="7">
        <v>30.63</v>
      </c>
      <c r="BJ336" s="21"/>
    </row>
    <row r="337" spans="1:62" ht="15.6" x14ac:dyDescent="0.3">
      <c r="A337" s="5" t="s">
        <v>597</v>
      </c>
      <c r="B337" s="5" t="s">
        <v>598</v>
      </c>
      <c r="C337" s="7">
        <v>6</v>
      </c>
      <c r="D337" s="7">
        <v>6</v>
      </c>
      <c r="E337" s="7">
        <v>-12978.153</v>
      </c>
      <c r="F337" s="7">
        <v>-2046.115</v>
      </c>
      <c r="G337" s="7">
        <v>-1005.337</v>
      </c>
      <c r="H337" s="7">
        <v>-17191.939999999999</v>
      </c>
      <c r="I337" s="7">
        <v>-337.77699999999999</v>
      </c>
      <c r="J337" s="7">
        <v>-850.99400000000003</v>
      </c>
      <c r="K337" s="7">
        <v>0</v>
      </c>
      <c r="L337" s="7">
        <v>-20176.794999999998</v>
      </c>
      <c r="M337" s="7">
        <v>-4717.0540000000001</v>
      </c>
      <c r="N337" s="7">
        <v>-0.33300000000000002</v>
      </c>
      <c r="O337" s="7">
        <v>-8.6999999999999994E-2</v>
      </c>
      <c r="P337" s="7">
        <v>-79.858000000000004</v>
      </c>
      <c r="Q337" s="7">
        <v>0</v>
      </c>
      <c r="R337" s="7">
        <v>-137.62299999999999</v>
      </c>
      <c r="S337" s="7">
        <v>-30.667000000000002</v>
      </c>
      <c r="T337" s="7">
        <v>0</v>
      </c>
      <c r="U337" s="7">
        <v>0</v>
      </c>
      <c r="V337" s="7">
        <v>-83.007000000000005</v>
      </c>
      <c r="W337" s="7">
        <v>-247.31100000000001</v>
      </c>
      <c r="X337" s="7">
        <v>-10.206</v>
      </c>
      <c r="Y337" s="7">
        <v>-2262.7640000000001</v>
      </c>
      <c r="Z337" s="7">
        <v>-0.77700000000000002</v>
      </c>
      <c r="AA337" s="7">
        <v>-2049.9630000000002</v>
      </c>
      <c r="AB337" s="7">
        <v>-19.13</v>
      </c>
      <c r="AC337" s="7">
        <v>-132.773</v>
      </c>
      <c r="AD337" s="7">
        <v>0</v>
      </c>
      <c r="AE337" s="7">
        <v>-7203.7430000000004</v>
      </c>
      <c r="AF337" s="7">
        <v>-151.452</v>
      </c>
      <c r="AG337" s="7">
        <v>0</v>
      </c>
      <c r="AH337" s="7">
        <v>-32800.18</v>
      </c>
      <c r="AI337" s="7">
        <v>-606.45799999999997</v>
      </c>
      <c r="AJ337" s="7">
        <v>-2.6970000000000001</v>
      </c>
      <c r="AK337" s="7">
        <v>-20.626000000000001</v>
      </c>
      <c r="AL337" s="7">
        <v>-0.40500000000000003</v>
      </c>
      <c r="AM337" s="7">
        <v>0</v>
      </c>
      <c r="AN337" s="7">
        <v>-57.707999999999998</v>
      </c>
      <c r="AO337" s="7">
        <v>-6.2210000000000001</v>
      </c>
      <c r="AP337" s="7">
        <v>0</v>
      </c>
      <c r="AQ337" s="7">
        <v>-41.695</v>
      </c>
      <c r="AR337" s="7">
        <v>0</v>
      </c>
      <c r="AS337" s="7">
        <v>-1.5860000000000001</v>
      </c>
      <c r="AT337" s="7">
        <v>0</v>
      </c>
      <c r="AU337" s="7">
        <v>-0.77300000000000002</v>
      </c>
      <c r="AV337" s="7">
        <v>0</v>
      </c>
      <c r="AW337" s="7">
        <v>0</v>
      </c>
      <c r="AX337" s="7">
        <v>-77.543999999999997</v>
      </c>
      <c r="AY337" s="7">
        <v>0</v>
      </c>
      <c r="AZ337" s="7">
        <v>0</v>
      </c>
      <c r="BA337" s="7">
        <v>0</v>
      </c>
      <c r="BB337" s="7">
        <v>-7.1239999999999997</v>
      </c>
      <c r="BC337" s="7">
        <v>0</v>
      </c>
      <c r="BD337" s="7">
        <v>0</v>
      </c>
      <c r="BE337" s="7">
        <v>-0.60799999999999998</v>
      </c>
      <c r="BF337" s="7">
        <v>-0.60799999999999998</v>
      </c>
      <c r="BG337" s="7">
        <v>0</v>
      </c>
      <c r="BH337" s="7">
        <v>-76.072999999999993</v>
      </c>
      <c r="BI337" s="7">
        <v>0</v>
      </c>
      <c r="BJ337" s="21"/>
    </row>
    <row r="338" spans="1:62" ht="15.6" x14ac:dyDescent="0.3">
      <c r="A338" s="5" t="s">
        <v>599</v>
      </c>
      <c r="B338" s="5" t="s">
        <v>600</v>
      </c>
      <c r="C338" s="7">
        <v>6</v>
      </c>
      <c r="D338" s="7">
        <v>6</v>
      </c>
      <c r="E338" s="7">
        <v>-1238.8789999999999</v>
      </c>
      <c r="F338" s="7">
        <v>-112.788</v>
      </c>
      <c r="G338" s="7">
        <v>-69.114000000000004</v>
      </c>
      <c r="H338" s="7">
        <v>-3.524</v>
      </c>
      <c r="I338" s="7">
        <v>-652.02499999999998</v>
      </c>
      <c r="J338" s="7">
        <v>-16.324999999999999</v>
      </c>
      <c r="K338" s="7">
        <v>-209.50700000000001</v>
      </c>
      <c r="L338" s="7">
        <v>-1746.403</v>
      </c>
      <c r="M338" s="7">
        <v>-88.067999999999998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-1.617</v>
      </c>
      <c r="V338" s="7">
        <v>-14.946999999999999</v>
      </c>
      <c r="W338" s="7">
        <v>-13.715</v>
      </c>
      <c r="X338" s="7">
        <v>-20.786000000000001</v>
      </c>
      <c r="Y338" s="7">
        <v>-239.53399999999999</v>
      </c>
      <c r="Z338" s="7">
        <v>-3.49</v>
      </c>
      <c r="AA338" s="7">
        <v>-44.731999999999999</v>
      </c>
      <c r="AB338" s="7">
        <v>-51.475000000000001</v>
      </c>
      <c r="AC338" s="7">
        <v>-26.687000000000001</v>
      </c>
      <c r="AD338" s="7">
        <v>-2.9630000000000001</v>
      </c>
      <c r="AE338" s="7">
        <v>-654.72</v>
      </c>
      <c r="AF338" s="7">
        <v>-207.55</v>
      </c>
      <c r="AG338" s="7">
        <v>-2.387</v>
      </c>
      <c r="AH338" s="7">
        <v>-1530.665</v>
      </c>
      <c r="AI338" s="7">
        <v>-106.526</v>
      </c>
      <c r="AJ338" s="7">
        <v>-16.059000000000001</v>
      </c>
      <c r="AK338" s="7">
        <v>-792.92</v>
      </c>
      <c r="AL338" s="7">
        <v>-665.37099999999998</v>
      </c>
      <c r="AM338" s="7">
        <v>-82.668000000000006</v>
      </c>
      <c r="AN338" s="7">
        <v>-828.71600000000001</v>
      </c>
      <c r="AO338" s="7">
        <v>-4.2789999999999999</v>
      </c>
      <c r="AP338" s="7">
        <v>-0.38300000000000001</v>
      </c>
      <c r="AQ338" s="7">
        <v>-111.327</v>
      </c>
      <c r="AR338" s="7">
        <v>-1.0629999999999999</v>
      </c>
      <c r="AS338" s="7">
        <v>0</v>
      </c>
      <c r="AT338" s="7">
        <v>0</v>
      </c>
      <c r="AU338" s="7">
        <v>-7.4999999999999997E-2</v>
      </c>
      <c r="AV338" s="7">
        <v>-6.1070000000000002</v>
      </c>
      <c r="AW338" s="7">
        <v>-3.468</v>
      </c>
      <c r="AX338" s="7">
        <v>-2.742</v>
      </c>
      <c r="AY338" s="7">
        <v>0</v>
      </c>
      <c r="AZ338" s="7">
        <v>-0.107</v>
      </c>
      <c r="BA338" s="7">
        <v>-4.6420000000000003</v>
      </c>
      <c r="BB338" s="7">
        <v>-1.6E-2</v>
      </c>
      <c r="BC338" s="7">
        <v>0</v>
      </c>
      <c r="BD338" s="7">
        <v>-43.468000000000004</v>
      </c>
      <c r="BE338" s="7">
        <v>-0.96599999999999997</v>
      </c>
      <c r="BF338" s="7">
        <v>-0.96599999999999997</v>
      </c>
      <c r="BG338" s="7">
        <v>-9.0289999999999999</v>
      </c>
      <c r="BH338" s="7">
        <v>-4.1859999999999999</v>
      </c>
      <c r="BI338" s="7">
        <v>-1.0029999999999999</v>
      </c>
      <c r="BJ338" s="21"/>
    </row>
    <row r="339" spans="1:62" ht="15.6" x14ac:dyDescent="0.3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21"/>
    </row>
    <row r="340" spans="1:62" ht="15.6" x14ac:dyDescent="0.3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21"/>
    </row>
    <row r="341" spans="1:62" ht="15.6" x14ac:dyDescent="0.3">
      <c r="A341" s="5" t="s">
        <v>605</v>
      </c>
      <c r="B341" s="5" t="s">
        <v>606</v>
      </c>
      <c r="C341" s="5"/>
      <c r="D341" s="5"/>
      <c r="E341">
        <v>8920620.4289999995</v>
      </c>
      <c r="F341">
        <v>1002302.312</v>
      </c>
      <c r="G341">
        <v>997067.07799999998</v>
      </c>
      <c r="H341">
        <v>1116732.4569999999</v>
      </c>
      <c r="I341">
        <v>134493.38699999999</v>
      </c>
      <c r="J341">
        <v>710509.174</v>
      </c>
      <c r="K341">
        <v>277669.39</v>
      </c>
      <c r="L341">
        <v>9467519.1950000003</v>
      </c>
      <c r="M341">
        <v>3014303.031</v>
      </c>
      <c r="N341">
        <v>15071.883</v>
      </c>
      <c r="O341">
        <v>12266.978999999999</v>
      </c>
      <c r="P341">
        <v>19722.674999999999</v>
      </c>
      <c r="Q341">
        <v>12974.694</v>
      </c>
      <c r="R341">
        <v>18861.042000000001</v>
      </c>
      <c r="S341">
        <v>313526.69799999997</v>
      </c>
      <c r="T341">
        <v>992.49099999999999</v>
      </c>
      <c r="U341">
        <v>208284.19200000001</v>
      </c>
      <c r="V341">
        <v>109889.939</v>
      </c>
      <c r="W341">
        <v>238835.16</v>
      </c>
      <c r="X341">
        <v>214660.97700000001</v>
      </c>
      <c r="Y341">
        <v>2222454.3990000002</v>
      </c>
      <c r="Z341">
        <v>122678.038</v>
      </c>
      <c r="AA341">
        <v>1455012.9809999999</v>
      </c>
      <c r="AB341">
        <v>367801.84600000002</v>
      </c>
      <c r="AC341">
        <v>178125.72</v>
      </c>
      <c r="AD341">
        <v>60692.915999999997</v>
      </c>
      <c r="AE341">
        <v>5958318.8959999997</v>
      </c>
      <c r="AF341">
        <v>1480754.8940000001</v>
      </c>
      <c r="AG341">
        <v>281356.815</v>
      </c>
      <c r="AH341">
        <v>19656952.432</v>
      </c>
      <c r="AI341">
        <v>2563747.2420000001</v>
      </c>
      <c r="AJ341">
        <v>636169.853</v>
      </c>
      <c r="AK341">
        <v>10864686.687999999</v>
      </c>
      <c r="AL341">
        <v>5996597.8389999997</v>
      </c>
      <c r="AM341">
        <v>44674.822999999997</v>
      </c>
      <c r="AN341">
        <v>3907258.8640000001</v>
      </c>
      <c r="AO341">
        <v>141869.96900000001</v>
      </c>
      <c r="AP341">
        <v>67651.210999999996</v>
      </c>
      <c r="AQ341">
        <v>517103.49400000001</v>
      </c>
      <c r="AR341">
        <v>25273.244999999999</v>
      </c>
      <c r="AS341">
        <v>3713.1260000000002</v>
      </c>
      <c r="AT341">
        <v>0</v>
      </c>
      <c r="AU341">
        <v>80851.642999999996</v>
      </c>
      <c r="AV341">
        <v>71303.317999999999</v>
      </c>
      <c r="AW341">
        <v>104531.55499999999</v>
      </c>
      <c r="AX341">
        <v>234255.11199999999</v>
      </c>
      <c r="AY341">
        <v>48329.608999999997</v>
      </c>
      <c r="AZ341">
        <v>240136.356</v>
      </c>
      <c r="BA341">
        <v>170469.74100000001</v>
      </c>
      <c r="BB341">
        <v>51295.033000000003</v>
      </c>
      <c r="BC341">
        <v>27965.562000000002</v>
      </c>
      <c r="BD341">
        <v>270098.76400000002</v>
      </c>
      <c r="BE341">
        <v>11864.135</v>
      </c>
      <c r="BF341">
        <v>11864.135</v>
      </c>
      <c r="BG341">
        <v>87422.15</v>
      </c>
      <c r="BH341">
        <v>404090.44799999997</v>
      </c>
      <c r="BI341">
        <v>11283.058000000001</v>
      </c>
      <c r="BJ341" s="21"/>
    </row>
    <row r="342" spans="1:62" x14ac:dyDescent="0.25">
      <c r="BJ342" s="21"/>
    </row>
    <row r="343" spans="1:62" ht="15.6" x14ac:dyDescent="0.3">
      <c r="A343" s="5" t="s">
        <v>607</v>
      </c>
      <c r="E343">
        <f t="shared" ref="E343:AW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>SUM(AM8:AM340)-AM341</f>
        <v>0</v>
      </c>
      <c r="AN343">
        <f>SUM(AN8:AN340)-AN341</f>
        <v>0</v>
      </c>
      <c r="AO343">
        <f>SUM(AO8:AO340)-AO341</f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>SUM(AX8:AX340)-AX341</f>
        <v>0</v>
      </c>
      <c r="AY343">
        <f t="shared" ref="AY343:BI343" si="1">SUM(AY8:AY340)-AY341</f>
        <v>0</v>
      </c>
      <c r="AZ343">
        <f t="shared" si="1"/>
        <v>0</v>
      </c>
      <c r="BA343">
        <f t="shared" si="1"/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 s="21"/>
    </row>
    <row r="344" spans="1:62" x14ac:dyDescent="0.25">
      <c r="BJ344" s="21"/>
    </row>
    <row r="345" spans="1:62" x14ac:dyDescent="0.25">
      <c r="A345" t="s">
        <v>608</v>
      </c>
      <c r="D345">
        <v>1</v>
      </c>
      <c r="E345" s="16">
        <f t="shared" ref="E345:AW345" si="2">SUMIF($D$7:$D$339,$D$345,E7:E339)</f>
        <v>931256.505</v>
      </c>
      <c r="F345" s="16">
        <f t="shared" si="2"/>
        <v>160383.36199999999</v>
      </c>
      <c r="G345" s="16">
        <f t="shared" si="2"/>
        <v>32953.067000000003</v>
      </c>
      <c r="H345" s="16">
        <f t="shared" si="2"/>
        <v>34651.142</v>
      </c>
      <c r="I345" s="16">
        <f t="shared" si="2"/>
        <v>9774.4880000000012</v>
      </c>
      <c r="J345" s="16">
        <f t="shared" si="2"/>
        <v>39930.77900000001</v>
      </c>
      <c r="K345" s="16">
        <f t="shared" si="2"/>
        <v>-194.1869999999999</v>
      </c>
      <c r="L345" s="16">
        <f t="shared" si="2"/>
        <v>1707024.3560000001</v>
      </c>
      <c r="M345" s="16">
        <f t="shared" si="2"/>
        <v>152491.85800000001</v>
      </c>
      <c r="N345" s="16">
        <f>SUMIF($D$7:$D$339,$D$345,N7:N339)</f>
        <v>1158.241</v>
      </c>
      <c r="O345" s="16">
        <f t="shared" si="2"/>
        <v>9053.1570000000011</v>
      </c>
      <c r="P345" s="16">
        <f t="shared" si="2"/>
        <v>802.81699999999989</v>
      </c>
      <c r="Q345" s="16">
        <f t="shared" si="2"/>
        <v>5592.8239999999996</v>
      </c>
      <c r="R345" s="16">
        <f t="shared" si="2"/>
        <v>2573.5379999999996</v>
      </c>
      <c r="S345" s="16">
        <f t="shared" si="2"/>
        <v>47837.304999999993</v>
      </c>
      <c r="T345" s="16">
        <f t="shared" si="2"/>
        <v>35.803999999999995</v>
      </c>
      <c r="U345" s="16">
        <f t="shared" si="2"/>
        <v>-2448.6120000000001</v>
      </c>
      <c r="V345" s="16">
        <f t="shared" si="2"/>
        <v>6193.0029999999997</v>
      </c>
      <c r="W345" s="16">
        <f t="shared" si="2"/>
        <v>20646.941999999999</v>
      </c>
      <c r="X345" s="16">
        <f t="shared" si="2"/>
        <v>35983.572</v>
      </c>
      <c r="Y345" s="16">
        <f t="shared" si="2"/>
        <v>362955.73200000002</v>
      </c>
      <c r="Z345" s="16">
        <f t="shared" si="2"/>
        <v>70105.645000000004</v>
      </c>
      <c r="AA345" s="16">
        <f t="shared" si="2"/>
        <v>115617.91099999999</v>
      </c>
      <c r="AB345" s="16">
        <f t="shared" si="2"/>
        <v>277868.67000000004</v>
      </c>
      <c r="AC345" s="16">
        <f t="shared" si="2"/>
        <v>29774.544999999998</v>
      </c>
      <c r="AD345" s="16">
        <f t="shared" si="2"/>
        <v>17535.359</v>
      </c>
      <c r="AE345" s="16">
        <f t="shared" si="2"/>
        <v>1019528.3300000001</v>
      </c>
      <c r="AF345" s="16">
        <f t="shared" si="2"/>
        <v>445112.81400000001</v>
      </c>
      <c r="AG345" s="16">
        <f t="shared" si="2"/>
        <v>92349.616000000009</v>
      </c>
      <c r="AH345" s="16">
        <f t="shared" si="2"/>
        <v>2894208.7080000006</v>
      </c>
      <c r="AI345" s="16">
        <f t="shared" si="2"/>
        <v>698312.96800000011</v>
      </c>
      <c r="AJ345" s="16">
        <f t="shared" si="2"/>
        <v>353005.967</v>
      </c>
      <c r="AK345" s="16">
        <f t="shared" si="2"/>
        <v>8184454.3059999999</v>
      </c>
      <c r="AL345" s="16">
        <f t="shared" si="2"/>
        <v>4516518.9989999998</v>
      </c>
      <c r="AM345" s="16">
        <f>SUMIF($D$7:$D$339,$D$345,AM7:AM339)</f>
        <v>-192.529</v>
      </c>
      <c r="AN345" s="16">
        <f>SUMIF($D$7:$D$339,$D$345,AN7:AN339)</f>
        <v>2942926.9400000004</v>
      </c>
      <c r="AO345" s="16">
        <f>SUMIF($D$7:$D$339,$D$345,AO7:AO339)</f>
        <v>27733.813999999998</v>
      </c>
      <c r="AP345" s="16">
        <f t="shared" si="2"/>
        <v>6800.8310000000001</v>
      </c>
      <c r="AQ345" s="16">
        <f t="shared" si="2"/>
        <v>157172.34700000001</v>
      </c>
      <c r="AR345" s="16">
        <f t="shared" si="2"/>
        <v>2401.31</v>
      </c>
      <c r="AS345" s="16">
        <f t="shared" si="2"/>
        <v>624.923</v>
      </c>
      <c r="AT345" s="16">
        <f t="shared" si="2"/>
        <v>0</v>
      </c>
      <c r="AU345" s="16">
        <f t="shared" si="2"/>
        <v>12713.008</v>
      </c>
      <c r="AV345" s="16">
        <f t="shared" si="2"/>
        <v>7073.9719999999998</v>
      </c>
      <c r="AW345" s="16">
        <f t="shared" si="2"/>
        <v>11061.14</v>
      </c>
      <c r="AX345" s="16">
        <f>SUMIF($D$7:$D$339,$D$345,AX7:AX339)</f>
        <v>45914.296000000002</v>
      </c>
      <c r="AY345" s="16">
        <f t="shared" ref="AY345:BI345" si="3">SUMIF($D$7:$D$339,$D$345,AY7:AY339)</f>
        <v>2593.4959999999996</v>
      </c>
      <c r="AZ345" s="16">
        <f t="shared" si="3"/>
        <v>18277.715</v>
      </c>
      <c r="BA345" s="16">
        <f t="shared" si="3"/>
        <v>29401.309000000001</v>
      </c>
      <c r="BB345" s="16">
        <f t="shared" si="3"/>
        <v>9867.1310000000012</v>
      </c>
      <c r="BC345" s="16">
        <f t="shared" si="3"/>
        <v>1730.7719999999999</v>
      </c>
      <c r="BD345" s="16">
        <f t="shared" si="3"/>
        <v>13192.94</v>
      </c>
      <c r="BE345" s="16">
        <f t="shared" si="3"/>
        <v>2306.1529999999998</v>
      </c>
      <c r="BF345" s="16">
        <f t="shared" si="3"/>
        <v>2306.1529999999998</v>
      </c>
      <c r="BG345" s="16">
        <f t="shared" si="3"/>
        <v>5000.9740000000002</v>
      </c>
      <c r="BH345" s="16">
        <f t="shared" si="3"/>
        <v>231629.17799999999</v>
      </c>
      <c r="BI345" s="16">
        <f t="shared" si="3"/>
        <v>571.69600000000003</v>
      </c>
      <c r="BJ345" s="21"/>
    </row>
    <row r="346" spans="1:62" x14ac:dyDescent="0.25">
      <c r="A346" t="s">
        <v>609</v>
      </c>
      <c r="D346">
        <v>2</v>
      </c>
      <c r="E346" s="16">
        <f t="shared" ref="E346:AW346" si="4">SUMIF($D$7:$D$339,$D$346,E7:E339)</f>
        <v>2012978.6160000002</v>
      </c>
      <c r="F346" s="16">
        <f t="shared" si="4"/>
        <v>170119.435</v>
      </c>
      <c r="G346" s="16">
        <f t="shared" si="4"/>
        <v>356790.473</v>
      </c>
      <c r="H346" s="16">
        <f t="shared" si="4"/>
        <v>0</v>
      </c>
      <c r="I346" s="16">
        <f t="shared" si="4"/>
        <v>50131.037000000004</v>
      </c>
      <c r="J346" s="16">
        <f t="shared" si="4"/>
        <v>245148.31200000001</v>
      </c>
      <c r="K346" s="16">
        <f t="shared" si="4"/>
        <v>209407.242</v>
      </c>
      <c r="L346" s="16">
        <f t="shared" si="4"/>
        <v>786041.15799999994</v>
      </c>
      <c r="M346" s="16">
        <f t="shared" si="4"/>
        <v>620791.402</v>
      </c>
      <c r="N346" s="16">
        <f>SUMIF($D$7:$D$339,$D$346,N7:N339)</f>
        <v>11665.187</v>
      </c>
      <c r="O346" s="16">
        <f t="shared" si="4"/>
        <v>160.345</v>
      </c>
      <c r="P346" s="16">
        <f t="shared" si="4"/>
        <v>15546.395999999999</v>
      </c>
      <c r="Q346" s="16">
        <f t="shared" si="4"/>
        <v>1918.085</v>
      </c>
      <c r="R346" s="16">
        <f t="shared" si="4"/>
        <v>3817.4449999999997</v>
      </c>
      <c r="S346" s="16">
        <f t="shared" si="4"/>
        <v>52259.377999999997</v>
      </c>
      <c r="T346" s="16">
        <f t="shared" si="4"/>
        <v>956.68700000000001</v>
      </c>
      <c r="U346" s="16">
        <f t="shared" si="4"/>
        <v>166333.155</v>
      </c>
      <c r="V346" s="16">
        <f t="shared" si="4"/>
        <v>29100.668999999998</v>
      </c>
      <c r="W346" s="16">
        <f t="shared" si="4"/>
        <v>53022.747000000003</v>
      </c>
      <c r="X346" s="16">
        <f t="shared" si="4"/>
        <v>2266.2860000000001</v>
      </c>
      <c r="Y346" s="16">
        <f t="shared" si="4"/>
        <v>380193.087</v>
      </c>
      <c r="Z346" s="16">
        <f t="shared" si="4"/>
        <v>248.459</v>
      </c>
      <c r="AA346" s="16">
        <f t="shared" si="4"/>
        <v>540197.23</v>
      </c>
      <c r="AB346" s="16">
        <f t="shared" si="4"/>
        <v>3156.3829999999998</v>
      </c>
      <c r="AC346" s="16">
        <f t="shared" si="4"/>
        <v>25247.157000000003</v>
      </c>
      <c r="AD346" s="16">
        <f t="shared" si="4"/>
        <v>10396.969999999999</v>
      </c>
      <c r="AE346" s="16">
        <f t="shared" si="4"/>
        <v>928534.78900000011</v>
      </c>
      <c r="AF346" s="16">
        <f t="shared" si="4"/>
        <v>64274.338000000003</v>
      </c>
      <c r="AG346" s="16">
        <f t="shared" si="4"/>
        <v>37167.730000000003</v>
      </c>
      <c r="AH346" s="16">
        <f t="shared" si="4"/>
        <v>2507474.6360000004</v>
      </c>
      <c r="AI346" s="16">
        <f t="shared" si="4"/>
        <v>100361.053</v>
      </c>
      <c r="AJ346" s="16">
        <f t="shared" si="4"/>
        <v>611.53399999999999</v>
      </c>
      <c r="AK346" s="16">
        <f t="shared" si="4"/>
        <v>801431.00199999998</v>
      </c>
      <c r="AL346" s="16">
        <f t="shared" si="4"/>
        <v>442662.56900000002</v>
      </c>
      <c r="AM346" s="16">
        <f>SUMIF($D$7:$D$339,$D$346,AM7:AM339)</f>
        <v>35439.125999999997</v>
      </c>
      <c r="AN346" s="16">
        <f>SUMIF($D$7:$D$339,$D$346,AN7:AN339)</f>
        <v>288535.19699999999</v>
      </c>
      <c r="AO346" s="16">
        <f>SUMIF($D$7:$D$339,$D$346,AO7:AO339)</f>
        <v>22616.742999999995</v>
      </c>
      <c r="AP346" s="16">
        <f t="shared" si="4"/>
        <v>0</v>
      </c>
      <c r="AQ346" s="16">
        <f t="shared" si="4"/>
        <v>22556.74</v>
      </c>
      <c r="AR346" s="16">
        <f t="shared" si="4"/>
        <v>0</v>
      </c>
      <c r="AS346" s="16">
        <f t="shared" si="4"/>
        <v>1232.386</v>
      </c>
      <c r="AT346" s="16">
        <f t="shared" si="4"/>
        <v>0</v>
      </c>
      <c r="AU346" s="16">
        <f t="shared" si="4"/>
        <v>30438.023000000001</v>
      </c>
      <c r="AV346" s="16">
        <f t="shared" si="4"/>
        <v>0</v>
      </c>
      <c r="AW346" s="16">
        <f t="shared" si="4"/>
        <v>0</v>
      </c>
      <c r="AX346" s="16">
        <f>SUMIF($D$7:$D$339,$D$346,AX7:AX339)</f>
        <v>2389.4560000000001</v>
      </c>
      <c r="AY346" s="16">
        <f t="shared" ref="AY346:BI346" si="5">SUMIF($D$7:$D$339,$D$346,AY7:AY339)</f>
        <v>12402.504999999999</v>
      </c>
      <c r="AZ346" s="16">
        <f t="shared" si="5"/>
        <v>626.03800000000001</v>
      </c>
      <c r="BA346" s="16">
        <f t="shared" si="5"/>
        <v>1789.405</v>
      </c>
      <c r="BB346" s="16">
        <f t="shared" si="5"/>
        <v>8567.2930000000015</v>
      </c>
      <c r="BC346" s="16">
        <f t="shared" si="5"/>
        <v>7670.1109999999999</v>
      </c>
      <c r="BD346" s="16">
        <f t="shared" si="5"/>
        <v>780.96500000000003</v>
      </c>
      <c r="BE346" s="16">
        <f t="shared" si="5"/>
        <v>1860.8629999999998</v>
      </c>
      <c r="BF346" s="16">
        <f t="shared" si="5"/>
        <v>1860.8629999999998</v>
      </c>
      <c r="BG346" s="16">
        <f t="shared" si="5"/>
        <v>250.83</v>
      </c>
      <c r="BH346" s="16">
        <f t="shared" si="5"/>
        <v>27298.701000000001</v>
      </c>
      <c r="BI346" s="16">
        <f t="shared" si="5"/>
        <v>2999.1689999999999</v>
      </c>
      <c r="BJ346" s="21"/>
    </row>
    <row r="347" spans="1:62" x14ac:dyDescent="0.25">
      <c r="A347" t="s">
        <v>610</v>
      </c>
      <c r="D347">
        <v>3</v>
      </c>
      <c r="E347" s="16">
        <f t="shared" ref="E347:AW347" si="6">SUMIF($D$7:$D$339,$D$347,E7:E339)</f>
        <v>1877823.2020000003</v>
      </c>
      <c r="F347" s="16">
        <f t="shared" si="6"/>
        <v>265255.98800000001</v>
      </c>
      <c r="G347" s="16">
        <f t="shared" si="6"/>
        <v>452313.97499999986</v>
      </c>
      <c r="H347" s="16">
        <f t="shared" si="6"/>
        <v>46107.105000000003</v>
      </c>
      <c r="I347" s="16">
        <f t="shared" si="6"/>
        <v>43830.491000000009</v>
      </c>
      <c r="J347" s="16">
        <f t="shared" si="6"/>
        <v>304143.66700000002</v>
      </c>
      <c r="K347" s="16">
        <f t="shared" si="6"/>
        <v>33068.887000000002</v>
      </c>
      <c r="L347" s="16">
        <f t="shared" si="6"/>
        <v>859651.00600000017</v>
      </c>
      <c r="M347" s="16">
        <f t="shared" si="6"/>
        <v>1075568.5159999998</v>
      </c>
      <c r="N347" s="16">
        <f>SUMIF($D$7:$D$339,$D$347,N7:N339)</f>
        <v>2248.788</v>
      </c>
      <c r="O347" s="16">
        <f t="shared" si="6"/>
        <v>0</v>
      </c>
      <c r="P347" s="16">
        <f t="shared" si="6"/>
        <v>49.490000000000009</v>
      </c>
      <c r="Q347" s="16">
        <f t="shared" si="6"/>
        <v>3964.7870000000003</v>
      </c>
      <c r="R347" s="16">
        <f t="shared" si="6"/>
        <v>11538.759</v>
      </c>
      <c r="S347" s="16">
        <f t="shared" si="6"/>
        <v>109770.35299999999</v>
      </c>
      <c r="T347" s="16">
        <f t="shared" si="6"/>
        <v>0</v>
      </c>
      <c r="U347" s="16">
        <f t="shared" si="6"/>
        <v>26266.773999999998</v>
      </c>
      <c r="V347" s="16">
        <f t="shared" si="6"/>
        <v>54972.429999999993</v>
      </c>
      <c r="W347" s="16">
        <f t="shared" si="6"/>
        <v>87458.527000000002</v>
      </c>
      <c r="X347" s="16">
        <f t="shared" si="6"/>
        <v>0</v>
      </c>
      <c r="Y347" s="16">
        <f t="shared" si="6"/>
        <v>303745.46100000001</v>
      </c>
      <c r="Z347" s="16">
        <f t="shared" si="6"/>
        <v>10881.804</v>
      </c>
      <c r="AA347" s="16">
        <f t="shared" si="6"/>
        <v>637601.56300000008</v>
      </c>
      <c r="AB347" s="16">
        <f t="shared" si="6"/>
        <v>0</v>
      </c>
      <c r="AC347" s="16">
        <f t="shared" si="6"/>
        <v>48540.781999999999</v>
      </c>
      <c r="AD347" s="16">
        <f t="shared" si="6"/>
        <v>13652.637999999999</v>
      </c>
      <c r="AE347" s="16">
        <f t="shared" si="6"/>
        <v>593670.09999999986</v>
      </c>
      <c r="AF347" s="16">
        <f t="shared" si="6"/>
        <v>13895.531000000001</v>
      </c>
      <c r="AG347" s="16">
        <f t="shared" si="6"/>
        <v>54535.866999999998</v>
      </c>
      <c r="AH347" s="16">
        <f t="shared" si="6"/>
        <v>2167349.5260000001</v>
      </c>
      <c r="AI347" s="16">
        <f t="shared" si="6"/>
        <v>23451.27</v>
      </c>
      <c r="AJ347" s="16">
        <f t="shared" si="6"/>
        <v>55317.305</v>
      </c>
      <c r="AK347" s="16">
        <f t="shared" si="6"/>
        <v>0</v>
      </c>
      <c r="AL347" s="16">
        <f t="shared" si="6"/>
        <v>0</v>
      </c>
      <c r="AM347" s="16">
        <f>SUMIF($D$7:$D$339,$D$347,AM7:AM339)</f>
        <v>5596.4279999999999</v>
      </c>
      <c r="AN347" s="16">
        <f>SUMIF($D$7:$D$339,$D$347,AN7:AN339)</f>
        <v>0</v>
      </c>
      <c r="AO347" s="16">
        <f>SUMIF($D$7:$D$339,$D$347,AO7:AO339)</f>
        <v>43354.131000000001</v>
      </c>
      <c r="AP347" s="16">
        <f t="shared" si="6"/>
        <v>0</v>
      </c>
      <c r="AQ347" s="16">
        <f t="shared" si="6"/>
        <v>4749.45</v>
      </c>
      <c r="AR347" s="16">
        <f t="shared" si="6"/>
        <v>0</v>
      </c>
      <c r="AS347" s="16">
        <f t="shared" si="6"/>
        <v>808.31599999999992</v>
      </c>
      <c r="AT347" s="16">
        <f t="shared" si="6"/>
        <v>0</v>
      </c>
      <c r="AU347" s="16">
        <f t="shared" si="6"/>
        <v>25446.217000000001</v>
      </c>
      <c r="AV347" s="16">
        <f t="shared" si="6"/>
        <v>0</v>
      </c>
      <c r="AW347" s="16">
        <f t="shared" si="6"/>
        <v>0</v>
      </c>
      <c r="AX347" s="16">
        <f>SUMIF($D$7:$D$339,$D$347,AX7:AX339)</f>
        <v>0</v>
      </c>
      <c r="AY347" s="16">
        <f t="shared" ref="AY347:BI347" si="7">SUMIF($D$7:$D$339,$D$347,AY7:AY339)</f>
        <v>21651.395999999997</v>
      </c>
      <c r="AZ347" s="16">
        <f t="shared" si="7"/>
        <v>4585.8320000000003</v>
      </c>
      <c r="BA347" s="16">
        <f t="shared" si="7"/>
        <v>0</v>
      </c>
      <c r="BB347" s="16">
        <f t="shared" si="7"/>
        <v>15550.015999999998</v>
      </c>
      <c r="BC347" s="16">
        <f t="shared" si="7"/>
        <v>17400.447</v>
      </c>
      <c r="BD347" s="16">
        <f t="shared" si="7"/>
        <v>5720.6990000000005</v>
      </c>
      <c r="BE347" s="16">
        <f t="shared" si="7"/>
        <v>3625.9090000000006</v>
      </c>
      <c r="BF347" s="16">
        <f t="shared" si="7"/>
        <v>3625.9090000000006</v>
      </c>
      <c r="BG347" s="16">
        <f t="shared" si="7"/>
        <v>1837.3700000000001</v>
      </c>
      <c r="BH347" s="16">
        <f t="shared" si="7"/>
        <v>36663.591999999997</v>
      </c>
      <c r="BI347" s="16">
        <f t="shared" si="7"/>
        <v>7235.5410000000011</v>
      </c>
      <c r="BJ347" s="21"/>
    </row>
    <row r="348" spans="1:62" x14ac:dyDescent="0.25">
      <c r="A348" t="s">
        <v>611</v>
      </c>
      <c r="B348">
        <v>7</v>
      </c>
      <c r="D348">
        <v>4</v>
      </c>
      <c r="E348" s="16">
        <f t="shared" ref="E348:AW348" si="8">SUMIF($D$7:$D$339,$D$348,E7:E339)</f>
        <v>1392990.713</v>
      </c>
      <c r="F348" s="16">
        <f t="shared" si="8"/>
        <v>292513.43799999991</v>
      </c>
      <c r="G348" s="16">
        <f t="shared" si="8"/>
        <v>906.86500000000001</v>
      </c>
      <c r="H348" s="16">
        <f t="shared" si="8"/>
        <v>34990.493999999999</v>
      </c>
      <c r="I348" s="16">
        <f t="shared" si="8"/>
        <v>9122.538999999997</v>
      </c>
      <c r="J348" s="16">
        <f t="shared" si="8"/>
        <v>589.81499999999994</v>
      </c>
      <c r="K348" s="16">
        <f t="shared" si="8"/>
        <v>0</v>
      </c>
      <c r="L348" s="16">
        <f t="shared" si="8"/>
        <v>3338181.5669999998</v>
      </c>
      <c r="M348" s="16">
        <f t="shared" si="8"/>
        <v>196174.79099999997</v>
      </c>
      <c r="N348" s="16">
        <f>SUMIF($D$7:$D$339,$D$348,N7:N339)</f>
        <v>0</v>
      </c>
      <c r="O348" s="16">
        <f t="shared" si="8"/>
        <v>2301.8809999999999</v>
      </c>
      <c r="P348" s="16">
        <f t="shared" si="8"/>
        <v>31.431000000000001</v>
      </c>
      <c r="Q348" s="16">
        <f t="shared" si="8"/>
        <v>1003.681</v>
      </c>
      <c r="R348" s="16">
        <f t="shared" si="8"/>
        <v>96.415000000000006</v>
      </c>
      <c r="S348" s="16">
        <f t="shared" si="8"/>
        <v>91652.802000000011</v>
      </c>
      <c r="T348" s="16">
        <f t="shared" si="8"/>
        <v>0</v>
      </c>
      <c r="U348" s="16">
        <f t="shared" si="8"/>
        <v>0</v>
      </c>
      <c r="V348" s="16">
        <f t="shared" si="8"/>
        <v>94.102999999999994</v>
      </c>
      <c r="W348" s="16">
        <f t="shared" si="8"/>
        <v>29639.829000000002</v>
      </c>
      <c r="X348" s="16">
        <f t="shared" si="8"/>
        <v>178939.31399999998</v>
      </c>
      <c r="Y348" s="16">
        <f t="shared" si="8"/>
        <v>638089.64199999999</v>
      </c>
      <c r="Z348" s="16">
        <f t="shared" si="8"/>
        <v>40226.294999999998</v>
      </c>
      <c r="AA348" s="16">
        <f t="shared" si="8"/>
        <v>1393.0540000000001</v>
      </c>
      <c r="AB348" s="16">
        <f t="shared" si="8"/>
        <v>63685.956999999995</v>
      </c>
      <c r="AC348" s="16">
        <f t="shared" si="8"/>
        <v>55056.036999999997</v>
      </c>
      <c r="AD348" s="16">
        <f t="shared" si="8"/>
        <v>18452.946</v>
      </c>
      <c r="AE348" s="16">
        <f t="shared" si="8"/>
        <v>1613549.6459999999</v>
      </c>
      <c r="AF348" s="16">
        <f t="shared" si="8"/>
        <v>913178.68500000006</v>
      </c>
      <c r="AG348" s="16">
        <f t="shared" si="8"/>
        <v>82582.678</v>
      </c>
      <c r="AH348" s="16">
        <f t="shared" si="8"/>
        <v>5808223.4520000005</v>
      </c>
      <c r="AI348" s="16">
        <f t="shared" si="8"/>
        <v>1535419.8519999995</v>
      </c>
      <c r="AJ348" s="16">
        <f t="shared" si="8"/>
        <v>222396.43599999999</v>
      </c>
      <c r="AK348" s="16">
        <f t="shared" si="8"/>
        <v>1217582.9839999999</v>
      </c>
      <c r="AL348" s="16">
        <f t="shared" si="8"/>
        <v>672520.01800000004</v>
      </c>
      <c r="AM348" s="16">
        <f>SUMIF($D$7:$D$339,$D$348,AM7:AM339)</f>
        <v>0</v>
      </c>
      <c r="AN348" s="16">
        <f>SUMIF($D$7:$D$339,$D$348,AN7:AN339)</f>
        <v>438360.23300000001</v>
      </c>
      <c r="AO348" s="16">
        <f>SUMIF($D$7:$D$339,$D$348,AO7:AO339)</f>
        <v>44849.418999999994</v>
      </c>
      <c r="AP348" s="16">
        <f t="shared" si="8"/>
        <v>60837.508999999998</v>
      </c>
      <c r="AQ348" s="16">
        <f t="shared" si="8"/>
        <v>319111.04699999996</v>
      </c>
      <c r="AR348" s="16">
        <f t="shared" si="8"/>
        <v>22867.794999999998</v>
      </c>
      <c r="AS348" s="16">
        <f t="shared" si="8"/>
        <v>907.94899999999996</v>
      </c>
      <c r="AT348" s="16">
        <f t="shared" si="8"/>
        <v>0</v>
      </c>
      <c r="AU348" s="16">
        <f t="shared" si="8"/>
        <v>10413.506000000001</v>
      </c>
      <c r="AV348" s="16">
        <f t="shared" si="8"/>
        <v>64221.266000000003</v>
      </c>
      <c r="AW348" s="16">
        <f t="shared" si="8"/>
        <v>93453.870999999999</v>
      </c>
      <c r="AX348" s="16">
        <f>SUMIF($D$7:$D$339,$D$348,AX7:AX339)</f>
        <v>188664.38199999998</v>
      </c>
      <c r="AY348" s="16">
        <f t="shared" ref="AY348:BI348" si="9">SUMIF($D$7:$D$339,$D$348,AY7:AY339)</f>
        <v>9597.7220000000016</v>
      </c>
      <c r="AZ348" s="16">
        <f t="shared" si="9"/>
        <v>202390.00599999999</v>
      </c>
      <c r="BA348" s="16">
        <f t="shared" si="9"/>
        <v>141286.193</v>
      </c>
      <c r="BB348" s="16">
        <f t="shared" si="9"/>
        <v>16131.779</v>
      </c>
      <c r="BC348" s="16">
        <f t="shared" si="9"/>
        <v>29.246999999999996</v>
      </c>
      <c r="BD348" s="16">
        <f t="shared" si="9"/>
        <v>232447.61200000005</v>
      </c>
      <c r="BE348" s="16">
        <f t="shared" si="9"/>
        <v>3810.1020000000008</v>
      </c>
      <c r="BF348" s="16">
        <f t="shared" si="9"/>
        <v>3810.1020000000008</v>
      </c>
      <c r="BG348" s="16">
        <f t="shared" si="9"/>
        <v>74657.33600000001</v>
      </c>
      <c r="BH348" s="16">
        <f t="shared" si="9"/>
        <v>104610.857</v>
      </c>
      <c r="BI348" s="16">
        <f t="shared" si="9"/>
        <v>11.939</v>
      </c>
      <c r="BJ348" s="21"/>
    </row>
    <row r="349" spans="1:62" x14ac:dyDescent="0.25">
      <c r="A349" t="s">
        <v>612</v>
      </c>
      <c r="D349">
        <v>5</v>
      </c>
      <c r="E349" s="16">
        <f t="shared" ref="E349:AW349" si="10">SUMIF($D$7:$D$339,$D$349,E7:E339)</f>
        <v>718202.87900000007</v>
      </c>
      <c r="F349" s="16">
        <f t="shared" si="10"/>
        <v>33091.209000000003</v>
      </c>
      <c r="G349" s="16">
        <f t="shared" si="10"/>
        <v>78873.728999999992</v>
      </c>
      <c r="H349" s="16">
        <f t="shared" si="10"/>
        <v>980002.23699999996</v>
      </c>
      <c r="I349" s="16">
        <f t="shared" si="10"/>
        <v>10915.162999999999</v>
      </c>
      <c r="J349" s="16">
        <f t="shared" si="10"/>
        <v>71895.072</v>
      </c>
      <c r="K349" s="16">
        <f t="shared" si="10"/>
        <v>16608.347000000002</v>
      </c>
      <c r="L349" s="16">
        <f t="shared" si="10"/>
        <v>426393.6210000001</v>
      </c>
      <c r="M349" s="16">
        <f t="shared" si="10"/>
        <v>364243.0830000001</v>
      </c>
      <c r="N349" s="16">
        <f>SUMIF($D$7:$D$339,$D$349,N7:N339)</f>
        <v>0</v>
      </c>
      <c r="O349" s="16">
        <f t="shared" si="10"/>
        <v>0</v>
      </c>
      <c r="P349" s="16">
        <f t="shared" si="10"/>
        <v>1985.8090000000002</v>
      </c>
      <c r="Q349" s="16">
        <f t="shared" si="10"/>
        <v>0</v>
      </c>
      <c r="R349" s="16">
        <f t="shared" si="10"/>
        <v>41.738</v>
      </c>
      <c r="S349" s="16">
        <f t="shared" si="10"/>
        <v>-4508.8739999999998</v>
      </c>
      <c r="T349" s="16">
        <f t="shared" si="10"/>
        <v>0</v>
      </c>
      <c r="U349" s="16">
        <f t="shared" si="10"/>
        <v>3051.7510000000002</v>
      </c>
      <c r="V349" s="16">
        <f t="shared" si="10"/>
        <v>11976.993999999999</v>
      </c>
      <c r="W349" s="16">
        <f t="shared" si="10"/>
        <v>27993.476000000002</v>
      </c>
      <c r="X349" s="16">
        <f t="shared" si="10"/>
        <v>0</v>
      </c>
      <c r="Y349" s="16">
        <f t="shared" si="10"/>
        <v>173508.65299999999</v>
      </c>
      <c r="Z349" s="16">
        <f t="shared" si="10"/>
        <v>0</v>
      </c>
      <c r="AA349" s="16">
        <f t="shared" si="10"/>
        <v>58983.514999999992</v>
      </c>
      <c r="AB349" s="16">
        <f t="shared" si="10"/>
        <v>0</v>
      </c>
      <c r="AC349" s="16">
        <f t="shared" si="10"/>
        <v>6914.5039999999999</v>
      </c>
      <c r="AD349" s="16">
        <f t="shared" si="10"/>
        <v>0</v>
      </c>
      <c r="AE349" s="16">
        <f t="shared" si="10"/>
        <v>538815.25900000008</v>
      </c>
      <c r="AF349" s="16">
        <f t="shared" si="10"/>
        <v>-36022.221000000005</v>
      </c>
      <c r="AG349" s="16">
        <f t="shared" si="10"/>
        <v>9981.8850000000002</v>
      </c>
      <c r="AH349" s="16">
        <f t="shared" si="10"/>
        <v>1573512.1090000002</v>
      </c>
      <c r="AI349" s="16">
        <f t="shared" si="10"/>
        <v>28034.809000000001</v>
      </c>
      <c r="AJ349" s="16">
        <f t="shared" si="10"/>
        <v>14.358000000000001</v>
      </c>
      <c r="AK349" s="16">
        <f t="shared" si="10"/>
        <v>414.38900000000001</v>
      </c>
      <c r="AL349" s="16">
        <f t="shared" si="10"/>
        <v>114.73099999999999</v>
      </c>
      <c r="AM349" s="16">
        <f>SUMIF($D$7:$D$339,$D$349,AM7:AM339)</f>
        <v>700.92</v>
      </c>
      <c r="AN349" s="16">
        <f>SUMIF($D$7:$D$339,$D$349,AN7:AN339)</f>
        <v>115.32</v>
      </c>
      <c r="AO349" s="16">
        <f>SUMIF($D$7:$D$339,$D$349,AO7:AO339)</f>
        <v>-2385.509</v>
      </c>
      <c r="AP349" s="16">
        <f t="shared" si="10"/>
        <v>0</v>
      </c>
      <c r="AQ349" s="16">
        <f t="shared" si="10"/>
        <v>-6351.4490000000005</v>
      </c>
      <c r="AR349" s="16">
        <f t="shared" si="10"/>
        <v>0</v>
      </c>
      <c r="AS349" s="16">
        <f t="shared" si="10"/>
        <v>-45.329000000000001</v>
      </c>
      <c r="AT349" s="16">
        <f t="shared" si="10"/>
        <v>0</v>
      </c>
      <c r="AU349" s="16">
        <f t="shared" si="10"/>
        <v>-290.584</v>
      </c>
      <c r="AV349" s="16">
        <f t="shared" si="10"/>
        <v>0</v>
      </c>
      <c r="AW349" s="16">
        <f t="shared" si="10"/>
        <v>0</v>
      </c>
      <c r="AX349" s="16">
        <f>SUMIF($D$7:$D$339,$D$349,AX7:AX339)</f>
        <v>0</v>
      </c>
      <c r="AY349" s="16">
        <f t="shared" ref="AY349:BI349" si="11">SUMIF($D$7:$D$339,$D$349,AY7:AY339)</f>
        <v>0</v>
      </c>
      <c r="AZ349" s="16">
        <f t="shared" si="11"/>
        <v>0</v>
      </c>
      <c r="BA349" s="16">
        <f t="shared" si="11"/>
        <v>0</v>
      </c>
      <c r="BB349" s="16">
        <f t="shared" si="11"/>
        <v>-840.92200000000003</v>
      </c>
      <c r="BC349" s="16">
        <f t="shared" si="11"/>
        <v>0</v>
      </c>
      <c r="BD349" s="16">
        <f t="shared" si="11"/>
        <v>0</v>
      </c>
      <c r="BE349" s="16">
        <f t="shared" si="11"/>
        <v>-214.28399999999999</v>
      </c>
      <c r="BF349" s="16">
        <f t="shared" si="11"/>
        <v>-214.28399999999999</v>
      </c>
      <c r="BG349" s="16">
        <f t="shared" si="11"/>
        <v>0</v>
      </c>
      <c r="BH349" s="16">
        <f t="shared" si="11"/>
        <v>0</v>
      </c>
      <c r="BI349" s="16">
        <f t="shared" si="11"/>
        <v>0</v>
      </c>
      <c r="BJ349" s="21"/>
    </row>
    <row r="350" spans="1:62" x14ac:dyDescent="0.25">
      <c r="A350" t="s">
        <v>613</v>
      </c>
      <c r="B350">
        <v>7</v>
      </c>
      <c r="D350">
        <v>6</v>
      </c>
      <c r="E350" s="16">
        <f t="shared" ref="E350:AW350" si="12">SUMIF($D$7:$D$339,$D$350,E7:E339)+SUMIF($D$7:$D$339,$B$350,E7:E339)</f>
        <v>1987368.514</v>
      </c>
      <c r="F350" s="16">
        <f t="shared" si="12"/>
        <v>80938.880000000005</v>
      </c>
      <c r="G350" s="16">
        <f t="shared" si="12"/>
        <v>75228.968999999983</v>
      </c>
      <c r="H350" s="16">
        <f t="shared" si="12"/>
        <v>20981.478999999992</v>
      </c>
      <c r="I350" s="16">
        <f t="shared" si="12"/>
        <v>10719.669</v>
      </c>
      <c r="J350" s="16">
        <f t="shared" si="12"/>
        <v>48801.529000000002</v>
      </c>
      <c r="K350" s="16">
        <f t="shared" si="12"/>
        <v>18779.100999999999</v>
      </c>
      <c r="L350" s="16">
        <f t="shared" si="12"/>
        <v>2350227.4869999988</v>
      </c>
      <c r="M350" s="16">
        <f t="shared" si="12"/>
        <v>605033.38099999982</v>
      </c>
      <c r="N350" s="16">
        <f>SUMIF($D$7:$D$339,$D$350,N7:N339)+SUMIF($D$7:$D$339,$B$350,N7:N339)</f>
        <v>-0.33300000000000002</v>
      </c>
      <c r="O350" s="16">
        <f t="shared" si="12"/>
        <v>751.596</v>
      </c>
      <c r="P350" s="16">
        <f t="shared" si="12"/>
        <v>1306.732</v>
      </c>
      <c r="Q350" s="16">
        <f t="shared" si="12"/>
        <v>495.31700000000001</v>
      </c>
      <c r="R350" s="16">
        <f t="shared" si="12"/>
        <v>793.14699999999993</v>
      </c>
      <c r="S350" s="16">
        <f t="shared" si="12"/>
        <v>16515.734</v>
      </c>
      <c r="T350" s="16">
        <f t="shared" si="12"/>
        <v>0</v>
      </c>
      <c r="U350" s="16">
        <f t="shared" si="12"/>
        <v>15081.123999999998</v>
      </c>
      <c r="V350" s="16">
        <f t="shared" si="12"/>
        <v>7552.7400000000016</v>
      </c>
      <c r="W350" s="16">
        <f t="shared" si="12"/>
        <v>20073.638999999992</v>
      </c>
      <c r="X350" s="16">
        <f t="shared" si="12"/>
        <v>-2528.1950000000002</v>
      </c>
      <c r="Y350" s="16">
        <f t="shared" si="12"/>
        <v>363961.82399999996</v>
      </c>
      <c r="Z350" s="16">
        <f t="shared" si="12"/>
        <v>1215.8349999999989</v>
      </c>
      <c r="AA350" s="16">
        <f t="shared" si="12"/>
        <v>101219.70799999997</v>
      </c>
      <c r="AB350" s="16">
        <f t="shared" si="12"/>
        <v>23090.835999999999</v>
      </c>
      <c r="AC350" s="16">
        <f t="shared" si="12"/>
        <v>12592.695000000002</v>
      </c>
      <c r="AD350" s="16">
        <f t="shared" si="12"/>
        <v>655.00300000000004</v>
      </c>
      <c r="AE350" s="16">
        <f t="shared" si="12"/>
        <v>1264220.7720000001</v>
      </c>
      <c r="AF350" s="16">
        <f t="shared" si="12"/>
        <v>80315.746999999974</v>
      </c>
      <c r="AG350" s="16">
        <f t="shared" si="12"/>
        <v>4739.0389999999989</v>
      </c>
      <c r="AH350" s="16">
        <f t="shared" si="12"/>
        <v>4706184.0010000011</v>
      </c>
      <c r="AI350" s="16">
        <f t="shared" si="12"/>
        <v>178167.28999999995</v>
      </c>
      <c r="AJ350" s="16">
        <f t="shared" si="12"/>
        <v>4824.2529999999933</v>
      </c>
      <c r="AK350" s="16">
        <f t="shared" si="12"/>
        <v>660804.00699999998</v>
      </c>
      <c r="AL350" s="16">
        <f t="shared" si="12"/>
        <v>364781.52199999994</v>
      </c>
      <c r="AM350" s="16">
        <f>SUMIF($D$7:$D$339,$D$350,AM7:AM339)+SUMIF($D$7:$D$339,$B$350,AM7:AM339)</f>
        <v>3130.8780000000002</v>
      </c>
      <c r="AN350" s="16">
        <f>SUMIF($D$7:$D$339,$D$350,AN7:AN339)+SUMIF($D$7:$D$339,$B$350,AN7:AN339)</f>
        <v>237321.17399999997</v>
      </c>
      <c r="AO350" s="16">
        <f>SUMIF($D$7:$D$339,$D$350,AO7:AO339)+SUMIF($D$7:$D$339,$B$350,AO7:AO339)</f>
        <v>5701.3709999999983</v>
      </c>
      <c r="AP350" s="16">
        <f t="shared" si="12"/>
        <v>12.870999999999999</v>
      </c>
      <c r="AQ350" s="16">
        <f t="shared" si="12"/>
        <v>19865.359</v>
      </c>
      <c r="AR350" s="16">
        <f t="shared" si="12"/>
        <v>4.1400000000000006</v>
      </c>
      <c r="AS350" s="16">
        <f t="shared" si="12"/>
        <v>184.88099999999997</v>
      </c>
      <c r="AT350" s="16">
        <f t="shared" si="12"/>
        <v>0</v>
      </c>
      <c r="AU350" s="16">
        <f t="shared" si="12"/>
        <v>2131.473</v>
      </c>
      <c r="AV350" s="16">
        <f t="shared" si="12"/>
        <v>8.0799999999999983</v>
      </c>
      <c r="AW350" s="16">
        <f t="shared" si="12"/>
        <v>16.544</v>
      </c>
      <c r="AX350" s="16">
        <f>SUMIF($D$7:$D$339,$D$350,AX7:AX339)+SUMIF($D$7:$D$339,$B$350,AX7:AX339)</f>
        <v>-2713.0220000000004</v>
      </c>
      <c r="AY350" s="16">
        <f t="shared" ref="AY350:BI350" si="13">SUMIF($D$7:$D$339,$D$350,AY7:AY339)+SUMIF($D$7:$D$339,$B$350,AY7:AY339)</f>
        <v>2084.4899999999998</v>
      </c>
      <c r="AZ350" s="16">
        <f t="shared" si="13"/>
        <v>14256.764999999999</v>
      </c>
      <c r="BA350" s="16">
        <f t="shared" si="13"/>
        <v>-2007.1660000000002</v>
      </c>
      <c r="BB350" s="16">
        <f t="shared" si="13"/>
        <v>2019.7359999999996</v>
      </c>
      <c r="BC350" s="16">
        <f t="shared" si="13"/>
        <v>1134.9849999999999</v>
      </c>
      <c r="BD350" s="16">
        <f t="shared" si="13"/>
        <v>17956.547999999999</v>
      </c>
      <c r="BE350" s="16">
        <f t="shared" si="13"/>
        <v>475.39200000000011</v>
      </c>
      <c r="BF350" s="16">
        <f t="shared" si="13"/>
        <v>475.39200000000011</v>
      </c>
      <c r="BG350" s="16">
        <f t="shared" si="13"/>
        <v>5675.6399999999994</v>
      </c>
      <c r="BH350" s="16">
        <f t="shared" si="13"/>
        <v>3888.1199999999922</v>
      </c>
      <c r="BI350" s="16">
        <f t="shared" si="13"/>
        <v>464.71299999999997</v>
      </c>
      <c r="BJ350" s="21"/>
    </row>
    <row r="351" spans="1:6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E352">
        <f t="shared" ref="E352:M352" si="14">SUM(E345:E351)</f>
        <v>8920620.4289999995</v>
      </c>
      <c r="F352">
        <f t="shared" si="14"/>
        <v>1002302.312</v>
      </c>
      <c r="G352">
        <f t="shared" si="14"/>
        <v>997067.07799999998</v>
      </c>
      <c r="H352">
        <f t="shared" si="14"/>
        <v>1116732.4569999999</v>
      </c>
      <c r="I352">
        <f t="shared" si="14"/>
        <v>134493.38700000002</v>
      </c>
      <c r="J352">
        <f t="shared" si="14"/>
        <v>710509.174</v>
      </c>
      <c r="K352">
        <f t="shared" si="14"/>
        <v>277669.39</v>
      </c>
      <c r="L352" s="17">
        <f t="shared" si="14"/>
        <v>9467519.1949999984</v>
      </c>
      <c r="M352">
        <f t="shared" si="14"/>
        <v>3014303.0309999995</v>
      </c>
      <c r="N352">
        <f>SUM(N345:N351)</f>
        <v>15071.883</v>
      </c>
      <c r="O352">
        <f t="shared" ref="O352:AL352" si="15">SUM(O345:O351)</f>
        <v>12266.978999999999</v>
      </c>
      <c r="P352">
        <f t="shared" si="15"/>
        <v>19722.674999999999</v>
      </c>
      <c r="Q352">
        <f t="shared" si="15"/>
        <v>12974.694</v>
      </c>
      <c r="R352">
        <f t="shared" si="15"/>
        <v>18861.042000000001</v>
      </c>
      <c r="S352">
        <f t="shared" si="15"/>
        <v>313526.69799999997</v>
      </c>
      <c r="T352">
        <f t="shared" si="15"/>
        <v>992.49099999999999</v>
      </c>
      <c r="U352">
        <f t="shared" si="15"/>
        <v>208284.19200000001</v>
      </c>
      <c r="V352">
        <f t="shared" si="15"/>
        <v>109889.939</v>
      </c>
      <c r="W352">
        <f t="shared" si="15"/>
        <v>238835.16</v>
      </c>
      <c r="X352">
        <f t="shared" si="15"/>
        <v>214660.97699999998</v>
      </c>
      <c r="Y352">
        <f t="shared" si="15"/>
        <v>2222454.3989999997</v>
      </c>
      <c r="Z352">
        <f t="shared" si="15"/>
        <v>122678.038</v>
      </c>
      <c r="AA352">
        <f t="shared" si="15"/>
        <v>1455012.9809999997</v>
      </c>
      <c r="AB352">
        <f t="shared" si="15"/>
        <v>367801.84600000002</v>
      </c>
      <c r="AC352">
        <f t="shared" si="15"/>
        <v>178125.72</v>
      </c>
      <c r="AD352">
        <f t="shared" si="15"/>
        <v>60692.915999999997</v>
      </c>
      <c r="AE352">
        <f t="shared" si="15"/>
        <v>5958318.8959999997</v>
      </c>
      <c r="AF352">
        <f t="shared" si="15"/>
        <v>1480754.8940000001</v>
      </c>
      <c r="AG352">
        <f t="shared" si="15"/>
        <v>281356.815</v>
      </c>
      <c r="AH352">
        <f t="shared" si="15"/>
        <v>19656952.432000004</v>
      </c>
      <c r="AI352">
        <f t="shared" si="15"/>
        <v>2563747.2419999996</v>
      </c>
      <c r="AJ352">
        <f t="shared" si="15"/>
        <v>636169.853</v>
      </c>
      <c r="AK352">
        <f t="shared" si="15"/>
        <v>10864686.687999999</v>
      </c>
      <c r="AL352">
        <f t="shared" si="15"/>
        <v>5996597.8389999997</v>
      </c>
      <c r="AM352">
        <f>SUM(AM345:AM351)</f>
        <v>44674.822999999989</v>
      </c>
      <c r="AN352">
        <f>SUM(AN345:AN351)</f>
        <v>3907258.8640000005</v>
      </c>
      <c r="AO352">
        <f>SUM(AO345:AO351)</f>
        <v>141869.96899999998</v>
      </c>
      <c r="AP352">
        <f>SUM(AP345:AP351)</f>
        <v>67651.210999999996</v>
      </c>
      <c r="AQ352">
        <f t="shared" ref="AQ352:AW352" si="16">SUM(AQ345:AQ351)</f>
        <v>517103.49399999995</v>
      </c>
      <c r="AR352">
        <f t="shared" si="16"/>
        <v>25273.244999999999</v>
      </c>
      <c r="AS352">
        <f t="shared" si="16"/>
        <v>3713.1259999999997</v>
      </c>
      <c r="AT352">
        <f t="shared" si="16"/>
        <v>0</v>
      </c>
      <c r="AU352">
        <f t="shared" si="16"/>
        <v>80851.643000000011</v>
      </c>
      <c r="AV352">
        <f t="shared" si="16"/>
        <v>71303.317999999999</v>
      </c>
      <c r="AW352">
        <f t="shared" si="16"/>
        <v>104531.55499999999</v>
      </c>
      <c r="AX352">
        <f>SUM(AX345:AX351)</f>
        <v>234255.11199999999</v>
      </c>
      <c r="AY352">
        <f t="shared" ref="AY352:BI352" si="17">SUM(AY345:AY351)</f>
        <v>48329.608999999997</v>
      </c>
      <c r="AZ352">
        <f t="shared" si="17"/>
        <v>240136.35599999997</v>
      </c>
      <c r="BA352">
        <f t="shared" si="17"/>
        <v>170469.74100000001</v>
      </c>
      <c r="BB352">
        <f t="shared" si="17"/>
        <v>51295.033000000003</v>
      </c>
      <c r="BC352">
        <f t="shared" si="17"/>
        <v>27965.562000000002</v>
      </c>
      <c r="BD352">
        <f t="shared" si="17"/>
        <v>270098.76400000002</v>
      </c>
      <c r="BE352">
        <f t="shared" si="17"/>
        <v>11864.135000000002</v>
      </c>
      <c r="BF352">
        <f t="shared" si="17"/>
        <v>11864.135000000002</v>
      </c>
      <c r="BG352">
        <f t="shared" si="17"/>
        <v>87422.150000000009</v>
      </c>
      <c r="BH352">
        <f t="shared" si="17"/>
        <v>404090.44799999997</v>
      </c>
      <c r="BI352">
        <f t="shared" si="17"/>
        <v>11283.058000000001</v>
      </c>
      <c r="BJ352" s="21"/>
    </row>
    <row r="353" spans="1:62" x14ac:dyDescent="0.25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21"/>
    </row>
    <row r="354" spans="1:62" x14ac:dyDescent="0.25">
      <c r="A354" s="8"/>
      <c r="B354" s="8"/>
      <c r="C354" s="8"/>
      <c r="D354" s="8"/>
      <c r="E354" s="8">
        <f t="shared" ref="E354:AJ354" si="18">E352-E340</f>
        <v>8920620.4289999995</v>
      </c>
      <c r="F354" s="8">
        <f t="shared" si="18"/>
        <v>1002302.312</v>
      </c>
      <c r="G354" s="8">
        <f t="shared" si="18"/>
        <v>997067.07799999998</v>
      </c>
      <c r="H354" s="8">
        <f t="shared" si="18"/>
        <v>1116732.4569999999</v>
      </c>
      <c r="I354" s="8">
        <f t="shared" si="18"/>
        <v>134493.38700000002</v>
      </c>
      <c r="J354" s="8">
        <f t="shared" si="18"/>
        <v>710509.174</v>
      </c>
      <c r="K354" s="8">
        <f t="shared" si="18"/>
        <v>277669.39</v>
      </c>
      <c r="L354" s="18">
        <f t="shared" si="18"/>
        <v>9467519.1949999984</v>
      </c>
      <c r="M354" s="8">
        <f t="shared" si="18"/>
        <v>3014303.0309999995</v>
      </c>
      <c r="N354" s="8">
        <f>N352-N340</f>
        <v>15071.883</v>
      </c>
      <c r="O354" s="8">
        <f t="shared" si="18"/>
        <v>12266.978999999999</v>
      </c>
      <c r="P354" s="8">
        <f t="shared" si="18"/>
        <v>19722.674999999999</v>
      </c>
      <c r="Q354" s="8">
        <f t="shared" si="18"/>
        <v>12974.694</v>
      </c>
      <c r="R354" s="8">
        <f t="shared" si="18"/>
        <v>18861.042000000001</v>
      </c>
      <c r="S354" s="8">
        <f t="shared" si="18"/>
        <v>313526.69799999997</v>
      </c>
      <c r="T354" s="8">
        <f t="shared" si="18"/>
        <v>992.49099999999999</v>
      </c>
      <c r="U354" s="8">
        <f t="shared" si="18"/>
        <v>208284.19200000001</v>
      </c>
      <c r="V354" s="8">
        <f t="shared" si="18"/>
        <v>109889.939</v>
      </c>
      <c r="W354" s="8">
        <f t="shared" si="18"/>
        <v>238835.16</v>
      </c>
      <c r="X354" s="8">
        <f t="shared" si="18"/>
        <v>214660.97699999998</v>
      </c>
      <c r="Y354" s="8">
        <f t="shared" si="18"/>
        <v>2222454.3989999997</v>
      </c>
      <c r="Z354" s="8">
        <f t="shared" si="18"/>
        <v>122678.038</v>
      </c>
      <c r="AA354" s="8">
        <f t="shared" si="18"/>
        <v>1455012.9809999997</v>
      </c>
      <c r="AB354" s="8">
        <f t="shared" si="18"/>
        <v>367801.84600000002</v>
      </c>
      <c r="AC354" s="8">
        <f t="shared" si="18"/>
        <v>178125.72</v>
      </c>
      <c r="AD354" s="8">
        <f t="shared" si="18"/>
        <v>60692.915999999997</v>
      </c>
      <c r="AE354" s="8">
        <f t="shared" si="18"/>
        <v>5958318.8959999997</v>
      </c>
      <c r="AF354" s="8">
        <f t="shared" si="18"/>
        <v>1480754.8940000001</v>
      </c>
      <c r="AG354" s="8">
        <f t="shared" si="18"/>
        <v>281356.815</v>
      </c>
      <c r="AH354" s="8">
        <f t="shared" si="18"/>
        <v>19656952.432000004</v>
      </c>
      <c r="AI354" s="8">
        <f t="shared" si="18"/>
        <v>2563747.2419999996</v>
      </c>
      <c r="AJ354" s="8">
        <f t="shared" si="18"/>
        <v>636169.853</v>
      </c>
      <c r="AK354" s="8">
        <f>AK352-AK340</f>
        <v>10864686.687999999</v>
      </c>
      <c r="AL354" s="8">
        <f>AL352-AL340</f>
        <v>5996597.8389999997</v>
      </c>
      <c r="AM354" s="8">
        <f>AM352-AM340</f>
        <v>44674.822999999989</v>
      </c>
      <c r="AN354" s="8">
        <f>AN352-AN340</f>
        <v>3907258.8640000005</v>
      </c>
      <c r="AO354" s="8">
        <f>AO352-AO340</f>
        <v>141869.96899999998</v>
      </c>
      <c r="AP354" s="8">
        <f t="shared" ref="AP354:AW354" si="19">AP352-AP340</f>
        <v>67651.210999999996</v>
      </c>
      <c r="AQ354" s="8">
        <f t="shared" si="19"/>
        <v>517103.49399999995</v>
      </c>
      <c r="AR354" s="8">
        <f t="shared" si="19"/>
        <v>25273.244999999999</v>
      </c>
      <c r="AS354" s="8">
        <f t="shared" si="19"/>
        <v>3713.1259999999997</v>
      </c>
      <c r="AT354" s="8">
        <f t="shared" si="19"/>
        <v>0</v>
      </c>
      <c r="AU354" s="8">
        <f t="shared" si="19"/>
        <v>80851.643000000011</v>
      </c>
      <c r="AV354" s="8">
        <f t="shared" si="19"/>
        <v>71303.317999999999</v>
      </c>
      <c r="AW354" s="8">
        <f t="shared" si="19"/>
        <v>104531.55499999999</v>
      </c>
      <c r="AX354" s="8">
        <f>AX352-AX340</f>
        <v>234255.11199999999</v>
      </c>
      <c r="AY354" s="8">
        <f t="shared" ref="AY354:BI354" si="20">AY352-AY340</f>
        <v>48329.608999999997</v>
      </c>
      <c r="AZ354" s="8">
        <f t="shared" si="20"/>
        <v>240136.35599999997</v>
      </c>
      <c r="BA354" s="8">
        <f t="shared" si="20"/>
        <v>170469.74100000001</v>
      </c>
      <c r="BB354" s="8">
        <f t="shared" si="20"/>
        <v>51295.033000000003</v>
      </c>
      <c r="BC354" s="8">
        <f t="shared" si="20"/>
        <v>27965.562000000002</v>
      </c>
      <c r="BD354" s="8">
        <f t="shared" si="20"/>
        <v>270098.76400000002</v>
      </c>
      <c r="BE354" s="8">
        <f t="shared" si="20"/>
        <v>11864.135000000002</v>
      </c>
      <c r="BF354" s="8">
        <f t="shared" si="20"/>
        <v>11864.135000000002</v>
      </c>
      <c r="BG354" s="8">
        <f t="shared" si="20"/>
        <v>87422.150000000009</v>
      </c>
      <c r="BH354" s="8">
        <f t="shared" si="20"/>
        <v>404090.44799999997</v>
      </c>
      <c r="BI354" s="8">
        <f t="shared" si="20"/>
        <v>11283.058000000001</v>
      </c>
      <c r="BJ354" s="21"/>
    </row>
    <row r="355" spans="1:62" x14ac:dyDescent="0.25">
      <c r="E355" s="19">
        <f t="shared" ref="E355:M355" si="21">E5</f>
        <v>401</v>
      </c>
      <c r="F355" s="19">
        <f t="shared" si="21"/>
        <v>242</v>
      </c>
      <c r="G355" s="19">
        <f t="shared" si="21"/>
        <v>385</v>
      </c>
      <c r="H355" s="19">
        <f t="shared" si="21"/>
        <v>528</v>
      </c>
      <c r="I355" s="19">
        <f t="shared" si="21"/>
        <v>384</v>
      </c>
      <c r="J355" s="19">
        <f t="shared" si="21"/>
        <v>716</v>
      </c>
      <c r="K355" s="19">
        <f t="shared" si="21"/>
        <v>715</v>
      </c>
      <c r="L355" s="19">
        <f t="shared" si="21"/>
        <v>9916</v>
      </c>
      <c r="M355" s="19">
        <f t="shared" si="21"/>
        <v>1100</v>
      </c>
      <c r="N355" s="19">
        <f>N5</f>
        <v>801</v>
      </c>
      <c r="O355" s="19">
        <f t="shared" ref="O355:T355" si="22">O5</f>
        <v>804</v>
      </c>
      <c r="P355" s="19">
        <f t="shared" si="22"/>
        <v>806</v>
      </c>
      <c r="Q355" s="19">
        <f t="shared" si="22"/>
        <v>8765</v>
      </c>
      <c r="R355" s="19">
        <f t="shared" si="22"/>
        <v>8766</v>
      </c>
      <c r="S355" s="19">
        <f t="shared" si="22"/>
        <v>9418</v>
      </c>
      <c r="T355" s="19">
        <f t="shared" si="22"/>
        <v>9475</v>
      </c>
      <c r="U355" s="19">
        <f>U5</f>
        <v>9906</v>
      </c>
      <c r="V355" s="19">
        <f>V5</f>
        <v>7905</v>
      </c>
      <c r="W355" s="19">
        <f t="shared" ref="W355:AJ355" si="23">W5</f>
        <v>7906</v>
      </c>
      <c r="X355" s="19">
        <f t="shared" si="23"/>
        <v>7907</v>
      </c>
      <c r="Y355" s="19">
        <f t="shared" si="23"/>
        <v>7908</v>
      </c>
      <c r="Z355" s="19">
        <f t="shared" si="23"/>
        <v>7909</v>
      </c>
      <c r="AA355" s="19">
        <f t="shared" si="23"/>
        <v>11310</v>
      </c>
      <c r="AB355" s="19">
        <f t="shared" si="23"/>
        <v>11311</v>
      </c>
      <c r="AC355" s="19">
        <f t="shared" si="23"/>
        <v>11312</v>
      </c>
      <c r="AD355" s="19">
        <f t="shared" si="23"/>
        <v>11335</v>
      </c>
      <c r="AE355" s="19">
        <f t="shared" si="23"/>
        <v>9529</v>
      </c>
      <c r="AF355" s="19">
        <f t="shared" si="23"/>
        <v>961</v>
      </c>
      <c r="AG355" s="19">
        <f t="shared" si="23"/>
        <v>9528</v>
      </c>
      <c r="AH355" s="19">
        <f t="shared" si="23"/>
        <v>964</v>
      </c>
      <c r="AI355" s="19">
        <f t="shared" si="23"/>
        <v>968</v>
      </c>
      <c r="AJ355" s="19">
        <f t="shared" si="23"/>
        <v>8629</v>
      </c>
      <c r="AK355" s="19">
        <f>AK5</f>
        <v>13264</v>
      </c>
      <c r="AL355" s="19">
        <f>AL5</f>
        <v>13263</v>
      </c>
      <c r="AM355" s="19">
        <f>AM5</f>
        <v>13209</v>
      </c>
      <c r="AN355" s="19">
        <f>AN5</f>
        <v>13250</v>
      </c>
      <c r="AO355" s="19">
        <f>AO5</f>
        <v>14281</v>
      </c>
      <c r="AP355" s="19">
        <f t="shared" ref="AP355:AW355" si="24">AP5</f>
        <v>2049</v>
      </c>
      <c r="AQ355" s="19">
        <f t="shared" si="24"/>
        <v>7975</v>
      </c>
      <c r="AR355" s="19">
        <f t="shared" si="24"/>
        <v>8004</v>
      </c>
      <c r="AS355" s="19">
        <f t="shared" si="24"/>
        <v>1008</v>
      </c>
      <c r="AT355" s="19">
        <f t="shared" si="24"/>
        <v>9484</v>
      </c>
      <c r="AU355" s="19">
        <f t="shared" si="24"/>
        <v>682</v>
      </c>
      <c r="AV355" s="19">
        <f t="shared" si="24"/>
        <v>11352</v>
      </c>
      <c r="AW355" s="19">
        <f t="shared" si="24"/>
        <v>2058</v>
      </c>
      <c r="AX355" s="19">
        <f>AX5</f>
        <v>15007</v>
      </c>
      <c r="AY355" s="19">
        <f t="shared" ref="AY355:BI355" si="25">AY5</f>
        <v>15208</v>
      </c>
      <c r="AZ355" s="19">
        <f t="shared" si="25"/>
        <v>15209</v>
      </c>
      <c r="BA355" s="19">
        <f t="shared" si="25"/>
        <v>15210</v>
      </c>
      <c r="BB355" s="19">
        <f t="shared" si="25"/>
        <v>15211</v>
      </c>
      <c r="BC355" s="19">
        <f t="shared" si="25"/>
        <v>15212</v>
      </c>
      <c r="BD355" s="19">
        <f t="shared" si="25"/>
        <v>15232</v>
      </c>
      <c r="BE355" s="19">
        <f t="shared" si="25"/>
        <v>15214</v>
      </c>
      <c r="BF355" s="19">
        <f t="shared" si="25"/>
        <v>15214</v>
      </c>
      <c r="BG355" s="19">
        <f t="shared" si="25"/>
        <v>15233</v>
      </c>
      <c r="BH355" s="19">
        <f t="shared" si="25"/>
        <v>15234</v>
      </c>
      <c r="BI355" s="19">
        <f t="shared" si="25"/>
        <v>15215</v>
      </c>
      <c r="BJ355" s="21"/>
    </row>
    <row r="356" spans="1:62" x14ac:dyDescent="0.25">
      <c r="A356" t="s">
        <v>608</v>
      </c>
      <c r="E356" s="20">
        <f t="shared" ref="E356:AL356" si="26">E345/E352</f>
        <v>0.10439369239078741</v>
      </c>
      <c r="F356" s="20">
        <f t="shared" si="26"/>
        <v>0.16001495764283938</v>
      </c>
      <c r="G356" s="20">
        <f t="shared" si="26"/>
        <v>3.305000007231209E-2</v>
      </c>
      <c r="H356" s="20">
        <f t="shared" si="26"/>
        <v>3.1029045303372964E-2</v>
      </c>
      <c r="I356" s="20">
        <f t="shared" si="26"/>
        <v>7.2676346532933991E-2</v>
      </c>
      <c r="J356" s="20">
        <f t="shared" si="26"/>
        <v>5.620023000575642E-2</v>
      </c>
      <c r="K356" s="20">
        <f t="shared" si="26"/>
        <v>-6.9934608204382876E-4</v>
      </c>
      <c r="L356" s="20">
        <f t="shared" si="26"/>
        <v>0.18030323687133548</v>
      </c>
      <c r="M356" s="20">
        <f t="shared" si="26"/>
        <v>5.0589425293916322E-2</v>
      </c>
      <c r="N356" s="20">
        <f>N345/N352</f>
        <v>7.6847796655534012E-2</v>
      </c>
      <c r="O356" s="20">
        <f t="shared" si="26"/>
        <v>0.73801031207439105</v>
      </c>
      <c r="P356" s="20">
        <f t="shared" si="26"/>
        <v>4.070527958301802E-2</v>
      </c>
      <c r="Q356" s="20">
        <f t="shared" si="26"/>
        <v>0.43105633165606833</v>
      </c>
      <c r="R356" s="20">
        <f t="shared" si="26"/>
        <v>0.13644728642245743</v>
      </c>
      <c r="S356" s="20">
        <f t="shared" si="26"/>
        <v>0.15257809081381643</v>
      </c>
      <c r="T356" s="20">
        <f t="shared" si="26"/>
        <v>3.6074886321387292E-2</v>
      </c>
      <c r="U356" s="20">
        <f t="shared" si="26"/>
        <v>-1.1756110612561514E-2</v>
      </c>
      <c r="V356" s="20">
        <f t="shared" si="26"/>
        <v>5.635641493986087E-2</v>
      </c>
      <c r="W356" s="20">
        <f t="shared" si="26"/>
        <v>8.644850280838047E-2</v>
      </c>
      <c r="X356" s="20">
        <f t="shared" si="26"/>
        <v>0.16762977837373769</v>
      </c>
      <c r="Y356" s="20">
        <f t="shared" si="26"/>
        <v>0.16331301652952387</v>
      </c>
      <c r="Z356" s="20">
        <f t="shared" si="26"/>
        <v>0.57146043532257995</v>
      </c>
      <c r="AA356" s="20">
        <f t="shared" si="26"/>
        <v>7.9461772856856738E-2</v>
      </c>
      <c r="AB356" s="20">
        <f t="shared" si="26"/>
        <v>0.75548470738235507</v>
      </c>
      <c r="AC356" s="20">
        <f t="shared" si="26"/>
        <v>0.16715466469412726</v>
      </c>
      <c r="AD356" s="20">
        <f t="shared" si="26"/>
        <v>0.28891936910726124</v>
      </c>
      <c r="AE356" s="20">
        <f t="shared" si="26"/>
        <v>0.17111006439827187</v>
      </c>
      <c r="AF356" s="20">
        <f t="shared" si="26"/>
        <v>0.30059857698501719</v>
      </c>
      <c r="AG356" s="20">
        <f t="shared" si="26"/>
        <v>0.32822953302197427</v>
      </c>
      <c r="AH356" s="20">
        <f t="shared" si="26"/>
        <v>0.147235880944009</v>
      </c>
      <c r="AI356" s="20">
        <f t="shared" si="26"/>
        <v>0.27237980272003748</v>
      </c>
      <c r="AJ356" s="20">
        <f t="shared" si="26"/>
        <v>0.55489263651102305</v>
      </c>
      <c r="AK356" s="20">
        <f t="shared" si="26"/>
        <v>0.75330789934694531</v>
      </c>
      <c r="AL356" s="20">
        <f t="shared" si="26"/>
        <v>0.7531802399063634</v>
      </c>
      <c r="AM356" s="20">
        <f>AM345/AM352</f>
        <v>-4.30956380062211E-3</v>
      </c>
      <c r="AN356" s="20">
        <f>AN345/AN352</f>
        <v>0.7531947696414516</v>
      </c>
      <c r="AO356" s="20">
        <f>AO345/AO352</f>
        <v>0.19548755945664584</v>
      </c>
      <c r="AP356" s="20">
        <f>AP345/AP352</f>
        <v>0.10052785307863892</v>
      </c>
      <c r="AQ356" s="20">
        <f t="shared" ref="AQ356:AW356" si="27">AQ345/AQ352</f>
        <v>0.30394756334792822</v>
      </c>
      <c r="AR356" s="20">
        <f t="shared" si="27"/>
        <v>9.5013916891162967E-2</v>
      </c>
      <c r="AS356" s="20">
        <f t="shared" si="27"/>
        <v>0.16830104876591853</v>
      </c>
      <c r="AT356" s="20" t="e">
        <f t="shared" si="27"/>
        <v>#DIV/0!</v>
      </c>
      <c r="AU356" s="20">
        <f t="shared" si="27"/>
        <v>0.15723870942239229</v>
      </c>
      <c r="AV356" s="20">
        <f t="shared" si="27"/>
        <v>9.9209576754899401E-2</v>
      </c>
      <c r="AW356" s="20">
        <f t="shared" si="27"/>
        <v>0.10581627719974127</v>
      </c>
      <c r="AX356" s="20">
        <f>AX345/AX352</f>
        <v>0.19600125524688658</v>
      </c>
      <c r="AY356" s="20">
        <f t="shared" ref="AY356:BI356" si="28">AY345/AY352</f>
        <v>5.3662672917548324E-2</v>
      </c>
      <c r="AZ356" s="20">
        <f t="shared" si="28"/>
        <v>7.6113901720071084E-2</v>
      </c>
      <c r="BA356" s="20">
        <f t="shared" si="28"/>
        <v>0.17247230404368363</v>
      </c>
      <c r="BB356" s="20">
        <f t="shared" si="28"/>
        <v>0.1923603597252779</v>
      </c>
      <c r="BC356" s="20">
        <f t="shared" si="28"/>
        <v>6.1889405262086271E-2</v>
      </c>
      <c r="BD356" s="20">
        <f t="shared" si="28"/>
        <v>4.8844873647774262E-2</v>
      </c>
      <c r="BE356" s="20">
        <f t="shared" si="28"/>
        <v>0.19438020555228</v>
      </c>
      <c r="BF356" s="20">
        <f t="shared" si="28"/>
        <v>0.19438020555228</v>
      </c>
      <c r="BG356" s="20">
        <f t="shared" si="28"/>
        <v>5.7204884574447092E-2</v>
      </c>
      <c r="BH356" s="20">
        <f t="shared" si="28"/>
        <v>0.57321121829635524</v>
      </c>
      <c r="BI356" s="20">
        <f t="shared" si="28"/>
        <v>5.0668533300103569E-2</v>
      </c>
      <c r="BJ356" s="21"/>
    </row>
    <row r="357" spans="1:62" x14ac:dyDescent="0.25">
      <c r="A357" t="s">
        <v>609</v>
      </c>
      <c r="E357" s="20">
        <f t="shared" ref="E357:AL357" si="29">E346/E352</f>
        <v>0.22565455306853077</v>
      </c>
      <c r="F357" s="20">
        <f t="shared" si="29"/>
        <v>0.16972866665401845</v>
      </c>
      <c r="G357" s="20">
        <f t="shared" si="29"/>
        <v>0.35783998977850112</v>
      </c>
      <c r="H357" s="20">
        <f t="shared" si="29"/>
        <v>0</v>
      </c>
      <c r="I357" s="20">
        <f t="shared" si="29"/>
        <v>0.37273979128802814</v>
      </c>
      <c r="J357" s="20">
        <f t="shared" si="29"/>
        <v>0.34503187428231574</v>
      </c>
      <c r="K357" s="20">
        <f t="shared" si="29"/>
        <v>0.75416034154863087</v>
      </c>
      <c r="L357" s="20">
        <f t="shared" si="29"/>
        <v>8.3025039802942804E-2</v>
      </c>
      <c r="M357" s="20">
        <f t="shared" si="29"/>
        <v>0.20594857106787021</v>
      </c>
      <c r="N357" s="20">
        <f>N346/N352</f>
        <v>0.77397011375420044</v>
      </c>
      <c r="O357" s="20">
        <f t="shared" si="29"/>
        <v>1.307127044074992E-2</v>
      </c>
      <c r="P357" s="20">
        <f t="shared" si="29"/>
        <v>0.78824986975651123</v>
      </c>
      <c r="Q357" s="20">
        <f t="shared" si="29"/>
        <v>0.14783277355134541</v>
      </c>
      <c r="R357" s="20">
        <f t="shared" si="29"/>
        <v>0.20239841467931621</v>
      </c>
      <c r="S357" s="20">
        <f t="shared" si="29"/>
        <v>0.16668238568952748</v>
      </c>
      <c r="T357" s="20">
        <f t="shared" si="29"/>
        <v>0.96392511367861278</v>
      </c>
      <c r="U357" s="20">
        <f t="shared" si="29"/>
        <v>0.79858751354495494</v>
      </c>
      <c r="V357" s="20">
        <f t="shared" si="29"/>
        <v>0.26481649971613869</v>
      </c>
      <c r="W357" s="20">
        <f t="shared" si="29"/>
        <v>0.22200561676094926</v>
      </c>
      <c r="X357" s="20">
        <f t="shared" si="29"/>
        <v>1.0557512742523296E-2</v>
      </c>
      <c r="Y357" s="20">
        <f t="shared" si="29"/>
        <v>0.17106901593619606</v>
      </c>
      <c r="Z357" s="20">
        <f t="shared" si="29"/>
        <v>2.0252932313769151E-3</v>
      </c>
      <c r="AA357" s="20">
        <f t="shared" si="29"/>
        <v>0.37126626157571035</v>
      </c>
      <c r="AB357" s="20">
        <f t="shared" si="29"/>
        <v>8.5817486625665261E-3</v>
      </c>
      <c r="AC357" s="20">
        <f t="shared" si="29"/>
        <v>0.14173785234383895</v>
      </c>
      <c r="AD357" s="20">
        <f t="shared" si="29"/>
        <v>0.1713045061140249</v>
      </c>
      <c r="AE357" s="20">
        <f t="shared" si="29"/>
        <v>0.15583838414948781</v>
      </c>
      <c r="AF357" s="20">
        <f t="shared" si="29"/>
        <v>4.340646670184161E-2</v>
      </c>
      <c r="AG357" s="20">
        <f t="shared" si="29"/>
        <v>0.13210175840240446</v>
      </c>
      <c r="AH357" s="20">
        <f t="shared" si="29"/>
        <v>0.12756171866794697</v>
      </c>
      <c r="AI357" s="20">
        <f t="shared" si="29"/>
        <v>3.914623538383899E-2</v>
      </c>
      <c r="AJ357" s="20">
        <f t="shared" si="29"/>
        <v>9.6127472422054554E-4</v>
      </c>
      <c r="AK357" s="20">
        <f t="shared" si="29"/>
        <v>7.3764759630406754E-2</v>
      </c>
      <c r="AL357" s="20">
        <f t="shared" si="29"/>
        <v>7.3818952160016618E-2</v>
      </c>
      <c r="AM357" s="20">
        <f>AM346/AM352</f>
        <v>0.79326841429231865</v>
      </c>
      <c r="AN357" s="20">
        <f>AN346/AN352</f>
        <v>7.3845938301773079E-2</v>
      </c>
      <c r="AO357" s="20">
        <f>AO346/AO352</f>
        <v>0.15941881963757951</v>
      </c>
      <c r="AP357" s="20">
        <f>AP346/AP352</f>
        <v>0</v>
      </c>
      <c r="AQ357" s="20">
        <f t="shared" ref="AQ357:AW357" si="30">AQ346/AQ352</f>
        <v>4.3621325830763009E-2</v>
      </c>
      <c r="AR357" s="20">
        <f t="shared" si="30"/>
        <v>0</v>
      </c>
      <c r="AS357" s="20">
        <f t="shared" si="30"/>
        <v>0.33189986011786299</v>
      </c>
      <c r="AT357" s="20" t="e">
        <f t="shared" si="30"/>
        <v>#DIV/0!</v>
      </c>
      <c r="AU357" s="20">
        <f t="shared" si="30"/>
        <v>0.37646758767784094</v>
      </c>
      <c r="AV357" s="20">
        <f t="shared" si="30"/>
        <v>0</v>
      </c>
      <c r="AW357" s="20">
        <f t="shared" si="30"/>
        <v>0</v>
      </c>
      <c r="AX357" s="20">
        <f>AX346/AX352</f>
        <v>1.0200229910030736E-2</v>
      </c>
      <c r="AY357" s="20">
        <f t="shared" ref="AY357:BI357" si="31">AY346/AY352</f>
        <v>0.25662332587875891</v>
      </c>
      <c r="AZ357" s="20">
        <f t="shared" si="31"/>
        <v>2.6070104936546973E-3</v>
      </c>
      <c r="BA357" s="20">
        <f t="shared" si="31"/>
        <v>1.0496906896808154E-2</v>
      </c>
      <c r="BB357" s="20">
        <f t="shared" si="31"/>
        <v>0.16701993348946673</v>
      </c>
      <c r="BC357" s="20">
        <f t="shared" si="31"/>
        <v>0.27426986806129622</v>
      </c>
      <c r="BD357" s="20">
        <f t="shared" si="31"/>
        <v>2.8914053083189967E-3</v>
      </c>
      <c r="BE357" s="20">
        <f t="shared" si="31"/>
        <v>0.15684776007690401</v>
      </c>
      <c r="BF357" s="20">
        <f t="shared" si="31"/>
        <v>0.15684776007690401</v>
      </c>
      <c r="BG357" s="20">
        <f t="shared" si="31"/>
        <v>2.8691813230399847E-3</v>
      </c>
      <c r="BH357" s="20">
        <f t="shared" si="31"/>
        <v>6.7555917580115629E-2</v>
      </c>
      <c r="BI357" s="20">
        <f t="shared" si="31"/>
        <v>0.26581171522826519</v>
      </c>
      <c r="BJ357" s="21"/>
    </row>
    <row r="358" spans="1:62" x14ac:dyDescent="0.25">
      <c r="A358" t="s">
        <v>610</v>
      </c>
      <c r="E358" s="20">
        <f t="shared" ref="E358:AL358" si="32">E347/E352</f>
        <v>0.21050365464440057</v>
      </c>
      <c r="F358" s="20">
        <f t="shared" si="32"/>
        <v>0.26464668875272435</v>
      </c>
      <c r="G358" s="20">
        <f t="shared" si="32"/>
        <v>0.45364447887226289</v>
      </c>
      <c r="H358" s="20">
        <f t="shared" si="32"/>
        <v>4.128751225146849E-2</v>
      </c>
      <c r="I358" s="20">
        <f t="shared" si="32"/>
        <v>0.32589327979374927</v>
      </c>
      <c r="J358" s="20">
        <f t="shared" si="32"/>
        <v>0.42806437711105477</v>
      </c>
      <c r="K358" s="20">
        <f t="shared" si="32"/>
        <v>0.11909446338323429</v>
      </c>
      <c r="L358" s="20">
        <f t="shared" si="32"/>
        <v>9.080002778911718E-2</v>
      </c>
      <c r="M358" s="20">
        <f t="shared" si="32"/>
        <v>0.35682162839586118</v>
      </c>
      <c r="N358" s="20">
        <f>N347/N352</f>
        <v>0.149204183710821</v>
      </c>
      <c r="O358" s="20">
        <f t="shared" si="32"/>
        <v>0</v>
      </c>
      <c r="P358" s="20">
        <f t="shared" si="32"/>
        <v>2.5092945049289719E-3</v>
      </c>
      <c r="Q358" s="20">
        <f t="shared" si="32"/>
        <v>0.30557845911433446</v>
      </c>
      <c r="R358" s="20">
        <f t="shared" si="32"/>
        <v>0.61177738748474231</v>
      </c>
      <c r="S358" s="20">
        <f t="shared" si="32"/>
        <v>0.35011485050628766</v>
      </c>
      <c r="T358" s="20">
        <f t="shared" si="32"/>
        <v>0</v>
      </c>
      <c r="U358" s="20">
        <f t="shared" si="32"/>
        <v>0.12611026188679741</v>
      </c>
      <c r="V358" s="20">
        <f t="shared" si="32"/>
        <v>0.50024989093860539</v>
      </c>
      <c r="W358" s="20">
        <f t="shared" si="32"/>
        <v>0.36618782175957676</v>
      </c>
      <c r="X358" s="20">
        <f t="shared" si="32"/>
        <v>0</v>
      </c>
      <c r="Y358" s="20">
        <f t="shared" si="32"/>
        <v>0.13667117810681345</v>
      </c>
      <c r="Z358" s="20">
        <f t="shared" si="32"/>
        <v>8.8702135911237837E-2</v>
      </c>
      <c r="AA358" s="20">
        <f t="shared" si="32"/>
        <v>0.43821022308803731</v>
      </c>
      <c r="AB358" s="20">
        <f t="shared" si="32"/>
        <v>0</v>
      </c>
      <c r="AC358" s="20">
        <f t="shared" si="32"/>
        <v>0.27250855182508171</v>
      </c>
      <c r="AD358" s="20">
        <f t="shared" si="32"/>
        <v>0.22494615351814698</v>
      </c>
      <c r="AE358" s="20">
        <f t="shared" si="32"/>
        <v>9.9637181285907442E-2</v>
      </c>
      <c r="AF358" s="20">
        <f t="shared" si="32"/>
        <v>9.3840858175141036E-3</v>
      </c>
      <c r="AG358" s="20">
        <f t="shared" si="32"/>
        <v>0.19383169019737445</v>
      </c>
      <c r="AH358" s="20">
        <f t="shared" si="32"/>
        <v>0.11025867481226245</v>
      </c>
      <c r="AI358" s="20">
        <f t="shared" si="32"/>
        <v>9.1472628876259569E-3</v>
      </c>
      <c r="AJ358" s="20">
        <f t="shared" si="32"/>
        <v>8.6953672418048397E-2</v>
      </c>
      <c r="AK358" s="20">
        <f t="shared" si="32"/>
        <v>0</v>
      </c>
      <c r="AL358" s="20">
        <f t="shared" si="32"/>
        <v>0</v>
      </c>
      <c r="AM358" s="20">
        <f>AM347/AM352</f>
        <v>0.12527028926337327</v>
      </c>
      <c r="AN358" s="20">
        <f>AN347/AN352</f>
        <v>0</v>
      </c>
      <c r="AO358" s="20">
        <f>AO347/AO352</f>
        <v>0.30559061445907559</v>
      </c>
      <c r="AP358" s="20">
        <f>AP347/AP352</f>
        <v>0</v>
      </c>
      <c r="AQ358" s="20">
        <f t="shared" ref="AQ358:AW358" si="33">AQ347/AQ352</f>
        <v>9.184718446323242E-3</v>
      </c>
      <c r="AR358" s="20">
        <f t="shared" si="33"/>
        <v>0</v>
      </c>
      <c r="AS358" s="20">
        <f t="shared" si="33"/>
        <v>0.21769150844867638</v>
      </c>
      <c r="AT358" s="20" t="e">
        <f t="shared" si="33"/>
        <v>#DIV/0!</v>
      </c>
      <c r="AU358" s="20">
        <f t="shared" si="33"/>
        <v>0.31472727152866886</v>
      </c>
      <c r="AV358" s="20">
        <f t="shared" si="33"/>
        <v>0</v>
      </c>
      <c r="AW358" s="20">
        <f t="shared" si="33"/>
        <v>0</v>
      </c>
      <c r="AX358" s="20">
        <f>AX347/AX352</f>
        <v>0</v>
      </c>
      <c r="AY358" s="20">
        <f t="shared" ref="AY358:BI358" si="34">AY347/AY352</f>
        <v>0.44799443753000356</v>
      </c>
      <c r="AZ358" s="20">
        <f t="shared" si="34"/>
        <v>1.9096783495790203E-2</v>
      </c>
      <c r="BA358" s="20">
        <f t="shared" si="34"/>
        <v>0</v>
      </c>
      <c r="BB358" s="20">
        <f t="shared" si="34"/>
        <v>0.3031485719094868</v>
      </c>
      <c r="BC358" s="20">
        <f t="shared" si="34"/>
        <v>0.62220980933621139</v>
      </c>
      <c r="BD358" s="20">
        <f t="shared" si="34"/>
        <v>2.1180026577241204E-2</v>
      </c>
      <c r="BE358" s="20">
        <f t="shared" si="34"/>
        <v>0.30561933086567206</v>
      </c>
      <c r="BF358" s="20">
        <f t="shared" si="34"/>
        <v>0.30561933086567206</v>
      </c>
      <c r="BG358" s="20">
        <f t="shared" si="34"/>
        <v>2.1017213600900916E-2</v>
      </c>
      <c r="BH358" s="20">
        <f t="shared" si="34"/>
        <v>9.0731152348347513E-2</v>
      </c>
      <c r="BI358" s="20">
        <f t="shared" si="34"/>
        <v>0.64127482106358047</v>
      </c>
      <c r="BJ358" s="21"/>
    </row>
    <row r="359" spans="1:62" x14ac:dyDescent="0.25">
      <c r="A359" t="s">
        <v>611</v>
      </c>
      <c r="E359" s="20">
        <f t="shared" ref="E359:AL359" si="35">E348/E352</f>
        <v>0.15615401687437946</v>
      </c>
      <c r="F359" s="20">
        <f t="shared" si="35"/>
        <v>0.29184152774856603</v>
      </c>
      <c r="G359" s="20">
        <f t="shared" si="35"/>
        <v>9.0953258813746538E-4</v>
      </c>
      <c r="H359" s="20">
        <f t="shared" si="35"/>
        <v>3.1332924713228787E-2</v>
      </c>
      <c r="I359" s="20">
        <f t="shared" si="35"/>
        <v>6.7828903736359886E-2</v>
      </c>
      <c r="J359" s="20">
        <f t="shared" si="35"/>
        <v>8.3013002728660049E-4</v>
      </c>
      <c r="K359" s="20">
        <f t="shared" si="35"/>
        <v>0</v>
      </c>
      <c r="L359" s="20">
        <f t="shared" si="35"/>
        <v>0.35259306036189136</v>
      </c>
      <c r="M359" s="20">
        <f t="shared" si="35"/>
        <v>6.5081310333592671E-2</v>
      </c>
      <c r="N359" s="20">
        <f>N348/N352</f>
        <v>0</v>
      </c>
      <c r="O359" s="20">
        <f t="shared" si="35"/>
        <v>0.18764856449171388</v>
      </c>
      <c r="P359" s="20">
        <f t="shared" si="35"/>
        <v>1.5936479204773186E-3</v>
      </c>
      <c r="Q359" s="20">
        <f t="shared" si="35"/>
        <v>7.7356814734898569E-2</v>
      </c>
      <c r="R359" s="20">
        <f t="shared" si="35"/>
        <v>5.1118596735005416E-3</v>
      </c>
      <c r="S359" s="20">
        <f t="shared" si="35"/>
        <v>0.29232854039115996</v>
      </c>
      <c r="T359" s="20">
        <f t="shared" si="35"/>
        <v>0</v>
      </c>
      <c r="U359" s="20">
        <f t="shared" si="35"/>
        <v>0</v>
      </c>
      <c r="V359" s="20">
        <f t="shared" si="35"/>
        <v>8.5633863169220614E-4</v>
      </c>
      <c r="W359" s="20">
        <f t="shared" si="35"/>
        <v>0.12410161468688279</v>
      </c>
      <c r="X359" s="20">
        <f t="shared" si="35"/>
        <v>0.83359032694610347</v>
      </c>
      <c r="Y359" s="20">
        <f t="shared" si="35"/>
        <v>0.28711034174069461</v>
      </c>
      <c r="Z359" s="20">
        <f t="shared" si="35"/>
        <v>0.32790135590528435</v>
      </c>
      <c r="AA359" s="20">
        <f t="shared" si="35"/>
        <v>9.5741688781538121E-4</v>
      </c>
      <c r="AB359" s="20">
        <f t="shared" si="35"/>
        <v>0.17315290201126393</v>
      </c>
      <c r="AC359" s="20">
        <f t="shared" si="35"/>
        <v>0.30908527415355846</v>
      </c>
      <c r="AD359" s="20">
        <f t="shared" si="35"/>
        <v>0.3040378880461107</v>
      </c>
      <c r="AE359" s="20">
        <f t="shared" si="35"/>
        <v>0.27080619116966442</v>
      </c>
      <c r="AF359" s="20">
        <f t="shared" si="35"/>
        <v>0.61669806981573283</v>
      </c>
      <c r="AG359" s="20">
        <f t="shared" si="35"/>
        <v>0.29351582615832494</v>
      </c>
      <c r="AH359" s="20">
        <f t="shared" si="35"/>
        <v>0.29547934615462873</v>
      </c>
      <c r="AI359" s="20">
        <f t="shared" si="35"/>
        <v>0.59889673476633609</v>
      </c>
      <c r="AJ359" s="20">
        <f t="shared" si="35"/>
        <v>0.34958656866753474</v>
      </c>
      <c r="AK359" s="20">
        <f t="shared" si="35"/>
        <v>0.11206793338502943</v>
      </c>
      <c r="AL359" s="20">
        <f t="shared" si="35"/>
        <v>0.11215026187451489</v>
      </c>
      <c r="AM359" s="20">
        <f>AM348/AM352</f>
        <v>0</v>
      </c>
      <c r="AN359" s="20">
        <f>AN348/AN352</f>
        <v>0.11219124410693254</v>
      </c>
      <c r="AO359" s="20">
        <f>AO348/AO352</f>
        <v>0.31613046310033383</v>
      </c>
      <c r="AP359" s="20">
        <f>AP348/AP352</f>
        <v>0.89928189164270844</v>
      </c>
      <c r="AQ359" s="20">
        <f t="shared" ref="AQ359:AW359" si="36">AQ348/AQ352</f>
        <v>0.61711253298938262</v>
      </c>
      <c r="AR359" s="20">
        <f t="shared" si="36"/>
        <v>0.90482227351493638</v>
      </c>
      <c r="AS359" s="20">
        <f t="shared" si="36"/>
        <v>0.24452415565752414</v>
      </c>
      <c r="AT359" s="20" t="e">
        <f t="shared" si="36"/>
        <v>#DIV/0!</v>
      </c>
      <c r="AU359" s="20">
        <f t="shared" si="36"/>
        <v>0.1287977042099194</v>
      </c>
      <c r="AV359" s="20">
        <f t="shared" si="36"/>
        <v>0.9006771045353037</v>
      </c>
      <c r="AW359" s="20">
        <f t="shared" si="36"/>
        <v>0.89402545480166262</v>
      </c>
      <c r="AX359" s="20">
        <f>AX348/AX352</f>
        <v>0.80537999956218664</v>
      </c>
      <c r="AY359" s="20">
        <f t="shared" ref="AY359:BI359" si="37">AY348/AY352</f>
        <v>0.19858886091960731</v>
      </c>
      <c r="AZ359" s="20">
        <f t="shared" si="37"/>
        <v>0.84281284754733277</v>
      </c>
      <c r="BA359" s="20">
        <f t="shared" si="37"/>
        <v>0.82880511327813888</v>
      </c>
      <c r="BB359" s="20">
        <f t="shared" si="37"/>
        <v>0.31449007938059031</v>
      </c>
      <c r="BC359" s="20">
        <f t="shared" si="37"/>
        <v>1.0458220006449358E-3</v>
      </c>
      <c r="BD359" s="20">
        <f t="shared" si="37"/>
        <v>0.86060227954245672</v>
      </c>
      <c r="BE359" s="20">
        <f t="shared" si="37"/>
        <v>0.32114452507494229</v>
      </c>
      <c r="BF359" s="20">
        <f t="shared" si="37"/>
        <v>0.32114452507494229</v>
      </c>
      <c r="BG359" s="20">
        <f t="shared" si="37"/>
        <v>0.85398650113272212</v>
      </c>
      <c r="BH359" s="20">
        <f t="shared" si="37"/>
        <v>0.25887980653281861</v>
      </c>
      <c r="BI359" s="20">
        <f t="shared" si="37"/>
        <v>1.0581351261333585E-3</v>
      </c>
      <c r="BJ359" s="21"/>
    </row>
    <row r="360" spans="1:62" x14ac:dyDescent="0.25">
      <c r="A360" t="s">
        <v>612</v>
      </c>
      <c r="E360" s="20">
        <f t="shared" ref="E360:AL360" si="38">E349/E352</f>
        <v>8.0510417937433812E-2</v>
      </c>
      <c r="F360" s="20">
        <f t="shared" si="38"/>
        <v>3.3015197714120412E-2</v>
      </c>
      <c r="G360" s="20">
        <f t="shared" si="38"/>
        <v>7.9105739965069824E-2</v>
      </c>
      <c r="H360" s="20">
        <f t="shared" si="38"/>
        <v>0.87756224049642717</v>
      </c>
      <c r="I360" s="20">
        <f t="shared" si="38"/>
        <v>8.1157618552650454E-2</v>
      </c>
      <c r="J360" s="20">
        <f t="shared" si="38"/>
        <v>0.10118809810047576</v>
      </c>
      <c r="K360" s="20">
        <f t="shared" si="38"/>
        <v>5.9813388144800549E-2</v>
      </c>
      <c r="L360" s="20">
        <f t="shared" si="38"/>
        <v>4.5037523792419432E-2</v>
      </c>
      <c r="M360" s="20">
        <f t="shared" si="38"/>
        <v>0.12083824328676136</v>
      </c>
      <c r="N360" s="20">
        <f>N349/N352</f>
        <v>0</v>
      </c>
      <c r="O360" s="20">
        <f t="shared" si="38"/>
        <v>0</v>
      </c>
      <c r="P360" s="20">
        <f t="shared" si="38"/>
        <v>0.10068659550492011</v>
      </c>
      <c r="Q360" s="20">
        <f t="shared" si="38"/>
        <v>0</v>
      </c>
      <c r="R360" s="20">
        <f t="shared" si="38"/>
        <v>2.2129212161236902E-3</v>
      </c>
      <c r="S360" s="20">
        <f t="shared" si="38"/>
        <v>-1.4381148491539307E-2</v>
      </c>
      <c r="T360" s="20">
        <f t="shared" si="38"/>
        <v>0</v>
      </c>
      <c r="U360" s="20">
        <f t="shared" si="38"/>
        <v>1.4651860857496089E-2</v>
      </c>
      <c r="V360" s="20">
        <f t="shared" si="38"/>
        <v>0.10899081489161623</v>
      </c>
      <c r="W360" s="20">
        <f t="shared" si="38"/>
        <v>0.11720835407985994</v>
      </c>
      <c r="X360" s="20">
        <f t="shared" si="38"/>
        <v>0</v>
      </c>
      <c r="Y360" s="20">
        <f t="shared" si="38"/>
        <v>7.8070737054524386E-2</v>
      </c>
      <c r="Z360" s="20">
        <f t="shared" si="38"/>
        <v>0</v>
      </c>
      <c r="AA360" s="20">
        <f t="shared" si="38"/>
        <v>4.0538136614741309E-2</v>
      </c>
      <c r="AB360" s="20">
        <f t="shared" si="38"/>
        <v>0</v>
      </c>
      <c r="AC360" s="20">
        <f t="shared" si="38"/>
        <v>3.8818111163284E-2</v>
      </c>
      <c r="AD360" s="20">
        <f t="shared" si="38"/>
        <v>0</v>
      </c>
      <c r="AE360" s="20">
        <f t="shared" si="38"/>
        <v>9.0430752097160005E-2</v>
      </c>
      <c r="AF360" s="20">
        <f t="shared" si="38"/>
        <v>-2.432693023400536E-2</v>
      </c>
      <c r="AG360" s="20">
        <f t="shared" si="38"/>
        <v>3.5477672719603399E-2</v>
      </c>
      <c r="AH360" s="20">
        <f t="shared" si="38"/>
        <v>8.004862983940704E-2</v>
      </c>
      <c r="AI360" s="20">
        <f t="shared" si="38"/>
        <v>1.0935090846993881E-2</v>
      </c>
      <c r="AJ360" s="20">
        <f t="shared" si="38"/>
        <v>2.2569444201562943E-5</v>
      </c>
      <c r="AK360" s="20">
        <f t="shared" si="38"/>
        <v>3.8140906581106563E-5</v>
      </c>
      <c r="AL360" s="20">
        <f t="shared" si="38"/>
        <v>1.9132682077464891E-5</v>
      </c>
      <c r="AM360" s="20">
        <f>AM349/AM352</f>
        <v>1.568937385605311E-2</v>
      </c>
      <c r="AN360" s="20">
        <f>AN349/AN352</f>
        <v>2.9514297366502813E-5</v>
      </c>
      <c r="AO360" s="20">
        <f>AO349/AO352</f>
        <v>-1.6814756617025837E-2</v>
      </c>
      <c r="AP360" s="20">
        <f>AP349/AP352</f>
        <v>0</v>
      </c>
      <c r="AQ360" s="20">
        <f t="shared" ref="AQ360:AW360" si="39">AQ349/AQ352</f>
        <v>-1.2282742378839933E-2</v>
      </c>
      <c r="AR360" s="20">
        <f t="shared" si="39"/>
        <v>0</v>
      </c>
      <c r="AS360" s="20">
        <f t="shared" si="39"/>
        <v>-1.2207773180872399E-2</v>
      </c>
      <c r="AT360" s="20" t="e">
        <f t="shared" si="39"/>
        <v>#DIV/0!</v>
      </c>
      <c r="AU360" s="20">
        <f t="shared" si="39"/>
        <v>-3.5940395175395505E-3</v>
      </c>
      <c r="AV360" s="20">
        <f t="shared" si="39"/>
        <v>0</v>
      </c>
      <c r="AW360" s="20">
        <f t="shared" si="39"/>
        <v>0</v>
      </c>
      <c r="AX360" s="20">
        <f>AX349/AX352</f>
        <v>0</v>
      </c>
      <c r="AY360" s="20">
        <f t="shared" ref="AY360:BI360" si="40">AY349/AY352</f>
        <v>0</v>
      </c>
      <c r="AZ360" s="20">
        <f t="shared" si="40"/>
        <v>0</v>
      </c>
      <c r="BA360" s="20">
        <f t="shared" si="40"/>
        <v>0</v>
      </c>
      <c r="BB360" s="20">
        <f t="shared" si="40"/>
        <v>-1.6393829008746325E-2</v>
      </c>
      <c r="BC360" s="20">
        <f t="shared" si="40"/>
        <v>0</v>
      </c>
      <c r="BD360" s="20">
        <f t="shared" si="40"/>
        <v>0</v>
      </c>
      <c r="BE360" s="20">
        <f t="shared" si="40"/>
        <v>-1.8061493737217247E-2</v>
      </c>
      <c r="BF360" s="20">
        <f t="shared" si="40"/>
        <v>-1.8061493737217247E-2</v>
      </c>
      <c r="BG360" s="20">
        <f t="shared" si="40"/>
        <v>0</v>
      </c>
      <c r="BH360" s="20">
        <f t="shared" si="40"/>
        <v>0</v>
      </c>
      <c r="BI360" s="20">
        <f t="shared" si="40"/>
        <v>0</v>
      </c>
      <c r="BJ360" s="21"/>
    </row>
    <row r="361" spans="1:62" x14ac:dyDescent="0.25">
      <c r="A361" t="s">
        <v>613</v>
      </c>
      <c r="E361" s="20">
        <f t="shared" ref="E361:M361" si="41">E350/E352</f>
        <v>0.22278366508446809</v>
      </c>
      <c r="F361" s="20">
        <f t="shared" si="41"/>
        <v>8.0752961487731256E-2</v>
      </c>
      <c r="G361" s="20">
        <f t="shared" si="41"/>
        <v>7.5450258723716468E-2</v>
      </c>
      <c r="H361" s="20">
        <f t="shared" si="41"/>
        <v>1.8788277235502606E-2</v>
      </c>
      <c r="I361" s="20">
        <f t="shared" si="41"/>
        <v>7.9704060096278173E-2</v>
      </c>
      <c r="J361" s="20">
        <f t="shared" si="41"/>
        <v>6.8685290473110769E-2</v>
      </c>
      <c r="K361" s="20">
        <f t="shared" si="41"/>
        <v>6.7631153005378072E-2</v>
      </c>
      <c r="L361" s="20">
        <f t="shared" si="41"/>
        <v>0.24824111138229377</v>
      </c>
      <c r="M361" s="20">
        <f t="shared" si="41"/>
        <v>0.20072082162199834</v>
      </c>
      <c r="N361" s="20">
        <f>N350/N352</f>
        <v>-2.209412055547406E-5</v>
      </c>
      <c r="O361" s="20">
        <f t="shared" ref="O361:AL361" si="42">O350/O352</f>
        <v>6.126985299314526E-2</v>
      </c>
      <c r="P361" s="20">
        <f t="shared" si="42"/>
        <v>6.6255312730144358E-2</v>
      </c>
      <c r="Q361" s="20">
        <f t="shared" si="42"/>
        <v>3.8175620943353271E-2</v>
      </c>
      <c r="R361" s="20">
        <f t="shared" si="42"/>
        <v>4.2052130523859706E-2</v>
      </c>
      <c r="S361" s="20">
        <f t="shared" si="42"/>
        <v>5.2677281090747818E-2</v>
      </c>
      <c r="T361" s="20">
        <f t="shared" si="42"/>
        <v>0</v>
      </c>
      <c r="U361" s="20">
        <f t="shared" si="42"/>
        <v>7.2406474323313014E-2</v>
      </c>
      <c r="V361" s="20">
        <f t="shared" si="42"/>
        <v>6.873004088208659E-2</v>
      </c>
      <c r="W361" s="20">
        <f t="shared" si="42"/>
        <v>8.4048089904350726E-2</v>
      </c>
      <c r="X361" s="20">
        <f t="shared" si="42"/>
        <v>-1.1777618062364452E-2</v>
      </c>
      <c r="Y361" s="20">
        <f t="shared" si="42"/>
        <v>0.16376571063224771</v>
      </c>
      <c r="Z361" s="20">
        <f t="shared" si="42"/>
        <v>9.9107796295209646E-3</v>
      </c>
      <c r="AA361" s="20">
        <f t="shared" si="42"/>
        <v>6.9566188976839097E-2</v>
      </c>
      <c r="AB361" s="20">
        <f t="shared" si="42"/>
        <v>6.2780641943814497E-2</v>
      </c>
      <c r="AC361" s="20">
        <f t="shared" si="42"/>
        <v>7.0695545820109534E-2</v>
      </c>
      <c r="AD361" s="20">
        <f t="shared" si="42"/>
        <v>1.0792083214456199E-2</v>
      </c>
      <c r="AE361" s="20">
        <f t="shared" si="42"/>
        <v>0.2121774268995085</v>
      </c>
      <c r="AF361" s="20">
        <f t="shared" si="42"/>
        <v>5.4239730913899629E-2</v>
      </c>
      <c r="AG361" s="20">
        <f t="shared" si="42"/>
        <v>1.6843519500318479E-2</v>
      </c>
      <c r="AH361" s="20">
        <f t="shared" si="42"/>
        <v>0.23941574958174575</v>
      </c>
      <c r="AI361" s="20">
        <f t="shared" si="42"/>
        <v>6.949487339516755E-2</v>
      </c>
      <c r="AJ361" s="20">
        <f t="shared" si="42"/>
        <v>7.5832782349716174E-3</v>
      </c>
      <c r="AK361" s="20">
        <f t="shared" si="42"/>
        <v>6.0821266731037466E-2</v>
      </c>
      <c r="AL361" s="20">
        <f t="shared" si="42"/>
        <v>6.0831413377027695E-2</v>
      </c>
      <c r="AM361" s="20">
        <f>AM350/AM352</f>
        <v>7.0081486388877262E-2</v>
      </c>
      <c r="AN361" s="20">
        <f>AN350/AN352</f>
        <v>6.0738533652476202E-2</v>
      </c>
      <c r="AO361" s="20">
        <f>AO350/AO352</f>
        <v>4.018729996339112E-2</v>
      </c>
      <c r="AP361" s="20">
        <f>AP350/AP352</f>
        <v>1.9025527865273542E-4</v>
      </c>
      <c r="AQ361" s="20">
        <f t="shared" ref="AQ361:AW361" si="43">AQ350/AQ352</f>
        <v>3.8416601764442927E-2</v>
      </c>
      <c r="AR361" s="20">
        <f t="shared" si="43"/>
        <v>1.638095939005854E-4</v>
      </c>
      <c r="AS361" s="20">
        <f t="shared" si="43"/>
        <v>4.9791200190890367E-2</v>
      </c>
      <c r="AT361" s="20" t="e">
        <f t="shared" si="43"/>
        <v>#DIV/0!</v>
      </c>
      <c r="AU361" s="20">
        <f t="shared" si="43"/>
        <v>2.6362766678717953E-2</v>
      </c>
      <c r="AV361" s="20">
        <f t="shared" si="43"/>
        <v>1.1331870979692697E-4</v>
      </c>
      <c r="AW361" s="20">
        <f t="shared" si="43"/>
        <v>1.5826799859621339E-4</v>
      </c>
      <c r="AX361" s="20">
        <f>AX350/AX352</f>
        <v>-1.1581484719104019E-2</v>
      </c>
      <c r="AY361" s="20">
        <f t="shared" ref="AY361:BI361" si="44">AY350/AY352</f>
        <v>4.3130702754081873E-2</v>
      </c>
      <c r="AZ361" s="20">
        <f t="shared" si="44"/>
        <v>5.9369456743151382E-2</v>
      </c>
      <c r="BA361" s="20">
        <f t="shared" si="44"/>
        <v>-1.1774324218630684E-2</v>
      </c>
      <c r="BB361" s="20">
        <f t="shared" si="44"/>
        <v>3.9374884503924575E-2</v>
      </c>
      <c r="BC361" s="20">
        <f t="shared" si="44"/>
        <v>4.0585095339761089E-2</v>
      </c>
      <c r="BD361" s="20">
        <f t="shared" si="44"/>
        <v>6.6481414924208976E-2</v>
      </c>
      <c r="BE361" s="20">
        <f t="shared" si="44"/>
        <v>4.0069672167418864E-2</v>
      </c>
      <c r="BF361" s="20">
        <f t="shared" si="44"/>
        <v>4.0069672167418864E-2</v>
      </c>
      <c r="BG361" s="20">
        <f t="shared" si="44"/>
        <v>6.4922219368889908E-2</v>
      </c>
      <c r="BH361" s="20">
        <f t="shared" si="44"/>
        <v>9.6219052423629492E-3</v>
      </c>
      <c r="BI361" s="20">
        <f t="shared" si="44"/>
        <v>4.1186795281917363E-2</v>
      </c>
      <c r="BJ361" s="21"/>
    </row>
    <row r="362" spans="1:62" x14ac:dyDescent="0.25">
      <c r="A362" s="21" t="s">
        <v>696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</sheetData>
  <mergeCells count="3">
    <mergeCell ref="A3:BI3"/>
    <mergeCell ref="BJ3:BJ362"/>
    <mergeCell ref="A362:BI362"/>
  </mergeCells>
  <conditionalFormatting sqref="A19:A35">
    <cfRule type="cellIs" dxfId="3" priority="17" stopIfTrue="1" operator="lessThan">
      <formula>0</formula>
    </cfRule>
  </conditionalFormatting>
  <conditionalFormatting sqref="B25:B35">
    <cfRule type="cellIs" dxfId="2" priority="26" stopIfTrue="1" operator="lessThan">
      <formula>0</formula>
    </cfRule>
  </conditionalFormatting>
  <conditionalFormatting sqref="C18:D26">
    <cfRule type="cellIs" dxfId="1" priority="18" stopIfTrue="1" operator="lessThan">
      <formula>0</formula>
    </cfRule>
  </conditionalFormatting>
  <conditionalFormatting sqref="E17:BI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B250ED56-981B-4FE6-977A-40A271BFAEF9}"/>
</file>

<file path=customXml/itemProps2.xml><?xml version="1.0" encoding="utf-8"?>
<ds:datastoreItem xmlns:ds="http://schemas.openxmlformats.org/officeDocument/2006/customXml" ds:itemID="{E9B24A59-2CB8-4FC5-831C-8189F51B582D}"/>
</file>

<file path=customXml/itemProps3.xml><?xml version="1.0" encoding="utf-8"?>
<ds:datastoreItem xmlns:ds="http://schemas.openxmlformats.org/officeDocument/2006/customXml" ds:itemID="{C3E51F88-D8F0-415A-B198-97876B81B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6/2025</dc:title>
  <dc:creator>פרידמן אמיר</dc:creator>
  <cp:lastModifiedBy>Tami Berman</cp:lastModifiedBy>
  <dcterms:created xsi:type="dcterms:W3CDTF">2025-07-16T13:10:27Z</dcterms:created>
  <dcterms:modified xsi:type="dcterms:W3CDTF">2025-07-17T10:30:21Z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