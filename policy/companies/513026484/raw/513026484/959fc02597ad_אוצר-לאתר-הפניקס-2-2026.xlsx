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xr:revisionPtr revIDLastSave="0" documentId="13_ncr:1_{415AF2C8-5216-40EA-AE5D-CA2A6C3BB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3" i="1" l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M350" i="1" s="1"/>
  <c r="M358" i="1" s="1"/>
  <c r="L343" i="1"/>
  <c r="K343" i="1"/>
  <c r="J343" i="1"/>
  <c r="I343" i="1"/>
  <c r="H343" i="1"/>
  <c r="G343" i="1"/>
  <c r="F343" i="1"/>
  <c r="E343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BA350" i="1" l="1"/>
  <c r="V350" i="1"/>
  <c r="V355" i="1" s="1"/>
  <c r="F350" i="1"/>
  <c r="F355" i="1" s="1"/>
  <c r="AG350" i="1"/>
  <c r="AG359" i="1" s="1"/>
  <c r="AP350" i="1"/>
  <c r="AP355" i="1" s="1"/>
  <c r="BA359" i="1"/>
  <c r="V359" i="1"/>
  <c r="V356" i="1"/>
  <c r="M359" i="1"/>
  <c r="I350" i="1"/>
  <c r="I359" i="1" s="1"/>
  <c r="AC350" i="1"/>
  <c r="AC359" i="1" s="1"/>
  <c r="AW350" i="1"/>
  <c r="AW355" i="1" s="1"/>
  <c r="J350" i="1"/>
  <c r="J357" i="1" s="1"/>
  <c r="AD350" i="1"/>
  <c r="AD359" i="1" s="1"/>
  <c r="AX350" i="1"/>
  <c r="AX354" i="1" s="1"/>
  <c r="BA355" i="1"/>
  <c r="V358" i="1"/>
  <c r="K350" i="1"/>
  <c r="K356" i="1" s="1"/>
  <c r="AE350" i="1"/>
  <c r="AE354" i="1" s="1"/>
  <c r="AY350" i="1"/>
  <c r="AY352" i="1" s="1"/>
  <c r="F359" i="1"/>
  <c r="L350" i="1"/>
  <c r="L357" i="1" s="1"/>
  <c r="AF350" i="1"/>
  <c r="AF352" i="1" s="1"/>
  <c r="AZ350" i="1"/>
  <c r="AZ356" i="1" s="1"/>
  <c r="V357" i="1"/>
  <c r="BH350" i="1"/>
  <c r="BH358" i="1" s="1"/>
  <c r="BG350" i="1"/>
  <c r="BG355" i="1" s="1"/>
  <c r="T350" i="1"/>
  <c r="T358" i="1" s="1"/>
  <c r="AS350" i="1"/>
  <c r="AS355" i="1" s="1"/>
  <c r="Z350" i="1"/>
  <c r="Z355" i="1" s="1"/>
  <c r="AT350" i="1"/>
  <c r="AT355" i="1" s="1"/>
  <c r="AB350" i="1"/>
  <c r="AB355" i="1" s="1"/>
  <c r="AB354" i="1"/>
  <c r="AN350" i="1"/>
  <c r="AN354" i="1" s="1"/>
  <c r="Y350" i="1"/>
  <c r="Y357" i="1" s="1"/>
  <c r="AV350" i="1"/>
  <c r="AV355" i="1" s="1"/>
  <c r="AV354" i="1"/>
  <c r="S350" i="1"/>
  <c r="S359" i="1" s="1"/>
  <c r="AM350" i="1"/>
  <c r="AM356" i="1" s="1"/>
  <c r="O350" i="1"/>
  <c r="O359" i="1" s="1"/>
  <c r="AI350" i="1"/>
  <c r="AI357" i="1" s="1"/>
  <c r="BC350" i="1"/>
  <c r="BC357" i="1" s="1"/>
  <c r="N350" i="1"/>
  <c r="N358" i="1" s="1"/>
  <c r="AH350" i="1"/>
  <c r="AH358" i="1" s="1"/>
  <c r="BB350" i="1"/>
  <c r="BB354" i="1" s="1"/>
  <c r="AA350" i="1"/>
  <c r="AA356" i="1" s="1"/>
  <c r="AU350" i="1"/>
  <c r="AU356" i="1" s="1"/>
  <c r="AW358" i="1"/>
  <c r="AW357" i="1"/>
  <c r="AW356" i="1"/>
  <c r="J358" i="1"/>
  <c r="K352" i="1"/>
  <c r="AE357" i="1"/>
  <c r="AE356" i="1"/>
  <c r="AE355" i="1"/>
  <c r="AE352" i="1"/>
  <c r="AY357" i="1"/>
  <c r="AY355" i="1"/>
  <c r="AZ359" i="1"/>
  <c r="AZ355" i="1"/>
  <c r="AZ354" i="1"/>
  <c r="M354" i="1"/>
  <c r="M355" i="1"/>
  <c r="K357" i="1"/>
  <c r="BA358" i="1"/>
  <c r="BA354" i="1"/>
  <c r="M356" i="1"/>
  <c r="BA356" i="1"/>
  <c r="AZ357" i="1"/>
  <c r="AE358" i="1"/>
  <c r="AY358" i="1"/>
  <c r="J359" i="1"/>
  <c r="M357" i="1"/>
  <c r="BA357" i="1"/>
  <c r="AZ358" i="1"/>
  <c r="K359" i="1"/>
  <c r="AE359" i="1"/>
  <c r="Q350" i="1"/>
  <c r="Q355" i="1" s="1"/>
  <c r="AK350" i="1"/>
  <c r="AK357" i="1" s="1"/>
  <c r="BE350" i="1"/>
  <c r="BE357" i="1" s="1"/>
  <c r="M352" i="1"/>
  <c r="AN355" i="1"/>
  <c r="BA352" i="1"/>
  <c r="J354" i="1"/>
  <c r="BH355" i="1"/>
  <c r="BE358" i="1"/>
  <c r="F354" i="1"/>
  <c r="P350" i="1"/>
  <c r="P354" i="1" s="1"/>
  <c r="AJ350" i="1"/>
  <c r="AJ357" i="1" s="1"/>
  <c r="BD350" i="1"/>
  <c r="BD357" i="1" s="1"/>
  <c r="R350" i="1"/>
  <c r="R356" i="1" s="1"/>
  <c r="AL350" i="1"/>
  <c r="AL356" i="1" s="1"/>
  <c r="BF350" i="1"/>
  <c r="BF356" i="1" s="1"/>
  <c r="E350" i="1"/>
  <c r="E357" i="1" s="1"/>
  <c r="U350" i="1"/>
  <c r="U354" i="1" s="1"/>
  <c r="AO350" i="1"/>
  <c r="AO358" i="1" s="1"/>
  <c r="BI350" i="1"/>
  <c r="BI354" i="1" s="1"/>
  <c r="G350" i="1"/>
  <c r="W350" i="1"/>
  <c r="W358" i="1" s="1"/>
  <c r="AQ350" i="1"/>
  <c r="V352" i="1"/>
  <c r="H350" i="1"/>
  <c r="H352" i="1" s="1"/>
  <c r="X350" i="1"/>
  <c r="X352" i="1" s="1"/>
  <c r="AR350" i="1"/>
  <c r="AR352" i="1" s="1"/>
  <c r="V354" i="1"/>
  <c r="AG357" i="1" l="1"/>
  <c r="AS357" i="1"/>
  <c r="F356" i="1"/>
  <c r="AP356" i="1"/>
  <c r="F352" i="1"/>
  <c r="K354" i="1"/>
  <c r="AG356" i="1"/>
  <c r="AG354" i="1"/>
  <c r="AS358" i="1"/>
  <c r="F358" i="1"/>
  <c r="AG352" i="1"/>
  <c r="BD359" i="1"/>
  <c r="N356" i="1"/>
  <c r="AW352" i="1"/>
  <c r="AP358" i="1"/>
  <c r="AG358" i="1"/>
  <c r="K358" i="1"/>
  <c r="L356" i="1"/>
  <c r="K355" i="1"/>
  <c r="AS356" i="1"/>
  <c r="AP352" i="1"/>
  <c r="AW354" i="1"/>
  <c r="AG355" i="1"/>
  <c r="AY356" i="1"/>
  <c r="Y356" i="1"/>
  <c r="P358" i="1"/>
  <c r="H356" i="1"/>
  <c r="I354" i="1"/>
  <c r="N354" i="1"/>
  <c r="AP354" i="1"/>
  <c r="L352" i="1"/>
  <c r="N355" i="1"/>
  <c r="L354" i="1"/>
  <c r="I355" i="1"/>
  <c r="AC356" i="1"/>
  <c r="AY354" i="1"/>
  <c r="AP359" i="1"/>
  <c r="L358" i="1"/>
  <c r="S356" i="1"/>
  <c r="AY359" i="1"/>
  <c r="L355" i="1"/>
  <c r="AC357" i="1"/>
  <c r="BI359" i="1"/>
  <c r="BI358" i="1"/>
  <c r="AP357" i="1"/>
  <c r="AC354" i="1"/>
  <c r="BB356" i="1"/>
  <c r="AF357" i="1"/>
  <c r="L359" i="1"/>
  <c r="Y358" i="1"/>
  <c r="AR357" i="1"/>
  <c r="AO359" i="1"/>
  <c r="P357" i="1"/>
  <c r="Q357" i="1"/>
  <c r="AS354" i="1"/>
  <c r="F357" i="1"/>
  <c r="AF358" i="1"/>
  <c r="AF354" i="1"/>
  <c r="AF355" i="1"/>
  <c r="AC355" i="1"/>
  <c r="AH355" i="1"/>
  <c r="AF359" i="1"/>
  <c r="U357" i="1"/>
  <c r="AH356" i="1"/>
  <c r="U359" i="1"/>
  <c r="R357" i="1"/>
  <c r="BH354" i="1"/>
  <c r="P359" i="1"/>
  <c r="AX357" i="1"/>
  <c r="AW359" i="1"/>
  <c r="E358" i="1"/>
  <c r="BF357" i="1"/>
  <c r="BB355" i="1"/>
  <c r="AX358" i="1"/>
  <c r="AC352" i="1"/>
  <c r="E359" i="1"/>
  <c r="AR358" i="1"/>
  <c r="AR355" i="1"/>
  <c r="BG354" i="1"/>
  <c r="AU354" i="1"/>
  <c r="AD356" i="1"/>
  <c r="AC358" i="1"/>
  <c r="AD357" i="1"/>
  <c r="H355" i="1"/>
  <c r="AL354" i="1"/>
  <c r="AA354" i="1"/>
  <c r="E354" i="1"/>
  <c r="BD354" i="1"/>
  <c r="AD358" i="1"/>
  <c r="I352" i="1"/>
  <c r="AX352" i="1"/>
  <c r="R355" i="1"/>
  <c r="AX356" i="1"/>
  <c r="BG356" i="1"/>
  <c r="AR356" i="1"/>
  <c r="AZ352" i="1"/>
  <c r="AJ354" i="1"/>
  <c r="J352" i="1"/>
  <c r="I356" i="1"/>
  <c r="T359" i="1"/>
  <c r="AL357" i="1"/>
  <c r="BF354" i="1"/>
  <c r="R354" i="1"/>
  <c r="AJ359" i="1"/>
  <c r="AO357" i="1"/>
  <c r="BD358" i="1"/>
  <c r="AF356" i="1"/>
  <c r="J355" i="1"/>
  <c r="I357" i="1"/>
  <c r="Q356" i="1"/>
  <c r="Q358" i="1"/>
  <c r="AX355" i="1"/>
  <c r="AX359" i="1"/>
  <c r="J356" i="1"/>
  <c r="I358" i="1"/>
  <c r="BF355" i="1"/>
  <c r="U358" i="1"/>
  <c r="AK356" i="1"/>
  <c r="AD352" i="1"/>
  <c r="AD354" i="1"/>
  <c r="AD355" i="1"/>
  <c r="AJ358" i="1"/>
  <c r="Y354" i="1"/>
  <c r="X359" i="1"/>
  <c r="H354" i="1"/>
  <c r="H359" i="1"/>
  <c r="BC358" i="1"/>
  <c r="AN359" i="1"/>
  <c r="AQ354" i="1"/>
  <c r="AQ352" i="1"/>
  <c r="AI354" i="1"/>
  <c r="G354" i="1"/>
  <c r="G352" i="1"/>
  <c r="AL355" i="1"/>
  <c r="BI356" i="1"/>
  <c r="BI352" i="1"/>
  <c r="BI355" i="1"/>
  <c r="AO356" i="1"/>
  <c r="AO355" i="1"/>
  <c r="AO352" i="1"/>
  <c r="T355" i="1"/>
  <c r="AQ359" i="1"/>
  <c r="BB358" i="1"/>
  <c r="X355" i="1"/>
  <c r="AN358" i="1"/>
  <c r="AQ357" i="1"/>
  <c r="AQ358" i="1"/>
  <c r="W357" i="1"/>
  <c r="X358" i="1"/>
  <c r="AT352" i="1"/>
  <c r="AT359" i="1"/>
  <c r="AT358" i="1"/>
  <c r="Z352" i="1"/>
  <c r="Z359" i="1"/>
  <c r="Z358" i="1"/>
  <c r="O356" i="1"/>
  <c r="O352" i="1"/>
  <c r="Z354" i="1"/>
  <c r="BC359" i="1"/>
  <c r="AT357" i="1"/>
  <c r="O358" i="1"/>
  <c r="O355" i="1"/>
  <c r="Z357" i="1"/>
  <c r="AM358" i="1"/>
  <c r="AM352" i="1"/>
  <c r="AM357" i="1"/>
  <c r="AM359" i="1"/>
  <c r="O354" i="1"/>
  <c r="AM354" i="1"/>
  <c r="W356" i="1"/>
  <c r="BE354" i="1"/>
  <c r="BE352" i="1"/>
  <c r="BE359" i="1"/>
  <c r="S358" i="1"/>
  <c r="S357" i="1"/>
  <c r="S352" i="1"/>
  <c r="G356" i="1"/>
  <c r="AK359" i="1"/>
  <c r="AK354" i="1"/>
  <c r="AK352" i="1"/>
  <c r="S354" i="1"/>
  <c r="AQ356" i="1"/>
  <c r="U352" i="1"/>
  <c r="U356" i="1"/>
  <c r="U355" i="1"/>
  <c r="AO354" i="1"/>
  <c r="Q354" i="1"/>
  <c r="Q352" i="1"/>
  <c r="Q359" i="1"/>
  <c r="W359" i="1"/>
  <c r="G359" i="1"/>
  <c r="E356" i="1"/>
  <c r="E355" i="1"/>
  <c r="E352" i="1"/>
  <c r="BF359" i="1"/>
  <c r="BF352" i="1"/>
  <c r="BF358" i="1"/>
  <c r="BI357" i="1"/>
  <c r="AI359" i="1"/>
  <c r="G357" i="1"/>
  <c r="AT356" i="1"/>
  <c r="H358" i="1"/>
  <c r="AM355" i="1"/>
  <c r="AU352" i="1"/>
  <c r="AU359" i="1"/>
  <c r="AU358" i="1"/>
  <c r="AU357" i="1"/>
  <c r="AI358" i="1"/>
  <c r="AA352" i="1"/>
  <c r="AA359" i="1"/>
  <c r="AA358" i="1"/>
  <c r="AA357" i="1"/>
  <c r="AI355" i="1"/>
  <c r="W354" i="1"/>
  <c r="W352" i="1"/>
  <c r="G358" i="1"/>
  <c r="R359" i="1"/>
  <c r="R358" i="1"/>
  <c r="R352" i="1"/>
  <c r="BD355" i="1"/>
  <c r="BD352" i="1"/>
  <c r="X357" i="1"/>
  <c r="BB359" i="1"/>
  <c r="BD356" i="1"/>
  <c r="AV352" i="1"/>
  <c r="AV359" i="1"/>
  <c r="AV358" i="1"/>
  <c r="AV357" i="1"/>
  <c r="AV356" i="1"/>
  <c r="Z356" i="1"/>
  <c r="S355" i="1"/>
  <c r="BE356" i="1"/>
  <c r="X354" i="1"/>
  <c r="BC356" i="1"/>
  <c r="BC352" i="1"/>
  <c r="AI356" i="1"/>
  <c r="AI352" i="1"/>
  <c r="AN357" i="1"/>
  <c r="AN356" i="1"/>
  <c r="AN352" i="1"/>
  <c r="AJ355" i="1"/>
  <c r="AJ352" i="1"/>
  <c r="AQ355" i="1"/>
  <c r="H357" i="1"/>
  <c r="AH357" i="1"/>
  <c r="AH352" i="1"/>
  <c r="AJ356" i="1"/>
  <c r="P355" i="1"/>
  <c r="P352" i="1"/>
  <c r="W355" i="1"/>
  <c r="AK358" i="1"/>
  <c r="AH354" i="1"/>
  <c r="AH359" i="1"/>
  <c r="P356" i="1"/>
  <c r="AA355" i="1"/>
  <c r="BG359" i="1"/>
  <c r="BG358" i="1"/>
  <c r="BG352" i="1"/>
  <c r="BG357" i="1"/>
  <c r="AT354" i="1"/>
  <c r="BC355" i="1"/>
  <c r="BC354" i="1"/>
  <c r="AL359" i="1"/>
  <c r="AL352" i="1"/>
  <c r="AL358" i="1"/>
  <c r="AU355" i="1"/>
  <c r="T356" i="1"/>
  <c r="T357" i="1"/>
  <c r="T352" i="1"/>
  <c r="BB357" i="1"/>
  <c r="BB352" i="1"/>
  <c r="O357" i="1"/>
  <c r="T354" i="1"/>
  <c r="G355" i="1"/>
  <c r="N357" i="1"/>
  <c r="N352" i="1"/>
  <c r="BE355" i="1"/>
  <c r="Y352" i="1"/>
  <c r="Y359" i="1"/>
  <c r="X356" i="1"/>
  <c r="AR354" i="1"/>
  <c r="AR359" i="1"/>
  <c r="N359" i="1"/>
  <c r="AK355" i="1"/>
  <c r="Y355" i="1"/>
  <c r="AB352" i="1"/>
  <c r="AB359" i="1"/>
  <c r="AB358" i="1"/>
  <c r="AB357" i="1"/>
  <c r="AB356" i="1"/>
  <c r="AS352" i="1"/>
  <c r="AS359" i="1"/>
  <c r="BH359" i="1"/>
  <c r="BH357" i="1"/>
  <c r="BH352" i="1"/>
  <c r="BH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<sst xmlns="http://schemas.openxmlformats.org/spreadsheetml/2006/main" count="765" uniqueCount="697">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</sst>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8008602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114300</xdr:colOff>
      <xdr:row>1</xdr:row>
      <xdr:rowOff>60960</xdr:rowOff>
    </xdr:from>
    <xdr:to>
      <xdr:col>1</xdr:col>
      <xdr:colOff>440674</xdr:colOff>
      <xdr:row>3</xdr:row>
      <xdr:rowOff>13954</xdr:rowOff>
    </xdr:to>
    <xdr:pic>
      <xdr:nvPicPr>
        <xdr:cNvPr id="4" name="Picture 3" descr="קֹבֶץ זֵה הֻנְגַּש עַל יְדֵי חברת אֵיְי טוּ זי - סֶמֶל הַנגישוּת">
          <a:extLst>
            <a:ext uri="{FF2B5EF4-FFF2-40B4-BE49-F238E27FC236}">
              <a16:creationId xmlns:a16="http://schemas.microsoft.com/office/drawing/2014/main" id="{663F56E7-5252-8B47-437B-7A22DEFDF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343806" y="236220"/>
          <a:ext cx="326374" cy="326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22"/>
      <sheetName val="גיליון124"/>
      <sheetName val="גיליון126"/>
      <sheetName val="גיליון128"/>
      <sheetName val="גיליון130"/>
      <sheetName val="גיליון1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60"/>
  <sheetViews>
    <sheetView rightToLeft="1" tabSelected="1" workbookViewId="0">
      <selection activeCell="B2" sqref="B2"/>
    </sheetView>
  </sheetViews>
  <sheetFormatPr defaultRowHeight="13.8" x14ac:dyDescent="0.25"/>
  <sheetData>
    <row r="1" spans="1:62" x14ac:dyDescent="0.25">
      <c r="A1" s="21" t="s">
        <v>694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2" ht="15.6" x14ac:dyDescent="0.3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102</v>
      </c>
      <c r="L2">
        <v>122</v>
      </c>
      <c r="M2">
        <v>142</v>
      </c>
      <c r="N2">
        <v>164</v>
      </c>
      <c r="O2">
        <v>167</v>
      </c>
      <c r="P2">
        <v>169</v>
      </c>
      <c r="Q2">
        <v>425</v>
      </c>
      <c r="R2">
        <v>426</v>
      </c>
      <c r="S2">
        <v>499</v>
      </c>
      <c r="T2">
        <v>519</v>
      </c>
      <c r="U2">
        <v>526</v>
      </c>
      <c r="V2">
        <v>570</v>
      </c>
      <c r="W2">
        <v>571</v>
      </c>
      <c r="X2">
        <v>572</v>
      </c>
      <c r="Y2">
        <v>573</v>
      </c>
      <c r="Z2">
        <v>574</v>
      </c>
      <c r="AA2">
        <v>628</v>
      </c>
      <c r="AB2">
        <v>629</v>
      </c>
      <c r="AC2">
        <v>631</v>
      </c>
      <c r="AD2">
        <v>632</v>
      </c>
      <c r="AE2">
        <v>658</v>
      </c>
      <c r="AF2">
        <v>660</v>
      </c>
      <c r="AG2">
        <v>662</v>
      </c>
      <c r="AH2">
        <v>664</v>
      </c>
      <c r="AI2">
        <v>666</v>
      </c>
      <c r="AJ2">
        <v>726</v>
      </c>
      <c r="AK2">
        <v>737</v>
      </c>
      <c r="AL2">
        <v>827</v>
      </c>
      <c r="AM2">
        <v>575</v>
      </c>
      <c r="AN2">
        <v>576</v>
      </c>
      <c r="AO2">
        <v>359</v>
      </c>
      <c r="AP2" s="9">
        <v>828</v>
      </c>
      <c r="AQ2" s="9">
        <v>844</v>
      </c>
      <c r="AR2" s="9">
        <v>839</v>
      </c>
      <c r="AS2" s="9">
        <v>857</v>
      </c>
      <c r="AT2" s="9">
        <v>851</v>
      </c>
      <c r="AU2" s="9">
        <v>849</v>
      </c>
      <c r="AV2" s="9">
        <v>846</v>
      </c>
      <c r="AW2" s="9">
        <v>834</v>
      </c>
      <c r="AX2" s="9">
        <v>506</v>
      </c>
      <c r="AY2" s="9">
        <v>521</v>
      </c>
      <c r="AZ2" s="9">
        <v>522</v>
      </c>
      <c r="BA2" s="9">
        <v>528</v>
      </c>
      <c r="BB2" s="9">
        <v>548</v>
      </c>
      <c r="BC2" s="9">
        <v>551</v>
      </c>
      <c r="BD2" s="9">
        <v>555</v>
      </c>
      <c r="BE2" s="9">
        <v>558</v>
      </c>
      <c r="BF2" s="9">
        <v>558</v>
      </c>
      <c r="BG2" s="9">
        <v>578</v>
      </c>
      <c r="BH2" s="9">
        <v>580</v>
      </c>
      <c r="BI2" s="9">
        <v>577</v>
      </c>
      <c r="BJ2" s="21" t="s">
        <v>695</v>
      </c>
    </row>
    <row r="3" spans="1:62" x14ac:dyDescent="0.25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715</v>
      </c>
      <c r="L3" s="10">
        <v>9916</v>
      </c>
      <c r="M3" s="10">
        <v>1100</v>
      </c>
      <c r="N3" s="10">
        <v>801</v>
      </c>
      <c r="O3" s="10">
        <v>804</v>
      </c>
      <c r="P3" s="10">
        <v>806</v>
      </c>
      <c r="Q3" s="10">
        <v>8765</v>
      </c>
      <c r="R3" s="10">
        <v>8766</v>
      </c>
      <c r="S3" s="10">
        <v>9418</v>
      </c>
      <c r="T3" s="10">
        <v>9475</v>
      </c>
      <c r="U3" s="10">
        <v>9906</v>
      </c>
      <c r="V3" s="10">
        <v>7905</v>
      </c>
      <c r="W3" s="10">
        <v>7906</v>
      </c>
      <c r="X3" s="10">
        <v>7907</v>
      </c>
      <c r="Y3" s="10">
        <v>7908</v>
      </c>
      <c r="Z3" s="10">
        <v>7909</v>
      </c>
      <c r="AA3" s="10">
        <v>11310</v>
      </c>
      <c r="AB3" s="10">
        <v>11311</v>
      </c>
      <c r="AC3" s="10">
        <v>11312</v>
      </c>
      <c r="AD3" s="10">
        <v>11335</v>
      </c>
      <c r="AE3" s="10">
        <v>9529</v>
      </c>
      <c r="AF3" s="10">
        <v>961</v>
      </c>
      <c r="AG3" s="10">
        <v>9528</v>
      </c>
      <c r="AH3" s="10">
        <v>964</v>
      </c>
      <c r="AI3" s="10">
        <v>968</v>
      </c>
      <c r="AJ3" s="10">
        <v>8629</v>
      </c>
      <c r="AK3" s="10">
        <v>13264</v>
      </c>
      <c r="AL3" s="10">
        <v>13263</v>
      </c>
      <c r="AM3" s="10">
        <v>13209</v>
      </c>
      <c r="AN3" s="10">
        <v>13250</v>
      </c>
      <c r="AO3" s="10">
        <v>14281</v>
      </c>
      <c r="AP3" s="11">
        <v>2049</v>
      </c>
      <c r="AQ3" s="12">
        <v>7975</v>
      </c>
      <c r="AR3" s="12">
        <v>8004</v>
      </c>
      <c r="AS3" s="11">
        <v>1008</v>
      </c>
      <c r="AT3" s="11">
        <v>9484</v>
      </c>
      <c r="AU3" s="11">
        <v>682</v>
      </c>
      <c r="AV3" s="11">
        <v>11352</v>
      </c>
      <c r="AW3" s="11">
        <v>2058</v>
      </c>
      <c r="AX3" s="11">
        <v>15007</v>
      </c>
      <c r="AY3" s="11">
        <v>15208</v>
      </c>
      <c r="AZ3" s="11">
        <v>15209</v>
      </c>
      <c r="BA3" s="11">
        <v>15210</v>
      </c>
      <c r="BB3" s="11">
        <v>15211</v>
      </c>
      <c r="BC3" s="11">
        <v>15212</v>
      </c>
      <c r="BD3" s="11">
        <v>15232</v>
      </c>
      <c r="BE3" s="11">
        <v>15214</v>
      </c>
      <c r="BF3" s="11">
        <v>15214</v>
      </c>
      <c r="BG3" s="11">
        <v>15233</v>
      </c>
      <c r="BH3" s="11">
        <v>15234</v>
      </c>
      <c r="BI3" s="11">
        <v>15215</v>
      </c>
      <c r="BJ3" s="21"/>
    </row>
    <row r="4" spans="1:62" ht="15.6" x14ac:dyDescent="0.3">
      <c r="A4" s="3">
        <v>46054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s="13" t="s">
        <v>651</v>
      </c>
      <c r="AQ4" s="14" t="s">
        <v>652</v>
      </c>
      <c r="AR4" s="13" t="s">
        <v>653</v>
      </c>
      <c r="AS4" s="13" t="s">
        <v>654</v>
      </c>
      <c r="AT4" s="13" t="s">
        <v>655</v>
      </c>
      <c r="AU4" s="13" t="s">
        <v>656</v>
      </c>
      <c r="AV4" s="13" t="s">
        <v>657</v>
      </c>
      <c r="AW4" s="13" t="s">
        <v>658</v>
      </c>
      <c r="AX4" s="13" t="s">
        <v>659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21"/>
    </row>
    <row r="5" spans="1:62" ht="15.6" x14ac:dyDescent="0.3">
      <c r="A5" s="4"/>
      <c r="B5" s="5"/>
      <c r="C5" s="5"/>
      <c r="D5" s="6" t="s">
        <v>0</v>
      </c>
      <c r="E5" s="15" t="s">
        <v>660</v>
      </c>
      <c r="F5" s="15" t="s">
        <v>661</v>
      </c>
      <c r="G5" s="15" t="s">
        <v>662</v>
      </c>
      <c r="H5" s="15" t="s">
        <v>663</v>
      </c>
      <c r="I5" s="15" t="s">
        <v>664</v>
      </c>
      <c r="J5" s="15" t="s">
        <v>665</v>
      </c>
      <c r="K5" s="15" t="s">
        <v>666</v>
      </c>
      <c r="L5" s="15" t="s">
        <v>667</v>
      </c>
      <c r="M5" s="15" t="s">
        <v>668</v>
      </c>
      <c r="N5" s="15" t="s">
        <v>669</v>
      </c>
      <c r="O5" s="15" t="s">
        <v>670</v>
      </c>
      <c r="P5" s="15" t="s">
        <v>671</v>
      </c>
      <c r="Q5" s="15" t="s">
        <v>672</v>
      </c>
      <c r="R5" s="15" t="s">
        <v>673</v>
      </c>
      <c r="S5" s="15" t="s">
        <v>674</v>
      </c>
      <c r="T5" s="15" t="s">
        <v>675</v>
      </c>
      <c r="U5" s="15" t="s">
        <v>676</v>
      </c>
      <c r="V5" s="15" t="s">
        <v>677</v>
      </c>
      <c r="W5" s="15" t="s">
        <v>678</v>
      </c>
      <c r="X5" s="15" t="s">
        <v>679</v>
      </c>
      <c r="Y5" s="15" t="s">
        <v>680</v>
      </c>
      <c r="Z5" s="15" t="s">
        <v>681</v>
      </c>
      <c r="AA5" s="15" t="s">
        <v>682</v>
      </c>
      <c r="AB5" s="15" t="s">
        <v>683</v>
      </c>
      <c r="AC5" s="15" t="s">
        <v>684</v>
      </c>
      <c r="AD5" s="15" t="s">
        <v>685</v>
      </c>
      <c r="AE5" s="15" t="s">
        <v>686</v>
      </c>
      <c r="AF5" s="15" t="s">
        <v>687</v>
      </c>
      <c r="AG5" s="15" t="s">
        <v>688</v>
      </c>
      <c r="AH5" s="15" t="s">
        <v>689</v>
      </c>
      <c r="AI5" s="15" t="s">
        <v>690</v>
      </c>
      <c r="AJ5" s="15" t="s">
        <v>691</v>
      </c>
      <c r="AK5" s="15" t="s">
        <v>692</v>
      </c>
      <c r="AL5" s="15" t="s">
        <v>693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21"/>
    </row>
    <row r="6" spans="1:62" ht="15.6" x14ac:dyDescent="0.3">
      <c r="A6" s="5" t="s">
        <v>1</v>
      </c>
      <c r="B6" s="5" t="s">
        <v>2</v>
      </c>
      <c r="C6" s="7">
        <v>1</v>
      </c>
      <c r="D6" s="7">
        <v>1</v>
      </c>
      <c r="E6" s="7">
        <v>214000.799</v>
      </c>
      <c r="F6" s="7">
        <v>24735.905999999999</v>
      </c>
      <c r="G6" s="7">
        <v>21216.544999999998</v>
      </c>
      <c r="H6" s="7">
        <v>-154.87</v>
      </c>
      <c r="I6" s="7">
        <v>2875.0340000000001</v>
      </c>
      <c r="J6" s="7">
        <v>13549.972</v>
      </c>
      <c r="K6" s="7">
        <v>4803.8090000000002</v>
      </c>
      <c r="L6" s="7">
        <v>254035.64499999999</v>
      </c>
      <c r="M6" s="7">
        <v>46552.411</v>
      </c>
      <c r="N6" s="7">
        <v>0.04</v>
      </c>
      <c r="O6" s="7">
        <v>3191.0680000000002</v>
      </c>
      <c r="P6" s="7">
        <v>111.69199999999999</v>
      </c>
      <c r="Q6" s="7">
        <v>2124.9029999999998</v>
      </c>
      <c r="R6" s="7">
        <v>241.47499999999999</v>
      </c>
      <c r="S6" s="7">
        <v>7228.2489999999998</v>
      </c>
      <c r="T6" s="7">
        <v>4.2000000000000003E-2</v>
      </c>
      <c r="U6" s="7">
        <v>4063.627</v>
      </c>
      <c r="V6" s="7">
        <v>2387.8240000000001</v>
      </c>
      <c r="W6" s="7">
        <v>5707.5479999999998</v>
      </c>
      <c r="X6" s="7">
        <v>20932.044999999998</v>
      </c>
      <c r="Y6" s="7">
        <v>74500.020999999993</v>
      </c>
      <c r="Z6" s="7">
        <v>5706.0940000000001</v>
      </c>
      <c r="AA6" s="7">
        <v>31946.809000000001</v>
      </c>
      <c r="AB6" s="7">
        <v>141812.09299999999</v>
      </c>
      <c r="AC6" s="7">
        <v>4921.9639999999999</v>
      </c>
      <c r="AD6" s="7">
        <v>2461.549</v>
      </c>
      <c r="AE6" s="7">
        <v>232552.1</v>
      </c>
      <c r="AF6" s="7">
        <v>107141.139</v>
      </c>
      <c r="AG6" s="7">
        <v>16706.769</v>
      </c>
      <c r="AH6" s="7">
        <v>531824.72</v>
      </c>
      <c r="AI6" s="7">
        <v>159147.23199999999</v>
      </c>
      <c r="AJ6" s="7">
        <v>27699.435000000001</v>
      </c>
      <c r="AK6" s="7">
        <v>62986.946000000004</v>
      </c>
      <c r="AL6" s="7">
        <v>33121.360000000001</v>
      </c>
      <c r="AM6" s="7">
        <v>1056.6980000000001</v>
      </c>
      <c r="AN6" s="7">
        <v>21894.600999999999</v>
      </c>
      <c r="AO6" s="7">
        <v>5719.8850000000002</v>
      </c>
      <c r="AP6" s="7">
        <v>5129.4350000000004</v>
      </c>
      <c r="AQ6" s="7">
        <v>51158.678</v>
      </c>
      <c r="AR6" s="7">
        <v>1003.825</v>
      </c>
      <c r="AS6" s="7">
        <v>126.051</v>
      </c>
      <c r="AT6" s="7">
        <v>0</v>
      </c>
      <c r="AU6" s="7">
        <v>7590.9350000000004</v>
      </c>
      <c r="AV6" s="7">
        <v>2666.471</v>
      </c>
      <c r="AW6" s="7">
        <v>6320.375</v>
      </c>
      <c r="AX6" s="7">
        <v>26341.503000000001</v>
      </c>
      <c r="AY6" s="7">
        <v>5987.2849999999999</v>
      </c>
      <c r="AZ6" s="7">
        <v>24715.512999999999</v>
      </c>
      <c r="BA6" s="7">
        <v>21321.348000000002</v>
      </c>
      <c r="BB6" s="7">
        <v>6023.6379999999999</v>
      </c>
      <c r="BC6" s="7">
        <v>2212.0529999999999</v>
      </c>
      <c r="BD6" s="7">
        <v>31933.03</v>
      </c>
      <c r="BE6" s="7">
        <v>1088.4380000000001</v>
      </c>
      <c r="BF6" s="7">
        <v>1088.4380000000001</v>
      </c>
      <c r="BG6" s="7">
        <v>9824.0020000000004</v>
      </c>
      <c r="BH6" s="7">
        <v>18314.081999999999</v>
      </c>
      <c r="BI6" s="7">
        <v>420.971</v>
      </c>
      <c r="BJ6" s="21"/>
    </row>
    <row r="7" spans="1:62" ht="15.6" x14ac:dyDescent="0.3">
      <c r="A7" s="5" t="s">
        <v>3</v>
      </c>
      <c r="B7" s="5" t="s">
        <v>4</v>
      </c>
      <c r="C7" s="7">
        <v>1</v>
      </c>
      <c r="D7" s="7">
        <v>1</v>
      </c>
      <c r="E7" s="7">
        <v>155953.58300000001</v>
      </c>
      <c r="F7" s="7">
        <v>14227.602000000001</v>
      </c>
      <c r="G7" s="7">
        <v>10743.848</v>
      </c>
      <c r="H7" s="7">
        <v>502.31299999999999</v>
      </c>
      <c r="I7" s="7">
        <v>3746.748</v>
      </c>
      <c r="J7" s="7">
        <v>7147.1009999999997</v>
      </c>
      <c r="K7" s="7">
        <v>0</v>
      </c>
      <c r="L7" s="7">
        <v>232334.36199999999</v>
      </c>
      <c r="M7" s="7">
        <v>30533.628000000001</v>
      </c>
      <c r="N7" s="7">
        <v>0</v>
      </c>
      <c r="O7" s="7">
        <v>314.154</v>
      </c>
      <c r="P7" s="7">
        <v>452.57400000000001</v>
      </c>
      <c r="Q7" s="7">
        <v>119.923</v>
      </c>
      <c r="R7" s="7">
        <v>279.65800000000002</v>
      </c>
      <c r="S7" s="7">
        <v>3780.0250000000001</v>
      </c>
      <c r="T7" s="7">
        <v>0</v>
      </c>
      <c r="U7" s="7">
        <v>0</v>
      </c>
      <c r="V7" s="7">
        <v>1003.7430000000001</v>
      </c>
      <c r="W7" s="7">
        <v>4544.6949999999997</v>
      </c>
      <c r="X7" s="7">
        <v>93.141999999999996</v>
      </c>
      <c r="Y7" s="7">
        <v>52420.650999999998</v>
      </c>
      <c r="Z7" s="7">
        <v>2023.1289999999999</v>
      </c>
      <c r="AA7" s="7">
        <v>23354.233</v>
      </c>
      <c r="AB7" s="7">
        <v>7703.6210000000001</v>
      </c>
      <c r="AC7" s="7">
        <v>3526.462</v>
      </c>
      <c r="AD7" s="7">
        <v>839.96900000000005</v>
      </c>
      <c r="AE7" s="7">
        <v>120938.182</v>
      </c>
      <c r="AF7" s="7">
        <v>57021.421000000002</v>
      </c>
      <c r="AG7" s="7">
        <v>5441.982</v>
      </c>
      <c r="AH7" s="7">
        <v>386349.08500000002</v>
      </c>
      <c r="AI7" s="7">
        <v>76855.752999999997</v>
      </c>
      <c r="AJ7" s="7">
        <v>9025.1720000000005</v>
      </c>
      <c r="AK7" s="7">
        <v>297120.397</v>
      </c>
      <c r="AL7" s="7">
        <v>154809.18700000001</v>
      </c>
      <c r="AM7" s="7">
        <v>0</v>
      </c>
      <c r="AN7" s="7">
        <v>102128.401</v>
      </c>
      <c r="AO7" s="7">
        <v>2289.7959999999998</v>
      </c>
      <c r="AP7" s="7">
        <v>8105.9560000000001</v>
      </c>
      <c r="AQ7" s="7">
        <v>19453.882000000001</v>
      </c>
      <c r="AR7" s="7">
        <v>1892.8150000000001</v>
      </c>
      <c r="AS7" s="7">
        <v>43.552999999999997</v>
      </c>
      <c r="AT7" s="7">
        <v>0</v>
      </c>
      <c r="AU7" s="7">
        <v>3451.0450000000001</v>
      </c>
      <c r="AV7" s="7">
        <v>5211.3530000000001</v>
      </c>
      <c r="AW7" s="7">
        <v>11623.058999999999</v>
      </c>
      <c r="AX7" s="7">
        <v>83.966999999999999</v>
      </c>
      <c r="AY7" s="7">
        <v>373.017</v>
      </c>
      <c r="AZ7" s="7">
        <v>3982.7719999999999</v>
      </c>
      <c r="BA7" s="7">
        <v>42.246000000000002</v>
      </c>
      <c r="BB7" s="7">
        <v>890.41600000000005</v>
      </c>
      <c r="BC7" s="7">
        <v>246.047</v>
      </c>
      <c r="BD7" s="7">
        <v>4913.3360000000002</v>
      </c>
      <c r="BE7" s="7">
        <v>284.029</v>
      </c>
      <c r="BF7" s="7">
        <v>284.029</v>
      </c>
      <c r="BG7" s="7">
        <v>1718.06</v>
      </c>
      <c r="BH7" s="7">
        <v>7261.2539999999999</v>
      </c>
      <c r="BI7" s="7">
        <v>44.744</v>
      </c>
      <c r="BJ7" s="21"/>
    </row>
    <row r="8" spans="1:62" ht="15.6" x14ac:dyDescent="0.3">
      <c r="A8" s="5" t="s">
        <v>5</v>
      </c>
      <c r="B8" s="5" t="s">
        <v>6</v>
      </c>
      <c r="C8" s="7">
        <v>1</v>
      </c>
      <c r="D8" s="7">
        <v>1</v>
      </c>
      <c r="E8" s="7">
        <v>215355.88699999999</v>
      </c>
      <c r="F8" s="7">
        <v>9703.48</v>
      </c>
      <c r="G8" s="7">
        <v>17654.764999999999</v>
      </c>
      <c r="H8" s="7">
        <v>39.017000000000003</v>
      </c>
      <c r="I8" s="7">
        <v>1120.3050000000001</v>
      </c>
      <c r="J8" s="7">
        <v>15858.808999999999</v>
      </c>
      <c r="K8" s="7">
        <v>2217.5349999999999</v>
      </c>
      <c r="L8" s="7">
        <v>197032.68799999999</v>
      </c>
      <c r="M8" s="7">
        <v>20490.322</v>
      </c>
      <c r="N8" s="7">
        <v>88.25</v>
      </c>
      <c r="O8" s="7">
        <v>1784.8920000000001</v>
      </c>
      <c r="P8" s="7">
        <v>435.70600000000002</v>
      </c>
      <c r="Q8" s="7">
        <v>1563.769</v>
      </c>
      <c r="R8" s="7">
        <v>374.86599999999999</v>
      </c>
      <c r="S8" s="7">
        <v>3913.2269999999999</v>
      </c>
      <c r="T8" s="7">
        <v>21.731000000000002</v>
      </c>
      <c r="U8" s="7">
        <v>2342.9140000000002</v>
      </c>
      <c r="V8" s="7">
        <v>2560.252</v>
      </c>
      <c r="W8" s="7">
        <v>6632.6229999999996</v>
      </c>
      <c r="X8" s="7">
        <v>2366.5309999999999</v>
      </c>
      <c r="Y8" s="7">
        <v>47200.767999999996</v>
      </c>
      <c r="Z8" s="7">
        <v>3549.1460000000002</v>
      </c>
      <c r="AA8" s="7">
        <v>22455.506000000001</v>
      </c>
      <c r="AB8" s="7">
        <v>94355.649000000005</v>
      </c>
      <c r="AC8" s="7">
        <v>2023.913</v>
      </c>
      <c r="AD8" s="7">
        <v>2930.7080000000001</v>
      </c>
      <c r="AE8" s="7">
        <v>213873.99299999999</v>
      </c>
      <c r="AF8" s="7">
        <v>30648.241999999998</v>
      </c>
      <c r="AG8" s="7">
        <v>17428.937000000002</v>
      </c>
      <c r="AH8" s="7">
        <v>411100.80300000001</v>
      </c>
      <c r="AI8" s="7">
        <v>52143.313000000002</v>
      </c>
      <c r="AJ8" s="7">
        <v>16573.859</v>
      </c>
      <c r="AK8" s="7">
        <v>70031.360000000001</v>
      </c>
      <c r="AL8" s="7">
        <v>30734.536</v>
      </c>
      <c r="AM8" s="7">
        <v>230.27799999999999</v>
      </c>
      <c r="AN8" s="7">
        <v>21922.941999999999</v>
      </c>
      <c r="AO8" s="7">
        <v>1780.473</v>
      </c>
      <c r="AP8" s="7">
        <v>0</v>
      </c>
      <c r="AQ8" s="7">
        <v>5956.2669999999998</v>
      </c>
      <c r="AR8" s="7">
        <v>0</v>
      </c>
      <c r="AS8" s="7">
        <v>27.518999999999998</v>
      </c>
      <c r="AT8" s="7">
        <v>0</v>
      </c>
      <c r="AU8" s="7">
        <v>437.721</v>
      </c>
      <c r="AV8" s="7">
        <v>0</v>
      </c>
      <c r="AW8" s="7">
        <v>0</v>
      </c>
      <c r="AX8" s="7">
        <v>3209.4679999999998</v>
      </c>
      <c r="AY8" s="7">
        <v>609.11199999999997</v>
      </c>
      <c r="AZ8" s="7">
        <v>2965.663</v>
      </c>
      <c r="BA8" s="7">
        <v>501.39100000000002</v>
      </c>
      <c r="BB8" s="7">
        <v>425.971</v>
      </c>
      <c r="BC8" s="7">
        <v>284.88299999999998</v>
      </c>
      <c r="BD8" s="7">
        <v>3667.663</v>
      </c>
      <c r="BE8" s="7">
        <v>124.983</v>
      </c>
      <c r="BF8" s="7">
        <v>124.983</v>
      </c>
      <c r="BG8" s="7">
        <v>1279.278</v>
      </c>
      <c r="BH8" s="7">
        <v>7822.5959999999995</v>
      </c>
      <c r="BI8" s="7">
        <v>84.725999999999999</v>
      </c>
      <c r="BJ8" s="21"/>
    </row>
    <row r="9" spans="1:62" ht="15.6" x14ac:dyDescent="0.3">
      <c r="A9" s="5" t="s">
        <v>7</v>
      </c>
      <c r="B9" s="5" t="s">
        <v>8</v>
      </c>
      <c r="C9" s="7">
        <v>1</v>
      </c>
      <c r="D9" s="7">
        <v>1</v>
      </c>
      <c r="E9" s="7">
        <v>689993.12199999997</v>
      </c>
      <c r="F9" s="7">
        <v>101452.55499999999</v>
      </c>
      <c r="G9" s="7">
        <v>0</v>
      </c>
      <c r="H9" s="7">
        <v>0</v>
      </c>
      <c r="I9" s="7">
        <v>3048.33</v>
      </c>
      <c r="J9" s="7">
        <v>0</v>
      </c>
      <c r="K9" s="7">
        <v>0</v>
      </c>
      <c r="L9" s="7">
        <v>1468273.801</v>
      </c>
      <c r="M9" s="7">
        <v>34989.455999999998</v>
      </c>
      <c r="N9" s="7">
        <v>0</v>
      </c>
      <c r="O9" s="7">
        <v>6791.18</v>
      </c>
      <c r="P9" s="7">
        <v>0</v>
      </c>
      <c r="Q9" s="7">
        <v>2846.73</v>
      </c>
      <c r="R9" s="7">
        <v>1305.5229999999999</v>
      </c>
      <c r="S9" s="7">
        <v>32305.276000000002</v>
      </c>
      <c r="T9" s="7">
        <v>0</v>
      </c>
      <c r="U9" s="7">
        <v>0</v>
      </c>
      <c r="V9" s="7">
        <v>0</v>
      </c>
      <c r="W9" s="7">
        <v>10495.73</v>
      </c>
      <c r="X9" s="7">
        <v>84360.441999999995</v>
      </c>
      <c r="Y9" s="7">
        <v>351195.32799999998</v>
      </c>
      <c r="Z9" s="7">
        <v>40024.987999999998</v>
      </c>
      <c r="AA9" s="7">
        <v>60086.855000000003</v>
      </c>
      <c r="AB9" s="7">
        <v>155945.30499999999</v>
      </c>
      <c r="AC9" s="7">
        <v>20803.177</v>
      </c>
      <c r="AD9" s="7">
        <v>13965.103999999999</v>
      </c>
      <c r="AE9" s="7">
        <v>920822.95600000001</v>
      </c>
      <c r="AF9" s="7">
        <v>801613.52399999998</v>
      </c>
      <c r="AG9" s="7">
        <v>88107.54</v>
      </c>
      <c r="AH9" s="7">
        <v>2630167.781</v>
      </c>
      <c r="AI9" s="7">
        <v>1170970.5970000001</v>
      </c>
      <c r="AJ9" s="7">
        <v>193830.18400000001</v>
      </c>
      <c r="AK9" s="7">
        <v>6106128.0300000003</v>
      </c>
      <c r="AL9" s="7">
        <v>3211025.7220000001</v>
      </c>
      <c r="AM9" s="7">
        <v>0</v>
      </c>
      <c r="AN9" s="7">
        <v>2122618.1039999998</v>
      </c>
      <c r="AO9" s="7">
        <v>29129.383999999998</v>
      </c>
      <c r="AP9" s="7">
        <v>0</v>
      </c>
      <c r="AQ9" s="7">
        <v>321607.03399999999</v>
      </c>
      <c r="AR9" s="7">
        <v>0</v>
      </c>
      <c r="AS9" s="7">
        <v>327.02100000000002</v>
      </c>
      <c r="AT9" s="7">
        <v>0</v>
      </c>
      <c r="AU9" s="7">
        <v>2139.1729999999998</v>
      </c>
      <c r="AV9" s="7">
        <v>0</v>
      </c>
      <c r="AW9" s="7">
        <v>0</v>
      </c>
      <c r="AX9" s="7">
        <v>106161.95600000001</v>
      </c>
      <c r="AY9" s="7">
        <v>0</v>
      </c>
      <c r="AZ9" s="7">
        <v>0</v>
      </c>
      <c r="BA9" s="7">
        <v>81357.948000000004</v>
      </c>
      <c r="BB9" s="7">
        <v>12204.364</v>
      </c>
      <c r="BC9" s="7">
        <v>0</v>
      </c>
      <c r="BD9" s="7">
        <v>0</v>
      </c>
      <c r="BE9" s="7">
        <v>3726.864</v>
      </c>
      <c r="BF9" s="7">
        <v>3726.864</v>
      </c>
      <c r="BG9" s="7">
        <v>0</v>
      </c>
      <c r="BH9" s="7">
        <v>123921.936</v>
      </c>
      <c r="BI9" s="7">
        <v>0</v>
      </c>
      <c r="BJ9" s="21"/>
    </row>
    <row r="10" spans="1:62" ht="15.6" x14ac:dyDescent="0.3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21"/>
    </row>
    <row r="11" spans="1:62" ht="15.6" x14ac:dyDescent="0.3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13</v>
      </c>
      <c r="B12" s="5" t="s">
        <v>14</v>
      </c>
      <c r="C12" s="7">
        <v>1</v>
      </c>
      <c r="D12" s="7">
        <v>1</v>
      </c>
      <c r="E12" s="7">
        <v>66203.866999999998</v>
      </c>
      <c r="F12" s="7">
        <v>9808.6309999999994</v>
      </c>
      <c r="G12" s="7">
        <v>4322.9279999999999</v>
      </c>
      <c r="H12" s="7">
        <v>9.952</v>
      </c>
      <c r="I12" s="7">
        <v>557.89300000000003</v>
      </c>
      <c r="J12" s="7">
        <v>1850.3119999999999</v>
      </c>
      <c r="K12" s="7">
        <v>0</v>
      </c>
      <c r="L12" s="7">
        <v>100010.504</v>
      </c>
      <c r="M12" s="7">
        <v>23046.543000000001</v>
      </c>
      <c r="N12" s="7">
        <v>0</v>
      </c>
      <c r="O12" s="7">
        <v>54.472000000000001</v>
      </c>
      <c r="P12" s="7">
        <v>34.198</v>
      </c>
      <c r="Q12" s="7">
        <v>38.371000000000002</v>
      </c>
      <c r="R12" s="7">
        <v>42.475000000000001</v>
      </c>
      <c r="S12" s="7">
        <v>2459.625</v>
      </c>
      <c r="T12" s="7">
        <v>0</v>
      </c>
      <c r="U12" s="7">
        <v>0</v>
      </c>
      <c r="V12" s="7">
        <v>364.44799999999998</v>
      </c>
      <c r="W12" s="7">
        <v>1152.7080000000001</v>
      </c>
      <c r="X12" s="7">
        <v>2962.2820000000002</v>
      </c>
      <c r="Y12" s="7">
        <v>25668.032999999999</v>
      </c>
      <c r="Z12" s="7">
        <v>1074.7260000000001</v>
      </c>
      <c r="AA12" s="7">
        <v>9304.6990000000005</v>
      </c>
      <c r="AB12" s="7">
        <v>1122.0229999999999</v>
      </c>
      <c r="AC12" s="7">
        <v>1598.6949999999999</v>
      </c>
      <c r="AD12" s="7">
        <v>203.38</v>
      </c>
      <c r="AE12" s="7">
        <v>65383.608</v>
      </c>
      <c r="AF12" s="7">
        <v>50193.114999999998</v>
      </c>
      <c r="AG12" s="7">
        <v>856.63300000000004</v>
      </c>
      <c r="AH12" s="7">
        <v>195493.1</v>
      </c>
      <c r="AI12" s="7">
        <v>75658.150999999998</v>
      </c>
      <c r="AJ12" s="7">
        <v>5419.8450000000003</v>
      </c>
      <c r="AK12" s="7">
        <v>228552.48199999999</v>
      </c>
      <c r="AL12" s="7">
        <v>120188.751</v>
      </c>
      <c r="AM12" s="7">
        <v>0</v>
      </c>
      <c r="AN12" s="7">
        <v>79449.633000000002</v>
      </c>
      <c r="AO12" s="7">
        <v>2098.4369999999999</v>
      </c>
      <c r="AP12" s="7">
        <v>0</v>
      </c>
      <c r="AQ12" s="7">
        <v>18529.384999999998</v>
      </c>
      <c r="AR12" s="7">
        <v>0</v>
      </c>
      <c r="AS12" s="7">
        <v>22.134</v>
      </c>
      <c r="AT12" s="7">
        <v>0</v>
      </c>
      <c r="AU12" s="7">
        <v>166.97800000000001</v>
      </c>
      <c r="AV12" s="7">
        <v>0</v>
      </c>
      <c r="AW12" s="7">
        <v>0</v>
      </c>
      <c r="AX12" s="7">
        <v>3727.8069999999998</v>
      </c>
      <c r="AY12" s="7">
        <v>63.942999999999998</v>
      </c>
      <c r="AZ12" s="7">
        <v>0</v>
      </c>
      <c r="BA12" s="7">
        <v>2856.83</v>
      </c>
      <c r="BB12" s="7">
        <v>876.88800000000003</v>
      </c>
      <c r="BC12" s="7">
        <v>37.323999999999998</v>
      </c>
      <c r="BD12" s="7">
        <v>0</v>
      </c>
      <c r="BE12" s="7">
        <v>268.02999999999997</v>
      </c>
      <c r="BF12" s="7">
        <v>268.02999999999997</v>
      </c>
      <c r="BG12" s="7">
        <v>0</v>
      </c>
      <c r="BH12" s="7">
        <v>3340.47</v>
      </c>
      <c r="BI12" s="7">
        <v>11.84</v>
      </c>
      <c r="BJ12" s="21"/>
    </row>
    <row r="13" spans="1:62" ht="15.6" x14ac:dyDescent="0.3">
      <c r="A13" s="5" t="s">
        <v>3</v>
      </c>
      <c r="B13" s="5" t="s">
        <v>15</v>
      </c>
      <c r="C13" s="7">
        <v>1</v>
      </c>
      <c r="D13" s="7">
        <v>1</v>
      </c>
      <c r="E13" s="7">
        <v>28.396000000000001</v>
      </c>
      <c r="F13" s="7">
        <v>3.9289999999999998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126.58499999999999</v>
      </c>
      <c r="M13" s="7">
        <v>9.3960000000000008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8.6720000000000006</v>
      </c>
      <c r="AF13" s="7">
        <v>1.2909999999999999</v>
      </c>
      <c r="AG13" s="7">
        <v>0</v>
      </c>
      <c r="AH13" s="7">
        <v>81.281000000000006</v>
      </c>
      <c r="AI13" s="7">
        <v>0.875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16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18</v>
      </c>
      <c r="B15" s="5" t="s">
        <v>19</v>
      </c>
      <c r="C15" s="7">
        <v>2</v>
      </c>
      <c r="D15" s="7">
        <v>2</v>
      </c>
      <c r="E15" s="7">
        <v>984849.24199999997</v>
      </c>
      <c r="F15" s="7">
        <v>76439.942999999999</v>
      </c>
      <c r="G15" s="7">
        <v>174691.48699999999</v>
      </c>
      <c r="H15" s="7">
        <v>0</v>
      </c>
      <c r="I15" s="7">
        <v>23280.223000000002</v>
      </c>
      <c r="J15" s="7">
        <v>111297.408</v>
      </c>
      <c r="K15" s="7">
        <v>0</v>
      </c>
      <c r="L15" s="7">
        <v>312661.022</v>
      </c>
      <c r="M15" s="7">
        <v>307772.995</v>
      </c>
      <c r="N15" s="7">
        <v>0</v>
      </c>
      <c r="O15" s="7">
        <v>0</v>
      </c>
      <c r="P15" s="7">
        <v>15567.1</v>
      </c>
      <c r="Q15" s="7">
        <v>938.30899999999997</v>
      </c>
      <c r="R15" s="7">
        <v>1369.1659999999999</v>
      </c>
      <c r="S15" s="7">
        <v>23347.591</v>
      </c>
      <c r="T15" s="7">
        <v>0</v>
      </c>
      <c r="U15" s="7">
        <v>0</v>
      </c>
      <c r="V15" s="7">
        <v>17933.032999999999</v>
      </c>
      <c r="W15" s="7">
        <v>26831.539000000001</v>
      </c>
      <c r="X15" s="7">
        <v>0</v>
      </c>
      <c r="Y15" s="7">
        <v>217132.59</v>
      </c>
      <c r="Z15" s="7">
        <v>0</v>
      </c>
      <c r="AA15" s="7">
        <v>242667.459</v>
      </c>
      <c r="AB15" s="7">
        <v>0</v>
      </c>
      <c r="AC15" s="7">
        <v>10371.456</v>
      </c>
      <c r="AD15" s="7">
        <v>5747.1350000000002</v>
      </c>
      <c r="AE15" s="7">
        <v>571358.42700000003</v>
      </c>
      <c r="AF15" s="7">
        <v>0</v>
      </c>
      <c r="AG15" s="7">
        <v>23849.870999999999</v>
      </c>
      <c r="AH15" s="7">
        <v>1131413.149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14268.755999999999</v>
      </c>
      <c r="AP15" s="7">
        <v>0</v>
      </c>
      <c r="AQ15" s="7">
        <v>0</v>
      </c>
      <c r="AR15" s="7">
        <v>0</v>
      </c>
      <c r="AS15" s="7">
        <v>680.20899999999995</v>
      </c>
      <c r="AT15" s="7">
        <v>0</v>
      </c>
      <c r="AU15" s="7">
        <v>14942.277</v>
      </c>
      <c r="AV15" s="7">
        <v>0</v>
      </c>
      <c r="AW15" s="7">
        <v>0</v>
      </c>
      <c r="AX15" s="7">
        <v>0</v>
      </c>
      <c r="AY15" s="7">
        <v>13237.148999999999</v>
      </c>
      <c r="AZ15" s="7">
        <v>0</v>
      </c>
      <c r="BA15" s="7">
        <v>0</v>
      </c>
      <c r="BB15" s="7">
        <v>6341.415</v>
      </c>
      <c r="BC15" s="7">
        <v>6536.0820000000003</v>
      </c>
      <c r="BD15" s="7">
        <v>0</v>
      </c>
      <c r="BE15" s="7">
        <v>1788.162</v>
      </c>
      <c r="BF15" s="7">
        <v>1788.162</v>
      </c>
      <c r="BG15" s="7">
        <v>0</v>
      </c>
      <c r="BH15" s="7">
        <v>0</v>
      </c>
      <c r="BI15" s="7">
        <v>1837.88</v>
      </c>
      <c r="BJ15" s="21"/>
    </row>
    <row r="16" spans="1:62" ht="15.6" x14ac:dyDescent="0.3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22</v>
      </c>
      <c r="B17" s="5" t="s">
        <v>23</v>
      </c>
      <c r="C17" s="7">
        <v>2</v>
      </c>
      <c r="D17" s="7">
        <v>2</v>
      </c>
      <c r="E17" s="7">
        <v>981598.21</v>
      </c>
      <c r="F17" s="7">
        <v>76720.566000000006</v>
      </c>
      <c r="G17" s="7">
        <v>172827.64600000001</v>
      </c>
      <c r="H17" s="7">
        <v>0</v>
      </c>
      <c r="I17" s="7">
        <v>23064.775000000001</v>
      </c>
      <c r="J17" s="7">
        <v>110109.939</v>
      </c>
      <c r="K17" s="7">
        <v>72171.282000000007</v>
      </c>
      <c r="L17" s="7">
        <v>325189.70699999999</v>
      </c>
      <c r="M17" s="7">
        <v>304867.32</v>
      </c>
      <c r="N17" s="7">
        <v>12456.078</v>
      </c>
      <c r="O17" s="7">
        <v>0</v>
      </c>
      <c r="P17" s="7">
        <v>0</v>
      </c>
      <c r="Q17" s="7">
        <v>1484.0730000000001</v>
      </c>
      <c r="R17" s="7">
        <v>2165.5360000000001</v>
      </c>
      <c r="S17" s="7">
        <v>23447.543000000001</v>
      </c>
      <c r="T17" s="7">
        <v>0</v>
      </c>
      <c r="U17" s="7">
        <v>61005.654999999999</v>
      </c>
      <c r="V17" s="7">
        <v>17741.7</v>
      </c>
      <c r="W17" s="7">
        <v>26658.669000000002</v>
      </c>
      <c r="X17" s="7">
        <v>0</v>
      </c>
      <c r="Y17" s="7">
        <v>218556.804</v>
      </c>
      <c r="Z17" s="7">
        <v>0</v>
      </c>
      <c r="AA17" s="7">
        <v>240721.60800000001</v>
      </c>
      <c r="AB17" s="7">
        <v>0</v>
      </c>
      <c r="AC17" s="7">
        <v>10485.575999999999</v>
      </c>
      <c r="AD17" s="7">
        <v>5685.817</v>
      </c>
      <c r="AE17" s="7">
        <v>575064.81900000002</v>
      </c>
      <c r="AF17" s="7">
        <v>8661.3580000000002</v>
      </c>
      <c r="AG17" s="7">
        <v>23595.409</v>
      </c>
      <c r="AH17" s="7">
        <v>1148056.4280000001</v>
      </c>
      <c r="AI17" s="7">
        <v>12652.235000000001</v>
      </c>
      <c r="AJ17" s="7">
        <v>0</v>
      </c>
      <c r="AK17" s="7">
        <v>0</v>
      </c>
      <c r="AL17" s="7">
        <v>0</v>
      </c>
      <c r="AM17" s="7">
        <v>15874.67</v>
      </c>
      <c r="AN17" s="7">
        <v>0</v>
      </c>
      <c r="AO17" s="7">
        <v>14431.259</v>
      </c>
      <c r="AP17" s="7">
        <v>0</v>
      </c>
      <c r="AQ17" s="7">
        <v>3474.9360000000001</v>
      </c>
      <c r="AR17" s="7">
        <v>0</v>
      </c>
      <c r="AS17" s="7">
        <v>676.48500000000001</v>
      </c>
      <c r="AT17" s="7">
        <v>0</v>
      </c>
      <c r="AU17" s="7">
        <v>15270.666999999999</v>
      </c>
      <c r="AV17" s="7">
        <v>0</v>
      </c>
      <c r="AW17" s="7">
        <v>0</v>
      </c>
      <c r="AX17" s="7">
        <v>0</v>
      </c>
      <c r="AY17" s="7">
        <v>13095.916999999999</v>
      </c>
      <c r="AZ17" s="7">
        <v>0</v>
      </c>
      <c r="BA17" s="7">
        <v>0</v>
      </c>
      <c r="BB17" s="7">
        <v>6405.6239999999998</v>
      </c>
      <c r="BC17" s="7">
        <v>6466.3469999999998</v>
      </c>
      <c r="BD17" s="7">
        <v>0</v>
      </c>
      <c r="BE17" s="7">
        <v>1809.3520000000001</v>
      </c>
      <c r="BF17" s="7">
        <v>1809.3520000000001</v>
      </c>
      <c r="BG17" s="7">
        <v>0</v>
      </c>
      <c r="BH17" s="7">
        <v>0</v>
      </c>
      <c r="BI17" s="7">
        <v>1818.271</v>
      </c>
      <c r="BJ17" s="21"/>
    </row>
    <row r="18" spans="1:62" ht="15.6" x14ac:dyDescent="0.3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19201.798999999999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16231.087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98.947000000000003</v>
      </c>
      <c r="AI18" s="7">
        <v>0</v>
      </c>
      <c r="AJ18" s="7">
        <v>0</v>
      </c>
      <c r="AK18" s="7">
        <v>0</v>
      </c>
      <c r="AL18" s="7">
        <v>0</v>
      </c>
      <c r="AM18" s="7">
        <v>4223.5940000000001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19.077999999999999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26</v>
      </c>
      <c r="B19" s="5" t="s">
        <v>27</v>
      </c>
      <c r="C19" s="7">
        <v>2</v>
      </c>
      <c r="D19" s="7">
        <v>2</v>
      </c>
      <c r="E19" s="7">
        <v>172272.31400000001</v>
      </c>
      <c r="F19" s="7">
        <v>26188.664000000001</v>
      </c>
      <c r="G19" s="7">
        <v>0</v>
      </c>
      <c r="H19" s="7">
        <v>0</v>
      </c>
      <c r="I19" s="7">
        <v>781.90200000000004</v>
      </c>
      <c r="J19" s="7">
        <v>0</v>
      </c>
      <c r="K19" s="7">
        <v>96604.407999999996</v>
      </c>
      <c r="L19" s="7">
        <v>377480.21500000003</v>
      </c>
      <c r="M19" s="7">
        <v>9121.1329999999998</v>
      </c>
      <c r="N19" s="7">
        <v>0</v>
      </c>
      <c r="O19" s="7">
        <v>0</v>
      </c>
      <c r="P19" s="7">
        <v>0.108</v>
      </c>
      <c r="Q19" s="7">
        <v>0</v>
      </c>
      <c r="R19" s="7">
        <v>0</v>
      </c>
      <c r="S19" s="7">
        <v>8343.5470000000005</v>
      </c>
      <c r="T19" s="7">
        <v>990.08299999999997</v>
      </c>
      <c r="U19" s="7">
        <v>81658.73</v>
      </c>
      <c r="V19" s="7">
        <v>0</v>
      </c>
      <c r="W19" s="7">
        <v>2715.3180000000002</v>
      </c>
      <c r="X19" s="7">
        <v>29227.097000000002</v>
      </c>
      <c r="Y19" s="7">
        <v>88787.593999999997</v>
      </c>
      <c r="Z19" s="7">
        <v>0</v>
      </c>
      <c r="AA19" s="7">
        <v>15239.271000000001</v>
      </c>
      <c r="AB19" s="7">
        <v>0</v>
      </c>
      <c r="AC19" s="7">
        <v>5371.9120000000003</v>
      </c>
      <c r="AD19" s="7">
        <v>0</v>
      </c>
      <c r="AE19" s="7">
        <v>232756.272</v>
      </c>
      <c r="AF19" s="7">
        <v>206186.39499999999</v>
      </c>
      <c r="AG19" s="7">
        <v>0</v>
      </c>
      <c r="AH19" s="7">
        <v>673583.446</v>
      </c>
      <c r="AI19" s="7">
        <v>301633.08799999999</v>
      </c>
      <c r="AJ19" s="7">
        <v>0</v>
      </c>
      <c r="AK19" s="7">
        <v>0</v>
      </c>
      <c r="AL19" s="7">
        <v>0</v>
      </c>
      <c r="AM19" s="7">
        <v>21248.937999999998</v>
      </c>
      <c r="AN19" s="7">
        <v>0</v>
      </c>
      <c r="AO19" s="7">
        <v>7486.7449999999999</v>
      </c>
      <c r="AP19" s="7">
        <v>0</v>
      </c>
      <c r="AQ19" s="7">
        <v>82700.034</v>
      </c>
      <c r="AR19" s="7">
        <v>0</v>
      </c>
      <c r="AS19" s="7">
        <v>84.338999999999999</v>
      </c>
      <c r="AT19" s="7">
        <v>0</v>
      </c>
      <c r="AU19" s="7">
        <v>613.76400000000001</v>
      </c>
      <c r="AV19" s="7">
        <v>0</v>
      </c>
      <c r="AW19" s="7">
        <v>0</v>
      </c>
      <c r="AX19" s="7">
        <v>36780.339999999997</v>
      </c>
      <c r="AY19" s="7">
        <v>53.087000000000003</v>
      </c>
      <c r="AZ19" s="7">
        <v>2172.7469999999998</v>
      </c>
      <c r="BA19" s="7">
        <v>28186.866999999998</v>
      </c>
      <c r="BB19" s="7">
        <v>3135.0839999999998</v>
      </c>
      <c r="BC19" s="7">
        <v>0</v>
      </c>
      <c r="BD19" s="7">
        <v>2687.058</v>
      </c>
      <c r="BE19" s="7">
        <v>956.79499999999996</v>
      </c>
      <c r="BF19" s="7">
        <v>956.79499999999996</v>
      </c>
      <c r="BG19" s="7">
        <v>937.24400000000003</v>
      </c>
      <c r="BH19" s="7">
        <v>0</v>
      </c>
      <c r="BI19" s="7">
        <v>0</v>
      </c>
      <c r="BJ19" s="21"/>
    </row>
    <row r="20" spans="1:62" ht="15.6" x14ac:dyDescent="0.3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966328.75899999996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32</v>
      </c>
      <c r="B22" s="5" t="s">
        <v>33</v>
      </c>
      <c r="C22" s="7">
        <v>2</v>
      </c>
      <c r="D22" s="7">
        <v>2</v>
      </c>
      <c r="E22" s="7">
        <v>35196.055999999997</v>
      </c>
      <c r="F22" s="7">
        <v>2240.3739999999998</v>
      </c>
      <c r="G22" s="7">
        <v>6728.7150000000001</v>
      </c>
      <c r="H22" s="7">
        <v>0</v>
      </c>
      <c r="I22" s="7">
        <v>682.31899999999996</v>
      </c>
      <c r="J22" s="7">
        <v>4496.3149999999996</v>
      </c>
      <c r="K22" s="7">
        <v>0</v>
      </c>
      <c r="L22" s="7">
        <v>13088.972</v>
      </c>
      <c r="M22" s="7">
        <v>11186.157999999999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684.29300000000001</v>
      </c>
      <c r="T22" s="7">
        <v>0</v>
      </c>
      <c r="U22" s="7">
        <v>0</v>
      </c>
      <c r="V22" s="7">
        <v>525.59799999999996</v>
      </c>
      <c r="W22" s="7">
        <v>786.404</v>
      </c>
      <c r="X22" s="7">
        <v>0</v>
      </c>
      <c r="Y22" s="7">
        <v>6363.9279999999999</v>
      </c>
      <c r="Z22" s="7">
        <v>0</v>
      </c>
      <c r="AA22" s="7">
        <v>7112.3280000000004</v>
      </c>
      <c r="AB22" s="7">
        <v>0</v>
      </c>
      <c r="AC22" s="7">
        <v>303.97699999999998</v>
      </c>
      <c r="AD22" s="7">
        <v>168.44200000000001</v>
      </c>
      <c r="AE22" s="7">
        <v>17477.138999999999</v>
      </c>
      <c r="AF22" s="7">
        <v>0</v>
      </c>
      <c r="AG22" s="7">
        <v>699.01499999999999</v>
      </c>
      <c r="AH22" s="7">
        <v>36851.745999999999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418.202</v>
      </c>
      <c r="AP22" s="7">
        <v>0</v>
      </c>
      <c r="AQ22" s="7">
        <v>0</v>
      </c>
      <c r="AR22" s="7">
        <v>0</v>
      </c>
      <c r="AS22" s="7">
        <v>19.936</v>
      </c>
      <c r="AT22" s="7">
        <v>0</v>
      </c>
      <c r="AU22" s="7">
        <v>331.15199999999999</v>
      </c>
      <c r="AV22" s="7">
        <v>0</v>
      </c>
      <c r="AW22" s="7">
        <v>0</v>
      </c>
      <c r="AX22" s="7">
        <v>0</v>
      </c>
      <c r="AY22" s="7">
        <v>387.96699999999998</v>
      </c>
      <c r="AZ22" s="7">
        <v>0</v>
      </c>
      <c r="BA22" s="7">
        <v>0</v>
      </c>
      <c r="BB22" s="7">
        <v>185.86</v>
      </c>
      <c r="BC22" s="7">
        <v>191.566</v>
      </c>
      <c r="BD22" s="7">
        <v>0</v>
      </c>
      <c r="BE22" s="7">
        <v>52.408999999999999</v>
      </c>
      <c r="BF22" s="7">
        <v>52.408999999999999</v>
      </c>
      <c r="BG22" s="7">
        <v>0</v>
      </c>
      <c r="BH22" s="7">
        <v>7590.9139999999998</v>
      </c>
      <c r="BI22" s="7">
        <v>53.866</v>
      </c>
      <c r="BJ22" s="21"/>
    </row>
    <row r="23" spans="1:62" ht="15.6" x14ac:dyDescent="0.3">
      <c r="A23" s="5" t="s">
        <v>34</v>
      </c>
      <c r="B23" s="5" t="s">
        <v>35</v>
      </c>
      <c r="C23" s="7">
        <v>2</v>
      </c>
      <c r="D23" s="7">
        <v>2</v>
      </c>
      <c r="E23" s="7">
        <v>69173.203999999998</v>
      </c>
      <c r="F23" s="7">
        <v>8331.1129999999994</v>
      </c>
      <c r="G23" s="7">
        <v>8163.0079999999998</v>
      </c>
      <c r="H23" s="7">
        <v>0</v>
      </c>
      <c r="I23" s="7">
        <v>1382.67</v>
      </c>
      <c r="J23" s="7">
        <v>5631.6819999999998</v>
      </c>
      <c r="K23" s="7">
        <v>0</v>
      </c>
      <c r="L23" s="7">
        <v>66066.922999999995</v>
      </c>
      <c r="M23" s="7">
        <v>16140.050999999999</v>
      </c>
      <c r="N23" s="7">
        <v>0</v>
      </c>
      <c r="O23" s="7">
        <v>141.10599999999999</v>
      </c>
      <c r="P23" s="7">
        <v>0</v>
      </c>
      <c r="Q23" s="7">
        <v>43.776000000000003</v>
      </c>
      <c r="R23" s="7">
        <v>0</v>
      </c>
      <c r="S23" s="7">
        <v>2640.694</v>
      </c>
      <c r="T23" s="7">
        <v>0</v>
      </c>
      <c r="U23" s="7">
        <v>0</v>
      </c>
      <c r="V23" s="7">
        <v>1172.9860000000001</v>
      </c>
      <c r="W23" s="7">
        <v>2486.5500000000002</v>
      </c>
      <c r="X23" s="7">
        <v>1221.759</v>
      </c>
      <c r="Y23" s="7">
        <v>29723.641</v>
      </c>
      <c r="Z23" s="7">
        <v>338.47800000000001</v>
      </c>
      <c r="AA23" s="7">
        <v>7715.0730000000003</v>
      </c>
      <c r="AB23" s="7">
        <v>3282.402</v>
      </c>
      <c r="AC23" s="7">
        <v>1597.7360000000001</v>
      </c>
      <c r="AD23" s="7">
        <v>183.47900000000001</v>
      </c>
      <c r="AE23" s="7">
        <v>94701.036999999997</v>
      </c>
      <c r="AF23" s="7">
        <v>8106.8209999999999</v>
      </c>
      <c r="AG23" s="7">
        <v>1483.643</v>
      </c>
      <c r="AH23" s="7">
        <v>165702.37599999999</v>
      </c>
      <c r="AI23" s="7">
        <v>11842.184999999999</v>
      </c>
      <c r="AJ23" s="7">
        <v>1570.6679999999999</v>
      </c>
      <c r="AK23" s="7">
        <v>1043546.254</v>
      </c>
      <c r="AL23" s="7">
        <v>548769.01500000001</v>
      </c>
      <c r="AM23" s="7">
        <v>0</v>
      </c>
      <c r="AN23" s="7">
        <v>362758.55300000001</v>
      </c>
      <c r="AO23" s="7">
        <v>1097.5050000000001</v>
      </c>
      <c r="AP23" s="7">
        <v>0</v>
      </c>
      <c r="AQ23" s="7">
        <v>3252.4560000000001</v>
      </c>
      <c r="AR23" s="7">
        <v>0</v>
      </c>
      <c r="AS23" s="7">
        <v>8.3409999999999993</v>
      </c>
      <c r="AT23" s="7">
        <v>0</v>
      </c>
      <c r="AU23" s="7">
        <v>140.76499999999999</v>
      </c>
      <c r="AV23" s="7">
        <v>0</v>
      </c>
      <c r="AW23" s="7">
        <v>0</v>
      </c>
      <c r="AX23" s="7">
        <v>1537.502</v>
      </c>
      <c r="AY23" s="7">
        <v>35.356999999999999</v>
      </c>
      <c r="AZ23" s="7">
        <v>0</v>
      </c>
      <c r="BA23" s="7">
        <v>1178.2750000000001</v>
      </c>
      <c r="BB23" s="7">
        <v>470.55500000000001</v>
      </c>
      <c r="BC23" s="7">
        <v>17.457999999999998</v>
      </c>
      <c r="BD23" s="7">
        <v>0</v>
      </c>
      <c r="BE23" s="7">
        <v>168.15899999999999</v>
      </c>
      <c r="BF23" s="7">
        <v>168.15899999999999</v>
      </c>
      <c r="BG23" s="7">
        <v>0</v>
      </c>
      <c r="BH23" s="7">
        <v>8119.433</v>
      </c>
      <c r="BI23" s="7">
        <v>4.9089999999999998</v>
      </c>
      <c r="BJ23" s="21"/>
    </row>
    <row r="24" spans="1:62" ht="15.6" x14ac:dyDescent="0.3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68</v>
      </c>
      <c r="B40" s="5" t="s">
        <v>69</v>
      </c>
      <c r="C40" s="7">
        <v>6</v>
      </c>
      <c r="D40" s="7">
        <v>6</v>
      </c>
      <c r="E40" s="7">
        <v>6018.3490000000002</v>
      </c>
      <c r="F40" s="7">
        <v>877.48699999999997</v>
      </c>
      <c r="G40" s="7">
        <v>1338.865</v>
      </c>
      <c r="H40" s="7">
        <v>0</v>
      </c>
      <c r="I40" s="7">
        <v>127.517</v>
      </c>
      <c r="J40" s="7">
        <v>772.07</v>
      </c>
      <c r="K40" s="7">
        <v>2119.9140000000002</v>
      </c>
      <c r="L40" s="7">
        <v>2231.424</v>
      </c>
      <c r="M40" s="7">
        <v>2782.5630000000001</v>
      </c>
      <c r="N40" s="7">
        <v>0</v>
      </c>
      <c r="O40" s="7">
        <v>0</v>
      </c>
      <c r="P40" s="7">
        <v>0.112</v>
      </c>
      <c r="Q40" s="7">
        <v>0</v>
      </c>
      <c r="R40" s="7">
        <v>0</v>
      </c>
      <c r="S40" s="7">
        <v>392.589</v>
      </c>
      <c r="T40" s="7">
        <v>0</v>
      </c>
      <c r="U40" s="7">
        <v>1791.942</v>
      </c>
      <c r="V40" s="7">
        <v>211.524</v>
      </c>
      <c r="W40" s="7">
        <v>258.608</v>
      </c>
      <c r="X40" s="7">
        <v>0</v>
      </c>
      <c r="Y40" s="7">
        <v>1003.946</v>
      </c>
      <c r="Z40" s="7">
        <v>0</v>
      </c>
      <c r="AA40" s="7">
        <v>1608.7180000000001</v>
      </c>
      <c r="AB40" s="7">
        <v>0</v>
      </c>
      <c r="AC40" s="7">
        <v>135.59399999999999</v>
      </c>
      <c r="AD40" s="7">
        <v>0</v>
      </c>
      <c r="AE40" s="7">
        <v>979.16099999999994</v>
      </c>
      <c r="AF40" s="7">
        <v>0</v>
      </c>
      <c r="AG40" s="7">
        <v>0</v>
      </c>
      <c r="AH40" s="7">
        <v>5311.1189999999997</v>
      </c>
      <c r="AI40" s="7">
        <v>0</v>
      </c>
      <c r="AJ40" s="7">
        <v>0</v>
      </c>
      <c r="AK40" s="7">
        <v>0</v>
      </c>
      <c r="AL40" s="7">
        <v>0</v>
      </c>
      <c r="AM40" s="7">
        <v>466.29300000000001</v>
      </c>
      <c r="AN40" s="7">
        <v>0</v>
      </c>
      <c r="AO40" s="7">
        <v>157.965</v>
      </c>
      <c r="AP40" s="7">
        <v>0</v>
      </c>
      <c r="AQ40" s="7">
        <v>0</v>
      </c>
      <c r="AR40" s="7">
        <v>0</v>
      </c>
      <c r="AS40" s="7">
        <v>3.34</v>
      </c>
      <c r="AT40" s="7">
        <v>0</v>
      </c>
      <c r="AU40" s="7">
        <v>92.680999999999997</v>
      </c>
      <c r="AV40" s="7">
        <v>0</v>
      </c>
      <c r="AW40" s="7">
        <v>0</v>
      </c>
      <c r="AX40" s="7">
        <v>0</v>
      </c>
      <c r="AY40" s="7">
        <v>155.93899999999999</v>
      </c>
      <c r="AZ40" s="7">
        <v>0</v>
      </c>
      <c r="BA40" s="7">
        <v>0</v>
      </c>
      <c r="BB40" s="7">
        <v>66.224000000000004</v>
      </c>
      <c r="BC40" s="7">
        <v>99.429000000000002</v>
      </c>
      <c r="BD40" s="7">
        <v>0</v>
      </c>
      <c r="BE40" s="7">
        <v>20.061</v>
      </c>
      <c r="BF40" s="7">
        <v>20.061</v>
      </c>
      <c r="BG40" s="7">
        <v>0</v>
      </c>
      <c r="BH40" s="7">
        <v>0</v>
      </c>
      <c r="BI40" s="7">
        <v>33.204000000000001</v>
      </c>
      <c r="BJ40" s="21"/>
    </row>
    <row r="41" spans="1:62" ht="15.6" x14ac:dyDescent="0.3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80</v>
      </c>
      <c r="B46" s="5" t="s">
        <v>81</v>
      </c>
      <c r="C46" s="7">
        <v>6</v>
      </c>
      <c r="D46" s="7">
        <v>6</v>
      </c>
      <c r="E46" s="7">
        <v>1509.8</v>
      </c>
      <c r="F46" s="7">
        <v>220.13200000000001</v>
      </c>
      <c r="G46" s="7">
        <v>335.87599999999998</v>
      </c>
      <c r="H46" s="7">
        <v>0</v>
      </c>
      <c r="I46" s="7">
        <v>31.99</v>
      </c>
      <c r="J46" s="7">
        <v>193.68600000000001</v>
      </c>
      <c r="K46" s="7">
        <v>8223.4989999999998</v>
      </c>
      <c r="L46" s="7">
        <v>559.78899999999999</v>
      </c>
      <c r="M46" s="7">
        <v>698.05100000000004</v>
      </c>
      <c r="N46" s="7">
        <v>0</v>
      </c>
      <c r="O46" s="7">
        <v>0</v>
      </c>
      <c r="P46" s="7">
        <v>2.8000000000000001E-2</v>
      </c>
      <c r="Q46" s="7">
        <v>0</v>
      </c>
      <c r="R46" s="7">
        <v>0</v>
      </c>
      <c r="S46" s="7">
        <v>98.486999999999995</v>
      </c>
      <c r="T46" s="7">
        <v>0</v>
      </c>
      <c r="U46" s="7">
        <v>6951.241</v>
      </c>
      <c r="V46" s="7">
        <v>53.064</v>
      </c>
      <c r="W46" s="7">
        <v>64.876000000000005</v>
      </c>
      <c r="X46" s="7">
        <v>0</v>
      </c>
      <c r="Y46" s="7">
        <v>251.85599999999999</v>
      </c>
      <c r="Z46" s="7">
        <v>0</v>
      </c>
      <c r="AA46" s="7">
        <v>403.57299999999998</v>
      </c>
      <c r="AB46" s="7">
        <v>0</v>
      </c>
      <c r="AC46" s="7">
        <v>34.015999999999998</v>
      </c>
      <c r="AD46" s="7">
        <v>0</v>
      </c>
      <c r="AE46" s="7">
        <v>245.63800000000001</v>
      </c>
      <c r="AF46" s="7">
        <v>0</v>
      </c>
      <c r="AG46" s="7">
        <v>0</v>
      </c>
      <c r="AH46" s="7">
        <v>1372.0150000000001</v>
      </c>
      <c r="AI46" s="7">
        <v>0</v>
      </c>
      <c r="AJ46" s="7">
        <v>0</v>
      </c>
      <c r="AK46" s="7">
        <v>0</v>
      </c>
      <c r="AL46" s="7">
        <v>0</v>
      </c>
      <c r="AM46" s="7">
        <v>1808.827</v>
      </c>
      <c r="AN46" s="7">
        <v>0</v>
      </c>
      <c r="AO46" s="7">
        <v>39.628</v>
      </c>
      <c r="AP46" s="7">
        <v>0</v>
      </c>
      <c r="AQ46" s="7">
        <v>0</v>
      </c>
      <c r="AR46" s="7">
        <v>0</v>
      </c>
      <c r="AS46" s="7">
        <v>0.83799999999999997</v>
      </c>
      <c r="AT46" s="7">
        <v>0</v>
      </c>
      <c r="AU46" s="7">
        <v>28.082000000000001</v>
      </c>
      <c r="AV46" s="7">
        <v>0</v>
      </c>
      <c r="AW46" s="7">
        <v>0</v>
      </c>
      <c r="AX46" s="7">
        <v>0</v>
      </c>
      <c r="AY46" s="7">
        <v>39.119999999999997</v>
      </c>
      <c r="AZ46" s="7">
        <v>0</v>
      </c>
      <c r="BA46" s="7">
        <v>0</v>
      </c>
      <c r="BB46" s="7">
        <v>16.613</v>
      </c>
      <c r="BC46" s="7">
        <v>24.943000000000001</v>
      </c>
      <c r="BD46" s="7">
        <v>0</v>
      </c>
      <c r="BE46" s="7">
        <v>5.0330000000000004</v>
      </c>
      <c r="BF46" s="7">
        <v>5.0330000000000004</v>
      </c>
      <c r="BG46" s="7">
        <v>0</v>
      </c>
      <c r="BH46" s="7">
        <v>0</v>
      </c>
      <c r="BI46" s="7">
        <v>8.33</v>
      </c>
      <c r="BJ46" s="21"/>
    </row>
    <row r="47" spans="1:62" ht="15.6" x14ac:dyDescent="0.3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110</v>
      </c>
      <c r="B61" s="5" t="s">
        <v>111</v>
      </c>
      <c r="C61" s="7">
        <v>3</v>
      </c>
      <c r="D61" s="7">
        <v>3</v>
      </c>
      <c r="E61" s="7">
        <v>1002349.888</v>
      </c>
      <c r="F61" s="7">
        <v>105307.234</v>
      </c>
      <c r="G61" s="7">
        <v>226579.932</v>
      </c>
      <c r="H61" s="7">
        <v>0</v>
      </c>
      <c r="I61" s="7">
        <v>20053.763999999999</v>
      </c>
      <c r="J61" s="7">
        <v>156167.234</v>
      </c>
      <c r="K61" s="7">
        <v>0</v>
      </c>
      <c r="L61" s="7">
        <v>401437.891</v>
      </c>
      <c r="M61" s="7">
        <v>476565.63500000001</v>
      </c>
      <c r="N61" s="7">
        <v>0</v>
      </c>
      <c r="O61" s="7">
        <v>0</v>
      </c>
      <c r="P61" s="7">
        <v>30.97</v>
      </c>
      <c r="Q61" s="7">
        <v>1831.075</v>
      </c>
      <c r="R61" s="7">
        <v>5144.6980000000003</v>
      </c>
      <c r="S61" s="7">
        <v>42064.406000000003</v>
      </c>
      <c r="T61" s="7">
        <v>0</v>
      </c>
      <c r="U61" s="7">
        <v>0</v>
      </c>
      <c r="V61" s="7">
        <v>28854.6</v>
      </c>
      <c r="W61" s="7">
        <v>51147.527000000002</v>
      </c>
      <c r="X61" s="7">
        <v>0</v>
      </c>
      <c r="Y61" s="7">
        <v>214670.209</v>
      </c>
      <c r="Z61" s="7">
        <v>0</v>
      </c>
      <c r="AA61" s="7">
        <v>233690.84700000001</v>
      </c>
      <c r="AB61" s="7">
        <v>0</v>
      </c>
      <c r="AC61" s="7">
        <v>18548.523000000001</v>
      </c>
      <c r="AD61" s="7">
        <v>188.083</v>
      </c>
      <c r="AE61" s="7">
        <v>549344.978</v>
      </c>
      <c r="AF61" s="7">
        <v>0</v>
      </c>
      <c r="AG61" s="7">
        <v>4.7530000000000001</v>
      </c>
      <c r="AH61" s="7">
        <v>1187511.98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22289.786</v>
      </c>
      <c r="AP61" s="7">
        <v>0</v>
      </c>
      <c r="AQ61" s="7">
        <v>0</v>
      </c>
      <c r="AR61" s="7">
        <v>0</v>
      </c>
      <c r="AS61" s="7">
        <v>262.73399999999998</v>
      </c>
      <c r="AT61" s="7">
        <v>0</v>
      </c>
      <c r="AU61" s="7">
        <v>9662.2250000000004</v>
      </c>
      <c r="AV61" s="7">
        <v>0</v>
      </c>
      <c r="AW61" s="7">
        <v>0</v>
      </c>
      <c r="AX61" s="7">
        <v>0</v>
      </c>
      <c r="AY61" s="7">
        <v>21591.896000000001</v>
      </c>
      <c r="AZ61" s="7">
        <v>0</v>
      </c>
      <c r="BA61" s="7">
        <v>0</v>
      </c>
      <c r="BB61" s="7">
        <v>9544.8410000000003</v>
      </c>
      <c r="BC61" s="7">
        <v>13969.19</v>
      </c>
      <c r="BD61" s="7">
        <v>0</v>
      </c>
      <c r="BE61" s="7">
        <v>2935.1550000000002</v>
      </c>
      <c r="BF61" s="7">
        <v>2935.1550000000002</v>
      </c>
      <c r="BG61" s="7">
        <v>0</v>
      </c>
      <c r="BH61" s="7">
        <v>0</v>
      </c>
      <c r="BI61" s="7">
        <v>4695.9440000000004</v>
      </c>
      <c r="BJ61" s="21"/>
    </row>
    <row r="62" spans="1:62" ht="15.6" x14ac:dyDescent="0.3">
      <c r="A62" s="5" t="s">
        <v>112</v>
      </c>
      <c r="B62" s="5" t="s">
        <v>113</v>
      </c>
      <c r="C62" s="7">
        <v>3</v>
      </c>
      <c r="D62" s="7">
        <v>3</v>
      </c>
      <c r="E62" s="7">
        <v>5410.9210000000003</v>
      </c>
      <c r="F62" s="7">
        <v>777.50800000000004</v>
      </c>
      <c r="G62" s="7">
        <v>1204.739</v>
      </c>
      <c r="H62" s="7">
        <v>0</v>
      </c>
      <c r="I62" s="7">
        <v>114.315</v>
      </c>
      <c r="J62" s="7">
        <v>701.85500000000002</v>
      </c>
      <c r="K62" s="7">
        <v>0</v>
      </c>
      <c r="L62" s="7">
        <v>2014.537</v>
      </c>
      <c r="M62" s="7">
        <v>2505.3910000000001</v>
      </c>
      <c r="N62" s="7">
        <v>0</v>
      </c>
      <c r="O62" s="7">
        <v>0</v>
      </c>
      <c r="P62" s="7">
        <v>0.104</v>
      </c>
      <c r="Q62" s="7">
        <v>51.762</v>
      </c>
      <c r="R62" s="7">
        <v>145.434</v>
      </c>
      <c r="S62" s="7">
        <v>346.447</v>
      </c>
      <c r="T62" s="7">
        <v>0</v>
      </c>
      <c r="U62" s="7">
        <v>0</v>
      </c>
      <c r="V62" s="7">
        <v>188.393</v>
      </c>
      <c r="W62" s="7">
        <v>234.76400000000001</v>
      </c>
      <c r="X62" s="7">
        <v>0</v>
      </c>
      <c r="Y62" s="7">
        <v>915.88599999999997</v>
      </c>
      <c r="Z62" s="7">
        <v>0</v>
      </c>
      <c r="AA62" s="7">
        <v>1436.78</v>
      </c>
      <c r="AB62" s="7">
        <v>0</v>
      </c>
      <c r="AC62" s="7">
        <v>120.78100000000001</v>
      </c>
      <c r="AD62" s="7">
        <v>0</v>
      </c>
      <c r="AE62" s="7">
        <v>988.30799999999999</v>
      </c>
      <c r="AF62" s="7">
        <v>0</v>
      </c>
      <c r="AG62" s="7">
        <v>0</v>
      </c>
      <c r="AH62" s="7">
        <v>4850.442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140.898</v>
      </c>
      <c r="AP62" s="7">
        <v>0</v>
      </c>
      <c r="AQ62" s="7">
        <v>0</v>
      </c>
      <c r="AR62" s="7">
        <v>0</v>
      </c>
      <c r="AS62" s="7">
        <v>2.9209999999999998</v>
      </c>
      <c r="AT62" s="7">
        <v>0</v>
      </c>
      <c r="AU62" s="7">
        <v>80.48</v>
      </c>
      <c r="AV62" s="7">
        <v>0</v>
      </c>
      <c r="AW62" s="7">
        <v>0</v>
      </c>
      <c r="AX62" s="7">
        <v>0</v>
      </c>
      <c r="AY62" s="7">
        <v>138.976</v>
      </c>
      <c r="AZ62" s="7">
        <v>0</v>
      </c>
      <c r="BA62" s="7">
        <v>0</v>
      </c>
      <c r="BB62" s="7">
        <v>59.125</v>
      </c>
      <c r="BC62" s="7">
        <v>88.668999999999997</v>
      </c>
      <c r="BD62" s="7">
        <v>0</v>
      </c>
      <c r="BE62" s="7">
        <v>17.922999999999998</v>
      </c>
      <c r="BF62" s="7">
        <v>17.922999999999998</v>
      </c>
      <c r="BG62" s="7">
        <v>0</v>
      </c>
      <c r="BH62" s="7">
        <v>0</v>
      </c>
      <c r="BI62" s="7">
        <v>29.619</v>
      </c>
      <c r="BJ62" s="21"/>
    </row>
    <row r="63" spans="1:62" ht="15.6" x14ac:dyDescent="0.3">
      <c r="A63" s="5" t="s">
        <v>114</v>
      </c>
      <c r="B63" s="5" t="s">
        <v>115</v>
      </c>
      <c r="C63" s="7">
        <v>3</v>
      </c>
      <c r="D63" s="7">
        <v>3</v>
      </c>
      <c r="E63" s="7">
        <v>237953.76300000001</v>
      </c>
      <c r="F63" s="7">
        <v>29511.61</v>
      </c>
      <c r="G63" s="7">
        <v>53392.12</v>
      </c>
      <c r="H63" s="7">
        <v>0</v>
      </c>
      <c r="I63" s="7">
        <v>4891.5010000000002</v>
      </c>
      <c r="J63" s="7">
        <v>34026.18</v>
      </c>
      <c r="K63" s="7">
        <v>8895.65</v>
      </c>
      <c r="L63" s="7">
        <v>92007.513000000006</v>
      </c>
      <c r="M63" s="7">
        <v>111683.705</v>
      </c>
      <c r="N63" s="7">
        <v>0</v>
      </c>
      <c r="O63" s="7">
        <v>0</v>
      </c>
      <c r="P63" s="7">
        <v>5.992</v>
      </c>
      <c r="Q63" s="7">
        <v>669.05799999999999</v>
      </c>
      <c r="R63" s="7">
        <v>1879.826</v>
      </c>
      <c r="S63" s="7">
        <v>12562.645</v>
      </c>
      <c r="T63" s="7">
        <v>0</v>
      </c>
      <c r="U63" s="7">
        <v>7519.4030000000002</v>
      </c>
      <c r="V63" s="7">
        <v>7554.2870000000003</v>
      </c>
      <c r="W63" s="7">
        <v>11249.82</v>
      </c>
      <c r="X63" s="7">
        <v>0</v>
      </c>
      <c r="Y63" s="7">
        <v>45717.544000000002</v>
      </c>
      <c r="Z63" s="7">
        <v>0</v>
      </c>
      <c r="AA63" s="7">
        <v>59260.355000000003</v>
      </c>
      <c r="AB63" s="7">
        <v>0</v>
      </c>
      <c r="AC63" s="7">
        <v>4849.1090000000004</v>
      </c>
      <c r="AD63" s="7">
        <v>0</v>
      </c>
      <c r="AE63" s="7">
        <v>87733.752999999997</v>
      </c>
      <c r="AF63" s="7">
        <v>0</v>
      </c>
      <c r="AG63" s="7">
        <v>0</v>
      </c>
      <c r="AH63" s="7">
        <v>248282.38099999999</v>
      </c>
      <c r="AI63" s="7">
        <v>0</v>
      </c>
      <c r="AJ63" s="7">
        <v>0</v>
      </c>
      <c r="AK63" s="7">
        <v>0</v>
      </c>
      <c r="AL63" s="7">
        <v>0</v>
      </c>
      <c r="AM63" s="7">
        <v>1956.672</v>
      </c>
      <c r="AN63" s="7">
        <v>0</v>
      </c>
      <c r="AO63" s="7">
        <v>5735.57</v>
      </c>
      <c r="AP63" s="7">
        <v>0</v>
      </c>
      <c r="AQ63" s="7">
        <v>0</v>
      </c>
      <c r="AR63" s="7">
        <v>0</v>
      </c>
      <c r="AS63" s="7">
        <v>94.798000000000002</v>
      </c>
      <c r="AT63" s="7">
        <v>0</v>
      </c>
      <c r="AU63" s="7">
        <v>2974.098</v>
      </c>
      <c r="AV63" s="7">
        <v>0</v>
      </c>
      <c r="AW63" s="7">
        <v>0</v>
      </c>
      <c r="AX63" s="7">
        <v>0</v>
      </c>
      <c r="AY63" s="7">
        <v>5609.7280000000001</v>
      </c>
      <c r="AZ63" s="7">
        <v>0</v>
      </c>
      <c r="BA63" s="7">
        <v>0</v>
      </c>
      <c r="BB63" s="7">
        <v>2429.942</v>
      </c>
      <c r="BC63" s="7">
        <v>3602.4560000000001</v>
      </c>
      <c r="BD63" s="7">
        <v>0</v>
      </c>
      <c r="BE63" s="7">
        <v>741.65800000000002</v>
      </c>
      <c r="BF63" s="7">
        <v>741.65800000000002</v>
      </c>
      <c r="BG63" s="7">
        <v>0</v>
      </c>
      <c r="BH63" s="7">
        <v>0</v>
      </c>
      <c r="BI63" s="7">
        <v>1206.954</v>
      </c>
      <c r="BJ63" s="21"/>
    </row>
    <row r="64" spans="1:62" ht="15.6" x14ac:dyDescent="0.3">
      <c r="A64" s="5" t="s">
        <v>116</v>
      </c>
      <c r="B64" s="5" t="s">
        <v>117</v>
      </c>
      <c r="C64" s="7">
        <v>3</v>
      </c>
      <c r="D64" s="7">
        <v>3</v>
      </c>
      <c r="E64" s="7">
        <v>7896.9960000000001</v>
      </c>
      <c r="F64" s="7">
        <v>1151.3969999999999</v>
      </c>
      <c r="G64" s="7">
        <v>1756.796</v>
      </c>
      <c r="H64" s="7">
        <v>0</v>
      </c>
      <c r="I64" s="7">
        <v>167.321</v>
      </c>
      <c r="J64" s="7">
        <v>1013.074</v>
      </c>
      <c r="K64" s="7">
        <v>0</v>
      </c>
      <c r="L64" s="7">
        <v>2927.97</v>
      </c>
      <c r="M64" s="7">
        <v>3651.1480000000001</v>
      </c>
      <c r="N64" s="7">
        <v>0</v>
      </c>
      <c r="O64" s="7">
        <v>0</v>
      </c>
      <c r="P64" s="7">
        <v>0.14699999999999999</v>
      </c>
      <c r="Q64" s="7">
        <v>0</v>
      </c>
      <c r="R64" s="7">
        <v>0</v>
      </c>
      <c r="S64" s="7">
        <v>515.13699999999994</v>
      </c>
      <c r="T64" s="7">
        <v>0</v>
      </c>
      <c r="U64" s="7">
        <v>0</v>
      </c>
      <c r="V64" s="7">
        <v>277.55200000000002</v>
      </c>
      <c r="W64" s="7">
        <v>339.33300000000003</v>
      </c>
      <c r="X64" s="7">
        <v>0</v>
      </c>
      <c r="Y64" s="7">
        <v>1317.3309999999999</v>
      </c>
      <c r="Z64" s="7">
        <v>0</v>
      </c>
      <c r="AA64" s="7">
        <v>2110.884</v>
      </c>
      <c r="AB64" s="7">
        <v>0</v>
      </c>
      <c r="AC64" s="7">
        <v>177.92</v>
      </c>
      <c r="AD64" s="7">
        <v>0</v>
      </c>
      <c r="AE64" s="7">
        <v>1284.809</v>
      </c>
      <c r="AF64" s="7">
        <v>0</v>
      </c>
      <c r="AG64" s="7">
        <v>0</v>
      </c>
      <c r="AH64" s="7">
        <v>6954.6670000000004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207.274</v>
      </c>
      <c r="AP64" s="7">
        <v>0</v>
      </c>
      <c r="AQ64" s="7">
        <v>0</v>
      </c>
      <c r="AR64" s="7">
        <v>0</v>
      </c>
      <c r="AS64" s="7">
        <v>4.3819999999999997</v>
      </c>
      <c r="AT64" s="7">
        <v>0</v>
      </c>
      <c r="AU64" s="7">
        <v>119.864</v>
      </c>
      <c r="AV64" s="7">
        <v>0</v>
      </c>
      <c r="AW64" s="7">
        <v>0</v>
      </c>
      <c r="AX64" s="7">
        <v>0</v>
      </c>
      <c r="AY64" s="7">
        <v>204.61600000000001</v>
      </c>
      <c r="AZ64" s="7">
        <v>0</v>
      </c>
      <c r="BA64" s="7">
        <v>0</v>
      </c>
      <c r="BB64" s="7">
        <v>86.894999999999996</v>
      </c>
      <c r="BC64" s="7">
        <v>130.46600000000001</v>
      </c>
      <c r="BD64" s="7">
        <v>0</v>
      </c>
      <c r="BE64" s="7">
        <v>26.324000000000002</v>
      </c>
      <c r="BF64" s="7">
        <v>26.324000000000002</v>
      </c>
      <c r="BG64" s="7">
        <v>0</v>
      </c>
      <c r="BH64" s="7">
        <v>0</v>
      </c>
      <c r="BI64" s="7">
        <v>43.567999999999998</v>
      </c>
      <c r="BJ64" s="21"/>
    </row>
    <row r="65" spans="1:62" ht="15.6" x14ac:dyDescent="0.3">
      <c r="A65" s="5" t="s">
        <v>118</v>
      </c>
      <c r="B65" s="5" t="s">
        <v>119</v>
      </c>
      <c r="C65" s="7">
        <v>3</v>
      </c>
      <c r="D65" s="7">
        <v>3</v>
      </c>
      <c r="E65" s="7">
        <v>201550.52600000001</v>
      </c>
      <c r="F65" s="7">
        <v>29412.901999999998</v>
      </c>
      <c r="G65" s="7">
        <v>45109.983999999997</v>
      </c>
      <c r="H65" s="7">
        <v>3065.3560000000002</v>
      </c>
      <c r="I65" s="7">
        <v>4238.3059999999996</v>
      </c>
      <c r="J65" s="7">
        <v>26184.257000000001</v>
      </c>
      <c r="K65" s="7">
        <v>0</v>
      </c>
      <c r="L65" s="7">
        <v>77855.846000000005</v>
      </c>
      <c r="M65" s="7">
        <v>93549.657999999996</v>
      </c>
      <c r="N65" s="7">
        <v>0</v>
      </c>
      <c r="O65" s="7">
        <v>0</v>
      </c>
      <c r="P65" s="7">
        <v>3.7240000000000002</v>
      </c>
      <c r="Q65" s="7">
        <v>574.80600000000004</v>
      </c>
      <c r="R65" s="7">
        <v>1615.01</v>
      </c>
      <c r="S65" s="7">
        <v>13048.607</v>
      </c>
      <c r="T65" s="7">
        <v>0</v>
      </c>
      <c r="U65" s="7">
        <v>0</v>
      </c>
      <c r="V65" s="7">
        <v>7030.4939999999997</v>
      </c>
      <c r="W65" s="7">
        <v>8595.4110000000001</v>
      </c>
      <c r="X65" s="7">
        <v>0</v>
      </c>
      <c r="Y65" s="7">
        <v>33514.930999999997</v>
      </c>
      <c r="Z65" s="7">
        <v>0</v>
      </c>
      <c r="AA65" s="7">
        <v>53564.584000000003</v>
      </c>
      <c r="AB65" s="7">
        <v>0</v>
      </c>
      <c r="AC65" s="7">
        <v>4506.7629999999999</v>
      </c>
      <c r="AD65" s="7">
        <v>0</v>
      </c>
      <c r="AE65" s="7">
        <v>33446.639000000003</v>
      </c>
      <c r="AF65" s="7">
        <v>0</v>
      </c>
      <c r="AG65" s="7">
        <v>0</v>
      </c>
      <c r="AH65" s="7">
        <v>179272.33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5250.317</v>
      </c>
      <c r="AP65" s="7">
        <v>0</v>
      </c>
      <c r="AQ65" s="7">
        <v>0</v>
      </c>
      <c r="AR65" s="7">
        <v>0</v>
      </c>
      <c r="AS65" s="7">
        <v>111</v>
      </c>
      <c r="AT65" s="7">
        <v>0</v>
      </c>
      <c r="AU65" s="7">
        <v>3064.66</v>
      </c>
      <c r="AV65" s="7">
        <v>0</v>
      </c>
      <c r="AW65" s="7">
        <v>0</v>
      </c>
      <c r="AX65" s="7">
        <v>0</v>
      </c>
      <c r="AY65" s="7">
        <v>5182.991</v>
      </c>
      <c r="AZ65" s="7">
        <v>0</v>
      </c>
      <c r="BA65" s="7">
        <v>0</v>
      </c>
      <c r="BB65" s="7">
        <v>2201.0909999999999</v>
      </c>
      <c r="BC65" s="7">
        <v>3304.7359999999999</v>
      </c>
      <c r="BD65" s="7">
        <v>0</v>
      </c>
      <c r="BE65" s="7">
        <v>666.78499999999997</v>
      </c>
      <c r="BF65" s="7">
        <v>666.78499999999997</v>
      </c>
      <c r="BG65" s="7">
        <v>0</v>
      </c>
      <c r="BH65" s="7">
        <v>0</v>
      </c>
      <c r="BI65" s="7">
        <v>1103.595</v>
      </c>
      <c r="BJ65" s="21"/>
    </row>
    <row r="66" spans="1:62" ht="15.6" x14ac:dyDescent="0.3">
      <c r="A66" s="5" t="s">
        <v>120</v>
      </c>
      <c r="B66" s="5" t="s">
        <v>121</v>
      </c>
      <c r="C66" s="7">
        <v>3</v>
      </c>
      <c r="D66" s="7">
        <v>3</v>
      </c>
      <c r="E66" s="7">
        <v>17396.396000000001</v>
      </c>
      <c r="F66" s="7">
        <v>2536.4279999999999</v>
      </c>
      <c r="G66" s="7">
        <v>3870.0680000000002</v>
      </c>
      <c r="H66" s="7">
        <v>0</v>
      </c>
      <c r="I66" s="7">
        <v>368.59399999999999</v>
      </c>
      <c r="J66" s="7">
        <v>2231.7139999999999</v>
      </c>
      <c r="K66" s="7">
        <v>0</v>
      </c>
      <c r="L66" s="7">
        <v>6450.0649999999996</v>
      </c>
      <c r="M66" s="7">
        <v>8043.1620000000003</v>
      </c>
      <c r="N66" s="7">
        <v>0</v>
      </c>
      <c r="O66" s="7">
        <v>0</v>
      </c>
      <c r="P66" s="7">
        <v>0.32400000000000001</v>
      </c>
      <c r="Q66" s="7">
        <v>62.484999999999999</v>
      </c>
      <c r="R66" s="7">
        <v>175.56200000000001</v>
      </c>
      <c r="S66" s="7">
        <v>1134.8030000000001</v>
      </c>
      <c r="T66" s="7">
        <v>0</v>
      </c>
      <c r="U66" s="7">
        <v>0</v>
      </c>
      <c r="V66" s="7">
        <v>611.42399999999998</v>
      </c>
      <c r="W66" s="7">
        <v>747.52</v>
      </c>
      <c r="X66" s="7">
        <v>0</v>
      </c>
      <c r="Y66" s="7">
        <v>2901.9659999999999</v>
      </c>
      <c r="Z66" s="7">
        <v>0</v>
      </c>
      <c r="AA66" s="7">
        <v>4650.0940000000001</v>
      </c>
      <c r="AB66" s="7">
        <v>0</v>
      </c>
      <c r="AC66" s="7">
        <v>391.94099999999997</v>
      </c>
      <c r="AD66" s="7">
        <v>0</v>
      </c>
      <c r="AE66" s="7">
        <v>2830.3229999999999</v>
      </c>
      <c r="AF66" s="7">
        <v>0</v>
      </c>
      <c r="AG66" s="7">
        <v>0</v>
      </c>
      <c r="AH66" s="7">
        <v>15320.528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456.60599999999999</v>
      </c>
      <c r="AP66" s="7">
        <v>0</v>
      </c>
      <c r="AQ66" s="7">
        <v>0</v>
      </c>
      <c r="AR66" s="7">
        <v>0</v>
      </c>
      <c r="AS66" s="7">
        <v>9.6530000000000005</v>
      </c>
      <c r="AT66" s="7">
        <v>0</v>
      </c>
      <c r="AU66" s="7">
        <v>272.47800000000001</v>
      </c>
      <c r="AV66" s="7">
        <v>0</v>
      </c>
      <c r="AW66" s="7">
        <v>0</v>
      </c>
      <c r="AX66" s="7">
        <v>0</v>
      </c>
      <c r="AY66" s="7">
        <v>450.75099999999998</v>
      </c>
      <c r="AZ66" s="7">
        <v>0</v>
      </c>
      <c r="BA66" s="7">
        <v>0</v>
      </c>
      <c r="BB66" s="7">
        <v>191.423</v>
      </c>
      <c r="BC66" s="7">
        <v>287.404</v>
      </c>
      <c r="BD66" s="7">
        <v>0</v>
      </c>
      <c r="BE66" s="7">
        <v>57.988999999999997</v>
      </c>
      <c r="BF66" s="7">
        <v>57.988999999999997</v>
      </c>
      <c r="BG66" s="7">
        <v>0</v>
      </c>
      <c r="BH66" s="7">
        <v>0</v>
      </c>
      <c r="BI66" s="7">
        <v>95.977000000000004</v>
      </c>
      <c r="BJ66" s="21"/>
    </row>
    <row r="67" spans="1:62" ht="15.6" x14ac:dyDescent="0.3">
      <c r="A67" s="5" t="s">
        <v>122</v>
      </c>
      <c r="B67" s="5" t="s">
        <v>123</v>
      </c>
      <c r="C67" s="7">
        <v>3</v>
      </c>
      <c r="D67" s="7">
        <v>3</v>
      </c>
      <c r="E67" s="7">
        <v>185245.413</v>
      </c>
      <c r="F67" s="7">
        <v>27020.468000000001</v>
      </c>
      <c r="G67" s="7">
        <v>41176.692000000003</v>
      </c>
      <c r="H67" s="7">
        <v>0</v>
      </c>
      <c r="I67" s="7">
        <v>3922.451</v>
      </c>
      <c r="J67" s="7">
        <v>23744.954000000002</v>
      </c>
      <c r="K67" s="7">
        <v>6093.7330000000002</v>
      </c>
      <c r="L67" s="7">
        <v>69013.135999999999</v>
      </c>
      <c r="M67" s="7">
        <v>85594.710999999996</v>
      </c>
      <c r="N67" s="7">
        <v>0</v>
      </c>
      <c r="O67" s="7">
        <v>0</v>
      </c>
      <c r="P67" s="7">
        <v>3.4529999999999998</v>
      </c>
      <c r="Q67" s="7">
        <v>868.54899999999998</v>
      </c>
      <c r="R67" s="7">
        <v>2440.3249999999998</v>
      </c>
      <c r="S67" s="7">
        <v>12084.98</v>
      </c>
      <c r="T67" s="7">
        <v>0</v>
      </c>
      <c r="U67" s="7">
        <v>5150.9709999999995</v>
      </c>
      <c r="V67" s="7">
        <v>6505.415</v>
      </c>
      <c r="W67" s="7">
        <v>7957.2939999999999</v>
      </c>
      <c r="X67" s="7">
        <v>0</v>
      </c>
      <c r="Y67" s="7">
        <v>30953.098999999998</v>
      </c>
      <c r="Z67" s="7">
        <v>0</v>
      </c>
      <c r="AA67" s="7">
        <v>49487.423999999999</v>
      </c>
      <c r="AB67" s="7">
        <v>0</v>
      </c>
      <c r="AC67" s="7">
        <v>4177.1419999999998</v>
      </c>
      <c r="AD67" s="7">
        <v>0</v>
      </c>
      <c r="AE67" s="7">
        <v>30321.761999999999</v>
      </c>
      <c r="AF67" s="7">
        <v>216.947</v>
      </c>
      <c r="AG67" s="7">
        <v>0</v>
      </c>
      <c r="AH67" s="7">
        <v>163644.965</v>
      </c>
      <c r="AI67" s="7">
        <v>345.10700000000003</v>
      </c>
      <c r="AJ67" s="7">
        <v>0</v>
      </c>
      <c r="AK67" s="7">
        <v>0</v>
      </c>
      <c r="AL67" s="7">
        <v>0</v>
      </c>
      <c r="AM67" s="7">
        <v>1340.367</v>
      </c>
      <c r="AN67" s="7">
        <v>0</v>
      </c>
      <c r="AO67" s="7">
        <v>4865.7089999999998</v>
      </c>
      <c r="AP67" s="7">
        <v>0</v>
      </c>
      <c r="AQ67" s="7">
        <v>85.641999999999996</v>
      </c>
      <c r="AR67" s="7">
        <v>0</v>
      </c>
      <c r="AS67" s="7">
        <v>102.813</v>
      </c>
      <c r="AT67" s="7">
        <v>0</v>
      </c>
      <c r="AU67" s="7">
        <v>2878.32</v>
      </c>
      <c r="AV67" s="7">
        <v>0</v>
      </c>
      <c r="AW67" s="7">
        <v>0</v>
      </c>
      <c r="AX67" s="7">
        <v>0</v>
      </c>
      <c r="AY67" s="7">
        <v>4799.277</v>
      </c>
      <c r="AZ67" s="7">
        <v>138.43299999999999</v>
      </c>
      <c r="BA67" s="7">
        <v>0</v>
      </c>
      <c r="BB67" s="7">
        <v>2039.7449999999999</v>
      </c>
      <c r="BC67" s="7">
        <v>3057.9180000000001</v>
      </c>
      <c r="BD67" s="7">
        <v>171.20099999999999</v>
      </c>
      <c r="BE67" s="7">
        <v>617.87900000000002</v>
      </c>
      <c r="BF67" s="7">
        <v>617.87900000000002</v>
      </c>
      <c r="BG67" s="7">
        <v>59.715000000000003</v>
      </c>
      <c r="BH67" s="7">
        <v>0</v>
      </c>
      <c r="BI67" s="7">
        <v>1021.172</v>
      </c>
      <c r="BJ67" s="21"/>
    </row>
    <row r="68" spans="1:62" ht="15.6" x14ac:dyDescent="0.3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21"/>
    </row>
    <row r="69" spans="1:62" ht="15.6" x14ac:dyDescent="0.3">
      <c r="A69" s="5" t="s">
        <v>126</v>
      </c>
      <c r="B69" s="5" t="s">
        <v>127</v>
      </c>
      <c r="C69" s="7">
        <v>3</v>
      </c>
      <c r="D69" s="7">
        <v>3</v>
      </c>
      <c r="E69" s="7">
        <v>54011.686999999998</v>
      </c>
      <c r="F69" s="7">
        <v>7875.0079999999998</v>
      </c>
      <c r="G69" s="7">
        <v>12015.645</v>
      </c>
      <c r="H69" s="7">
        <v>23269.276999999998</v>
      </c>
      <c r="I69" s="7">
        <v>1144.3979999999999</v>
      </c>
      <c r="J69" s="7">
        <v>6928.9430000000002</v>
      </c>
      <c r="K69" s="7">
        <v>0</v>
      </c>
      <c r="L69" s="7">
        <v>20025.922999999999</v>
      </c>
      <c r="M69" s="7">
        <v>24972.113000000001</v>
      </c>
      <c r="N69" s="7">
        <v>0</v>
      </c>
      <c r="O69" s="7">
        <v>0</v>
      </c>
      <c r="P69" s="7">
        <v>1.006</v>
      </c>
      <c r="Q69" s="7">
        <v>0</v>
      </c>
      <c r="R69" s="7">
        <v>0</v>
      </c>
      <c r="S69" s="7">
        <v>3523.2950000000001</v>
      </c>
      <c r="T69" s="7">
        <v>0</v>
      </c>
      <c r="U69" s="7">
        <v>0</v>
      </c>
      <c r="V69" s="7">
        <v>1898.325</v>
      </c>
      <c r="W69" s="7">
        <v>2320.8739999999998</v>
      </c>
      <c r="X69" s="7">
        <v>0</v>
      </c>
      <c r="Y69" s="7">
        <v>9009.9159999999993</v>
      </c>
      <c r="Z69" s="7">
        <v>0</v>
      </c>
      <c r="AA69" s="7">
        <v>14437.439</v>
      </c>
      <c r="AB69" s="7">
        <v>0</v>
      </c>
      <c r="AC69" s="7">
        <v>1216.885</v>
      </c>
      <c r="AD69" s="7">
        <v>0</v>
      </c>
      <c r="AE69" s="7">
        <v>8787.482</v>
      </c>
      <c r="AF69" s="7">
        <v>0</v>
      </c>
      <c r="AG69" s="7">
        <v>0</v>
      </c>
      <c r="AH69" s="7">
        <v>47566.608999999997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1417.654</v>
      </c>
      <c r="AP69" s="7">
        <v>0</v>
      </c>
      <c r="AQ69" s="7">
        <v>0</v>
      </c>
      <c r="AR69" s="7">
        <v>0</v>
      </c>
      <c r="AS69" s="7">
        <v>29.971</v>
      </c>
      <c r="AT69" s="7">
        <v>0</v>
      </c>
      <c r="AU69" s="7">
        <v>819.81399999999996</v>
      </c>
      <c r="AV69" s="7">
        <v>0</v>
      </c>
      <c r="AW69" s="7">
        <v>0</v>
      </c>
      <c r="AX69" s="7">
        <v>0</v>
      </c>
      <c r="AY69" s="7">
        <v>1399.4749999999999</v>
      </c>
      <c r="AZ69" s="7">
        <v>0</v>
      </c>
      <c r="BA69" s="7">
        <v>0</v>
      </c>
      <c r="BB69" s="7">
        <v>594.32299999999998</v>
      </c>
      <c r="BC69" s="7">
        <v>892.322</v>
      </c>
      <c r="BD69" s="7">
        <v>0</v>
      </c>
      <c r="BE69" s="7">
        <v>180.041</v>
      </c>
      <c r="BF69" s="7">
        <v>180.041</v>
      </c>
      <c r="BG69" s="7">
        <v>0</v>
      </c>
      <c r="BH69" s="7">
        <v>0</v>
      </c>
      <c r="BI69" s="7">
        <v>297.98500000000001</v>
      </c>
      <c r="BJ69" s="21"/>
    </row>
    <row r="70" spans="1:62" ht="15.6" x14ac:dyDescent="0.3">
      <c r="A70" s="5" t="s">
        <v>128</v>
      </c>
      <c r="B70" s="5" t="s">
        <v>129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130</v>
      </c>
      <c r="B71" s="5" t="s">
        <v>131</v>
      </c>
      <c r="C71" s="7">
        <v>3</v>
      </c>
      <c r="D71" s="7">
        <v>3</v>
      </c>
      <c r="E71" s="7">
        <v>88892.92</v>
      </c>
      <c r="F71" s="7">
        <v>12960.759</v>
      </c>
      <c r="G71" s="7">
        <v>19775.456999999999</v>
      </c>
      <c r="H71" s="7">
        <v>28555.739000000001</v>
      </c>
      <c r="I71" s="7">
        <v>1883.461</v>
      </c>
      <c r="J71" s="7">
        <v>11403.716</v>
      </c>
      <c r="K71" s="7">
        <v>12075.92</v>
      </c>
      <c r="L71" s="7">
        <v>32958.843999999997</v>
      </c>
      <c r="M71" s="7">
        <v>41099.328999999998</v>
      </c>
      <c r="N71" s="7">
        <v>0</v>
      </c>
      <c r="O71" s="7">
        <v>0</v>
      </c>
      <c r="P71" s="7">
        <v>1.655</v>
      </c>
      <c r="Q71" s="7">
        <v>2.0590000000000002</v>
      </c>
      <c r="R71" s="7">
        <v>5.7850000000000001</v>
      </c>
      <c r="S71" s="7">
        <v>5798.67</v>
      </c>
      <c r="T71" s="7">
        <v>0</v>
      </c>
      <c r="U71" s="7">
        <v>10207.653</v>
      </c>
      <c r="V71" s="7">
        <v>3124.2809999999999</v>
      </c>
      <c r="W71" s="7">
        <v>3819.7150000000001</v>
      </c>
      <c r="X71" s="7">
        <v>0</v>
      </c>
      <c r="Y71" s="7">
        <v>14828.601000000001</v>
      </c>
      <c r="Z71" s="7">
        <v>0</v>
      </c>
      <c r="AA71" s="7">
        <v>23761.267</v>
      </c>
      <c r="AB71" s="7">
        <v>0</v>
      </c>
      <c r="AC71" s="7">
        <v>2002.76</v>
      </c>
      <c r="AD71" s="7">
        <v>0</v>
      </c>
      <c r="AE71" s="7">
        <v>14462.517</v>
      </c>
      <c r="AF71" s="7">
        <v>8.4760000000000009</v>
      </c>
      <c r="AG71" s="7">
        <v>0</v>
      </c>
      <c r="AH71" s="7">
        <v>78347.78</v>
      </c>
      <c r="AI71" s="7">
        <v>29.416</v>
      </c>
      <c r="AJ71" s="7">
        <v>0</v>
      </c>
      <c r="AK71" s="7">
        <v>0</v>
      </c>
      <c r="AL71" s="7">
        <v>0</v>
      </c>
      <c r="AM71" s="7">
        <v>2656.1979999999999</v>
      </c>
      <c r="AN71" s="7">
        <v>0</v>
      </c>
      <c r="AO71" s="7">
        <v>2333.1880000000001</v>
      </c>
      <c r="AP71" s="7">
        <v>0</v>
      </c>
      <c r="AQ71" s="7">
        <v>0</v>
      </c>
      <c r="AR71" s="7">
        <v>0</v>
      </c>
      <c r="AS71" s="7">
        <v>49.326999999999998</v>
      </c>
      <c r="AT71" s="7">
        <v>0</v>
      </c>
      <c r="AU71" s="7">
        <v>1356.8440000000001</v>
      </c>
      <c r="AV71" s="7">
        <v>0</v>
      </c>
      <c r="AW71" s="7">
        <v>0</v>
      </c>
      <c r="AX71" s="7">
        <v>0</v>
      </c>
      <c r="AY71" s="7">
        <v>2303.2689999999998</v>
      </c>
      <c r="AZ71" s="7">
        <v>0</v>
      </c>
      <c r="BA71" s="7">
        <v>0</v>
      </c>
      <c r="BB71" s="7">
        <v>978.14300000000003</v>
      </c>
      <c r="BC71" s="7">
        <v>1468.5909999999999</v>
      </c>
      <c r="BD71" s="7">
        <v>0</v>
      </c>
      <c r="BE71" s="7">
        <v>296.31299999999999</v>
      </c>
      <c r="BF71" s="7">
        <v>296.31299999999999</v>
      </c>
      <c r="BG71" s="7">
        <v>0</v>
      </c>
      <c r="BH71" s="7">
        <v>0</v>
      </c>
      <c r="BI71" s="7">
        <v>490.42700000000002</v>
      </c>
      <c r="BJ71" s="21"/>
    </row>
    <row r="72" spans="1:62" ht="15.6" x14ac:dyDescent="0.3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21"/>
    </row>
    <row r="73" spans="1:62" ht="15.6" x14ac:dyDescent="0.3">
      <c r="A73" s="5" t="s">
        <v>134</v>
      </c>
      <c r="B73" s="5" t="s">
        <v>135</v>
      </c>
      <c r="C73" s="7">
        <v>6</v>
      </c>
      <c r="D73" s="7">
        <v>6</v>
      </c>
      <c r="E73" s="7">
        <v>71785.028000000006</v>
      </c>
      <c r="F73" s="7">
        <v>6729.3710000000001</v>
      </c>
      <c r="G73" s="7">
        <v>16386.079000000002</v>
      </c>
      <c r="H73" s="7">
        <v>1780.2650000000001</v>
      </c>
      <c r="I73" s="7">
        <v>1354.415</v>
      </c>
      <c r="J73" s="7">
        <v>12245.032999999999</v>
      </c>
      <c r="K73" s="7">
        <v>0</v>
      </c>
      <c r="L73" s="7">
        <v>32430.59</v>
      </c>
      <c r="M73" s="7">
        <v>33857.584999999999</v>
      </c>
      <c r="N73" s="7">
        <v>0</v>
      </c>
      <c r="O73" s="7">
        <v>0</v>
      </c>
      <c r="P73" s="7">
        <v>30.814</v>
      </c>
      <c r="Q73" s="7">
        <v>0</v>
      </c>
      <c r="R73" s="7">
        <v>126.161</v>
      </c>
      <c r="S73" s="7">
        <v>2119.306</v>
      </c>
      <c r="T73" s="7">
        <v>0</v>
      </c>
      <c r="U73" s="7">
        <v>0</v>
      </c>
      <c r="V73" s="7">
        <v>1725.672</v>
      </c>
      <c r="W73" s="7">
        <v>3534.07</v>
      </c>
      <c r="X73" s="7">
        <v>0</v>
      </c>
      <c r="Y73" s="7">
        <v>16115.052</v>
      </c>
      <c r="Z73" s="7">
        <v>0</v>
      </c>
      <c r="AA73" s="7">
        <v>14298.790999999999</v>
      </c>
      <c r="AB73" s="7">
        <v>0</v>
      </c>
      <c r="AC73" s="7">
        <v>1170.4469999999999</v>
      </c>
      <c r="AD73" s="7">
        <v>0</v>
      </c>
      <c r="AE73" s="7">
        <v>52954.940999999999</v>
      </c>
      <c r="AF73" s="7">
        <v>0</v>
      </c>
      <c r="AG73" s="7">
        <v>0</v>
      </c>
      <c r="AH73" s="7">
        <v>99318.911999999997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1278.192</v>
      </c>
      <c r="AP73" s="7">
        <v>0</v>
      </c>
      <c r="AQ73" s="7">
        <v>0</v>
      </c>
      <c r="AR73" s="7">
        <v>0</v>
      </c>
      <c r="AS73" s="7">
        <v>10.486000000000001</v>
      </c>
      <c r="AT73" s="7">
        <v>0</v>
      </c>
      <c r="AU73" s="7">
        <v>455.65</v>
      </c>
      <c r="AV73" s="7">
        <v>0</v>
      </c>
      <c r="AW73" s="7">
        <v>0</v>
      </c>
      <c r="AX73" s="7">
        <v>0</v>
      </c>
      <c r="AY73" s="7">
        <v>1229.1210000000001</v>
      </c>
      <c r="AZ73" s="7">
        <v>0</v>
      </c>
      <c r="BA73" s="7">
        <v>0</v>
      </c>
      <c r="BB73" s="7">
        <v>551.74199999999996</v>
      </c>
      <c r="BC73" s="7">
        <v>799.71799999999996</v>
      </c>
      <c r="BD73" s="7">
        <v>0</v>
      </c>
      <c r="BE73" s="7">
        <v>170.607</v>
      </c>
      <c r="BF73" s="7">
        <v>170.607</v>
      </c>
      <c r="BG73" s="7">
        <v>0</v>
      </c>
      <c r="BH73" s="7">
        <v>0</v>
      </c>
      <c r="BI73" s="7">
        <v>269.52100000000002</v>
      </c>
      <c r="BJ73" s="21"/>
    </row>
    <row r="74" spans="1:62" ht="15.6" x14ac:dyDescent="0.3">
      <c r="A74" s="5" t="s">
        <v>136</v>
      </c>
      <c r="B74" s="5" t="s">
        <v>137</v>
      </c>
      <c r="C74" s="7">
        <v>6</v>
      </c>
      <c r="D74" s="7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138</v>
      </c>
      <c r="B75" s="5" t="s">
        <v>139</v>
      </c>
      <c r="C75" s="7">
        <v>6</v>
      </c>
      <c r="D75" s="7">
        <v>6</v>
      </c>
      <c r="E75" s="7">
        <v>10529.619000000001</v>
      </c>
      <c r="F75" s="7">
        <v>1853.288</v>
      </c>
      <c r="G75" s="7">
        <v>1350.845</v>
      </c>
      <c r="H75" s="7">
        <v>0</v>
      </c>
      <c r="I75" s="7">
        <v>147.28100000000001</v>
      </c>
      <c r="J75" s="7">
        <v>1417.7439999999999</v>
      </c>
      <c r="K75" s="7">
        <v>0</v>
      </c>
      <c r="L75" s="7">
        <v>17590.728999999999</v>
      </c>
      <c r="M75" s="7">
        <v>4058.3510000000001</v>
      </c>
      <c r="N75" s="7">
        <v>0</v>
      </c>
      <c r="O75" s="7">
        <v>0</v>
      </c>
      <c r="P75" s="7">
        <v>7.5430000000000001</v>
      </c>
      <c r="Q75" s="7">
        <v>0</v>
      </c>
      <c r="R75" s="7">
        <v>248.44499999999999</v>
      </c>
      <c r="S75" s="7">
        <v>326.233</v>
      </c>
      <c r="T75" s="7">
        <v>0</v>
      </c>
      <c r="U75" s="7">
        <v>0</v>
      </c>
      <c r="V75" s="7">
        <v>199.86600000000001</v>
      </c>
      <c r="W75" s="7">
        <v>287.34199999999998</v>
      </c>
      <c r="X75" s="7">
        <v>0</v>
      </c>
      <c r="Y75" s="7">
        <v>1405.604</v>
      </c>
      <c r="Z75" s="7">
        <v>0</v>
      </c>
      <c r="AA75" s="7">
        <v>1531.7249999999999</v>
      </c>
      <c r="AB75" s="7">
        <v>0</v>
      </c>
      <c r="AC75" s="7">
        <v>143.726</v>
      </c>
      <c r="AD75" s="7">
        <v>0</v>
      </c>
      <c r="AE75" s="7">
        <v>4278.7579999999998</v>
      </c>
      <c r="AF75" s="7">
        <v>0</v>
      </c>
      <c r="AG75" s="7">
        <v>0</v>
      </c>
      <c r="AH75" s="7">
        <v>17872.106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131.26499999999999</v>
      </c>
      <c r="AP75" s="7">
        <v>0</v>
      </c>
      <c r="AQ75" s="7">
        <v>0</v>
      </c>
      <c r="AR75" s="7">
        <v>0</v>
      </c>
      <c r="AS75" s="7">
        <v>2.7749999999999999</v>
      </c>
      <c r="AT75" s="7">
        <v>0</v>
      </c>
      <c r="AU75" s="7">
        <v>75.909000000000006</v>
      </c>
      <c r="AV75" s="7">
        <v>0</v>
      </c>
      <c r="AW75" s="7">
        <v>0</v>
      </c>
      <c r="AX75" s="7">
        <v>0</v>
      </c>
      <c r="AY75" s="7">
        <v>129.58199999999999</v>
      </c>
      <c r="AZ75" s="7">
        <v>0</v>
      </c>
      <c r="BA75" s="7">
        <v>0</v>
      </c>
      <c r="BB75" s="7">
        <v>55.03</v>
      </c>
      <c r="BC75" s="7">
        <v>82.623000000000005</v>
      </c>
      <c r="BD75" s="7">
        <v>0</v>
      </c>
      <c r="BE75" s="7">
        <v>16.670999999999999</v>
      </c>
      <c r="BF75" s="7">
        <v>16.670999999999999</v>
      </c>
      <c r="BG75" s="7">
        <v>0</v>
      </c>
      <c r="BH75" s="7">
        <v>0</v>
      </c>
      <c r="BI75" s="7">
        <v>27.591000000000001</v>
      </c>
      <c r="BJ75" s="21"/>
    </row>
    <row r="76" spans="1:62" ht="15.6" x14ac:dyDescent="0.3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142</v>
      </c>
      <c r="B77" s="5" t="s">
        <v>143</v>
      </c>
      <c r="C77" s="7">
        <v>6</v>
      </c>
      <c r="D77" s="7">
        <v>6</v>
      </c>
      <c r="E77" s="7">
        <v>8887.0869999999995</v>
      </c>
      <c r="F77" s="7">
        <v>1168.22</v>
      </c>
      <c r="G77" s="7">
        <v>1759.019</v>
      </c>
      <c r="H77" s="7">
        <v>5319.61</v>
      </c>
      <c r="I77" s="7">
        <v>188.619</v>
      </c>
      <c r="J77" s="7">
        <v>1022.639</v>
      </c>
      <c r="K77" s="7">
        <v>0</v>
      </c>
      <c r="L77" s="7">
        <v>4051.56</v>
      </c>
      <c r="M77" s="7">
        <v>3822.8290000000002</v>
      </c>
      <c r="N77" s="7">
        <v>0</v>
      </c>
      <c r="O77" s="7">
        <v>0</v>
      </c>
      <c r="P77" s="7">
        <v>8.56</v>
      </c>
      <c r="Q77" s="7">
        <v>0</v>
      </c>
      <c r="R77" s="7">
        <v>0</v>
      </c>
      <c r="S77" s="7">
        <v>436.678</v>
      </c>
      <c r="T77" s="7">
        <v>0</v>
      </c>
      <c r="U77" s="7">
        <v>0</v>
      </c>
      <c r="V77" s="7">
        <v>262.56</v>
      </c>
      <c r="W77" s="7">
        <v>369.678</v>
      </c>
      <c r="X77" s="7">
        <v>0</v>
      </c>
      <c r="Y77" s="7">
        <v>1763.615</v>
      </c>
      <c r="Z77" s="7">
        <v>0</v>
      </c>
      <c r="AA77" s="7">
        <v>2010.08</v>
      </c>
      <c r="AB77" s="7">
        <v>0</v>
      </c>
      <c r="AC77" s="7">
        <v>185.97900000000001</v>
      </c>
      <c r="AD77" s="7">
        <v>0</v>
      </c>
      <c r="AE77" s="7">
        <v>3189.9479999999999</v>
      </c>
      <c r="AF77" s="7">
        <v>0</v>
      </c>
      <c r="AG77" s="7">
        <v>0</v>
      </c>
      <c r="AH77" s="7">
        <v>10496.796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175.70400000000001</v>
      </c>
      <c r="AP77" s="7">
        <v>0</v>
      </c>
      <c r="AQ77" s="7">
        <v>0</v>
      </c>
      <c r="AR77" s="7">
        <v>0</v>
      </c>
      <c r="AS77" s="7">
        <v>3.7149999999999999</v>
      </c>
      <c r="AT77" s="7">
        <v>0</v>
      </c>
      <c r="AU77" s="7">
        <v>101.608</v>
      </c>
      <c r="AV77" s="7">
        <v>0</v>
      </c>
      <c r="AW77" s="7">
        <v>0</v>
      </c>
      <c r="AX77" s="7">
        <v>0</v>
      </c>
      <c r="AY77" s="7">
        <v>173.45099999999999</v>
      </c>
      <c r="AZ77" s="7">
        <v>0</v>
      </c>
      <c r="BA77" s="7">
        <v>0</v>
      </c>
      <c r="BB77" s="7">
        <v>73.661000000000001</v>
      </c>
      <c r="BC77" s="7">
        <v>110.595</v>
      </c>
      <c r="BD77" s="7">
        <v>0</v>
      </c>
      <c r="BE77" s="7">
        <v>22.314</v>
      </c>
      <c r="BF77" s="7">
        <v>22.314</v>
      </c>
      <c r="BG77" s="7">
        <v>0</v>
      </c>
      <c r="BH77" s="7">
        <v>0</v>
      </c>
      <c r="BI77" s="7">
        <v>36.932000000000002</v>
      </c>
      <c r="BJ77" s="21"/>
    </row>
    <row r="78" spans="1:62" ht="15.6" x14ac:dyDescent="0.3">
      <c r="A78" s="5" t="s">
        <v>144</v>
      </c>
      <c r="B78" s="5" t="s">
        <v>145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146</v>
      </c>
      <c r="B79" s="5" t="s">
        <v>147</v>
      </c>
      <c r="C79" s="7">
        <v>6</v>
      </c>
      <c r="D79" s="7">
        <v>6</v>
      </c>
      <c r="E79" s="7">
        <v>5929.8109999999997</v>
      </c>
      <c r="F79" s="7">
        <v>857.39599999999996</v>
      </c>
      <c r="G79" s="7">
        <v>1288.789</v>
      </c>
      <c r="H79" s="7">
        <v>0</v>
      </c>
      <c r="I79" s="7">
        <v>92.822999999999993</v>
      </c>
      <c r="J79" s="7">
        <v>922.63900000000001</v>
      </c>
      <c r="K79" s="7">
        <v>0</v>
      </c>
      <c r="L79" s="7">
        <v>7368.89</v>
      </c>
      <c r="M79" s="7">
        <v>2207.4180000000001</v>
      </c>
      <c r="N79" s="7">
        <v>0</v>
      </c>
      <c r="O79" s="7">
        <v>0</v>
      </c>
      <c r="P79" s="7">
        <v>9.4730000000000008</v>
      </c>
      <c r="Q79" s="7">
        <v>0</v>
      </c>
      <c r="R79" s="7">
        <v>93.52</v>
      </c>
      <c r="S79" s="7">
        <v>124.64700000000001</v>
      </c>
      <c r="T79" s="7">
        <v>0</v>
      </c>
      <c r="U79" s="7">
        <v>0</v>
      </c>
      <c r="V79" s="7">
        <v>97.679000000000002</v>
      </c>
      <c r="W79" s="7">
        <v>173.874</v>
      </c>
      <c r="X79" s="7">
        <v>0</v>
      </c>
      <c r="Y79" s="7">
        <v>1186.2370000000001</v>
      </c>
      <c r="Z79" s="7">
        <v>0</v>
      </c>
      <c r="AA79" s="7">
        <v>827.24300000000005</v>
      </c>
      <c r="AB79" s="7">
        <v>0</v>
      </c>
      <c r="AC79" s="7">
        <v>82.382999999999996</v>
      </c>
      <c r="AD79" s="7">
        <v>0</v>
      </c>
      <c r="AE79" s="7">
        <v>3582.0439999999999</v>
      </c>
      <c r="AF79" s="7">
        <v>0</v>
      </c>
      <c r="AG79" s="7">
        <v>0</v>
      </c>
      <c r="AH79" s="7">
        <v>10691.692999999999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50.154000000000003</v>
      </c>
      <c r="AP79" s="7">
        <v>0</v>
      </c>
      <c r="AQ79" s="7">
        <v>0</v>
      </c>
      <c r="AR79" s="7">
        <v>0</v>
      </c>
      <c r="AS79" s="7">
        <v>1.06</v>
      </c>
      <c r="AT79" s="7">
        <v>0</v>
      </c>
      <c r="AU79" s="7">
        <v>29.003</v>
      </c>
      <c r="AV79" s="7">
        <v>0</v>
      </c>
      <c r="AW79" s="7">
        <v>0</v>
      </c>
      <c r="AX79" s="7">
        <v>0</v>
      </c>
      <c r="AY79" s="7">
        <v>49.511000000000003</v>
      </c>
      <c r="AZ79" s="7">
        <v>0</v>
      </c>
      <c r="BA79" s="7">
        <v>0</v>
      </c>
      <c r="BB79" s="7">
        <v>21.026</v>
      </c>
      <c r="BC79" s="7">
        <v>31.568999999999999</v>
      </c>
      <c r="BD79" s="7">
        <v>0</v>
      </c>
      <c r="BE79" s="7">
        <v>6.3689999999999998</v>
      </c>
      <c r="BF79" s="7">
        <v>6.3689999999999998</v>
      </c>
      <c r="BG79" s="7">
        <v>0</v>
      </c>
      <c r="BH79" s="7">
        <v>0</v>
      </c>
      <c r="BI79" s="7">
        <v>10.542</v>
      </c>
      <c r="BJ79" s="21"/>
    </row>
    <row r="80" spans="1:62" ht="15.6" x14ac:dyDescent="0.3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158</v>
      </c>
      <c r="B85" s="5" t="s">
        <v>159</v>
      </c>
      <c r="C85" s="7">
        <v>6</v>
      </c>
      <c r="D85" s="7">
        <v>6</v>
      </c>
      <c r="E85" s="7">
        <v>17284.728999999999</v>
      </c>
      <c r="F85" s="7">
        <v>2914.4540000000002</v>
      </c>
      <c r="G85" s="7">
        <v>3411.3519999999999</v>
      </c>
      <c r="H85" s="7">
        <v>2107.098</v>
      </c>
      <c r="I85" s="7">
        <v>506.75</v>
      </c>
      <c r="J85" s="7">
        <v>2191.6149999999998</v>
      </c>
      <c r="K85" s="7">
        <v>0</v>
      </c>
      <c r="L85" s="7">
        <v>16303.540999999999</v>
      </c>
      <c r="M85" s="7">
        <v>7315.317</v>
      </c>
      <c r="N85" s="7">
        <v>0</v>
      </c>
      <c r="O85" s="7">
        <v>0</v>
      </c>
      <c r="P85" s="7">
        <v>66.727999999999994</v>
      </c>
      <c r="Q85" s="7">
        <v>0</v>
      </c>
      <c r="R85" s="7">
        <v>107.98099999999999</v>
      </c>
      <c r="S85" s="7">
        <v>896.04</v>
      </c>
      <c r="T85" s="7">
        <v>0</v>
      </c>
      <c r="U85" s="7">
        <v>0</v>
      </c>
      <c r="V85" s="7">
        <v>482.76600000000002</v>
      </c>
      <c r="W85" s="7">
        <v>590.18700000000001</v>
      </c>
      <c r="X85" s="7">
        <v>0</v>
      </c>
      <c r="Y85" s="7">
        <v>2291.1509999999998</v>
      </c>
      <c r="Z85" s="7">
        <v>0</v>
      </c>
      <c r="AA85" s="7">
        <v>3671.902</v>
      </c>
      <c r="AB85" s="7">
        <v>0</v>
      </c>
      <c r="AC85" s="7">
        <v>309.49700000000001</v>
      </c>
      <c r="AD85" s="7">
        <v>0</v>
      </c>
      <c r="AE85" s="7">
        <v>3120.1080000000002</v>
      </c>
      <c r="AF85" s="7">
        <v>6.0000000000000001E-3</v>
      </c>
      <c r="AG85" s="7">
        <v>0</v>
      </c>
      <c r="AH85" s="7">
        <v>23145.1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360.62099999999998</v>
      </c>
      <c r="AP85" s="7">
        <v>0</v>
      </c>
      <c r="AQ85" s="7">
        <v>1E-3</v>
      </c>
      <c r="AR85" s="7">
        <v>0</v>
      </c>
      <c r="AS85" s="7">
        <v>7.6219999999999999</v>
      </c>
      <c r="AT85" s="7">
        <v>0</v>
      </c>
      <c r="AU85" s="7">
        <v>208.46</v>
      </c>
      <c r="AV85" s="7">
        <v>0</v>
      </c>
      <c r="AW85" s="7">
        <v>0</v>
      </c>
      <c r="AX85" s="7">
        <v>0</v>
      </c>
      <c r="AY85" s="7">
        <v>355.85500000000002</v>
      </c>
      <c r="AZ85" s="7">
        <v>0</v>
      </c>
      <c r="BA85" s="7">
        <v>0</v>
      </c>
      <c r="BB85" s="7">
        <v>151.18199999999999</v>
      </c>
      <c r="BC85" s="7">
        <v>226.89699999999999</v>
      </c>
      <c r="BD85" s="7">
        <v>0</v>
      </c>
      <c r="BE85" s="7">
        <v>45.798000000000002</v>
      </c>
      <c r="BF85" s="7">
        <v>45.798000000000002</v>
      </c>
      <c r="BG85" s="7">
        <v>0</v>
      </c>
      <c r="BH85" s="7">
        <v>0</v>
      </c>
      <c r="BI85" s="7">
        <v>75.771000000000001</v>
      </c>
      <c r="BJ85" s="21"/>
    </row>
    <row r="86" spans="1:62" ht="15.6" x14ac:dyDescent="0.3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162</v>
      </c>
      <c r="B87" s="5" t="s">
        <v>163</v>
      </c>
      <c r="C87" s="7">
        <v>6</v>
      </c>
      <c r="D87" s="7">
        <v>6</v>
      </c>
      <c r="E87" s="7">
        <v>32417.710999999999</v>
      </c>
      <c r="F87" s="7">
        <v>4679.6629999999996</v>
      </c>
      <c r="G87" s="7">
        <v>7133.9309999999996</v>
      </c>
      <c r="H87" s="7">
        <v>2982.442</v>
      </c>
      <c r="I87" s="7">
        <v>685.09500000000003</v>
      </c>
      <c r="J87" s="7">
        <v>4116.07</v>
      </c>
      <c r="K87" s="7">
        <v>0</v>
      </c>
      <c r="L87" s="7">
        <v>12430.807000000001</v>
      </c>
      <c r="M87" s="7">
        <v>14882.102999999999</v>
      </c>
      <c r="N87" s="7">
        <v>0</v>
      </c>
      <c r="O87" s="7">
        <v>0</v>
      </c>
      <c r="P87" s="7">
        <v>2.8479999999999999</v>
      </c>
      <c r="Q87" s="7">
        <v>0</v>
      </c>
      <c r="R87" s="7">
        <v>0</v>
      </c>
      <c r="S87" s="7">
        <v>2070.6819999999998</v>
      </c>
      <c r="T87" s="7">
        <v>0</v>
      </c>
      <c r="U87" s="7">
        <v>0</v>
      </c>
      <c r="V87" s="7">
        <v>1122.9680000000001</v>
      </c>
      <c r="W87" s="7">
        <v>1385.9549999999999</v>
      </c>
      <c r="X87" s="7">
        <v>0</v>
      </c>
      <c r="Y87" s="7">
        <v>5578.259</v>
      </c>
      <c r="Z87" s="7">
        <v>0</v>
      </c>
      <c r="AA87" s="7">
        <v>8544.11</v>
      </c>
      <c r="AB87" s="7">
        <v>0</v>
      </c>
      <c r="AC87" s="7">
        <v>724.58600000000001</v>
      </c>
      <c r="AD87" s="7">
        <v>0</v>
      </c>
      <c r="AE87" s="7">
        <v>5946.1040000000003</v>
      </c>
      <c r="AF87" s="7">
        <v>0</v>
      </c>
      <c r="AG87" s="7">
        <v>0</v>
      </c>
      <c r="AH87" s="7">
        <v>29647.91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833.17200000000003</v>
      </c>
      <c r="AP87" s="7">
        <v>0</v>
      </c>
      <c r="AQ87" s="7">
        <v>0</v>
      </c>
      <c r="AR87" s="7">
        <v>0</v>
      </c>
      <c r="AS87" s="7">
        <v>17.614999999999998</v>
      </c>
      <c r="AT87" s="7">
        <v>0</v>
      </c>
      <c r="AU87" s="7">
        <v>481.815</v>
      </c>
      <c r="AV87" s="7">
        <v>0</v>
      </c>
      <c r="AW87" s="7">
        <v>0</v>
      </c>
      <c r="AX87" s="7">
        <v>0</v>
      </c>
      <c r="AY87" s="7">
        <v>822.48800000000006</v>
      </c>
      <c r="AZ87" s="7">
        <v>0</v>
      </c>
      <c r="BA87" s="7">
        <v>0</v>
      </c>
      <c r="BB87" s="7">
        <v>349.291</v>
      </c>
      <c r="BC87" s="7">
        <v>524.428</v>
      </c>
      <c r="BD87" s="7">
        <v>0</v>
      </c>
      <c r="BE87" s="7">
        <v>105.812</v>
      </c>
      <c r="BF87" s="7">
        <v>105.812</v>
      </c>
      <c r="BG87" s="7">
        <v>0</v>
      </c>
      <c r="BH87" s="7">
        <v>0</v>
      </c>
      <c r="BI87" s="7">
        <v>175.12899999999999</v>
      </c>
      <c r="BJ87" s="21"/>
    </row>
    <row r="88" spans="1:62" ht="15.6" x14ac:dyDescent="0.3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166</v>
      </c>
      <c r="B89" s="5" t="s">
        <v>167</v>
      </c>
      <c r="C89" s="7">
        <v>3</v>
      </c>
      <c r="D89" s="7">
        <v>3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168</v>
      </c>
      <c r="B90" s="5" t="s">
        <v>169</v>
      </c>
      <c r="C90" s="7">
        <v>3</v>
      </c>
      <c r="D90" s="7">
        <v>3</v>
      </c>
      <c r="E90" s="7">
        <v>69317.668000000005</v>
      </c>
      <c r="F90" s="7">
        <v>9011.9429999999993</v>
      </c>
      <c r="G90" s="7">
        <v>16404.395</v>
      </c>
      <c r="H90" s="7">
        <v>0</v>
      </c>
      <c r="I90" s="7">
        <v>1394.954</v>
      </c>
      <c r="J90" s="7">
        <v>10725.558000000001</v>
      </c>
      <c r="K90" s="7">
        <v>0</v>
      </c>
      <c r="L90" s="7">
        <v>26531.064999999999</v>
      </c>
      <c r="M90" s="7">
        <v>33070.839999999997</v>
      </c>
      <c r="N90" s="7">
        <v>0</v>
      </c>
      <c r="O90" s="7">
        <v>0</v>
      </c>
      <c r="P90" s="7">
        <v>1.5529999999999999</v>
      </c>
      <c r="Q90" s="7">
        <v>0</v>
      </c>
      <c r="R90" s="7">
        <v>124.068</v>
      </c>
      <c r="S90" s="7">
        <v>3811.8029999999999</v>
      </c>
      <c r="T90" s="7">
        <v>0</v>
      </c>
      <c r="U90" s="7">
        <v>0</v>
      </c>
      <c r="V90" s="7">
        <v>2205.703</v>
      </c>
      <c r="W90" s="7">
        <v>3086.16</v>
      </c>
      <c r="X90" s="7">
        <v>0</v>
      </c>
      <c r="Y90" s="7">
        <v>12376.208000000001</v>
      </c>
      <c r="Z90" s="7">
        <v>0</v>
      </c>
      <c r="AA90" s="7">
        <v>17124.669000000002</v>
      </c>
      <c r="AB90" s="7">
        <v>0</v>
      </c>
      <c r="AC90" s="7">
        <v>1415.1959999999999</v>
      </c>
      <c r="AD90" s="7">
        <v>0</v>
      </c>
      <c r="AE90" s="7">
        <v>24281.173999999999</v>
      </c>
      <c r="AF90" s="7">
        <v>0</v>
      </c>
      <c r="AG90" s="7">
        <v>0</v>
      </c>
      <c r="AH90" s="7">
        <v>70804.017999999996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1665.3969999999999</v>
      </c>
      <c r="AP90" s="7">
        <v>0</v>
      </c>
      <c r="AQ90" s="7">
        <v>0</v>
      </c>
      <c r="AR90" s="7">
        <v>0</v>
      </c>
      <c r="AS90" s="7">
        <v>30.091999999999999</v>
      </c>
      <c r="AT90" s="7">
        <v>0</v>
      </c>
      <c r="AU90" s="7">
        <v>875.34799999999996</v>
      </c>
      <c r="AV90" s="7">
        <v>0</v>
      </c>
      <c r="AW90" s="7">
        <v>0</v>
      </c>
      <c r="AX90" s="7">
        <v>0</v>
      </c>
      <c r="AY90" s="7">
        <v>1633.9280000000001</v>
      </c>
      <c r="AZ90" s="7">
        <v>0</v>
      </c>
      <c r="BA90" s="7">
        <v>0</v>
      </c>
      <c r="BB90" s="7">
        <v>703.1</v>
      </c>
      <c r="BC90" s="7">
        <v>1046.768</v>
      </c>
      <c r="BD90" s="7">
        <v>0</v>
      </c>
      <c r="BE90" s="7">
        <v>214.065</v>
      </c>
      <c r="BF90" s="7">
        <v>214.065</v>
      </c>
      <c r="BG90" s="7">
        <v>0</v>
      </c>
      <c r="BH90" s="7">
        <v>0</v>
      </c>
      <c r="BI90" s="7">
        <v>350.32299999999998</v>
      </c>
      <c r="BJ90" s="21"/>
    </row>
    <row r="91" spans="1:62" ht="15.6" x14ac:dyDescent="0.3">
      <c r="A91" s="5" t="s">
        <v>170</v>
      </c>
      <c r="B91" s="5" t="s">
        <v>171</v>
      </c>
      <c r="C91" s="7">
        <v>3</v>
      </c>
      <c r="D91" s="7">
        <v>3</v>
      </c>
      <c r="E91" s="7">
        <v>61521.279999999999</v>
      </c>
      <c r="F91" s="7">
        <v>8969.9210000000003</v>
      </c>
      <c r="G91" s="7">
        <v>13686.258</v>
      </c>
      <c r="H91" s="7">
        <v>0</v>
      </c>
      <c r="I91" s="7">
        <v>1303.511</v>
      </c>
      <c r="J91" s="7">
        <v>7892.3180000000002</v>
      </c>
      <c r="K91" s="7">
        <v>0</v>
      </c>
      <c r="L91" s="7">
        <v>22810.256000000001</v>
      </c>
      <c r="M91" s="7">
        <v>28444.147000000001</v>
      </c>
      <c r="N91" s="7">
        <v>0</v>
      </c>
      <c r="O91" s="7">
        <v>0</v>
      </c>
      <c r="P91" s="7">
        <v>1.145</v>
      </c>
      <c r="Q91" s="7">
        <v>0</v>
      </c>
      <c r="R91" s="7">
        <v>0</v>
      </c>
      <c r="S91" s="7">
        <v>4013.1610000000001</v>
      </c>
      <c r="T91" s="7">
        <v>0</v>
      </c>
      <c r="U91" s="7">
        <v>0</v>
      </c>
      <c r="V91" s="7">
        <v>2162.2620000000002</v>
      </c>
      <c r="W91" s="7">
        <v>2643.56</v>
      </c>
      <c r="X91" s="7">
        <v>0</v>
      </c>
      <c r="Y91" s="7">
        <v>10262.623</v>
      </c>
      <c r="Z91" s="7">
        <v>0</v>
      </c>
      <c r="AA91" s="7">
        <v>16444.769</v>
      </c>
      <c r="AB91" s="7">
        <v>0</v>
      </c>
      <c r="AC91" s="7">
        <v>1386.076</v>
      </c>
      <c r="AD91" s="7">
        <v>0</v>
      </c>
      <c r="AE91" s="7">
        <v>10009.262000000001</v>
      </c>
      <c r="AF91" s="7">
        <v>0</v>
      </c>
      <c r="AG91" s="7">
        <v>0</v>
      </c>
      <c r="AH91" s="7">
        <v>54180.101000000002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1614.76</v>
      </c>
      <c r="AP91" s="7">
        <v>0</v>
      </c>
      <c r="AQ91" s="7">
        <v>0</v>
      </c>
      <c r="AR91" s="7">
        <v>0</v>
      </c>
      <c r="AS91" s="7">
        <v>34.139000000000003</v>
      </c>
      <c r="AT91" s="7">
        <v>0</v>
      </c>
      <c r="AU91" s="7">
        <v>933.798</v>
      </c>
      <c r="AV91" s="7">
        <v>0</v>
      </c>
      <c r="AW91" s="7">
        <v>0</v>
      </c>
      <c r="AX91" s="7">
        <v>0</v>
      </c>
      <c r="AY91" s="7">
        <v>1594.0530000000001</v>
      </c>
      <c r="AZ91" s="7">
        <v>0</v>
      </c>
      <c r="BA91" s="7">
        <v>0</v>
      </c>
      <c r="BB91" s="7">
        <v>676.95600000000002</v>
      </c>
      <c r="BC91" s="7">
        <v>1016.3869999999999</v>
      </c>
      <c r="BD91" s="7">
        <v>0</v>
      </c>
      <c r="BE91" s="7">
        <v>205.07300000000001</v>
      </c>
      <c r="BF91" s="7">
        <v>205.07300000000001</v>
      </c>
      <c r="BG91" s="7">
        <v>0</v>
      </c>
      <c r="BH91" s="7">
        <v>0</v>
      </c>
      <c r="BI91" s="7">
        <v>339.416</v>
      </c>
      <c r="BJ91" s="21"/>
    </row>
    <row r="92" spans="1:62" ht="15.6" x14ac:dyDescent="0.3">
      <c r="A92" s="5" t="s">
        <v>172</v>
      </c>
      <c r="B92" s="5" t="s">
        <v>173</v>
      </c>
      <c r="C92" s="7">
        <v>3</v>
      </c>
      <c r="D92" s="7">
        <v>3</v>
      </c>
      <c r="E92" s="7">
        <v>9061.6149999999998</v>
      </c>
      <c r="F92" s="7">
        <v>1693.595</v>
      </c>
      <c r="G92" s="7">
        <v>4710.1710000000003</v>
      </c>
      <c r="H92" s="7">
        <v>0</v>
      </c>
      <c r="I92" s="7">
        <v>29.507000000000001</v>
      </c>
      <c r="J92" s="7">
        <v>1331.377</v>
      </c>
      <c r="K92" s="7">
        <v>0</v>
      </c>
      <c r="L92" s="7">
        <v>13308.364</v>
      </c>
      <c r="M92" s="7">
        <v>2939.605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699.14099999999996</v>
      </c>
      <c r="T92" s="7">
        <v>0</v>
      </c>
      <c r="U92" s="7">
        <v>0</v>
      </c>
      <c r="V92" s="7">
        <v>425.45400000000001</v>
      </c>
      <c r="W92" s="7">
        <v>142.35599999999999</v>
      </c>
      <c r="X92" s="7">
        <v>0</v>
      </c>
      <c r="Y92" s="7">
        <v>4267.4269999999997</v>
      </c>
      <c r="Z92" s="7">
        <v>0</v>
      </c>
      <c r="AA92" s="7">
        <v>2448.663</v>
      </c>
      <c r="AB92" s="7">
        <v>0</v>
      </c>
      <c r="AC92" s="7">
        <v>843.76900000000001</v>
      </c>
      <c r="AD92" s="7">
        <v>0</v>
      </c>
      <c r="AE92" s="7">
        <v>44847.597999999998</v>
      </c>
      <c r="AF92" s="7">
        <v>0</v>
      </c>
      <c r="AG92" s="7">
        <v>0</v>
      </c>
      <c r="AH92" s="7">
        <v>41988.084000000003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855.85900000000004</v>
      </c>
      <c r="AP92" s="7">
        <v>0</v>
      </c>
      <c r="AQ92" s="7">
        <v>0</v>
      </c>
      <c r="AR92" s="7">
        <v>0</v>
      </c>
      <c r="AS92" s="7">
        <v>2.02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352.88900000000001</v>
      </c>
      <c r="BC92" s="7">
        <v>0</v>
      </c>
      <c r="BD92" s="7">
        <v>0</v>
      </c>
      <c r="BE92" s="7">
        <v>106.158</v>
      </c>
      <c r="BF92" s="7">
        <v>106.158</v>
      </c>
      <c r="BG92" s="7">
        <v>0</v>
      </c>
      <c r="BH92" s="7">
        <v>0</v>
      </c>
      <c r="BI92" s="7">
        <v>0</v>
      </c>
      <c r="BJ92" s="21"/>
    </row>
    <row r="93" spans="1:62" ht="15.6" x14ac:dyDescent="0.3">
      <c r="A93" s="5" t="s">
        <v>174</v>
      </c>
      <c r="B93" s="5" t="s">
        <v>175</v>
      </c>
      <c r="C93" s="7">
        <v>3</v>
      </c>
      <c r="D93" s="7">
        <v>3</v>
      </c>
      <c r="E93" s="7">
        <v>55314.595000000001</v>
      </c>
      <c r="F93" s="7">
        <v>15975.212</v>
      </c>
      <c r="G93" s="7">
        <v>21129.984</v>
      </c>
      <c r="H93" s="7">
        <v>0</v>
      </c>
      <c r="I93" s="7">
        <v>741.74400000000003</v>
      </c>
      <c r="J93" s="7">
        <v>11556.605</v>
      </c>
      <c r="K93" s="7">
        <v>0</v>
      </c>
      <c r="L93" s="7">
        <v>84007.313999999998</v>
      </c>
      <c r="M93" s="7">
        <v>15674.133</v>
      </c>
      <c r="N93" s="7">
        <v>0</v>
      </c>
      <c r="O93" s="7">
        <v>0</v>
      </c>
      <c r="P93" s="7">
        <v>0.27</v>
      </c>
      <c r="Q93" s="7">
        <v>0</v>
      </c>
      <c r="R93" s="7">
        <v>0</v>
      </c>
      <c r="S93" s="7">
        <v>6460.518</v>
      </c>
      <c r="T93" s="7">
        <v>0</v>
      </c>
      <c r="U93" s="7">
        <v>0</v>
      </c>
      <c r="V93" s="7">
        <v>3042.346</v>
      </c>
      <c r="W93" s="7">
        <v>819.61500000000001</v>
      </c>
      <c r="X93" s="7">
        <v>0</v>
      </c>
      <c r="Y93" s="7">
        <v>21203.468000000001</v>
      </c>
      <c r="Z93" s="7">
        <v>0</v>
      </c>
      <c r="AA93" s="7">
        <v>25814.877</v>
      </c>
      <c r="AB93" s="7">
        <v>0</v>
      </c>
      <c r="AC93" s="7">
        <v>5071.5479999999998</v>
      </c>
      <c r="AD93" s="7">
        <v>0</v>
      </c>
      <c r="AE93" s="7">
        <v>203089.92300000001</v>
      </c>
      <c r="AF93" s="7">
        <v>5901.1090000000004</v>
      </c>
      <c r="AG93" s="7">
        <v>0</v>
      </c>
      <c r="AH93" s="7">
        <v>224482.45199999999</v>
      </c>
      <c r="AI93" s="7">
        <v>9170.7150000000001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6975.7730000000001</v>
      </c>
      <c r="AP93" s="7">
        <v>0</v>
      </c>
      <c r="AQ93" s="7">
        <v>2295.8359999999998</v>
      </c>
      <c r="AR93" s="7">
        <v>0</v>
      </c>
      <c r="AS93" s="7">
        <v>22.114000000000001</v>
      </c>
      <c r="AT93" s="7">
        <v>0</v>
      </c>
      <c r="AU93" s="7">
        <v>32.481999999999999</v>
      </c>
      <c r="AV93" s="7">
        <v>0</v>
      </c>
      <c r="AW93" s="7">
        <v>0</v>
      </c>
      <c r="AX93" s="7">
        <v>0</v>
      </c>
      <c r="AY93" s="7">
        <v>123.581</v>
      </c>
      <c r="AZ93" s="7">
        <v>3678.605</v>
      </c>
      <c r="BA93" s="7">
        <v>0</v>
      </c>
      <c r="BB93" s="7">
        <v>2865.8960000000002</v>
      </c>
      <c r="BC93" s="7">
        <v>22.024000000000001</v>
      </c>
      <c r="BD93" s="7">
        <v>4549.366</v>
      </c>
      <c r="BE93" s="7">
        <v>865.12699999999995</v>
      </c>
      <c r="BF93" s="7">
        <v>865.12699999999995</v>
      </c>
      <c r="BG93" s="7">
        <v>1586.816</v>
      </c>
      <c r="BH93" s="7">
        <v>0</v>
      </c>
      <c r="BI93" s="7">
        <v>7.4370000000000003</v>
      </c>
      <c r="BJ93" s="21"/>
    </row>
    <row r="94" spans="1:62" ht="15.6" x14ac:dyDescent="0.3">
      <c r="A94" s="5" t="s">
        <v>176</v>
      </c>
      <c r="B94" s="5" t="s">
        <v>177</v>
      </c>
      <c r="C94" s="7">
        <v>3</v>
      </c>
      <c r="D94" s="7">
        <v>3</v>
      </c>
      <c r="E94" s="7">
        <v>63524.523000000001</v>
      </c>
      <c r="F94" s="7">
        <v>31456.071</v>
      </c>
      <c r="G94" s="7">
        <v>2247.4380000000001</v>
      </c>
      <c r="H94" s="7">
        <v>898.279</v>
      </c>
      <c r="I94" s="7">
        <v>1976.623</v>
      </c>
      <c r="J94" s="7">
        <v>18364.732</v>
      </c>
      <c r="K94" s="7">
        <v>0</v>
      </c>
      <c r="L94" s="7">
        <v>123820.35799999999</v>
      </c>
      <c r="M94" s="7">
        <v>8129.38</v>
      </c>
      <c r="N94" s="7">
        <v>0</v>
      </c>
      <c r="O94" s="7">
        <v>0</v>
      </c>
      <c r="P94" s="7">
        <v>1.323</v>
      </c>
      <c r="Q94" s="7">
        <v>0</v>
      </c>
      <c r="R94" s="7">
        <v>0</v>
      </c>
      <c r="S94" s="7">
        <v>12300.93</v>
      </c>
      <c r="T94" s="7">
        <v>0</v>
      </c>
      <c r="U94" s="7">
        <v>0</v>
      </c>
      <c r="V94" s="7">
        <v>3897.9169999999999</v>
      </c>
      <c r="W94" s="7">
        <v>746.226</v>
      </c>
      <c r="X94" s="7">
        <v>0</v>
      </c>
      <c r="Y94" s="7">
        <v>15849.337</v>
      </c>
      <c r="Z94" s="7">
        <v>0</v>
      </c>
      <c r="AA94" s="7">
        <v>50387.682000000001</v>
      </c>
      <c r="AB94" s="7">
        <v>0</v>
      </c>
      <c r="AC94" s="7">
        <v>5423.6589999999997</v>
      </c>
      <c r="AD94" s="7">
        <v>0</v>
      </c>
      <c r="AE94" s="7">
        <v>55378.129000000001</v>
      </c>
      <c r="AF94" s="7">
        <v>39814.5</v>
      </c>
      <c r="AG94" s="7">
        <v>0</v>
      </c>
      <c r="AH94" s="7">
        <v>199737.155</v>
      </c>
      <c r="AI94" s="7">
        <v>62623.966999999997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11537.782999999999</v>
      </c>
      <c r="AP94" s="7">
        <v>0</v>
      </c>
      <c r="AQ94" s="7">
        <v>15606.556</v>
      </c>
      <c r="AR94" s="7">
        <v>0</v>
      </c>
      <c r="AS94" s="7">
        <v>53.436999999999998</v>
      </c>
      <c r="AT94" s="7">
        <v>0</v>
      </c>
      <c r="AU94" s="7">
        <v>142.554</v>
      </c>
      <c r="AV94" s="7">
        <v>0</v>
      </c>
      <c r="AW94" s="7">
        <v>0</v>
      </c>
      <c r="AX94" s="7">
        <v>0</v>
      </c>
      <c r="AY94" s="7">
        <v>613.76599999999996</v>
      </c>
      <c r="AZ94" s="7">
        <v>25120.196</v>
      </c>
      <c r="BA94" s="7">
        <v>0</v>
      </c>
      <c r="BB94" s="7">
        <v>4715.5370000000003</v>
      </c>
      <c r="BC94" s="7">
        <v>0</v>
      </c>
      <c r="BD94" s="7">
        <v>31066.386999999999</v>
      </c>
      <c r="BE94" s="7">
        <v>1425.777</v>
      </c>
      <c r="BF94" s="7">
        <v>1425.777</v>
      </c>
      <c r="BG94" s="7">
        <v>10835.933999999999</v>
      </c>
      <c r="BH94" s="7">
        <v>0</v>
      </c>
      <c r="BI94" s="7">
        <v>0</v>
      </c>
      <c r="BJ94" s="21"/>
    </row>
    <row r="95" spans="1:62" ht="15.6" x14ac:dyDescent="0.3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21"/>
    </row>
    <row r="96" spans="1:62" ht="15.6" x14ac:dyDescent="0.3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184</v>
      </c>
      <c r="B98" s="5" t="s">
        <v>185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188</v>
      </c>
      <c r="B100" s="5" t="s">
        <v>189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192</v>
      </c>
      <c r="B102" s="5" t="s">
        <v>193</v>
      </c>
      <c r="C102" s="7">
        <v>6</v>
      </c>
      <c r="D102" s="7">
        <v>6</v>
      </c>
      <c r="E102" s="7">
        <v>25965.061000000002</v>
      </c>
      <c r="F102" s="7">
        <v>0</v>
      </c>
      <c r="G102" s="7">
        <v>0</v>
      </c>
      <c r="H102" s="7">
        <v>1570.442</v>
      </c>
      <c r="I102" s="7">
        <v>0</v>
      </c>
      <c r="J102" s="7">
        <v>0</v>
      </c>
      <c r="K102" s="7">
        <v>0</v>
      </c>
      <c r="L102" s="7">
        <v>20850.559000000001</v>
      </c>
      <c r="M102" s="7">
        <v>19325.542000000001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12960.773999999999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194</v>
      </c>
      <c r="B103" s="5" t="s">
        <v>195</v>
      </c>
      <c r="C103" s="7">
        <v>4</v>
      </c>
      <c r="D103" s="7">
        <v>4</v>
      </c>
      <c r="E103" s="7">
        <v>429471.429</v>
      </c>
      <c r="F103" s="7">
        <v>99566.175000000003</v>
      </c>
      <c r="G103" s="7">
        <v>0</v>
      </c>
      <c r="H103" s="7">
        <v>17013.55</v>
      </c>
      <c r="I103" s="7">
        <v>1921.799</v>
      </c>
      <c r="J103" s="7">
        <v>0</v>
      </c>
      <c r="K103" s="7">
        <v>0</v>
      </c>
      <c r="L103" s="7">
        <v>1095804.5190000001</v>
      </c>
      <c r="M103" s="7">
        <v>48145.31</v>
      </c>
      <c r="N103" s="7">
        <v>0</v>
      </c>
      <c r="O103" s="7">
        <v>408.10199999999998</v>
      </c>
      <c r="P103" s="7">
        <v>19.312000000000001</v>
      </c>
      <c r="Q103" s="7">
        <v>366.39100000000002</v>
      </c>
      <c r="R103" s="7">
        <v>0</v>
      </c>
      <c r="S103" s="7">
        <v>30565.177</v>
      </c>
      <c r="T103" s="7">
        <v>0</v>
      </c>
      <c r="U103" s="7">
        <v>0</v>
      </c>
      <c r="V103" s="7">
        <v>0</v>
      </c>
      <c r="W103" s="7">
        <v>10744.508</v>
      </c>
      <c r="X103" s="7">
        <v>0</v>
      </c>
      <c r="Y103" s="7">
        <v>214994.592</v>
      </c>
      <c r="Z103" s="7">
        <v>0</v>
      </c>
      <c r="AA103" s="7">
        <v>31996.003000000001</v>
      </c>
      <c r="AB103" s="7">
        <v>25207.360000000001</v>
      </c>
      <c r="AC103" s="7">
        <v>19510.605</v>
      </c>
      <c r="AD103" s="7">
        <v>0</v>
      </c>
      <c r="AE103" s="7">
        <v>584955.071</v>
      </c>
      <c r="AF103" s="7">
        <v>607249.62199999997</v>
      </c>
      <c r="AG103" s="7">
        <v>0</v>
      </c>
      <c r="AH103" s="7">
        <v>1714395.902</v>
      </c>
      <c r="AI103" s="7">
        <v>965979.65099999995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21040.583999999999</v>
      </c>
      <c r="AP103" s="7">
        <v>0</v>
      </c>
      <c r="AQ103" s="7">
        <v>239717.86600000001</v>
      </c>
      <c r="AR103" s="7">
        <v>0</v>
      </c>
      <c r="AS103" s="7">
        <v>287.80500000000001</v>
      </c>
      <c r="AT103" s="7">
        <v>0</v>
      </c>
      <c r="AU103" s="7">
        <v>2129.4969999999998</v>
      </c>
      <c r="AV103" s="7">
        <v>0</v>
      </c>
      <c r="AW103" s="7">
        <v>0</v>
      </c>
      <c r="AX103" s="7">
        <v>0</v>
      </c>
      <c r="AY103" s="7">
        <v>9467.4359999999997</v>
      </c>
      <c r="AZ103" s="7">
        <v>387483.07699999999</v>
      </c>
      <c r="BA103" s="7">
        <v>0</v>
      </c>
      <c r="BB103" s="7">
        <v>8522.1839999999993</v>
      </c>
      <c r="BC103" s="7">
        <v>0</v>
      </c>
      <c r="BD103" s="7">
        <v>479204.02299999999</v>
      </c>
      <c r="BE103" s="7">
        <v>2500.6930000000002</v>
      </c>
      <c r="BF103" s="7">
        <v>2500.6930000000002</v>
      </c>
      <c r="BG103" s="7">
        <v>167146.035</v>
      </c>
      <c r="BH103" s="7">
        <v>0</v>
      </c>
      <c r="BI103" s="7">
        <v>0</v>
      </c>
      <c r="BJ103" s="21"/>
    </row>
    <row r="104" spans="1:62" ht="15.6" x14ac:dyDescent="0.3">
      <c r="A104" s="5" t="s">
        <v>196</v>
      </c>
      <c r="B104" s="5" t="s">
        <v>197</v>
      </c>
      <c r="C104" s="7">
        <v>4</v>
      </c>
      <c r="D104" s="7">
        <v>4</v>
      </c>
      <c r="E104" s="7">
        <v>205934.96</v>
      </c>
      <c r="F104" s="7">
        <v>45262.373</v>
      </c>
      <c r="G104" s="7">
        <v>206.08099999999999</v>
      </c>
      <c r="H104" s="7">
        <v>12174.906000000001</v>
      </c>
      <c r="I104" s="7">
        <v>946.70600000000002</v>
      </c>
      <c r="J104" s="7">
        <v>118.83799999999999</v>
      </c>
      <c r="K104" s="7">
        <v>0</v>
      </c>
      <c r="L104" s="7">
        <v>521335.65399999998</v>
      </c>
      <c r="M104" s="7">
        <v>23653.67</v>
      </c>
      <c r="N104" s="7">
        <v>0</v>
      </c>
      <c r="O104" s="7">
        <v>100.565</v>
      </c>
      <c r="P104" s="7">
        <v>9.3339999999999996</v>
      </c>
      <c r="Q104" s="7">
        <v>90.287000000000006</v>
      </c>
      <c r="R104" s="7">
        <v>0</v>
      </c>
      <c r="S104" s="7">
        <v>14805.118</v>
      </c>
      <c r="T104" s="7">
        <v>0</v>
      </c>
      <c r="U104" s="7">
        <v>0</v>
      </c>
      <c r="V104" s="7">
        <v>32.558</v>
      </c>
      <c r="W104" s="7">
        <v>5222.973</v>
      </c>
      <c r="X104" s="7">
        <v>0</v>
      </c>
      <c r="Y104" s="7">
        <v>103868.257</v>
      </c>
      <c r="Z104" s="7">
        <v>0</v>
      </c>
      <c r="AA104" s="7">
        <v>15682.539000000001</v>
      </c>
      <c r="AB104" s="7">
        <v>6211.652</v>
      </c>
      <c r="AC104" s="7">
        <v>9432.8169999999991</v>
      </c>
      <c r="AD104" s="7">
        <v>0</v>
      </c>
      <c r="AE104" s="7">
        <v>281511.163</v>
      </c>
      <c r="AF104" s="7">
        <v>292938.16899999999</v>
      </c>
      <c r="AG104" s="7">
        <v>0</v>
      </c>
      <c r="AH104" s="7">
        <v>819698.24600000004</v>
      </c>
      <c r="AI104" s="7">
        <v>465990.09700000001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10174.325000000001</v>
      </c>
      <c r="AP104" s="7">
        <v>0</v>
      </c>
      <c r="AQ104" s="7">
        <v>115640.274</v>
      </c>
      <c r="AR104" s="7">
        <v>0</v>
      </c>
      <c r="AS104" s="7">
        <v>139.351</v>
      </c>
      <c r="AT104" s="7">
        <v>0</v>
      </c>
      <c r="AU104" s="7">
        <v>1041.3330000000001</v>
      </c>
      <c r="AV104" s="7">
        <v>0</v>
      </c>
      <c r="AW104" s="7">
        <v>0</v>
      </c>
      <c r="AX104" s="7">
        <v>0</v>
      </c>
      <c r="AY104" s="7">
        <v>4591.1080000000002</v>
      </c>
      <c r="AZ104" s="7">
        <v>186922.443</v>
      </c>
      <c r="BA104" s="7">
        <v>0</v>
      </c>
      <c r="BB104" s="7">
        <v>4121.308</v>
      </c>
      <c r="BC104" s="7">
        <v>15.304</v>
      </c>
      <c r="BD104" s="7">
        <v>231168.772</v>
      </c>
      <c r="BE104" s="7">
        <v>1209.4259999999999</v>
      </c>
      <c r="BF104" s="7">
        <v>1209.4259999999999</v>
      </c>
      <c r="BG104" s="7">
        <v>80631.509000000005</v>
      </c>
      <c r="BH104" s="7">
        <v>0</v>
      </c>
      <c r="BI104" s="7">
        <v>5.1109999999999998</v>
      </c>
      <c r="BJ104" s="21"/>
    </row>
    <row r="105" spans="1:62" ht="15.6" x14ac:dyDescent="0.3">
      <c r="A105" s="5" t="s">
        <v>198</v>
      </c>
      <c r="B105" s="5" t="s">
        <v>199</v>
      </c>
      <c r="C105" s="7">
        <v>4</v>
      </c>
      <c r="D105" s="7">
        <v>4</v>
      </c>
      <c r="E105" s="7">
        <v>92906.044999999998</v>
      </c>
      <c r="F105" s="7">
        <v>20365.718000000001</v>
      </c>
      <c r="G105" s="7">
        <v>186.613</v>
      </c>
      <c r="H105" s="7">
        <v>8784.7060000000001</v>
      </c>
      <c r="I105" s="7">
        <v>428.33800000000002</v>
      </c>
      <c r="J105" s="7">
        <v>107.61199999999999</v>
      </c>
      <c r="K105" s="7">
        <v>0</v>
      </c>
      <c r="L105" s="7">
        <v>232726.79399999999</v>
      </c>
      <c r="M105" s="7">
        <v>11416.691000000001</v>
      </c>
      <c r="N105" s="7">
        <v>0</v>
      </c>
      <c r="O105" s="7">
        <v>163.00299999999999</v>
      </c>
      <c r="P105" s="7">
        <v>4.141</v>
      </c>
      <c r="Q105" s="7">
        <v>146.34299999999999</v>
      </c>
      <c r="R105" s="7">
        <v>0</v>
      </c>
      <c r="S105" s="7">
        <v>6584.5209999999997</v>
      </c>
      <c r="T105" s="7">
        <v>0</v>
      </c>
      <c r="U105" s="7">
        <v>0</v>
      </c>
      <c r="V105" s="7">
        <v>29.483000000000001</v>
      </c>
      <c r="W105" s="7">
        <v>2331.451</v>
      </c>
      <c r="X105" s="7">
        <v>0</v>
      </c>
      <c r="Y105" s="7">
        <v>46070.368000000002</v>
      </c>
      <c r="Z105" s="7">
        <v>0</v>
      </c>
      <c r="AA105" s="7">
        <v>7059.701</v>
      </c>
      <c r="AB105" s="7">
        <v>10068.267</v>
      </c>
      <c r="AC105" s="7">
        <v>4187.0529999999999</v>
      </c>
      <c r="AD105" s="7">
        <v>0</v>
      </c>
      <c r="AE105" s="7">
        <v>125751.306</v>
      </c>
      <c r="AF105" s="7">
        <v>129732.664</v>
      </c>
      <c r="AG105" s="7">
        <v>0</v>
      </c>
      <c r="AH105" s="7">
        <v>365640.70199999999</v>
      </c>
      <c r="AI105" s="7">
        <v>206376.742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4517.0290000000005</v>
      </c>
      <c r="AP105" s="7">
        <v>0</v>
      </c>
      <c r="AQ105" s="7">
        <v>51212.201000000001</v>
      </c>
      <c r="AR105" s="7">
        <v>0</v>
      </c>
      <c r="AS105" s="7">
        <v>61.951000000000001</v>
      </c>
      <c r="AT105" s="7">
        <v>0</v>
      </c>
      <c r="AU105" s="7">
        <v>467.66800000000001</v>
      </c>
      <c r="AV105" s="7">
        <v>0</v>
      </c>
      <c r="AW105" s="7">
        <v>0</v>
      </c>
      <c r="AX105" s="7">
        <v>0</v>
      </c>
      <c r="AY105" s="7">
        <v>2044.3140000000001</v>
      </c>
      <c r="AZ105" s="7">
        <v>82780.066999999995</v>
      </c>
      <c r="BA105" s="7">
        <v>0</v>
      </c>
      <c r="BB105" s="7">
        <v>1829.87</v>
      </c>
      <c r="BC105" s="7">
        <v>13.858000000000001</v>
      </c>
      <c r="BD105" s="7">
        <v>102374.9</v>
      </c>
      <c r="BE105" s="7">
        <v>537.03300000000002</v>
      </c>
      <c r="BF105" s="7">
        <v>537.03300000000002</v>
      </c>
      <c r="BG105" s="7">
        <v>35708.294999999998</v>
      </c>
      <c r="BH105" s="7">
        <v>0</v>
      </c>
      <c r="BI105" s="7">
        <v>4.6280000000000001</v>
      </c>
      <c r="BJ105" s="21"/>
    </row>
    <row r="106" spans="1:62" ht="15.6" x14ac:dyDescent="0.3">
      <c r="A106" s="5" t="s">
        <v>200</v>
      </c>
      <c r="B106" s="5" t="s">
        <v>201</v>
      </c>
      <c r="C106" s="7">
        <v>4</v>
      </c>
      <c r="D106" s="7">
        <v>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21"/>
    </row>
    <row r="107" spans="1:62" ht="15.6" x14ac:dyDescent="0.3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21"/>
    </row>
    <row r="108" spans="1:62" ht="15.6" x14ac:dyDescent="0.3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206</v>
      </c>
      <c r="B109" s="5" t="s">
        <v>207</v>
      </c>
      <c r="C109" s="7">
        <v>6</v>
      </c>
      <c r="D109" s="7">
        <v>6</v>
      </c>
      <c r="E109" s="7">
        <v>108566.766</v>
      </c>
      <c r="F109" s="7">
        <v>429.59399999999999</v>
      </c>
      <c r="G109" s="7">
        <v>0</v>
      </c>
      <c r="H109" s="7">
        <v>10645.188</v>
      </c>
      <c r="I109" s="7">
        <v>2.1999999999999999E-2</v>
      </c>
      <c r="J109" s="7">
        <v>0</v>
      </c>
      <c r="K109" s="7">
        <v>0</v>
      </c>
      <c r="L109" s="7">
        <v>155720.35699999999</v>
      </c>
      <c r="M109" s="7">
        <v>24807.802</v>
      </c>
      <c r="N109" s="7">
        <v>0</v>
      </c>
      <c r="O109" s="7">
        <v>0</v>
      </c>
      <c r="P109" s="7">
        <v>0</v>
      </c>
      <c r="Q109" s="7">
        <v>0</v>
      </c>
      <c r="R109" s="7">
        <v>2E-3</v>
      </c>
      <c r="S109" s="7">
        <v>0.34300000000000003</v>
      </c>
      <c r="T109" s="7">
        <v>0</v>
      </c>
      <c r="U109" s="7">
        <v>0</v>
      </c>
      <c r="V109" s="7">
        <v>0</v>
      </c>
      <c r="W109" s="7">
        <v>0.121</v>
      </c>
      <c r="X109" s="7">
        <v>0</v>
      </c>
      <c r="Y109" s="7">
        <v>40003.267</v>
      </c>
      <c r="Z109" s="7">
        <v>0</v>
      </c>
      <c r="AA109" s="7">
        <v>0.36</v>
      </c>
      <c r="AB109" s="7">
        <v>0</v>
      </c>
      <c r="AC109" s="7">
        <v>0.219</v>
      </c>
      <c r="AD109" s="7">
        <v>0</v>
      </c>
      <c r="AE109" s="7">
        <v>132487.81</v>
      </c>
      <c r="AF109" s="7">
        <v>6586.0320000000002</v>
      </c>
      <c r="AG109" s="7">
        <v>0</v>
      </c>
      <c r="AH109" s="7">
        <v>371112.61099999998</v>
      </c>
      <c r="AI109" s="7">
        <v>9661.8019999999997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0.23599999999999999</v>
      </c>
      <c r="AP109" s="7">
        <v>0</v>
      </c>
      <c r="AQ109" s="7">
        <v>2.6930000000000001</v>
      </c>
      <c r="AR109" s="7">
        <v>0</v>
      </c>
      <c r="AS109" s="7">
        <v>8.0000000000000002E-3</v>
      </c>
      <c r="AT109" s="7">
        <v>0</v>
      </c>
      <c r="AU109" s="7">
        <v>2.4E-2</v>
      </c>
      <c r="AV109" s="7">
        <v>0</v>
      </c>
      <c r="AW109" s="7">
        <v>0</v>
      </c>
      <c r="AX109" s="7">
        <v>0</v>
      </c>
      <c r="AY109" s="7">
        <v>0.106</v>
      </c>
      <c r="AZ109" s="7">
        <v>4.3529999999999998</v>
      </c>
      <c r="BA109" s="7">
        <v>0</v>
      </c>
      <c r="BB109" s="7">
        <v>9.6000000000000002E-2</v>
      </c>
      <c r="BC109" s="7">
        <v>0</v>
      </c>
      <c r="BD109" s="7">
        <v>5.383</v>
      </c>
      <c r="BE109" s="7">
        <v>2.8000000000000001E-2</v>
      </c>
      <c r="BF109" s="7">
        <v>2.8000000000000001E-2</v>
      </c>
      <c r="BG109" s="7">
        <v>1.8779999999999999</v>
      </c>
      <c r="BH109" s="7">
        <v>0</v>
      </c>
      <c r="BI109" s="7">
        <v>0</v>
      </c>
      <c r="BJ109" s="21"/>
    </row>
    <row r="110" spans="1:62" ht="15.6" x14ac:dyDescent="0.3">
      <c r="A110" s="5" t="s">
        <v>208</v>
      </c>
      <c r="B110" s="5" t="s">
        <v>209</v>
      </c>
      <c r="C110" s="7">
        <v>4</v>
      </c>
      <c r="D110" s="7">
        <v>4</v>
      </c>
      <c r="E110" s="7">
        <v>109948.921</v>
      </c>
      <c r="F110" s="7">
        <v>24256.053</v>
      </c>
      <c r="G110" s="7">
        <v>0</v>
      </c>
      <c r="H110" s="7">
        <v>0</v>
      </c>
      <c r="I110" s="7">
        <v>497.50900000000001</v>
      </c>
      <c r="J110" s="7">
        <v>0</v>
      </c>
      <c r="K110" s="7">
        <v>0</v>
      </c>
      <c r="L110" s="7">
        <v>280414.01400000002</v>
      </c>
      <c r="M110" s="7">
        <v>12476.66</v>
      </c>
      <c r="N110" s="7">
        <v>0</v>
      </c>
      <c r="O110" s="7">
        <v>0</v>
      </c>
      <c r="P110" s="7">
        <v>4.9989999999999997</v>
      </c>
      <c r="Q110" s="7">
        <v>0</v>
      </c>
      <c r="R110" s="7">
        <v>0</v>
      </c>
      <c r="S110" s="7">
        <v>7912.6130000000003</v>
      </c>
      <c r="T110" s="7">
        <v>0</v>
      </c>
      <c r="U110" s="7">
        <v>0</v>
      </c>
      <c r="V110" s="7">
        <v>0</v>
      </c>
      <c r="W110" s="7">
        <v>2781.5030000000002</v>
      </c>
      <c r="X110" s="7">
        <v>0</v>
      </c>
      <c r="Y110" s="7">
        <v>55695.959000000003</v>
      </c>
      <c r="Z110" s="7">
        <v>0</v>
      </c>
      <c r="AA110" s="7">
        <v>8283.02</v>
      </c>
      <c r="AB110" s="7">
        <v>6.476</v>
      </c>
      <c r="AC110" s="7">
        <v>5050.8410000000003</v>
      </c>
      <c r="AD110" s="7">
        <v>0</v>
      </c>
      <c r="AE110" s="7">
        <v>150709.93</v>
      </c>
      <c r="AF110" s="7">
        <v>157267.53899999999</v>
      </c>
      <c r="AG110" s="7">
        <v>0</v>
      </c>
      <c r="AH110" s="7">
        <v>440839.5</v>
      </c>
      <c r="AI110" s="7">
        <v>250134.389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5446.9170000000004</v>
      </c>
      <c r="AP110" s="7">
        <v>0</v>
      </c>
      <c r="AQ110" s="7">
        <v>62063.849000000002</v>
      </c>
      <c r="AR110" s="7">
        <v>0</v>
      </c>
      <c r="AS110" s="7">
        <v>74.506</v>
      </c>
      <c r="AT110" s="7">
        <v>0</v>
      </c>
      <c r="AU110" s="7">
        <v>790.02499999999998</v>
      </c>
      <c r="AV110" s="7">
        <v>0</v>
      </c>
      <c r="AW110" s="7">
        <v>0</v>
      </c>
      <c r="AX110" s="7">
        <v>0</v>
      </c>
      <c r="AY110" s="7">
        <v>2450.8989999999999</v>
      </c>
      <c r="AZ110" s="7">
        <v>100310.345</v>
      </c>
      <c r="BA110" s="7">
        <v>0</v>
      </c>
      <c r="BB110" s="7">
        <v>2206.1950000000002</v>
      </c>
      <c r="BC110" s="7">
        <v>0</v>
      </c>
      <c r="BD110" s="7">
        <v>124054.762</v>
      </c>
      <c r="BE110" s="7">
        <v>647.37099999999998</v>
      </c>
      <c r="BF110" s="7">
        <v>647.37099999999998</v>
      </c>
      <c r="BG110" s="7">
        <v>43270.216</v>
      </c>
      <c r="BH110" s="7">
        <v>0</v>
      </c>
      <c r="BI110" s="7">
        <v>0</v>
      </c>
      <c r="BJ110" s="21"/>
    </row>
    <row r="111" spans="1:62" ht="15.6" x14ac:dyDescent="0.3">
      <c r="A111" s="5" t="s">
        <v>210</v>
      </c>
      <c r="B111" s="5" t="s">
        <v>211</v>
      </c>
      <c r="C111" s="7">
        <v>4</v>
      </c>
      <c r="D111" s="7">
        <v>4</v>
      </c>
      <c r="E111" s="7">
        <v>231379.95199999999</v>
      </c>
      <c r="F111" s="7">
        <v>38975.656000000003</v>
      </c>
      <c r="G111" s="7">
        <v>14.994</v>
      </c>
      <c r="H111" s="7">
        <v>0</v>
      </c>
      <c r="I111" s="7">
        <v>1293.5139999999999</v>
      </c>
      <c r="J111" s="7">
        <v>160.30699999999999</v>
      </c>
      <c r="K111" s="7">
        <v>0</v>
      </c>
      <c r="L111" s="7">
        <v>508435.64399999997</v>
      </c>
      <c r="M111" s="7">
        <v>17378.435000000001</v>
      </c>
      <c r="N111" s="7">
        <v>0</v>
      </c>
      <c r="O111" s="7">
        <v>0</v>
      </c>
      <c r="P111" s="7">
        <v>0.32200000000000001</v>
      </c>
      <c r="Q111" s="7">
        <v>0</v>
      </c>
      <c r="R111" s="7">
        <v>0</v>
      </c>
      <c r="S111" s="7">
        <v>12349.495000000001</v>
      </c>
      <c r="T111" s="7">
        <v>0</v>
      </c>
      <c r="U111" s="7">
        <v>0</v>
      </c>
      <c r="V111" s="7">
        <v>33.880000000000003</v>
      </c>
      <c r="W111" s="7">
        <v>4026.2629999999999</v>
      </c>
      <c r="X111" s="7">
        <v>34075.552000000003</v>
      </c>
      <c r="Y111" s="7">
        <v>119040.16</v>
      </c>
      <c r="Z111" s="7">
        <v>0</v>
      </c>
      <c r="AA111" s="7">
        <v>20805.866000000002</v>
      </c>
      <c r="AB111" s="7">
        <v>0</v>
      </c>
      <c r="AC111" s="7">
        <v>7771.634</v>
      </c>
      <c r="AD111" s="7">
        <v>0</v>
      </c>
      <c r="AE111" s="7">
        <v>312305.05300000001</v>
      </c>
      <c r="AF111" s="7">
        <v>284398.85600000003</v>
      </c>
      <c r="AG111" s="7">
        <v>0</v>
      </c>
      <c r="AH111" s="7">
        <v>1016608.372</v>
      </c>
      <c r="AI111" s="7">
        <v>418421.61599999998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10151.703</v>
      </c>
      <c r="AP111" s="7">
        <v>91629.755000000005</v>
      </c>
      <c r="AQ111" s="7">
        <v>112094.837</v>
      </c>
      <c r="AR111" s="7">
        <v>26230.075000000001</v>
      </c>
      <c r="AS111" s="7">
        <v>114.13500000000001</v>
      </c>
      <c r="AT111" s="7">
        <v>0</v>
      </c>
      <c r="AU111" s="7">
        <v>748.76099999999997</v>
      </c>
      <c r="AV111" s="7">
        <v>70107.899999999994</v>
      </c>
      <c r="AW111" s="7">
        <v>136911.897</v>
      </c>
      <c r="AX111" s="7">
        <v>42881.796000000002</v>
      </c>
      <c r="AY111" s="7">
        <v>157.56</v>
      </c>
      <c r="AZ111" s="7">
        <v>6448.5959999999995</v>
      </c>
      <c r="BA111" s="7">
        <v>32862.76</v>
      </c>
      <c r="BB111" s="7">
        <v>4247.5190000000002</v>
      </c>
      <c r="BC111" s="7">
        <v>0</v>
      </c>
      <c r="BD111" s="7">
        <v>7975.0410000000002</v>
      </c>
      <c r="BE111" s="7">
        <v>1295.3119999999999</v>
      </c>
      <c r="BF111" s="7">
        <v>1295.3119999999999</v>
      </c>
      <c r="BG111" s="7">
        <v>2781.6889999999999</v>
      </c>
      <c r="BH111" s="7">
        <v>0</v>
      </c>
      <c r="BI111" s="7">
        <v>0</v>
      </c>
      <c r="BJ111" s="21"/>
    </row>
    <row r="112" spans="1:62" ht="15.6" x14ac:dyDescent="0.3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21"/>
    </row>
    <row r="113" spans="1:62" ht="15.6" x14ac:dyDescent="0.3">
      <c r="A113" s="5" t="s">
        <v>214</v>
      </c>
      <c r="B113" s="5" t="s">
        <v>215</v>
      </c>
      <c r="C113" s="7">
        <v>6</v>
      </c>
      <c r="D113" s="7">
        <v>6</v>
      </c>
      <c r="E113" s="7">
        <v>0.622</v>
      </c>
      <c r="F113" s="7">
        <v>0.18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0.01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1.5109999999999999</v>
      </c>
      <c r="AF113" s="7">
        <v>0.10100000000000001</v>
      </c>
      <c r="AG113" s="7">
        <v>0</v>
      </c>
      <c r="AH113" s="7">
        <v>1.262</v>
      </c>
      <c r="AI113" s="7">
        <v>5.2999999999999999E-2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216</v>
      </c>
      <c r="B114" s="5" t="s">
        <v>217</v>
      </c>
      <c r="C114" s="7">
        <v>6</v>
      </c>
      <c r="D114" s="7">
        <v>6</v>
      </c>
      <c r="E114" s="7">
        <v>72812.415999999997</v>
      </c>
      <c r="F114" s="7">
        <v>32.023000000000003</v>
      </c>
      <c r="G114" s="7">
        <v>0</v>
      </c>
      <c r="H114" s="7">
        <v>0</v>
      </c>
      <c r="I114" s="7">
        <v>3.0019999999999998</v>
      </c>
      <c r="J114" s="7">
        <v>0</v>
      </c>
      <c r="K114" s="7">
        <v>0</v>
      </c>
      <c r="L114" s="7">
        <v>167385.052</v>
      </c>
      <c r="M114" s="7">
        <v>33335.815000000002</v>
      </c>
      <c r="N114" s="7">
        <v>0</v>
      </c>
      <c r="O114" s="7">
        <v>0</v>
      </c>
      <c r="P114" s="7">
        <v>1.0009999999999999</v>
      </c>
      <c r="Q114" s="7">
        <v>0</v>
      </c>
      <c r="R114" s="7">
        <v>1.0009999999999999</v>
      </c>
      <c r="S114" s="7">
        <v>0</v>
      </c>
      <c r="T114" s="7">
        <v>0</v>
      </c>
      <c r="U114" s="7">
        <v>0</v>
      </c>
      <c r="V114" s="7">
        <v>0</v>
      </c>
      <c r="W114" s="7">
        <v>10.007</v>
      </c>
      <c r="X114" s="7">
        <v>0</v>
      </c>
      <c r="Y114" s="7">
        <v>17524.077000000001</v>
      </c>
      <c r="Z114" s="7">
        <v>0</v>
      </c>
      <c r="AA114" s="7">
        <v>94.069000000000003</v>
      </c>
      <c r="AB114" s="7">
        <v>0</v>
      </c>
      <c r="AC114" s="7">
        <v>8.0060000000000002</v>
      </c>
      <c r="AD114" s="7">
        <v>0</v>
      </c>
      <c r="AE114" s="7">
        <v>52121.86</v>
      </c>
      <c r="AF114" s="7">
        <v>7.0000000000000001E-3</v>
      </c>
      <c r="AG114" s="7">
        <v>0</v>
      </c>
      <c r="AH114" s="7">
        <v>240493.617</v>
      </c>
      <c r="AI114" s="7">
        <v>1.0999999999999999E-2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218</v>
      </c>
      <c r="B115" s="5" t="s">
        <v>219</v>
      </c>
      <c r="C115" s="7">
        <v>4</v>
      </c>
      <c r="D115" s="7">
        <v>4</v>
      </c>
      <c r="E115" s="7">
        <v>50272.053999999996</v>
      </c>
      <c r="F115" s="7">
        <v>10978.069</v>
      </c>
      <c r="G115" s="7">
        <v>0</v>
      </c>
      <c r="H115" s="7">
        <v>25172.702000000001</v>
      </c>
      <c r="I115" s="7">
        <v>225.529</v>
      </c>
      <c r="J115" s="7">
        <v>0</v>
      </c>
      <c r="K115" s="7">
        <v>0</v>
      </c>
      <c r="L115" s="7">
        <v>126741.451</v>
      </c>
      <c r="M115" s="7">
        <v>5650.01</v>
      </c>
      <c r="N115" s="7">
        <v>0</v>
      </c>
      <c r="O115" s="7">
        <v>121.395</v>
      </c>
      <c r="P115" s="7">
        <v>2.266</v>
      </c>
      <c r="Q115" s="7">
        <v>108.988</v>
      </c>
      <c r="R115" s="7">
        <v>0</v>
      </c>
      <c r="S115" s="7">
        <v>3586.924</v>
      </c>
      <c r="T115" s="7">
        <v>0</v>
      </c>
      <c r="U115" s="7">
        <v>0</v>
      </c>
      <c r="V115" s="7">
        <v>0</v>
      </c>
      <c r="W115" s="7">
        <v>1260.903</v>
      </c>
      <c r="X115" s="7">
        <v>0</v>
      </c>
      <c r="Y115" s="7">
        <v>25230.32</v>
      </c>
      <c r="Z115" s="7">
        <v>0</v>
      </c>
      <c r="AA115" s="7">
        <v>3754.8359999999998</v>
      </c>
      <c r="AB115" s="7">
        <v>7498.2569999999996</v>
      </c>
      <c r="AC115" s="7">
        <v>2289.6329999999998</v>
      </c>
      <c r="AD115" s="7">
        <v>15032.058999999999</v>
      </c>
      <c r="AE115" s="7">
        <v>69274.385999999999</v>
      </c>
      <c r="AF115" s="7">
        <v>71262.732000000004</v>
      </c>
      <c r="AG115" s="7">
        <v>69859.065000000002</v>
      </c>
      <c r="AH115" s="7">
        <v>199208.58900000001</v>
      </c>
      <c r="AI115" s="7">
        <v>113360.876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2469.1819999999998</v>
      </c>
      <c r="AP115" s="7">
        <v>0</v>
      </c>
      <c r="AQ115" s="7">
        <v>28131.677</v>
      </c>
      <c r="AR115" s="7">
        <v>0</v>
      </c>
      <c r="AS115" s="7">
        <v>33.774999999999999</v>
      </c>
      <c r="AT115" s="7">
        <v>0</v>
      </c>
      <c r="AU115" s="7">
        <v>3368.2579999999998</v>
      </c>
      <c r="AV115" s="7">
        <v>0</v>
      </c>
      <c r="AW115" s="7">
        <v>0</v>
      </c>
      <c r="AX115" s="7">
        <v>0</v>
      </c>
      <c r="AY115" s="7">
        <v>1111.0350000000001</v>
      </c>
      <c r="AZ115" s="7">
        <v>71488.046000000002</v>
      </c>
      <c r="BA115" s="7">
        <v>0</v>
      </c>
      <c r="BB115" s="7">
        <v>1000.106</v>
      </c>
      <c r="BC115" s="7">
        <v>0</v>
      </c>
      <c r="BD115" s="7">
        <v>56236.161999999997</v>
      </c>
      <c r="BE115" s="7">
        <v>293.46499999999997</v>
      </c>
      <c r="BF115" s="7">
        <v>293.46499999999997</v>
      </c>
      <c r="BG115" s="7">
        <v>19615.134999999998</v>
      </c>
      <c r="BH115" s="7">
        <v>0</v>
      </c>
      <c r="BI115" s="7">
        <v>0</v>
      </c>
      <c r="BJ115" s="21"/>
    </row>
    <row r="116" spans="1:62" ht="15.6" x14ac:dyDescent="0.3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262.02999999999997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637895.68099999998</v>
      </c>
      <c r="AL116" s="7">
        <v>335449.80200000003</v>
      </c>
      <c r="AM116" s="7">
        <v>0</v>
      </c>
      <c r="AN116" s="7">
        <v>221745.91099999999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740.61699999999996</v>
      </c>
      <c r="AV116" s="7">
        <v>0</v>
      </c>
      <c r="AW116" s="7">
        <v>0</v>
      </c>
      <c r="AX116" s="7">
        <v>329.74700000000001</v>
      </c>
      <c r="AY116" s="7">
        <v>0</v>
      </c>
      <c r="AZ116" s="7">
        <v>0</v>
      </c>
      <c r="BA116" s="7">
        <v>252.70400000000001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222</v>
      </c>
      <c r="B117" s="5" t="s">
        <v>223</v>
      </c>
      <c r="C117" s="7">
        <v>4</v>
      </c>
      <c r="D117" s="7">
        <v>3</v>
      </c>
      <c r="E117" s="7">
        <v>10839.663</v>
      </c>
      <c r="F117" s="7">
        <v>1579.7280000000001</v>
      </c>
      <c r="G117" s="7">
        <v>2411.4960000000001</v>
      </c>
      <c r="H117" s="7">
        <v>0</v>
      </c>
      <c r="I117" s="7">
        <v>229.65</v>
      </c>
      <c r="J117" s="7">
        <v>1391.06</v>
      </c>
      <c r="K117" s="7">
        <v>11111.931</v>
      </c>
      <c r="L117" s="7">
        <v>4019.5459999999998</v>
      </c>
      <c r="M117" s="7">
        <v>5011.91</v>
      </c>
      <c r="N117" s="7">
        <v>2953.7510000000002</v>
      </c>
      <c r="O117" s="7">
        <v>0</v>
      </c>
      <c r="P117" s="7">
        <v>0.20200000000000001</v>
      </c>
      <c r="Q117" s="7">
        <v>0</v>
      </c>
      <c r="R117" s="7">
        <v>0</v>
      </c>
      <c r="S117" s="7">
        <v>706.68499999999995</v>
      </c>
      <c r="T117" s="7">
        <v>0</v>
      </c>
      <c r="U117" s="7">
        <v>9392.8029999999999</v>
      </c>
      <c r="V117" s="7">
        <v>380.86500000000001</v>
      </c>
      <c r="W117" s="7">
        <v>465.92</v>
      </c>
      <c r="X117" s="7">
        <v>0</v>
      </c>
      <c r="Y117" s="7">
        <v>1809.0419999999999</v>
      </c>
      <c r="Z117" s="7">
        <v>0</v>
      </c>
      <c r="AA117" s="7">
        <v>2896.8649999999998</v>
      </c>
      <c r="AB117" s="7">
        <v>0</v>
      </c>
      <c r="AC117" s="7">
        <v>244.14699999999999</v>
      </c>
      <c r="AD117" s="7">
        <v>11828.715</v>
      </c>
      <c r="AE117" s="7">
        <v>1770.3389999999999</v>
      </c>
      <c r="AF117" s="7">
        <v>0</v>
      </c>
      <c r="AG117" s="7">
        <v>49134.644999999997</v>
      </c>
      <c r="AH117" s="7">
        <v>9608.7950000000001</v>
      </c>
      <c r="AI117" s="7">
        <v>0</v>
      </c>
      <c r="AJ117" s="7">
        <v>0</v>
      </c>
      <c r="AK117" s="7">
        <v>0</v>
      </c>
      <c r="AL117" s="7">
        <v>0</v>
      </c>
      <c r="AM117" s="7">
        <v>2444.1610000000001</v>
      </c>
      <c r="AN117" s="7">
        <v>0</v>
      </c>
      <c r="AO117" s="7">
        <v>284.44</v>
      </c>
      <c r="AP117" s="7">
        <v>0</v>
      </c>
      <c r="AQ117" s="7">
        <v>0</v>
      </c>
      <c r="AR117" s="7">
        <v>0</v>
      </c>
      <c r="AS117" s="7">
        <v>51.674999999999997</v>
      </c>
      <c r="AT117" s="7">
        <v>0</v>
      </c>
      <c r="AU117" s="7">
        <v>2453.3310000000001</v>
      </c>
      <c r="AV117" s="7">
        <v>0</v>
      </c>
      <c r="AW117" s="7">
        <v>0</v>
      </c>
      <c r="AX117" s="7">
        <v>0</v>
      </c>
      <c r="AY117" s="7">
        <v>280.78500000000003</v>
      </c>
      <c r="AZ117" s="7">
        <v>0</v>
      </c>
      <c r="BA117" s="7">
        <v>0</v>
      </c>
      <c r="BB117" s="7">
        <v>119.249</v>
      </c>
      <c r="BC117" s="7">
        <v>179.036</v>
      </c>
      <c r="BD117" s="7">
        <v>0</v>
      </c>
      <c r="BE117" s="7">
        <v>36.125</v>
      </c>
      <c r="BF117" s="7">
        <v>36.125</v>
      </c>
      <c r="BG117" s="7">
        <v>0</v>
      </c>
      <c r="BH117" s="7">
        <v>0</v>
      </c>
      <c r="BI117" s="7">
        <v>59.787999999999997</v>
      </c>
      <c r="BJ117" s="21"/>
    </row>
    <row r="118" spans="1:62" ht="15.6" x14ac:dyDescent="0.3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230</v>
      </c>
      <c r="B121" s="5" t="s">
        <v>231</v>
      </c>
      <c r="C121" s="7">
        <v>4</v>
      </c>
      <c r="D121" s="7">
        <v>4</v>
      </c>
      <c r="E121" s="7">
        <v>523180.11599999998</v>
      </c>
      <c r="F121" s="7">
        <v>79076.346999999994</v>
      </c>
      <c r="G121" s="7">
        <v>0</v>
      </c>
      <c r="H121" s="7">
        <v>0</v>
      </c>
      <c r="I121" s="7">
        <v>2377.7080000000001</v>
      </c>
      <c r="J121" s="7">
        <v>0</v>
      </c>
      <c r="K121" s="7">
        <v>0</v>
      </c>
      <c r="L121" s="7">
        <v>1143785.1189999999</v>
      </c>
      <c r="M121" s="7">
        <v>27322.217000000001</v>
      </c>
      <c r="N121" s="7">
        <v>0</v>
      </c>
      <c r="O121" s="7">
        <v>2433.6610000000001</v>
      </c>
      <c r="P121" s="7">
        <v>0</v>
      </c>
      <c r="Q121" s="7">
        <v>555.14</v>
      </c>
      <c r="R121" s="7">
        <v>0</v>
      </c>
      <c r="S121" s="7">
        <v>25178.817999999999</v>
      </c>
      <c r="T121" s="7">
        <v>0</v>
      </c>
      <c r="U121" s="7">
        <v>0</v>
      </c>
      <c r="V121" s="7">
        <v>0</v>
      </c>
      <c r="W121" s="7">
        <v>8180.7950000000001</v>
      </c>
      <c r="X121" s="7">
        <v>42573.055999999997</v>
      </c>
      <c r="Y121" s="7">
        <v>269703.88</v>
      </c>
      <c r="Z121" s="7">
        <v>33235.004000000001</v>
      </c>
      <c r="AA121" s="7">
        <v>46375.953999999998</v>
      </c>
      <c r="AB121" s="7">
        <v>50439.303999999996</v>
      </c>
      <c r="AC121" s="7">
        <v>16211.960999999999</v>
      </c>
      <c r="AD121" s="7">
        <v>7510.9809999999998</v>
      </c>
      <c r="AE121" s="7">
        <v>720653.12199999997</v>
      </c>
      <c r="AF121" s="7">
        <v>624547.228</v>
      </c>
      <c r="AG121" s="7">
        <v>31355.444</v>
      </c>
      <c r="AH121" s="7">
        <v>2044932.0290000001</v>
      </c>
      <c r="AI121" s="7">
        <v>912341.11699999997</v>
      </c>
      <c r="AJ121" s="7">
        <v>176087.85800000001</v>
      </c>
      <c r="AK121" s="7">
        <v>1823526.9790000001</v>
      </c>
      <c r="AL121" s="7">
        <v>958936.99</v>
      </c>
      <c r="AM121" s="7">
        <v>0</v>
      </c>
      <c r="AN121" s="7">
        <v>633896.20400000003</v>
      </c>
      <c r="AO121" s="7">
        <v>22691.673999999999</v>
      </c>
      <c r="AP121" s="7">
        <v>0</v>
      </c>
      <c r="AQ121" s="7">
        <v>250542.25599999999</v>
      </c>
      <c r="AR121" s="7">
        <v>0</v>
      </c>
      <c r="AS121" s="7">
        <v>254.74799999999999</v>
      </c>
      <c r="AT121" s="7">
        <v>0</v>
      </c>
      <c r="AU121" s="7">
        <v>1666.4079999999999</v>
      </c>
      <c r="AV121" s="7">
        <v>0</v>
      </c>
      <c r="AW121" s="7">
        <v>0</v>
      </c>
      <c r="AX121" s="7">
        <v>53575.334999999999</v>
      </c>
      <c r="AY121" s="7">
        <v>0</v>
      </c>
      <c r="AZ121" s="7">
        <v>0</v>
      </c>
      <c r="BA121" s="7">
        <v>41057.828000000001</v>
      </c>
      <c r="BB121" s="7">
        <v>9507.1509999999998</v>
      </c>
      <c r="BC121" s="7">
        <v>0</v>
      </c>
      <c r="BD121" s="7">
        <v>0</v>
      </c>
      <c r="BE121" s="7">
        <v>2903.212</v>
      </c>
      <c r="BF121" s="7">
        <v>2903.212</v>
      </c>
      <c r="BG121" s="7">
        <v>0</v>
      </c>
      <c r="BH121" s="7">
        <v>72078.383000000002</v>
      </c>
      <c r="BI121" s="7">
        <v>0</v>
      </c>
      <c r="BJ121" s="21"/>
    </row>
    <row r="122" spans="1:62" ht="15.6" x14ac:dyDescent="0.3">
      <c r="A122" s="5" t="s">
        <v>232</v>
      </c>
      <c r="B122" s="5" t="s">
        <v>233</v>
      </c>
      <c r="C122" s="7">
        <v>4</v>
      </c>
      <c r="D122" s="7">
        <v>3</v>
      </c>
      <c r="E122" s="7">
        <v>3016.2779999999998</v>
      </c>
      <c r="F122" s="7">
        <v>1055.8399999999999</v>
      </c>
      <c r="G122" s="7">
        <v>1133.1610000000001</v>
      </c>
      <c r="H122" s="7">
        <v>0</v>
      </c>
      <c r="I122" s="7">
        <v>55.576000000000001</v>
      </c>
      <c r="J122" s="7">
        <v>787.923</v>
      </c>
      <c r="K122" s="7">
        <v>0</v>
      </c>
      <c r="L122" s="7">
        <v>4453.3459999999995</v>
      </c>
      <c r="M122" s="7">
        <v>752.01800000000003</v>
      </c>
      <c r="N122" s="7">
        <v>0</v>
      </c>
      <c r="O122" s="7">
        <v>0</v>
      </c>
      <c r="P122" s="7">
        <v>2E-3</v>
      </c>
      <c r="Q122" s="7">
        <v>223.00700000000001</v>
      </c>
      <c r="R122" s="7">
        <v>361.38600000000002</v>
      </c>
      <c r="S122" s="7">
        <v>431.57900000000001</v>
      </c>
      <c r="T122" s="7">
        <v>0</v>
      </c>
      <c r="U122" s="7">
        <v>0</v>
      </c>
      <c r="V122" s="7">
        <v>199.81</v>
      </c>
      <c r="W122" s="7">
        <v>33.765999999999998</v>
      </c>
      <c r="X122" s="7">
        <v>0</v>
      </c>
      <c r="Y122" s="7">
        <v>1023.356</v>
      </c>
      <c r="Z122" s="7">
        <v>5340.1980000000003</v>
      </c>
      <c r="AA122" s="7">
        <v>1832.567</v>
      </c>
      <c r="AB122" s="7">
        <v>0</v>
      </c>
      <c r="AC122" s="7">
        <v>302.06400000000002</v>
      </c>
      <c r="AD122" s="7">
        <v>1775.34</v>
      </c>
      <c r="AE122" s="7">
        <v>10691.293</v>
      </c>
      <c r="AF122" s="7">
        <v>11.791</v>
      </c>
      <c r="AG122" s="7">
        <v>7044.4359999999997</v>
      </c>
      <c r="AH122" s="7">
        <v>11938.562</v>
      </c>
      <c r="AI122" s="7">
        <v>8.9999999999999993E-3</v>
      </c>
      <c r="AJ122" s="7">
        <v>25817.06</v>
      </c>
      <c r="AK122" s="7">
        <v>0</v>
      </c>
      <c r="AL122" s="7">
        <v>0</v>
      </c>
      <c r="AM122" s="7">
        <v>0</v>
      </c>
      <c r="AN122" s="7">
        <v>0</v>
      </c>
      <c r="AO122" s="7">
        <v>463.46699999999998</v>
      </c>
      <c r="AP122" s="7">
        <v>0</v>
      </c>
      <c r="AQ122" s="7">
        <v>1.7370000000000001</v>
      </c>
      <c r="AR122" s="7">
        <v>0</v>
      </c>
      <c r="AS122" s="7">
        <v>1.3779999999999999</v>
      </c>
      <c r="AT122" s="7">
        <v>0</v>
      </c>
      <c r="AU122" s="7">
        <v>42.887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190.25899999999999</v>
      </c>
      <c r="BC122" s="7">
        <v>0</v>
      </c>
      <c r="BD122" s="7">
        <v>0</v>
      </c>
      <c r="BE122" s="7">
        <v>57.533000000000001</v>
      </c>
      <c r="BF122" s="7">
        <v>57.533000000000001</v>
      </c>
      <c r="BG122" s="7">
        <v>0</v>
      </c>
      <c r="BH122" s="7">
        <v>16705.542000000001</v>
      </c>
      <c r="BI122" s="7">
        <v>0</v>
      </c>
      <c r="BJ122" s="21"/>
    </row>
    <row r="123" spans="1:62" ht="15.6" x14ac:dyDescent="0.3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21"/>
    </row>
    <row r="124" spans="1:62" ht="15.6" x14ac:dyDescent="0.3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237</v>
      </c>
      <c r="B125" s="5" t="s">
        <v>238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90.317999999999998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239</v>
      </c>
      <c r="B126" s="5" t="s">
        <v>240</v>
      </c>
      <c r="C126" s="7">
        <v>4</v>
      </c>
      <c r="D126" s="7">
        <v>3</v>
      </c>
      <c r="E126" s="7">
        <v>2346.5320000000002</v>
      </c>
      <c r="F126" s="7">
        <v>1690.06</v>
      </c>
      <c r="G126" s="7">
        <v>114.252</v>
      </c>
      <c r="H126" s="7">
        <v>0</v>
      </c>
      <c r="I126" s="7">
        <v>124</v>
      </c>
      <c r="J126" s="7">
        <v>1221.5340000000001</v>
      </c>
      <c r="K126" s="7">
        <v>0</v>
      </c>
      <c r="L126" s="7">
        <v>3505.9580000000001</v>
      </c>
      <c r="M126" s="7">
        <v>186.40700000000001</v>
      </c>
      <c r="N126" s="7">
        <v>0</v>
      </c>
      <c r="O126" s="7">
        <v>0</v>
      </c>
      <c r="P126" s="7">
        <v>5.0000000000000001E-3</v>
      </c>
      <c r="Q126" s="7">
        <v>0</v>
      </c>
      <c r="R126" s="7">
        <v>0</v>
      </c>
      <c r="S126" s="7">
        <v>686.77700000000004</v>
      </c>
      <c r="T126" s="7">
        <v>0</v>
      </c>
      <c r="U126" s="7">
        <v>0</v>
      </c>
      <c r="V126" s="7">
        <v>258.16399999999999</v>
      </c>
      <c r="W126" s="7">
        <v>2.2290000000000001</v>
      </c>
      <c r="X126" s="7">
        <v>0</v>
      </c>
      <c r="Y126" s="7">
        <v>95.144000000000005</v>
      </c>
      <c r="Z126" s="7">
        <v>0</v>
      </c>
      <c r="AA126" s="7">
        <v>3221.7420000000002</v>
      </c>
      <c r="AB126" s="7">
        <v>0</v>
      </c>
      <c r="AC126" s="7">
        <v>272.42200000000003</v>
      </c>
      <c r="AD126" s="7">
        <v>0</v>
      </c>
      <c r="AE126" s="7">
        <v>838.53300000000002</v>
      </c>
      <c r="AF126" s="7">
        <v>29.984999999999999</v>
      </c>
      <c r="AG126" s="7">
        <v>0</v>
      </c>
      <c r="AH126" s="7">
        <v>5690.6940000000004</v>
      </c>
      <c r="AI126" s="7">
        <v>2.1999999999999999E-2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675.79200000000003</v>
      </c>
      <c r="AP126" s="7">
        <v>0</v>
      </c>
      <c r="AQ126" s="7">
        <v>4.4169999999999998</v>
      </c>
      <c r="AR126" s="7">
        <v>0</v>
      </c>
      <c r="AS126" s="7">
        <v>2.3170000000000002</v>
      </c>
      <c r="AT126" s="7">
        <v>0</v>
      </c>
      <c r="AU126" s="7">
        <v>0.30199999999999999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276.51</v>
      </c>
      <c r="BC126" s="7">
        <v>0</v>
      </c>
      <c r="BD126" s="7">
        <v>0</v>
      </c>
      <c r="BE126" s="7">
        <v>83.94</v>
      </c>
      <c r="BF126" s="7">
        <v>83.94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241</v>
      </c>
      <c r="B127" s="5" t="s">
        <v>242</v>
      </c>
      <c r="C127" s="7">
        <v>2</v>
      </c>
      <c r="D127" s="7">
        <v>2</v>
      </c>
      <c r="E127" s="7">
        <v>93871.933999999994</v>
      </c>
      <c r="F127" s="7">
        <v>10953.637000000001</v>
      </c>
      <c r="G127" s="7">
        <v>10928.832</v>
      </c>
      <c r="H127" s="7">
        <v>0</v>
      </c>
      <c r="I127" s="7">
        <v>2080.64</v>
      </c>
      <c r="J127" s="7">
        <v>8209.2549999999992</v>
      </c>
      <c r="K127" s="7">
        <v>0</v>
      </c>
      <c r="L127" s="7">
        <v>77294.865000000005</v>
      </c>
      <c r="M127" s="7">
        <v>23290.281999999999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3420.067</v>
      </c>
      <c r="T127" s="7">
        <v>0</v>
      </c>
      <c r="U127" s="7">
        <v>0</v>
      </c>
      <c r="V127" s="7">
        <v>1683.954</v>
      </c>
      <c r="W127" s="7">
        <v>3695.3589999999999</v>
      </c>
      <c r="X127" s="7">
        <v>0</v>
      </c>
      <c r="Y127" s="7">
        <v>40161.428999999996</v>
      </c>
      <c r="Z127" s="7">
        <v>0</v>
      </c>
      <c r="AA127" s="7">
        <v>9674.8369999999995</v>
      </c>
      <c r="AB127" s="7">
        <v>0</v>
      </c>
      <c r="AC127" s="7">
        <v>1926.8610000000001</v>
      </c>
      <c r="AD127" s="7">
        <v>0</v>
      </c>
      <c r="AE127" s="7">
        <v>121087.962</v>
      </c>
      <c r="AF127" s="7">
        <v>0</v>
      </c>
      <c r="AG127" s="7">
        <v>0</v>
      </c>
      <c r="AH127" s="7">
        <v>206900.49900000001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958.74900000000002</v>
      </c>
      <c r="AP127" s="7">
        <v>0</v>
      </c>
      <c r="AQ127" s="7">
        <v>0</v>
      </c>
      <c r="AR127" s="7">
        <v>0</v>
      </c>
      <c r="AS127" s="7">
        <v>4.5510000000000002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419.37799999999999</v>
      </c>
      <c r="BC127" s="7">
        <v>0</v>
      </c>
      <c r="BD127" s="7">
        <v>0</v>
      </c>
      <c r="BE127" s="7">
        <v>168.88800000000001</v>
      </c>
      <c r="BF127" s="7">
        <v>168.88800000000001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243</v>
      </c>
      <c r="B128" s="5" t="s">
        <v>244</v>
      </c>
      <c r="C128" s="7">
        <v>4</v>
      </c>
      <c r="D128" s="7">
        <v>4</v>
      </c>
      <c r="E128" s="7">
        <v>32877.667000000001</v>
      </c>
      <c r="F128" s="7">
        <v>4966.482</v>
      </c>
      <c r="G128" s="7">
        <v>0</v>
      </c>
      <c r="H128" s="7">
        <v>0</v>
      </c>
      <c r="I128" s="7">
        <v>149.227</v>
      </c>
      <c r="J128" s="7">
        <v>0</v>
      </c>
      <c r="K128" s="7">
        <v>0</v>
      </c>
      <c r="L128" s="7">
        <v>71877.486000000004</v>
      </c>
      <c r="M128" s="7">
        <v>1712.865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1581.4639999999999</v>
      </c>
      <c r="T128" s="7">
        <v>0</v>
      </c>
      <c r="U128" s="7">
        <v>0</v>
      </c>
      <c r="V128" s="7">
        <v>0</v>
      </c>
      <c r="W128" s="7">
        <v>513.80499999999995</v>
      </c>
      <c r="X128" s="7">
        <v>0</v>
      </c>
      <c r="Y128" s="7">
        <v>16948.749</v>
      </c>
      <c r="Z128" s="7">
        <v>0</v>
      </c>
      <c r="AA128" s="7">
        <v>2914.3620000000001</v>
      </c>
      <c r="AB128" s="7">
        <v>0</v>
      </c>
      <c r="AC128" s="7">
        <v>1018.393</v>
      </c>
      <c r="AD128" s="7">
        <v>0</v>
      </c>
      <c r="AE128" s="7">
        <v>44411.686000000002</v>
      </c>
      <c r="AF128" s="7">
        <v>39241.947</v>
      </c>
      <c r="AG128" s="7">
        <v>0</v>
      </c>
      <c r="AH128" s="7">
        <v>128412.533</v>
      </c>
      <c r="AI128" s="7">
        <v>57323.383999999998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1425.992</v>
      </c>
      <c r="AP128" s="7">
        <v>0</v>
      </c>
      <c r="AQ128" s="7">
        <v>15743.865</v>
      </c>
      <c r="AR128" s="7">
        <v>0</v>
      </c>
      <c r="AS128" s="7">
        <v>16.009</v>
      </c>
      <c r="AT128" s="7">
        <v>0</v>
      </c>
      <c r="AU128" s="7">
        <v>104.72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597.44899999999996</v>
      </c>
      <c r="BC128" s="7">
        <v>0</v>
      </c>
      <c r="BD128" s="7">
        <v>0</v>
      </c>
      <c r="BE128" s="7">
        <v>182.44399999999999</v>
      </c>
      <c r="BF128" s="7">
        <v>182.44399999999999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245</v>
      </c>
      <c r="B129" s="5" t="s">
        <v>246</v>
      </c>
      <c r="C129" s="7">
        <v>4</v>
      </c>
      <c r="D129" s="7">
        <v>6</v>
      </c>
      <c r="E129" s="7">
        <v>21.116</v>
      </c>
      <c r="F129" s="7">
        <v>15.208</v>
      </c>
      <c r="G129" s="7">
        <v>1.028</v>
      </c>
      <c r="H129" s="7">
        <v>0</v>
      </c>
      <c r="I129" s="7">
        <v>1.1160000000000001</v>
      </c>
      <c r="J129" s="7">
        <v>10.992000000000001</v>
      </c>
      <c r="K129" s="7">
        <v>0</v>
      </c>
      <c r="L129" s="7">
        <v>31.548999999999999</v>
      </c>
      <c r="M129" s="7">
        <v>1.677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6.18</v>
      </c>
      <c r="T129" s="7">
        <v>0</v>
      </c>
      <c r="U129" s="7">
        <v>0</v>
      </c>
      <c r="V129" s="7">
        <v>2.323</v>
      </c>
      <c r="W129" s="7">
        <v>0.02</v>
      </c>
      <c r="X129" s="7">
        <v>0</v>
      </c>
      <c r="Y129" s="7">
        <v>0.85599999999999998</v>
      </c>
      <c r="Z129" s="7">
        <v>0</v>
      </c>
      <c r="AA129" s="7">
        <v>28.992000000000001</v>
      </c>
      <c r="AB129" s="7">
        <v>0</v>
      </c>
      <c r="AC129" s="7">
        <v>2.4510000000000001</v>
      </c>
      <c r="AD129" s="7">
        <v>0</v>
      </c>
      <c r="AE129" s="7">
        <v>7.5460000000000003</v>
      </c>
      <c r="AF129" s="7">
        <v>0.27</v>
      </c>
      <c r="AG129" s="7">
        <v>0</v>
      </c>
      <c r="AH129" s="7">
        <v>51.209000000000003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6.0810000000000004</v>
      </c>
      <c r="AP129" s="7">
        <v>0</v>
      </c>
      <c r="AQ129" s="7">
        <v>0.04</v>
      </c>
      <c r="AR129" s="7">
        <v>0</v>
      </c>
      <c r="AS129" s="7">
        <v>2.1000000000000001E-2</v>
      </c>
      <c r="AT129" s="7">
        <v>0</v>
      </c>
      <c r="AU129" s="7">
        <v>3.0000000000000001E-3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2.488</v>
      </c>
      <c r="BC129" s="7">
        <v>0</v>
      </c>
      <c r="BD129" s="7">
        <v>0</v>
      </c>
      <c r="BE129" s="7">
        <v>0.755</v>
      </c>
      <c r="BF129" s="7">
        <v>0.755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247</v>
      </c>
      <c r="B130" s="5" t="s">
        <v>248</v>
      </c>
      <c r="C130" s="7">
        <v>6</v>
      </c>
      <c r="D130" s="7">
        <v>6</v>
      </c>
      <c r="E130" s="7">
        <v>52073.525000000001</v>
      </c>
      <c r="F130" s="7">
        <v>312.17700000000002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72966.673999999999</v>
      </c>
      <c r="M130" s="7">
        <v>11510.338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5938.8339999999998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27622.312999999998</v>
      </c>
      <c r="AF130" s="7">
        <v>172.52199999999999</v>
      </c>
      <c r="AG130" s="7">
        <v>0</v>
      </c>
      <c r="AH130" s="7">
        <v>138807.394</v>
      </c>
      <c r="AI130" s="7">
        <v>313.61799999999999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249</v>
      </c>
      <c r="B131" s="5" t="s">
        <v>250</v>
      </c>
      <c r="C131" s="7">
        <v>6</v>
      </c>
      <c r="D131" s="7">
        <v>6</v>
      </c>
      <c r="E131" s="7">
        <v>7275.6959999999999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17485.511999999999</v>
      </c>
      <c r="M131" s="7">
        <v>590.26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1091.086</v>
      </c>
      <c r="AF131" s="7">
        <v>0</v>
      </c>
      <c r="AG131" s="7">
        <v>0</v>
      </c>
      <c r="AH131" s="7">
        <v>7416.0320000000002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251</v>
      </c>
      <c r="B132" s="5" t="s">
        <v>252</v>
      </c>
      <c r="C132" s="7">
        <v>6</v>
      </c>
      <c r="D132" s="7">
        <v>6</v>
      </c>
      <c r="E132" s="7">
        <v>15062.307000000001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88720.004000000001</v>
      </c>
      <c r="M132" s="7">
        <v>2221.2109999999998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257.51</v>
      </c>
      <c r="AB132" s="7">
        <v>0</v>
      </c>
      <c r="AC132" s="7">
        <v>0</v>
      </c>
      <c r="AD132" s="7">
        <v>0</v>
      </c>
      <c r="AE132" s="7">
        <v>21832.374</v>
      </c>
      <c r="AF132" s="7">
        <v>0</v>
      </c>
      <c r="AG132" s="7">
        <v>0</v>
      </c>
      <c r="AH132" s="7">
        <v>123769.232</v>
      </c>
      <c r="AI132" s="7">
        <v>24582.560000000001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253</v>
      </c>
      <c r="B133" s="5" t="s">
        <v>254</v>
      </c>
      <c r="C133" s="7">
        <v>6</v>
      </c>
      <c r="D133" s="7">
        <v>6</v>
      </c>
      <c r="E133" s="7">
        <v>272250.66100000002</v>
      </c>
      <c r="F133" s="7">
        <v>14256.678</v>
      </c>
      <c r="G133" s="7">
        <v>11838.483</v>
      </c>
      <c r="H133" s="7">
        <v>3546.7190000000001</v>
      </c>
      <c r="I133" s="7">
        <v>2055.4119999999998</v>
      </c>
      <c r="J133" s="7">
        <v>7643.8630000000003</v>
      </c>
      <c r="K133" s="7">
        <v>0</v>
      </c>
      <c r="L133" s="7">
        <v>318739.80200000003</v>
      </c>
      <c r="M133" s="7">
        <v>68376.312000000005</v>
      </c>
      <c r="N133" s="7">
        <v>0</v>
      </c>
      <c r="O133" s="7">
        <v>0</v>
      </c>
      <c r="P133" s="7">
        <v>284.81</v>
      </c>
      <c r="Q133" s="7">
        <v>0</v>
      </c>
      <c r="R133" s="7">
        <v>87.153999999999996</v>
      </c>
      <c r="S133" s="7">
        <v>3339.1</v>
      </c>
      <c r="T133" s="7">
        <v>0</v>
      </c>
      <c r="U133" s="7">
        <v>0</v>
      </c>
      <c r="V133" s="7">
        <v>1330.96</v>
      </c>
      <c r="W133" s="7">
        <v>3801.027</v>
      </c>
      <c r="X133" s="7">
        <v>0</v>
      </c>
      <c r="Y133" s="7">
        <v>52127.245999999999</v>
      </c>
      <c r="Z133" s="7">
        <v>0</v>
      </c>
      <c r="AA133" s="7">
        <v>11776.394</v>
      </c>
      <c r="AB133" s="7">
        <v>0</v>
      </c>
      <c r="AC133" s="7">
        <v>2004.173</v>
      </c>
      <c r="AD133" s="7">
        <v>0</v>
      </c>
      <c r="AE133" s="7">
        <v>188434.193</v>
      </c>
      <c r="AF133" s="7">
        <v>10244.15</v>
      </c>
      <c r="AG133" s="7">
        <v>0</v>
      </c>
      <c r="AH133" s="7">
        <v>604264.09100000001</v>
      </c>
      <c r="AI133" s="7">
        <v>11204.078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33.652000000000001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255</v>
      </c>
      <c r="B134" s="5" t="s">
        <v>256</v>
      </c>
      <c r="C134" s="7">
        <v>6</v>
      </c>
      <c r="D134" s="7">
        <v>6</v>
      </c>
      <c r="E134" s="7">
        <v>16344.697</v>
      </c>
      <c r="F134" s="7">
        <v>27.21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12208.594999999999</v>
      </c>
      <c r="M134" s="7">
        <v>1534.9780000000001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1764.6389999999999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8247.6479999999992</v>
      </c>
      <c r="AF134" s="7">
        <v>979.96299999999997</v>
      </c>
      <c r="AG134" s="7">
        <v>0</v>
      </c>
      <c r="AH134" s="7">
        <v>30736.421999999999</v>
      </c>
      <c r="AI134" s="7">
        <v>3235.1709999999998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257</v>
      </c>
      <c r="B135" s="5" t="s">
        <v>258</v>
      </c>
      <c r="C135" s="7">
        <v>6</v>
      </c>
      <c r="D135" s="7">
        <v>6</v>
      </c>
      <c r="E135" s="7">
        <v>137003.75099999999</v>
      </c>
      <c r="F135" s="7">
        <v>6285.8270000000002</v>
      </c>
      <c r="G135" s="7">
        <v>6335.509</v>
      </c>
      <c r="H135" s="7">
        <v>0</v>
      </c>
      <c r="I135" s="7">
        <v>1111.136</v>
      </c>
      <c r="J135" s="7">
        <v>3855.62</v>
      </c>
      <c r="K135" s="7">
        <v>0</v>
      </c>
      <c r="L135" s="7">
        <v>123872.658</v>
      </c>
      <c r="M135" s="7">
        <v>42044.059000000001</v>
      </c>
      <c r="N135" s="7">
        <v>0</v>
      </c>
      <c r="O135" s="7">
        <v>0</v>
      </c>
      <c r="P135" s="7">
        <v>185.44200000000001</v>
      </c>
      <c r="Q135" s="7">
        <v>0</v>
      </c>
      <c r="R135" s="7">
        <v>1.446</v>
      </c>
      <c r="S135" s="7">
        <v>0</v>
      </c>
      <c r="T135" s="7">
        <v>0</v>
      </c>
      <c r="U135" s="7">
        <v>0</v>
      </c>
      <c r="V135" s="7">
        <v>690.63400000000001</v>
      </c>
      <c r="W135" s="7">
        <v>2032.0129999999999</v>
      </c>
      <c r="X135" s="7">
        <v>0</v>
      </c>
      <c r="Y135" s="7">
        <v>25410.870999999999</v>
      </c>
      <c r="Z135" s="7">
        <v>0</v>
      </c>
      <c r="AA135" s="7">
        <v>6419.3389999999999</v>
      </c>
      <c r="AB135" s="7">
        <v>0</v>
      </c>
      <c r="AC135" s="7">
        <v>954.12800000000004</v>
      </c>
      <c r="AD135" s="7">
        <v>0</v>
      </c>
      <c r="AE135" s="7">
        <v>102310.44</v>
      </c>
      <c r="AF135" s="7">
        <v>1338.259</v>
      </c>
      <c r="AG135" s="7">
        <v>0</v>
      </c>
      <c r="AH135" s="7">
        <v>302480.74200000003</v>
      </c>
      <c r="AI135" s="7">
        <v>1768.9870000000001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259</v>
      </c>
      <c r="B136" s="5" t="s">
        <v>260</v>
      </c>
      <c r="C136" s="7">
        <v>6</v>
      </c>
      <c r="D136" s="7">
        <v>6</v>
      </c>
      <c r="E136" s="7">
        <v>24562.666000000001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48407.849000000002</v>
      </c>
      <c r="M136" s="7">
        <v>4095.6880000000001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6885</v>
      </c>
      <c r="AF136" s="7">
        <v>0</v>
      </c>
      <c r="AG136" s="7">
        <v>0</v>
      </c>
      <c r="AH136" s="7">
        <v>87775.41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261</v>
      </c>
      <c r="B137" s="5" t="s">
        <v>262</v>
      </c>
      <c r="C137" s="7">
        <v>6</v>
      </c>
      <c r="D137" s="7">
        <v>6</v>
      </c>
      <c r="E137" s="7">
        <v>965991.87699999998</v>
      </c>
      <c r="F137" s="7">
        <v>14918.366</v>
      </c>
      <c r="G137" s="7">
        <v>16937.364000000001</v>
      </c>
      <c r="H137" s="7">
        <v>2127.9470000000001</v>
      </c>
      <c r="I137" s="7">
        <v>3272.1260000000002</v>
      </c>
      <c r="J137" s="7">
        <v>9804.0360000000001</v>
      </c>
      <c r="K137" s="7">
        <v>0</v>
      </c>
      <c r="L137" s="7">
        <v>929784.79500000004</v>
      </c>
      <c r="M137" s="7">
        <v>259692.81200000001</v>
      </c>
      <c r="N137" s="7">
        <v>0</v>
      </c>
      <c r="O137" s="7">
        <v>0</v>
      </c>
      <c r="P137" s="7">
        <v>493.50099999999998</v>
      </c>
      <c r="Q137" s="7">
        <v>0</v>
      </c>
      <c r="R137" s="7">
        <v>5.2869999999999999</v>
      </c>
      <c r="S137" s="7">
        <v>0</v>
      </c>
      <c r="T137" s="7">
        <v>0</v>
      </c>
      <c r="U137" s="7">
        <v>0</v>
      </c>
      <c r="V137" s="7">
        <v>1401.5909999999999</v>
      </c>
      <c r="W137" s="7">
        <v>4132.9610000000002</v>
      </c>
      <c r="X137" s="7">
        <v>0</v>
      </c>
      <c r="Y137" s="7">
        <v>169765.57500000001</v>
      </c>
      <c r="Z137" s="7">
        <v>0</v>
      </c>
      <c r="AA137" s="7">
        <v>33331.591999999997</v>
      </c>
      <c r="AB137" s="7">
        <v>0</v>
      </c>
      <c r="AC137" s="7">
        <v>2040.5889999999999</v>
      </c>
      <c r="AD137" s="7">
        <v>0</v>
      </c>
      <c r="AE137" s="7">
        <v>591146.67700000003</v>
      </c>
      <c r="AF137" s="7">
        <v>18651.401999999998</v>
      </c>
      <c r="AG137" s="7">
        <v>0</v>
      </c>
      <c r="AH137" s="7">
        <v>2139136.4640000002</v>
      </c>
      <c r="AI137" s="7">
        <v>55946.392999999996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85.909000000000006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263</v>
      </c>
      <c r="B138" s="5" t="s">
        <v>264</v>
      </c>
      <c r="C138" s="7">
        <v>4</v>
      </c>
      <c r="D138" s="7">
        <v>4</v>
      </c>
      <c r="E138" s="7">
        <v>3404.8890000000001</v>
      </c>
      <c r="F138" s="7">
        <v>552.50599999999997</v>
      </c>
      <c r="G138" s="7">
        <v>590.64499999999998</v>
      </c>
      <c r="H138" s="7">
        <v>568.00199999999995</v>
      </c>
      <c r="I138" s="7">
        <v>59.652000000000001</v>
      </c>
      <c r="J138" s="7">
        <v>340.601</v>
      </c>
      <c r="K138" s="7">
        <v>0</v>
      </c>
      <c r="L138" s="7">
        <v>2893.93</v>
      </c>
      <c r="M138" s="7">
        <v>1312.663</v>
      </c>
      <c r="N138" s="7">
        <v>0</v>
      </c>
      <c r="O138" s="7">
        <v>0</v>
      </c>
      <c r="P138" s="7">
        <v>8.4000000000000005E-2</v>
      </c>
      <c r="Q138" s="7">
        <v>0</v>
      </c>
      <c r="R138" s="7">
        <v>0</v>
      </c>
      <c r="S138" s="7">
        <v>227.23400000000001</v>
      </c>
      <c r="T138" s="7">
        <v>0</v>
      </c>
      <c r="U138" s="7">
        <v>0</v>
      </c>
      <c r="V138" s="7">
        <v>93.314999999999998</v>
      </c>
      <c r="W138" s="7">
        <v>133.083</v>
      </c>
      <c r="X138" s="7">
        <v>0</v>
      </c>
      <c r="Y138" s="7">
        <v>823.024</v>
      </c>
      <c r="Z138" s="7">
        <v>0</v>
      </c>
      <c r="AA138" s="7">
        <v>766.26300000000003</v>
      </c>
      <c r="AB138" s="7">
        <v>0</v>
      </c>
      <c r="AC138" s="7">
        <v>94.313999999999993</v>
      </c>
      <c r="AD138" s="7">
        <v>0</v>
      </c>
      <c r="AE138" s="7">
        <v>1460.048</v>
      </c>
      <c r="AF138" s="7">
        <v>1074.0229999999999</v>
      </c>
      <c r="AG138" s="7">
        <v>0</v>
      </c>
      <c r="AH138" s="7">
        <v>5339.5519999999997</v>
      </c>
      <c r="AI138" s="7">
        <v>1709.16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106.88800000000001</v>
      </c>
      <c r="AP138" s="7">
        <v>0</v>
      </c>
      <c r="AQ138" s="7">
        <v>423.84199999999998</v>
      </c>
      <c r="AR138" s="7">
        <v>0</v>
      </c>
      <c r="AS138" s="7">
        <v>1.982</v>
      </c>
      <c r="AT138" s="7">
        <v>0</v>
      </c>
      <c r="AU138" s="7">
        <v>44.064</v>
      </c>
      <c r="AV138" s="7">
        <v>0</v>
      </c>
      <c r="AW138" s="7">
        <v>0</v>
      </c>
      <c r="AX138" s="7">
        <v>0</v>
      </c>
      <c r="AY138" s="7">
        <v>85.531999999999996</v>
      </c>
      <c r="AZ138" s="7">
        <v>685.10400000000004</v>
      </c>
      <c r="BA138" s="7">
        <v>0</v>
      </c>
      <c r="BB138" s="7">
        <v>44.283000000000001</v>
      </c>
      <c r="BC138" s="7">
        <v>43.863</v>
      </c>
      <c r="BD138" s="7">
        <v>847.27499999999998</v>
      </c>
      <c r="BE138" s="7">
        <v>13.272</v>
      </c>
      <c r="BF138" s="7">
        <v>13.272</v>
      </c>
      <c r="BG138" s="7">
        <v>295.529</v>
      </c>
      <c r="BH138" s="7">
        <v>0</v>
      </c>
      <c r="BI138" s="7">
        <v>14.648</v>
      </c>
      <c r="BJ138" s="21"/>
    </row>
    <row r="139" spans="1:62" ht="15.6" x14ac:dyDescent="0.3">
      <c r="A139" s="5" t="s">
        <v>265</v>
      </c>
      <c r="B139" s="5" t="s">
        <v>266</v>
      </c>
      <c r="C139" s="7">
        <v>6</v>
      </c>
      <c r="D139" s="7">
        <v>6</v>
      </c>
      <c r="E139" s="7">
        <v>3855.12</v>
      </c>
      <c r="F139" s="7">
        <v>0</v>
      </c>
      <c r="G139" s="7">
        <v>0</v>
      </c>
      <c r="H139" s="7">
        <v>1.0999999999999999E-2</v>
      </c>
      <c r="I139" s="7">
        <v>0</v>
      </c>
      <c r="J139" s="7">
        <v>0</v>
      </c>
      <c r="K139" s="7">
        <v>0</v>
      </c>
      <c r="L139" s="7">
        <v>6232.3119999999999</v>
      </c>
      <c r="M139" s="7">
        <v>1208.453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1039.0650000000001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4417.8559999999998</v>
      </c>
      <c r="AF139" s="7">
        <v>6.0000000000000001E-3</v>
      </c>
      <c r="AG139" s="7">
        <v>0</v>
      </c>
      <c r="AH139" s="7">
        <v>14326.53</v>
      </c>
      <c r="AI139" s="7">
        <v>8.9999999999999993E-3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267</v>
      </c>
      <c r="B140" s="5" t="s">
        <v>268</v>
      </c>
      <c r="C140" s="7">
        <v>4</v>
      </c>
      <c r="D140" s="7">
        <v>4</v>
      </c>
      <c r="E140" s="7">
        <v>0.57699999999999996</v>
      </c>
      <c r="F140" s="7">
        <v>8.6999999999999994E-2</v>
      </c>
      <c r="G140" s="7">
        <v>0</v>
      </c>
      <c r="H140" s="7">
        <v>0</v>
      </c>
      <c r="I140" s="7">
        <v>3.0000000000000001E-3</v>
      </c>
      <c r="J140" s="7">
        <v>0</v>
      </c>
      <c r="K140" s="7">
        <v>0</v>
      </c>
      <c r="L140" s="7">
        <v>1.26</v>
      </c>
      <c r="M140" s="7">
        <v>0.03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2.8000000000000001E-2</v>
      </c>
      <c r="T140" s="7">
        <v>0</v>
      </c>
      <c r="U140" s="7">
        <v>0</v>
      </c>
      <c r="V140" s="7">
        <v>0</v>
      </c>
      <c r="W140" s="7">
        <v>8.9999999999999993E-3</v>
      </c>
      <c r="X140" s="7">
        <v>0</v>
      </c>
      <c r="Y140" s="7">
        <v>0.29699999999999999</v>
      </c>
      <c r="Z140" s="7">
        <v>0</v>
      </c>
      <c r="AA140" s="7">
        <v>5.0999999999999997E-2</v>
      </c>
      <c r="AB140" s="7">
        <v>0</v>
      </c>
      <c r="AC140" s="7">
        <v>1.7999999999999999E-2</v>
      </c>
      <c r="AD140" s="7">
        <v>0</v>
      </c>
      <c r="AE140" s="7">
        <v>0.77900000000000003</v>
      </c>
      <c r="AF140" s="7">
        <v>0.68799999999999994</v>
      </c>
      <c r="AG140" s="7">
        <v>0</v>
      </c>
      <c r="AH140" s="7">
        <v>2.2519999999999998</v>
      </c>
      <c r="AI140" s="7">
        <v>1.0049999999999999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2.5000000000000001E-2</v>
      </c>
      <c r="AP140" s="7">
        <v>0</v>
      </c>
      <c r="AQ140" s="7">
        <v>0.27600000000000002</v>
      </c>
      <c r="AR140" s="7">
        <v>0</v>
      </c>
      <c r="AS140" s="7">
        <v>0</v>
      </c>
      <c r="AT140" s="7">
        <v>0</v>
      </c>
      <c r="AU140" s="7">
        <v>1E-3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0.01</v>
      </c>
      <c r="BC140" s="7">
        <v>0</v>
      </c>
      <c r="BD140" s="7">
        <v>0</v>
      </c>
      <c r="BE140" s="7">
        <v>3.0000000000000001E-3</v>
      </c>
      <c r="BF140" s="7">
        <v>3.0000000000000001E-3</v>
      </c>
      <c r="BG140" s="7">
        <v>0</v>
      </c>
      <c r="BH140" s="7">
        <v>0</v>
      </c>
      <c r="BI140" s="7">
        <v>0</v>
      </c>
      <c r="BJ140" s="21"/>
    </row>
    <row r="141" spans="1:62" ht="15.6" x14ac:dyDescent="0.3">
      <c r="A141" s="5" t="s">
        <v>269</v>
      </c>
      <c r="B141" s="5" t="s">
        <v>270</v>
      </c>
      <c r="C141" s="7">
        <v>6</v>
      </c>
      <c r="D141" s="7">
        <v>6</v>
      </c>
      <c r="E141" s="7">
        <v>1408.8009999999999</v>
      </c>
      <c r="F141" s="7">
        <v>11.907999999999999</v>
      </c>
      <c r="G141" s="7">
        <v>16.716000000000001</v>
      </c>
      <c r="H141" s="7">
        <v>0</v>
      </c>
      <c r="I141" s="7">
        <v>2.899</v>
      </c>
      <c r="J141" s="7">
        <v>10.153</v>
      </c>
      <c r="K141" s="7">
        <v>0</v>
      </c>
      <c r="L141" s="7">
        <v>2105.2579999999998</v>
      </c>
      <c r="M141" s="7">
        <v>464.62299999999999</v>
      </c>
      <c r="N141" s="7">
        <v>0</v>
      </c>
      <c r="O141" s="7">
        <v>0</v>
      </c>
      <c r="P141" s="7">
        <v>0.52300000000000002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1.69</v>
      </c>
      <c r="W141" s="7">
        <v>5.0819999999999999</v>
      </c>
      <c r="X141" s="7">
        <v>0</v>
      </c>
      <c r="Y141" s="7">
        <v>423.75599999999997</v>
      </c>
      <c r="Z141" s="7">
        <v>0</v>
      </c>
      <c r="AA141" s="7">
        <v>13.673999999999999</v>
      </c>
      <c r="AB141" s="7">
        <v>0</v>
      </c>
      <c r="AC141" s="7">
        <v>2.1779999999999999</v>
      </c>
      <c r="AD141" s="7">
        <v>0</v>
      </c>
      <c r="AE141" s="7">
        <v>1654.1</v>
      </c>
      <c r="AF141" s="7">
        <v>0</v>
      </c>
      <c r="AG141" s="7">
        <v>0</v>
      </c>
      <c r="AH141" s="7">
        <v>4455.3029999999999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21"/>
    </row>
    <row r="142" spans="1:62" ht="15.6" x14ac:dyDescent="0.3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273</v>
      </c>
      <c r="B143" s="5" t="s">
        <v>274</v>
      </c>
      <c r="C143" s="7">
        <v>6</v>
      </c>
      <c r="D143" s="7">
        <v>6</v>
      </c>
      <c r="E143" s="7">
        <v>2779.9650000000001</v>
      </c>
      <c r="F143" s="7">
        <v>622.22</v>
      </c>
      <c r="G143" s="7">
        <v>0</v>
      </c>
      <c r="H143" s="7">
        <v>0</v>
      </c>
      <c r="I143" s="7">
        <v>12.782999999999999</v>
      </c>
      <c r="J143" s="7">
        <v>0</v>
      </c>
      <c r="K143" s="7">
        <v>0</v>
      </c>
      <c r="L143" s="7">
        <v>7183.4669999999996</v>
      </c>
      <c r="M143" s="7">
        <v>320.23399999999998</v>
      </c>
      <c r="N143" s="7">
        <v>0</v>
      </c>
      <c r="O143" s="7">
        <v>-9.9380000000000006</v>
      </c>
      <c r="P143" s="7">
        <v>0.128</v>
      </c>
      <c r="Q143" s="7">
        <v>-8.923</v>
      </c>
      <c r="R143" s="7">
        <v>0</v>
      </c>
      <c r="S143" s="7">
        <v>203.30099999999999</v>
      </c>
      <c r="T143" s="7">
        <v>0</v>
      </c>
      <c r="U143" s="7">
        <v>0</v>
      </c>
      <c r="V143" s="7">
        <v>0</v>
      </c>
      <c r="W143" s="7">
        <v>71.465999999999994</v>
      </c>
      <c r="X143" s="7">
        <v>0</v>
      </c>
      <c r="Y143" s="7">
        <v>1430.0170000000001</v>
      </c>
      <c r="Z143" s="7">
        <v>0</v>
      </c>
      <c r="AA143" s="7">
        <v>212.81800000000001</v>
      </c>
      <c r="AB143" s="7">
        <v>-613.87300000000005</v>
      </c>
      <c r="AC143" s="7">
        <v>129.773</v>
      </c>
      <c r="AD143" s="7">
        <v>0</v>
      </c>
      <c r="AE143" s="7">
        <v>3782.6709999999998</v>
      </c>
      <c r="AF143" s="7">
        <v>4039.0650000000001</v>
      </c>
      <c r="AG143" s="7">
        <v>0</v>
      </c>
      <c r="AH143" s="7">
        <v>11290.843999999999</v>
      </c>
      <c r="AI143" s="7">
        <v>6425.1239999999998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139.94900000000001</v>
      </c>
      <c r="AP143" s="7">
        <v>0</v>
      </c>
      <c r="AQ143" s="7">
        <v>1594.461</v>
      </c>
      <c r="AR143" s="7">
        <v>0</v>
      </c>
      <c r="AS143" s="7">
        <v>1.9139999999999999</v>
      </c>
      <c r="AT143" s="7">
        <v>0</v>
      </c>
      <c r="AU143" s="7">
        <v>14.164</v>
      </c>
      <c r="AV143" s="7">
        <v>0</v>
      </c>
      <c r="AW143" s="7">
        <v>0</v>
      </c>
      <c r="AX143" s="7">
        <v>0</v>
      </c>
      <c r="AY143" s="7">
        <v>62.972000000000001</v>
      </c>
      <c r="AZ143" s="7">
        <v>2577.308</v>
      </c>
      <c r="BA143" s="7">
        <v>0</v>
      </c>
      <c r="BB143" s="7">
        <v>56.685000000000002</v>
      </c>
      <c r="BC143" s="7">
        <v>0</v>
      </c>
      <c r="BD143" s="7">
        <v>3187.3809999999999</v>
      </c>
      <c r="BE143" s="7">
        <v>16.632999999999999</v>
      </c>
      <c r="BF143" s="7">
        <v>16.632999999999999</v>
      </c>
      <c r="BG143" s="7">
        <v>1111.7560000000001</v>
      </c>
      <c r="BH143" s="7">
        <v>0</v>
      </c>
      <c r="BI143" s="7">
        <v>0</v>
      </c>
      <c r="BJ143" s="21"/>
    </row>
    <row r="144" spans="1:62" ht="15.6" x14ac:dyDescent="0.3">
      <c r="A144" s="5" t="s">
        <v>275</v>
      </c>
      <c r="B144" s="5" t="s">
        <v>276</v>
      </c>
      <c r="C144" s="7">
        <v>6</v>
      </c>
      <c r="D144" s="7">
        <v>6</v>
      </c>
      <c r="E144" s="7">
        <v>77776.361999999994</v>
      </c>
      <c r="F144" s="7">
        <v>5639.4489999999996</v>
      </c>
      <c r="G144" s="7">
        <v>2658.8409999999999</v>
      </c>
      <c r="H144" s="7">
        <v>-1218.729</v>
      </c>
      <c r="I144" s="7">
        <v>566.54700000000003</v>
      </c>
      <c r="J144" s="7">
        <v>3339.7890000000002</v>
      </c>
      <c r="K144" s="7">
        <v>0</v>
      </c>
      <c r="L144" s="7">
        <v>93214.513000000006</v>
      </c>
      <c r="M144" s="7">
        <v>12546.51</v>
      </c>
      <c r="N144" s="7">
        <v>0</v>
      </c>
      <c r="O144" s="7">
        <v>-70.495999999999995</v>
      </c>
      <c r="P144" s="7">
        <v>14.542</v>
      </c>
      <c r="Q144" s="7">
        <v>-36.284999999999997</v>
      </c>
      <c r="R144" s="7">
        <v>-30.657</v>
      </c>
      <c r="S144" s="7">
        <v>2047.021</v>
      </c>
      <c r="T144" s="7">
        <v>0</v>
      </c>
      <c r="U144" s="7">
        <v>0</v>
      </c>
      <c r="V144" s="7">
        <v>827.87900000000002</v>
      </c>
      <c r="W144" s="7">
        <v>975.41600000000005</v>
      </c>
      <c r="X144" s="7">
        <v>-1387.3710000000001</v>
      </c>
      <c r="Y144" s="7">
        <v>16695.809000000001</v>
      </c>
      <c r="Z144" s="7">
        <v>-1069.5429999999999</v>
      </c>
      <c r="AA144" s="7">
        <v>8284.94</v>
      </c>
      <c r="AB144" s="7">
        <v>-1452.4449999999999</v>
      </c>
      <c r="AC144" s="7">
        <v>1341.798</v>
      </c>
      <c r="AD144" s="7">
        <v>-132.60400000000001</v>
      </c>
      <c r="AE144" s="7">
        <v>61994.103999999999</v>
      </c>
      <c r="AF144" s="7">
        <v>8814.93</v>
      </c>
      <c r="AG144" s="7">
        <v>-578.61599999999999</v>
      </c>
      <c r="AH144" s="7">
        <v>207224.41099999999</v>
      </c>
      <c r="AI144" s="7">
        <v>12506.895</v>
      </c>
      <c r="AJ144" s="7">
        <v>-5460.0820000000003</v>
      </c>
      <c r="AK144" s="7">
        <v>-172781.978</v>
      </c>
      <c r="AL144" s="7">
        <v>-90860.751000000004</v>
      </c>
      <c r="AM144" s="7">
        <v>0</v>
      </c>
      <c r="AN144" s="7">
        <v>-60062.637999999999</v>
      </c>
      <c r="AO144" s="7">
        <v>1620.893</v>
      </c>
      <c r="AP144" s="7">
        <v>0</v>
      </c>
      <c r="AQ144" s="7">
        <v>3097.8960000000002</v>
      </c>
      <c r="AR144" s="7">
        <v>0</v>
      </c>
      <c r="AS144" s="7">
        <v>2.278</v>
      </c>
      <c r="AT144" s="7">
        <v>0</v>
      </c>
      <c r="AU144" s="7">
        <v>139.107</v>
      </c>
      <c r="AV144" s="7">
        <v>0</v>
      </c>
      <c r="AW144" s="7">
        <v>0</v>
      </c>
      <c r="AX144" s="7">
        <v>-1745.913</v>
      </c>
      <c r="AY144" s="7">
        <v>-15.000999999999999</v>
      </c>
      <c r="AZ144" s="7">
        <v>-276.99099999999999</v>
      </c>
      <c r="BA144" s="7">
        <v>-1361.0329999999999</v>
      </c>
      <c r="BB144" s="7">
        <v>622.90300000000002</v>
      </c>
      <c r="BC144" s="7">
        <v>10.023</v>
      </c>
      <c r="BD144" s="7">
        <v>-167.29499999999999</v>
      </c>
      <c r="BE144" s="7">
        <v>192.86199999999999</v>
      </c>
      <c r="BF144" s="7">
        <v>192.86199999999999</v>
      </c>
      <c r="BG144" s="7">
        <v>-151.619</v>
      </c>
      <c r="BH144" s="7">
        <v>-3317.9459999999999</v>
      </c>
      <c r="BI144" s="7">
        <v>-6.9550000000000001</v>
      </c>
      <c r="BJ144" s="21"/>
    </row>
    <row r="145" spans="1:62" ht="15.6" x14ac:dyDescent="0.3">
      <c r="A145" s="5" t="s">
        <v>277</v>
      </c>
      <c r="B145" s="5" t="s">
        <v>278</v>
      </c>
      <c r="C145" s="7">
        <v>6</v>
      </c>
      <c r="D145" s="7">
        <v>6</v>
      </c>
      <c r="E145" s="7">
        <v>-1772.9269999999999</v>
      </c>
      <c r="F145" s="7">
        <v>58.86</v>
      </c>
      <c r="G145" s="7">
        <v>-19.573</v>
      </c>
      <c r="H145" s="7">
        <v>0</v>
      </c>
      <c r="I145" s="7">
        <v>-80.424999999999997</v>
      </c>
      <c r="J145" s="7">
        <v>-148.566</v>
      </c>
      <c r="K145" s="7">
        <v>0</v>
      </c>
      <c r="L145" s="7">
        <v>604.31200000000001</v>
      </c>
      <c r="M145" s="7">
        <v>-873.6</v>
      </c>
      <c r="N145" s="7">
        <v>0</v>
      </c>
      <c r="O145" s="7">
        <v>0</v>
      </c>
      <c r="P145" s="7">
        <v>-3.6379999999999999</v>
      </c>
      <c r="Q145" s="7">
        <v>0</v>
      </c>
      <c r="R145" s="7">
        <v>-0.19700000000000001</v>
      </c>
      <c r="S145" s="7">
        <v>-40.874000000000002</v>
      </c>
      <c r="T145" s="7">
        <v>0</v>
      </c>
      <c r="U145" s="7">
        <v>0</v>
      </c>
      <c r="V145" s="7">
        <v>-61.838999999999999</v>
      </c>
      <c r="W145" s="7">
        <v>-49.628999999999998</v>
      </c>
      <c r="X145" s="7">
        <v>0</v>
      </c>
      <c r="Y145" s="7">
        <v>644.23199999999997</v>
      </c>
      <c r="Z145" s="7">
        <v>0</v>
      </c>
      <c r="AA145" s="7">
        <v>-346.06299999999999</v>
      </c>
      <c r="AB145" s="7">
        <v>0</v>
      </c>
      <c r="AC145" s="7">
        <v>12.163</v>
      </c>
      <c r="AD145" s="7">
        <v>0</v>
      </c>
      <c r="AE145" s="7">
        <v>779.10199999999998</v>
      </c>
      <c r="AF145" s="7">
        <v>2771.6480000000001</v>
      </c>
      <c r="AG145" s="7">
        <v>0</v>
      </c>
      <c r="AH145" s="7">
        <v>1024.52</v>
      </c>
      <c r="AI145" s="7">
        <v>3877.462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31.475999999999999</v>
      </c>
      <c r="AP145" s="7">
        <v>0</v>
      </c>
      <c r="AQ145" s="7">
        <v>1247.3389999999999</v>
      </c>
      <c r="AR145" s="7">
        <v>0</v>
      </c>
      <c r="AS145" s="7">
        <v>1.2190000000000001</v>
      </c>
      <c r="AT145" s="7">
        <v>0</v>
      </c>
      <c r="AU145" s="7">
        <v>7.4809999999999999</v>
      </c>
      <c r="AV145" s="7">
        <v>0</v>
      </c>
      <c r="AW145" s="7">
        <v>0</v>
      </c>
      <c r="AX145" s="7">
        <v>0</v>
      </c>
      <c r="AY145" s="7">
        <v>-2.629</v>
      </c>
      <c r="AZ145" s="7">
        <v>-11.186999999999999</v>
      </c>
      <c r="BA145" s="7">
        <v>0</v>
      </c>
      <c r="BB145" s="7">
        <v>10.936999999999999</v>
      </c>
      <c r="BC145" s="7">
        <v>0.84699999999999998</v>
      </c>
      <c r="BD145" s="7">
        <v>-12.644</v>
      </c>
      <c r="BE145" s="7">
        <v>2.7549999999999999</v>
      </c>
      <c r="BF145" s="7">
        <v>2.7549999999999999</v>
      </c>
      <c r="BG145" s="7">
        <v>-4.41</v>
      </c>
      <c r="BH145" s="7">
        <v>0</v>
      </c>
      <c r="BI145" s="7">
        <v>0.48499999999999999</v>
      </c>
      <c r="BJ145" s="21"/>
    </row>
    <row r="146" spans="1:62" ht="15.6" x14ac:dyDescent="0.3">
      <c r="A146" s="5" t="s">
        <v>279</v>
      </c>
      <c r="B146" s="5" t="s">
        <v>280</v>
      </c>
      <c r="C146" s="7">
        <v>6</v>
      </c>
      <c r="D146" s="7">
        <v>6</v>
      </c>
      <c r="E146" s="7">
        <v>85.391000000000005</v>
      </c>
      <c r="F146" s="7">
        <v>6.6280000000000001</v>
      </c>
      <c r="G146" s="7">
        <v>15.147</v>
      </c>
      <c r="H146" s="7">
        <v>0</v>
      </c>
      <c r="I146" s="7">
        <v>2.0179999999999998</v>
      </c>
      <c r="J146" s="7">
        <v>9.65</v>
      </c>
      <c r="K146" s="7">
        <v>0</v>
      </c>
      <c r="L146" s="7">
        <v>27.109000000000002</v>
      </c>
      <c r="M146" s="7">
        <v>26.684999999999999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2.024</v>
      </c>
      <c r="T146" s="7">
        <v>0</v>
      </c>
      <c r="U146" s="7">
        <v>0</v>
      </c>
      <c r="V146" s="7">
        <v>1.5549999999999999</v>
      </c>
      <c r="W146" s="7">
        <v>2.3260000000000001</v>
      </c>
      <c r="X146" s="7">
        <v>0</v>
      </c>
      <c r="Y146" s="7">
        <v>18.826000000000001</v>
      </c>
      <c r="Z146" s="7">
        <v>0</v>
      </c>
      <c r="AA146" s="7">
        <v>21.04</v>
      </c>
      <c r="AB146" s="7">
        <v>0</v>
      </c>
      <c r="AC146" s="7">
        <v>0.89900000000000002</v>
      </c>
      <c r="AD146" s="7">
        <v>0.498</v>
      </c>
      <c r="AE146" s="7">
        <v>49.539000000000001</v>
      </c>
      <c r="AF146" s="7">
        <v>0</v>
      </c>
      <c r="AG146" s="7">
        <v>2.0680000000000001</v>
      </c>
      <c r="AH146" s="7">
        <v>98.099000000000004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1.2370000000000001</v>
      </c>
      <c r="AP146" s="7">
        <v>0</v>
      </c>
      <c r="AQ146" s="7">
        <v>0</v>
      </c>
      <c r="AR146" s="7">
        <v>0</v>
      </c>
      <c r="AS146" s="7">
        <v>5.8999999999999997E-2</v>
      </c>
      <c r="AT146" s="7">
        <v>0</v>
      </c>
      <c r="AU146" s="7">
        <v>0.98</v>
      </c>
      <c r="AV146" s="7">
        <v>0</v>
      </c>
      <c r="AW146" s="7">
        <v>0</v>
      </c>
      <c r="AX146" s="7">
        <v>0</v>
      </c>
      <c r="AY146" s="7">
        <v>1.1479999999999999</v>
      </c>
      <c r="AZ146" s="7">
        <v>0</v>
      </c>
      <c r="BA146" s="7">
        <v>0</v>
      </c>
      <c r="BB146" s="7">
        <v>0.55000000000000004</v>
      </c>
      <c r="BC146" s="7">
        <v>0.56699999999999995</v>
      </c>
      <c r="BD146" s="7">
        <v>0</v>
      </c>
      <c r="BE146" s="7">
        <v>0.155</v>
      </c>
      <c r="BF146" s="7">
        <v>0.155</v>
      </c>
      <c r="BG146" s="7">
        <v>0</v>
      </c>
      <c r="BH146" s="7">
        <v>0</v>
      </c>
      <c r="BI146" s="7">
        <v>0.159</v>
      </c>
      <c r="BJ146" s="21"/>
    </row>
    <row r="147" spans="1:62" ht="15.6" x14ac:dyDescent="0.3">
      <c r="A147" s="5" t="s">
        <v>281</v>
      </c>
      <c r="B147" s="5" t="s">
        <v>282</v>
      </c>
      <c r="C147" s="7">
        <v>6</v>
      </c>
      <c r="D147" s="7">
        <v>6</v>
      </c>
      <c r="E147" s="7">
        <v>-73.228999999999999</v>
      </c>
      <c r="F147" s="7">
        <v>-5.6840000000000002</v>
      </c>
      <c r="G147" s="7">
        <v>223.06800000000001</v>
      </c>
      <c r="H147" s="7">
        <v>0</v>
      </c>
      <c r="I147" s="7">
        <v>-1.7310000000000001</v>
      </c>
      <c r="J147" s="7">
        <v>172.845</v>
      </c>
      <c r="K147" s="7">
        <v>0</v>
      </c>
      <c r="L147" s="7">
        <v>73.320999999999998</v>
      </c>
      <c r="M147" s="7">
        <v>149.65199999999999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-1.736</v>
      </c>
      <c r="T147" s="7">
        <v>0</v>
      </c>
      <c r="U147" s="7">
        <v>0</v>
      </c>
      <c r="V147" s="7">
        <v>-1.333</v>
      </c>
      <c r="W147" s="7">
        <v>-1.9950000000000001</v>
      </c>
      <c r="X147" s="7">
        <v>0</v>
      </c>
      <c r="Y147" s="7">
        <v>-16.145</v>
      </c>
      <c r="Z147" s="7">
        <v>0</v>
      </c>
      <c r="AA147" s="7">
        <v>-18.044</v>
      </c>
      <c r="AB147" s="7">
        <v>0</v>
      </c>
      <c r="AC147" s="7">
        <v>-0.77100000000000002</v>
      </c>
      <c r="AD147" s="7">
        <v>-0.42699999999999999</v>
      </c>
      <c r="AE147" s="7">
        <v>64.814999999999998</v>
      </c>
      <c r="AF147" s="7">
        <v>0</v>
      </c>
      <c r="AG147" s="7">
        <v>-1.7729999999999999</v>
      </c>
      <c r="AH147" s="7">
        <v>-84.126999999999995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-1.0609999999999999</v>
      </c>
      <c r="AP147" s="7">
        <v>0</v>
      </c>
      <c r="AQ147" s="7">
        <v>0</v>
      </c>
      <c r="AR147" s="7">
        <v>0</v>
      </c>
      <c r="AS147" s="7">
        <v>-5.0999999999999997E-2</v>
      </c>
      <c r="AT147" s="7">
        <v>0</v>
      </c>
      <c r="AU147" s="7">
        <v>-0.84</v>
      </c>
      <c r="AV147" s="7">
        <v>0</v>
      </c>
      <c r="AW147" s="7">
        <v>0</v>
      </c>
      <c r="AX147" s="7">
        <v>0</v>
      </c>
      <c r="AY147" s="7">
        <v>-0.98399999999999999</v>
      </c>
      <c r="AZ147" s="7">
        <v>0</v>
      </c>
      <c r="BA147" s="7">
        <v>0</v>
      </c>
      <c r="BB147" s="7">
        <v>-0.47199999999999998</v>
      </c>
      <c r="BC147" s="7">
        <v>-0.48599999999999999</v>
      </c>
      <c r="BD147" s="7">
        <v>0</v>
      </c>
      <c r="BE147" s="7">
        <v>-0.13300000000000001</v>
      </c>
      <c r="BF147" s="7">
        <v>-0.13300000000000001</v>
      </c>
      <c r="BG147" s="7">
        <v>0</v>
      </c>
      <c r="BH147" s="7">
        <v>0</v>
      </c>
      <c r="BI147" s="7">
        <v>-0.13700000000000001</v>
      </c>
      <c r="BJ147" s="21"/>
    </row>
    <row r="148" spans="1:62" ht="15.6" x14ac:dyDescent="0.3">
      <c r="A148" s="5" t="s">
        <v>283</v>
      </c>
      <c r="B148" s="5" t="s">
        <v>284</v>
      </c>
      <c r="C148" s="7">
        <v>4</v>
      </c>
      <c r="D148" s="7">
        <v>4</v>
      </c>
      <c r="E148" s="7">
        <v>5561.09</v>
      </c>
      <c r="F148" s="7">
        <v>946.30799999999999</v>
      </c>
      <c r="G148" s="7">
        <v>-4.891</v>
      </c>
      <c r="H148" s="7">
        <v>0</v>
      </c>
      <c r="I148" s="7">
        <v>30.2</v>
      </c>
      <c r="J148" s="7">
        <v>-3.17</v>
      </c>
      <c r="K148" s="7">
        <v>0</v>
      </c>
      <c r="L148" s="7">
        <v>12315.298000000001</v>
      </c>
      <c r="M148" s="7">
        <v>2025.67</v>
      </c>
      <c r="N148" s="7">
        <v>0</v>
      </c>
      <c r="O148" s="7">
        <v>99.995000000000005</v>
      </c>
      <c r="P148" s="7">
        <v>0</v>
      </c>
      <c r="Q148" s="7">
        <v>33.914999999999999</v>
      </c>
      <c r="R148" s="7">
        <v>0</v>
      </c>
      <c r="S148" s="7">
        <v>299.613</v>
      </c>
      <c r="T148" s="7">
        <v>0</v>
      </c>
      <c r="U148" s="7">
        <v>0</v>
      </c>
      <c r="V148" s="7">
        <v>-0.52600000000000002</v>
      </c>
      <c r="W148" s="7">
        <v>97.290999999999997</v>
      </c>
      <c r="X148" s="7">
        <v>579.20699999999999</v>
      </c>
      <c r="Y148" s="7">
        <v>3016.7469999999998</v>
      </c>
      <c r="Z148" s="7">
        <v>44.491</v>
      </c>
      <c r="AA148" s="7">
        <v>513.40099999999995</v>
      </c>
      <c r="AB148" s="7">
        <v>2415.4079999999999</v>
      </c>
      <c r="AC148" s="7">
        <v>190.172</v>
      </c>
      <c r="AD148" s="7">
        <v>158.49</v>
      </c>
      <c r="AE148" s="7">
        <v>7906.1379999999999</v>
      </c>
      <c r="AF148" s="7">
        <v>7131.3829999999998</v>
      </c>
      <c r="AG148" s="7">
        <v>1325.9190000000001</v>
      </c>
      <c r="AH148" s="7">
        <v>25229.714</v>
      </c>
      <c r="AI148" s="7">
        <v>10448.405000000001</v>
      </c>
      <c r="AJ148" s="7">
        <v>14.965999999999999</v>
      </c>
      <c r="AK148" s="7">
        <v>-513.33299999999997</v>
      </c>
      <c r="AL148" s="7">
        <v>-269.94600000000003</v>
      </c>
      <c r="AM148" s="7">
        <v>0</v>
      </c>
      <c r="AN148" s="7">
        <v>-178.44499999999999</v>
      </c>
      <c r="AO148" s="7">
        <v>254.011</v>
      </c>
      <c r="AP148" s="7">
        <v>0</v>
      </c>
      <c r="AQ148" s="7">
        <v>2825.0419999999999</v>
      </c>
      <c r="AR148" s="7">
        <v>0</v>
      </c>
      <c r="AS148" s="7">
        <v>2.839</v>
      </c>
      <c r="AT148" s="7">
        <v>0</v>
      </c>
      <c r="AU148" s="7">
        <v>18.398</v>
      </c>
      <c r="AV148" s="7">
        <v>0</v>
      </c>
      <c r="AW148" s="7">
        <v>0</v>
      </c>
      <c r="AX148" s="7">
        <v>728.89300000000003</v>
      </c>
      <c r="AY148" s="7">
        <v>-0.33500000000000002</v>
      </c>
      <c r="AZ148" s="7">
        <v>0</v>
      </c>
      <c r="BA148" s="7">
        <v>558.59199999999998</v>
      </c>
      <c r="BB148" s="7">
        <v>106.413</v>
      </c>
      <c r="BC148" s="7">
        <v>-0.16500000000000001</v>
      </c>
      <c r="BD148" s="7">
        <v>0</v>
      </c>
      <c r="BE148" s="7">
        <v>32.497999999999998</v>
      </c>
      <c r="BF148" s="7">
        <v>32.497999999999998</v>
      </c>
      <c r="BG148" s="7">
        <v>0</v>
      </c>
      <c r="BH148" s="7">
        <v>130.63300000000001</v>
      </c>
      <c r="BI148" s="7">
        <v>-4.5999999999999999E-2</v>
      </c>
      <c r="BJ148" s="21"/>
    </row>
    <row r="149" spans="1:62" ht="15.6" x14ac:dyDescent="0.3">
      <c r="A149" s="5" t="s">
        <v>285</v>
      </c>
      <c r="B149" s="5" t="s">
        <v>286</v>
      </c>
      <c r="C149" s="7">
        <v>6</v>
      </c>
      <c r="D149" s="7">
        <v>6</v>
      </c>
      <c r="E149" s="7">
        <v>4433.6589999999997</v>
      </c>
      <c r="F149" s="7">
        <v>687.255</v>
      </c>
      <c r="G149" s="7">
        <v>0</v>
      </c>
      <c r="H149" s="7">
        <v>0</v>
      </c>
      <c r="I149" s="7">
        <v>20.65</v>
      </c>
      <c r="J149" s="7">
        <v>0</v>
      </c>
      <c r="K149" s="7">
        <v>0</v>
      </c>
      <c r="L149" s="7">
        <v>9946.23</v>
      </c>
      <c r="M149" s="7">
        <v>237.024</v>
      </c>
      <c r="N149" s="7">
        <v>0</v>
      </c>
      <c r="O149" s="7">
        <v>36.085999999999999</v>
      </c>
      <c r="P149" s="7">
        <v>0</v>
      </c>
      <c r="Q149" s="7">
        <v>-6.1050000000000004</v>
      </c>
      <c r="R149" s="7">
        <v>0</v>
      </c>
      <c r="S149" s="7">
        <v>218.84100000000001</v>
      </c>
      <c r="T149" s="7">
        <v>0</v>
      </c>
      <c r="U149" s="7">
        <v>0</v>
      </c>
      <c r="V149" s="7">
        <v>0</v>
      </c>
      <c r="W149" s="7">
        <v>71.099999999999994</v>
      </c>
      <c r="X149" s="7">
        <v>600.76</v>
      </c>
      <c r="Y149" s="7">
        <v>2345.3449999999998</v>
      </c>
      <c r="Z149" s="7">
        <v>207.33500000000001</v>
      </c>
      <c r="AA149" s="7">
        <v>403.286</v>
      </c>
      <c r="AB149" s="7">
        <v>-266.92700000000002</v>
      </c>
      <c r="AC149" s="7">
        <v>140.92400000000001</v>
      </c>
      <c r="AD149" s="7">
        <v>65.688000000000002</v>
      </c>
      <c r="AE149" s="7">
        <v>6042.8050000000003</v>
      </c>
      <c r="AF149" s="7">
        <v>5430.2479999999996</v>
      </c>
      <c r="AG149" s="7">
        <v>558.39099999999996</v>
      </c>
      <c r="AH149" s="7">
        <v>17769.555</v>
      </c>
      <c r="AI149" s="7">
        <v>7932.3329999999996</v>
      </c>
      <c r="AJ149" s="7">
        <v>1014.422</v>
      </c>
      <c r="AK149" s="7">
        <v>-32067.5</v>
      </c>
      <c r="AL149" s="7">
        <v>-16863.315999999999</v>
      </c>
      <c r="AM149" s="7">
        <v>0</v>
      </c>
      <c r="AN149" s="7">
        <v>-11147.334999999999</v>
      </c>
      <c r="AO149" s="7">
        <v>197.327</v>
      </c>
      <c r="AP149" s="7">
        <v>0</v>
      </c>
      <c r="AQ149" s="7">
        <v>2178.6149999999998</v>
      </c>
      <c r="AR149" s="7">
        <v>0</v>
      </c>
      <c r="AS149" s="7">
        <v>2.2149999999999999</v>
      </c>
      <c r="AT149" s="7">
        <v>0</v>
      </c>
      <c r="AU149" s="7">
        <v>14.491</v>
      </c>
      <c r="AV149" s="7">
        <v>0</v>
      </c>
      <c r="AW149" s="7">
        <v>0</v>
      </c>
      <c r="AX149" s="7">
        <v>756.01599999999996</v>
      </c>
      <c r="AY149" s="7">
        <v>0</v>
      </c>
      <c r="AZ149" s="7">
        <v>0</v>
      </c>
      <c r="BA149" s="7">
        <v>579.37800000000004</v>
      </c>
      <c r="BB149" s="7">
        <v>82.674000000000007</v>
      </c>
      <c r="BC149" s="7">
        <v>0</v>
      </c>
      <c r="BD149" s="7">
        <v>0</v>
      </c>
      <c r="BE149" s="7">
        <v>25.245999999999999</v>
      </c>
      <c r="BF149" s="7">
        <v>25.245999999999999</v>
      </c>
      <c r="BG149" s="7">
        <v>0</v>
      </c>
      <c r="BH149" s="7">
        <v>635.98199999999997</v>
      </c>
      <c r="BI149" s="7">
        <v>0</v>
      </c>
      <c r="BJ149" s="21"/>
    </row>
    <row r="150" spans="1:62" ht="15.6" x14ac:dyDescent="0.3">
      <c r="A150" s="5" t="s">
        <v>287</v>
      </c>
      <c r="B150" s="5" t="s">
        <v>288</v>
      </c>
      <c r="C150" s="7">
        <v>6</v>
      </c>
      <c r="D150" s="7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21"/>
    </row>
    <row r="151" spans="1:62" ht="15.6" x14ac:dyDescent="0.3">
      <c r="A151" s="5" t="s">
        <v>289</v>
      </c>
      <c r="B151" s="5" t="s">
        <v>290</v>
      </c>
      <c r="C151" s="7">
        <v>6</v>
      </c>
      <c r="D151" s="7">
        <v>6</v>
      </c>
      <c r="E151" s="7">
        <v>46.04</v>
      </c>
      <c r="F151" s="7">
        <v>16.983000000000001</v>
      </c>
      <c r="G151" s="7">
        <v>16.53</v>
      </c>
      <c r="H151" s="7">
        <v>0</v>
      </c>
      <c r="I151" s="7">
        <v>0.92900000000000005</v>
      </c>
      <c r="J151" s="7">
        <v>12.634</v>
      </c>
      <c r="K151" s="7">
        <v>0</v>
      </c>
      <c r="L151" s="7">
        <v>68.016000000000005</v>
      </c>
      <c r="M151" s="7">
        <v>11.081</v>
      </c>
      <c r="N151" s="7">
        <v>0</v>
      </c>
      <c r="O151" s="7">
        <v>0</v>
      </c>
      <c r="P151" s="7">
        <v>0</v>
      </c>
      <c r="Q151" s="7">
        <v>9.4149999999999991</v>
      </c>
      <c r="R151" s="7">
        <v>15.257</v>
      </c>
      <c r="S151" s="7">
        <v>6.9379999999999997</v>
      </c>
      <c r="T151" s="7">
        <v>0</v>
      </c>
      <c r="U151" s="7">
        <v>0</v>
      </c>
      <c r="V151" s="7">
        <v>3.1520000000000001</v>
      </c>
      <c r="W151" s="7">
        <v>0.49099999999999999</v>
      </c>
      <c r="X151" s="7">
        <v>0</v>
      </c>
      <c r="Y151" s="7">
        <v>14.92</v>
      </c>
      <c r="Z151" s="7">
        <v>225.452</v>
      </c>
      <c r="AA151" s="7">
        <v>29.765000000000001</v>
      </c>
      <c r="AB151" s="7">
        <v>0</v>
      </c>
      <c r="AC151" s="7">
        <v>4.6479999999999997</v>
      </c>
      <c r="AD151" s="7">
        <v>81.244</v>
      </c>
      <c r="AE151" s="7">
        <v>155.72300000000001</v>
      </c>
      <c r="AF151" s="7">
        <v>0.20100000000000001</v>
      </c>
      <c r="AG151" s="7">
        <v>325.58800000000002</v>
      </c>
      <c r="AH151" s="7">
        <v>178.637</v>
      </c>
      <c r="AI151" s="7">
        <v>0</v>
      </c>
      <c r="AJ151" s="7">
        <v>1089.944</v>
      </c>
      <c r="AK151" s="7">
        <v>0</v>
      </c>
      <c r="AL151" s="7">
        <v>0</v>
      </c>
      <c r="AM151" s="7">
        <v>0</v>
      </c>
      <c r="AN151" s="7">
        <v>0</v>
      </c>
      <c r="AO151" s="7">
        <v>7.3890000000000002</v>
      </c>
      <c r="AP151" s="7">
        <v>0</v>
      </c>
      <c r="AQ151" s="7">
        <v>0.03</v>
      </c>
      <c r="AR151" s="7">
        <v>0</v>
      </c>
      <c r="AS151" s="7">
        <v>2.1999999999999999E-2</v>
      </c>
      <c r="AT151" s="7">
        <v>0</v>
      </c>
      <c r="AU151" s="7">
        <v>2E-3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3.032</v>
      </c>
      <c r="BC151" s="7">
        <v>0</v>
      </c>
      <c r="BD151" s="7">
        <v>0</v>
      </c>
      <c r="BE151" s="7">
        <v>0.91700000000000004</v>
      </c>
      <c r="BF151" s="7">
        <v>0.91700000000000004</v>
      </c>
      <c r="BG151" s="7">
        <v>0</v>
      </c>
      <c r="BH151" s="7">
        <v>705.274</v>
      </c>
      <c r="BI151" s="7">
        <v>0</v>
      </c>
      <c r="BJ151" s="21"/>
    </row>
    <row r="152" spans="1:62" ht="15.6" x14ac:dyDescent="0.3">
      <c r="A152" s="5" t="s">
        <v>291</v>
      </c>
      <c r="B152" s="5" t="s">
        <v>292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293</v>
      </c>
      <c r="B153" s="5" t="s">
        <v>294</v>
      </c>
      <c r="C153" s="7">
        <v>4</v>
      </c>
      <c r="D153" s="7">
        <v>4</v>
      </c>
      <c r="E153" s="7">
        <v>7837.9260000000004</v>
      </c>
      <c r="F153" s="7">
        <v>1728.8140000000001</v>
      </c>
      <c r="G153" s="7">
        <v>0</v>
      </c>
      <c r="H153" s="7">
        <v>0</v>
      </c>
      <c r="I153" s="7">
        <v>35.515999999999998</v>
      </c>
      <c r="J153" s="7">
        <v>0</v>
      </c>
      <c r="K153" s="7">
        <v>0</v>
      </c>
      <c r="L153" s="7">
        <v>19959.044000000002</v>
      </c>
      <c r="M153" s="7">
        <v>889.75699999999995</v>
      </c>
      <c r="N153" s="7">
        <v>0</v>
      </c>
      <c r="O153" s="7">
        <v>0</v>
      </c>
      <c r="P153" s="7">
        <v>0.35699999999999998</v>
      </c>
      <c r="Q153" s="7">
        <v>0</v>
      </c>
      <c r="R153" s="7">
        <v>0</v>
      </c>
      <c r="S153" s="7">
        <v>564.86500000000001</v>
      </c>
      <c r="T153" s="7">
        <v>0</v>
      </c>
      <c r="U153" s="7">
        <v>0</v>
      </c>
      <c r="V153" s="7">
        <v>0</v>
      </c>
      <c r="W153" s="7">
        <v>198.566</v>
      </c>
      <c r="X153" s="7">
        <v>0</v>
      </c>
      <c r="Y153" s="7">
        <v>3973.2420000000002</v>
      </c>
      <c r="Z153" s="7">
        <v>0</v>
      </c>
      <c r="AA153" s="7">
        <v>591.30700000000002</v>
      </c>
      <c r="AB153" s="7">
        <v>0</v>
      </c>
      <c r="AC153" s="7">
        <v>360.56900000000002</v>
      </c>
      <c r="AD153" s="7">
        <v>0</v>
      </c>
      <c r="AE153" s="7">
        <v>10745.919</v>
      </c>
      <c r="AF153" s="7">
        <v>11222.374</v>
      </c>
      <c r="AG153" s="7">
        <v>0</v>
      </c>
      <c r="AH153" s="7">
        <v>31371.141</v>
      </c>
      <c r="AI153" s="7">
        <v>17851.940999999999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388.84399999999999</v>
      </c>
      <c r="AP153" s="7">
        <v>0</v>
      </c>
      <c r="AQ153" s="7">
        <v>4430.1440000000002</v>
      </c>
      <c r="AR153" s="7">
        <v>0</v>
      </c>
      <c r="AS153" s="7">
        <v>5.319</v>
      </c>
      <c r="AT153" s="7">
        <v>0</v>
      </c>
      <c r="AU153" s="7">
        <v>39.353999999999999</v>
      </c>
      <c r="AV153" s="7">
        <v>0</v>
      </c>
      <c r="AW153" s="7">
        <v>0</v>
      </c>
      <c r="AX153" s="7">
        <v>0</v>
      </c>
      <c r="AY153" s="7">
        <v>174.964</v>
      </c>
      <c r="AZ153" s="7">
        <v>7160.9430000000002</v>
      </c>
      <c r="BA153" s="7">
        <v>0</v>
      </c>
      <c r="BB153" s="7">
        <v>157.49600000000001</v>
      </c>
      <c r="BC153" s="7">
        <v>0</v>
      </c>
      <c r="BD153" s="7">
        <v>8856.0059999999994</v>
      </c>
      <c r="BE153" s="7">
        <v>46.213999999999999</v>
      </c>
      <c r="BF153" s="7">
        <v>46.213999999999999</v>
      </c>
      <c r="BG153" s="7">
        <v>3088.9690000000001</v>
      </c>
      <c r="BH153" s="7">
        <v>0</v>
      </c>
      <c r="BI153" s="7">
        <v>0</v>
      </c>
      <c r="BJ153" s="21"/>
    </row>
    <row r="154" spans="1:62" ht="15.6" x14ac:dyDescent="0.3">
      <c r="A154" s="5" t="s">
        <v>295</v>
      </c>
      <c r="B154" s="5" t="s">
        <v>296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21"/>
    </row>
    <row r="155" spans="1:62" ht="15.6" x14ac:dyDescent="0.3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301</v>
      </c>
      <c r="B157" s="5" t="s">
        <v>302</v>
      </c>
      <c r="C157" s="7">
        <v>4</v>
      </c>
      <c r="D157" s="7">
        <v>4</v>
      </c>
      <c r="E157" s="7">
        <v>-0.63500000000000001</v>
      </c>
      <c r="F157" s="7">
        <v>-0.14000000000000001</v>
      </c>
      <c r="G157" s="7">
        <v>0</v>
      </c>
      <c r="H157" s="7">
        <v>0</v>
      </c>
      <c r="I157" s="7">
        <v>-3.0000000000000001E-3</v>
      </c>
      <c r="J157" s="7">
        <v>0</v>
      </c>
      <c r="K157" s="7">
        <v>0</v>
      </c>
      <c r="L157" s="7">
        <v>-1.6180000000000001</v>
      </c>
      <c r="M157" s="7">
        <v>-7.1999999999999995E-2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-4.5999999999999999E-2</v>
      </c>
      <c r="T157" s="7">
        <v>0</v>
      </c>
      <c r="U157" s="7">
        <v>0</v>
      </c>
      <c r="V157" s="7">
        <v>0</v>
      </c>
      <c r="W157" s="7">
        <v>-1.6E-2</v>
      </c>
      <c r="X157" s="7">
        <v>0</v>
      </c>
      <c r="Y157" s="7">
        <v>-0.32200000000000001</v>
      </c>
      <c r="Z157" s="7">
        <v>0</v>
      </c>
      <c r="AA157" s="7">
        <v>-4.8000000000000001E-2</v>
      </c>
      <c r="AB157" s="7">
        <v>0</v>
      </c>
      <c r="AC157" s="7">
        <v>-2.9000000000000001E-2</v>
      </c>
      <c r="AD157" s="7">
        <v>0</v>
      </c>
      <c r="AE157" s="7">
        <v>-0.871</v>
      </c>
      <c r="AF157" s="7">
        <v>-0.91</v>
      </c>
      <c r="AG157" s="7">
        <v>0</v>
      </c>
      <c r="AH157" s="7">
        <v>-2.5430000000000001</v>
      </c>
      <c r="AI157" s="7">
        <v>-1.4470000000000001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-3.2000000000000001E-2</v>
      </c>
      <c r="AP157" s="7">
        <v>0</v>
      </c>
      <c r="AQ157" s="7">
        <v>-0.35899999999999999</v>
      </c>
      <c r="AR157" s="7">
        <v>0</v>
      </c>
      <c r="AS157" s="7">
        <v>0</v>
      </c>
      <c r="AT157" s="7">
        <v>0</v>
      </c>
      <c r="AU157" s="7">
        <v>-3.0000000000000001E-3</v>
      </c>
      <c r="AV157" s="7">
        <v>0</v>
      </c>
      <c r="AW157" s="7">
        <v>0</v>
      </c>
      <c r="AX157" s="7">
        <v>0</v>
      </c>
      <c r="AY157" s="7">
        <v>-1.4E-2</v>
      </c>
      <c r="AZ157" s="7">
        <v>-0.58099999999999996</v>
      </c>
      <c r="BA157" s="7">
        <v>0</v>
      </c>
      <c r="BB157" s="7">
        <v>-1.2999999999999999E-2</v>
      </c>
      <c r="BC157" s="7">
        <v>0</v>
      </c>
      <c r="BD157" s="7">
        <v>-0.71799999999999997</v>
      </c>
      <c r="BE157" s="7">
        <v>-4.0000000000000001E-3</v>
      </c>
      <c r="BF157" s="7">
        <v>-4.0000000000000001E-3</v>
      </c>
      <c r="BG157" s="7">
        <v>-0.25</v>
      </c>
      <c r="BH157" s="7">
        <v>0</v>
      </c>
      <c r="BI157" s="7">
        <v>0</v>
      </c>
      <c r="BJ157" s="21"/>
    </row>
    <row r="158" spans="1:62" ht="15.6" x14ac:dyDescent="0.3">
      <c r="A158" s="5" t="s">
        <v>303</v>
      </c>
      <c r="B158" s="5" t="s">
        <v>304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312</v>
      </c>
      <c r="B163" s="5" t="s">
        <v>313</v>
      </c>
      <c r="C163" s="7">
        <v>6</v>
      </c>
      <c r="D163" s="7">
        <v>6</v>
      </c>
      <c r="E163" s="7">
        <v>6.2750000000000004</v>
      </c>
      <c r="F163" s="7">
        <v>0.73199999999999998</v>
      </c>
      <c r="G163" s="7">
        <v>0.73</v>
      </c>
      <c r="H163" s="7">
        <v>0</v>
      </c>
      <c r="I163" s="7">
        <v>0.13900000000000001</v>
      </c>
      <c r="J163" s="7">
        <v>0.54900000000000004</v>
      </c>
      <c r="K163" s="7">
        <v>0</v>
      </c>
      <c r="L163" s="7">
        <v>5.1689999999999996</v>
      </c>
      <c r="M163" s="7">
        <v>1.5569999999999999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0.22900000000000001</v>
      </c>
      <c r="T163" s="7">
        <v>0</v>
      </c>
      <c r="U163" s="7">
        <v>0</v>
      </c>
      <c r="V163" s="7">
        <v>0.113</v>
      </c>
      <c r="W163" s="7">
        <v>0.247</v>
      </c>
      <c r="X163" s="7">
        <v>0</v>
      </c>
      <c r="Y163" s="7">
        <v>2.6850000000000001</v>
      </c>
      <c r="Z163" s="7">
        <v>0</v>
      </c>
      <c r="AA163" s="7">
        <v>0.64700000000000002</v>
      </c>
      <c r="AB163" s="7">
        <v>0</v>
      </c>
      <c r="AC163" s="7">
        <v>0.129</v>
      </c>
      <c r="AD163" s="7">
        <v>0</v>
      </c>
      <c r="AE163" s="7">
        <v>8.0939999999999994</v>
      </c>
      <c r="AF163" s="7">
        <v>2E-3</v>
      </c>
      <c r="AG163" s="7">
        <v>0</v>
      </c>
      <c r="AH163" s="7">
        <v>13.833</v>
      </c>
      <c r="AI163" s="7">
        <v>3.0000000000000001E-3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6.4000000000000001E-2</v>
      </c>
      <c r="AP163" s="7">
        <v>0</v>
      </c>
      <c r="AQ163" s="7">
        <v>1E-3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2.8000000000000001E-2</v>
      </c>
      <c r="BC163" s="7">
        <v>0</v>
      </c>
      <c r="BD163" s="7">
        <v>0</v>
      </c>
      <c r="BE163" s="7">
        <v>1.0999999999999999E-2</v>
      </c>
      <c r="BF163" s="7">
        <v>1.0999999999999999E-2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299</v>
      </c>
      <c r="B165" s="5" t="s">
        <v>315</v>
      </c>
      <c r="C165" s="7">
        <v>6</v>
      </c>
      <c r="D165" s="7">
        <v>6</v>
      </c>
      <c r="E165" s="7">
        <v>1355.096</v>
      </c>
      <c r="F165" s="7">
        <v>118.765</v>
      </c>
      <c r="G165" s="7">
        <v>166.72300000000001</v>
      </c>
      <c r="H165" s="7">
        <v>3577.413</v>
      </c>
      <c r="I165" s="7">
        <v>28.91</v>
      </c>
      <c r="J165" s="7">
        <v>101.261</v>
      </c>
      <c r="K165" s="7">
        <v>0</v>
      </c>
      <c r="L165" s="7">
        <v>969.91</v>
      </c>
      <c r="M165" s="7">
        <v>449.73599999999999</v>
      </c>
      <c r="N165" s="7">
        <v>0</v>
      </c>
      <c r="O165" s="7">
        <v>0</v>
      </c>
      <c r="P165" s="7">
        <v>5.2130000000000001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16.859000000000002</v>
      </c>
      <c r="W165" s="7">
        <v>50.69</v>
      </c>
      <c r="X165" s="7">
        <v>0</v>
      </c>
      <c r="Y165" s="7">
        <v>399.77100000000002</v>
      </c>
      <c r="Z165" s="7">
        <v>0</v>
      </c>
      <c r="AA165" s="7">
        <v>136.38300000000001</v>
      </c>
      <c r="AB165" s="7">
        <v>0</v>
      </c>
      <c r="AC165" s="7">
        <v>21.725999999999999</v>
      </c>
      <c r="AD165" s="7">
        <v>0</v>
      </c>
      <c r="AE165" s="7">
        <v>1298.22</v>
      </c>
      <c r="AF165" s="7">
        <v>0</v>
      </c>
      <c r="AG165" s="7">
        <v>0</v>
      </c>
      <c r="AH165" s="7">
        <v>2843.4549999999999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301</v>
      </c>
      <c r="B166" s="5" t="s">
        <v>316</v>
      </c>
      <c r="C166" s="7">
        <v>6</v>
      </c>
      <c r="D166" s="7">
        <v>6</v>
      </c>
      <c r="E166" s="7">
        <v>510.697</v>
      </c>
      <c r="F166" s="7">
        <v>106.68</v>
      </c>
      <c r="G166" s="7">
        <v>17.747</v>
      </c>
      <c r="H166" s="7">
        <v>0</v>
      </c>
      <c r="I166" s="7">
        <v>3.6429999999999998</v>
      </c>
      <c r="J166" s="7">
        <v>10.234</v>
      </c>
      <c r="K166" s="7">
        <v>0</v>
      </c>
      <c r="L166" s="7">
        <v>1126.9069999999999</v>
      </c>
      <c r="M166" s="7">
        <v>85.802000000000007</v>
      </c>
      <c r="N166" s="7">
        <v>0</v>
      </c>
      <c r="O166" s="7">
        <v>0</v>
      </c>
      <c r="P166" s="7">
        <v>2.1000000000000001E-2</v>
      </c>
      <c r="Q166" s="7">
        <v>0</v>
      </c>
      <c r="R166" s="7">
        <v>0</v>
      </c>
      <c r="S166" s="7">
        <v>36.26</v>
      </c>
      <c r="T166" s="7">
        <v>0</v>
      </c>
      <c r="U166" s="7">
        <v>0</v>
      </c>
      <c r="V166" s="7">
        <v>2.8039999999999998</v>
      </c>
      <c r="W166" s="7">
        <v>14.345000000000001</v>
      </c>
      <c r="X166" s="7">
        <v>0</v>
      </c>
      <c r="Y166" s="7">
        <v>231.75299999999999</v>
      </c>
      <c r="Z166" s="7">
        <v>0</v>
      </c>
      <c r="AA166" s="7">
        <v>53.834000000000003</v>
      </c>
      <c r="AB166" s="7">
        <v>0</v>
      </c>
      <c r="AC166" s="7">
        <v>21.620999999999999</v>
      </c>
      <c r="AD166" s="7">
        <v>0</v>
      </c>
      <c r="AE166" s="7">
        <v>603.779</v>
      </c>
      <c r="AF166" s="7">
        <v>616.995</v>
      </c>
      <c r="AG166" s="7">
        <v>0</v>
      </c>
      <c r="AH166" s="7">
        <v>1795.011</v>
      </c>
      <c r="AI166" s="7">
        <v>981.48199999999997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23.472000000000001</v>
      </c>
      <c r="AP166" s="7">
        <v>0</v>
      </c>
      <c r="AQ166" s="7">
        <v>243.565</v>
      </c>
      <c r="AR166" s="7">
        <v>0</v>
      </c>
      <c r="AS166" s="7">
        <v>0.33700000000000002</v>
      </c>
      <c r="AT166" s="7">
        <v>0</v>
      </c>
      <c r="AU166" s="7">
        <v>3.375</v>
      </c>
      <c r="AV166" s="7">
        <v>0</v>
      </c>
      <c r="AW166" s="7">
        <v>0</v>
      </c>
      <c r="AX166" s="7">
        <v>0</v>
      </c>
      <c r="AY166" s="7">
        <v>11.686</v>
      </c>
      <c r="AZ166" s="7">
        <v>393.702</v>
      </c>
      <c r="BA166" s="7">
        <v>0</v>
      </c>
      <c r="BB166" s="7">
        <v>9.5370000000000008</v>
      </c>
      <c r="BC166" s="7">
        <v>1.3180000000000001</v>
      </c>
      <c r="BD166" s="7">
        <v>486.89499999999998</v>
      </c>
      <c r="BE166" s="7">
        <v>2.8069999999999999</v>
      </c>
      <c r="BF166" s="7">
        <v>2.8069999999999999</v>
      </c>
      <c r="BG166" s="7">
        <v>169.828</v>
      </c>
      <c r="BH166" s="7">
        <v>0</v>
      </c>
      <c r="BI166" s="7">
        <v>0.44</v>
      </c>
      <c r="BJ166" s="21"/>
    </row>
    <row r="167" spans="1:62" ht="15.6" x14ac:dyDescent="0.3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319</v>
      </c>
      <c r="B168" s="5" t="s">
        <v>320</v>
      </c>
      <c r="C168" s="7">
        <v>6</v>
      </c>
      <c r="D168" s="7">
        <v>6</v>
      </c>
      <c r="E168" s="7">
        <v>-11.893000000000001</v>
      </c>
      <c r="F168" s="7">
        <v>-1.3879999999999999</v>
      </c>
      <c r="G168" s="7">
        <v>-1.3839999999999999</v>
      </c>
      <c r="H168" s="7">
        <v>0</v>
      </c>
      <c r="I168" s="7">
        <v>-0.26400000000000001</v>
      </c>
      <c r="J168" s="7">
        <v>-1.04</v>
      </c>
      <c r="K168" s="7">
        <v>0</v>
      </c>
      <c r="L168" s="7">
        <v>-9.7949999999999999</v>
      </c>
      <c r="M168" s="7">
        <v>-2.9510000000000001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-0.433</v>
      </c>
      <c r="T168" s="7">
        <v>0</v>
      </c>
      <c r="U168" s="7">
        <v>0</v>
      </c>
      <c r="V168" s="7">
        <v>-0.21299999999999999</v>
      </c>
      <c r="W168" s="7">
        <v>-0.46800000000000003</v>
      </c>
      <c r="X168" s="7">
        <v>0</v>
      </c>
      <c r="Y168" s="7">
        <v>-5.0880000000000001</v>
      </c>
      <c r="Z168" s="7">
        <v>0</v>
      </c>
      <c r="AA168" s="7">
        <v>-1.226</v>
      </c>
      <c r="AB168" s="7">
        <v>0</v>
      </c>
      <c r="AC168" s="7">
        <v>-0.24399999999999999</v>
      </c>
      <c r="AD168" s="7">
        <v>0</v>
      </c>
      <c r="AE168" s="7">
        <v>-15.342000000000001</v>
      </c>
      <c r="AF168" s="7">
        <v>-2E-3</v>
      </c>
      <c r="AG168" s="7">
        <v>0</v>
      </c>
      <c r="AH168" s="7">
        <v>-26.216999999999999</v>
      </c>
      <c r="AI168" s="7">
        <v>-3.0000000000000001E-3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-0.122</v>
      </c>
      <c r="AP168" s="7">
        <v>0</v>
      </c>
      <c r="AQ168" s="7">
        <v>-1E-3</v>
      </c>
      <c r="AR168" s="7">
        <v>0</v>
      </c>
      <c r="AS168" s="7">
        <v>-1E-3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-5.2999999999999999E-2</v>
      </c>
      <c r="BC168" s="7">
        <v>0</v>
      </c>
      <c r="BD168" s="7">
        <v>0</v>
      </c>
      <c r="BE168" s="7">
        <v>-2.1000000000000001E-2</v>
      </c>
      <c r="BF168" s="7">
        <v>-2.1000000000000001E-2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323</v>
      </c>
      <c r="B171" s="5" t="s">
        <v>324</v>
      </c>
      <c r="C171" s="7">
        <v>4</v>
      </c>
      <c r="D171" s="7">
        <v>4</v>
      </c>
      <c r="E171" s="7">
        <v>2346.5509999999999</v>
      </c>
      <c r="F171" s="7">
        <v>55.332999999999998</v>
      </c>
      <c r="G171" s="7">
        <v>0</v>
      </c>
      <c r="H171" s="7">
        <v>0</v>
      </c>
      <c r="I171" s="7">
        <v>2.5369999999999999</v>
      </c>
      <c r="J171" s="7">
        <v>0</v>
      </c>
      <c r="K171" s="7">
        <v>0</v>
      </c>
      <c r="L171" s="7">
        <v>3746.82</v>
      </c>
      <c r="M171" s="7">
        <v>1180.7090000000001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16.978999999999999</v>
      </c>
      <c r="T171" s="7">
        <v>0</v>
      </c>
      <c r="U171" s="7">
        <v>0</v>
      </c>
      <c r="V171" s="7">
        <v>0</v>
      </c>
      <c r="W171" s="7">
        <v>5.7389999999999999</v>
      </c>
      <c r="X171" s="7">
        <v>0</v>
      </c>
      <c r="Y171" s="7">
        <v>455.73</v>
      </c>
      <c r="Z171" s="7">
        <v>0</v>
      </c>
      <c r="AA171" s="7">
        <v>18.190000000000001</v>
      </c>
      <c r="AB171" s="7">
        <v>0</v>
      </c>
      <c r="AC171" s="7">
        <v>9.8420000000000005</v>
      </c>
      <c r="AD171" s="7">
        <v>0</v>
      </c>
      <c r="AE171" s="7">
        <v>279.20299999999997</v>
      </c>
      <c r="AF171" s="7">
        <v>297.41399999999999</v>
      </c>
      <c r="AG171" s="7">
        <v>0</v>
      </c>
      <c r="AH171" s="7">
        <v>6399.9470000000001</v>
      </c>
      <c r="AI171" s="7">
        <v>447.73599999999999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9.0090000000000003</v>
      </c>
      <c r="AP171" s="7">
        <v>0</v>
      </c>
      <c r="AQ171" s="7">
        <v>105.68300000000001</v>
      </c>
      <c r="AR171" s="7">
        <v>0</v>
      </c>
      <c r="AS171" s="7">
        <v>0.10199999999999999</v>
      </c>
      <c r="AT171" s="7">
        <v>0</v>
      </c>
      <c r="AU171" s="7">
        <v>0.67300000000000004</v>
      </c>
      <c r="AV171" s="7">
        <v>0</v>
      </c>
      <c r="AW171" s="7">
        <v>0</v>
      </c>
      <c r="AX171" s="7">
        <v>0</v>
      </c>
      <c r="AY171" s="7">
        <v>0.191</v>
      </c>
      <c r="AZ171" s="7">
        <v>7.7990000000000004</v>
      </c>
      <c r="BA171" s="7">
        <v>0</v>
      </c>
      <c r="BB171" s="7">
        <v>3.7679999999999998</v>
      </c>
      <c r="BC171" s="7">
        <v>0</v>
      </c>
      <c r="BD171" s="7">
        <v>9.6449999999999996</v>
      </c>
      <c r="BE171" s="7">
        <v>1.149</v>
      </c>
      <c r="BF171" s="7">
        <v>1.149</v>
      </c>
      <c r="BG171" s="7">
        <v>3.3639999999999999</v>
      </c>
      <c r="BH171" s="7">
        <v>0</v>
      </c>
      <c r="BI171" s="7">
        <v>0</v>
      </c>
      <c r="BJ171" s="21"/>
    </row>
    <row r="172" spans="1:62" ht="15.6" x14ac:dyDescent="0.3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331</v>
      </c>
      <c r="B175" s="5" t="s">
        <v>332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333</v>
      </c>
      <c r="B176" s="5" t="s">
        <v>334</v>
      </c>
      <c r="C176" s="7">
        <v>4</v>
      </c>
      <c r="D176" s="7">
        <v>4</v>
      </c>
      <c r="E176" s="7">
        <v>-3074.393</v>
      </c>
      <c r="F176" s="7">
        <v>-127.717</v>
      </c>
      <c r="G176" s="7">
        <v>0</v>
      </c>
      <c r="H176" s="7">
        <v>0</v>
      </c>
      <c r="I176" s="7">
        <v>-3.8540000000000001</v>
      </c>
      <c r="J176" s="7">
        <v>0</v>
      </c>
      <c r="K176" s="7">
        <v>0</v>
      </c>
      <c r="L176" s="7">
        <v>-5204.7809999999999</v>
      </c>
      <c r="M176" s="7">
        <v>-1443.999</v>
      </c>
      <c r="N176" s="7">
        <v>0</v>
      </c>
      <c r="O176" s="7">
        <v>0</v>
      </c>
      <c r="P176" s="7">
        <v>-1.7999999999999999E-2</v>
      </c>
      <c r="Q176" s="7">
        <v>0</v>
      </c>
      <c r="R176" s="7">
        <v>0</v>
      </c>
      <c r="S176" s="7">
        <v>-40.773000000000003</v>
      </c>
      <c r="T176" s="7">
        <v>0</v>
      </c>
      <c r="U176" s="7">
        <v>0</v>
      </c>
      <c r="V176" s="7">
        <v>0</v>
      </c>
      <c r="W176" s="7">
        <v>-14.215</v>
      </c>
      <c r="X176" s="7">
        <v>0</v>
      </c>
      <c r="Y176" s="7">
        <v>-678.45699999999999</v>
      </c>
      <c r="Z176" s="7">
        <v>0</v>
      </c>
      <c r="AA176" s="7">
        <v>-39.999000000000002</v>
      </c>
      <c r="AB176" s="7">
        <v>0</v>
      </c>
      <c r="AC176" s="7">
        <v>-25.047000000000001</v>
      </c>
      <c r="AD176" s="7">
        <v>0</v>
      </c>
      <c r="AE176" s="7">
        <v>-698.48500000000001</v>
      </c>
      <c r="AF176" s="7">
        <v>-752.53899999999999</v>
      </c>
      <c r="AG176" s="7">
        <v>0</v>
      </c>
      <c r="AH176" s="7">
        <v>-8547.0210000000006</v>
      </c>
      <c r="AI176" s="7">
        <v>-1185.1990000000001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-24.666</v>
      </c>
      <c r="AP176" s="7">
        <v>0</v>
      </c>
      <c r="AQ176" s="7">
        <v>-285.185</v>
      </c>
      <c r="AR176" s="7">
        <v>0</v>
      </c>
      <c r="AS176" s="7">
        <v>-0.32600000000000001</v>
      </c>
      <c r="AT176" s="7">
        <v>0</v>
      </c>
      <c r="AU176" s="7">
        <v>-2.3639999999999999</v>
      </c>
      <c r="AV176" s="7">
        <v>0</v>
      </c>
      <c r="AW176" s="7">
        <v>0</v>
      </c>
      <c r="AX176" s="7">
        <v>0</v>
      </c>
      <c r="AY176" s="7">
        <v>-8.9570000000000007</v>
      </c>
      <c r="AZ176" s="7">
        <v>-366.59</v>
      </c>
      <c r="BA176" s="7">
        <v>0</v>
      </c>
      <c r="BB176" s="7">
        <v>-10.057</v>
      </c>
      <c r="BC176" s="7">
        <v>0</v>
      </c>
      <c r="BD176" s="7">
        <v>-453.36500000000001</v>
      </c>
      <c r="BE176" s="7">
        <v>-2.9750000000000001</v>
      </c>
      <c r="BF176" s="7">
        <v>-2.9750000000000001</v>
      </c>
      <c r="BG176" s="7">
        <v>-158.13300000000001</v>
      </c>
      <c r="BH176" s="7">
        <v>0</v>
      </c>
      <c r="BI176" s="7">
        <v>0</v>
      </c>
      <c r="BJ176" s="21"/>
    </row>
    <row r="177" spans="1:62" ht="15.6" x14ac:dyDescent="0.3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341</v>
      </c>
      <c r="B180" s="5" t="s">
        <v>342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323</v>
      </c>
      <c r="B181" s="5" t="s">
        <v>343</v>
      </c>
      <c r="C181" s="7">
        <v>6</v>
      </c>
      <c r="D181" s="7">
        <v>6</v>
      </c>
      <c r="E181" s="7">
        <v>2.3E-2</v>
      </c>
      <c r="F181" s="7">
        <v>5.0000000000000001E-3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5.8000000000000003E-2</v>
      </c>
      <c r="M181" s="7">
        <v>3.0000000000000001E-3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2E-3</v>
      </c>
      <c r="T181" s="7">
        <v>0</v>
      </c>
      <c r="U181" s="7">
        <v>0</v>
      </c>
      <c r="V181" s="7">
        <v>0</v>
      </c>
      <c r="W181" s="7">
        <v>1E-3</v>
      </c>
      <c r="X181" s="7">
        <v>0</v>
      </c>
      <c r="Y181" s="7">
        <v>1.0999999999999999E-2</v>
      </c>
      <c r="Z181" s="7">
        <v>0</v>
      </c>
      <c r="AA181" s="7">
        <v>2E-3</v>
      </c>
      <c r="AB181" s="7">
        <v>0</v>
      </c>
      <c r="AC181" s="7">
        <v>1E-3</v>
      </c>
      <c r="AD181" s="7">
        <v>0</v>
      </c>
      <c r="AE181" s="7">
        <v>3.1E-2</v>
      </c>
      <c r="AF181" s="7">
        <v>3.2000000000000001E-2</v>
      </c>
      <c r="AG181" s="7">
        <v>0</v>
      </c>
      <c r="AH181" s="7">
        <v>9.0999999999999998E-2</v>
      </c>
      <c r="AI181" s="7">
        <v>5.1999999999999998E-2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1E-3</v>
      </c>
      <c r="AP181" s="7">
        <v>0</v>
      </c>
      <c r="AQ181" s="7">
        <v>1.2999999999999999E-2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1E-3</v>
      </c>
      <c r="AZ181" s="7">
        <v>2.1000000000000001E-2</v>
      </c>
      <c r="BA181" s="7">
        <v>0</v>
      </c>
      <c r="BB181" s="7">
        <v>0</v>
      </c>
      <c r="BC181" s="7">
        <v>0</v>
      </c>
      <c r="BD181" s="7">
        <v>2.5999999999999999E-2</v>
      </c>
      <c r="BE181" s="7">
        <v>0</v>
      </c>
      <c r="BF181" s="7">
        <v>0</v>
      </c>
      <c r="BG181" s="7">
        <v>8.9999999999999993E-3</v>
      </c>
      <c r="BH181" s="7">
        <v>0</v>
      </c>
      <c r="BI181" s="7">
        <v>0</v>
      </c>
      <c r="BJ181" s="21"/>
    </row>
    <row r="182" spans="1:62" ht="15.6" x14ac:dyDescent="0.3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6" x14ac:dyDescent="0.3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331</v>
      </c>
      <c r="B185" s="5" t="s">
        <v>347</v>
      </c>
      <c r="C185" s="7">
        <v>6</v>
      </c>
      <c r="D185" s="7">
        <v>6</v>
      </c>
      <c r="E185" s="7">
        <v>98.475999999999999</v>
      </c>
      <c r="F185" s="7">
        <v>8.6310000000000002</v>
      </c>
      <c r="G185" s="7">
        <v>12.116</v>
      </c>
      <c r="H185" s="7">
        <v>0</v>
      </c>
      <c r="I185" s="7">
        <v>2.101</v>
      </c>
      <c r="J185" s="7">
        <v>7.359</v>
      </c>
      <c r="K185" s="7">
        <v>0</v>
      </c>
      <c r="L185" s="7">
        <v>70.483999999999995</v>
      </c>
      <c r="M185" s="7">
        <v>32.683</v>
      </c>
      <c r="N185" s="7">
        <v>0</v>
      </c>
      <c r="O185" s="7">
        <v>0</v>
      </c>
      <c r="P185" s="7">
        <v>0.379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1.2250000000000001</v>
      </c>
      <c r="W185" s="7">
        <v>3.6840000000000002</v>
      </c>
      <c r="X185" s="7">
        <v>0</v>
      </c>
      <c r="Y185" s="7">
        <v>29.052</v>
      </c>
      <c r="Z185" s="7">
        <v>0</v>
      </c>
      <c r="AA185" s="7">
        <v>9.9109999999999996</v>
      </c>
      <c r="AB185" s="7">
        <v>0</v>
      </c>
      <c r="AC185" s="7">
        <v>1.579</v>
      </c>
      <c r="AD185" s="7">
        <v>0</v>
      </c>
      <c r="AE185" s="7">
        <v>94.343000000000004</v>
      </c>
      <c r="AF185" s="7">
        <v>0</v>
      </c>
      <c r="AG185" s="7">
        <v>0</v>
      </c>
      <c r="AH185" s="7">
        <v>206.637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333</v>
      </c>
      <c r="B186" s="5" t="s">
        <v>348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357</v>
      </c>
      <c r="B193" s="5" t="s">
        <v>358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361</v>
      </c>
      <c r="B195" s="5" t="s">
        <v>362</v>
      </c>
      <c r="C195" s="7">
        <v>6</v>
      </c>
      <c r="D195" s="7">
        <v>6</v>
      </c>
      <c r="E195" s="7">
        <v>124.188</v>
      </c>
      <c r="F195" s="7">
        <v>0</v>
      </c>
      <c r="G195" s="7">
        <v>30.239000000000001</v>
      </c>
      <c r="H195" s="7">
        <v>0</v>
      </c>
      <c r="I195" s="7">
        <v>0</v>
      </c>
      <c r="J195" s="7">
        <v>52.6</v>
      </c>
      <c r="K195" s="7">
        <v>0</v>
      </c>
      <c r="L195" s="7">
        <v>446.678</v>
      </c>
      <c r="M195" s="7">
        <v>64.769000000000005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382.90899999999999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389</v>
      </c>
      <c r="B209" s="5" t="s">
        <v>390</v>
      </c>
      <c r="C209" s="7">
        <v>6</v>
      </c>
      <c r="D209" s="7">
        <v>6</v>
      </c>
      <c r="E209" s="7">
        <v>28.853999999999999</v>
      </c>
      <c r="F209" s="7">
        <v>2.419</v>
      </c>
      <c r="G209" s="7">
        <v>6.5759999999999996</v>
      </c>
      <c r="H209" s="7">
        <v>0</v>
      </c>
      <c r="I209" s="7">
        <v>0.56000000000000005</v>
      </c>
      <c r="J209" s="7">
        <v>4.9089999999999998</v>
      </c>
      <c r="K209" s="7">
        <v>0</v>
      </c>
      <c r="L209" s="7">
        <v>12.003</v>
      </c>
      <c r="M209" s="7">
        <v>13.916</v>
      </c>
      <c r="N209" s="7">
        <v>0</v>
      </c>
      <c r="O209" s="7">
        <v>0</v>
      </c>
      <c r="P209" s="7">
        <v>1E-3</v>
      </c>
      <c r="Q209" s="7">
        <v>36.235999999999997</v>
      </c>
      <c r="R209" s="7">
        <v>101.81</v>
      </c>
      <c r="S209" s="7">
        <v>0.86099999999999999</v>
      </c>
      <c r="T209" s="7">
        <v>0</v>
      </c>
      <c r="U209" s="7">
        <v>0</v>
      </c>
      <c r="V209" s="7">
        <v>0.73499999999999999</v>
      </c>
      <c r="W209" s="7">
        <v>1.593</v>
      </c>
      <c r="X209" s="7">
        <v>0</v>
      </c>
      <c r="Y209" s="7">
        <v>6.891</v>
      </c>
      <c r="Z209" s="7">
        <v>0</v>
      </c>
      <c r="AA209" s="7">
        <v>6.2140000000000004</v>
      </c>
      <c r="AB209" s="7">
        <v>0</v>
      </c>
      <c r="AC209" s="7">
        <v>0.47299999999999998</v>
      </c>
      <c r="AD209" s="7">
        <v>0</v>
      </c>
      <c r="AE209" s="7">
        <v>21.606000000000002</v>
      </c>
      <c r="AF209" s="7">
        <v>0</v>
      </c>
      <c r="AG209" s="7">
        <v>0</v>
      </c>
      <c r="AH209" s="7">
        <v>38.755000000000003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0.58099999999999996</v>
      </c>
      <c r="AP209" s="7">
        <v>0</v>
      </c>
      <c r="AQ209" s="7">
        <v>0</v>
      </c>
      <c r="AR209" s="7">
        <v>0</v>
      </c>
      <c r="AS209" s="7">
        <v>3.0000000000000001E-3</v>
      </c>
      <c r="AT209" s="7">
        <v>0</v>
      </c>
      <c r="AU209" s="7">
        <v>0.18</v>
      </c>
      <c r="AV209" s="7">
        <v>0</v>
      </c>
      <c r="AW209" s="7">
        <v>0</v>
      </c>
      <c r="AX209" s="7">
        <v>0</v>
      </c>
      <c r="AY209" s="7">
        <v>0.55600000000000005</v>
      </c>
      <c r="AZ209" s="7">
        <v>0</v>
      </c>
      <c r="BA209" s="7">
        <v>0</v>
      </c>
      <c r="BB209" s="7">
        <v>0.253</v>
      </c>
      <c r="BC209" s="7">
        <v>0.36299999999999999</v>
      </c>
      <c r="BD209" s="7">
        <v>0</v>
      </c>
      <c r="BE209" s="7">
        <v>7.8E-2</v>
      </c>
      <c r="BF209" s="7">
        <v>7.8E-2</v>
      </c>
      <c r="BG209" s="7">
        <v>0</v>
      </c>
      <c r="BH209" s="7">
        <v>0</v>
      </c>
      <c r="BI209" s="7">
        <v>0.123</v>
      </c>
      <c r="BJ209" s="21"/>
    </row>
    <row r="210" spans="1:62" ht="15.6" x14ac:dyDescent="0.3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353</v>
      </c>
      <c r="B213" s="5" t="s">
        <v>397</v>
      </c>
      <c r="C213" s="7">
        <v>6</v>
      </c>
      <c r="D213" s="7">
        <v>6</v>
      </c>
      <c r="E213" s="7">
        <v>1113.3920000000001</v>
      </c>
      <c r="F213" s="7">
        <v>97.581000000000003</v>
      </c>
      <c r="G213" s="7">
        <v>136.98500000000001</v>
      </c>
      <c r="H213" s="7">
        <v>4.0000000000000001E-3</v>
      </c>
      <c r="I213" s="7">
        <v>23.753</v>
      </c>
      <c r="J213" s="7">
        <v>83.198999999999998</v>
      </c>
      <c r="K213" s="7">
        <v>0</v>
      </c>
      <c r="L213" s="7">
        <v>796.91</v>
      </c>
      <c r="M213" s="7">
        <v>369.51799999999997</v>
      </c>
      <c r="N213" s="7">
        <v>0</v>
      </c>
      <c r="O213" s="7">
        <v>0</v>
      </c>
      <c r="P213" s="7">
        <v>4.2830000000000004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13.852</v>
      </c>
      <c r="W213" s="7">
        <v>41.648000000000003</v>
      </c>
      <c r="X213" s="7">
        <v>0</v>
      </c>
      <c r="Y213" s="7">
        <v>328.46499999999997</v>
      </c>
      <c r="Z213" s="7">
        <v>0</v>
      </c>
      <c r="AA213" s="7">
        <v>112.057</v>
      </c>
      <c r="AB213" s="7">
        <v>0</v>
      </c>
      <c r="AC213" s="7">
        <v>17.850999999999999</v>
      </c>
      <c r="AD213" s="7">
        <v>0</v>
      </c>
      <c r="AE213" s="7">
        <v>1066.6600000000001</v>
      </c>
      <c r="AF213" s="7">
        <v>0</v>
      </c>
      <c r="AG213" s="7">
        <v>0</v>
      </c>
      <c r="AH213" s="7">
        <v>2336.2759999999998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363</v>
      </c>
      <c r="B218" s="5" t="s">
        <v>402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-1E-3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-1E-3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367</v>
      </c>
      <c r="B220" s="5" t="s">
        <v>404</v>
      </c>
      <c r="C220" s="7">
        <v>6</v>
      </c>
      <c r="D220" s="7">
        <v>6</v>
      </c>
      <c r="E220" s="7">
        <v>63647.177000000003</v>
      </c>
      <c r="F220" s="7">
        <v>14038.677</v>
      </c>
      <c r="G220" s="7">
        <v>0</v>
      </c>
      <c r="H220" s="7">
        <v>0</v>
      </c>
      <c r="I220" s="7">
        <v>288.40499999999997</v>
      </c>
      <c r="J220" s="7">
        <v>0</v>
      </c>
      <c r="K220" s="7">
        <v>0</v>
      </c>
      <c r="L220" s="7">
        <v>162075.63099999999</v>
      </c>
      <c r="M220" s="7">
        <v>7225.1930000000002</v>
      </c>
      <c r="N220" s="7">
        <v>0</v>
      </c>
      <c r="O220" s="7">
        <v>0</v>
      </c>
      <c r="P220" s="7">
        <v>2.8980000000000001</v>
      </c>
      <c r="Q220" s="7">
        <v>0</v>
      </c>
      <c r="R220" s="7">
        <v>0</v>
      </c>
      <c r="S220" s="7">
        <v>4586.933</v>
      </c>
      <c r="T220" s="7">
        <v>0</v>
      </c>
      <c r="U220" s="7">
        <v>0</v>
      </c>
      <c r="V220" s="7">
        <v>0</v>
      </c>
      <c r="W220" s="7">
        <v>1612.434</v>
      </c>
      <c r="X220" s="7">
        <v>0</v>
      </c>
      <c r="Y220" s="7">
        <v>32264.356</v>
      </c>
      <c r="Z220" s="7">
        <v>0</v>
      </c>
      <c r="AA220" s="7">
        <v>4801.6580000000004</v>
      </c>
      <c r="AB220" s="7">
        <v>0</v>
      </c>
      <c r="AC220" s="7">
        <v>2927.9670000000001</v>
      </c>
      <c r="AD220" s="7">
        <v>0</v>
      </c>
      <c r="AE220" s="7">
        <v>87261.273000000001</v>
      </c>
      <c r="AF220" s="7">
        <v>91130.282000000007</v>
      </c>
      <c r="AG220" s="7">
        <v>0</v>
      </c>
      <c r="AH220" s="7">
        <v>254746.546</v>
      </c>
      <c r="AI220" s="7">
        <v>144965.09299999999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3157.5720000000001</v>
      </c>
      <c r="AP220" s="7">
        <v>0</v>
      </c>
      <c r="AQ220" s="7">
        <v>35974.591</v>
      </c>
      <c r="AR220" s="7">
        <v>0</v>
      </c>
      <c r="AS220" s="7">
        <v>43.191000000000003</v>
      </c>
      <c r="AT220" s="7">
        <v>0</v>
      </c>
      <c r="AU220" s="7">
        <v>319.57499999999999</v>
      </c>
      <c r="AV220" s="7">
        <v>0</v>
      </c>
      <c r="AW220" s="7">
        <v>0</v>
      </c>
      <c r="AX220" s="7">
        <v>0</v>
      </c>
      <c r="AY220" s="7">
        <v>1420.7829999999999</v>
      </c>
      <c r="AZ220" s="7">
        <v>58149.796999999999</v>
      </c>
      <c r="BA220" s="7">
        <v>0</v>
      </c>
      <c r="BB220" s="7">
        <v>1278.9290000000001</v>
      </c>
      <c r="BC220" s="7">
        <v>0</v>
      </c>
      <c r="BD220" s="7">
        <v>71914.409</v>
      </c>
      <c r="BE220" s="7">
        <v>375.28</v>
      </c>
      <c r="BF220" s="7">
        <v>375.28</v>
      </c>
      <c r="BG220" s="7">
        <v>25083.697</v>
      </c>
      <c r="BH220" s="7">
        <v>0</v>
      </c>
      <c r="BI220" s="7">
        <v>0</v>
      </c>
      <c r="BJ220" s="21"/>
    </row>
    <row r="221" spans="1:62" ht="15.6" x14ac:dyDescent="0.3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245.53899999999999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7611.0829999999996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440.95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345.976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6.0000000000000001E-3</v>
      </c>
      <c r="J257" s="7">
        <v>0</v>
      </c>
      <c r="K257" s="7">
        <v>0</v>
      </c>
      <c r="L257" s="7">
        <v>3.4000000000000002E-2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3.9E-2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459</v>
      </c>
      <c r="B277" s="5" t="s">
        <v>483</v>
      </c>
      <c r="C277" s="7">
        <v>6</v>
      </c>
      <c r="D277" s="7">
        <v>6</v>
      </c>
      <c r="E277" s="7">
        <v>2792.569</v>
      </c>
      <c r="F277" s="7">
        <v>2011.3130000000001</v>
      </c>
      <c r="G277" s="7">
        <v>135.97</v>
      </c>
      <c r="H277" s="7">
        <v>0</v>
      </c>
      <c r="I277" s="7">
        <v>147.571</v>
      </c>
      <c r="J277" s="7">
        <v>1453.7270000000001</v>
      </c>
      <c r="K277" s="7">
        <v>0</v>
      </c>
      <c r="L277" s="7">
        <v>4172.3829999999998</v>
      </c>
      <c r="M277" s="7">
        <v>221.839</v>
      </c>
      <c r="N277" s="7">
        <v>0</v>
      </c>
      <c r="O277" s="7">
        <v>0</v>
      </c>
      <c r="P277" s="7">
        <v>6.0000000000000001E-3</v>
      </c>
      <c r="Q277" s="7">
        <v>0</v>
      </c>
      <c r="R277" s="7">
        <v>0</v>
      </c>
      <c r="S277" s="7">
        <v>817.32299999999998</v>
      </c>
      <c r="T277" s="7">
        <v>0</v>
      </c>
      <c r="U277" s="7">
        <v>0</v>
      </c>
      <c r="V277" s="7">
        <v>307.23599999999999</v>
      </c>
      <c r="W277" s="7">
        <v>2.6520000000000001</v>
      </c>
      <c r="X277" s="7">
        <v>0</v>
      </c>
      <c r="Y277" s="7">
        <v>113.229</v>
      </c>
      <c r="Z277" s="7">
        <v>0</v>
      </c>
      <c r="AA277" s="7">
        <v>3834.1419999999998</v>
      </c>
      <c r="AB277" s="7">
        <v>0</v>
      </c>
      <c r="AC277" s="7">
        <v>324.20400000000001</v>
      </c>
      <c r="AD277" s="7">
        <v>0</v>
      </c>
      <c r="AE277" s="7">
        <v>997.92499999999995</v>
      </c>
      <c r="AF277" s="7">
        <v>35.685000000000002</v>
      </c>
      <c r="AG277" s="7">
        <v>0</v>
      </c>
      <c r="AH277" s="7">
        <v>6772.402</v>
      </c>
      <c r="AI277" s="7">
        <v>2.7E-2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804.24800000000005</v>
      </c>
      <c r="AP277" s="7">
        <v>0</v>
      </c>
      <c r="AQ277" s="7">
        <v>5.2569999999999997</v>
      </c>
      <c r="AR277" s="7">
        <v>0</v>
      </c>
      <c r="AS277" s="7">
        <v>2.758</v>
      </c>
      <c r="AT277" s="7">
        <v>0</v>
      </c>
      <c r="AU277" s="7">
        <v>0.35899999999999999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329.07</v>
      </c>
      <c r="BC277" s="7">
        <v>0</v>
      </c>
      <c r="BD277" s="7">
        <v>0</v>
      </c>
      <c r="BE277" s="7">
        <v>99.894999999999996</v>
      </c>
      <c r="BF277" s="7">
        <v>99.894999999999996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485</v>
      </c>
      <c r="B279" s="5" t="s">
        <v>486</v>
      </c>
      <c r="C279" s="7">
        <v>5</v>
      </c>
      <c r="D279" s="7">
        <v>5</v>
      </c>
      <c r="E279" s="7">
        <v>167847.538</v>
      </c>
      <c r="F279" s="7">
        <v>0</v>
      </c>
      <c r="G279" s="7">
        <v>12976.12</v>
      </c>
      <c r="H279" s="7">
        <v>59.198</v>
      </c>
      <c r="I279" s="7">
        <v>0</v>
      </c>
      <c r="J279" s="7">
        <v>38974.608</v>
      </c>
      <c r="K279" s="7">
        <v>22567.656999999999</v>
      </c>
      <c r="L279" s="7">
        <v>99124.016000000003</v>
      </c>
      <c r="M279" s="7">
        <v>236282.69899999999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2924.9969999999998</v>
      </c>
      <c r="V279" s="7">
        <v>5184.5320000000002</v>
      </c>
      <c r="W279" s="7">
        <v>15872.915999999999</v>
      </c>
      <c r="X279" s="7">
        <v>0</v>
      </c>
      <c r="Y279" s="7">
        <v>31828.874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71520.512000000002</v>
      </c>
      <c r="AF279" s="7">
        <v>7386.7349999999997</v>
      </c>
      <c r="AG279" s="7">
        <v>14522.696</v>
      </c>
      <c r="AH279" s="7">
        <v>464088.23</v>
      </c>
      <c r="AI279" s="7">
        <v>125416.50900000001</v>
      </c>
      <c r="AJ279" s="7">
        <v>5.609</v>
      </c>
      <c r="AK279" s="7">
        <v>259.85700000000003</v>
      </c>
      <c r="AL279" s="7">
        <v>113.041</v>
      </c>
      <c r="AM279" s="7">
        <v>728.48800000000006</v>
      </c>
      <c r="AN279" s="7">
        <v>108.36</v>
      </c>
      <c r="AO279" s="7">
        <v>0</v>
      </c>
      <c r="AP279" s="7">
        <v>0</v>
      </c>
      <c r="AQ279" s="7">
        <v>15753.411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487</v>
      </c>
      <c r="B280" s="5" t="s">
        <v>488</v>
      </c>
      <c r="C280" s="7">
        <v>5</v>
      </c>
      <c r="D280" s="7">
        <v>5</v>
      </c>
      <c r="E280" s="7">
        <v>13436.630999999999</v>
      </c>
      <c r="F280" s="7">
        <v>1177.6289999999999</v>
      </c>
      <c r="G280" s="7">
        <v>1653.16</v>
      </c>
      <c r="H280" s="7">
        <v>0</v>
      </c>
      <c r="I280" s="7">
        <v>286.65600000000001</v>
      </c>
      <c r="J280" s="7">
        <v>1004.068</v>
      </c>
      <c r="K280" s="7">
        <v>0</v>
      </c>
      <c r="L280" s="7">
        <v>9617.2639999999992</v>
      </c>
      <c r="M280" s="7">
        <v>4459.415</v>
      </c>
      <c r="N280" s="7">
        <v>0</v>
      </c>
      <c r="O280" s="7">
        <v>0</v>
      </c>
      <c r="P280" s="7">
        <v>51.69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167.16399999999999</v>
      </c>
      <c r="W280" s="7">
        <v>502.62099999999998</v>
      </c>
      <c r="X280" s="7">
        <v>0</v>
      </c>
      <c r="Y280" s="7">
        <v>3963.9830000000002</v>
      </c>
      <c r="Z280" s="7">
        <v>0</v>
      </c>
      <c r="AA280" s="7">
        <v>1352.3230000000001</v>
      </c>
      <c r="AB280" s="7">
        <v>0</v>
      </c>
      <c r="AC280" s="7">
        <v>215.429</v>
      </c>
      <c r="AD280" s="7">
        <v>0</v>
      </c>
      <c r="AE280" s="7">
        <v>12872.669</v>
      </c>
      <c r="AF280" s="7">
        <v>0</v>
      </c>
      <c r="AG280" s="7">
        <v>0</v>
      </c>
      <c r="AH280" s="7">
        <v>28194.643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489</v>
      </c>
      <c r="B281" s="5" t="s">
        <v>490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2457.7579999999998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497</v>
      </c>
      <c r="B285" s="5" t="s">
        <v>498</v>
      </c>
      <c r="C285" s="7">
        <v>5</v>
      </c>
      <c r="D285" s="7">
        <v>5</v>
      </c>
      <c r="E285" s="7">
        <v>45953.423000000003</v>
      </c>
      <c r="F285" s="7">
        <v>3982.1930000000002</v>
      </c>
      <c r="G285" s="7">
        <v>5590.2179999999998</v>
      </c>
      <c r="H285" s="7">
        <v>0</v>
      </c>
      <c r="I285" s="7">
        <v>969.33699999999999</v>
      </c>
      <c r="J285" s="7">
        <v>3395.2910000000002</v>
      </c>
      <c r="K285" s="7">
        <v>0</v>
      </c>
      <c r="L285" s="7">
        <v>40267.033000000003</v>
      </c>
      <c r="M285" s="7">
        <v>15250.054</v>
      </c>
      <c r="N285" s="7">
        <v>0</v>
      </c>
      <c r="O285" s="7">
        <v>0</v>
      </c>
      <c r="P285" s="7">
        <v>174.792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565.27200000000005</v>
      </c>
      <c r="W285" s="7">
        <v>1699.6289999999999</v>
      </c>
      <c r="X285" s="7">
        <v>0</v>
      </c>
      <c r="Y285" s="7">
        <v>13560.169</v>
      </c>
      <c r="Z285" s="7">
        <v>0</v>
      </c>
      <c r="AA285" s="7">
        <v>4572.9269999999997</v>
      </c>
      <c r="AB285" s="7">
        <v>0</v>
      </c>
      <c r="AC285" s="7">
        <v>728.48199999999997</v>
      </c>
      <c r="AD285" s="7">
        <v>0</v>
      </c>
      <c r="AE285" s="7">
        <v>44148.31</v>
      </c>
      <c r="AF285" s="7">
        <v>0</v>
      </c>
      <c r="AG285" s="7">
        <v>0</v>
      </c>
      <c r="AH285" s="7">
        <v>108970.389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499</v>
      </c>
      <c r="B286" s="5" t="s">
        <v>500</v>
      </c>
      <c r="C286" s="7">
        <v>5</v>
      </c>
      <c r="D286" s="7">
        <v>5</v>
      </c>
      <c r="E286" s="7">
        <v>206036.03099999999</v>
      </c>
      <c r="F286" s="7">
        <v>19097.614000000001</v>
      </c>
      <c r="G286" s="7">
        <v>28689.969000000001</v>
      </c>
      <c r="H286" s="7">
        <v>90.119</v>
      </c>
      <c r="I286" s="7">
        <v>4993.0339999999997</v>
      </c>
      <c r="J286" s="7">
        <v>16889.591</v>
      </c>
      <c r="K286" s="7">
        <v>0</v>
      </c>
      <c r="L286" s="7">
        <v>153703.652</v>
      </c>
      <c r="M286" s="7">
        <v>76387.365999999995</v>
      </c>
      <c r="N286" s="7">
        <v>0</v>
      </c>
      <c r="O286" s="7">
        <v>0</v>
      </c>
      <c r="P286" s="7">
        <v>902.27499999999998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2369.0349999999999</v>
      </c>
      <c r="W286" s="7">
        <v>7207.9520000000002</v>
      </c>
      <c r="X286" s="7">
        <v>0</v>
      </c>
      <c r="Y286" s="7">
        <v>56516.610999999997</v>
      </c>
      <c r="Z286" s="7">
        <v>0</v>
      </c>
      <c r="AA286" s="7">
        <v>19434.210999999999</v>
      </c>
      <c r="AB286" s="7">
        <v>0</v>
      </c>
      <c r="AC286" s="7">
        <v>3053.0419999999999</v>
      </c>
      <c r="AD286" s="7">
        <v>0</v>
      </c>
      <c r="AE286" s="7">
        <v>183429.5</v>
      </c>
      <c r="AF286" s="7">
        <v>0</v>
      </c>
      <c r="AG286" s="7">
        <v>0</v>
      </c>
      <c r="AH286" s="7">
        <v>431029.05800000002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3.0000000000000001E-3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501</v>
      </c>
      <c r="B287" s="5" t="s">
        <v>502</v>
      </c>
      <c r="C287" s="7">
        <v>5</v>
      </c>
      <c r="D287" s="7">
        <v>5</v>
      </c>
      <c r="E287" s="7">
        <v>1039.7729999999999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3139.6869999999999</v>
      </c>
      <c r="M287" s="7">
        <v>152.327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1077.4960000000001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2264.06</v>
      </c>
      <c r="AF287" s="7">
        <v>0</v>
      </c>
      <c r="AG287" s="7">
        <v>0</v>
      </c>
      <c r="AH287" s="7">
        <v>6514.2579999999998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503</v>
      </c>
      <c r="B288" s="5" t="s">
        <v>504</v>
      </c>
      <c r="C288" s="7">
        <v>5</v>
      </c>
      <c r="D288" s="7">
        <v>5</v>
      </c>
      <c r="E288" s="7">
        <v>37693.993000000002</v>
      </c>
      <c r="F288" s="7">
        <v>3211.13</v>
      </c>
      <c r="G288" s="7">
        <v>4507.7960000000003</v>
      </c>
      <c r="H288" s="7">
        <v>0</v>
      </c>
      <c r="I288" s="7">
        <v>781.64599999999996</v>
      </c>
      <c r="J288" s="7">
        <v>2737.8679999999999</v>
      </c>
      <c r="K288" s="7">
        <v>0</v>
      </c>
      <c r="L288" s="7">
        <v>27419.345000000001</v>
      </c>
      <c r="M288" s="7">
        <v>12869.671</v>
      </c>
      <c r="N288" s="7">
        <v>0</v>
      </c>
      <c r="O288" s="7">
        <v>0</v>
      </c>
      <c r="P288" s="7">
        <v>140.947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455.81900000000002</v>
      </c>
      <c r="W288" s="7">
        <v>1370.5329999999999</v>
      </c>
      <c r="X288" s="7">
        <v>0</v>
      </c>
      <c r="Y288" s="7">
        <v>10808.888999999999</v>
      </c>
      <c r="Z288" s="7">
        <v>0</v>
      </c>
      <c r="AA288" s="7">
        <v>3687.4810000000002</v>
      </c>
      <c r="AB288" s="7">
        <v>0</v>
      </c>
      <c r="AC288" s="7">
        <v>587.42700000000002</v>
      </c>
      <c r="AD288" s="7">
        <v>0</v>
      </c>
      <c r="AE288" s="7">
        <v>35100.874000000003</v>
      </c>
      <c r="AF288" s="7">
        <v>0</v>
      </c>
      <c r="AG288" s="7">
        <v>0</v>
      </c>
      <c r="AH288" s="7">
        <v>77709.884999999995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505</v>
      </c>
      <c r="B289" s="5" t="s">
        <v>506</v>
      </c>
      <c r="C289" s="7">
        <v>5</v>
      </c>
      <c r="D289" s="7">
        <v>5</v>
      </c>
      <c r="E289" s="7">
        <v>43882.366999999998</v>
      </c>
      <c r="F289" s="7">
        <v>730.32100000000003</v>
      </c>
      <c r="G289" s="7">
        <v>1025.2280000000001</v>
      </c>
      <c r="H289" s="7">
        <v>9752.4179999999997</v>
      </c>
      <c r="I289" s="7">
        <v>177.773</v>
      </c>
      <c r="J289" s="7">
        <v>622.68600000000004</v>
      </c>
      <c r="K289" s="7">
        <v>0</v>
      </c>
      <c r="L289" s="7">
        <v>61766.072999999997</v>
      </c>
      <c r="M289" s="7">
        <v>10441.727999999999</v>
      </c>
      <c r="N289" s="7">
        <v>0</v>
      </c>
      <c r="O289" s="7">
        <v>0</v>
      </c>
      <c r="P289" s="7">
        <v>32.055999999999997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103.669</v>
      </c>
      <c r="W289" s="7">
        <v>311.70600000000002</v>
      </c>
      <c r="X289" s="7">
        <v>0</v>
      </c>
      <c r="Y289" s="7">
        <v>20067.613000000001</v>
      </c>
      <c r="Z289" s="7">
        <v>0</v>
      </c>
      <c r="AA289" s="7">
        <v>872.85799999999995</v>
      </c>
      <c r="AB289" s="7">
        <v>0</v>
      </c>
      <c r="AC289" s="7">
        <v>133.601</v>
      </c>
      <c r="AD289" s="7">
        <v>0</v>
      </c>
      <c r="AE289" s="7">
        <v>61621.472000000002</v>
      </c>
      <c r="AF289" s="7">
        <v>0</v>
      </c>
      <c r="AG289" s="7">
        <v>0</v>
      </c>
      <c r="AH289" s="7">
        <v>140734.853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511</v>
      </c>
      <c r="B292" s="5" t="s">
        <v>512</v>
      </c>
      <c r="C292" s="7">
        <v>5</v>
      </c>
      <c r="D292" s="7">
        <v>5</v>
      </c>
      <c r="E292" s="7">
        <v>296065.89399999997</v>
      </c>
      <c r="F292" s="7">
        <v>18169.916000000001</v>
      </c>
      <c r="G292" s="7">
        <v>18895.208999999999</v>
      </c>
      <c r="H292" s="7">
        <v>0</v>
      </c>
      <c r="I292" s="7">
        <v>3636.5610000000001</v>
      </c>
      <c r="J292" s="7">
        <v>11695.984</v>
      </c>
      <c r="K292" s="7">
        <v>0</v>
      </c>
      <c r="L292" s="7">
        <v>167055.39199999999</v>
      </c>
      <c r="M292" s="7">
        <v>51153.862000000001</v>
      </c>
      <c r="N292" s="7">
        <v>0</v>
      </c>
      <c r="O292" s="7">
        <v>0</v>
      </c>
      <c r="P292" s="7">
        <v>228.15799999999999</v>
      </c>
      <c r="Q292" s="7">
        <v>0</v>
      </c>
      <c r="R292" s="7">
        <v>41.442999999999998</v>
      </c>
      <c r="S292" s="7">
        <v>0</v>
      </c>
      <c r="T292" s="7">
        <v>0</v>
      </c>
      <c r="U292" s="7">
        <v>0</v>
      </c>
      <c r="V292" s="7">
        <v>3343.614</v>
      </c>
      <c r="W292" s="7">
        <v>8776.6679999999997</v>
      </c>
      <c r="X292" s="7">
        <v>0</v>
      </c>
      <c r="Y292" s="7">
        <v>69758.741999999998</v>
      </c>
      <c r="Z292" s="7">
        <v>0</v>
      </c>
      <c r="AA292" s="7">
        <v>33464.758000000002</v>
      </c>
      <c r="AB292" s="7">
        <v>0</v>
      </c>
      <c r="AC292" s="7">
        <v>6145.7510000000002</v>
      </c>
      <c r="AD292" s="7">
        <v>0</v>
      </c>
      <c r="AE292" s="7">
        <v>196397.016</v>
      </c>
      <c r="AF292" s="7">
        <v>0</v>
      </c>
      <c r="AG292" s="7">
        <v>0</v>
      </c>
      <c r="AH292" s="7">
        <v>604381.86899999995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513</v>
      </c>
      <c r="B293" s="5" t="s">
        <v>514</v>
      </c>
      <c r="C293" s="7">
        <v>5</v>
      </c>
      <c r="D293" s="7">
        <v>5</v>
      </c>
      <c r="E293" s="7">
        <v>30200.745999999999</v>
      </c>
      <c r="F293" s="7">
        <v>1149.251</v>
      </c>
      <c r="G293" s="7">
        <v>1300.4459999999999</v>
      </c>
      <c r="H293" s="7">
        <v>0</v>
      </c>
      <c r="I293" s="7">
        <v>242.53899999999999</v>
      </c>
      <c r="J293" s="7">
        <v>800.24099999999999</v>
      </c>
      <c r="K293" s="7">
        <v>0</v>
      </c>
      <c r="L293" s="7">
        <v>30068.938999999998</v>
      </c>
      <c r="M293" s="7">
        <v>7473.5789999999997</v>
      </c>
      <c r="N293" s="7">
        <v>0</v>
      </c>
      <c r="O293" s="7">
        <v>0</v>
      </c>
      <c r="P293" s="7">
        <v>23.501000000000001</v>
      </c>
      <c r="Q293" s="7">
        <v>0</v>
      </c>
      <c r="R293" s="7">
        <v>1.9610000000000001</v>
      </c>
      <c r="S293" s="7">
        <v>0</v>
      </c>
      <c r="T293" s="7">
        <v>0</v>
      </c>
      <c r="U293" s="7">
        <v>0</v>
      </c>
      <c r="V293" s="7">
        <v>199.30799999999999</v>
      </c>
      <c r="W293" s="7">
        <v>538.85299999999995</v>
      </c>
      <c r="X293" s="7">
        <v>0</v>
      </c>
      <c r="Y293" s="7">
        <v>4399.7179999999998</v>
      </c>
      <c r="Z293" s="7">
        <v>0</v>
      </c>
      <c r="AA293" s="7">
        <v>1915.9570000000001</v>
      </c>
      <c r="AB293" s="7">
        <v>0</v>
      </c>
      <c r="AC293" s="7">
        <v>343.77100000000002</v>
      </c>
      <c r="AD293" s="7">
        <v>0</v>
      </c>
      <c r="AE293" s="7">
        <v>17327.038</v>
      </c>
      <c r="AF293" s="7">
        <v>0</v>
      </c>
      <c r="AG293" s="7">
        <v>0</v>
      </c>
      <c r="AH293" s="7">
        <v>61500.402000000002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563</v>
      </c>
      <c r="B318" s="5" t="s">
        <v>564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569</v>
      </c>
      <c r="B321" s="5" t="s">
        <v>570</v>
      </c>
      <c r="C321" s="7">
        <v>5</v>
      </c>
      <c r="D321" s="7">
        <v>5</v>
      </c>
      <c r="E321" s="7">
        <v>-84379.112999999998</v>
      </c>
      <c r="F321" s="7">
        <v>-12746.26</v>
      </c>
      <c r="G321" s="7">
        <v>0</v>
      </c>
      <c r="H321" s="7">
        <v>0</v>
      </c>
      <c r="I321" s="7">
        <v>-382.98500000000001</v>
      </c>
      <c r="J321" s="7">
        <v>0</v>
      </c>
      <c r="K321" s="7">
        <v>0</v>
      </c>
      <c r="L321" s="7">
        <v>-184470.46400000001</v>
      </c>
      <c r="M321" s="7">
        <v>-4395.9930000000004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-4058.759</v>
      </c>
      <c r="T321" s="7">
        <v>0</v>
      </c>
      <c r="U321" s="7">
        <v>0</v>
      </c>
      <c r="V321" s="7">
        <v>0</v>
      </c>
      <c r="W321" s="7">
        <v>-1318.6590000000001</v>
      </c>
      <c r="X321" s="7">
        <v>0</v>
      </c>
      <c r="Y321" s="7">
        <v>-43498.232000000004</v>
      </c>
      <c r="Z321" s="7">
        <v>0</v>
      </c>
      <c r="AA321" s="7">
        <v>-7479.5829999999996</v>
      </c>
      <c r="AB321" s="7">
        <v>0</v>
      </c>
      <c r="AC321" s="7">
        <v>-2613.6619999999998</v>
      </c>
      <c r="AD321" s="7">
        <v>0</v>
      </c>
      <c r="AE321" s="7">
        <v>-113980.674</v>
      </c>
      <c r="AF321" s="7">
        <v>-100712.762</v>
      </c>
      <c r="AG321" s="7">
        <v>0</v>
      </c>
      <c r="AH321" s="7">
        <v>-329565.21899999998</v>
      </c>
      <c r="AI321" s="7">
        <v>-147117.989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-3659.7469999999998</v>
      </c>
      <c r="AP321" s="7">
        <v>0</v>
      </c>
      <c r="AQ321" s="7">
        <v>-40405.951000000001</v>
      </c>
      <c r="AR321" s="7">
        <v>0</v>
      </c>
      <c r="AS321" s="7">
        <v>-41.085999999999999</v>
      </c>
      <c r="AT321" s="7">
        <v>0</v>
      </c>
      <c r="AU321" s="7">
        <v>-268.76100000000002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-1533.328</v>
      </c>
      <c r="BC321" s="7">
        <v>0</v>
      </c>
      <c r="BD321" s="7">
        <v>0</v>
      </c>
      <c r="BE321" s="7">
        <v>-468.23399999999998</v>
      </c>
      <c r="BF321" s="7">
        <v>-468.23399999999998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573</v>
      </c>
      <c r="B323" s="5" t="s">
        <v>574</v>
      </c>
      <c r="C323" s="7">
        <v>5</v>
      </c>
      <c r="D323" s="7">
        <v>5</v>
      </c>
      <c r="E323" s="7">
        <v>-56607.105000000003</v>
      </c>
      <c r="F323" s="7">
        <v>-8551.0370000000003</v>
      </c>
      <c r="G323" s="7">
        <v>0</v>
      </c>
      <c r="H323" s="7">
        <v>0</v>
      </c>
      <c r="I323" s="7">
        <v>-256.93200000000002</v>
      </c>
      <c r="J323" s="7">
        <v>0</v>
      </c>
      <c r="K323" s="7">
        <v>0</v>
      </c>
      <c r="L323" s="7">
        <v>-123755.02</v>
      </c>
      <c r="M323" s="7">
        <v>-2949.1239999999998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-2722.8850000000002</v>
      </c>
      <c r="T323" s="7">
        <v>0</v>
      </c>
      <c r="U323" s="7">
        <v>0</v>
      </c>
      <c r="V323" s="7">
        <v>0</v>
      </c>
      <c r="W323" s="7">
        <v>-884.64400000000001</v>
      </c>
      <c r="X323" s="7">
        <v>0</v>
      </c>
      <c r="Y323" s="7">
        <v>-29181.499</v>
      </c>
      <c r="Z323" s="7">
        <v>0</v>
      </c>
      <c r="AA323" s="7">
        <v>-5017.8010000000004</v>
      </c>
      <c r="AB323" s="7">
        <v>0</v>
      </c>
      <c r="AC323" s="7">
        <v>-1753.4179999999999</v>
      </c>
      <c r="AD323" s="7">
        <v>0</v>
      </c>
      <c r="AE323" s="7">
        <v>-76465.794999999998</v>
      </c>
      <c r="AF323" s="7">
        <v>-67564.798999999999</v>
      </c>
      <c r="AG323" s="7">
        <v>0</v>
      </c>
      <c r="AH323" s="7">
        <v>-221094.204</v>
      </c>
      <c r="AI323" s="7">
        <v>-98696.502999999997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-2455.201</v>
      </c>
      <c r="AP323" s="7">
        <v>0</v>
      </c>
      <c r="AQ323" s="7">
        <v>-27106.991000000002</v>
      </c>
      <c r="AR323" s="7">
        <v>0</v>
      </c>
      <c r="AS323" s="7">
        <v>-27.562999999999999</v>
      </c>
      <c r="AT323" s="7">
        <v>0</v>
      </c>
      <c r="AU323" s="7">
        <v>-180.303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-1028.6579999999999</v>
      </c>
      <c r="BC323" s="7">
        <v>0</v>
      </c>
      <c r="BD323" s="7">
        <v>0</v>
      </c>
      <c r="BE323" s="7">
        <v>-314.12299999999999</v>
      </c>
      <c r="BF323" s="7">
        <v>-314.12299999999999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575</v>
      </c>
      <c r="B324" s="5" t="s">
        <v>576</v>
      </c>
      <c r="C324" s="7">
        <v>6</v>
      </c>
      <c r="D324" s="7">
        <v>6</v>
      </c>
      <c r="E324" s="7">
        <v>53.548000000000002</v>
      </c>
      <c r="F324" s="7">
        <v>0</v>
      </c>
      <c r="G324" s="7">
        <v>0</v>
      </c>
      <c r="H324" s="7">
        <v>0</v>
      </c>
      <c r="I324" s="7">
        <v>75.528000000000006</v>
      </c>
      <c r="J324" s="7">
        <v>0</v>
      </c>
      <c r="K324" s="7">
        <v>0</v>
      </c>
      <c r="L324" s="7">
        <v>16120.05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585</v>
      </c>
      <c r="B329" s="5" t="s">
        <v>586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595</v>
      </c>
      <c r="B334" s="5" t="s">
        <v>596</v>
      </c>
      <c r="C334" s="7">
        <v>6</v>
      </c>
      <c r="D334" s="7">
        <v>6</v>
      </c>
      <c r="E334" s="7">
        <v>38981.597000000002</v>
      </c>
      <c r="F334" s="7">
        <v>2460.4160000000002</v>
      </c>
      <c r="G334" s="7">
        <v>2311.6120000000001</v>
      </c>
      <c r="H334" s="7">
        <v>1565.36</v>
      </c>
      <c r="I334" s="7">
        <v>460.226</v>
      </c>
      <c r="J334" s="7">
        <v>1468.5540000000001</v>
      </c>
      <c r="K334" s="7">
        <v>0</v>
      </c>
      <c r="L334" s="7">
        <v>22389.324000000001</v>
      </c>
      <c r="M334" s="7">
        <v>6320.8720000000003</v>
      </c>
      <c r="N334" s="7">
        <v>0</v>
      </c>
      <c r="O334" s="7">
        <v>0</v>
      </c>
      <c r="P334" s="7">
        <v>21.963000000000001</v>
      </c>
      <c r="Q334" s="7">
        <v>0</v>
      </c>
      <c r="R334" s="7">
        <v>13.775</v>
      </c>
      <c r="S334" s="7">
        <v>3.49</v>
      </c>
      <c r="T334" s="7">
        <v>0</v>
      </c>
      <c r="U334" s="7">
        <v>0</v>
      </c>
      <c r="V334" s="7">
        <v>429.89499999999998</v>
      </c>
      <c r="W334" s="7">
        <v>1115.2380000000001</v>
      </c>
      <c r="X334" s="7">
        <v>0</v>
      </c>
      <c r="Y334" s="7">
        <v>9175.5540000000001</v>
      </c>
      <c r="Z334" s="7">
        <v>0</v>
      </c>
      <c r="AA334" s="7">
        <v>3812.1410000000001</v>
      </c>
      <c r="AB334" s="7">
        <v>0</v>
      </c>
      <c r="AC334" s="7">
        <v>807.71100000000001</v>
      </c>
      <c r="AD334" s="7">
        <v>0</v>
      </c>
      <c r="AE334" s="7">
        <v>24785.159</v>
      </c>
      <c r="AF334" s="7">
        <v>258.43</v>
      </c>
      <c r="AG334" s="7">
        <v>0</v>
      </c>
      <c r="AH334" s="7">
        <v>79525.5</v>
      </c>
      <c r="AI334" s="7">
        <v>110.30200000000001</v>
      </c>
      <c r="AJ334" s="7">
        <v>0</v>
      </c>
      <c r="AK334" s="7">
        <v>0</v>
      </c>
      <c r="AL334" s="7">
        <v>11.792999999999999</v>
      </c>
      <c r="AM334" s="7">
        <v>0</v>
      </c>
      <c r="AN334" s="7">
        <v>0</v>
      </c>
      <c r="AO334" s="7">
        <v>2.403</v>
      </c>
      <c r="AP334" s="7">
        <v>51.61</v>
      </c>
      <c r="AQ334" s="7">
        <v>27.372</v>
      </c>
      <c r="AR334" s="7">
        <v>14.723000000000001</v>
      </c>
      <c r="AS334" s="7">
        <v>0</v>
      </c>
      <c r="AT334" s="7">
        <v>0</v>
      </c>
      <c r="AU334" s="7">
        <v>5.0970000000000004</v>
      </c>
      <c r="AV334" s="7">
        <v>40.030999999999999</v>
      </c>
      <c r="AW334" s="7">
        <v>77.132000000000005</v>
      </c>
      <c r="AX334" s="7">
        <v>0</v>
      </c>
      <c r="AY334" s="7">
        <v>1.081</v>
      </c>
      <c r="AZ334" s="7">
        <v>44.244999999999997</v>
      </c>
      <c r="BA334" s="7">
        <v>0</v>
      </c>
      <c r="BB334" s="7">
        <v>0.97299999999999998</v>
      </c>
      <c r="BC334" s="7">
        <v>0</v>
      </c>
      <c r="BD334" s="7">
        <v>54.718000000000004</v>
      </c>
      <c r="BE334" s="7">
        <v>0.28599999999999998</v>
      </c>
      <c r="BF334" s="7">
        <v>0.28599999999999998</v>
      </c>
      <c r="BG334" s="7">
        <v>19.085999999999999</v>
      </c>
      <c r="BH334" s="7">
        <v>0</v>
      </c>
      <c r="BI334" s="7">
        <v>0</v>
      </c>
      <c r="BJ334" s="21"/>
    </row>
    <row r="335" spans="1:62" ht="15.6" x14ac:dyDescent="0.3">
      <c r="A335" s="5" t="s">
        <v>597</v>
      </c>
      <c r="B335" s="5" t="s">
        <v>598</v>
      </c>
      <c r="C335" s="7">
        <v>6</v>
      </c>
      <c r="D335" s="7">
        <v>6</v>
      </c>
      <c r="E335" s="7">
        <v>-7838.29</v>
      </c>
      <c r="F335" s="7">
        <v>-1524.0340000000001</v>
      </c>
      <c r="G335" s="7">
        <v>-629.33299999999997</v>
      </c>
      <c r="H335" s="7">
        <v>-7916.8990000000003</v>
      </c>
      <c r="I335" s="7">
        <v>-267.10199999999998</v>
      </c>
      <c r="J335" s="7">
        <v>-577.68799999999999</v>
      </c>
      <c r="K335" s="7">
        <v>0</v>
      </c>
      <c r="L335" s="7">
        <v>-15081.553</v>
      </c>
      <c r="M335" s="7">
        <v>-2443.0940000000001</v>
      </c>
      <c r="N335" s="7">
        <v>-0.33300000000000002</v>
      </c>
      <c r="O335" s="7">
        <v>-8.6999999999999994E-2</v>
      </c>
      <c r="P335" s="7">
        <v>-64.164000000000001</v>
      </c>
      <c r="Q335" s="7">
        <v>0</v>
      </c>
      <c r="R335" s="7">
        <v>-128.76</v>
      </c>
      <c r="S335" s="7">
        <v>-18.812999999999999</v>
      </c>
      <c r="T335" s="7">
        <v>0</v>
      </c>
      <c r="U335" s="7">
        <v>0</v>
      </c>
      <c r="V335" s="7">
        <v>-40.237000000000002</v>
      </c>
      <c r="W335" s="7">
        <v>-109.253</v>
      </c>
      <c r="X335" s="7">
        <v>-9.5109999999999992</v>
      </c>
      <c r="Y335" s="7">
        <v>-1128.008</v>
      </c>
      <c r="Z335" s="7">
        <v>-0.71699999999999997</v>
      </c>
      <c r="AA335" s="7">
        <v>-394.41800000000001</v>
      </c>
      <c r="AB335" s="7">
        <v>-18.623000000000001</v>
      </c>
      <c r="AC335" s="7">
        <v>-66.128</v>
      </c>
      <c r="AD335" s="7">
        <v>0.33200000000000002</v>
      </c>
      <c r="AE335" s="7">
        <v>-3734.6309999999999</v>
      </c>
      <c r="AF335" s="7">
        <v>-48.564</v>
      </c>
      <c r="AG335" s="7">
        <v>1.2090000000000001</v>
      </c>
      <c r="AH335" s="7">
        <v>-21691.133999999998</v>
      </c>
      <c r="AI335" s="7">
        <v>-414.64800000000002</v>
      </c>
      <c r="AJ335" s="7">
        <v>-2.4870000000000001</v>
      </c>
      <c r="AK335" s="7">
        <v>-16.023</v>
      </c>
      <c r="AL335" s="7">
        <v>-0.373</v>
      </c>
      <c r="AM335" s="7">
        <v>0</v>
      </c>
      <c r="AN335" s="7">
        <v>-47.283000000000001</v>
      </c>
      <c r="AO335" s="7">
        <v>-0.85399999999999998</v>
      </c>
      <c r="AP335" s="7">
        <v>0</v>
      </c>
      <c r="AQ335" s="7">
        <v>-9.1140000000000008</v>
      </c>
      <c r="AR335" s="7">
        <v>0</v>
      </c>
      <c r="AS335" s="7">
        <v>-1.4430000000000001</v>
      </c>
      <c r="AT335" s="7">
        <v>0</v>
      </c>
      <c r="AU335" s="7">
        <v>4.1180000000000003</v>
      </c>
      <c r="AV335" s="7">
        <v>0</v>
      </c>
      <c r="AW335" s="7">
        <v>0</v>
      </c>
      <c r="AX335" s="7">
        <v>-77.269000000000005</v>
      </c>
      <c r="AY335" s="7">
        <v>4.9340000000000002</v>
      </c>
      <c r="AZ335" s="7">
        <v>0</v>
      </c>
      <c r="BA335" s="7">
        <v>0</v>
      </c>
      <c r="BB335" s="7">
        <v>-5.2919999999999998</v>
      </c>
      <c r="BC335" s="7">
        <v>0</v>
      </c>
      <c r="BD335" s="7">
        <v>0</v>
      </c>
      <c r="BE335" s="7">
        <v>-0.16800000000000001</v>
      </c>
      <c r="BF335" s="7">
        <v>-0.16800000000000001</v>
      </c>
      <c r="BG335" s="7">
        <v>0</v>
      </c>
      <c r="BH335" s="7">
        <v>-75.771000000000001</v>
      </c>
      <c r="BI335" s="7">
        <v>0</v>
      </c>
      <c r="BJ335" s="21"/>
    </row>
    <row r="336" spans="1:62" ht="15.6" x14ac:dyDescent="0.3">
      <c r="A336" s="5" t="s">
        <v>599</v>
      </c>
      <c r="B336" s="5" t="s">
        <v>600</v>
      </c>
      <c r="C336" s="7">
        <v>6</v>
      </c>
      <c r="D336" s="7">
        <v>6</v>
      </c>
      <c r="E336" s="7">
        <v>-1508.2850000000001</v>
      </c>
      <c r="F336" s="7">
        <v>-250.49100000000001</v>
      </c>
      <c r="G336" s="7">
        <v>-182.255</v>
      </c>
      <c r="H336" s="7">
        <v>-256.94099999999997</v>
      </c>
      <c r="I336" s="7">
        <v>-52.7</v>
      </c>
      <c r="J336" s="7">
        <v>-19.562999999999999</v>
      </c>
      <c r="K336" s="7">
        <v>-27.015999999999998</v>
      </c>
      <c r="L336" s="7">
        <v>-1490.954</v>
      </c>
      <c r="M336" s="7">
        <v>-90.358999999999995</v>
      </c>
      <c r="N336" s="7">
        <v>0</v>
      </c>
      <c r="O336" s="7">
        <v>0</v>
      </c>
      <c r="P336" s="7">
        <v>0</v>
      </c>
      <c r="Q336" s="7">
        <v>0</v>
      </c>
      <c r="R336" s="7">
        <v>-4.1000000000000002E-2</v>
      </c>
      <c r="S336" s="7">
        <v>0</v>
      </c>
      <c r="T336" s="7">
        <v>0</v>
      </c>
      <c r="U336" s="7">
        <v>-4.4470000000000001</v>
      </c>
      <c r="V336" s="7">
        <v>-29.157</v>
      </c>
      <c r="W336" s="7">
        <v>-46.676000000000002</v>
      </c>
      <c r="X336" s="7">
        <v>-18.716999999999999</v>
      </c>
      <c r="Y336" s="7">
        <v>-465.09500000000003</v>
      </c>
      <c r="Z336" s="7">
        <v>-5.8419999999999996</v>
      </c>
      <c r="AA336" s="7">
        <v>-101.77800000000001</v>
      </c>
      <c r="AB336" s="7">
        <v>-85.35</v>
      </c>
      <c r="AC336" s="7">
        <v>-58.01</v>
      </c>
      <c r="AD336" s="7">
        <v>-14.76</v>
      </c>
      <c r="AE336" s="7">
        <v>-695.24199999999996</v>
      </c>
      <c r="AF336" s="7">
        <v>-110.093</v>
      </c>
      <c r="AG336" s="7">
        <v>-5.1230000000000002</v>
      </c>
      <c r="AH336" s="7">
        <v>-2518.9949999999999</v>
      </c>
      <c r="AI336" s="7">
        <v>-416.495</v>
      </c>
      <c r="AJ336" s="7">
        <v>-29.626999999999999</v>
      </c>
      <c r="AK336" s="7">
        <v>-738.06</v>
      </c>
      <c r="AL336" s="7">
        <v>-360.721</v>
      </c>
      <c r="AM336" s="7">
        <v>-41.86</v>
      </c>
      <c r="AN336" s="7">
        <v>-525.47400000000005</v>
      </c>
      <c r="AO336" s="7">
        <v>-30.488</v>
      </c>
      <c r="AP336" s="7">
        <v>-2.9590000000000001</v>
      </c>
      <c r="AQ336" s="7">
        <v>-327.11700000000002</v>
      </c>
      <c r="AR336" s="7">
        <v>-2.214</v>
      </c>
      <c r="AS336" s="7">
        <v>0</v>
      </c>
      <c r="AT336" s="7">
        <v>0</v>
      </c>
      <c r="AU336" s="7">
        <v>0</v>
      </c>
      <c r="AV336" s="7">
        <v>-15.978</v>
      </c>
      <c r="AW336" s="7">
        <v>-32.372</v>
      </c>
      <c r="AX336" s="7">
        <v>-1.756</v>
      </c>
      <c r="AY336" s="7">
        <v>-3.375</v>
      </c>
      <c r="AZ336" s="7">
        <v>-25.504999999999999</v>
      </c>
      <c r="BA336" s="7">
        <v>-0.22600000000000001</v>
      </c>
      <c r="BB336" s="7">
        <v>-2.0960000000000001</v>
      </c>
      <c r="BC336" s="7">
        <v>-5.1479999999999997</v>
      </c>
      <c r="BD336" s="7">
        <v>-67.899000000000001</v>
      </c>
      <c r="BE336" s="7">
        <v>-2.1320000000000001</v>
      </c>
      <c r="BF336" s="7">
        <v>-2.1320000000000001</v>
      </c>
      <c r="BG336" s="7">
        <v>-142.79499999999999</v>
      </c>
      <c r="BH336" s="7">
        <v>-60.709000000000003</v>
      </c>
      <c r="BI336" s="7">
        <v>-8.49</v>
      </c>
      <c r="BJ336" s="21"/>
    </row>
    <row r="337" spans="1:62" ht="15.6" x14ac:dyDescent="0.3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21"/>
    </row>
    <row r="338" spans="1:62" ht="15.6" x14ac:dyDescent="0.3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 s="21"/>
    </row>
    <row r="339" spans="1:62" ht="15.6" x14ac:dyDescent="0.3">
      <c r="A339" s="5" t="s">
        <v>605</v>
      </c>
      <c r="B339" s="5" t="s">
        <v>606</v>
      </c>
      <c r="C339" s="5"/>
      <c r="D339" s="5"/>
      <c r="E339">
        <v>10187550.505999999</v>
      </c>
      <c r="F339">
        <v>1081299.1040000001</v>
      </c>
      <c r="G339">
        <v>1042661.545</v>
      </c>
      <c r="H339">
        <v>1124417.111</v>
      </c>
      <c r="I339">
        <v>134484.27499999999</v>
      </c>
      <c r="J339">
        <v>720844.96499999997</v>
      </c>
      <c r="K339">
        <v>266060.12099999998</v>
      </c>
      <c r="L339">
        <v>11070149.244000001</v>
      </c>
      <c r="M339">
        <v>2900076.6660000002</v>
      </c>
      <c r="N339">
        <v>15497.786</v>
      </c>
      <c r="O339">
        <v>15559.157999999999</v>
      </c>
      <c r="P339">
        <v>19320.484</v>
      </c>
      <c r="Q339">
        <v>14738.057000000001</v>
      </c>
      <c r="R339">
        <v>18446.699000000001</v>
      </c>
      <c r="S339">
        <v>346281.75900000002</v>
      </c>
      <c r="T339">
        <v>1011.856</v>
      </c>
      <c r="U339">
        <v>209236.576</v>
      </c>
      <c r="V339">
        <v>135623.77600000001</v>
      </c>
      <c r="W339">
        <v>276020.59700000001</v>
      </c>
      <c r="X339">
        <v>217838.304</v>
      </c>
      <c r="Y339">
        <v>2976552.2710000002</v>
      </c>
      <c r="Z339">
        <v>90692.938999999998</v>
      </c>
      <c r="AA339">
        <v>1530050.1440000001</v>
      </c>
      <c r="AB339">
        <v>503630.59899999999</v>
      </c>
      <c r="AC339">
        <v>200251.91899999999</v>
      </c>
      <c r="AD339">
        <v>68679.221999999994</v>
      </c>
      <c r="AE339">
        <v>8386749.1689999998</v>
      </c>
      <c r="AF339">
        <v>3531188.0550000002</v>
      </c>
      <c r="AG339">
        <v>351718.50099999999</v>
      </c>
      <c r="AH339">
        <v>23067713.749000002</v>
      </c>
      <c r="AI339">
        <v>5514554.4639999997</v>
      </c>
      <c r="AJ339">
        <v>452656.826</v>
      </c>
      <c r="AK339">
        <v>10063931.092</v>
      </c>
      <c r="AL339">
        <v>5284805.09</v>
      </c>
      <c r="AM339">
        <v>53993.324000000001</v>
      </c>
      <c r="AN339">
        <v>3494561.534</v>
      </c>
      <c r="AO339">
        <v>227973.106</v>
      </c>
      <c r="AP339">
        <v>104913.79700000001</v>
      </c>
      <c r="AQ339">
        <v>1399049.2390000001</v>
      </c>
      <c r="AR339">
        <v>29139.223999999998</v>
      </c>
      <c r="AS339">
        <v>3942.09</v>
      </c>
      <c r="AT339">
        <v>0</v>
      </c>
      <c r="AU339">
        <v>83588.622000000003</v>
      </c>
      <c r="AV339">
        <v>78009.777000000002</v>
      </c>
      <c r="AW339">
        <v>154900.09099999999</v>
      </c>
      <c r="AX339">
        <v>274289.39199999999</v>
      </c>
      <c r="AY339">
        <v>104280.004</v>
      </c>
      <c r="AZ339">
        <v>966548.92099999997</v>
      </c>
      <c r="BA339">
        <v>209394.908</v>
      </c>
      <c r="BB339">
        <v>98851.823999999993</v>
      </c>
      <c r="BC339">
        <v>47038.273000000001</v>
      </c>
      <c r="BD339">
        <v>1164661.5179999999</v>
      </c>
      <c r="BE339">
        <v>28954.649000000001</v>
      </c>
      <c r="BF339">
        <v>28954.649000000001</v>
      </c>
      <c r="BG339">
        <v>404710.837</v>
      </c>
      <c r="BH339">
        <v>263172.07299999997</v>
      </c>
      <c r="BI339">
        <v>14666.397999999999</v>
      </c>
      <c r="BJ339" s="21"/>
    </row>
    <row r="340" spans="1:62" x14ac:dyDescent="0.25">
      <c r="BJ340" s="21"/>
    </row>
    <row r="341" spans="1:62" ht="15.6" x14ac:dyDescent="0.3">
      <c r="A341" s="5" t="s">
        <v>607</v>
      </c>
      <c r="E341">
        <f t="shared" ref="E341:AW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>SUM(AM6:AM338)-AM339</f>
        <v>0</v>
      </c>
      <c r="AN341">
        <f>SUM(AN6:AN338)-AN339</f>
        <v>0</v>
      </c>
      <c r="AO341">
        <f>SUM(AO6:AO338)-AO339</f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>SUM(AX6:AX338)-AX339</f>
        <v>0</v>
      </c>
      <c r="AY341">
        <f t="shared" ref="AY341:BI341" si="1">SUM(AY6:AY338)-AY339</f>
        <v>0</v>
      </c>
      <c r="AZ341">
        <f t="shared" si="1"/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>
        <f t="shared" si="1"/>
        <v>0</v>
      </c>
      <c r="BJ341" s="21"/>
    </row>
    <row r="342" spans="1:62" x14ac:dyDescent="0.25">
      <c r="BJ342" s="21"/>
    </row>
    <row r="343" spans="1:62" x14ac:dyDescent="0.25">
      <c r="A343" t="s">
        <v>608</v>
      </c>
      <c r="D343">
        <v>1</v>
      </c>
      <c r="E343" s="16">
        <f t="shared" ref="E343:AW343" si="2">SUMIF($D$5:$D$337,$D$343,E5:E337)</f>
        <v>1341535.6539999999</v>
      </c>
      <c r="F343" s="16">
        <f t="shared" si="2"/>
        <v>159932.103</v>
      </c>
      <c r="G343" s="16">
        <f t="shared" si="2"/>
        <v>53938.085999999996</v>
      </c>
      <c r="H343" s="16">
        <f t="shared" si="2"/>
        <v>396.41199999999998</v>
      </c>
      <c r="I343" s="16">
        <f t="shared" si="2"/>
        <v>11348.310000000001</v>
      </c>
      <c r="J343" s="16">
        <f t="shared" si="2"/>
        <v>38406.193999999996</v>
      </c>
      <c r="K343" s="16">
        <f t="shared" si="2"/>
        <v>7021.3440000000001</v>
      </c>
      <c r="L343" s="16">
        <f t="shared" si="2"/>
        <v>2251813.585</v>
      </c>
      <c r="M343" s="16">
        <f t="shared" si="2"/>
        <v>155621.75600000002</v>
      </c>
      <c r="N343" s="16">
        <f>SUMIF($D$5:$D$337,$D$343,N5:N337)</f>
        <v>88.29</v>
      </c>
      <c r="O343" s="16">
        <f t="shared" si="2"/>
        <v>12135.766000000001</v>
      </c>
      <c r="P343" s="16">
        <f t="shared" si="2"/>
        <v>1034.17</v>
      </c>
      <c r="Q343" s="16">
        <f t="shared" si="2"/>
        <v>6693.6960000000008</v>
      </c>
      <c r="R343" s="16">
        <f t="shared" si="2"/>
        <v>2243.9969999999998</v>
      </c>
      <c r="S343" s="16">
        <f t="shared" si="2"/>
        <v>49686.402000000002</v>
      </c>
      <c r="T343" s="16">
        <f t="shared" si="2"/>
        <v>21.773000000000003</v>
      </c>
      <c r="U343" s="16">
        <f t="shared" si="2"/>
        <v>6406.5410000000002</v>
      </c>
      <c r="V343" s="16">
        <f t="shared" si="2"/>
        <v>6316.2669999999998</v>
      </c>
      <c r="W343" s="16">
        <f t="shared" si="2"/>
        <v>28533.303999999996</v>
      </c>
      <c r="X343" s="16">
        <f t="shared" si="2"/>
        <v>110714.442</v>
      </c>
      <c r="Y343" s="16">
        <f t="shared" si="2"/>
        <v>550984.80099999998</v>
      </c>
      <c r="Z343" s="16">
        <f t="shared" si="2"/>
        <v>52378.082999999999</v>
      </c>
      <c r="AA343" s="16">
        <f t="shared" si="2"/>
        <v>147148.10200000001</v>
      </c>
      <c r="AB343" s="16">
        <f t="shared" si="2"/>
        <v>400938.69099999999</v>
      </c>
      <c r="AC343" s="16">
        <f t="shared" si="2"/>
        <v>32874.211000000003</v>
      </c>
      <c r="AD343" s="16">
        <f t="shared" si="2"/>
        <v>20400.710000000003</v>
      </c>
      <c r="AE343" s="16">
        <f t="shared" si="2"/>
        <v>1553579.5110000002</v>
      </c>
      <c r="AF343" s="16">
        <f t="shared" si="2"/>
        <v>1046618.732</v>
      </c>
      <c r="AG343" s="16">
        <f t="shared" si="2"/>
        <v>128541.861</v>
      </c>
      <c r="AH343" s="16">
        <f t="shared" si="2"/>
        <v>4155016.77</v>
      </c>
      <c r="AI343" s="16">
        <f t="shared" si="2"/>
        <v>1534775.9210000001</v>
      </c>
      <c r="AJ343" s="16">
        <f t="shared" si="2"/>
        <v>252548.49500000002</v>
      </c>
      <c r="AK343" s="16">
        <f t="shared" si="2"/>
        <v>6764819.2149999999</v>
      </c>
      <c r="AL343" s="16">
        <f t="shared" si="2"/>
        <v>3549879.5560000003</v>
      </c>
      <c r="AM343" s="16">
        <f>SUMIF($D$5:$D$337,$D$343,AM5:AM337)</f>
        <v>1286.9760000000001</v>
      </c>
      <c r="AN343" s="16">
        <f>SUMIF($D$5:$D$337,$D$343,AN5:AN337)</f>
        <v>2348013.6809999999</v>
      </c>
      <c r="AO343" s="16">
        <f>SUMIF($D$5:$D$337,$D$343,AO5:AO337)</f>
        <v>41017.974999999999</v>
      </c>
      <c r="AP343" s="16">
        <f t="shared" si="2"/>
        <v>13235.391</v>
      </c>
      <c r="AQ343" s="16">
        <f t="shared" si="2"/>
        <v>416705.24599999998</v>
      </c>
      <c r="AR343" s="16">
        <f t="shared" si="2"/>
        <v>2896.6400000000003</v>
      </c>
      <c r="AS343" s="16">
        <f t="shared" si="2"/>
        <v>546.27800000000002</v>
      </c>
      <c r="AT343" s="16">
        <f t="shared" si="2"/>
        <v>0</v>
      </c>
      <c r="AU343" s="16">
        <f t="shared" si="2"/>
        <v>13785.851999999999</v>
      </c>
      <c r="AV343" s="16">
        <f t="shared" si="2"/>
        <v>7877.8240000000005</v>
      </c>
      <c r="AW343" s="16">
        <f t="shared" si="2"/>
        <v>17943.434000000001</v>
      </c>
      <c r="AX343" s="16">
        <f>SUMIF($D$5:$D$337,$D$343,AX5:AX337)</f>
        <v>139524.701</v>
      </c>
      <c r="AY343" s="16">
        <f t="shared" ref="AY343:BI343" si="3">SUMIF($D$5:$D$337,$D$343,AY5:AY337)</f>
        <v>7033.357</v>
      </c>
      <c r="AZ343" s="16">
        <f t="shared" si="3"/>
        <v>31663.948</v>
      </c>
      <c r="BA343" s="16">
        <f t="shared" si="3"/>
        <v>106079.76300000001</v>
      </c>
      <c r="BB343" s="16">
        <f t="shared" si="3"/>
        <v>20421.276999999998</v>
      </c>
      <c r="BC343" s="16">
        <f t="shared" si="3"/>
        <v>2780.3069999999998</v>
      </c>
      <c r="BD343" s="16">
        <f t="shared" si="3"/>
        <v>40514.029000000002</v>
      </c>
      <c r="BE343" s="16">
        <f t="shared" si="3"/>
        <v>5492.3440000000001</v>
      </c>
      <c r="BF343" s="16">
        <f t="shared" si="3"/>
        <v>5492.3440000000001</v>
      </c>
      <c r="BG343" s="16">
        <f t="shared" si="3"/>
        <v>12821.34</v>
      </c>
      <c r="BH343" s="16">
        <f t="shared" si="3"/>
        <v>160660.33800000002</v>
      </c>
      <c r="BI343" s="16">
        <f t="shared" si="3"/>
        <v>562.28100000000006</v>
      </c>
      <c r="BJ343" s="21"/>
    </row>
    <row r="344" spans="1:62" x14ac:dyDescent="0.25">
      <c r="A344" t="s">
        <v>609</v>
      </c>
      <c r="D344">
        <v>2</v>
      </c>
      <c r="E344" s="16">
        <f t="shared" ref="E344:AW344" si="4">SUMIF($D$5:$D$337,$D$344,E5:E337)</f>
        <v>2336960.9599999995</v>
      </c>
      <c r="F344" s="16">
        <f t="shared" si="4"/>
        <v>200874.29700000002</v>
      </c>
      <c r="G344" s="16">
        <f t="shared" si="4"/>
        <v>373339.68800000002</v>
      </c>
      <c r="H344" s="16">
        <f t="shared" si="4"/>
        <v>0</v>
      </c>
      <c r="I344" s="16">
        <f t="shared" si="4"/>
        <v>51272.52900000001</v>
      </c>
      <c r="J344" s="16">
        <f t="shared" si="4"/>
        <v>239744.59900000002</v>
      </c>
      <c r="K344" s="16">
        <f t="shared" si="4"/>
        <v>187977.489</v>
      </c>
      <c r="L344" s="16">
        <f t="shared" si="4"/>
        <v>1171781.7040000001</v>
      </c>
      <c r="M344" s="16">
        <f t="shared" si="4"/>
        <v>672377.93900000001</v>
      </c>
      <c r="N344" s="16">
        <f>SUMIF($D$5:$D$337,$D$344,N5:N337)</f>
        <v>12456.078</v>
      </c>
      <c r="O344" s="16">
        <f t="shared" si="4"/>
        <v>141.10599999999999</v>
      </c>
      <c r="P344" s="16">
        <f t="shared" si="4"/>
        <v>15567.208000000001</v>
      </c>
      <c r="Q344" s="16">
        <f t="shared" si="4"/>
        <v>2466.1579999999999</v>
      </c>
      <c r="R344" s="16">
        <f t="shared" si="4"/>
        <v>3534.7020000000002</v>
      </c>
      <c r="S344" s="16">
        <f t="shared" si="4"/>
        <v>61883.735000000008</v>
      </c>
      <c r="T344" s="16">
        <f t="shared" si="4"/>
        <v>990.08299999999997</v>
      </c>
      <c r="U344" s="16">
        <f t="shared" si="4"/>
        <v>158895.47200000001</v>
      </c>
      <c r="V344" s="16">
        <f t="shared" si="4"/>
        <v>39057.270999999993</v>
      </c>
      <c r="W344" s="16">
        <f t="shared" si="4"/>
        <v>63173.839</v>
      </c>
      <c r="X344" s="16">
        <f t="shared" si="4"/>
        <v>30448.856</v>
      </c>
      <c r="Y344" s="16">
        <f t="shared" si="4"/>
        <v>600725.98599999992</v>
      </c>
      <c r="Z344" s="16">
        <f t="shared" si="4"/>
        <v>338.47800000000001</v>
      </c>
      <c r="AA344" s="16">
        <f t="shared" si="4"/>
        <v>523130.576</v>
      </c>
      <c r="AB344" s="16">
        <f t="shared" si="4"/>
        <v>3282.402</v>
      </c>
      <c r="AC344" s="16">
        <f t="shared" si="4"/>
        <v>30057.518</v>
      </c>
      <c r="AD344" s="16">
        <f t="shared" si="4"/>
        <v>11784.873</v>
      </c>
      <c r="AE344" s="16">
        <f t="shared" si="4"/>
        <v>1612445.6560000002</v>
      </c>
      <c r="AF344" s="16">
        <f t="shared" si="4"/>
        <v>222954.57399999999</v>
      </c>
      <c r="AG344" s="16">
        <f t="shared" si="4"/>
        <v>49627.937999999995</v>
      </c>
      <c r="AH344" s="16">
        <f t="shared" si="4"/>
        <v>3362606.591</v>
      </c>
      <c r="AI344" s="16">
        <f t="shared" si="4"/>
        <v>326127.50799999997</v>
      </c>
      <c r="AJ344" s="16">
        <f t="shared" si="4"/>
        <v>1570.6679999999999</v>
      </c>
      <c r="AK344" s="16">
        <f t="shared" si="4"/>
        <v>1043546.254</v>
      </c>
      <c r="AL344" s="16">
        <f t="shared" si="4"/>
        <v>548769.01500000001</v>
      </c>
      <c r="AM344" s="16">
        <f>SUMIF($D$5:$D$337,$D$344,AM5:AM337)</f>
        <v>41347.201999999997</v>
      </c>
      <c r="AN344" s="16">
        <f>SUMIF($D$5:$D$337,$D$344,AN5:AN337)</f>
        <v>362758.55300000001</v>
      </c>
      <c r="AO344" s="16">
        <f>SUMIF($D$5:$D$337,$D$344,AO5:AO337)</f>
        <v>38661.216</v>
      </c>
      <c r="AP344" s="16">
        <f t="shared" si="4"/>
        <v>0</v>
      </c>
      <c r="AQ344" s="16">
        <f t="shared" si="4"/>
        <v>89427.426000000007</v>
      </c>
      <c r="AR344" s="16">
        <f t="shared" si="4"/>
        <v>0</v>
      </c>
      <c r="AS344" s="16">
        <f t="shared" si="4"/>
        <v>1473.8609999999996</v>
      </c>
      <c r="AT344" s="16">
        <f t="shared" si="4"/>
        <v>0</v>
      </c>
      <c r="AU344" s="16">
        <f t="shared" si="4"/>
        <v>31317.702999999998</v>
      </c>
      <c r="AV344" s="16">
        <f t="shared" si="4"/>
        <v>0</v>
      </c>
      <c r="AW344" s="16">
        <f t="shared" si="4"/>
        <v>0</v>
      </c>
      <c r="AX344" s="16">
        <f>SUMIF($D$5:$D$337,$D$344,AX5:AX337)</f>
        <v>38317.841999999997</v>
      </c>
      <c r="AY344" s="16">
        <f t="shared" ref="AY344:BI344" si="5">SUMIF($D$5:$D$337,$D$344,AY5:AY337)</f>
        <v>26809.476999999999</v>
      </c>
      <c r="AZ344" s="16">
        <f t="shared" si="5"/>
        <v>2172.7469999999998</v>
      </c>
      <c r="BA344" s="16">
        <f t="shared" si="5"/>
        <v>29365.142</v>
      </c>
      <c r="BB344" s="16">
        <f t="shared" si="5"/>
        <v>16957.916000000001</v>
      </c>
      <c r="BC344" s="16">
        <f t="shared" si="5"/>
        <v>13211.453000000001</v>
      </c>
      <c r="BD344" s="16">
        <f t="shared" si="5"/>
        <v>2687.058</v>
      </c>
      <c r="BE344" s="16">
        <f t="shared" si="5"/>
        <v>4943.7649999999994</v>
      </c>
      <c r="BF344" s="16">
        <f t="shared" si="5"/>
        <v>4943.7649999999994</v>
      </c>
      <c r="BG344" s="16">
        <f t="shared" si="5"/>
        <v>937.24400000000003</v>
      </c>
      <c r="BH344" s="16">
        <f t="shared" si="5"/>
        <v>15710.347</v>
      </c>
      <c r="BI344" s="16">
        <f t="shared" si="5"/>
        <v>3714.9259999999999</v>
      </c>
      <c r="BJ344" s="21"/>
    </row>
    <row r="345" spans="1:62" x14ac:dyDescent="0.25">
      <c r="A345" t="s">
        <v>610</v>
      </c>
      <c r="D345">
        <v>3</v>
      </c>
      <c r="E345" s="16">
        <f t="shared" ref="E345:AW345" si="6">SUMIF($D$5:$D$337,$D$345,E5:E337)</f>
        <v>2075650.6639999996</v>
      </c>
      <c r="F345" s="16">
        <f t="shared" si="6"/>
        <v>287985.68400000007</v>
      </c>
      <c r="G345" s="16">
        <f t="shared" si="6"/>
        <v>466718.58799999999</v>
      </c>
      <c r="H345" s="16">
        <f t="shared" si="6"/>
        <v>55788.651000000005</v>
      </c>
      <c r="I345" s="16">
        <f t="shared" si="6"/>
        <v>42639.675999999999</v>
      </c>
      <c r="J345" s="16">
        <f t="shared" si="6"/>
        <v>315673.03400000004</v>
      </c>
      <c r="K345" s="16">
        <f t="shared" si="6"/>
        <v>38177.233999999997</v>
      </c>
      <c r="L345" s="16">
        <f t="shared" si="6"/>
        <v>987147.9319999998</v>
      </c>
      <c r="M345" s="16">
        <f t="shared" si="6"/>
        <v>941873.29200000013</v>
      </c>
      <c r="N345" s="16">
        <f>SUMIF($D$5:$D$337,$D$345,N5:N337)</f>
        <v>2953.7510000000002</v>
      </c>
      <c r="O345" s="16">
        <f t="shared" si="6"/>
        <v>0</v>
      </c>
      <c r="P345" s="16">
        <f t="shared" si="6"/>
        <v>51.875000000000007</v>
      </c>
      <c r="Q345" s="16">
        <f t="shared" si="6"/>
        <v>4282.8010000000004</v>
      </c>
      <c r="R345" s="16">
        <f t="shared" si="6"/>
        <v>11892.093999999999</v>
      </c>
      <c r="S345" s="16">
        <f t="shared" si="6"/>
        <v>120189.584</v>
      </c>
      <c r="T345" s="16">
        <f t="shared" si="6"/>
        <v>0</v>
      </c>
      <c r="U345" s="16">
        <f t="shared" si="6"/>
        <v>32270.83</v>
      </c>
      <c r="V345" s="16">
        <f t="shared" si="6"/>
        <v>68617.292000000001</v>
      </c>
      <c r="W345" s="16">
        <f t="shared" si="6"/>
        <v>94352.090000000011</v>
      </c>
      <c r="X345" s="16">
        <f t="shared" si="6"/>
        <v>0</v>
      </c>
      <c r="Y345" s="16">
        <f t="shared" si="6"/>
        <v>420716.08800000005</v>
      </c>
      <c r="Z345" s="16">
        <f t="shared" si="6"/>
        <v>5340.1980000000003</v>
      </c>
      <c r="AA345" s="16">
        <f t="shared" si="6"/>
        <v>562571.50800000003</v>
      </c>
      <c r="AB345" s="16">
        <f t="shared" si="6"/>
        <v>0</v>
      </c>
      <c r="AC345" s="16">
        <f t="shared" si="6"/>
        <v>50950.705000000002</v>
      </c>
      <c r="AD345" s="16">
        <f t="shared" si="6"/>
        <v>13792.138000000001</v>
      </c>
      <c r="AE345" s="16">
        <f t="shared" si="6"/>
        <v>1080106.8219999999</v>
      </c>
      <c r="AF345" s="16">
        <f t="shared" si="6"/>
        <v>45982.807999999997</v>
      </c>
      <c r="AG345" s="16">
        <f t="shared" si="6"/>
        <v>56183.833999999995</v>
      </c>
      <c r="AH345" s="16">
        <f t="shared" si="6"/>
        <v>2550181.5429999996</v>
      </c>
      <c r="AI345" s="16">
        <f t="shared" si="6"/>
        <v>72169.236000000004</v>
      </c>
      <c r="AJ345" s="16">
        <f t="shared" si="6"/>
        <v>25817.06</v>
      </c>
      <c r="AK345" s="16">
        <f t="shared" si="6"/>
        <v>0</v>
      </c>
      <c r="AL345" s="16">
        <f t="shared" si="6"/>
        <v>0</v>
      </c>
      <c r="AM345" s="16">
        <f>SUMIF($D$5:$D$337,$D$345,AM5:AM337)</f>
        <v>8397.3979999999992</v>
      </c>
      <c r="AN345" s="16">
        <f>SUMIF($D$5:$D$337,$D$345,AN5:AN337)</f>
        <v>0</v>
      </c>
      <c r="AO345" s="16">
        <f>SUMIF($D$5:$D$337,$D$345,AO5:AO337)</f>
        <v>66770.273000000016</v>
      </c>
      <c r="AP345" s="16">
        <f t="shared" si="6"/>
        <v>0</v>
      </c>
      <c r="AQ345" s="16">
        <f t="shared" si="6"/>
        <v>17994.188000000002</v>
      </c>
      <c r="AR345" s="16">
        <f t="shared" si="6"/>
        <v>0</v>
      </c>
      <c r="AS345" s="16">
        <f t="shared" si="6"/>
        <v>864.77100000000007</v>
      </c>
      <c r="AT345" s="16">
        <f t="shared" si="6"/>
        <v>0</v>
      </c>
      <c r="AU345" s="16">
        <f t="shared" si="6"/>
        <v>25709.485000000001</v>
      </c>
      <c r="AV345" s="16">
        <f t="shared" si="6"/>
        <v>0</v>
      </c>
      <c r="AW345" s="16">
        <f t="shared" si="6"/>
        <v>0</v>
      </c>
      <c r="AX345" s="16">
        <f>SUMIF($D$5:$D$337,$D$345,AX5:AX337)</f>
        <v>0</v>
      </c>
      <c r="AY345" s="16">
        <f t="shared" ref="AY345:BI345" si="7">SUMIF($D$5:$D$337,$D$345,AY5:AY337)</f>
        <v>45927.092000000004</v>
      </c>
      <c r="AZ345" s="16">
        <f t="shared" si="7"/>
        <v>28937.234</v>
      </c>
      <c r="BA345" s="16">
        <f t="shared" si="7"/>
        <v>0</v>
      </c>
      <c r="BB345" s="16">
        <f t="shared" si="7"/>
        <v>28025.923999999995</v>
      </c>
      <c r="BC345" s="16">
        <f t="shared" si="7"/>
        <v>29065.967000000004</v>
      </c>
      <c r="BD345" s="16">
        <f t="shared" si="7"/>
        <v>35786.953999999998</v>
      </c>
      <c r="BE345" s="16">
        <f t="shared" si="7"/>
        <v>8533.8649999999998</v>
      </c>
      <c r="BF345" s="16">
        <f t="shared" si="7"/>
        <v>8533.8649999999998</v>
      </c>
      <c r="BG345" s="16">
        <f t="shared" si="7"/>
        <v>12482.465</v>
      </c>
      <c r="BH345" s="16">
        <f t="shared" si="7"/>
        <v>16705.542000000001</v>
      </c>
      <c r="BI345" s="16">
        <f t="shared" si="7"/>
        <v>9742.2049999999999</v>
      </c>
      <c r="BJ345" s="21"/>
    </row>
    <row r="346" spans="1:62" x14ac:dyDescent="0.25">
      <c r="A346" t="s">
        <v>611</v>
      </c>
      <c r="B346">
        <v>7</v>
      </c>
      <c r="D346">
        <v>4</v>
      </c>
      <c r="E346" s="16">
        <f t="shared" ref="E346:AW346" si="8">SUMIF($D$5:$D$337,$D$346,E5:E337)</f>
        <v>1692047.149</v>
      </c>
      <c r="F346" s="16">
        <f t="shared" si="8"/>
        <v>326602.06400000001</v>
      </c>
      <c r="G346" s="16">
        <f t="shared" si="8"/>
        <v>993.44200000000001</v>
      </c>
      <c r="H346" s="16">
        <f t="shared" si="8"/>
        <v>63713.866000000002</v>
      </c>
      <c r="I346" s="16">
        <f t="shared" si="8"/>
        <v>7964.3810000000003</v>
      </c>
      <c r="J346" s="16">
        <f t="shared" si="8"/>
        <v>724.18799999999999</v>
      </c>
      <c r="K346" s="16">
        <f t="shared" si="8"/>
        <v>0</v>
      </c>
      <c r="L346" s="16">
        <f t="shared" si="8"/>
        <v>4014830.6340000001</v>
      </c>
      <c r="M346" s="16">
        <f t="shared" si="8"/>
        <v>151720.61600000001</v>
      </c>
      <c r="N346" s="16">
        <f>SUMIF($D$5:$D$337,$D$346,N5:N337)</f>
        <v>0</v>
      </c>
      <c r="O346" s="16">
        <f t="shared" si="8"/>
        <v>3326.721</v>
      </c>
      <c r="P346" s="16">
        <f t="shared" si="8"/>
        <v>40.797000000000004</v>
      </c>
      <c r="Q346" s="16">
        <f t="shared" si="8"/>
        <v>1301.0639999999999</v>
      </c>
      <c r="R346" s="16">
        <f t="shared" si="8"/>
        <v>90.317999999999998</v>
      </c>
      <c r="S346" s="16">
        <f t="shared" si="8"/>
        <v>103632.03000000001</v>
      </c>
      <c r="T346" s="16">
        <f t="shared" si="8"/>
        <v>0</v>
      </c>
      <c r="U346" s="16">
        <f t="shared" si="8"/>
        <v>0</v>
      </c>
      <c r="V346" s="16">
        <f t="shared" si="8"/>
        <v>188.70999999999998</v>
      </c>
      <c r="W346" s="16">
        <f t="shared" si="8"/>
        <v>35482.657999999996</v>
      </c>
      <c r="X346" s="16">
        <f t="shared" si="8"/>
        <v>77489.845000000001</v>
      </c>
      <c r="Y346" s="16">
        <f t="shared" si="8"/>
        <v>859142.54599999974</v>
      </c>
      <c r="Z346" s="16">
        <f t="shared" si="8"/>
        <v>33279.495000000003</v>
      </c>
      <c r="AA346" s="16">
        <f t="shared" si="8"/>
        <v>138721.446</v>
      </c>
      <c r="AB346" s="16">
        <f t="shared" si="8"/>
        <v>101846.72399999999</v>
      </c>
      <c r="AC346" s="16">
        <f t="shared" si="8"/>
        <v>66102.775999999998</v>
      </c>
      <c r="AD346" s="16">
        <f t="shared" si="8"/>
        <v>22701.530000000002</v>
      </c>
      <c r="AE346" s="16">
        <f t="shared" si="8"/>
        <v>2309264.4480000008</v>
      </c>
      <c r="AF346" s="16">
        <f t="shared" si="8"/>
        <v>2225611.19</v>
      </c>
      <c r="AG346" s="16">
        <f t="shared" si="8"/>
        <v>102540.428</v>
      </c>
      <c r="AH346" s="16">
        <f t="shared" si="8"/>
        <v>6789528.915</v>
      </c>
      <c r="AI346" s="16">
        <f t="shared" si="8"/>
        <v>3419199.4730000002</v>
      </c>
      <c r="AJ346" s="16">
        <f t="shared" si="8"/>
        <v>176102.82399999999</v>
      </c>
      <c r="AK346" s="16">
        <f t="shared" si="8"/>
        <v>2460909.327</v>
      </c>
      <c r="AL346" s="16">
        <f t="shared" si="8"/>
        <v>1294116.8459999999</v>
      </c>
      <c r="AM346" s="16">
        <f>SUMIF($D$5:$D$337,$D$346,AM5:AM337)</f>
        <v>0</v>
      </c>
      <c r="AN346" s="16">
        <f>SUMIF($D$5:$D$337,$D$346,AN5:AN337)</f>
        <v>855463.67</v>
      </c>
      <c r="AO346" s="16">
        <f>SUMIF($D$5:$D$337,$D$346,AO5:AO337)</f>
        <v>78651.485000000001</v>
      </c>
      <c r="AP346" s="16">
        <f t="shared" si="8"/>
        <v>91629.755000000005</v>
      </c>
      <c r="AQ346" s="16">
        <f t="shared" si="8"/>
        <v>882646.26799999969</v>
      </c>
      <c r="AR346" s="16">
        <f t="shared" si="8"/>
        <v>26230.075000000001</v>
      </c>
      <c r="AS346" s="16">
        <f t="shared" si="8"/>
        <v>992.19599999999991</v>
      </c>
      <c r="AT346" s="16">
        <f t="shared" si="8"/>
        <v>0</v>
      </c>
      <c r="AU346" s="16">
        <f t="shared" si="8"/>
        <v>11157.409999999998</v>
      </c>
      <c r="AV346" s="16">
        <f t="shared" si="8"/>
        <v>70107.899999999994</v>
      </c>
      <c r="AW346" s="16">
        <f t="shared" si="8"/>
        <v>136911.897</v>
      </c>
      <c r="AX346" s="16">
        <f>SUMIF($D$5:$D$337,$D$346,AX5:AX337)</f>
        <v>97515.770999999993</v>
      </c>
      <c r="AY346" s="16">
        <f t="shared" ref="AY346:BI346" si="9">SUMIF($D$5:$D$337,$D$346,AY5:AY337)</f>
        <v>20073.733000000004</v>
      </c>
      <c r="AZ346" s="16">
        <f t="shared" si="9"/>
        <v>842919.24900000007</v>
      </c>
      <c r="BA346" s="16">
        <f t="shared" si="9"/>
        <v>74731.884000000005</v>
      </c>
      <c r="BB346" s="16">
        <f t="shared" si="9"/>
        <v>32333.681999999997</v>
      </c>
      <c r="BC346" s="16">
        <f t="shared" si="9"/>
        <v>72.86</v>
      </c>
      <c r="BD346" s="16">
        <f t="shared" si="9"/>
        <v>1010272.503</v>
      </c>
      <c r="BE346" s="16">
        <f t="shared" si="9"/>
        <v>9659.1129999999994</v>
      </c>
      <c r="BF346" s="16">
        <f t="shared" si="9"/>
        <v>9659.1129999999994</v>
      </c>
      <c r="BG346" s="16">
        <f t="shared" si="9"/>
        <v>352382.35800000001</v>
      </c>
      <c r="BH346" s="16">
        <f t="shared" si="9"/>
        <v>72209.016000000003</v>
      </c>
      <c r="BI346" s="16">
        <f t="shared" si="9"/>
        <v>24.341000000000001</v>
      </c>
      <c r="BJ346" s="21"/>
    </row>
    <row r="347" spans="1:62" x14ac:dyDescent="0.25">
      <c r="A347" t="s">
        <v>612</v>
      </c>
      <c r="D347">
        <v>5</v>
      </c>
      <c r="E347" s="16">
        <f t="shared" ref="E347:AW347" si="10">SUMIF($D$5:$D$337,$D$347,E5:E337)</f>
        <v>701170.17800000007</v>
      </c>
      <c r="F347" s="16">
        <f t="shared" si="10"/>
        <v>26220.756999999994</v>
      </c>
      <c r="G347" s="16">
        <f t="shared" si="10"/>
        <v>74638.146000000008</v>
      </c>
      <c r="H347" s="16">
        <f t="shared" si="10"/>
        <v>978688.25199999986</v>
      </c>
      <c r="I347" s="16">
        <f t="shared" si="10"/>
        <v>10447.628999999999</v>
      </c>
      <c r="J347" s="16">
        <f t="shared" si="10"/>
        <v>76120.337</v>
      </c>
      <c r="K347" s="16">
        <f t="shared" si="10"/>
        <v>22567.656999999999</v>
      </c>
      <c r="L347" s="16">
        <f t="shared" si="10"/>
        <v>283935.9169999999</v>
      </c>
      <c r="M347" s="16">
        <f t="shared" si="10"/>
        <v>407125.58399999997</v>
      </c>
      <c r="N347" s="16">
        <f>SUMIF($D$5:$D$337,$D$347,N5:N337)</f>
        <v>0</v>
      </c>
      <c r="O347" s="16">
        <f t="shared" si="10"/>
        <v>0</v>
      </c>
      <c r="P347" s="16">
        <f t="shared" si="10"/>
        <v>1553.4190000000001</v>
      </c>
      <c r="Q347" s="16">
        <f t="shared" si="10"/>
        <v>0</v>
      </c>
      <c r="R347" s="16">
        <f t="shared" si="10"/>
        <v>43.403999999999996</v>
      </c>
      <c r="S347" s="16">
        <f t="shared" si="10"/>
        <v>-6781.6440000000002</v>
      </c>
      <c r="T347" s="16">
        <f t="shared" si="10"/>
        <v>0</v>
      </c>
      <c r="U347" s="16">
        <f t="shared" si="10"/>
        <v>2924.9969999999998</v>
      </c>
      <c r="V347" s="16">
        <f t="shared" si="10"/>
        <v>12388.413</v>
      </c>
      <c r="W347" s="16">
        <f t="shared" si="10"/>
        <v>34077.574999999997</v>
      </c>
      <c r="X347" s="16">
        <f t="shared" si="10"/>
        <v>0</v>
      </c>
      <c r="Y347" s="16">
        <f t="shared" si="10"/>
        <v>139302.364</v>
      </c>
      <c r="Z347" s="16">
        <f t="shared" si="10"/>
        <v>0</v>
      </c>
      <c r="AA347" s="16">
        <f t="shared" si="10"/>
        <v>52803.131000000008</v>
      </c>
      <c r="AB347" s="16">
        <f t="shared" si="10"/>
        <v>0</v>
      </c>
      <c r="AC347" s="16">
        <f t="shared" si="10"/>
        <v>6840.4230000000007</v>
      </c>
      <c r="AD347" s="16">
        <f t="shared" si="10"/>
        <v>0</v>
      </c>
      <c r="AE347" s="16">
        <f t="shared" si="10"/>
        <v>434234.9819999999</v>
      </c>
      <c r="AF347" s="16">
        <f t="shared" si="10"/>
        <v>-160890.826</v>
      </c>
      <c r="AG347" s="16">
        <f t="shared" si="10"/>
        <v>14522.696</v>
      </c>
      <c r="AH347" s="16">
        <f t="shared" si="10"/>
        <v>1372464.1640000001</v>
      </c>
      <c r="AI347" s="16">
        <f t="shared" si="10"/>
        <v>-120397.98299999999</v>
      </c>
      <c r="AJ347" s="16">
        <f t="shared" si="10"/>
        <v>5.609</v>
      </c>
      <c r="AK347" s="16">
        <f t="shared" si="10"/>
        <v>259.85700000000003</v>
      </c>
      <c r="AL347" s="16">
        <f t="shared" si="10"/>
        <v>113.041</v>
      </c>
      <c r="AM347" s="16">
        <f>SUMIF($D$5:$D$337,$D$347,AM5:AM337)</f>
        <v>728.48800000000006</v>
      </c>
      <c r="AN347" s="16">
        <f>SUMIF($D$5:$D$337,$D$347,AN5:AN337)</f>
        <v>108.36</v>
      </c>
      <c r="AO347" s="16">
        <f>SUMIF($D$5:$D$337,$D$347,AO5:AO337)</f>
        <v>-6114.9480000000003</v>
      </c>
      <c r="AP347" s="16">
        <f t="shared" si="10"/>
        <v>0</v>
      </c>
      <c r="AQ347" s="16">
        <f t="shared" si="10"/>
        <v>-51759.531000000003</v>
      </c>
      <c r="AR347" s="16">
        <f t="shared" si="10"/>
        <v>0</v>
      </c>
      <c r="AS347" s="16">
        <f t="shared" si="10"/>
        <v>-68.649000000000001</v>
      </c>
      <c r="AT347" s="16">
        <f t="shared" si="10"/>
        <v>0</v>
      </c>
      <c r="AU347" s="16">
        <f t="shared" si="10"/>
        <v>-449.06100000000004</v>
      </c>
      <c r="AV347" s="16">
        <f t="shared" si="10"/>
        <v>0</v>
      </c>
      <c r="AW347" s="16">
        <f t="shared" si="10"/>
        <v>0</v>
      </c>
      <c r="AX347" s="16">
        <f>SUMIF($D$5:$D$337,$D$347,AX5:AX337)</f>
        <v>0</v>
      </c>
      <c r="AY347" s="16">
        <f t="shared" ref="AY347:BI347" si="11">SUMIF($D$5:$D$337,$D$347,AY5:AY337)</f>
        <v>0</v>
      </c>
      <c r="AZ347" s="16">
        <f t="shared" si="11"/>
        <v>0</v>
      </c>
      <c r="BA347" s="16">
        <f t="shared" si="11"/>
        <v>0</v>
      </c>
      <c r="BB347" s="16">
        <f t="shared" si="11"/>
        <v>-2561.9859999999999</v>
      </c>
      <c r="BC347" s="16">
        <f t="shared" si="11"/>
        <v>0</v>
      </c>
      <c r="BD347" s="16">
        <f t="shared" si="11"/>
        <v>0</v>
      </c>
      <c r="BE347" s="16">
        <f t="shared" si="11"/>
        <v>-782.35699999999997</v>
      </c>
      <c r="BF347" s="16">
        <f t="shared" si="11"/>
        <v>-782.35699999999997</v>
      </c>
      <c r="BG347" s="16">
        <f t="shared" si="11"/>
        <v>0</v>
      </c>
      <c r="BH347" s="16">
        <f t="shared" si="11"/>
        <v>0</v>
      </c>
      <c r="BI347" s="16">
        <f t="shared" si="11"/>
        <v>0</v>
      </c>
      <c r="BJ347" s="21"/>
    </row>
    <row r="348" spans="1:62" x14ac:dyDescent="0.25">
      <c r="A348" t="s">
        <v>613</v>
      </c>
      <c r="B348">
        <v>7</v>
      </c>
      <c r="D348">
        <v>6</v>
      </c>
      <c r="E348" s="16">
        <f t="shared" ref="E348:AW348" si="12">SUMIF($D$5:$D$337,$D$348,E5:E337)+SUMIF($D$5:$D$337,$B$348,E5:E337)</f>
        <v>2040185.9010000001</v>
      </c>
      <c r="F348" s="16">
        <f t="shared" si="12"/>
        <v>79684.198999999993</v>
      </c>
      <c r="G348" s="16">
        <f t="shared" si="12"/>
        <v>73033.594999999972</v>
      </c>
      <c r="H348" s="16">
        <f t="shared" si="12"/>
        <v>25829.929999999997</v>
      </c>
      <c r="I348" s="16">
        <f t="shared" si="12"/>
        <v>10811.75</v>
      </c>
      <c r="J348" s="16">
        <f t="shared" si="12"/>
        <v>50176.612999999983</v>
      </c>
      <c r="K348" s="16">
        <f t="shared" si="12"/>
        <v>10316.397000000001</v>
      </c>
      <c r="L348" s="16">
        <f t="shared" si="12"/>
        <v>2360639.4720000005</v>
      </c>
      <c r="M348" s="16">
        <f t="shared" si="12"/>
        <v>571357.47900000005</v>
      </c>
      <c r="N348" s="16">
        <f>SUMIF($D$5:$D$337,$D$348,N5:N337)+SUMIF($D$5:$D$337,$B$348,N5:N337)</f>
        <v>-0.33300000000000002</v>
      </c>
      <c r="O348" s="16">
        <f t="shared" si="12"/>
        <v>-44.435000000000002</v>
      </c>
      <c r="P348" s="16">
        <f t="shared" si="12"/>
        <v>1073.0149999999996</v>
      </c>
      <c r="Q348" s="16">
        <f t="shared" si="12"/>
        <v>-5.6620000000000061</v>
      </c>
      <c r="R348" s="16">
        <f t="shared" si="12"/>
        <v>642.18399999999974</v>
      </c>
      <c r="S348" s="16">
        <f t="shared" si="12"/>
        <v>17671.652000000002</v>
      </c>
      <c r="T348" s="16">
        <f t="shared" si="12"/>
        <v>0</v>
      </c>
      <c r="U348" s="16">
        <f t="shared" si="12"/>
        <v>8738.7360000000008</v>
      </c>
      <c r="V348" s="16">
        <f t="shared" si="12"/>
        <v>9055.823000000004</v>
      </c>
      <c r="W348" s="16">
        <f t="shared" si="12"/>
        <v>20401.131000000001</v>
      </c>
      <c r="X348" s="16">
        <f t="shared" si="12"/>
        <v>-814.83900000000006</v>
      </c>
      <c r="Y348" s="16">
        <f t="shared" si="12"/>
        <v>405680.48600000015</v>
      </c>
      <c r="Z348" s="16">
        <f t="shared" si="12"/>
        <v>-643.31499999999983</v>
      </c>
      <c r="AA348" s="16">
        <f t="shared" si="12"/>
        <v>105675.38099999998</v>
      </c>
      <c r="AB348" s="16">
        <f t="shared" si="12"/>
        <v>-2437.2180000000003</v>
      </c>
      <c r="AC348" s="16">
        <f t="shared" si="12"/>
        <v>13426.285999999998</v>
      </c>
      <c r="AD348" s="16">
        <f t="shared" si="12"/>
        <v>-2.9000000000012349E-2</v>
      </c>
      <c r="AE348" s="16">
        <f t="shared" si="12"/>
        <v>1397117.7500000002</v>
      </c>
      <c r="AF348" s="16">
        <f t="shared" si="12"/>
        <v>150911.57699999999</v>
      </c>
      <c r="AG348" s="16">
        <f t="shared" si="12"/>
        <v>301.74399999999997</v>
      </c>
      <c r="AH348" s="16">
        <f t="shared" si="12"/>
        <v>4837915.7659999989</v>
      </c>
      <c r="AI348" s="16">
        <f t="shared" si="12"/>
        <v>282680.30900000007</v>
      </c>
      <c r="AJ348" s="16">
        <f t="shared" si="12"/>
        <v>-3387.83</v>
      </c>
      <c r="AK348" s="16">
        <f t="shared" si="12"/>
        <v>-205603.56099999999</v>
      </c>
      <c r="AL348" s="16">
        <f t="shared" si="12"/>
        <v>-108073.36800000002</v>
      </c>
      <c r="AM348" s="16">
        <f>SUMIF($D$5:$D$337,$D$348,AM5:AM337)+SUMIF($D$5:$D$337,$B$348,AM5:AM337)</f>
        <v>2233.2599999999998</v>
      </c>
      <c r="AN348" s="16">
        <f>SUMIF($D$5:$D$337,$D$348,AN5:AN337)+SUMIF($D$5:$D$337,$B$348,AN5:AN337)</f>
        <v>-71782.73</v>
      </c>
      <c r="AO348" s="16">
        <f>SUMIF($D$5:$D$337,$D$348,AO5:AO337)+SUMIF($D$5:$D$337,$B$348,AO5:AO337)</f>
        <v>8987.1050000000032</v>
      </c>
      <c r="AP348" s="16">
        <f t="shared" si="12"/>
        <v>48.650999999999996</v>
      </c>
      <c r="AQ348" s="16">
        <f t="shared" si="12"/>
        <v>44035.642</v>
      </c>
      <c r="AR348" s="16">
        <f t="shared" si="12"/>
        <v>12.509</v>
      </c>
      <c r="AS348" s="16">
        <f t="shared" si="12"/>
        <v>133.63300000000001</v>
      </c>
      <c r="AT348" s="16">
        <f t="shared" si="12"/>
        <v>0</v>
      </c>
      <c r="AU348" s="16">
        <f t="shared" si="12"/>
        <v>2067.2330000000002</v>
      </c>
      <c r="AV348" s="16">
        <f t="shared" si="12"/>
        <v>24.052999999999997</v>
      </c>
      <c r="AW348" s="16">
        <f t="shared" si="12"/>
        <v>44.760000000000005</v>
      </c>
      <c r="AX348" s="16">
        <f>SUMIF($D$5:$D$337,$D$348,AX5:AX337)+SUMIF($D$5:$D$337,$B$348,AX5:AX337)</f>
        <v>-1068.9220000000003</v>
      </c>
      <c r="AY348" s="16">
        <f t="shared" ref="AY348:BI348" si="13">SUMIF($D$5:$D$337,$D$348,AY5:AY337)+SUMIF($D$5:$D$337,$B$348,AY5:AY337)</f>
        <v>4436.3450000000012</v>
      </c>
      <c r="AZ348" s="16">
        <f t="shared" si="13"/>
        <v>60855.743000000002</v>
      </c>
      <c r="BA348" s="16">
        <f t="shared" si="13"/>
        <v>-781.88099999999986</v>
      </c>
      <c r="BB348" s="16">
        <f t="shared" si="13"/>
        <v>3675.0110000000004</v>
      </c>
      <c r="BC348" s="16">
        <f t="shared" si="13"/>
        <v>1907.6859999999997</v>
      </c>
      <c r="BD348" s="16">
        <f t="shared" si="13"/>
        <v>75400.973999999987</v>
      </c>
      <c r="BE348" s="16">
        <f t="shared" si="13"/>
        <v>1107.9190000000001</v>
      </c>
      <c r="BF348" s="16">
        <f t="shared" si="13"/>
        <v>1107.9190000000001</v>
      </c>
      <c r="BG348" s="16">
        <f t="shared" si="13"/>
        <v>26087.43</v>
      </c>
      <c r="BH348" s="16">
        <f t="shared" si="13"/>
        <v>-2113.17</v>
      </c>
      <c r="BI348" s="16">
        <f t="shared" si="13"/>
        <v>622.6450000000001</v>
      </c>
      <c r="BJ348" s="21"/>
    </row>
    <row r="349" spans="1:62" x14ac:dyDescent="0.25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21"/>
    </row>
    <row r="350" spans="1:62" x14ac:dyDescent="0.25">
      <c r="E350">
        <f t="shared" ref="E350:M350" si="14">SUM(E343:E349)</f>
        <v>10187550.505999999</v>
      </c>
      <c r="F350">
        <f t="shared" si="14"/>
        <v>1081299.1040000001</v>
      </c>
      <c r="G350">
        <f t="shared" si="14"/>
        <v>1042661.5449999999</v>
      </c>
      <c r="H350">
        <f t="shared" si="14"/>
        <v>1124417.1109999998</v>
      </c>
      <c r="I350">
        <f t="shared" si="14"/>
        <v>134484.27500000002</v>
      </c>
      <c r="J350">
        <f t="shared" si="14"/>
        <v>720844.96499999997</v>
      </c>
      <c r="K350">
        <f t="shared" si="14"/>
        <v>266060.12100000004</v>
      </c>
      <c r="L350" s="17">
        <f t="shared" si="14"/>
        <v>11070149.244000001</v>
      </c>
      <c r="M350">
        <f t="shared" si="14"/>
        <v>2900076.6660000002</v>
      </c>
      <c r="N350">
        <f>SUM(N343:N349)</f>
        <v>15497.786</v>
      </c>
      <c r="O350">
        <f t="shared" ref="O350:AL350" si="15">SUM(O343:O349)</f>
        <v>15559.158000000001</v>
      </c>
      <c r="P350">
        <f t="shared" si="15"/>
        <v>19320.484</v>
      </c>
      <c r="Q350">
        <f t="shared" si="15"/>
        <v>14738.057000000003</v>
      </c>
      <c r="R350">
        <f t="shared" si="15"/>
        <v>18446.698999999997</v>
      </c>
      <c r="S350">
        <f t="shared" si="15"/>
        <v>346281.75900000008</v>
      </c>
      <c r="T350">
        <f t="shared" si="15"/>
        <v>1011.856</v>
      </c>
      <c r="U350">
        <f t="shared" si="15"/>
        <v>209236.576</v>
      </c>
      <c r="V350">
        <f t="shared" si="15"/>
        <v>135623.77600000001</v>
      </c>
      <c r="W350">
        <f t="shared" si="15"/>
        <v>276020.59700000001</v>
      </c>
      <c r="X350">
        <f t="shared" si="15"/>
        <v>217838.304</v>
      </c>
      <c r="Y350">
        <f t="shared" si="15"/>
        <v>2976552.2709999997</v>
      </c>
      <c r="Z350">
        <f t="shared" si="15"/>
        <v>90692.939000000013</v>
      </c>
      <c r="AA350">
        <f t="shared" si="15"/>
        <v>1530050.1440000003</v>
      </c>
      <c r="AB350">
        <f t="shared" si="15"/>
        <v>503630.59899999999</v>
      </c>
      <c r="AC350">
        <f t="shared" si="15"/>
        <v>200251.91900000002</v>
      </c>
      <c r="AD350">
        <f t="shared" si="15"/>
        <v>68679.222000000009</v>
      </c>
      <c r="AE350">
        <f t="shared" si="15"/>
        <v>8386749.1690000007</v>
      </c>
      <c r="AF350">
        <f t="shared" si="15"/>
        <v>3531188.0549999997</v>
      </c>
      <c r="AG350">
        <f t="shared" si="15"/>
        <v>351718.50099999999</v>
      </c>
      <c r="AH350">
        <f t="shared" si="15"/>
        <v>23067713.748999998</v>
      </c>
      <c r="AI350">
        <f t="shared" si="15"/>
        <v>5514554.4640000006</v>
      </c>
      <c r="AJ350">
        <f t="shared" si="15"/>
        <v>452656.826</v>
      </c>
      <c r="AK350">
        <f t="shared" si="15"/>
        <v>10063931.092</v>
      </c>
      <c r="AL350">
        <f t="shared" si="15"/>
        <v>5284805.0900000008</v>
      </c>
      <c r="AM350">
        <f>SUM(AM343:AM349)</f>
        <v>53993.324000000001</v>
      </c>
      <c r="AN350">
        <f>SUM(AN343:AN349)</f>
        <v>3494561.5339999995</v>
      </c>
      <c r="AO350">
        <f>SUM(AO343:AO349)</f>
        <v>227973.10600000003</v>
      </c>
      <c r="AP350">
        <f>SUM(AP343:AP349)</f>
        <v>104913.79700000001</v>
      </c>
      <c r="AQ350">
        <f t="shared" ref="AQ350:AW350" si="16">SUM(AQ343:AQ349)</f>
        <v>1399049.2389999998</v>
      </c>
      <c r="AR350">
        <f t="shared" si="16"/>
        <v>29139.223999999998</v>
      </c>
      <c r="AS350">
        <f t="shared" si="16"/>
        <v>3942.0899999999997</v>
      </c>
      <c r="AT350">
        <f t="shared" si="16"/>
        <v>0</v>
      </c>
      <c r="AU350">
        <f t="shared" si="16"/>
        <v>83588.622000000003</v>
      </c>
      <c r="AV350">
        <f t="shared" si="16"/>
        <v>78009.776999999987</v>
      </c>
      <c r="AW350">
        <f t="shared" si="16"/>
        <v>154900.09100000001</v>
      </c>
      <c r="AX350">
        <f>SUM(AX343:AX349)</f>
        <v>274289.39199999999</v>
      </c>
      <c r="AY350">
        <f t="shared" ref="AY350:BI350" si="17">SUM(AY343:AY349)</f>
        <v>104280.00400000002</v>
      </c>
      <c r="AZ350">
        <f t="shared" si="17"/>
        <v>966548.92100000009</v>
      </c>
      <c r="BA350">
        <f t="shared" si="17"/>
        <v>209394.908</v>
      </c>
      <c r="BB350">
        <f t="shared" si="17"/>
        <v>98851.823999999993</v>
      </c>
      <c r="BC350">
        <f t="shared" si="17"/>
        <v>47038.273000000008</v>
      </c>
      <c r="BD350">
        <f t="shared" si="17"/>
        <v>1164661.5179999999</v>
      </c>
      <c r="BE350">
        <f t="shared" si="17"/>
        <v>28954.649000000001</v>
      </c>
      <c r="BF350">
        <f t="shared" si="17"/>
        <v>28954.649000000001</v>
      </c>
      <c r="BG350">
        <f t="shared" si="17"/>
        <v>404710.837</v>
      </c>
      <c r="BH350">
        <f t="shared" si="17"/>
        <v>263172.07300000003</v>
      </c>
      <c r="BI350">
        <f t="shared" si="17"/>
        <v>14666.398000000001</v>
      </c>
      <c r="BJ350" s="21"/>
    </row>
    <row r="351" spans="1:6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A352" s="8"/>
      <c r="B352" s="8"/>
      <c r="C352" s="8"/>
      <c r="D352" s="8"/>
      <c r="E352" s="8">
        <f t="shared" ref="E352:AJ352" si="18">E350-E338</f>
        <v>10187550.505999999</v>
      </c>
      <c r="F352" s="8">
        <f t="shared" si="18"/>
        <v>1081299.1040000001</v>
      </c>
      <c r="G352" s="8">
        <f t="shared" si="18"/>
        <v>1042661.5449999999</v>
      </c>
      <c r="H352" s="8">
        <f t="shared" si="18"/>
        <v>1124417.1109999998</v>
      </c>
      <c r="I352" s="8">
        <f t="shared" si="18"/>
        <v>134484.27500000002</v>
      </c>
      <c r="J352" s="8">
        <f t="shared" si="18"/>
        <v>720844.96499999997</v>
      </c>
      <c r="K352" s="8">
        <f t="shared" si="18"/>
        <v>266060.12100000004</v>
      </c>
      <c r="L352" s="18">
        <f t="shared" si="18"/>
        <v>11070149.244000001</v>
      </c>
      <c r="M352" s="8">
        <f t="shared" si="18"/>
        <v>2900076.6660000002</v>
      </c>
      <c r="N352" s="8">
        <f>N350-N338</f>
        <v>15497.786</v>
      </c>
      <c r="O352" s="8">
        <f t="shared" si="18"/>
        <v>15559.158000000001</v>
      </c>
      <c r="P352" s="8">
        <f t="shared" si="18"/>
        <v>19320.484</v>
      </c>
      <c r="Q352" s="8">
        <f t="shared" si="18"/>
        <v>14738.057000000003</v>
      </c>
      <c r="R352" s="8">
        <f t="shared" si="18"/>
        <v>18446.698999999997</v>
      </c>
      <c r="S352" s="8">
        <f t="shared" si="18"/>
        <v>346281.75900000008</v>
      </c>
      <c r="T352" s="8">
        <f t="shared" si="18"/>
        <v>1011.856</v>
      </c>
      <c r="U352" s="8">
        <f t="shared" si="18"/>
        <v>209236.576</v>
      </c>
      <c r="V352" s="8">
        <f t="shared" si="18"/>
        <v>135623.77600000001</v>
      </c>
      <c r="W352" s="8">
        <f t="shared" si="18"/>
        <v>276020.59700000001</v>
      </c>
      <c r="X352" s="8">
        <f t="shared" si="18"/>
        <v>217838.304</v>
      </c>
      <c r="Y352" s="8">
        <f t="shared" si="18"/>
        <v>2976552.2709999997</v>
      </c>
      <c r="Z352" s="8">
        <f t="shared" si="18"/>
        <v>90692.939000000013</v>
      </c>
      <c r="AA352" s="8">
        <f t="shared" si="18"/>
        <v>1530050.1440000003</v>
      </c>
      <c r="AB352" s="8">
        <f t="shared" si="18"/>
        <v>503630.59899999999</v>
      </c>
      <c r="AC352" s="8">
        <f t="shared" si="18"/>
        <v>200251.91900000002</v>
      </c>
      <c r="AD352" s="8">
        <f t="shared" si="18"/>
        <v>68679.222000000009</v>
      </c>
      <c r="AE352" s="8">
        <f t="shared" si="18"/>
        <v>8386749.1690000007</v>
      </c>
      <c r="AF352" s="8">
        <f t="shared" si="18"/>
        <v>3531188.0549999997</v>
      </c>
      <c r="AG352" s="8">
        <f t="shared" si="18"/>
        <v>351718.50099999999</v>
      </c>
      <c r="AH352" s="8">
        <f t="shared" si="18"/>
        <v>23067713.748999998</v>
      </c>
      <c r="AI352" s="8">
        <f t="shared" si="18"/>
        <v>5514554.4640000006</v>
      </c>
      <c r="AJ352" s="8">
        <f t="shared" si="18"/>
        <v>452656.826</v>
      </c>
      <c r="AK352" s="8">
        <f>AK350-AK338</f>
        <v>10063931.092</v>
      </c>
      <c r="AL352" s="8">
        <f>AL350-AL338</f>
        <v>5284805.0900000008</v>
      </c>
      <c r="AM352" s="8">
        <f>AM350-AM338</f>
        <v>53993.324000000001</v>
      </c>
      <c r="AN352" s="8">
        <f>AN350-AN338</f>
        <v>3494561.5339999995</v>
      </c>
      <c r="AO352" s="8">
        <f>AO350-AO338</f>
        <v>227973.10600000003</v>
      </c>
      <c r="AP352" s="8">
        <f t="shared" ref="AP352:AW352" si="19">AP350-AP338</f>
        <v>104913.79700000001</v>
      </c>
      <c r="AQ352" s="8">
        <f t="shared" si="19"/>
        <v>1399049.2389999998</v>
      </c>
      <c r="AR352" s="8">
        <f t="shared" si="19"/>
        <v>29139.223999999998</v>
      </c>
      <c r="AS352" s="8">
        <f t="shared" si="19"/>
        <v>3942.0899999999997</v>
      </c>
      <c r="AT352" s="8">
        <f t="shared" si="19"/>
        <v>0</v>
      </c>
      <c r="AU352" s="8">
        <f t="shared" si="19"/>
        <v>83588.622000000003</v>
      </c>
      <c r="AV352" s="8">
        <f t="shared" si="19"/>
        <v>78009.776999999987</v>
      </c>
      <c r="AW352" s="8">
        <f t="shared" si="19"/>
        <v>154900.09100000001</v>
      </c>
      <c r="AX352" s="8">
        <f>AX350-AX338</f>
        <v>274289.39199999999</v>
      </c>
      <c r="AY352" s="8">
        <f t="shared" ref="AY352:BI352" si="20">AY350-AY338</f>
        <v>104280.00400000002</v>
      </c>
      <c r="AZ352" s="8">
        <f t="shared" si="20"/>
        <v>966548.92100000009</v>
      </c>
      <c r="BA352" s="8">
        <f t="shared" si="20"/>
        <v>209394.908</v>
      </c>
      <c r="BB352" s="8">
        <f t="shared" si="20"/>
        <v>98851.823999999993</v>
      </c>
      <c r="BC352" s="8">
        <f t="shared" si="20"/>
        <v>47038.273000000008</v>
      </c>
      <c r="BD352" s="8">
        <f t="shared" si="20"/>
        <v>1164661.5179999999</v>
      </c>
      <c r="BE352" s="8">
        <f t="shared" si="20"/>
        <v>28954.649000000001</v>
      </c>
      <c r="BF352" s="8">
        <f t="shared" si="20"/>
        <v>28954.649000000001</v>
      </c>
      <c r="BG352" s="8">
        <f t="shared" si="20"/>
        <v>404710.837</v>
      </c>
      <c r="BH352" s="8">
        <f t="shared" si="20"/>
        <v>263172.07300000003</v>
      </c>
      <c r="BI352" s="8">
        <f t="shared" si="20"/>
        <v>14666.398000000001</v>
      </c>
      <c r="BJ352" s="21"/>
    </row>
    <row r="353" spans="1:62" x14ac:dyDescent="0.25">
      <c r="E353" s="19">
        <f t="shared" ref="E353:M353" si="21">E3</f>
        <v>401</v>
      </c>
      <c r="F353" s="19">
        <f t="shared" si="21"/>
        <v>242</v>
      </c>
      <c r="G353" s="19">
        <f t="shared" si="21"/>
        <v>385</v>
      </c>
      <c r="H353" s="19">
        <f t="shared" si="21"/>
        <v>528</v>
      </c>
      <c r="I353" s="19">
        <f t="shared" si="21"/>
        <v>384</v>
      </c>
      <c r="J353" s="19">
        <f t="shared" si="21"/>
        <v>716</v>
      </c>
      <c r="K353" s="19">
        <f t="shared" si="21"/>
        <v>715</v>
      </c>
      <c r="L353" s="19">
        <f t="shared" si="21"/>
        <v>9916</v>
      </c>
      <c r="M353" s="19">
        <f t="shared" si="21"/>
        <v>1100</v>
      </c>
      <c r="N353" s="19">
        <f>N3</f>
        <v>801</v>
      </c>
      <c r="O353" s="19">
        <f t="shared" ref="O353:T353" si="22">O3</f>
        <v>804</v>
      </c>
      <c r="P353" s="19">
        <f t="shared" si="22"/>
        <v>806</v>
      </c>
      <c r="Q353" s="19">
        <f t="shared" si="22"/>
        <v>8765</v>
      </c>
      <c r="R353" s="19">
        <f t="shared" si="22"/>
        <v>8766</v>
      </c>
      <c r="S353" s="19">
        <f t="shared" si="22"/>
        <v>9418</v>
      </c>
      <c r="T353" s="19">
        <f t="shared" si="22"/>
        <v>9475</v>
      </c>
      <c r="U353" s="19">
        <f>U3</f>
        <v>9906</v>
      </c>
      <c r="V353" s="19">
        <f>V3</f>
        <v>7905</v>
      </c>
      <c r="W353" s="19">
        <f t="shared" ref="W353:AJ353" si="23">W3</f>
        <v>7906</v>
      </c>
      <c r="X353" s="19">
        <f t="shared" si="23"/>
        <v>7907</v>
      </c>
      <c r="Y353" s="19">
        <f t="shared" si="23"/>
        <v>7908</v>
      </c>
      <c r="Z353" s="19">
        <f t="shared" si="23"/>
        <v>7909</v>
      </c>
      <c r="AA353" s="19">
        <f t="shared" si="23"/>
        <v>11310</v>
      </c>
      <c r="AB353" s="19">
        <f t="shared" si="23"/>
        <v>11311</v>
      </c>
      <c r="AC353" s="19">
        <f t="shared" si="23"/>
        <v>11312</v>
      </c>
      <c r="AD353" s="19">
        <f t="shared" si="23"/>
        <v>11335</v>
      </c>
      <c r="AE353" s="19">
        <f t="shared" si="23"/>
        <v>9529</v>
      </c>
      <c r="AF353" s="19">
        <f t="shared" si="23"/>
        <v>961</v>
      </c>
      <c r="AG353" s="19">
        <f t="shared" si="23"/>
        <v>9528</v>
      </c>
      <c r="AH353" s="19">
        <f t="shared" si="23"/>
        <v>964</v>
      </c>
      <c r="AI353" s="19">
        <f t="shared" si="23"/>
        <v>968</v>
      </c>
      <c r="AJ353" s="19">
        <f t="shared" si="23"/>
        <v>8629</v>
      </c>
      <c r="AK353" s="19">
        <f>AK3</f>
        <v>13264</v>
      </c>
      <c r="AL353" s="19">
        <f>AL3</f>
        <v>13263</v>
      </c>
      <c r="AM353" s="19">
        <f>AM3</f>
        <v>13209</v>
      </c>
      <c r="AN353" s="19">
        <f>AN3</f>
        <v>13250</v>
      </c>
      <c r="AO353" s="19">
        <f>AO3</f>
        <v>14281</v>
      </c>
      <c r="AP353" s="19">
        <f t="shared" ref="AP353:AW353" si="24">AP3</f>
        <v>2049</v>
      </c>
      <c r="AQ353" s="19">
        <f t="shared" si="24"/>
        <v>7975</v>
      </c>
      <c r="AR353" s="19">
        <f t="shared" si="24"/>
        <v>8004</v>
      </c>
      <c r="AS353" s="19">
        <f t="shared" si="24"/>
        <v>1008</v>
      </c>
      <c r="AT353" s="19">
        <f t="shared" si="24"/>
        <v>9484</v>
      </c>
      <c r="AU353" s="19">
        <f t="shared" si="24"/>
        <v>682</v>
      </c>
      <c r="AV353" s="19">
        <f t="shared" si="24"/>
        <v>11352</v>
      </c>
      <c r="AW353" s="19">
        <f t="shared" si="24"/>
        <v>2058</v>
      </c>
      <c r="AX353" s="19">
        <f>AX3</f>
        <v>15007</v>
      </c>
      <c r="AY353" s="19">
        <f t="shared" ref="AY353:BI353" si="25">AY3</f>
        <v>15208</v>
      </c>
      <c r="AZ353" s="19">
        <f t="shared" si="25"/>
        <v>15209</v>
      </c>
      <c r="BA353" s="19">
        <f t="shared" si="25"/>
        <v>15210</v>
      </c>
      <c r="BB353" s="19">
        <f t="shared" si="25"/>
        <v>15211</v>
      </c>
      <c r="BC353" s="19">
        <f t="shared" si="25"/>
        <v>15212</v>
      </c>
      <c r="BD353" s="19">
        <f t="shared" si="25"/>
        <v>15232</v>
      </c>
      <c r="BE353" s="19">
        <f t="shared" si="25"/>
        <v>15214</v>
      </c>
      <c r="BF353" s="19">
        <f t="shared" si="25"/>
        <v>15214</v>
      </c>
      <c r="BG353" s="19">
        <f t="shared" si="25"/>
        <v>15233</v>
      </c>
      <c r="BH353" s="19">
        <f t="shared" si="25"/>
        <v>15234</v>
      </c>
      <c r="BI353" s="19">
        <f t="shared" si="25"/>
        <v>15215</v>
      </c>
      <c r="BJ353" s="21"/>
    </row>
    <row r="354" spans="1:62" x14ac:dyDescent="0.25">
      <c r="A354" t="s">
        <v>608</v>
      </c>
      <c r="E354" s="20">
        <f t="shared" ref="E354:AL354" si="26">E343/E350</f>
        <v>0.13168382853266808</v>
      </c>
      <c r="F354" s="20">
        <f t="shared" si="26"/>
        <v>0.14790736661888512</v>
      </c>
      <c r="G354" s="20">
        <f t="shared" si="26"/>
        <v>5.1731155002940094E-2</v>
      </c>
      <c r="H354" s="20">
        <f t="shared" si="26"/>
        <v>3.5254888610459795E-4</v>
      </c>
      <c r="I354" s="20">
        <f t="shared" si="26"/>
        <v>8.4383917748004356E-2</v>
      </c>
      <c r="J354" s="20">
        <f t="shared" si="26"/>
        <v>5.3279409394223896E-2</v>
      </c>
      <c r="K354" s="20">
        <f t="shared" si="26"/>
        <v>2.6390065424348203E-2</v>
      </c>
      <c r="L354" s="20">
        <f t="shared" si="26"/>
        <v>0.20341311895324976</v>
      </c>
      <c r="M354" s="20">
        <f t="shared" si="26"/>
        <v>5.3661255864192389E-2</v>
      </c>
      <c r="N354" s="20">
        <f>N343/N350</f>
        <v>5.6969427762133254E-3</v>
      </c>
      <c r="O354" s="20">
        <f t="shared" si="26"/>
        <v>0.7799757544720608</v>
      </c>
      <c r="P354" s="20">
        <f t="shared" si="26"/>
        <v>5.3527126960173463E-2</v>
      </c>
      <c r="Q354" s="20">
        <f t="shared" si="26"/>
        <v>0.45417764363375712</v>
      </c>
      <c r="R354" s="20">
        <f t="shared" si="26"/>
        <v>0.12164761836250487</v>
      </c>
      <c r="S354" s="20">
        <f t="shared" si="26"/>
        <v>0.14348547305375098</v>
      </c>
      <c r="T354" s="20">
        <f t="shared" si="26"/>
        <v>2.1517883967679199E-2</v>
      </c>
      <c r="U354" s="20">
        <f t="shared" si="26"/>
        <v>3.0618647668942931E-2</v>
      </c>
      <c r="V354" s="20">
        <f t="shared" si="26"/>
        <v>4.6571974223752623E-2</v>
      </c>
      <c r="W354" s="20">
        <f t="shared" si="26"/>
        <v>0.1033738217731628</v>
      </c>
      <c r="X354" s="20">
        <f t="shared" si="26"/>
        <v>0.50824138807103458</v>
      </c>
      <c r="Y354" s="20">
        <f t="shared" si="26"/>
        <v>0.18510839079432381</v>
      </c>
      <c r="Z354" s="20">
        <f t="shared" si="26"/>
        <v>0.57753209431221531</v>
      </c>
      <c r="AA354" s="20">
        <f t="shared" si="26"/>
        <v>9.6172078135499314E-2</v>
      </c>
      <c r="AB354" s="20">
        <f t="shared" si="26"/>
        <v>0.79609676575668109</v>
      </c>
      <c r="AC354" s="20">
        <f t="shared" si="26"/>
        <v>0.16416427450066035</v>
      </c>
      <c r="AD354" s="20">
        <f t="shared" si="26"/>
        <v>0.29704340564603365</v>
      </c>
      <c r="AE354" s="20">
        <f t="shared" si="26"/>
        <v>0.18524215756237314</v>
      </c>
      <c r="AF354" s="20">
        <f t="shared" si="26"/>
        <v>0.29639280482896857</v>
      </c>
      <c r="AG354" s="20">
        <f t="shared" si="26"/>
        <v>0.36546801102168919</v>
      </c>
      <c r="AH354" s="20">
        <f t="shared" si="26"/>
        <v>0.18012260838723659</v>
      </c>
      <c r="AI354" s="20">
        <f t="shared" si="26"/>
        <v>0.27831367538743018</v>
      </c>
      <c r="AJ354" s="20">
        <f t="shared" si="26"/>
        <v>0.55792485718529738</v>
      </c>
      <c r="AK354" s="20">
        <f t="shared" si="26"/>
        <v>0.67218457212783145</v>
      </c>
      <c r="AL354" s="20">
        <f t="shared" si="26"/>
        <v>0.67171437650882215</v>
      </c>
      <c r="AM354" s="20">
        <f>AM343/AM350</f>
        <v>2.3835835704428942E-2</v>
      </c>
      <c r="AN354" s="20">
        <f>AN343/AN350</f>
        <v>0.67190508971017593</v>
      </c>
      <c r="AO354" s="20">
        <f>AO343/AO350</f>
        <v>0.17992462233681192</v>
      </c>
      <c r="AP354" s="20">
        <f>AP343/AP350</f>
        <v>0.12615491363828915</v>
      </c>
      <c r="AQ354" s="20">
        <f t="shared" ref="AQ354:AW354" si="27">AQ343/AQ350</f>
        <v>0.29784887792644732</v>
      </c>
      <c r="AR354" s="20">
        <f t="shared" si="27"/>
        <v>9.9406902531103791E-2</v>
      </c>
      <c r="AS354" s="20">
        <f t="shared" si="27"/>
        <v>0.13857573013300054</v>
      </c>
      <c r="AT354" s="20" t="e">
        <f t="shared" si="27"/>
        <v>#DIV/0!</v>
      </c>
      <c r="AU354" s="20">
        <f t="shared" si="27"/>
        <v>0.16492498225416372</v>
      </c>
      <c r="AV354" s="20">
        <f t="shared" si="27"/>
        <v>0.10098508549768065</v>
      </c>
      <c r="AW354" s="20">
        <f t="shared" si="27"/>
        <v>0.11583875699595296</v>
      </c>
      <c r="AX354" s="20">
        <f>AX343/AX350</f>
        <v>0.50867698521858984</v>
      </c>
      <c r="AY354" s="20">
        <f t="shared" ref="AY354:BI354" si="28">AY343/AY350</f>
        <v>6.7446842445460578E-2</v>
      </c>
      <c r="AZ354" s="20">
        <f t="shared" si="28"/>
        <v>3.2759798611373132E-2</v>
      </c>
      <c r="BA354" s="20">
        <f t="shared" si="28"/>
        <v>0.50660144515071015</v>
      </c>
      <c r="BB354" s="20">
        <f t="shared" si="28"/>
        <v>0.20658472624642718</v>
      </c>
      <c r="BC354" s="20">
        <f t="shared" si="28"/>
        <v>5.9107335849681371E-2</v>
      </c>
      <c r="BD354" s="20">
        <f t="shared" si="28"/>
        <v>3.4786097397269726E-2</v>
      </c>
      <c r="BE354" s="20">
        <f t="shared" si="28"/>
        <v>0.18968781144609972</v>
      </c>
      <c r="BF354" s="20">
        <f t="shared" si="28"/>
        <v>0.18968781144609972</v>
      </c>
      <c r="BG354" s="20">
        <f t="shared" si="28"/>
        <v>3.1680248779698481E-2</v>
      </c>
      <c r="BH354" s="20">
        <f t="shared" si="28"/>
        <v>0.61047639351915584</v>
      </c>
      <c r="BI354" s="20">
        <f t="shared" si="28"/>
        <v>3.8338043192336663E-2</v>
      </c>
      <c r="BJ354" s="21"/>
    </row>
    <row r="355" spans="1:62" x14ac:dyDescent="0.25">
      <c r="A355" t="s">
        <v>609</v>
      </c>
      <c r="E355" s="20">
        <f t="shared" ref="E355:AL355" si="29">E344/E350</f>
        <v>0.2293938036060422</v>
      </c>
      <c r="F355" s="20">
        <f t="shared" si="29"/>
        <v>0.18577126001206787</v>
      </c>
      <c r="G355" s="20">
        <f t="shared" si="29"/>
        <v>0.35806411945498579</v>
      </c>
      <c r="H355" s="20">
        <f t="shared" si="29"/>
        <v>0</v>
      </c>
      <c r="I355" s="20">
        <f t="shared" si="29"/>
        <v>0.38125296805146924</v>
      </c>
      <c r="J355" s="20">
        <f t="shared" si="29"/>
        <v>0.33258829656942951</v>
      </c>
      <c r="K355" s="20">
        <f t="shared" si="29"/>
        <v>0.70652260208511286</v>
      </c>
      <c r="L355" s="20">
        <f t="shared" si="29"/>
        <v>0.1058505787205266</v>
      </c>
      <c r="M355" s="20">
        <f t="shared" si="29"/>
        <v>0.23184833245370484</v>
      </c>
      <c r="N355" s="20">
        <f>N344/N350</f>
        <v>0.80373273963132541</v>
      </c>
      <c r="O355" s="20">
        <f t="shared" si="29"/>
        <v>9.0689997492152206E-3</v>
      </c>
      <c r="P355" s="20">
        <f t="shared" si="29"/>
        <v>0.80573592255763371</v>
      </c>
      <c r="Q355" s="20">
        <f t="shared" si="29"/>
        <v>0.16733264093089065</v>
      </c>
      <c r="R355" s="20">
        <f t="shared" si="29"/>
        <v>0.19161704758125023</v>
      </c>
      <c r="S355" s="20">
        <f t="shared" si="29"/>
        <v>0.17870919674980626</v>
      </c>
      <c r="T355" s="20">
        <f t="shared" si="29"/>
        <v>0.97848211603232083</v>
      </c>
      <c r="U355" s="20">
        <f t="shared" si="29"/>
        <v>0.75940581249045103</v>
      </c>
      <c r="V355" s="20">
        <f t="shared" si="29"/>
        <v>0.28798247734969412</v>
      </c>
      <c r="W355" s="20">
        <f t="shared" si="29"/>
        <v>0.22887364090441409</v>
      </c>
      <c r="X355" s="20">
        <f t="shared" si="29"/>
        <v>0.13977732768246304</v>
      </c>
      <c r="Y355" s="20">
        <f t="shared" si="29"/>
        <v>0.20181939751327821</v>
      </c>
      <c r="Z355" s="20">
        <f t="shared" si="29"/>
        <v>3.7321317815050626E-3</v>
      </c>
      <c r="AA355" s="20">
        <f t="shared" si="29"/>
        <v>0.34190420363111962</v>
      </c>
      <c r="AB355" s="20">
        <f t="shared" si="29"/>
        <v>6.5174792923970055E-3</v>
      </c>
      <c r="AC355" s="20">
        <f t="shared" si="29"/>
        <v>0.15009852664632889</v>
      </c>
      <c r="AD355" s="20">
        <f t="shared" si="29"/>
        <v>0.17159298921586499</v>
      </c>
      <c r="AE355" s="20">
        <f t="shared" si="29"/>
        <v>0.1922611042142639</v>
      </c>
      <c r="AF355" s="20">
        <f t="shared" si="29"/>
        <v>6.3138686053354362E-2</v>
      </c>
      <c r="AG355" s="20">
        <f t="shared" si="29"/>
        <v>0.14110130078144509</v>
      </c>
      <c r="AH355" s="20">
        <f t="shared" si="29"/>
        <v>0.14577112528742783</v>
      </c>
      <c r="AI355" s="20">
        <f t="shared" si="29"/>
        <v>5.9139411919678871E-2</v>
      </c>
      <c r="AJ355" s="20">
        <f t="shared" si="29"/>
        <v>3.4698869204725078E-3</v>
      </c>
      <c r="AK355" s="20">
        <f t="shared" si="29"/>
        <v>0.10369171295593763</v>
      </c>
      <c r="AL355" s="20">
        <f t="shared" si="29"/>
        <v>0.10383902635092261</v>
      </c>
      <c r="AM355" s="20">
        <f>AM344/AM350</f>
        <v>0.76578359946870467</v>
      </c>
      <c r="AN355" s="20">
        <f>AN344/AN350</f>
        <v>0.10380660047636181</v>
      </c>
      <c r="AO355" s="20">
        <f>AO344/AO350</f>
        <v>0.16958674063948576</v>
      </c>
      <c r="AP355" s="20">
        <f>AP344/AP350</f>
        <v>0</v>
      </c>
      <c r="AQ355" s="20">
        <f t="shared" ref="AQ355:AW355" si="30">AQ344/AQ350</f>
        <v>6.3920141984366588E-2</v>
      </c>
      <c r="AR355" s="20">
        <f t="shared" si="30"/>
        <v>0</v>
      </c>
      <c r="AS355" s="20">
        <f t="shared" si="30"/>
        <v>0.37387806975487614</v>
      </c>
      <c r="AT355" s="20" t="e">
        <f t="shared" si="30"/>
        <v>#DIV/0!</v>
      </c>
      <c r="AU355" s="20">
        <f t="shared" si="30"/>
        <v>0.3746646642888789</v>
      </c>
      <c r="AV355" s="20">
        <f t="shared" si="30"/>
        <v>0</v>
      </c>
      <c r="AW355" s="20">
        <f t="shared" si="30"/>
        <v>0</v>
      </c>
      <c r="AX355" s="20">
        <f>AX344/AX350</f>
        <v>0.13969859249970557</v>
      </c>
      <c r="AY355" s="20">
        <f t="shared" ref="AY355:BI355" si="31">AY344/AY350</f>
        <v>0.25709125404329669</v>
      </c>
      <c r="AZ355" s="20">
        <f t="shared" si="31"/>
        <v>2.2479431229948054E-3</v>
      </c>
      <c r="BA355" s="20">
        <f t="shared" si="31"/>
        <v>0.14023809022137254</v>
      </c>
      <c r="BB355" s="20">
        <f t="shared" si="31"/>
        <v>0.17154884263946413</v>
      </c>
      <c r="BC355" s="20">
        <f t="shared" si="31"/>
        <v>0.28086603009425959</v>
      </c>
      <c r="BD355" s="20">
        <f t="shared" si="31"/>
        <v>2.3071578810419666E-3</v>
      </c>
      <c r="BE355" s="20">
        <f t="shared" si="31"/>
        <v>0.17074166569934932</v>
      </c>
      <c r="BF355" s="20">
        <f t="shared" si="31"/>
        <v>0.17074166569934932</v>
      </c>
      <c r="BG355" s="20">
        <f t="shared" si="31"/>
        <v>2.3158361830572876E-3</v>
      </c>
      <c r="BH355" s="20">
        <f t="shared" si="31"/>
        <v>5.9696102329216356E-2</v>
      </c>
      <c r="BI355" s="20">
        <f t="shared" si="31"/>
        <v>0.25329504899567024</v>
      </c>
      <c r="BJ355" s="21"/>
    </row>
    <row r="356" spans="1:62" x14ac:dyDescent="0.25">
      <c r="A356" t="s">
        <v>610</v>
      </c>
      <c r="E356" s="20">
        <f t="shared" ref="E356:AL356" si="32">E345/E350</f>
        <v>0.203743840364525</v>
      </c>
      <c r="F356" s="20">
        <f t="shared" si="32"/>
        <v>0.26633304599501456</v>
      </c>
      <c r="G356" s="20">
        <f t="shared" si="32"/>
        <v>0.44762232791466383</v>
      </c>
      <c r="H356" s="20">
        <f t="shared" si="32"/>
        <v>4.961561902093823E-2</v>
      </c>
      <c r="I356" s="20">
        <f t="shared" si="32"/>
        <v>0.31706068237345958</v>
      </c>
      <c r="J356" s="20">
        <f t="shared" si="32"/>
        <v>0.4379208419663444</v>
      </c>
      <c r="K356" s="20">
        <f t="shared" si="32"/>
        <v>0.14349100442602591</v>
      </c>
      <c r="L356" s="20">
        <f t="shared" si="32"/>
        <v>8.9172052719617312E-2</v>
      </c>
      <c r="M356" s="20">
        <f t="shared" si="32"/>
        <v>0.32477530785387865</v>
      </c>
      <c r="N356" s="20">
        <f>N345/N350</f>
        <v>0.19059180453259583</v>
      </c>
      <c r="O356" s="20">
        <f t="shared" si="32"/>
        <v>0</v>
      </c>
      <c r="P356" s="20">
        <f t="shared" si="32"/>
        <v>2.6849741445400645E-3</v>
      </c>
      <c r="Q356" s="20">
        <f t="shared" si="32"/>
        <v>0.2905946828676263</v>
      </c>
      <c r="R356" s="20">
        <f t="shared" si="32"/>
        <v>0.64467328273746982</v>
      </c>
      <c r="S356" s="20">
        <f t="shared" si="32"/>
        <v>0.34708609644090427</v>
      </c>
      <c r="T356" s="20">
        <f t="shared" si="32"/>
        <v>0</v>
      </c>
      <c r="U356" s="20">
        <f t="shared" si="32"/>
        <v>0.15423130418651088</v>
      </c>
      <c r="V356" s="20">
        <f t="shared" si="32"/>
        <v>0.50593851626723618</v>
      </c>
      <c r="W356" s="20">
        <f t="shared" si="32"/>
        <v>0.34182988887601023</v>
      </c>
      <c r="X356" s="20">
        <f t="shared" si="32"/>
        <v>0</v>
      </c>
      <c r="Y356" s="20">
        <f t="shared" si="32"/>
        <v>0.14134342342950243</v>
      </c>
      <c r="Z356" s="20">
        <f t="shared" si="32"/>
        <v>5.8882180452879573E-2</v>
      </c>
      <c r="AA356" s="20">
        <f t="shared" si="32"/>
        <v>0.36768174572976603</v>
      </c>
      <c r="AB356" s="20">
        <f t="shared" si="32"/>
        <v>0</v>
      </c>
      <c r="AC356" s="20">
        <f t="shared" si="32"/>
        <v>0.25443304241194309</v>
      </c>
      <c r="AD356" s="20">
        <f t="shared" si="32"/>
        <v>0.20081965983831324</v>
      </c>
      <c r="AE356" s="20">
        <f t="shared" si="32"/>
        <v>0.12878730485852685</v>
      </c>
      <c r="AF356" s="20">
        <f t="shared" si="32"/>
        <v>1.3021908571221649E-2</v>
      </c>
      <c r="AG356" s="20">
        <f t="shared" si="32"/>
        <v>0.15974091166731089</v>
      </c>
      <c r="AH356" s="20">
        <f t="shared" si="32"/>
        <v>0.11055198494088092</v>
      </c>
      <c r="AI356" s="20">
        <f t="shared" si="32"/>
        <v>1.3087047461609765E-2</v>
      </c>
      <c r="AJ356" s="20">
        <f t="shared" si="32"/>
        <v>5.7034509405586652E-2</v>
      </c>
      <c r="AK356" s="20">
        <f t="shared" si="32"/>
        <v>0</v>
      </c>
      <c r="AL356" s="20">
        <f t="shared" si="32"/>
        <v>0</v>
      </c>
      <c r="AM356" s="20">
        <f>AM345/AM350</f>
        <v>0.15552659806608682</v>
      </c>
      <c r="AN356" s="20">
        <f>AN345/AN350</f>
        <v>0</v>
      </c>
      <c r="AO356" s="20">
        <f>AO345/AO350</f>
        <v>0.2928866223369348</v>
      </c>
      <c r="AP356" s="20">
        <f>AP345/AP350</f>
        <v>0</v>
      </c>
      <c r="AQ356" s="20">
        <f t="shared" ref="AQ356:AW356" si="33">AQ345/AQ350</f>
        <v>1.2861726019637258E-2</v>
      </c>
      <c r="AR356" s="20">
        <f t="shared" si="33"/>
        <v>0</v>
      </c>
      <c r="AS356" s="20">
        <f t="shared" si="33"/>
        <v>0.21936865977184694</v>
      </c>
      <c r="AT356" s="20" t="e">
        <f t="shared" si="33"/>
        <v>#DIV/0!</v>
      </c>
      <c r="AU356" s="20">
        <f t="shared" si="33"/>
        <v>0.30757158552033553</v>
      </c>
      <c r="AV356" s="20">
        <f t="shared" si="33"/>
        <v>0</v>
      </c>
      <c r="AW356" s="20">
        <f t="shared" si="33"/>
        <v>0</v>
      </c>
      <c r="AX356" s="20">
        <f>AX345/AX350</f>
        <v>0</v>
      </c>
      <c r="AY356" s="20">
        <f t="shared" ref="AY356:BI356" si="34">AY345/AY350</f>
        <v>0.44042088836130078</v>
      </c>
      <c r="AZ356" s="20">
        <f t="shared" si="34"/>
        <v>2.9938716366328649E-2</v>
      </c>
      <c r="BA356" s="20">
        <f t="shared" si="34"/>
        <v>0</v>
      </c>
      <c r="BB356" s="20">
        <f t="shared" si="34"/>
        <v>0.28351448527646789</v>
      </c>
      <c r="BC356" s="20">
        <f t="shared" si="34"/>
        <v>0.61792164435968977</v>
      </c>
      <c r="BD356" s="20">
        <f t="shared" si="34"/>
        <v>3.072734304938201E-2</v>
      </c>
      <c r="BE356" s="20">
        <f t="shared" si="34"/>
        <v>0.29473211711183234</v>
      </c>
      <c r="BF356" s="20">
        <f t="shared" si="34"/>
        <v>0.29473211711183234</v>
      </c>
      <c r="BG356" s="20">
        <f t="shared" si="34"/>
        <v>3.0842922548179753E-2</v>
      </c>
      <c r="BH356" s="20">
        <f t="shared" si="34"/>
        <v>6.3477639589820764E-2</v>
      </c>
      <c r="BI356" s="20">
        <f t="shared" si="34"/>
        <v>0.66425341791488268</v>
      </c>
      <c r="BJ356" s="21"/>
    </row>
    <row r="357" spans="1:62" x14ac:dyDescent="0.25">
      <c r="A357" t="s">
        <v>611</v>
      </c>
      <c r="E357" s="20">
        <f t="shared" ref="E357:AL357" si="35">E346/E350</f>
        <v>0.1660896942796467</v>
      </c>
      <c r="F357" s="20">
        <f t="shared" si="35"/>
        <v>0.30204599522168846</v>
      </c>
      <c r="G357" s="20">
        <f t="shared" si="35"/>
        <v>9.5279432214985939E-4</v>
      </c>
      <c r="H357" s="20">
        <f t="shared" si="35"/>
        <v>5.6663906460242414E-2</v>
      </c>
      <c r="I357" s="20">
        <f t="shared" si="35"/>
        <v>5.9221652494315775E-2</v>
      </c>
      <c r="J357" s="20">
        <f t="shared" si="35"/>
        <v>1.0046376615809476E-3</v>
      </c>
      <c r="K357" s="20">
        <f t="shared" si="35"/>
        <v>0</v>
      </c>
      <c r="L357" s="20">
        <f t="shared" si="35"/>
        <v>0.36267177122079275</v>
      </c>
      <c r="M357" s="20">
        <f t="shared" si="35"/>
        <v>5.2316070736593417E-2</v>
      </c>
      <c r="N357" s="20">
        <f>N346/N350</f>
        <v>0</v>
      </c>
      <c r="O357" s="20">
        <f t="shared" si="35"/>
        <v>0.21381112011331202</v>
      </c>
      <c r="P357" s="20">
        <f t="shared" si="35"/>
        <v>2.1115930636106221E-3</v>
      </c>
      <c r="Q357" s="20">
        <f t="shared" si="35"/>
        <v>8.8279208039431498E-2</v>
      </c>
      <c r="R357" s="20">
        <f t="shared" si="35"/>
        <v>4.8961605542541791E-3</v>
      </c>
      <c r="S357" s="20">
        <f t="shared" si="35"/>
        <v>0.2992708316466649</v>
      </c>
      <c r="T357" s="20">
        <f t="shared" si="35"/>
        <v>0</v>
      </c>
      <c r="U357" s="20">
        <f t="shared" si="35"/>
        <v>0</v>
      </c>
      <c r="V357" s="20">
        <f t="shared" si="35"/>
        <v>1.3914226956783741E-3</v>
      </c>
      <c r="W357" s="20">
        <f t="shared" si="35"/>
        <v>0.12855076173898716</v>
      </c>
      <c r="X357" s="20">
        <f t="shared" si="35"/>
        <v>0.35572185229646297</v>
      </c>
      <c r="Y357" s="20">
        <f t="shared" si="35"/>
        <v>0.28863680788355955</v>
      </c>
      <c r="Z357" s="20">
        <f t="shared" si="35"/>
        <v>0.36694692405987633</v>
      </c>
      <c r="AA357" s="20">
        <f t="shared" si="35"/>
        <v>9.0664640334820273E-2</v>
      </c>
      <c r="AB357" s="20">
        <f t="shared" si="35"/>
        <v>0.20222505185789949</v>
      </c>
      <c r="AC357" s="20">
        <f t="shared" si="35"/>
        <v>0.33009809009620522</v>
      </c>
      <c r="AD357" s="20">
        <f t="shared" si="35"/>
        <v>0.33054436755267846</v>
      </c>
      <c r="AE357" s="20">
        <f t="shared" si="35"/>
        <v>0.27534678830454962</v>
      </c>
      <c r="AF357" s="20">
        <f t="shared" si="35"/>
        <v>0.63027263213825069</v>
      </c>
      <c r="AG357" s="20">
        <f t="shared" si="35"/>
        <v>0.29154118338517543</v>
      </c>
      <c r="AH357" s="20">
        <f t="shared" si="35"/>
        <v>0.29433037833211068</v>
      </c>
      <c r="AI357" s="20">
        <f t="shared" si="35"/>
        <v>0.62003186210620398</v>
      </c>
      <c r="AJ357" s="20">
        <f t="shared" si="35"/>
        <v>0.38904267843737322</v>
      </c>
      <c r="AK357" s="20">
        <f t="shared" si="35"/>
        <v>0.24452764079001107</v>
      </c>
      <c r="AL357" s="20">
        <f t="shared" si="35"/>
        <v>0.2448750377660569</v>
      </c>
      <c r="AM357" s="20">
        <f>AM346/AM350</f>
        <v>0</v>
      </c>
      <c r="AN357" s="20">
        <f>AN346/AN350</f>
        <v>0.24479857105872904</v>
      </c>
      <c r="AO357" s="20">
        <f>AO346/AO350</f>
        <v>0.34500334877220118</v>
      </c>
      <c r="AP357" s="20">
        <f>AP346/AP350</f>
        <v>0.8733813627963537</v>
      </c>
      <c r="AQ357" s="20">
        <f t="shared" ref="AQ357:AW357" si="36">AQ346/AQ350</f>
        <v>0.63089006690778793</v>
      </c>
      <c r="AR357" s="20">
        <f t="shared" si="36"/>
        <v>0.90016381355934538</v>
      </c>
      <c r="AS357" s="20">
        <f t="shared" si="36"/>
        <v>0.25169288372411591</v>
      </c>
      <c r="AT357" s="20" t="e">
        <f t="shared" si="36"/>
        <v>#DIV/0!</v>
      </c>
      <c r="AU357" s="20">
        <f t="shared" si="36"/>
        <v>0.13348000879832661</v>
      </c>
      <c r="AV357" s="20">
        <f t="shared" si="36"/>
        <v>0.89870658135582171</v>
      </c>
      <c r="AW357" s="20">
        <f t="shared" si="36"/>
        <v>0.88387228255404948</v>
      </c>
      <c r="AX357" s="20">
        <f>AX346/AX350</f>
        <v>0.35552148148696905</v>
      </c>
      <c r="AY357" s="20">
        <f t="shared" ref="AY357:BI357" si="37">AY346/AY350</f>
        <v>0.19249839115848136</v>
      </c>
      <c r="AZ357" s="20">
        <f t="shared" si="37"/>
        <v>0.87209165587594706</v>
      </c>
      <c r="BA357" s="20">
        <f t="shared" si="37"/>
        <v>0.35689446660278867</v>
      </c>
      <c r="BB357" s="20">
        <f t="shared" si="37"/>
        <v>0.32709241662551414</v>
      </c>
      <c r="BC357" s="20">
        <f t="shared" si="37"/>
        <v>1.548951425151174E-3</v>
      </c>
      <c r="BD357" s="20">
        <f t="shared" si="37"/>
        <v>0.86743872566072033</v>
      </c>
      <c r="BE357" s="20">
        <f t="shared" si="37"/>
        <v>0.33359454642327036</v>
      </c>
      <c r="BF357" s="20">
        <f t="shared" si="37"/>
        <v>0.33359454642327036</v>
      </c>
      <c r="BG357" s="20">
        <f t="shared" si="37"/>
        <v>0.87070156216251759</v>
      </c>
      <c r="BH357" s="20">
        <f t="shared" si="37"/>
        <v>0.27437947794711481</v>
      </c>
      <c r="BI357" s="20">
        <f t="shared" si="37"/>
        <v>1.6596440380248782E-3</v>
      </c>
      <c r="BJ357" s="21"/>
    </row>
    <row r="358" spans="1:62" x14ac:dyDescent="0.25">
      <c r="A358" t="s">
        <v>612</v>
      </c>
      <c r="E358" s="20">
        <f t="shared" ref="E358:AL358" si="38">E347/E350</f>
        <v>6.8826179324170525E-2</v>
      </c>
      <c r="F358" s="20">
        <f t="shared" si="38"/>
        <v>2.4249309837585876E-2</v>
      </c>
      <c r="G358" s="20">
        <f t="shared" si="38"/>
        <v>7.1584251244252051E-2</v>
      </c>
      <c r="H358" s="20">
        <f t="shared" si="38"/>
        <v>0.87039608560350346</v>
      </c>
      <c r="I358" s="20">
        <f t="shared" si="38"/>
        <v>7.7686621725848601E-2</v>
      </c>
      <c r="J358" s="20">
        <f t="shared" si="38"/>
        <v>0.10559876352885395</v>
      </c>
      <c r="K358" s="20">
        <f t="shared" si="38"/>
        <v>8.4821644503424082E-2</v>
      </c>
      <c r="L358" s="20">
        <f t="shared" si="38"/>
        <v>2.5648788534074426E-2</v>
      </c>
      <c r="M358" s="20">
        <f t="shared" si="38"/>
        <v>0.14038442113378252</v>
      </c>
      <c r="N358" s="20">
        <f>N347/N350</f>
        <v>0</v>
      </c>
      <c r="O358" s="20">
        <f t="shared" si="38"/>
        <v>0</v>
      </c>
      <c r="P358" s="20">
        <f t="shared" si="38"/>
        <v>8.0402695915899422E-2</v>
      </c>
      <c r="Q358" s="20">
        <f t="shared" si="38"/>
        <v>0</v>
      </c>
      <c r="R358" s="20">
        <f t="shared" si="38"/>
        <v>2.352941304024097E-3</v>
      </c>
      <c r="S358" s="20">
        <f t="shared" si="38"/>
        <v>-1.9584179136620358E-2</v>
      </c>
      <c r="T358" s="20">
        <f t="shared" si="38"/>
        <v>0</v>
      </c>
      <c r="U358" s="20">
        <f t="shared" si="38"/>
        <v>1.397937710469894E-2</v>
      </c>
      <c r="V358" s="20">
        <f t="shared" si="38"/>
        <v>9.134396169591974E-2</v>
      </c>
      <c r="W358" s="20">
        <f t="shared" si="38"/>
        <v>0.1234602611920298</v>
      </c>
      <c r="X358" s="20">
        <f t="shared" si="38"/>
        <v>0</v>
      </c>
      <c r="Y358" s="20">
        <f t="shared" si="38"/>
        <v>4.6799905164507695E-2</v>
      </c>
      <c r="Z358" s="20">
        <f t="shared" si="38"/>
        <v>0</v>
      </c>
      <c r="AA358" s="20">
        <f t="shared" si="38"/>
        <v>3.451071927744611E-2</v>
      </c>
      <c r="AB358" s="20">
        <f t="shared" si="38"/>
        <v>0</v>
      </c>
      <c r="AC358" s="20">
        <f t="shared" si="38"/>
        <v>3.415908838306813E-2</v>
      </c>
      <c r="AD358" s="20">
        <f t="shared" si="38"/>
        <v>0</v>
      </c>
      <c r="AE358" s="20">
        <f t="shared" si="38"/>
        <v>5.1776316812367024E-2</v>
      </c>
      <c r="AF358" s="20">
        <f t="shared" si="38"/>
        <v>-4.5562803083281277E-2</v>
      </c>
      <c r="AG358" s="20">
        <f t="shared" si="38"/>
        <v>4.129067978712897E-2</v>
      </c>
      <c r="AH358" s="20">
        <f t="shared" si="38"/>
        <v>5.9497190702719617E-2</v>
      </c>
      <c r="AI358" s="20">
        <f t="shared" si="38"/>
        <v>-2.1832767050535013E-2</v>
      </c>
      <c r="AJ358" s="20">
        <f t="shared" si="38"/>
        <v>1.2391285578448341E-5</v>
      </c>
      <c r="AK358" s="20">
        <f t="shared" si="38"/>
        <v>2.5820625918888199E-5</v>
      </c>
      <c r="AL358" s="20">
        <f t="shared" si="38"/>
        <v>2.1389814397109579E-5</v>
      </c>
      <c r="AM358" s="20">
        <f>AM347/AM350</f>
        <v>1.3492186552544904E-2</v>
      </c>
      <c r="AN358" s="20">
        <f>AN347/AN350</f>
        <v>3.1008181983840268E-5</v>
      </c>
      <c r="AO358" s="20">
        <f>AO347/AO350</f>
        <v>-2.6823111319104455E-2</v>
      </c>
      <c r="AP358" s="20">
        <f>AP347/AP350</f>
        <v>0</v>
      </c>
      <c r="AQ358" s="20">
        <f t="shared" ref="AQ358:AW358" si="39">AQ347/AQ350</f>
        <v>-3.6996218258190987E-2</v>
      </c>
      <c r="AR358" s="20">
        <f t="shared" si="39"/>
        <v>0</v>
      </c>
      <c r="AS358" s="20">
        <f t="shared" si="39"/>
        <v>-1.7414366490871594E-2</v>
      </c>
      <c r="AT358" s="20" t="e">
        <f t="shared" si="39"/>
        <v>#DIV/0!</v>
      </c>
      <c r="AU358" s="20">
        <f t="shared" si="39"/>
        <v>-5.3722742312943021E-3</v>
      </c>
      <c r="AV358" s="20">
        <f t="shared" si="39"/>
        <v>0</v>
      </c>
      <c r="AW358" s="20">
        <f t="shared" si="39"/>
        <v>0</v>
      </c>
      <c r="AX358" s="20">
        <f>AX347/AX350</f>
        <v>0</v>
      </c>
      <c r="AY358" s="20">
        <f t="shared" ref="AY358:BI358" si="40">AY347/AY350</f>
        <v>0</v>
      </c>
      <c r="AZ358" s="20">
        <f t="shared" si="40"/>
        <v>0</v>
      </c>
      <c r="BA358" s="20">
        <f t="shared" si="40"/>
        <v>0</v>
      </c>
      <c r="BB358" s="20">
        <f t="shared" si="40"/>
        <v>-2.5917437800641898E-2</v>
      </c>
      <c r="BC358" s="20">
        <f t="shared" si="40"/>
        <v>0</v>
      </c>
      <c r="BD358" s="20">
        <f t="shared" si="40"/>
        <v>0</v>
      </c>
      <c r="BE358" s="20">
        <f t="shared" si="40"/>
        <v>-2.7020082336346053E-2</v>
      </c>
      <c r="BF358" s="20">
        <f t="shared" si="40"/>
        <v>-2.7020082336346053E-2</v>
      </c>
      <c r="BG358" s="20">
        <f t="shared" si="40"/>
        <v>0</v>
      </c>
      <c r="BH358" s="20">
        <f t="shared" si="40"/>
        <v>0</v>
      </c>
      <c r="BI358" s="20">
        <f t="shared" si="40"/>
        <v>0</v>
      </c>
      <c r="BJ358" s="21"/>
    </row>
    <row r="359" spans="1:62" x14ac:dyDescent="0.25">
      <c r="A359" t="s">
        <v>613</v>
      </c>
      <c r="E359" s="20">
        <f t="shared" ref="E359:M359" si="41">E348/E350</f>
        <v>0.20026265389294751</v>
      </c>
      <c r="F359" s="20">
        <f t="shared" si="41"/>
        <v>7.3693022314758147E-2</v>
      </c>
      <c r="G359" s="20">
        <f t="shared" si="41"/>
        <v>7.0045352061008426E-2</v>
      </c>
      <c r="H359" s="20">
        <f t="shared" si="41"/>
        <v>2.2971840029211366E-2</v>
      </c>
      <c r="I359" s="20">
        <f t="shared" si="41"/>
        <v>8.0394157606902356E-2</v>
      </c>
      <c r="J359" s="20">
        <f t="shared" si="41"/>
        <v>6.960805087956741E-2</v>
      </c>
      <c r="K359" s="20">
        <f t="shared" si="41"/>
        <v>3.8774683561088812E-2</v>
      </c>
      <c r="L359" s="20">
        <f t="shared" si="41"/>
        <v>0.21324368985173914</v>
      </c>
      <c r="M359" s="20">
        <f t="shared" si="41"/>
        <v>0.19701461195784817</v>
      </c>
      <c r="N359" s="20">
        <f>N348/N350</f>
        <v>-2.148694013454567E-5</v>
      </c>
      <c r="O359" s="20">
        <f t="shared" ref="O359:AL359" si="42">O348/O350</f>
        <v>-2.8558743345880283E-3</v>
      </c>
      <c r="P359" s="20">
        <f t="shared" si="42"/>
        <v>5.5537687358142768E-2</v>
      </c>
      <c r="Q359" s="20">
        <f t="shared" si="42"/>
        <v>-3.8417547170566682E-4</v>
      </c>
      <c r="R359" s="20">
        <f t="shared" si="42"/>
        <v>3.4812949460496963E-2</v>
      </c>
      <c r="S359" s="20">
        <f t="shared" si="42"/>
        <v>5.1032581245493785E-2</v>
      </c>
      <c r="T359" s="20">
        <f t="shared" si="42"/>
        <v>0</v>
      </c>
      <c r="U359" s="20">
        <f t="shared" si="42"/>
        <v>4.176485854939626E-2</v>
      </c>
      <c r="V359" s="20">
        <f t="shared" si="42"/>
        <v>6.6771647767718864E-2</v>
      </c>
      <c r="W359" s="20">
        <f t="shared" si="42"/>
        <v>7.3911625515395873E-2</v>
      </c>
      <c r="X359" s="20">
        <f t="shared" si="42"/>
        <v>-3.74056804996058E-3</v>
      </c>
      <c r="Y359" s="20">
        <f t="shared" si="42"/>
        <v>0.13629207521482836</v>
      </c>
      <c r="Z359" s="20">
        <f t="shared" si="42"/>
        <v>-7.0933306064764282E-3</v>
      </c>
      <c r="AA359" s="20">
        <f t="shared" si="42"/>
        <v>6.9066612891348453E-2</v>
      </c>
      <c r="AB359" s="20">
        <f t="shared" si="42"/>
        <v>-4.8392969069776482E-3</v>
      </c>
      <c r="AC359" s="20">
        <f t="shared" si="42"/>
        <v>6.7046977961794194E-2</v>
      </c>
      <c r="AD359" s="20">
        <f t="shared" si="42"/>
        <v>-4.2225289040129701E-7</v>
      </c>
      <c r="AE359" s="20">
        <f t="shared" si="42"/>
        <v>0.1665863282479195</v>
      </c>
      <c r="AF359" s="20">
        <f t="shared" si="42"/>
        <v>4.2736771491486032E-2</v>
      </c>
      <c r="AG359" s="20">
        <f t="shared" si="42"/>
        <v>8.5791335725043363E-4</v>
      </c>
      <c r="AH359" s="20">
        <f t="shared" si="42"/>
        <v>0.20972671234962442</v>
      </c>
      <c r="AI359" s="20">
        <f t="shared" si="42"/>
        <v>5.1260770175612147E-2</v>
      </c>
      <c r="AJ359" s="20">
        <f t="shared" si="42"/>
        <v>-7.4843232343081911E-3</v>
      </c>
      <c r="AK359" s="20">
        <f t="shared" si="42"/>
        <v>-2.0429746499699104E-2</v>
      </c>
      <c r="AL359" s="20">
        <f t="shared" si="42"/>
        <v>-2.0449830440198883E-2</v>
      </c>
      <c r="AM359" s="20">
        <f>AM348/AM350</f>
        <v>4.1361780208234625E-2</v>
      </c>
      <c r="AN359" s="20">
        <f>AN348/AN350</f>
        <v>-2.0541269427250555E-2</v>
      </c>
      <c r="AO359" s="20">
        <f>AO348/AO350</f>
        <v>3.942177723367072E-2</v>
      </c>
      <c r="AP359" s="20">
        <f>AP348/AP350</f>
        <v>4.6372356535718552E-4</v>
      </c>
      <c r="AQ359" s="20">
        <f t="shared" ref="AQ359:AW359" si="43">AQ348/AQ350</f>
        <v>3.1475405419951773E-2</v>
      </c>
      <c r="AR359" s="20">
        <f t="shared" si="43"/>
        <v>4.2928390955092013E-4</v>
      </c>
      <c r="AS359" s="20">
        <f t="shared" si="43"/>
        <v>3.3899023107032064E-2</v>
      </c>
      <c r="AT359" s="20" t="e">
        <f t="shared" si="43"/>
        <v>#DIV/0!</v>
      </c>
      <c r="AU359" s="20">
        <f t="shared" si="43"/>
        <v>2.4731033369589466E-2</v>
      </c>
      <c r="AV359" s="20">
        <f t="shared" si="43"/>
        <v>3.0833314649777809E-4</v>
      </c>
      <c r="AW359" s="20">
        <f t="shared" si="43"/>
        <v>2.8896044999741156E-4</v>
      </c>
      <c r="AX359" s="20">
        <f>AX348/AX350</f>
        <v>-3.8970592052644903E-3</v>
      </c>
      <c r="AY359" s="20">
        <f t="shared" ref="AY359:BI359" si="44">AY348/AY350</f>
        <v>4.2542623991460533E-2</v>
      </c>
      <c r="AZ359" s="20">
        <f t="shared" si="44"/>
        <v>6.2961886023356284E-2</v>
      </c>
      <c r="BA359" s="20">
        <f t="shared" si="44"/>
        <v>-3.7340019748713271E-3</v>
      </c>
      <c r="BB359" s="20">
        <f t="shared" si="44"/>
        <v>3.7176967012768534E-2</v>
      </c>
      <c r="BC359" s="20">
        <f t="shared" si="44"/>
        <v>4.0556038271217981E-2</v>
      </c>
      <c r="BD359" s="20">
        <f t="shared" si="44"/>
        <v>6.4740676011586049E-2</v>
      </c>
      <c r="BE359" s="20">
        <f t="shared" si="44"/>
        <v>3.8263941655794206E-2</v>
      </c>
      <c r="BF359" s="20">
        <f t="shared" si="44"/>
        <v>3.8263941655794206E-2</v>
      </c>
      <c r="BG359" s="20">
        <f t="shared" si="44"/>
        <v>6.4459430326546954E-2</v>
      </c>
      <c r="BH359" s="20">
        <f t="shared" si="44"/>
        <v>-8.029613385307794E-3</v>
      </c>
      <c r="BI359" s="20">
        <f t="shared" si="44"/>
        <v>4.2453845859085515E-2</v>
      </c>
      <c r="BJ359" s="21"/>
    </row>
    <row r="360" spans="1:62" x14ac:dyDescent="0.25">
      <c r="A360" s="21" t="s">
        <v>696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</row>
  </sheetData>
  <mergeCells count="3">
    <mergeCell ref="A1:BI1"/>
    <mergeCell ref="BJ2:BJ359"/>
    <mergeCell ref="A360:BI360"/>
  </mergeCells>
  <conditionalFormatting sqref="A17:A33">
    <cfRule type="cellIs" dxfId="3" priority="17" stopIfTrue="1" operator="lessThan">
      <formula>0</formula>
    </cfRule>
  </conditionalFormatting>
  <conditionalFormatting sqref="B23:B33">
    <cfRule type="cellIs" dxfId="2" priority="26" stopIfTrue="1" operator="lessThan">
      <formula>0</formula>
    </cfRule>
  </conditionalFormatting>
  <conditionalFormatting sqref="C16:D24">
    <cfRule type="cellIs" dxfId="1" priority="18" stopIfTrue="1" operator="lessThan">
      <formula>0</formula>
    </cfRule>
  </conditionalFormatting>
  <conditionalFormatting sqref="E15:BI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4A8D6E63-367E-4B7C-A8F5-99475A7AAB2A}"/>
</file>

<file path=customXml/itemProps2.xml><?xml version="1.0" encoding="utf-8"?>
<ds:datastoreItem xmlns:ds="http://schemas.openxmlformats.org/officeDocument/2006/customXml" ds:itemID="{8BD63324-2BE1-4A55-8A12-6E1D05511653}"/>
</file>

<file path=customXml/itemProps3.xml><?xml version="1.0" encoding="utf-8"?>
<ds:datastoreItem xmlns:ds="http://schemas.openxmlformats.org/officeDocument/2006/customXml" ds:itemID="{FCC9269D-89C3-40FD-8FF3-3AD8B4082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2/2026</dc:title>
  <dc:creator>פרידמן אמיר</dc:creator>
  <cp:lastModifiedBy>Silvi Cohen</cp:lastModifiedBy>
  <dcterms:created xsi:type="dcterms:W3CDTF">2026-03-18T07:41:29Z</dcterms:created>
  <dcterms:modified xsi:type="dcterms:W3CDTF">2026-03-24T14:24:09Z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