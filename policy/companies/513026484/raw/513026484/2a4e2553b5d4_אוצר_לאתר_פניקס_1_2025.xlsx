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42A1A235-AC16-4A37-912D-569DB7AF8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4" i="1" l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I351" i="1" l="1"/>
  <c r="I353" i="1" s="1"/>
  <c r="J351" i="1"/>
  <c r="J353" i="1" s="1"/>
  <c r="V351" i="1"/>
  <c r="V353" i="1" s="1"/>
  <c r="AH351" i="1"/>
  <c r="AH353" i="1" s="1"/>
  <c r="H351" i="1"/>
  <c r="H353" i="1" s="1"/>
  <c r="L351" i="1"/>
  <c r="L353" i="1" s="1"/>
  <c r="P351" i="1"/>
  <c r="P353" i="1" s="1"/>
  <c r="T351" i="1"/>
  <c r="T353" i="1" s="1"/>
  <c r="X351" i="1"/>
  <c r="X353" i="1" s="1"/>
  <c r="AB351" i="1"/>
  <c r="AB353" i="1" s="1"/>
  <c r="AF351" i="1"/>
  <c r="AF353" i="1" s="1"/>
  <c r="AJ351" i="1"/>
  <c r="AJ353" i="1" s="1"/>
  <c r="AN351" i="1"/>
  <c r="AN353" i="1" s="1"/>
  <c r="AR351" i="1"/>
  <c r="AR353" i="1" s="1"/>
  <c r="AV351" i="1"/>
  <c r="AV353" i="1" s="1"/>
  <c r="AZ351" i="1"/>
  <c r="AZ353" i="1" s="1"/>
  <c r="BD351" i="1"/>
  <c r="BD353" i="1" s="1"/>
  <c r="BH351" i="1"/>
  <c r="BH353" i="1" s="1"/>
  <c r="U351" i="1"/>
  <c r="U353" i="1" s="1"/>
  <c r="U355" i="1"/>
  <c r="Y351" i="1"/>
  <c r="Y353" i="1" s="1"/>
  <c r="AC351" i="1"/>
  <c r="AC353" i="1" s="1"/>
  <c r="AG351" i="1"/>
  <c r="AG353" i="1" s="1"/>
  <c r="AK351" i="1"/>
  <c r="AK357" i="1" s="1"/>
  <c r="AO351" i="1"/>
  <c r="AO353" i="1" s="1"/>
  <c r="AS351" i="1"/>
  <c r="AW351" i="1"/>
  <c r="AW353" i="1" s="1"/>
  <c r="BA351" i="1"/>
  <c r="BA357" i="1" s="1"/>
  <c r="BE351" i="1"/>
  <c r="BE353" i="1" s="1"/>
  <c r="BI351" i="1"/>
  <c r="BI353" i="1" s="1"/>
  <c r="L356" i="1"/>
  <c r="E351" i="1"/>
  <c r="E353" i="1" s="1"/>
  <c r="Q351" i="1"/>
  <c r="Q353" i="1" s="1"/>
  <c r="F351" i="1"/>
  <c r="F353" i="1" s="1"/>
  <c r="N351" i="1"/>
  <c r="N353" i="1" s="1"/>
  <c r="Z351" i="1"/>
  <c r="Z353" i="1" s="1"/>
  <c r="Z355" i="1"/>
  <c r="AL351" i="1"/>
  <c r="AL353" i="1" s="1"/>
  <c r="AT351" i="1"/>
  <c r="AT353" i="1" s="1"/>
  <c r="BB351" i="1"/>
  <c r="BB353" i="1" s="1"/>
  <c r="BF351" i="1"/>
  <c r="BF353" i="1" s="1"/>
  <c r="I356" i="1"/>
  <c r="U356" i="1"/>
  <c r="AO356" i="1"/>
  <c r="AS356" i="1"/>
  <c r="BI356" i="1"/>
  <c r="P357" i="1"/>
  <c r="AB357" i="1"/>
  <c r="BH357" i="1"/>
  <c r="F359" i="1"/>
  <c r="J359" i="1"/>
  <c r="AH359" i="1"/>
  <c r="U360" i="1"/>
  <c r="AC360" i="1"/>
  <c r="M351" i="1"/>
  <c r="M353" i="1" s="1"/>
  <c r="R351" i="1"/>
  <c r="R353" i="1" s="1"/>
  <c r="AD351" i="1"/>
  <c r="AD353" i="1" s="1"/>
  <c r="AP351" i="1"/>
  <c r="AP353" i="1" s="1"/>
  <c r="AX351" i="1"/>
  <c r="AX353" i="1" s="1"/>
  <c r="Q356" i="1"/>
  <c r="AC356" i="1"/>
  <c r="G351" i="1"/>
  <c r="G353" i="1" s="1"/>
  <c r="K351" i="1"/>
  <c r="K353" i="1" s="1"/>
  <c r="O351" i="1"/>
  <c r="O353" i="1" s="1"/>
  <c r="S351" i="1"/>
  <c r="S353" i="1" s="1"/>
  <c r="W351" i="1"/>
  <c r="W353" i="1" s="1"/>
  <c r="AA351" i="1"/>
  <c r="AA353" i="1" s="1"/>
  <c r="AE351" i="1"/>
  <c r="AE353" i="1" s="1"/>
  <c r="AI351" i="1"/>
  <c r="AI353" i="1" s="1"/>
  <c r="AM351" i="1"/>
  <c r="AM353" i="1" s="1"/>
  <c r="AQ351" i="1"/>
  <c r="AQ353" i="1" s="1"/>
  <c r="AU351" i="1"/>
  <c r="AU353" i="1" s="1"/>
  <c r="AY351" i="1"/>
  <c r="AY353" i="1" s="1"/>
  <c r="BC351" i="1"/>
  <c r="BC353" i="1" s="1"/>
  <c r="BG351" i="1"/>
  <c r="BG353" i="1" s="1"/>
  <c r="F356" i="1"/>
  <c r="J356" i="1"/>
  <c r="AF357" i="1"/>
  <c r="I360" i="1"/>
  <c r="AO360" i="1"/>
  <c r="AW360" i="1"/>
  <c r="Z356" i="1"/>
  <c r="AH356" i="1"/>
  <c r="AP356" i="1"/>
  <c r="I357" i="1"/>
  <c r="M357" i="1"/>
  <c r="Q357" i="1"/>
  <c r="U357" i="1"/>
  <c r="AO357" i="1"/>
  <c r="AS357" i="1"/>
  <c r="AW357" i="1"/>
  <c r="BE357" i="1"/>
  <c r="BI357" i="1"/>
  <c r="AB358" i="1"/>
  <c r="AN358" i="1"/>
  <c r="AR358" i="1"/>
  <c r="BD358" i="1"/>
  <c r="BH358" i="1"/>
  <c r="W359" i="1"/>
  <c r="AU359" i="1"/>
  <c r="BC359" i="1"/>
  <c r="F360" i="1"/>
  <c r="J360" i="1"/>
  <c r="N360" i="1"/>
  <c r="Z360" i="1"/>
  <c r="AH360" i="1"/>
  <c r="AP360" i="1"/>
  <c r="AX360" i="1"/>
  <c r="BC356" i="1"/>
  <c r="BG356" i="1"/>
  <c r="F357" i="1"/>
  <c r="J357" i="1"/>
  <c r="Z357" i="1"/>
  <c r="AH357" i="1"/>
  <c r="AP357" i="1"/>
  <c r="I358" i="1"/>
  <c r="Q358" i="1"/>
  <c r="U358" i="1"/>
  <c r="AO358" i="1"/>
  <c r="AS358" i="1"/>
  <c r="AW358" i="1"/>
  <c r="BE358" i="1"/>
  <c r="BI358" i="1"/>
  <c r="H359" i="1"/>
  <c r="AB359" i="1"/>
  <c r="BD359" i="1"/>
  <c r="BH359" i="1"/>
  <c r="O360" i="1"/>
  <c r="W360" i="1"/>
  <c r="BH356" i="1"/>
  <c r="W357" i="1"/>
  <c r="AI357" i="1"/>
  <c r="BC357" i="1"/>
  <c r="J358" i="1"/>
  <c r="Z358" i="1"/>
  <c r="AH358" i="1"/>
  <c r="AP358" i="1"/>
  <c r="AX358" i="1"/>
  <c r="I359" i="1"/>
  <c r="Q359" i="1"/>
  <c r="AO359" i="1"/>
  <c r="AS359" i="1"/>
  <c r="AW359" i="1"/>
  <c r="BE359" i="1"/>
  <c r="BI359" i="1"/>
  <c r="H360" i="1"/>
  <c r="P360" i="1"/>
  <c r="X360" i="1"/>
  <c r="AB360" i="1"/>
  <c r="BH360" i="1"/>
  <c r="BC360" i="1"/>
  <c r="BG360" i="1"/>
  <c r="G357" i="1" l="1"/>
  <c r="AN359" i="1"/>
  <c r="AQ359" i="1"/>
  <c r="AM356" i="1"/>
  <c r="AR360" i="1"/>
  <c r="AI359" i="1"/>
  <c r="P358" i="1"/>
  <c r="AC357" i="1"/>
  <c r="BE360" i="1"/>
  <c r="M359" i="1"/>
  <c r="BI360" i="1"/>
  <c r="AR359" i="1"/>
  <c r="AE360" i="1"/>
  <c r="P359" i="1"/>
  <c r="AC358" i="1"/>
  <c r="L358" i="1"/>
  <c r="AQ356" i="1"/>
  <c r="K357" i="1"/>
  <c r="AC359" i="1"/>
  <c r="L359" i="1"/>
  <c r="K359" i="1"/>
  <c r="H358" i="1"/>
  <c r="AR357" i="1"/>
  <c r="F355" i="1"/>
  <c r="AE359" i="1"/>
  <c r="AL359" i="1"/>
  <c r="N358" i="1"/>
  <c r="AA356" i="1"/>
  <c r="S358" i="1"/>
  <c r="H355" i="1"/>
  <c r="S359" i="1"/>
  <c r="AV360" i="1"/>
  <c r="BB358" i="1"/>
  <c r="BG357" i="1"/>
  <c r="AY359" i="1"/>
  <c r="O359" i="1"/>
  <c r="S360" i="1"/>
  <c r="AF356" i="1"/>
  <c r="AB356" i="1"/>
  <c r="AD360" i="1"/>
  <c r="G359" i="1"/>
  <c r="AG359" i="1"/>
  <c r="AL358" i="1"/>
  <c r="AY356" i="1"/>
  <c r="AM359" i="1"/>
  <c r="Q360" i="1"/>
  <c r="AG356" i="1"/>
  <c r="P356" i="1"/>
  <c r="P355" i="1"/>
  <c r="N357" i="1"/>
  <c r="N356" i="1"/>
  <c r="AQ357" i="1"/>
  <c r="AM360" i="1"/>
  <c r="G360" i="1"/>
  <c r="BG359" i="1"/>
  <c r="AA359" i="1"/>
  <c r="AX356" i="1"/>
  <c r="T360" i="1"/>
  <c r="AM357" i="1"/>
  <c r="AI360" i="1"/>
  <c r="M358" i="1"/>
  <c r="BE356" i="1"/>
  <c r="K360" i="1"/>
  <c r="AQ360" i="1"/>
  <c r="N359" i="1"/>
  <c r="AA357" i="1"/>
  <c r="AA360" i="1"/>
  <c r="AX357" i="1"/>
  <c r="K358" i="1"/>
  <c r="G358" i="1"/>
  <c r="J355" i="1"/>
  <c r="H356" i="1"/>
  <c r="H357" i="1"/>
  <c r="AJ360" i="1"/>
  <c r="X359" i="1"/>
  <c r="E358" i="1"/>
  <c r="AD357" i="1"/>
  <c r="BF360" i="1"/>
  <c r="X358" i="1"/>
  <c r="E357" i="1"/>
  <c r="AD356" i="1"/>
  <c r="E360" i="1"/>
  <c r="V359" i="1"/>
  <c r="BF359" i="1"/>
  <c r="AJ357" i="1"/>
  <c r="L357" i="1"/>
  <c r="AZ356" i="1"/>
  <c r="AY360" i="1"/>
  <c r="AZ360" i="1"/>
  <c r="AF360" i="1"/>
  <c r="U359" i="1"/>
  <c r="E359" i="1"/>
  <c r="AD358" i="1"/>
  <c r="F358" i="1"/>
  <c r="AZ359" i="1"/>
  <c r="AJ359" i="1"/>
  <c r="T359" i="1"/>
  <c r="BF357" i="1"/>
  <c r="BB360" i="1"/>
  <c r="AL360" i="1"/>
  <c r="V360" i="1"/>
  <c r="AZ358" i="1"/>
  <c r="AJ358" i="1"/>
  <c r="T358" i="1"/>
  <c r="BF356" i="1"/>
  <c r="AG360" i="1"/>
  <c r="BB359" i="1"/>
  <c r="V356" i="1"/>
  <c r="AV356" i="1"/>
  <c r="X356" i="1"/>
  <c r="AY357" i="1"/>
  <c r="X357" i="1"/>
  <c r="L360" i="1"/>
  <c r="BA359" i="1"/>
  <c r="AK359" i="1"/>
  <c r="BF358" i="1"/>
  <c r="S357" i="1"/>
  <c r="AV359" i="1"/>
  <c r="AF359" i="1"/>
  <c r="AG358" i="1"/>
  <c r="BB357" i="1"/>
  <c r="AL357" i="1"/>
  <c r="AI356" i="1"/>
  <c r="AV358" i="1"/>
  <c r="AF358" i="1"/>
  <c r="AG357" i="1"/>
  <c r="BB356" i="1"/>
  <c r="AL356" i="1"/>
  <c r="AI358" i="1"/>
  <c r="AV357" i="1"/>
  <c r="Z359" i="1"/>
  <c r="AZ357" i="1"/>
  <c r="T357" i="1"/>
  <c r="AK356" i="1"/>
  <c r="BF355" i="1"/>
  <c r="E355" i="1"/>
  <c r="AJ356" i="1"/>
  <c r="X355" i="1"/>
  <c r="AU360" i="1"/>
  <c r="BD360" i="1"/>
  <c r="AN360" i="1"/>
  <c r="V357" i="1"/>
  <c r="AU356" i="1"/>
  <c r="AE356" i="1"/>
  <c r="R360" i="1"/>
  <c r="Y360" i="1"/>
  <c r="AN357" i="1"/>
  <c r="R356" i="1"/>
  <c r="BA356" i="1"/>
  <c r="AN356" i="1"/>
  <c r="V358" i="1"/>
  <c r="AU357" i="1"/>
  <c r="AE357" i="1"/>
  <c r="O357" i="1"/>
  <c r="Y358" i="1"/>
  <c r="R357" i="1"/>
  <c r="Y357" i="1"/>
  <c r="AY358" i="1"/>
  <c r="BB355" i="1"/>
  <c r="AL355" i="1"/>
  <c r="N355" i="1"/>
  <c r="Q355" i="1"/>
  <c r="BD356" i="1"/>
  <c r="T356" i="1"/>
  <c r="T355" i="1"/>
  <c r="L355" i="1"/>
  <c r="AH355" i="1"/>
  <c r="Y359" i="1"/>
  <c r="R358" i="1"/>
  <c r="BA358" i="1"/>
  <c r="AK358" i="1"/>
  <c r="BD357" i="1"/>
  <c r="R359" i="1"/>
  <c r="Y355" i="1"/>
  <c r="AQ358" i="1"/>
  <c r="BC355" i="1"/>
  <c r="AU355" i="1"/>
  <c r="AM355" i="1"/>
  <c r="AE355" i="1"/>
  <c r="W355" i="1"/>
  <c r="O355" i="1"/>
  <c r="AP355" i="1"/>
  <c r="R355" i="1"/>
  <c r="M355" i="1"/>
  <c r="M360" i="1"/>
  <c r="AP359" i="1"/>
  <c r="AM358" i="1"/>
  <c r="BE355" i="1"/>
  <c r="AW355" i="1"/>
  <c r="AO355" i="1"/>
  <c r="AG355" i="1"/>
  <c r="K356" i="1"/>
  <c r="BH355" i="1"/>
  <c r="AZ355" i="1"/>
  <c r="AR355" i="1"/>
  <c r="AJ355" i="1"/>
  <c r="AB355" i="1"/>
  <c r="AE358" i="1"/>
  <c r="BA353" i="1"/>
  <c r="BA360" i="1"/>
  <c r="AS353" i="1"/>
  <c r="AS360" i="1"/>
  <c r="AK353" i="1"/>
  <c r="AK360" i="1"/>
  <c r="W356" i="1"/>
  <c r="Y356" i="1"/>
  <c r="AD359" i="1"/>
  <c r="BG358" i="1"/>
  <c r="AA358" i="1"/>
  <c r="BG355" i="1"/>
  <c r="AY355" i="1"/>
  <c r="AQ355" i="1"/>
  <c r="AI355" i="1"/>
  <c r="AA355" i="1"/>
  <c r="S355" i="1"/>
  <c r="K355" i="1"/>
  <c r="G355" i="1"/>
  <c r="AX355" i="1"/>
  <c r="AD355" i="1"/>
  <c r="BC358" i="1"/>
  <c r="W358" i="1"/>
  <c r="AW356" i="1"/>
  <c r="AR356" i="1"/>
  <c r="BI355" i="1"/>
  <c r="BA355" i="1"/>
  <c r="AS355" i="1"/>
  <c r="AK355" i="1"/>
  <c r="AC355" i="1"/>
  <c r="S356" i="1"/>
  <c r="G356" i="1"/>
  <c r="BD355" i="1"/>
  <c r="AV355" i="1"/>
  <c r="AN355" i="1"/>
  <c r="AF355" i="1"/>
  <c r="M356" i="1"/>
  <c r="V355" i="1"/>
  <c r="I355" i="1"/>
  <c r="AX359" i="1"/>
  <c r="AU358" i="1"/>
  <c r="O358" i="1"/>
  <c r="O356" i="1"/>
  <c r="E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<sst xmlns="http://schemas.openxmlformats.org/spreadsheetml/2006/main" count="765" uniqueCount="697">
  <si>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</si>
  <si>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</si>
  <si>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</si>
  <si>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</si>
  <si>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</si>
  <si>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</si>
  <si>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</si>
  <si>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</si>
  <si>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</si>
  <si>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</si>
  <si>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</si>
  <si>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</si>
  <si>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</si>
  <si>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</si>
  <si>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</si>
  <si>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</si>
  <si>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</si>
  <si>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</si>
  <si>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</si>
  <si>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</si>
  <si>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</si>
  <si>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</si>
  <si>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</si>
  <si>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</si>
  <si>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</si>
  <si>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</si>
  <si>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</si>
  <si>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</si>
  <si>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</si>
  <si>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</si>
  <si>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</si>
  <si>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</si>
  <si>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</si>
  <si>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</si>
  <si>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</si>
  <si>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</si>
  <si>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</si>
  <si>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</si>
  <si>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</si>
  <si>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</si>
  <si>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</si>
  <si>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</si>
  <si>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</si>
  <si>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</si>
  <si>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</si>
  <si>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</si>
  <si>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</si>
  <si>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</si>
  <si>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</si>
  <si>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</si>
  <si>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</si>
  <si>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</si>
  <si>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</si>
  <si>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</si>
  <si>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</si>
  <si>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</si>
  <si>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</si>
  <si>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</si>
  <si>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</si>
  <si>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</si>
  <si>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</si>
  <si>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</si>
  <si>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</si>
  <si>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</si>
  <si>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</si>
  <si>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</si>
  <si>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</si>
  <si>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</si>
  <si>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</si>
  <si>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</si>
  <si>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</si>
  <si>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</si>
  <si>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</si>
  <si>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</si>
  <si>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</si>
  <si>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</si>
  <si>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</si>
  <si>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</si>
  <si>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</si>
  <si>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</si>
  <si>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</si>
  <si>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</si>
  <si>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</si>
  <si>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</si>
  <si>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</si>
  <si>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</si>
  <si>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</si>
  <si>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</si>
  <si>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</si>
  <si>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</si>
  <si>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</si>
  <si>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</si>
  <si>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</si>
  <si>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</si>
  <si>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</si>
  <si>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</si>
  <si>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</si>
  <si>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</si>
  <si>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</si>
  <si>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</si>
  <si>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</si>
  <si>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</si>
  <si>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</si>
  <si>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</si>
  <si>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</si>
  <si>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</si>
  <si>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</si>
  <si>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</si>
  <si>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</si>
  <si>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</si>
  <si>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</si>
  <si>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</si>
  <si>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</si>
  <si>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</si>
  <si>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</si>
  <si>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</si>
  <si>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</si>
  <si>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</si>
  <si>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</si>
  <si>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</si>
  <si>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</si>
  <si>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</si>
  <si>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</si>
  <si>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</si>
  <si>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</si>
  <si>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</si>
  <si>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</si>
  <si>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</si>
  <si>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</si>
  <si>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</si>
  <si>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</si>
  <si>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</si>
  <si>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</si>
  <si>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</si>
  <si>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</si>
  <si>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</si>
  <si>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</si>
  <si>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</si>
  <si>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</si>
  <si>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</si>
  <si>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</si>
  <si>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</si>
  <si>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</si>
  <si>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</si>
  <si>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</si>
  <si>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</si>
  <si>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</si>
  <si>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</si>
  <si>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</si>
  <si>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</si>
  <si>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</si>
  <si>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</si>
  <si>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</si>
  <si>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</si>
  <si>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</si>
  <si>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</si>
  <si>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</si>
  <si>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</si>
  <si>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</si>
  <si>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</si>
  <si>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</si>
  <si>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</si>
  <si>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</si>
  <si>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</si>
  <si>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</si>
  <si>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</si>
  <si>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</si>
  <si>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</si>
  <si>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</si>
  <si>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</si>
  <si>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</si>
  <si>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</si>
  <si>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</si>
  <si>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</si>
  <si>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</si>
  <si>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</si>
  <si>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</si>
  <si>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</si>
  <si>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</si>
  <si>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</si>
  <si>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</si>
  <si>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</si>
  <si>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</si>
  <si>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</si>
  <si>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</si>
  <si>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</si>
  <si>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</si>
  <si>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</si>
  <si>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</si>
  <si>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</si>
  <si>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</si>
  <si>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</si>
  <si>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</si>
  <si>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</si>
  <si>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</si>
  <si>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</si>
  <si>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</si>
  <si>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</si>
  <si>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</si>
  <si>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</si>
  <si>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</si>
  <si>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</si>
  <si>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</si>
  <si>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</si>
  <si>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</si>
  <si>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</si>
  <si>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</si>
  <si>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</si>
  <si>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</si>
  <si>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</si>
  <si>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</si>
  <si>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</si>
  <si>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</si>
  <si>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</si>
  <si>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</si>
  <si>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</si>
  <si>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</si>
  <si>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</si>
  <si>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</si>
  <si>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</si>
  <si>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</si>
  <si>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</si>
  <si>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</si>
  <si>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</si>
  <si>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</si>
  <si>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</si>
  <si>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</si>
  <si>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</si>
  <si>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</si>
  <si>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</si>
  <si>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</si>
  <si>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</si>
  <si>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</si>
  <si>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</si>
  <si>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</si>
  <si>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</si>
  <si>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</si>
  <si>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</si>
  <si>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</si>
  <si>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</si>
  <si>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</si>
  <si>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</si>
  <si>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</si>
  <si>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</si>
  <si>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</si>
  <si>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</si>
  <si>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</si>
  <si>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</si>
  <si>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</si>
  <si>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</si>
  <si>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</si>
  <si>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</si>
  <si>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</si>
  <si>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</si>
  <si>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</si>
  <si>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</si>
  <si>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</si>
  <si>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</si>
  <si>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</si>
  <si>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</si>
  <si>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</si>
  <si>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</si>
  <si>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</si>
  <si>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</si>
  <si>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</si>
  <si>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</si>
  <si>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</si>
  <si>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</si>
  <si>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</si>
  <si>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</si>
  <si>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</si>
  <si>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</si>
  <si>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</si>
  <si>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</si>
  <si>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</si>
  <si>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</si>
  <si>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</si>
  <si>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</si>
  <si>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</si>
  <si>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</si>
  <si>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</si>
  <si>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</si>
  <si>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</si>
  <si>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</si>
  <si>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</si>
  <si>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</si>
  <si>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</si>
  <si>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</si>
  <si>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</si>
  <si>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</si>
  <si>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</si>
  <si>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</si>
  <si>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</si>
  <si>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</si>
  <si>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</si>
  <si>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</si>
  <si>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</si>
  <si>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</si>
  <si>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</si>
  <si>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</si>
  <si>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</si>
  <si>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</si>
  <si>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</si>
  <si>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</si>
  <si>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</si>
  <si>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</si>
  <si>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</si>
  <si>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</si>
  <si>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</si>
  <si>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</si>
  <si>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</si>
  <si>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</si>
  <si>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</si>
  <si>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</si>
  <si>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</si>
  <si>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</si>
  <si>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</si>
  <si>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</si>
  <si>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</si>
  <si>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</si>
  <si>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</si>
  <si>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</si>
  <si>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</si>
  <si>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</si>
  <si>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</si>
  <si>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</si>
  <si>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</si>
  <si>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</si>
  <si>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</si>
  <si>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</si>
  <si>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</si>
  <si>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</si>
  <si>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</si>
  <si>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</si>
  <si>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</si>
  <si>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</si>
  <si>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</si>
  <si>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</si>
  <si>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</si>
  <si>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</si>
  <si>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</si>
  <si>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</si>
  <si>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</si>
  <si>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</si>
  <si>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</si>
  <si>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</si>
  <si>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</si>
  <si>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</si>
  <si>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</si>
  <si>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</si>
  <si>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</si>
  <si>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</si>
  <si>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</si>
  <si>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</si>
  <si>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</si>
  <si>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</si>
  <si>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</si>
  <si>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</si>
  <si>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</si>
  <si>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</si>
  <si>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</si>
  <si>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</si>
  <si>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</si>
  <si>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</si>
  <si>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</si>
  <si>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</si>
  <si>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</si>
  <si>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</si>
  <si>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</si>
  <si>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</si>
  <si>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</si>
  <si>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</si>
  <si>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</si>
  <si>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</si>
  <si>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</si>
  <si>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</si>
  <si>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</si>
  <si>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</si>
  <si>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</si>
  <si>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</si>
  <si>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</si>
  <si>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</si>
  <si>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</si>
  <si>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</si>
  <si>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</si>
  <si>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</si>
  <si>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</si>
  <si>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</si>
  <si>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</si>
  <si>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</si>
  <si>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</si>
  <si>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</si>
  <si>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</si>
  <si>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</si>
  <si>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</si>
  <si>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</si>
  <si>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</si>
  <si>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</si>
  <si>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</si>
  <si>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</si>
  <si>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</si>
  <si>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</si>
  <si>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</si>
  <si>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</si>
  <si>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</si>
  <si>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</si>
  <si>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</si>
  <si>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</si>
  <si>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</si>
  <si>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</si>
  <si>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</si>
  <si>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</si>
  <si>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</si>
  <si>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</si>
  <si>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</si>
  <si>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</si>
  <si>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</si>
  <si>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</si>
  <si>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</si>
  <si>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</si>
  <si>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</si>
  <si>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</si>
  <si>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</si>
  <si>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</si>
  <si>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</si>
  <si>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</si>
  <si>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</si>
  <si>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</si>
  <si>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</si>
  <si>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</si>
  <si>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</si>
  <si>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</si>
  <si>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</si>
  <si>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</si>
  <si>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</si>
  <si>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</si>
  <si>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</si>
  <si>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</si>
  <si>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</si>
  <si>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</si>
  <si>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</si>
  <si>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</si>
  <si>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</si>
  <si>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</si>
  <si>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</si>
  <si>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</si>
  <si>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</si>
  <si>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</si>
  <si>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</si>
  <si>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</si>
  <si>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</si>
  <si>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</si>
  <si>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</si>
  <si>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</si>
  <si>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</si>
  <si>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</si>
  <si>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</si>
  <si>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</si>
  <si>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</si>
  <si>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</si>
  <si>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</si>
  <si>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</si>
  <si>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</si>
  <si>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</si>
  <si>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</si>
  <si>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</si>
  <si>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</si>
  <si>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</si>
  <si>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</si>
  <si>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</si>
  <si>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</si>
  <si>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</si>
  <si>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</si>
  <si>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</si>
  <si>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</si>
  <si>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</si>
  <si>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</si>
  <si>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</si>
  <si>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</si>
  <si>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</si>
  <si>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</si>
  <si>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</si>
  <si>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</si>
  <si>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</si>
  <si>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</si>
  <si>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</si>
  <si>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</si>
  <si>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</si>
  <si>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</si>
  <si>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</si>
  <si>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</si>
  <si>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</si>
  <si>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</si>
  <si>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</si>
  <si>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</si>
  <si>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</si>
  <si>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</si>
  <si>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</si>
  <si>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</si>
  <si>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</si>
  <si>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</si>
  <si>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</si>
  <si>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</si>
  <si>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</si>
  <si>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</si>
  <si>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</si>
  <si>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</si>
  <si>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</si>
  <si>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</si>
  <si>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</si>
  <si>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</si>
  <si>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</si>
  <si>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</si>
  <si>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</si>
  <si>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</si>
  <si>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</si>
  <si>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</si>
  <si>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</si>
  <si>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</si>
  <si>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</si>
  <si>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</si>
  <si>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</si>
  <si>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</si>
  <si>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</si>
  <si>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</si>
  <si>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</si>
  <si>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</si>
  <si>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</si>
  <si>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</si>
  <si>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</si>
  <si>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</si>
  <si>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</si>
  <si>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</si>
  <si>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</si>
  <si>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</si>
  <si>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</si>
  <si>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</si>
  <si>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</si>
  <si>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</si>
  <si>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</si>
  <si>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</si>
  <si>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</si>
  <si>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</si>
  <si>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</si>
  <si>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</si>
  <si>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</si>
  <si>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</si>
  <si>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</si>
  <si>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</si>
  <si>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</si>
  <si>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</si>
  <si>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</si>
  <si>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</si>
  <si>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</si>
  <si>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</si>
  <si>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</si>
  <si>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</si>
  <si>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</si>
  <si>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</si>
  <si>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</si>
  <si>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</si>
  <si>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</si>
  <si>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</si>
  <si>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</si>
  <si>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</si>
  <si>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</si>
  <si>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</si>
  <si>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</si>
  <si>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</si>
  <si>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</si>
  <si>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</si>
  <si>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</si>
  <si>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</si>
  <si>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</si>
  <si>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</si>
  <si>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</si>
  <si>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</si>
  <si>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</si>
  <si>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</si>
  <si>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</si>
  <si>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</si>
  <si>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</si>
  <si>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</si>
  <si>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</si>
  <si>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</si>
  <si>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</si>
  <si>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</si>
  <si>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</si>
  <si>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</si>
  <si>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</si>
  <si>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</si>
  <si>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</si>
  <si>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</si>
  <si>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</si>
  <si>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</si>
  <si>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</si>
  <si>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</si>
  <si>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</si>
  <si>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</si>
  <si>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</si>
  <si>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</si>
  <si>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</si>
  <si>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</si>
  <si>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</si>
  <si>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</si>
  <si>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</si>
  <si>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</si>
  <si>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</si>
  <si>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</si>
  <si>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</si>
  <si>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</si>
  <si>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</si>
  <si>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</si>
  <si>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</si>
  <si>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</si>
  <si>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</si>
  <si>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</si>
  <si>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</si>
  <si>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</si>
  <si>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</si>
  <si>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</si>
  <si>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</si>
  <si>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</si>
  <si>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</si>
  <si>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</si>
  <si>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</si>
  <si>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</si>
  <si>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</si>
  <si>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</si>
  <si>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</si>
  <si>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</si>
  <si>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</si>
  <si>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</si>
  <si>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</si>
  <si>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</si>
  <si>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</si>
  <si>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</si>
  <si>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</si>
  <si>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</si>
  <si>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</si>
  <si>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</si>
  <si>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</si>
  <si>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</si>
  <si>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</si>
  <si>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</si>
  <si>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</si>
  <si>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</si>
  <si>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</si>
  <si>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</si>
  <si>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</si>
  <si>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</si>
  <si>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</si>
  <si>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</si>
  <si>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</si>
  <si>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</si>
  <si>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</si>
  <si>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</si>
  <si>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</si>
  <si>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</si>
  <si>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</si>
  <si>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</si>
  <si>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</si>
  <si>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</si>
  <si>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</si>
  <si>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</si>
  <si>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</si>
  <si>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</si>
  <si>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</si>
  <si>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</si>
  <si>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</si>
  <si>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</si>
  <si>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</si>
  <si>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</si>
  <si>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</si>
  <si>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</si>
  <si>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</si>
  <si>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</si>
  <si>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</si>
  <si>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</si>
  <si>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</si>
  <si>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</si>
  <si>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</si>
  <si>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</si>
  <si>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</si>
  <si>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</si>
  <si>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</si>
  <si>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</si>
  <si>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</si>
  <si>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</si>
  <si>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</si>
  <si>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</si>
  <si>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</si>
  <si>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</si>
  <si>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</si>
  <si>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סיום מידע טבלה </t>
  </si>
  <si>
    <t>סיום מידע טבלה צד שמאל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</si>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</sst>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662940</xdr:colOff>
      <xdr:row>0</xdr:row>
      <xdr:rowOff>0</xdr:rowOff>
    </xdr:from>
    <xdr:to>
      <xdr:col>2</xdr:col>
      <xdr:colOff>381000</xdr:colOff>
      <xdr:row>2</xdr:row>
      <xdr:rowOff>7620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A2B3660A-A0AF-4CB6-A7D4-2AD92C2A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732920" y="0"/>
          <a:ext cx="38862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35"/>
      <sheetName val="גיליון237"/>
      <sheetName val="גיליון239"/>
      <sheetName val="גיליון241"/>
      <sheetName val="גיליון243"/>
      <sheetName val="גיליון245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361"/>
  <sheetViews>
    <sheetView rightToLeft="1" tabSelected="1" workbookViewId="0">
      <selection activeCell="G1" sqref="G1"/>
    </sheetView>
  </sheetViews>
  <sheetFormatPr defaultRowHeight="13.8" x14ac:dyDescent="0.25"/>
  <sheetData>
    <row r="2" spans="1:62" x14ac:dyDescent="0.25">
      <c r="A2" s="21" t="s">
        <v>696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695</v>
      </c>
    </row>
    <row r="3" spans="1:62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9">
        <v>828</v>
      </c>
      <c r="AQ3" s="9">
        <v>844</v>
      </c>
      <c r="AR3" s="9">
        <v>839</v>
      </c>
      <c r="AS3" s="9">
        <v>857</v>
      </c>
      <c r="AT3" s="9">
        <v>851</v>
      </c>
      <c r="AU3" s="9">
        <v>849</v>
      </c>
      <c r="AV3" s="9">
        <v>846</v>
      </c>
      <c r="AW3" s="9">
        <v>834</v>
      </c>
      <c r="AX3" s="9">
        <v>506</v>
      </c>
      <c r="AY3" s="9">
        <v>521</v>
      </c>
      <c r="AZ3" s="9">
        <v>522</v>
      </c>
      <c r="BA3" s="9">
        <v>528</v>
      </c>
      <c r="BB3" s="9">
        <v>548</v>
      </c>
      <c r="BC3" s="9">
        <v>551</v>
      </c>
      <c r="BD3" s="9">
        <v>555</v>
      </c>
      <c r="BE3" s="9">
        <v>558</v>
      </c>
      <c r="BF3" s="9">
        <v>558</v>
      </c>
      <c r="BG3" s="9">
        <v>578</v>
      </c>
      <c r="BH3" s="9">
        <v>580</v>
      </c>
      <c r="BI3" s="9">
        <v>577</v>
      </c>
      <c r="BJ3" s="21"/>
    </row>
    <row r="4" spans="1:62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715</v>
      </c>
      <c r="L4" s="10">
        <v>9916</v>
      </c>
      <c r="M4" s="10">
        <v>1100</v>
      </c>
      <c r="N4" s="10">
        <v>801</v>
      </c>
      <c r="O4" s="10">
        <v>804</v>
      </c>
      <c r="P4" s="10">
        <v>806</v>
      </c>
      <c r="Q4" s="10">
        <v>8765</v>
      </c>
      <c r="R4" s="10">
        <v>8766</v>
      </c>
      <c r="S4" s="10">
        <v>9418</v>
      </c>
      <c r="T4" s="10">
        <v>9475</v>
      </c>
      <c r="U4" s="10">
        <v>9906</v>
      </c>
      <c r="V4" s="10">
        <v>7905</v>
      </c>
      <c r="W4" s="10">
        <v>7906</v>
      </c>
      <c r="X4" s="10">
        <v>7907</v>
      </c>
      <c r="Y4" s="10">
        <v>7908</v>
      </c>
      <c r="Z4" s="10">
        <v>7909</v>
      </c>
      <c r="AA4" s="10">
        <v>11310</v>
      </c>
      <c r="AB4" s="10">
        <v>11311</v>
      </c>
      <c r="AC4" s="10">
        <v>11312</v>
      </c>
      <c r="AD4" s="10">
        <v>11335</v>
      </c>
      <c r="AE4" s="10">
        <v>9529</v>
      </c>
      <c r="AF4" s="10">
        <v>961</v>
      </c>
      <c r="AG4" s="10">
        <v>9528</v>
      </c>
      <c r="AH4" s="10">
        <v>964</v>
      </c>
      <c r="AI4" s="10">
        <v>968</v>
      </c>
      <c r="AJ4" s="10">
        <v>8629</v>
      </c>
      <c r="AK4" s="10">
        <v>13264</v>
      </c>
      <c r="AL4" s="10">
        <v>13263</v>
      </c>
      <c r="AM4" s="10">
        <v>13209</v>
      </c>
      <c r="AN4" s="10">
        <v>13250</v>
      </c>
      <c r="AO4" s="10">
        <v>14281</v>
      </c>
      <c r="AP4" s="11">
        <v>2049</v>
      </c>
      <c r="AQ4" s="12">
        <v>7975</v>
      </c>
      <c r="AR4" s="12">
        <v>8004</v>
      </c>
      <c r="AS4" s="11">
        <v>1008</v>
      </c>
      <c r="AT4" s="11">
        <v>9484</v>
      </c>
      <c r="AU4" s="11">
        <v>682</v>
      </c>
      <c r="AV4" s="11">
        <v>11352</v>
      </c>
      <c r="AW4" s="11">
        <v>2058</v>
      </c>
      <c r="AX4" s="11">
        <v>15007</v>
      </c>
      <c r="AY4" s="11">
        <v>15208</v>
      </c>
      <c r="AZ4" s="11">
        <v>15209</v>
      </c>
      <c r="BA4" s="11">
        <v>15210</v>
      </c>
      <c r="BB4" s="11">
        <v>15211</v>
      </c>
      <c r="BC4" s="11">
        <v>15212</v>
      </c>
      <c r="BD4" s="11">
        <v>15232</v>
      </c>
      <c r="BE4" s="11">
        <v>15214</v>
      </c>
      <c r="BF4" s="11">
        <v>15214</v>
      </c>
      <c r="BG4" s="11">
        <v>15233</v>
      </c>
      <c r="BH4" s="11">
        <v>15234</v>
      </c>
      <c r="BI4" s="11">
        <v>15215</v>
      </c>
      <c r="BJ4" s="21"/>
    </row>
    <row r="5" spans="1:62" ht="15.6" x14ac:dyDescent="0.3">
      <c r="A5" s="3">
        <v>45658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3" t="s">
        <v>651</v>
      </c>
      <c r="AQ5" s="14" t="s">
        <v>652</v>
      </c>
      <c r="AR5" s="13" t="s">
        <v>653</v>
      </c>
      <c r="AS5" s="13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21"/>
    </row>
    <row r="6" spans="1:62" ht="15.6" x14ac:dyDescent="0.3">
      <c r="A6" s="4"/>
      <c r="B6" s="5"/>
      <c r="C6" s="5"/>
      <c r="D6" s="6" t="s">
        <v>0</v>
      </c>
      <c r="E6" s="15" t="s">
        <v>660</v>
      </c>
      <c r="F6" s="15" t="s">
        <v>661</v>
      </c>
      <c r="G6" s="15" t="s">
        <v>662</v>
      </c>
      <c r="H6" s="15" t="s">
        <v>663</v>
      </c>
      <c r="I6" s="15" t="s">
        <v>664</v>
      </c>
      <c r="J6" s="15" t="s">
        <v>665</v>
      </c>
      <c r="K6" s="15" t="s">
        <v>666</v>
      </c>
      <c r="L6" s="15" t="s">
        <v>667</v>
      </c>
      <c r="M6" s="15" t="s">
        <v>668</v>
      </c>
      <c r="N6" s="15" t="s">
        <v>669</v>
      </c>
      <c r="O6" s="15" t="s">
        <v>670</v>
      </c>
      <c r="P6" s="15" t="s">
        <v>671</v>
      </c>
      <c r="Q6" s="15" t="s">
        <v>672</v>
      </c>
      <c r="R6" s="15" t="s">
        <v>673</v>
      </c>
      <c r="S6" s="15" t="s">
        <v>674</v>
      </c>
      <c r="T6" s="15" t="s">
        <v>675</v>
      </c>
      <c r="U6" s="15" t="s">
        <v>676</v>
      </c>
      <c r="V6" s="15" t="s">
        <v>677</v>
      </c>
      <c r="W6" s="15" t="s">
        <v>678</v>
      </c>
      <c r="X6" s="15" t="s">
        <v>679</v>
      </c>
      <c r="Y6" s="15" t="s">
        <v>680</v>
      </c>
      <c r="Z6" s="15" t="s">
        <v>681</v>
      </c>
      <c r="AA6" s="15" t="s">
        <v>682</v>
      </c>
      <c r="AB6" s="15" t="s">
        <v>683</v>
      </c>
      <c r="AC6" s="15" t="s">
        <v>684</v>
      </c>
      <c r="AD6" s="15" t="s">
        <v>685</v>
      </c>
      <c r="AE6" s="15" t="s">
        <v>686</v>
      </c>
      <c r="AF6" s="15" t="s">
        <v>687</v>
      </c>
      <c r="AG6" s="15" t="s">
        <v>688</v>
      </c>
      <c r="AH6" s="15" t="s">
        <v>689</v>
      </c>
      <c r="AI6" s="15" t="s">
        <v>690</v>
      </c>
      <c r="AJ6" s="15" t="s">
        <v>691</v>
      </c>
      <c r="AK6" s="15" t="s">
        <v>692</v>
      </c>
      <c r="AL6" s="15" t="s">
        <v>693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21"/>
    </row>
    <row r="7" spans="1:62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153517.20699999999</v>
      </c>
      <c r="F7" s="7">
        <v>19942.93</v>
      </c>
      <c r="G7" s="7">
        <v>21058.633999999998</v>
      </c>
      <c r="H7" s="7">
        <v>64.126999999999995</v>
      </c>
      <c r="I7" s="7">
        <v>3070.1610000000001</v>
      </c>
      <c r="J7" s="7">
        <v>14387.550999999999</v>
      </c>
      <c r="K7" s="7">
        <v>19331.317999999999</v>
      </c>
      <c r="L7" s="7">
        <v>163079.92000000001</v>
      </c>
      <c r="M7" s="7">
        <v>48998.444000000003</v>
      </c>
      <c r="N7" s="7">
        <v>0.56299999999999994</v>
      </c>
      <c r="O7" s="7">
        <v>788.40899999999999</v>
      </c>
      <c r="P7" s="7">
        <v>71.58</v>
      </c>
      <c r="Q7" s="7">
        <v>693.34699999999998</v>
      </c>
      <c r="R7" s="7">
        <v>357.899</v>
      </c>
      <c r="S7" s="7">
        <v>5857.0780000000004</v>
      </c>
      <c r="T7" s="7">
        <v>0.92200000000000004</v>
      </c>
      <c r="U7" s="7">
        <v>14734.254999999999</v>
      </c>
      <c r="V7" s="7">
        <v>1683.769</v>
      </c>
      <c r="W7" s="7">
        <v>4543.1710000000003</v>
      </c>
      <c r="X7" s="7">
        <v>14356.555</v>
      </c>
      <c r="Y7" s="7">
        <v>39390.625</v>
      </c>
      <c r="Z7" s="7">
        <v>9873.9560000000001</v>
      </c>
      <c r="AA7" s="7">
        <v>19083.174999999999</v>
      </c>
      <c r="AB7" s="7">
        <v>29541.373</v>
      </c>
      <c r="AC7" s="7">
        <v>3439.5210000000002</v>
      </c>
      <c r="AD7" s="7">
        <v>1246.4770000000001</v>
      </c>
      <c r="AE7" s="7">
        <v>119641.766</v>
      </c>
      <c r="AF7" s="7">
        <v>24814.208999999999</v>
      </c>
      <c r="AG7" s="7">
        <v>5287.5519999999997</v>
      </c>
      <c r="AH7" s="7">
        <v>333229.58199999999</v>
      </c>
      <c r="AI7" s="7">
        <v>43593.752999999997</v>
      </c>
      <c r="AJ7" s="7">
        <v>50238.593000000001</v>
      </c>
      <c r="AK7" s="7">
        <v>181094.09400000001</v>
      </c>
      <c r="AL7" s="7">
        <v>103954.90399999999</v>
      </c>
      <c r="AM7" s="7">
        <v>3099.5129999999999</v>
      </c>
      <c r="AN7" s="7">
        <v>64035.381999999998</v>
      </c>
      <c r="AO7" s="7">
        <v>1458.941</v>
      </c>
      <c r="AP7" s="7">
        <v>3384.3180000000002</v>
      </c>
      <c r="AQ7" s="7">
        <v>14031.468000000001</v>
      </c>
      <c r="AR7" s="7">
        <v>399.22800000000001</v>
      </c>
      <c r="AS7" s="7">
        <v>101.116</v>
      </c>
      <c r="AT7" s="7">
        <v>0</v>
      </c>
      <c r="AU7" s="7">
        <v>6543.7579999999998</v>
      </c>
      <c r="AV7" s="7">
        <v>2518.5079999999998</v>
      </c>
      <c r="AW7" s="7">
        <v>3759.556</v>
      </c>
      <c r="AX7" s="7">
        <v>10754.227999999999</v>
      </c>
      <c r="AY7" s="7">
        <v>2026.3989999999999</v>
      </c>
      <c r="AZ7" s="7">
        <v>8256.0249999999996</v>
      </c>
      <c r="BA7" s="7">
        <v>11172.572</v>
      </c>
      <c r="BB7" s="7">
        <v>930.03399999999999</v>
      </c>
      <c r="BC7" s="7">
        <v>805.40700000000004</v>
      </c>
      <c r="BD7" s="7">
        <v>4830.7889999999998</v>
      </c>
      <c r="BE7" s="7">
        <v>183.977</v>
      </c>
      <c r="BF7" s="7">
        <v>183.977</v>
      </c>
      <c r="BG7" s="7">
        <v>1091.547</v>
      </c>
      <c r="BH7" s="7">
        <v>34891.794000000002</v>
      </c>
      <c r="BI7" s="7">
        <v>347.72899999999998</v>
      </c>
      <c r="BJ7" s="21"/>
    </row>
    <row r="8" spans="1:62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75310.146999999997</v>
      </c>
      <c r="F8" s="7">
        <v>15369.826999999999</v>
      </c>
      <c r="G8" s="7">
        <v>7847.8680000000004</v>
      </c>
      <c r="H8" s="7">
        <v>4558.0290000000005</v>
      </c>
      <c r="I8" s="7">
        <v>3573.721</v>
      </c>
      <c r="J8" s="7">
        <v>4953.5619999999999</v>
      </c>
      <c r="K8" s="7">
        <v>0</v>
      </c>
      <c r="L8" s="7">
        <v>137608.84099999999</v>
      </c>
      <c r="M8" s="7">
        <v>30123.038</v>
      </c>
      <c r="N8" s="7">
        <v>0</v>
      </c>
      <c r="O8" s="7">
        <v>176.70500000000001</v>
      </c>
      <c r="P8" s="7">
        <v>375.22</v>
      </c>
      <c r="Q8" s="7">
        <v>103.319</v>
      </c>
      <c r="R8" s="7">
        <v>209.727</v>
      </c>
      <c r="S8" s="7">
        <v>3078.6770000000001</v>
      </c>
      <c r="T8" s="7">
        <v>0</v>
      </c>
      <c r="U8" s="7">
        <v>0</v>
      </c>
      <c r="V8" s="7">
        <v>706.673</v>
      </c>
      <c r="W8" s="7">
        <v>2662.181</v>
      </c>
      <c r="X8" s="7">
        <v>283.86</v>
      </c>
      <c r="Y8" s="7">
        <v>24173.305</v>
      </c>
      <c r="Z8" s="7">
        <v>2246.183</v>
      </c>
      <c r="AA8" s="7">
        <v>6813.4059999999999</v>
      </c>
      <c r="AB8" s="7">
        <v>3640.7849999999999</v>
      </c>
      <c r="AC8" s="7">
        <v>2168.489</v>
      </c>
      <c r="AD8" s="7">
        <v>701.01</v>
      </c>
      <c r="AE8" s="7">
        <v>63241.527000000002</v>
      </c>
      <c r="AF8" s="7">
        <v>15942.495000000001</v>
      </c>
      <c r="AG8" s="7">
        <v>3542.7550000000001</v>
      </c>
      <c r="AH8" s="7">
        <v>203107.87</v>
      </c>
      <c r="AI8" s="7">
        <v>30252.891</v>
      </c>
      <c r="AJ8" s="7">
        <v>10295.145</v>
      </c>
      <c r="AK8" s="7">
        <v>453865.66899999999</v>
      </c>
      <c r="AL8" s="7">
        <v>258756.913</v>
      </c>
      <c r="AM8" s="7">
        <v>0</v>
      </c>
      <c r="AN8" s="7">
        <v>159118.05799999999</v>
      </c>
      <c r="AO8" s="7">
        <v>841.28800000000001</v>
      </c>
      <c r="AP8" s="7">
        <v>3667.4929999999999</v>
      </c>
      <c r="AQ8" s="7">
        <v>5766.61</v>
      </c>
      <c r="AR8" s="7">
        <v>2443.3690000000001</v>
      </c>
      <c r="AS8" s="7">
        <v>142.393</v>
      </c>
      <c r="AT8" s="7">
        <v>0</v>
      </c>
      <c r="AU8" s="7">
        <v>2646.431</v>
      </c>
      <c r="AV8" s="7">
        <v>4417.8159999999998</v>
      </c>
      <c r="AW8" s="7">
        <v>6518.0789999999997</v>
      </c>
      <c r="AX8" s="7">
        <v>171.15899999999999</v>
      </c>
      <c r="AY8" s="7">
        <v>245.15799999999999</v>
      </c>
      <c r="AZ8" s="7">
        <v>322.28500000000003</v>
      </c>
      <c r="BA8" s="7">
        <v>128.65799999999999</v>
      </c>
      <c r="BB8" s="7">
        <v>205.32400000000001</v>
      </c>
      <c r="BC8" s="7">
        <v>200.52099999999999</v>
      </c>
      <c r="BD8" s="7">
        <v>361.72800000000001</v>
      </c>
      <c r="BE8" s="7">
        <v>71.709000000000003</v>
      </c>
      <c r="BF8" s="7">
        <v>71.709000000000003</v>
      </c>
      <c r="BG8" s="7">
        <v>128.88900000000001</v>
      </c>
      <c r="BH8" s="7">
        <v>9084.3829999999998</v>
      </c>
      <c r="BI8" s="7">
        <v>29.120999999999999</v>
      </c>
      <c r="BJ8" s="21"/>
    </row>
    <row r="9" spans="1:62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96901.562000000005</v>
      </c>
      <c r="F9" s="7">
        <v>5742.5860000000002</v>
      </c>
      <c r="G9" s="7">
        <v>6222.2259999999997</v>
      </c>
      <c r="H9" s="7">
        <v>887.32299999999998</v>
      </c>
      <c r="I9" s="7">
        <v>783.20500000000004</v>
      </c>
      <c r="J9" s="7">
        <v>3337.3739999999998</v>
      </c>
      <c r="K9" s="7">
        <v>2882.7860000000001</v>
      </c>
      <c r="L9" s="7">
        <v>95662.813999999998</v>
      </c>
      <c r="M9" s="7">
        <v>21996.163</v>
      </c>
      <c r="N9" s="7">
        <v>371.18900000000002</v>
      </c>
      <c r="O9" s="7">
        <v>268.07400000000001</v>
      </c>
      <c r="P9" s="7">
        <v>146.834</v>
      </c>
      <c r="Q9" s="7">
        <v>172.39400000000001</v>
      </c>
      <c r="R9" s="7">
        <v>363.45</v>
      </c>
      <c r="S9" s="7">
        <v>2545.2510000000002</v>
      </c>
      <c r="T9" s="7">
        <v>46.546999999999997</v>
      </c>
      <c r="U9" s="7">
        <v>1335.93</v>
      </c>
      <c r="V9" s="7">
        <v>1522.163</v>
      </c>
      <c r="W9" s="7">
        <v>2556.83</v>
      </c>
      <c r="X9" s="7">
        <v>4957.8490000000002</v>
      </c>
      <c r="Y9" s="7">
        <v>18490.3</v>
      </c>
      <c r="Z9" s="7">
        <v>4867.2690000000002</v>
      </c>
      <c r="AA9" s="7">
        <v>32310.327000000001</v>
      </c>
      <c r="AB9" s="7">
        <v>20214.188999999998</v>
      </c>
      <c r="AC9" s="7">
        <v>1906.135</v>
      </c>
      <c r="AD9" s="7">
        <v>1653.653</v>
      </c>
      <c r="AE9" s="7">
        <v>76988.203999999998</v>
      </c>
      <c r="AF9" s="7">
        <v>23544.050999999999</v>
      </c>
      <c r="AG9" s="7">
        <v>7359.1819999999998</v>
      </c>
      <c r="AH9" s="7">
        <v>185714.58199999999</v>
      </c>
      <c r="AI9" s="7">
        <v>43013.803</v>
      </c>
      <c r="AJ9" s="7">
        <v>23671.393</v>
      </c>
      <c r="AK9" s="7">
        <v>429583.28700000001</v>
      </c>
      <c r="AL9" s="7">
        <v>239583.274</v>
      </c>
      <c r="AM9" s="7">
        <v>749.40700000000004</v>
      </c>
      <c r="AN9" s="7">
        <v>156425.92000000001</v>
      </c>
      <c r="AO9" s="7">
        <v>1207.018</v>
      </c>
      <c r="AP9" s="7">
        <v>0</v>
      </c>
      <c r="AQ9" s="7">
        <v>3759.7159999999999</v>
      </c>
      <c r="AR9" s="7">
        <v>0</v>
      </c>
      <c r="AS9" s="7">
        <v>16.623999999999999</v>
      </c>
      <c r="AT9" s="7">
        <v>0</v>
      </c>
      <c r="AU9" s="7">
        <v>203.77099999999999</v>
      </c>
      <c r="AV9" s="7">
        <v>0</v>
      </c>
      <c r="AW9" s="7">
        <v>0</v>
      </c>
      <c r="AX9" s="7">
        <v>7268.7560000000003</v>
      </c>
      <c r="AY9" s="7">
        <v>91.742000000000004</v>
      </c>
      <c r="AZ9" s="7">
        <v>196.65600000000001</v>
      </c>
      <c r="BA9" s="7">
        <v>0</v>
      </c>
      <c r="BB9" s="7">
        <v>118.214</v>
      </c>
      <c r="BC9" s="7">
        <v>45.786000000000001</v>
      </c>
      <c r="BD9" s="7">
        <v>219.74199999999999</v>
      </c>
      <c r="BE9" s="7">
        <v>32.618000000000002</v>
      </c>
      <c r="BF9" s="7">
        <v>32.618000000000002</v>
      </c>
      <c r="BG9" s="7">
        <v>78.290000000000006</v>
      </c>
      <c r="BH9" s="7">
        <v>11868.853999999999</v>
      </c>
      <c r="BI9" s="7">
        <v>21.366</v>
      </c>
      <c r="BJ9" s="21"/>
    </row>
    <row r="10" spans="1:62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393984.511</v>
      </c>
      <c r="F10" s="7">
        <v>87773.759000000005</v>
      </c>
      <c r="G10" s="7">
        <v>0</v>
      </c>
      <c r="H10" s="7">
        <v>0</v>
      </c>
      <c r="I10" s="7">
        <v>2336.4609999999998</v>
      </c>
      <c r="J10" s="7">
        <v>0</v>
      </c>
      <c r="K10" s="7">
        <v>0</v>
      </c>
      <c r="L10" s="7">
        <v>1042009.253</v>
      </c>
      <c r="M10" s="7">
        <v>61550.516000000003</v>
      </c>
      <c r="N10" s="7">
        <v>0</v>
      </c>
      <c r="O10" s="7">
        <v>6464.7569999999996</v>
      </c>
      <c r="P10" s="7">
        <v>0</v>
      </c>
      <c r="Q10" s="7">
        <v>4601.6989999999996</v>
      </c>
      <c r="R10" s="7">
        <v>1012.679</v>
      </c>
      <c r="S10" s="7">
        <v>27239.409</v>
      </c>
      <c r="T10" s="7">
        <v>0</v>
      </c>
      <c r="U10" s="7">
        <v>0</v>
      </c>
      <c r="V10" s="7">
        <v>0</v>
      </c>
      <c r="W10" s="7">
        <v>7364.4719999999998</v>
      </c>
      <c r="X10" s="7">
        <v>16599.999</v>
      </c>
      <c r="Y10" s="7">
        <v>180342.71900000001</v>
      </c>
      <c r="Z10" s="7">
        <v>55963.108999999997</v>
      </c>
      <c r="AA10" s="7">
        <v>0</v>
      </c>
      <c r="AB10" s="7">
        <v>175788.62599999999</v>
      </c>
      <c r="AC10" s="7">
        <v>15830.789000000001</v>
      </c>
      <c r="AD10" s="7">
        <v>14155.299000000001</v>
      </c>
      <c r="AE10" s="7">
        <v>525687.62600000005</v>
      </c>
      <c r="AF10" s="7">
        <v>218355.916</v>
      </c>
      <c r="AG10" s="7">
        <v>68533.285999999993</v>
      </c>
      <c r="AH10" s="7">
        <v>1662330.9639999999</v>
      </c>
      <c r="AI10" s="7">
        <v>383177.90399999998</v>
      </c>
      <c r="AJ10" s="7">
        <v>277120.25599999999</v>
      </c>
      <c r="AK10" s="7">
        <v>6389496.2819999997</v>
      </c>
      <c r="AL10" s="7">
        <v>3667874.31</v>
      </c>
      <c r="AM10" s="7">
        <v>0</v>
      </c>
      <c r="AN10" s="7">
        <v>2259379.125</v>
      </c>
      <c r="AO10" s="7">
        <v>7539.1559999999999</v>
      </c>
      <c r="AP10" s="7">
        <v>0</v>
      </c>
      <c r="AQ10" s="7">
        <v>75018.248999999996</v>
      </c>
      <c r="AR10" s="7">
        <v>0</v>
      </c>
      <c r="AS10" s="7">
        <v>287.74299999999999</v>
      </c>
      <c r="AT10" s="7">
        <v>0</v>
      </c>
      <c r="AU10" s="7">
        <v>1954.2090000000001</v>
      </c>
      <c r="AV10" s="7">
        <v>0</v>
      </c>
      <c r="AW10" s="7">
        <v>0</v>
      </c>
      <c r="AX10" s="7">
        <v>12434.766</v>
      </c>
      <c r="AY10" s="7">
        <v>0</v>
      </c>
      <c r="AZ10" s="7">
        <v>0</v>
      </c>
      <c r="BA10" s="7">
        <v>9298.0779999999995</v>
      </c>
      <c r="BB10" s="7">
        <v>2150.7159999999999</v>
      </c>
      <c r="BC10" s="7">
        <v>0</v>
      </c>
      <c r="BD10" s="7">
        <v>0</v>
      </c>
      <c r="BE10" s="7">
        <v>598.77300000000002</v>
      </c>
      <c r="BF10" s="7">
        <v>598.77300000000002</v>
      </c>
      <c r="BG10" s="7">
        <v>0</v>
      </c>
      <c r="BH10" s="7">
        <v>209818.51300000001</v>
      </c>
      <c r="BI10" s="7">
        <v>0</v>
      </c>
      <c r="BJ10" s="21"/>
    </row>
    <row r="11" spans="1:62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33082.052000000003</v>
      </c>
      <c r="F13" s="7">
        <v>7536.6540000000005</v>
      </c>
      <c r="G13" s="7">
        <v>1587.0360000000001</v>
      </c>
      <c r="H13" s="7">
        <v>107.288</v>
      </c>
      <c r="I13" s="7">
        <v>447.43400000000003</v>
      </c>
      <c r="J13" s="7">
        <v>1485.9939999999999</v>
      </c>
      <c r="K13" s="7">
        <v>0</v>
      </c>
      <c r="L13" s="7">
        <v>71716.714000000007</v>
      </c>
      <c r="M13" s="7">
        <v>8758.82</v>
      </c>
      <c r="N13" s="7">
        <v>0</v>
      </c>
      <c r="O13" s="7">
        <v>5.7270000000000003</v>
      </c>
      <c r="P13" s="7">
        <v>15.836</v>
      </c>
      <c r="Q13" s="7">
        <v>26.298999999999999</v>
      </c>
      <c r="R13" s="7">
        <v>28.245000000000001</v>
      </c>
      <c r="S13" s="7">
        <v>2313.8150000000001</v>
      </c>
      <c r="T13" s="7">
        <v>0</v>
      </c>
      <c r="U13" s="7">
        <v>0</v>
      </c>
      <c r="V13" s="7">
        <v>196.423</v>
      </c>
      <c r="W13" s="7">
        <v>823.26900000000001</v>
      </c>
      <c r="X13" s="7">
        <v>621.58600000000001</v>
      </c>
      <c r="Y13" s="7">
        <v>13443.966</v>
      </c>
      <c r="Z13" s="7">
        <v>900.24800000000005</v>
      </c>
      <c r="AA13" s="7">
        <v>2590.06</v>
      </c>
      <c r="AB13" s="7">
        <v>107.166</v>
      </c>
      <c r="AC13" s="7">
        <v>1317.636</v>
      </c>
      <c r="AD13" s="7">
        <v>244.77600000000001</v>
      </c>
      <c r="AE13" s="7">
        <v>33756.612000000001</v>
      </c>
      <c r="AF13" s="7">
        <v>14274.718000000001</v>
      </c>
      <c r="AG13" s="7">
        <v>951.84500000000003</v>
      </c>
      <c r="AH13" s="7">
        <v>127053.469</v>
      </c>
      <c r="AI13" s="7">
        <v>25066.92</v>
      </c>
      <c r="AJ13" s="7">
        <v>4348.7449999999999</v>
      </c>
      <c r="AK13" s="7">
        <v>50591.17</v>
      </c>
      <c r="AL13" s="7">
        <v>29041.734</v>
      </c>
      <c r="AM13" s="7">
        <v>0</v>
      </c>
      <c r="AN13" s="7">
        <v>17889.458999999999</v>
      </c>
      <c r="AO13" s="7">
        <v>625.49599999999998</v>
      </c>
      <c r="AP13" s="7">
        <v>0</v>
      </c>
      <c r="AQ13" s="7">
        <v>4865.4639999999999</v>
      </c>
      <c r="AR13" s="7">
        <v>0</v>
      </c>
      <c r="AS13" s="7">
        <v>21.832000000000001</v>
      </c>
      <c r="AT13" s="7">
        <v>0</v>
      </c>
      <c r="AU13" s="7">
        <v>190.614</v>
      </c>
      <c r="AV13" s="7">
        <v>0</v>
      </c>
      <c r="AW13" s="7">
        <v>0</v>
      </c>
      <c r="AX13" s="7">
        <v>465.601</v>
      </c>
      <c r="AY13" s="7">
        <v>31.390999999999998</v>
      </c>
      <c r="AZ13" s="7">
        <v>22.69</v>
      </c>
      <c r="BA13" s="7">
        <v>348.15300000000002</v>
      </c>
      <c r="BB13" s="7">
        <v>178.44399999999999</v>
      </c>
      <c r="BC13" s="7">
        <v>18.07</v>
      </c>
      <c r="BD13" s="7">
        <v>25.353999999999999</v>
      </c>
      <c r="BE13" s="7">
        <v>50.203000000000003</v>
      </c>
      <c r="BF13" s="7">
        <v>50.203000000000003</v>
      </c>
      <c r="BG13" s="7">
        <v>9.0329999999999995</v>
      </c>
      <c r="BH13" s="7">
        <v>3272.893</v>
      </c>
      <c r="BI13" s="7">
        <v>8.2880000000000003</v>
      </c>
      <c r="BJ13" s="21"/>
    </row>
    <row r="14" spans="1:62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32.723999999999997</v>
      </c>
      <c r="F14" s="7">
        <v>4.5270000000000001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145.87799999999999</v>
      </c>
      <c r="M14" s="7">
        <v>10.827999999999999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9.9939999999999998</v>
      </c>
      <c r="AF14" s="7">
        <v>1.488</v>
      </c>
      <c r="AG14" s="7">
        <v>0</v>
      </c>
      <c r="AH14" s="7">
        <v>93.668999999999997</v>
      </c>
      <c r="AI14" s="7">
        <v>1.0089999999999999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3267.0610000000001</v>
      </c>
      <c r="F15" s="7">
        <v>329.75</v>
      </c>
      <c r="G15" s="7">
        <v>0</v>
      </c>
      <c r="H15" s="7">
        <v>0</v>
      </c>
      <c r="I15" s="7">
        <v>8.7750000000000004</v>
      </c>
      <c r="J15" s="7">
        <v>0</v>
      </c>
      <c r="K15" s="7">
        <v>0</v>
      </c>
      <c r="L15" s="7">
        <v>5438.4</v>
      </c>
      <c r="M15" s="7">
        <v>1231.1199999999999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102.32</v>
      </c>
      <c r="T15" s="7">
        <v>0</v>
      </c>
      <c r="U15" s="7">
        <v>0</v>
      </c>
      <c r="V15" s="7">
        <v>0</v>
      </c>
      <c r="W15" s="7">
        <v>27.74</v>
      </c>
      <c r="X15" s="7">
        <v>0</v>
      </c>
      <c r="Y15" s="7">
        <v>677.39</v>
      </c>
      <c r="Z15" s="7">
        <v>0</v>
      </c>
      <c r="AA15" s="7">
        <v>0</v>
      </c>
      <c r="AB15" s="7">
        <v>0.93</v>
      </c>
      <c r="AC15" s="7">
        <v>59.44</v>
      </c>
      <c r="AD15" s="7">
        <v>0.22</v>
      </c>
      <c r="AE15" s="7">
        <v>1689.13</v>
      </c>
      <c r="AF15" s="7">
        <v>820.16</v>
      </c>
      <c r="AG15" s="7">
        <v>1.002</v>
      </c>
      <c r="AH15" s="7">
        <v>9805.27</v>
      </c>
      <c r="AI15" s="7">
        <v>1439.3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28.373999999999999</v>
      </c>
      <c r="AP15" s="7">
        <v>0</v>
      </c>
      <c r="AQ15" s="7">
        <v>281.77999999999997</v>
      </c>
      <c r="AR15" s="7">
        <v>0</v>
      </c>
      <c r="AS15" s="7">
        <v>1.0629999999999999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8.0869999999999997</v>
      </c>
      <c r="BC15" s="7">
        <v>0</v>
      </c>
      <c r="BD15" s="7">
        <v>0</v>
      </c>
      <c r="BE15" s="7">
        <v>2.2050000000000001</v>
      </c>
      <c r="BF15" s="7">
        <v>2.2050000000000001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1120139.156</v>
      </c>
      <c r="F16" s="7">
        <v>84757.15</v>
      </c>
      <c r="G16" s="7">
        <v>213968.82500000001</v>
      </c>
      <c r="H16" s="7">
        <v>0</v>
      </c>
      <c r="I16" s="7">
        <v>31136.985000000001</v>
      </c>
      <c r="J16" s="7">
        <v>148042.62100000001</v>
      </c>
      <c r="K16" s="7">
        <v>0</v>
      </c>
      <c r="L16" s="7">
        <v>277488.93099999998</v>
      </c>
      <c r="M16" s="7">
        <v>365701.30699999997</v>
      </c>
      <c r="N16" s="7">
        <v>0</v>
      </c>
      <c r="O16" s="7">
        <v>0</v>
      </c>
      <c r="P16" s="7">
        <v>15373.824000000001</v>
      </c>
      <c r="Q16" s="7">
        <v>703.86199999999997</v>
      </c>
      <c r="R16" s="7">
        <v>1737.53</v>
      </c>
      <c r="S16" s="7">
        <v>25955.01</v>
      </c>
      <c r="T16" s="7">
        <v>0</v>
      </c>
      <c r="U16" s="7">
        <v>0</v>
      </c>
      <c r="V16" s="7">
        <v>15296.931</v>
      </c>
      <c r="W16" s="7">
        <v>28336.080000000002</v>
      </c>
      <c r="X16" s="7">
        <v>0</v>
      </c>
      <c r="Y16" s="7">
        <v>166167.29</v>
      </c>
      <c r="Z16" s="7">
        <v>0</v>
      </c>
      <c r="AA16" s="7">
        <v>187359.144</v>
      </c>
      <c r="AB16" s="7">
        <v>0</v>
      </c>
      <c r="AC16" s="7">
        <v>11030.951999999999</v>
      </c>
      <c r="AD16" s="7">
        <v>6122.8720000000003</v>
      </c>
      <c r="AE16" s="7">
        <v>397316.87199999997</v>
      </c>
      <c r="AF16" s="7">
        <v>0</v>
      </c>
      <c r="AG16" s="7">
        <v>21143.21</v>
      </c>
      <c r="AH16" s="7">
        <v>1170975.4709999999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5100.1009999999997</v>
      </c>
      <c r="AP16" s="7">
        <v>0</v>
      </c>
      <c r="AQ16" s="7">
        <v>0</v>
      </c>
      <c r="AR16" s="7">
        <v>0</v>
      </c>
      <c r="AS16" s="7">
        <v>735.94399999999996</v>
      </c>
      <c r="AT16" s="7">
        <v>0</v>
      </c>
      <c r="AU16" s="7">
        <v>17670.677</v>
      </c>
      <c r="AV16" s="7">
        <v>0</v>
      </c>
      <c r="AW16" s="7">
        <v>0</v>
      </c>
      <c r="AX16" s="7">
        <v>0</v>
      </c>
      <c r="AY16" s="7">
        <v>5123.9589999999998</v>
      </c>
      <c r="AZ16" s="7">
        <v>0</v>
      </c>
      <c r="BA16" s="7">
        <v>0</v>
      </c>
      <c r="BB16" s="7">
        <v>1735.49</v>
      </c>
      <c r="BC16" s="7">
        <v>2599.4720000000002</v>
      </c>
      <c r="BD16" s="7">
        <v>0</v>
      </c>
      <c r="BE16" s="7">
        <v>605.92600000000004</v>
      </c>
      <c r="BF16" s="7">
        <v>605.92600000000004</v>
      </c>
      <c r="BG16" s="7">
        <v>0</v>
      </c>
      <c r="BH16" s="7">
        <v>0</v>
      </c>
      <c r="BI16" s="7">
        <v>1054.6310000000001</v>
      </c>
      <c r="BJ16" s="21"/>
    </row>
    <row r="17" spans="1:62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616810.48400000005</v>
      </c>
      <c r="F18" s="7">
        <v>53762.722000000002</v>
      </c>
      <c r="G18" s="7">
        <v>109572.83100000001</v>
      </c>
      <c r="H18" s="7">
        <v>0</v>
      </c>
      <c r="I18" s="7">
        <v>16220.905000000001</v>
      </c>
      <c r="J18" s="7">
        <v>75812.209000000003</v>
      </c>
      <c r="K18" s="7">
        <v>65375.625999999997</v>
      </c>
      <c r="L18" s="7">
        <v>261419.38200000001</v>
      </c>
      <c r="M18" s="7">
        <v>194538.63399999999</v>
      </c>
      <c r="N18" s="7">
        <v>11383.116</v>
      </c>
      <c r="O18" s="7">
        <v>0</v>
      </c>
      <c r="P18" s="7">
        <v>0</v>
      </c>
      <c r="Q18" s="7">
        <v>1104.3779999999999</v>
      </c>
      <c r="R18" s="7">
        <v>2726.2310000000002</v>
      </c>
      <c r="S18" s="7">
        <v>16506.208999999999</v>
      </c>
      <c r="T18" s="7">
        <v>445.327</v>
      </c>
      <c r="U18" s="7">
        <v>49823.567999999999</v>
      </c>
      <c r="V18" s="7">
        <v>7833.5150000000003</v>
      </c>
      <c r="W18" s="7">
        <v>15379.962</v>
      </c>
      <c r="X18" s="7">
        <v>0</v>
      </c>
      <c r="Y18" s="7">
        <v>106377.36599999999</v>
      </c>
      <c r="Z18" s="7">
        <v>0</v>
      </c>
      <c r="AA18" s="7">
        <v>95946.089000000007</v>
      </c>
      <c r="AB18" s="7">
        <v>8.609</v>
      </c>
      <c r="AC18" s="7">
        <v>7517.2269999999999</v>
      </c>
      <c r="AD18" s="7">
        <v>3135.5059999999999</v>
      </c>
      <c r="AE18" s="7">
        <v>256542.08100000001</v>
      </c>
      <c r="AF18" s="7">
        <v>25769.780999999999</v>
      </c>
      <c r="AG18" s="7">
        <v>10827.378000000001</v>
      </c>
      <c r="AH18" s="7">
        <v>796144.09100000001</v>
      </c>
      <c r="AI18" s="7">
        <v>45221.631999999998</v>
      </c>
      <c r="AJ18" s="7">
        <v>0</v>
      </c>
      <c r="AK18" s="7">
        <v>0</v>
      </c>
      <c r="AL18" s="7">
        <v>0</v>
      </c>
      <c r="AM18" s="7">
        <v>10482.929</v>
      </c>
      <c r="AN18" s="7">
        <v>0</v>
      </c>
      <c r="AO18" s="7">
        <v>3501.498</v>
      </c>
      <c r="AP18" s="7">
        <v>0</v>
      </c>
      <c r="AQ18" s="7">
        <v>8853.4529999999995</v>
      </c>
      <c r="AR18" s="7">
        <v>0</v>
      </c>
      <c r="AS18" s="7">
        <v>410.83300000000003</v>
      </c>
      <c r="AT18" s="7">
        <v>0</v>
      </c>
      <c r="AU18" s="7">
        <v>11127.018</v>
      </c>
      <c r="AV18" s="7">
        <v>0</v>
      </c>
      <c r="AW18" s="7">
        <v>0</v>
      </c>
      <c r="AX18" s="7">
        <v>0</v>
      </c>
      <c r="AY18" s="7">
        <v>2623.9650000000001</v>
      </c>
      <c r="AZ18" s="7">
        <v>0</v>
      </c>
      <c r="BA18" s="7">
        <v>0</v>
      </c>
      <c r="BB18" s="7">
        <v>1142.5619999999999</v>
      </c>
      <c r="BC18" s="7">
        <v>1331.182</v>
      </c>
      <c r="BD18" s="7">
        <v>0</v>
      </c>
      <c r="BE18" s="7">
        <v>380.959</v>
      </c>
      <c r="BF18" s="7">
        <v>380.959</v>
      </c>
      <c r="BG18" s="7">
        <v>0</v>
      </c>
      <c r="BH18" s="7">
        <v>0</v>
      </c>
      <c r="BI18" s="7">
        <v>540.07399999999996</v>
      </c>
      <c r="BJ18" s="21"/>
    </row>
    <row r="19" spans="1:62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7.0529999999999999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26380.403999999999</v>
      </c>
      <c r="F20" s="7">
        <v>6143.5720000000001</v>
      </c>
      <c r="G20" s="7">
        <v>0</v>
      </c>
      <c r="H20" s="7">
        <v>0</v>
      </c>
      <c r="I20" s="7">
        <v>178.28200000000001</v>
      </c>
      <c r="J20" s="7">
        <v>0</v>
      </c>
      <c r="K20" s="7">
        <v>130498.255</v>
      </c>
      <c r="L20" s="7">
        <v>71433.866999999998</v>
      </c>
      <c r="M20" s="7">
        <v>4641.1509999999998</v>
      </c>
      <c r="N20" s="7">
        <v>0</v>
      </c>
      <c r="O20" s="7">
        <v>0</v>
      </c>
      <c r="P20" s="7">
        <v>0.19</v>
      </c>
      <c r="Q20" s="7">
        <v>0</v>
      </c>
      <c r="R20" s="7">
        <v>0</v>
      </c>
      <c r="S20" s="7">
        <v>1918.2639999999999</v>
      </c>
      <c r="T20" s="7">
        <v>485.892</v>
      </c>
      <c r="U20" s="7">
        <v>99454.324999999997</v>
      </c>
      <c r="V20" s="7">
        <v>0</v>
      </c>
      <c r="W20" s="7">
        <v>529.42100000000005</v>
      </c>
      <c r="X20" s="7">
        <v>0</v>
      </c>
      <c r="Y20" s="7">
        <v>12629.460999999999</v>
      </c>
      <c r="Z20" s="7">
        <v>0</v>
      </c>
      <c r="AA20" s="7">
        <v>0</v>
      </c>
      <c r="AB20" s="7">
        <v>4.24</v>
      </c>
      <c r="AC20" s="7">
        <v>1120.2539999999999</v>
      </c>
      <c r="AD20" s="7">
        <v>0</v>
      </c>
      <c r="AE20" s="7">
        <v>31317.212</v>
      </c>
      <c r="AF20" s="7">
        <v>15450.673000000001</v>
      </c>
      <c r="AG20" s="7">
        <v>0</v>
      </c>
      <c r="AH20" s="7">
        <v>118632.804</v>
      </c>
      <c r="AI20" s="7">
        <v>27344.35</v>
      </c>
      <c r="AJ20" s="7">
        <v>0</v>
      </c>
      <c r="AK20" s="7">
        <v>0</v>
      </c>
      <c r="AL20" s="7">
        <v>0</v>
      </c>
      <c r="AM20" s="7">
        <v>20925.29</v>
      </c>
      <c r="AN20" s="7">
        <v>0</v>
      </c>
      <c r="AO20" s="7">
        <v>519.54300000000001</v>
      </c>
      <c r="AP20" s="7">
        <v>0</v>
      </c>
      <c r="AQ20" s="7">
        <v>5301.643</v>
      </c>
      <c r="AR20" s="7">
        <v>0</v>
      </c>
      <c r="AS20" s="7">
        <v>19.954999999999998</v>
      </c>
      <c r="AT20" s="7">
        <v>0</v>
      </c>
      <c r="AU20" s="7">
        <v>136.63399999999999</v>
      </c>
      <c r="AV20" s="7">
        <v>0</v>
      </c>
      <c r="AW20" s="7">
        <v>0</v>
      </c>
      <c r="AX20" s="7">
        <v>0</v>
      </c>
      <c r="AY20" s="7">
        <v>39.284999999999997</v>
      </c>
      <c r="AZ20" s="7">
        <v>411.86599999999999</v>
      </c>
      <c r="BA20" s="7">
        <v>0</v>
      </c>
      <c r="BB20" s="7">
        <v>150.023</v>
      </c>
      <c r="BC20" s="7">
        <v>0</v>
      </c>
      <c r="BD20" s="7">
        <v>460.21600000000001</v>
      </c>
      <c r="BE20" s="7">
        <v>41.335000000000001</v>
      </c>
      <c r="BF20" s="7">
        <v>41.335000000000001</v>
      </c>
      <c r="BG20" s="7">
        <v>163.96799999999999</v>
      </c>
      <c r="BH20" s="7">
        <v>0</v>
      </c>
      <c r="BI20" s="7">
        <v>0</v>
      </c>
      <c r="BJ20" s="21"/>
    </row>
    <row r="21" spans="1:62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945772.14199999999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6914.9309999999996</v>
      </c>
      <c r="F23" s="7">
        <v>0</v>
      </c>
      <c r="G23" s="7">
        <v>1734.779</v>
      </c>
      <c r="H23" s="7">
        <v>0</v>
      </c>
      <c r="I23" s="7">
        <v>0</v>
      </c>
      <c r="J23" s="7">
        <v>1331.049</v>
      </c>
      <c r="K23" s="7">
        <v>0</v>
      </c>
      <c r="L23" s="7">
        <v>4232.8609999999999</v>
      </c>
      <c r="M23" s="7">
        <v>2359.7109999999998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788.53599999999994</v>
      </c>
      <c r="AF23" s="7">
        <v>0</v>
      </c>
      <c r="AG23" s="7">
        <v>0</v>
      </c>
      <c r="AH23" s="7">
        <v>3980.53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28748.866000000002</v>
      </c>
      <c r="F24" s="7">
        <v>6542.9359999999997</v>
      </c>
      <c r="G24" s="7">
        <v>4036.2950000000001</v>
      </c>
      <c r="H24" s="7">
        <v>0</v>
      </c>
      <c r="I24" s="7">
        <v>874.21500000000003</v>
      </c>
      <c r="J24" s="7">
        <v>3179.556</v>
      </c>
      <c r="K24" s="7">
        <v>0</v>
      </c>
      <c r="L24" s="7">
        <v>44286.19</v>
      </c>
      <c r="M24" s="7">
        <v>16287.165000000001</v>
      </c>
      <c r="N24" s="7">
        <v>0</v>
      </c>
      <c r="O24" s="7">
        <v>141.041</v>
      </c>
      <c r="P24" s="7">
        <v>0</v>
      </c>
      <c r="Q24" s="7">
        <v>58.917000000000002</v>
      </c>
      <c r="R24" s="7">
        <v>0</v>
      </c>
      <c r="S24" s="7">
        <v>1935.6669999999999</v>
      </c>
      <c r="T24" s="7">
        <v>0</v>
      </c>
      <c r="U24" s="7">
        <v>0</v>
      </c>
      <c r="V24" s="7">
        <v>432.125</v>
      </c>
      <c r="W24" s="7">
        <v>1360.432</v>
      </c>
      <c r="X24" s="7">
        <v>3219.328</v>
      </c>
      <c r="Y24" s="7">
        <v>9233.0949999999993</v>
      </c>
      <c r="Z24" s="7">
        <v>83.822999999999993</v>
      </c>
      <c r="AA24" s="7">
        <v>4207.098</v>
      </c>
      <c r="AB24" s="7">
        <v>2566.6669999999999</v>
      </c>
      <c r="AC24" s="7">
        <v>1079.021</v>
      </c>
      <c r="AD24" s="7">
        <v>280.82</v>
      </c>
      <c r="AE24" s="7">
        <v>22259.219000000001</v>
      </c>
      <c r="AF24" s="7">
        <v>5982.2690000000002</v>
      </c>
      <c r="AG24" s="7">
        <v>1576.857</v>
      </c>
      <c r="AH24" s="7">
        <v>104078.842</v>
      </c>
      <c r="AI24" s="7">
        <v>10497.875</v>
      </c>
      <c r="AJ24" s="7">
        <v>429.61500000000001</v>
      </c>
      <c r="AK24" s="7">
        <v>904326.554</v>
      </c>
      <c r="AL24" s="7">
        <v>519126.39</v>
      </c>
      <c r="AM24" s="7">
        <v>0</v>
      </c>
      <c r="AN24" s="7">
        <v>319777.40500000003</v>
      </c>
      <c r="AO24" s="7">
        <v>329.83</v>
      </c>
      <c r="AP24" s="7">
        <v>0</v>
      </c>
      <c r="AQ24" s="7">
        <v>2055.2649999999999</v>
      </c>
      <c r="AR24" s="7">
        <v>0</v>
      </c>
      <c r="AS24" s="7">
        <v>9.4220000000000006</v>
      </c>
      <c r="AT24" s="7">
        <v>0</v>
      </c>
      <c r="AU24" s="7">
        <v>1167.152</v>
      </c>
      <c r="AV24" s="7">
        <v>0</v>
      </c>
      <c r="AW24" s="7">
        <v>0</v>
      </c>
      <c r="AX24" s="7">
        <v>2411.5419999999999</v>
      </c>
      <c r="AY24" s="7">
        <v>0</v>
      </c>
      <c r="AZ24" s="7">
        <v>0</v>
      </c>
      <c r="BA24" s="7">
        <v>1803.2270000000001</v>
      </c>
      <c r="BB24" s="7">
        <v>100.438</v>
      </c>
      <c r="BC24" s="7">
        <v>0</v>
      </c>
      <c r="BD24" s="7">
        <v>0</v>
      </c>
      <c r="BE24" s="7">
        <v>39.366999999999997</v>
      </c>
      <c r="BF24" s="7">
        <v>39.366999999999997</v>
      </c>
      <c r="BG24" s="7">
        <v>0</v>
      </c>
      <c r="BH24" s="7">
        <v>34021.249000000003</v>
      </c>
      <c r="BI24" s="7">
        <v>0</v>
      </c>
      <c r="BJ24" s="21"/>
    </row>
    <row r="25" spans="1:62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913968.91899999999</v>
      </c>
      <c r="F62" s="7">
        <v>103878.141</v>
      </c>
      <c r="G62" s="7">
        <v>245166.59599999999</v>
      </c>
      <c r="H62" s="7">
        <v>16914.351999999999</v>
      </c>
      <c r="I62" s="7">
        <v>22950.239000000001</v>
      </c>
      <c r="J62" s="7">
        <v>164459.84299999999</v>
      </c>
      <c r="K62" s="7">
        <v>0</v>
      </c>
      <c r="L62" s="7">
        <v>332711.18300000002</v>
      </c>
      <c r="M62" s="7">
        <v>564078.06900000002</v>
      </c>
      <c r="N62" s="7">
        <v>0</v>
      </c>
      <c r="O62" s="7">
        <v>0</v>
      </c>
      <c r="P62" s="7">
        <v>32.590000000000003</v>
      </c>
      <c r="Q62" s="7">
        <v>1523.2090000000001</v>
      </c>
      <c r="R62" s="7">
        <v>4932.317</v>
      </c>
      <c r="S62" s="7">
        <v>41747.667000000001</v>
      </c>
      <c r="T62" s="7">
        <v>0</v>
      </c>
      <c r="U62" s="7">
        <v>0</v>
      </c>
      <c r="V62" s="7">
        <v>20991.666000000001</v>
      </c>
      <c r="W62" s="7">
        <v>51110.531999999999</v>
      </c>
      <c r="X62" s="7">
        <v>0</v>
      </c>
      <c r="Y62" s="7">
        <v>119193.317</v>
      </c>
      <c r="Z62" s="7">
        <v>0</v>
      </c>
      <c r="AA62" s="7">
        <v>216176.16500000001</v>
      </c>
      <c r="AB62" s="7">
        <v>0</v>
      </c>
      <c r="AC62" s="7">
        <v>17984.142</v>
      </c>
      <c r="AD62" s="7">
        <v>218.822</v>
      </c>
      <c r="AE62" s="7">
        <v>267101.755</v>
      </c>
      <c r="AF62" s="7">
        <v>0</v>
      </c>
      <c r="AG62" s="7">
        <v>445.37299999999999</v>
      </c>
      <c r="AH62" s="7">
        <v>1012089.601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9083.1360000000004</v>
      </c>
      <c r="AP62" s="7">
        <v>0</v>
      </c>
      <c r="AQ62" s="7">
        <v>0</v>
      </c>
      <c r="AR62" s="7">
        <v>0</v>
      </c>
      <c r="AS62" s="7">
        <v>267.52699999999999</v>
      </c>
      <c r="AT62" s="7">
        <v>0</v>
      </c>
      <c r="AU62" s="7">
        <v>10294.599</v>
      </c>
      <c r="AV62" s="7">
        <v>0</v>
      </c>
      <c r="AW62" s="7">
        <v>0</v>
      </c>
      <c r="AX62" s="7">
        <v>0</v>
      </c>
      <c r="AY62" s="7">
        <v>8032.1779999999999</v>
      </c>
      <c r="AZ62" s="7">
        <v>0</v>
      </c>
      <c r="BA62" s="7">
        <v>0</v>
      </c>
      <c r="BB62" s="7">
        <v>2521.8359999999998</v>
      </c>
      <c r="BC62" s="7">
        <v>5010.3900000000003</v>
      </c>
      <c r="BD62" s="7">
        <v>0</v>
      </c>
      <c r="BE62" s="7">
        <v>700.23900000000003</v>
      </c>
      <c r="BF62" s="7">
        <v>700.23900000000003</v>
      </c>
      <c r="BG62" s="7">
        <v>0</v>
      </c>
      <c r="BH62" s="7">
        <v>0</v>
      </c>
      <c r="BI62" s="7">
        <v>2368.8470000000002</v>
      </c>
      <c r="BJ62" s="21"/>
    </row>
    <row r="63" spans="1:62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6000.0929999999998</v>
      </c>
      <c r="F63" s="7">
        <v>883.73599999999999</v>
      </c>
      <c r="G63" s="7">
        <v>1476.0820000000001</v>
      </c>
      <c r="H63" s="7">
        <v>0</v>
      </c>
      <c r="I63" s="7">
        <v>161.376</v>
      </c>
      <c r="J63" s="7">
        <v>849.649</v>
      </c>
      <c r="K63" s="7">
        <v>0</v>
      </c>
      <c r="L63" s="7">
        <v>2546.0259999999998</v>
      </c>
      <c r="M63" s="7">
        <v>3669.444</v>
      </c>
      <c r="N63" s="7">
        <v>0</v>
      </c>
      <c r="O63" s="7">
        <v>0</v>
      </c>
      <c r="P63" s="7">
        <v>0.125</v>
      </c>
      <c r="Q63" s="7">
        <v>129.572</v>
      </c>
      <c r="R63" s="7">
        <v>419.56700000000001</v>
      </c>
      <c r="S63" s="7">
        <v>382.61200000000002</v>
      </c>
      <c r="T63" s="7">
        <v>0</v>
      </c>
      <c r="U63" s="7">
        <v>0</v>
      </c>
      <c r="V63" s="7">
        <v>151.50899999999999</v>
      </c>
      <c r="W63" s="7">
        <v>277.90100000000001</v>
      </c>
      <c r="X63" s="7">
        <v>0</v>
      </c>
      <c r="Y63" s="7">
        <v>766.21</v>
      </c>
      <c r="Z63" s="7">
        <v>0</v>
      </c>
      <c r="AA63" s="7">
        <v>1214.636</v>
      </c>
      <c r="AB63" s="7">
        <v>0</v>
      </c>
      <c r="AC63" s="7">
        <v>142.08000000000001</v>
      </c>
      <c r="AD63" s="7">
        <v>0</v>
      </c>
      <c r="AE63" s="7">
        <v>1092.56</v>
      </c>
      <c r="AF63" s="7">
        <v>0</v>
      </c>
      <c r="AG63" s="7">
        <v>0</v>
      </c>
      <c r="AH63" s="7">
        <v>5953.0739999999996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60.598999999999997</v>
      </c>
      <c r="AP63" s="7">
        <v>0</v>
      </c>
      <c r="AQ63" s="7">
        <v>0</v>
      </c>
      <c r="AR63" s="7">
        <v>0</v>
      </c>
      <c r="AS63" s="7">
        <v>3.3109999999999999</v>
      </c>
      <c r="AT63" s="7">
        <v>0</v>
      </c>
      <c r="AU63" s="7">
        <v>96.322999999999993</v>
      </c>
      <c r="AV63" s="7">
        <v>0</v>
      </c>
      <c r="AW63" s="7">
        <v>0</v>
      </c>
      <c r="AX63" s="7">
        <v>0</v>
      </c>
      <c r="AY63" s="7">
        <v>56.716999999999999</v>
      </c>
      <c r="AZ63" s="7">
        <v>0</v>
      </c>
      <c r="BA63" s="7">
        <v>0</v>
      </c>
      <c r="BB63" s="7">
        <v>18.213999999999999</v>
      </c>
      <c r="BC63" s="7">
        <v>36.438000000000002</v>
      </c>
      <c r="BD63" s="7">
        <v>0</v>
      </c>
      <c r="BE63" s="7">
        <v>4.7910000000000004</v>
      </c>
      <c r="BF63" s="7">
        <v>4.7910000000000004</v>
      </c>
      <c r="BG63" s="7">
        <v>0</v>
      </c>
      <c r="BH63" s="7">
        <v>0</v>
      </c>
      <c r="BI63" s="7">
        <v>17.074999999999999</v>
      </c>
      <c r="BJ63" s="21"/>
    </row>
    <row r="64" spans="1:62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137409.92000000001</v>
      </c>
      <c r="F64" s="7">
        <v>19310.036</v>
      </c>
      <c r="G64" s="7">
        <v>34390.224999999999</v>
      </c>
      <c r="H64" s="7">
        <v>216.702</v>
      </c>
      <c r="I64" s="7">
        <v>3646.2190000000001</v>
      </c>
      <c r="J64" s="7">
        <v>20493.642</v>
      </c>
      <c r="K64" s="7">
        <v>20540.519</v>
      </c>
      <c r="L64" s="7">
        <v>56716.165000000001</v>
      </c>
      <c r="M64" s="7">
        <v>84141.240999999995</v>
      </c>
      <c r="N64" s="7">
        <v>971.03899999999999</v>
      </c>
      <c r="O64" s="7">
        <v>0</v>
      </c>
      <c r="P64" s="7">
        <v>4.0330000000000004</v>
      </c>
      <c r="Q64" s="7">
        <v>554.024</v>
      </c>
      <c r="R64" s="7">
        <v>1793.991</v>
      </c>
      <c r="S64" s="7">
        <v>8256.6229999999996</v>
      </c>
      <c r="T64" s="7">
        <v>0</v>
      </c>
      <c r="U64" s="7">
        <v>15654.182000000001</v>
      </c>
      <c r="V64" s="7">
        <v>3404.8989999999999</v>
      </c>
      <c r="W64" s="7">
        <v>6624.66</v>
      </c>
      <c r="X64" s="7">
        <v>0</v>
      </c>
      <c r="Y64" s="7">
        <v>17649.347000000002</v>
      </c>
      <c r="Z64" s="7">
        <v>0</v>
      </c>
      <c r="AA64" s="7">
        <v>28728.888999999999</v>
      </c>
      <c r="AB64" s="7">
        <v>0</v>
      </c>
      <c r="AC64" s="7">
        <v>3142.9209999999998</v>
      </c>
      <c r="AD64" s="7">
        <v>0</v>
      </c>
      <c r="AE64" s="7">
        <v>28160.315999999999</v>
      </c>
      <c r="AF64" s="7">
        <v>0</v>
      </c>
      <c r="AG64" s="7">
        <v>0</v>
      </c>
      <c r="AH64" s="7">
        <v>139777.90299999999</v>
      </c>
      <c r="AI64" s="7">
        <v>0</v>
      </c>
      <c r="AJ64" s="7">
        <v>0</v>
      </c>
      <c r="AK64" s="7">
        <v>0</v>
      </c>
      <c r="AL64" s="7">
        <v>0</v>
      </c>
      <c r="AM64" s="7">
        <v>3293.6559999999999</v>
      </c>
      <c r="AN64" s="7">
        <v>0</v>
      </c>
      <c r="AO64" s="7">
        <v>1381.5450000000001</v>
      </c>
      <c r="AP64" s="7">
        <v>0</v>
      </c>
      <c r="AQ64" s="7">
        <v>0</v>
      </c>
      <c r="AR64" s="7">
        <v>0</v>
      </c>
      <c r="AS64" s="7">
        <v>68.647000000000006</v>
      </c>
      <c r="AT64" s="7">
        <v>0</v>
      </c>
      <c r="AU64" s="7">
        <v>2219.85</v>
      </c>
      <c r="AV64" s="7">
        <v>0</v>
      </c>
      <c r="AW64" s="7">
        <v>0</v>
      </c>
      <c r="AX64" s="7">
        <v>0</v>
      </c>
      <c r="AY64" s="7">
        <v>1279.0229999999999</v>
      </c>
      <c r="AZ64" s="7">
        <v>0</v>
      </c>
      <c r="BA64" s="7">
        <v>0</v>
      </c>
      <c r="BB64" s="7">
        <v>409.024</v>
      </c>
      <c r="BC64" s="7">
        <v>817.23199999999997</v>
      </c>
      <c r="BD64" s="7">
        <v>0</v>
      </c>
      <c r="BE64" s="7">
        <v>108.68899999999999</v>
      </c>
      <c r="BF64" s="7">
        <v>108.68899999999999</v>
      </c>
      <c r="BG64" s="7">
        <v>0</v>
      </c>
      <c r="BH64" s="7">
        <v>0</v>
      </c>
      <c r="BI64" s="7">
        <v>383.58699999999999</v>
      </c>
      <c r="BJ64" s="21"/>
    </row>
    <row r="65" spans="1:62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21"/>
    </row>
    <row r="66" spans="1:62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170043.83300000001</v>
      </c>
      <c r="F66" s="7">
        <v>25564.734</v>
      </c>
      <c r="G66" s="7">
        <v>41770.152999999998</v>
      </c>
      <c r="H66" s="7">
        <v>15628.672</v>
      </c>
      <c r="I66" s="7">
        <v>4554.1589999999997</v>
      </c>
      <c r="J66" s="7">
        <v>23860.583999999999</v>
      </c>
      <c r="K66" s="7">
        <v>0</v>
      </c>
      <c r="L66" s="7">
        <v>76428.466</v>
      </c>
      <c r="M66" s="7">
        <v>104063.262</v>
      </c>
      <c r="N66" s="7">
        <v>0</v>
      </c>
      <c r="O66" s="7">
        <v>0</v>
      </c>
      <c r="P66" s="7">
        <v>3.2890000000000001</v>
      </c>
      <c r="Q66" s="7">
        <v>518.51499999999999</v>
      </c>
      <c r="R66" s="7">
        <v>1679.009</v>
      </c>
      <c r="S66" s="7">
        <v>11000.576999999999</v>
      </c>
      <c r="T66" s="7">
        <v>0</v>
      </c>
      <c r="U66" s="7">
        <v>0</v>
      </c>
      <c r="V66" s="7">
        <v>4284.5860000000002</v>
      </c>
      <c r="W66" s="7">
        <v>7656.8779999999997</v>
      </c>
      <c r="X66" s="7">
        <v>0</v>
      </c>
      <c r="Y66" s="7">
        <v>21622.240000000002</v>
      </c>
      <c r="Z66" s="7">
        <v>0</v>
      </c>
      <c r="AA66" s="7">
        <v>33687.868999999999</v>
      </c>
      <c r="AB66" s="7">
        <v>0</v>
      </c>
      <c r="AC66" s="7">
        <v>4045.2040000000002</v>
      </c>
      <c r="AD66" s="7">
        <v>0</v>
      </c>
      <c r="AE66" s="7">
        <v>30046.656999999999</v>
      </c>
      <c r="AF66" s="7">
        <v>0</v>
      </c>
      <c r="AG66" s="7">
        <v>0</v>
      </c>
      <c r="AH66" s="7">
        <v>168808.861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1702.7080000000001</v>
      </c>
      <c r="AP66" s="7">
        <v>0</v>
      </c>
      <c r="AQ66" s="7">
        <v>0</v>
      </c>
      <c r="AR66" s="7">
        <v>0</v>
      </c>
      <c r="AS66" s="7">
        <v>96.694000000000003</v>
      </c>
      <c r="AT66" s="7">
        <v>0</v>
      </c>
      <c r="AU66" s="7">
        <v>2855.4580000000001</v>
      </c>
      <c r="AV66" s="7">
        <v>0</v>
      </c>
      <c r="AW66" s="7">
        <v>0</v>
      </c>
      <c r="AX66" s="7">
        <v>0</v>
      </c>
      <c r="AY66" s="7">
        <v>1601.144</v>
      </c>
      <c r="AZ66" s="7">
        <v>0</v>
      </c>
      <c r="BA66" s="7">
        <v>0</v>
      </c>
      <c r="BB66" s="7">
        <v>515.11400000000003</v>
      </c>
      <c r="BC66" s="7">
        <v>1031.06</v>
      </c>
      <c r="BD66" s="7">
        <v>0</v>
      </c>
      <c r="BE66" s="7">
        <v>134.899</v>
      </c>
      <c r="BF66" s="7">
        <v>134.899</v>
      </c>
      <c r="BG66" s="7">
        <v>0</v>
      </c>
      <c r="BH66" s="7">
        <v>0</v>
      </c>
      <c r="BI66" s="7">
        <v>482.827</v>
      </c>
      <c r="BJ66" s="21"/>
    </row>
    <row r="67" spans="1:62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26941.789000000001</v>
      </c>
      <c r="F67" s="7">
        <v>4046.9989999999998</v>
      </c>
      <c r="G67" s="7">
        <v>6575.8310000000001</v>
      </c>
      <c r="H67" s="7">
        <v>0</v>
      </c>
      <c r="I67" s="7">
        <v>728.8</v>
      </c>
      <c r="J67" s="7">
        <v>3725.2710000000002</v>
      </c>
      <c r="K67" s="7">
        <v>0</v>
      </c>
      <c r="L67" s="7">
        <v>11573.573</v>
      </c>
      <c r="M67" s="7">
        <v>16463.493999999999</v>
      </c>
      <c r="N67" s="7">
        <v>0</v>
      </c>
      <c r="O67" s="7">
        <v>0</v>
      </c>
      <c r="P67" s="7">
        <v>0.52600000000000002</v>
      </c>
      <c r="Q67" s="7">
        <v>93.894000000000005</v>
      </c>
      <c r="R67" s="7">
        <v>304.03899999999999</v>
      </c>
      <c r="S67" s="7">
        <v>1760.4169999999999</v>
      </c>
      <c r="T67" s="7">
        <v>0</v>
      </c>
      <c r="U67" s="7">
        <v>0</v>
      </c>
      <c r="V67" s="7">
        <v>685.66</v>
      </c>
      <c r="W67" s="7">
        <v>1225.326</v>
      </c>
      <c r="X67" s="7">
        <v>0</v>
      </c>
      <c r="Y67" s="7">
        <v>3434.0990000000002</v>
      </c>
      <c r="Z67" s="7">
        <v>0</v>
      </c>
      <c r="AA67" s="7">
        <v>5374.0959999999995</v>
      </c>
      <c r="AB67" s="7">
        <v>0</v>
      </c>
      <c r="AC67" s="7">
        <v>647.35199999999998</v>
      </c>
      <c r="AD67" s="7">
        <v>0</v>
      </c>
      <c r="AE67" s="7">
        <v>4647.6660000000002</v>
      </c>
      <c r="AF67" s="7">
        <v>0</v>
      </c>
      <c r="AG67" s="7">
        <v>0</v>
      </c>
      <c r="AH67" s="7">
        <v>26460.674999999999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272.483</v>
      </c>
      <c r="AP67" s="7">
        <v>0</v>
      </c>
      <c r="AQ67" s="7">
        <v>0</v>
      </c>
      <c r="AR67" s="7">
        <v>0</v>
      </c>
      <c r="AS67" s="7">
        <v>15.474</v>
      </c>
      <c r="AT67" s="7">
        <v>0</v>
      </c>
      <c r="AU67" s="7">
        <v>462.72800000000001</v>
      </c>
      <c r="AV67" s="7">
        <v>0</v>
      </c>
      <c r="AW67" s="7">
        <v>0</v>
      </c>
      <c r="AX67" s="7">
        <v>0</v>
      </c>
      <c r="AY67" s="7">
        <v>256.23</v>
      </c>
      <c r="AZ67" s="7">
        <v>0</v>
      </c>
      <c r="BA67" s="7">
        <v>0</v>
      </c>
      <c r="BB67" s="7">
        <v>82.433000000000007</v>
      </c>
      <c r="BC67" s="7">
        <v>165</v>
      </c>
      <c r="BD67" s="7">
        <v>0</v>
      </c>
      <c r="BE67" s="7">
        <v>21.588000000000001</v>
      </c>
      <c r="BF67" s="7">
        <v>21.588000000000001</v>
      </c>
      <c r="BG67" s="7">
        <v>0</v>
      </c>
      <c r="BH67" s="7">
        <v>0</v>
      </c>
      <c r="BI67" s="7">
        <v>77.266999999999996</v>
      </c>
      <c r="BJ67" s="21"/>
    </row>
    <row r="68" spans="1:62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164611.48699999999</v>
      </c>
      <c r="F68" s="7">
        <v>24676.97</v>
      </c>
      <c r="G68" s="7">
        <v>40080.955000000002</v>
      </c>
      <c r="H68" s="7">
        <v>0</v>
      </c>
      <c r="I68" s="7">
        <v>4449.26</v>
      </c>
      <c r="J68" s="7">
        <v>22711.154999999999</v>
      </c>
      <c r="K68" s="7">
        <v>7804.6970000000001</v>
      </c>
      <c r="L68" s="7">
        <v>70967.599000000002</v>
      </c>
      <c r="M68" s="7">
        <v>100372.48699999999</v>
      </c>
      <c r="N68" s="7">
        <v>0</v>
      </c>
      <c r="O68" s="7">
        <v>0</v>
      </c>
      <c r="P68" s="7">
        <v>6.774</v>
      </c>
      <c r="Q68" s="7">
        <v>855.08299999999997</v>
      </c>
      <c r="R68" s="7">
        <v>2768.8510000000001</v>
      </c>
      <c r="S68" s="7">
        <v>10700.592000000001</v>
      </c>
      <c r="T68" s="7">
        <v>0</v>
      </c>
      <c r="U68" s="7">
        <v>5948.0550000000003</v>
      </c>
      <c r="V68" s="7">
        <v>4177.62</v>
      </c>
      <c r="W68" s="7">
        <v>7478.2160000000003</v>
      </c>
      <c r="X68" s="7">
        <v>0</v>
      </c>
      <c r="Y68" s="7">
        <v>21112.359</v>
      </c>
      <c r="Z68" s="7">
        <v>0</v>
      </c>
      <c r="AA68" s="7">
        <v>32750.334999999999</v>
      </c>
      <c r="AB68" s="7">
        <v>0</v>
      </c>
      <c r="AC68" s="7">
        <v>3947.634</v>
      </c>
      <c r="AD68" s="7">
        <v>0</v>
      </c>
      <c r="AE68" s="7">
        <v>29012.757000000001</v>
      </c>
      <c r="AF68" s="7">
        <v>0</v>
      </c>
      <c r="AG68" s="7">
        <v>0</v>
      </c>
      <c r="AH68" s="7">
        <v>162656.41099999999</v>
      </c>
      <c r="AI68" s="7">
        <v>0</v>
      </c>
      <c r="AJ68" s="7">
        <v>0</v>
      </c>
      <c r="AK68" s="7">
        <v>0</v>
      </c>
      <c r="AL68" s="7">
        <v>0</v>
      </c>
      <c r="AM68" s="7">
        <v>1251.4770000000001</v>
      </c>
      <c r="AN68" s="7">
        <v>0</v>
      </c>
      <c r="AO68" s="7">
        <v>1656.2750000000001</v>
      </c>
      <c r="AP68" s="7">
        <v>0</v>
      </c>
      <c r="AQ68" s="7">
        <v>0</v>
      </c>
      <c r="AR68" s="7">
        <v>0</v>
      </c>
      <c r="AS68" s="7">
        <v>94.057000000000002</v>
      </c>
      <c r="AT68" s="7">
        <v>0</v>
      </c>
      <c r="AU68" s="7">
        <v>2795.2280000000001</v>
      </c>
      <c r="AV68" s="7">
        <v>0</v>
      </c>
      <c r="AW68" s="7">
        <v>0</v>
      </c>
      <c r="AX68" s="7">
        <v>0</v>
      </c>
      <c r="AY68" s="7">
        <v>1557.481</v>
      </c>
      <c r="AZ68" s="7">
        <v>0</v>
      </c>
      <c r="BA68" s="7">
        <v>0</v>
      </c>
      <c r="BB68" s="7">
        <v>501.06700000000001</v>
      </c>
      <c r="BC68" s="7">
        <v>1002.943</v>
      </c>
      <c r="BD68" s="7">
        <v>0</v>
      </c>
      <c r="BE68" s="7">
        <v>131.221</v>
      </c>
      <c r="BF68" s="7">
        <v>131.221</v>
      </c>
      <c r="BG68" s="7">
        <v>0</v>
      </c>
      <c r="BH68" s="7">
        <v>0</v>
      </c>
      <c r="BI68" s="7">
        <v>469.66</v>
      </c>
      <c r="BJ68" s="21"/>
    </row>
    <row r="69" spans="1:62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37248.544000000002</v>
      </c>
      <c r="F70" s="7">
        <v>5595.2039999999997</v>
      </c>
      <c r="G70" s="7">
        <v>9091.4580000000005</v>
      </c>
      <c r="H70" s="7">
        <v>19965.448</v>
      </c>
      <c r="I70" s="7">
        <v>1007.607</v>
      </c>
      <c r="J70" s="7">
        <v>5150.3980000000001</v>
      </c>
      <c r="K70" s="7">
        <v>0</v>
      </c>
      <c r="L70" s="7">
        <v>16001.118</v>
      </c>
      <c r="M70" s="7">
        <v>22761.71</v>
      </c>
      <c r="N70" s="7">
        <v>0</v>
      </c>
      <c r="O70" s="7">
        <v>0</v>
      </c>
      <c r="P70" s="7">
        <v>0.72799999999999998</v>
      </c>
      <c r="Q70" s="7">
        <v>0</v>
      </c>
      <c r="R70" s="7">
        <v>0</v>
      </c>
      <c r="S70" s="7">
        <v>2433.875</v>
      </c>
      <c r="T70" s="7">
        <v>0</v>
      </c>
      <c r="U70" s="7">
        <v>0</v>
      </c>
      <c r="V70" s="7">
        <v>947.96400000000006</v>
      </c>
      <c r="W70" s="7">
        <v>1694.0830000000001</v>
      </c>
      <c r="X70" s="7">
        <v>0</v>
      </c>
      <c r="Y70" s="7">
        <v>4747.8360000000002</v>
      </c>
      <c r="Z70" s="7">
        <v>0</v>
      </c>
      <c r="AA70" s="7">
        <v>7429.991</v>
      </c>
      <c r="AB70" s="7">
        <v>0</v>
      </c>
      <c r="AC70" s="7">
        <v>895.00099999999998</v>
      </c>
      <c r="AD70" s="7">
        <v>0</v>
      </c>
      <c r="AE70" s="7">
        <v>6425.6610000000001</v>
      </c>
      <c r="AF70" s="7">
        <v>0</v>
      </c>
      <c r="AG70" s="7">
        <v>0</v>
      </c>
      <c r="AH70" s="7">
        <v>36583.375999999997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376.72399999999999</v>
      </c>
      <c r="AP70" s="7">
        <v>0</v>
      </c>
      <c r="AQ70" s="7">
        <v>0</v>
      </c>
      <c r="AR70" s="7">
        <v>0</v>
      </c>
      <c r="AS70" s="7">
        <v>21.393999999999998</v>
      </c>
      <c r="AT70" s="7">
        <v>0</v>
      </c>
      <c r="AU70" s="7">
        <v>614.84500000000003</v>
      </c>
      <c r="AV70" s="7">
        <v>0</v>
      </c>
      <c r="AW70" s="7">
        <v>0</v>
      </c>
      <c r="AX70" s="7">
        <v>0</v>
      </c>
      <c r="AY70" s="7">
        <v>354.25299999999999</v>
      </c>
      <c r="AZ70" s="7">
        <v>0</v>
      </c>
      <c r="BA70" s="7">
        <v>0</v>
      </c>
      <c r="BB70" s="7">
        <v>113.96899999999999</v>
      </c>
      <c r="BC70" s="7">
        <v>228.12200000000001</v>
      </c>
      <c r="BD70" s="7">
        <v>0</v>
      </c>
      <c r="BE70" s="7">
        <v>29.846</v>
      </c>
      <c r="BF70" s="7">
        <v>29.846</v>
      </c>
      <c r="BG70" s="7">
        <v>0</v>
      </c>
      <c r="BH70" s="7">
        <v>0</v>
      </c>
      <c r="BI70" s="7">
        <v>106.825</v>
      </c>
      <c r="BJ70" s="21"/>
    </row>
    <row r="71" spans="1:62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14232.272999999999</v>
      </c>
      <c r="F71" s="7">
        <v>2137.8679999999999</v>
      </c>
      <c r="G71" s="7">
        <v>3473.75</v>
      </c>
      <c r="H71" s="7">
        <v>2568.3000000000002</v>
      </c>
      <c r="I71" s="7">
        <v>384.99599999999998</v>
      </c>
      <c r="J71" s="7">
        <v>1967.912</v>
      </c>
      <c r="K71" s="7">
        <v>0</v>
      </c>
      <c r="L71" s="7">
        <v>6113.857</v>
      </c>
      <c r="M71" s="7">
        <v>8697.0069999999996</v>
      </c>
      <c r="N71" s="7">
        <v>0</v>
      </c>
      <c r="O71" s="7">
        <v>0</v>
      </c>
      <c r="P71" s="7">
        <v>0.27800000000000002</v>
      </c>
      <c r="Q71" s="7">
        <v>0</v>
      </c>
      <c r="R71" s="7">
        <v>0</v>
      </c>
      <c r="S71" s="7">
        <v>929.95799999999997</v>
      </c>
      <c r="T71" s="7">
        <v>0</v>
      </c>
      <c r="U71" s="7">
        <v>0</v>
      </c>
      <c r="V71" s="7">
        <v>362.20699999999999</v>
      </c>
      <c r="W71" s="7">
        <v>647.29100000000005</v>
      </c>
      <c r="X71" s="7">
        <v>0</v>
      </c>
      <c r="Y71" s="7">
        <v>1814.098</v>
      </c>
      <c r="Z71" s="7">
        <v>0</v>
      </c>
      <c r="AA71" s="7">
        <v>2838.9209999999998</v>
      </c>
      <c r="AB71" s="7">
        <v>0</v>
      </c>
      <c r="AC71" s="7">
        <v>341.97</v>
      </c>
      <c r="AD71" s="7">
        <v>0</v>
      </c>
      <c r="AE71" s="7">
        <v>2455.1770000000001</v>
      </c>
      <c r="AF71" s="7">
        <v>0</v>
      </c>
      <c r="AG71" s="7">
        <v>0</v>
      </c>
      <c r="AH71" s="7">
        <v>13978.119000000001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143.94200000000001</v>
      </c>
      <c r="AP71" s="7">
        <v>0</v>
      </c>
      <c r="AQ71" s="7">
        <v>0</v>
      </c>
      <c r="AR71" s="7">
        <v>0</v>
      </c>
      <c r="AS71" s="7">
        <v>8.1739999999999995</v>
      </c>
      <c r="AT71" s="7">
        <v>0</v>
      </c>
      <c r="AU71" s="7">
        <v>234.92599999999999</v>
      </c>
      <c r="AV71" s="7">
        <v>0</v>
      </c>
      <c r="AW71" s="7">
        <v>0</v>
      </c>
      <c r="AX71" s="7">
        <v>0</v>
      </c>
      <c r="AY71" s="7">
        <v>135.35599999999999</v>
      </c>
      <c r="AZ71" s="7">
        <v>0</v>
      </c>
      <c r="BA71" s="7">
        <v>0</v>
      </c>
      <c r="BB71" s="7">
        <v>43.545999999999999</v>
      </c>
      <c r="BC71" s="7">
        <v>87.162999999999997</v>
      </c>
      <c r="BD71" s="7">
        <v>0</v>
      </c>
      <c r="BE71" s="7">
        <v>11.404</v>
      </c>
      <c r="BF71" s="7">
        <v>11.404</v>
      </c>
      <c r="BG71" s="7">
        <v>0</v>
      </c>
      <c r="BH71" s="7">
        <v>0</v>
      </c>
      <c r="BI71" s="7">
        <v>40.817</v>
      </c>
      <c r="BJ71" s="21"/>
    </row>
    <row r="72" spans="1:62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55227.470999999998</v>
      </c>
      <c r="F72" s="7">
        <v>8261.9079999999994</v>
      </c>
      <c r="G72" s="7">
        <v>13413.7</v>
      </c>
      <c r="H72" s="7">
        <v>9611</v>
      </c>
      <c r="I72" s="7">
        <v>1491.4760000000001</v>
      </c>
      <c r="J72" s="7">
        <v>7602.34</v>
      </c>
      <c r="K72" s="7">
        <v>0</v>
      </c>
      <c r="L72" s="7">
        <v>23897.977999999999</v>
      </c>
      <c r="M72" s="7">
        <v>33599.635999999999</v>
      </c>
      <c r="N72" s="7">
        <v>0</v>
      </c>
      <c r="O72" s="7">
        <v>0</v>
      </c>
      <c r="P72" s="7">
        <v>3.5070000000000001</v>
      </c>
      <c r="Q72" s="7">
        <v>2.657</v>
      </c>
      <c r="R72" s="7">
        <v>8.6029999999999998</v>
      </c>
      <c r="S72" s="7">
        <v>3570.8620000000001</v>
      </c>
      <c r="T72" s="7">
        <v>0</v>
      </c>
      <c r="U72" s="7">
        <v>0</v>
      </c>
      <c r="V72" s="7">
        <v>1397.5440000000001</v>
      </c>
      <c r="W72" s="7">
        <v>2506.0430000000001</v>
      </c>
      <c r="X72" s="7">
        <v>0</v>
      </c>
      <c r="Y72" s="7">
        <v>7128.4629999999997</v>
      </c>
      <c r="Z72" s="7">
        <v>0</v>
      </c>
      <c r="AA72" s="7">
        <v>10958.375</v>
      </c>
      <c r="AB72" s="7">
        <v>0</v>
      </c>
      <c r="AC72" s="7">
        <v>1321.797</v>
      </c>
      <c r="AD72" s="7">
        <v>0</v>
      </c>
      <c r="AE72" s="7">
        <v>9947.5249999999996</v>
      </c>
      <c r="AF72" s="7">
        <v>7.5279999999999996</v>
      </c>
      <c r="AG72" s="7">
        <v>0</v>
      </c>
      <c r="AH72" s="7">
        <v>54888.040999999997</v>
      </c>
      <c r="AI72" s="7">
        <v>26.126000000000001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552.71100000000001</v>
      </c>
      <c r="AP72" s="7">
        <v>0</v>
      </c>
      <c r="AQ72" s="7">
        <v>0</v>
      </c>
      <c r="AR72" s="7">
        <v>0</v>
      </c>
      <c r="AS72" s="7">
        <v>31.388000000000002</v>
      </c>
      <c r="AT72" s="7">
        <v>0</v>
      </c>
      <c r="AU72" s="7">
        <v>902.07</v>
      </c>
      <c r="AV72" s="7">
        <v>0</v>
      </c>
      <c r="AW72" s="7">
        <v>0</v>
      </c>
      <c r="AX72" s="7">
        <v>0</v>
      </c>
      <c r="AY72" s="7">
        <v>519.74199999999996</v>
      </c>
      <c r="AZ72" s="7">
        <v>0</v>
      </c>
      <c r="BA72" s="7">
        <v>0</v>
      </c>
      <c r="BB72" s="7">
        <v>167.21</v>
      </c>
      <c r="BC72" s="7">
        <v>334.68900000000002</v>
      </c>
      <c r="BD72" s="7">
        <v>0</v>
      </c>
      <c r="BE72" s="7">
        <v>43.789000000000001</v>
      </c>
      <c r="BF72" s="7">
        <v>43.789000000000001</v>
      </c>
      <c r="BG72" s="7">
        <v>0</v>
      </c>
      <c r="BH72" s="7">
        <v>0</v>
      </c>
      <c r="BI72" s="7">
        <v>156.72900000000001</v>
      </c>
      <c r="BJ72" s="21"/>
    </row>
    <row r="73" spans="1:62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46237.641000000003</v>
      </c>
      <c r="F74" s="7">
        <v>4589.1419999999998</v>
      </c>
      <c r="G74" s="7">
        <v>12295.722</v>
      </c>
      <c r="H74" s="7">
        <v>1802.913</v>
      </c>
      <c r="I74" s="7">
        <v>1014.073</v>
      </c>
      <c r="J74" s="7">
        <v>9055.7939999999999</v>
      </c>
      <c r="K74" s="7">
        <v>0</v>
      </c>
      <c r="L74" s="7">
        <v>20189.975999999999</v>
      </c>
      <c r="M74" s="7">
        <v>26118.215</v>
      </c>
      <c r="N74" s="7">
        <v>0</v>
      </c>
      <c r="O74" s="7">
        <v>0</v>
      </c>
      <c r="P74" s="7">
        <v>39.337000000000003</v>
      </c>
      <c r="Q74" s="7">
        <v>0</v>
      </c>
      <c r="R74" s="7">
        <v>128.21600000000001</v>
      </c>
      <c r="S74" s="7">
        <v>1222.0039999999999</v>
      </c>
      <c r="T74" s="7">
        <v>0</v>
      </c>
      <c r="U74" s="7">
        <v>0</v>
      </c>
      <c r="V74" s="7">
        <v>834.15099999999995</v>
      </c>
      <c r="W74" s="7">
        <v>2351.6849999999999</v>
      </c>
      <c r="X74" s="7">
        <v>0</v>
      </c>
      <c r="Y74" s="7">
        <v>6933.9070000000002</v>
      </c>
      <c r="Z74" s="7">
        <v>0</v>
      </c>
      <c r="AA74" s="7">
        <v>9377.3559999999998</v>
      </c>
      <c r="AB74" s="7">
        <v>0</v>
      </c>
      <c r="AC74" s="7">
        <v>725.50099999999998</v>
      </c>
      <c r="AD74" s="7">
        <v>0</v>
      </c>
      <c r="AE74" s="7">
        <v>24931.893</v>
      </c>
      <c r="AF74" s="7">
        <v>0</v>
      </c>
      <c r="AG74" s="7">
        <v>0</v>
      </c>
      <c r="AH74" s="7">
        <v>64075.252999999997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329.596</v>
      </c>
      <c r="AP74" s="7">
        <v>0</v>
      </c>
      <c r="AQ74" s="7">
        <v>0</v>
      </c>
      <c r="AR74" s="7">
        <v>0</v>
      </c>
      <c r="AS74" s="7">
        <v>5.4139999999999997</v>
      </c>
      <c r="AT74" s="7">
        <v>0</v>
      </c>
      <c r="AU74" s="7">
        <v>274.81</v>
      </c>
      <c r="AV74" s="7">
        <v>0</v>
      </c>
      <c r="AW74" s="7">
        <v>0</v>
      </c>
      <c r="AX74" s="7">
        <v>0</v>
      </c>
      <c r="AY74" s="7">
        <v>282.65499999999997</v>
      </c>
      <c r="AZ74" s="7">
        <v>0</v>
      </c>
      <c r="BA74" s="7">
        <v>0</v>
      </c>
      <c r="BB74" s="7">
        <v>87.599000000000004</v>
      </c>
      <c r="BC74" s="7">
        <v>173.339</v>
      </c>
      <c r="BD74" s="7">
        <v>0</v>
      </c>
      <c r="BE74" s="7">
        <v>25.074000000000002</v>
      </c>
      <c r="BF74" s="7">
        <v>25.074000000000002</v>
      </c>
      <c r="BG74" s="7">
        <v>0</v>
      </c>
      <c r="BH74" s="7">
        <v>0</v>
      </c>
      <c r="BI74" s="7">
        <v>82.381</v>
      </c>
      <c r="BJ74" s="21"/>
    </row>
    <row r="75" spans="1:62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999.84</v>
      </c>
      <c r="F75" s="7">
        <v>91.468000000000004</v>
      </c>
      <c r="G75" s="7">
        <v>129.958</v>
      </c>
      <c r="H75" s="7">
        <v>0</v>
      </c>
      <c r="I75" s="7">
        <v>22.765000000000001</v>
      </c>
      <c r="J75" s="7">
        <v>79.417000000000002</v>
      </c>
      <c r="K75" s="7">
        <v>0</v>
      </c>
      <c r="L75" s="7">
        <v>729.55899999999997</v>
      </c>
      <c r="M75" s="7">
        <v>354.07499999999999</v>
      </c>
      <c r="N75" s="7">
        <v>0</v>
      </c>
      <c r="O75" s="7">
        <v>0</v>
      </c>
      <c r="P75" s="7">
        <v>4.218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11.651</v>
      </c>
      <c r="W75" s="7">
        <v>35.564999999999998</v>
      </c>
      <c r="X75" s="7">
        <v>0</v>
      </c>
      <c r="Y75" s="7">
        <v>281.279</v>
      </c>
      <c r="Z75" s="7">
        <v>0</v>
      </c>
      <c r="AA75" s="7">
        <v>99.35</v>
      </c>
      <c r="AB75" s="7">
        <v>0</v>
      </c>
      <c r="AC75" s="7">
        <v>15.036</v>
      </c>
      <c r="AD75" s="7">
        <v>0</v>
      </c>
      <c r="AE75" s="7">
        <v>899.34</v>
      </c>
      <c r="AF75" s="7">
        <v>0</v>
      </c>
      <c r="AG75" s="7">
        <v>0</v>
      </c>
      <c r="AH75" s="7">
        <v>2100.384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6432.1189999999997</v>
      </c>
      <c r="F76" s="7">
        <v>1448.479</v>
      </c>
      <c r="G76" s="7">
        <v>186.04499999999999</v>
      </c>
      <c r="H76" s="7">
        <v>0</v>
      </c>
      <c r="I76" s="7">
        <v>32.588999999999999</v>
      </c>
      <c r="J76" s="7">
        <v>982.572</v>
      </c>
      <c r="K76" s="7">
        <v>0</v>
      </c>
      <c r="L76" s="7">
        <v>21052.364000000001</v>
      </c>
      <c r="M76" s="7">
        <v>2009.5650000000001</v>
      </c>
      <c r="N76" s="7">
        <v>0</v>
      </c>
      <c r="O76" s="7">
        <v>0</v>
      </c>
      <c r="P76" s="7">
        <v>6.0380000000000003</v>
      </c>
      <c r="Q76" s="7">
        <v>0</v>
      </c>
      <c r="R76" s="7">
        <v>356.08499999999998</v>
      </c>
      <c r="S76" s="7">
        <v>0</v>
      </c>
      <c r="T76" s="7">
        <v>0</v>
      </c>
      <c r="U76" s="7">
        <v>0</v>
      </c>
      <c r="V76" s="7">
        <v>16.678999999999998</v>
      </c>
      <c r="W76" s="7">
        <v>50.914000000000001</v>
      </c>
      <c r="X76" s="7">
        <v>0</v>
      </c>
      <c r="Y76" s="7">
        <v>402.67200000000003</v>
      </c>
      <c r="Z76" s="7">
        <v>0</v>
      </c>
      <c r="AA76" s="7">
        <v>142.227</v>
      </c>
      <c r="AB76" s="7">
        <v>0</v>
      </c>
      <c r="AC76" s="7">
        <v>21.524999999999999</v>
      </c>
      <c r="AD76" s="7">
        <v>0</v>
      </c>
      <c r="AE76" s="7">
        <v>3533.4349999999999</v>
      </c>
      <c r="AF76" s="7">
        <v>0</v>
      </c>
      <c r="AG76" s="7">
        <v>0</v>
      </c>
      <c r="AH76" s="7">
        <v>16134.07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8612.3590000000004</v>
      </c>
      <c r="F78" s="7">
        <v>1162.617</v>
      </c>
      <c r="G78" s="7">
        <v>1847.4359999999999</v>
      </c>
      <c r="H78" s="7">
        <v>5790.5619999999999</v>
      </c>
      <c r="I78" s="7">
        <v>223.41399999999999</v>
      </c>
      <c r="J78" s="7">
        <v>1059.5250000000001</v>
      </c>
      <c r="K78" s="7">
        <v>0</v>
      </c>
      <c r="L78" s="7">
        <v>4369.4009999999998</v>
      </c>
      <c r="M78" s="7">
        <v>4689.3850000000002</v>
      </c>
      <c r="N78" s="7">
        <v>0</v>
      </c>
      <c r="O78" s="7">
        <v>0</v>
      </c>
      <c r="P78" s="7">
        <v>9.5389999999999997</v>
      </c>
      <c r="Q78" s="7">
        <v>0</v>
      </c>
      <c r="R78" s="7">
        <v>0</v>
      </c>
      <c r="S78" s="7">
        <v>416.92200000000003</v>
      </c>
      <c r="T78" s="7">
        <v>0</v>
      </c>
      <c r="U78" s="7">
        <v>0</v>
      </c>
      <c r="V78" s="7">
        <v>188.392</v>
      </c>
      <c r="W78" s="7">
        <v>369.57900000000001</v>
      </c>
      <c r="X78" s="7">
        <v>0</v>
      </c>
      <c r="Y78" s="7">
        <v>1441.1320000000001</v>
      </c>
      <c r="Z78" s="7">
        <v>0</v>
      </c>
      <c r="AA78" s="7">
        <v>1494.509</v>
      </c>
      <c r="AB78" s="7">
        <v>0</v>
      </c>
      <c r="AC78" s="7">
        <v>186.874</v>
      </c>
      <c r="AD78" s="7">
        <v>0</v>
      </c>
      <c r="AE78" s="7">
        <v>3108.0909999999999</v>
      </c>
      <c r="AF78" s="7">
        <v>0</v>
      </c>
      <c r="AG78" s="7">
        <v>0</v>
      </c>
      <c r="AH78" s="7">
        <v>10954.894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64.533000000000001</v>
      </c>
      <c r="AP78" s="7">
        <v>0</v>
      </c>
      <c r="AQ78" s="7">
        <v>0</v>
      </c>
      <c r="AR78" s="7">
        <v>0</v>
      </c>
      <c r="AS78" s="7">
        <v>3.665</v>
      </c>
      <c r="AT78" s="7">
        <v>0</v>
      </c>
      <c r="AU78" s="7">
        <v>105.32299999999999</v>
      </c>
      <c r="AV78" s="7">
        <v>0</v>
      </c>
      <c r="AW78" s="7">
        <v>0</v>
      </c>
      <c r="AX78" s="7">
        <v>0</v>
      </c>
      <c r="AY78" s="7">
        <v>60.683</v>
      </c>
      <c r="AZ78" s="7">
        <v>0</v>
      </c>
      <c r="BA78" s="7">
        <v>0</v>
      </c>
      <c r="BB78" s="7">
        <v>19.523</v>
      </c>
      <c r="BC78" s="7">
        <v>39.076999999999998</v>
      </c>
      <c r="BD78" s="7">
        <v>0</v>
      </c>
      <c r="BE78" s="7">
        <v>5.1130000000000004</v>
      </c>
      <c r="BF78" s="7">
        <v>5.1130000000000004</v>
      </c>
      <c r="BG78" s="7">
        <v>0</v>
      </c>
      <c r="BH78" s="7">
        <v>0</v>
      </c>
      <c r="BI78" s="7">
        <v>18.298999999999999</v>
      </c>
      <c r="BJ78" s="21"/>
    </row>
    <row r="79" spans="1:62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8617.509</v>
      </c>
      <c r="F80" s="7">
        <v>1187.703</v>
      </c>
      <c r="G80" s="7">
        <v>1849.5889999999999</v>
      </c>
      <c r="H80" s="7">
        <v>0</v>
      </c>
      <c r="I80" s="7">
        <v>156.03299999999999</v>
      </c>
      <c r="J80" s="7">
        <v>1317.838</v>
      </c>
      <c r="K80" s="7">
        <v>0</v>
      </c>
      <c r="L80" s="7">
        <v>10624.56</v>
      </c>
      <c r="M80" s="7">
        <v>3513.1439999999998</v>
      </c>
      <c r="N80" s="7">
        <v>0</v>
      </c>
      <c r="O80" s="7">
        <v>0</v>
      </c>
      <c r="P80" s="7">
        <v>18.922000000000001</v>
      </c>
      <c r="Q80" s="7">
        <v>0</v>
      </c>
      <c r="R80" s="7">
        <v>124.593</v>
      </c>
      <c r="S80" s="7">
        <v>130.71600000000001</v>
      </c>
      <c r="T80" s="7">
        <v>0</v>
      </c>
      <c r="U80" s="7">
        <v>0</v>
      </c>
      <c r="V80" s="7">
        <v>103.074</v>
      </c>
      <c r="W80" s="7">
        <v>250.21</v>
      </c>
      <c r="X80" s="7">
        <v>0</v>
      </c>
      <c r="Y80" s="7">
        <v>1711.3789999999999</v>
      </c>
      <c r="Z80" s="7">
        <v>0</v>
      </c>
      <c r="AA80" s="7">
        <v>944.02700000000004</v>
      </c>
      <c r="AB80" s="7">
        <v>0</v>
      </c>
      <c r="AC80" s="7">
        <v>115.384</v>
      </c>
      <c r="AD80" s="7">
        <v>0</v>
      </c>
      <c r="AE80" s="7">
        <v>5630.8779999999997</v>
      </c>
      <c r="AF80" s="7">
        <v>0</v>
      </c>
      <c r="AG80" s="7">
        <v>0</v>
      </c>
      <c r="AH80" s="7">
        <v>16524.490000000002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20.233000000000001</v>
      </c>
      <c r="AP80" s="7">
        <v>0</v>
      </c>
      <c r="AQ80" s="7">
        <v>0</v>
      </c>
      <c r="AR80" s="7">
        <v>0</v>
      </c>
      <c r="AS80" s="7">
        <v>1.149</v>
      </c>
      <c r="AT80" s="7">
        <v>0</v>
      </c>
      <c r="AU80" s="7">
        <v>33.021000000000001</v>
      </c>
      <c r="AV80" s="7">
        <v>0</v>
      </c>
      <c r="AW80" s="7">
        <v>0</v>
      </c>
      <c r="AX80" s="7">
        <v>0</v>
      </c>
      <c r="AY80" s="7">
        <v>19.026</v>
      </c>
      <c r="AZ80" s="7">
        <v>0</v>
      </c>
      <c r="BA80" s="7">
        <v>0</v>
      </c>
      <c r="BB80" s="7">
        <v>6.1210000000000004</v>
      </c>
      <c r="BC80" s="7">
        <v>12.252000000000001</v>
      </c>
      <c r="BD80" s="7">
        <v>0</v>
      </c>
      <c r="BE80" s="7">
        <v>1.603</v>
      </c>
      <c r="BF80" s="7">
        <v>1.603</v>
      </c>
      <c r="BG80" s="7">
        <v>0</v>
      </c>
      <c r="BH80" s="7">
        <v>0</v>
      </c>
      <c r="BI80" s="7">
        <v>5.7370000000000001</v>
      </c>
      <c r="BJ80" s="21"/>
    </row>
    <row r="81" spans="1:62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14578.531000000001</v>
      </c>
      <c r="F86" s="7">
        <v>2190.3719999999998</v>
      </c>
      <c r="G86" s="7">
        <v>3558.3150000000001</v>
      </c>
      <c r="H86" s="7">
        <v>2379.5709999999999</v>
      </c>
      <c r="I86" s="7">
        <v>394.38499999999999</v>
      </c>
      <c r="J86" s="7">
        <v>2015.7919999999999</v>
      </c>
      <c r="K86" s="7">
        <v>0</v>
      </c>
      <c r="L86" s="7">
        <v>6278.9589999999998</v>
      </c>
      <c r="M86" s="7">
        <v>8909.9459999999999</v>
      </c>
      <c r="N86" s="7">
        <v>0</v>
      </c>
      <c r="O86" s="7">
        <v>0</v>
      </c>
      <c r="P86" s="7">
        <v>0.308</v>
      </c>
      <c r="Q86" s="7">
        <v>0</v>
      </c>
      <c r="R86" s="7">
        <v>0</v>
      </c>
      <c r="S86" s="7">
        <v>952.30899999999997</v>
      </c>
      <c r="T86" s="7">
        <v>0</v>
      </c>
      <c r="U86" s="7">
        <v>0</v>
      </c>
      <c r="V86" s="7">
        <v>370.923</v>
      </c>
      <c r="W86" s="7">
        <v>662.89</v>
      </c>
      <c r="X86" s="7">
        <v>0</v>
      </c>
      <c r="Y86" s="7">
        <v>1857.8140000000001</v>
      </c>
      <c r="Z86" s="7">
        <v>0</v>
      </c>
      <c r="AA86" s="7">
        <v>2907.259</v>
      </c>
      <c r="AB86" s="7">
        <v>0</v>
      </c>
      <c r="AC86" s="7">
        <v>350.20299999999997</v>
      </c>
      <c r="AD86" s="7">
        <v>0</v>
      </c>
      <c r="AE86" s="7">
        <v>2514.462</v>
      </c>
      <c r="AF86" s="7">
        <v>0</v>
      </c>
      <c r="AG86" s="7">
        <v>0</v>
      </c>
      <c r="AH86" s="7">
        <v>14340.722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147.40199999999999</v>
      </c>
      <c r="AP86" s="7">
        <v>0</v>
      </c>
      <c r="AQ86" s="7">
        <v>0</v>
      </c>
      <c r="AR86" s="7">
        <v>0</v>
      </c>
      <c r="AS86" s="7">
        <v>8.3710000000000004</v>
      </c>
      <c r="AT86" s="7">
        <v>0</v>
      </c>
      <c r="AU86" s="7">
        <v>240.572</v>
      </c>
      <c r="AV86" s="7">
        <v>0</v>
      </c>
      <c r="AW86" s="7">
        <v>0</v>
      </c>
      <c r="AX86" s="7">
        <v>0</v>
      </c>
      <c r="AY86" s="7">
        <v>138.61000000000001</v>
      </c>
      <c r="AZ86" s="7">
        <v>0</v>
      </c>
      <c r="BA86" s="7">
        <v>0</v>
      </c>
      <c r="BB86" s="7">
        <v>44.593000000000004</v>
      </c>
      <c r="BC86" s="7">
        <v>89.257999999999996</v>
      </c>
      <c r="BD86" s="7">
        <v>0</v>
      </c>
      <c r="BE86" s="7">
        <v>11.678000000000001</v>
      </c>
      <c r="BF86" s="7">
        <v>11.678000000000001</v>
      </c>
      <c r="BG86" s="7">
        <v>0</v>
      </c>
      <c r="BH86" s="7">
        <v>0</v>
      </c>
      <c r="BI86" s="7">
        <v>41.798000000000002</v>
      </c>
      <c r="BJ86" s="21"/>
    </row>
    <row r="87" spans="1:62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31404.67</v>
      </c>
      <c r="F88" s="7">
        <v>5093.125</v>
      </c>
      <c r="G88" s="7">
        <v>7117.7529999999997</v>
      </c>
      <c r="H88" s="7">
        <v>6484.9840000000004</v>
      </c>
      <c r="I88" s="7">
        <v>970.34100000000001</v>
      </c>
      <c r="J88" s="7">
        <v>4266.848</v>
      </c>
      <c r="K88" s="7">
        <v>0</v>
      </c>
      <c r="L88" s="7">
        <v>23652.81</v>
      </c>
      <c r="M88" s="7">
        <v>17906.383999999998</v>
      </c>
      <c r="N88" s="7">
        <v>0</v>
      </c>
      <c r="O88" s="7">
        <v>0</v>
      </c>
      <c r="P88" s="7">
        <v>68.959999999999994</v>
      </c>
      <c r="Q88" s="7">
        <v>0</v>
      </c>
      <c r="R88" s="7">
        <v>111.181</v>
      </c>
      <c r="S88" s="7">
        <v>1807.654</v>
      </c>
      <c r="T88" s="7">
        <v>0</v>
      </c>
      <c r="U88" s="7">
        <v>0</v>
      </c>
      <c r="V88" s="7">
        <v>704.05799999999999</v>
      </c>
      <c r="W88" s="7">
        <v>1258.2049999999999</v>
      </c>
      <c r="X88" s="7">
        <v>0</v>
      </c>
      <c r="Y88" s="7">
        <v>3637.5390000000002</v>
      </c>
      <c r="Z88" s="7">
        <v>0</v>
      </c>
      <c r="AA88" s="7">
        <v>5518.299</v>
      </c>
      <c r="AB88" s="7">
        <v>0</v>
      </c>
      <c r="AC88" s="7">
        <v>664.72199999999998</v>
      </c>
      <c r="AD88" s="7">
        <v>0</v>
      </c>
      <c r="AE88" s="7">
        <v>5906.0060000000003</v>
      </c>
      <c r="AF88" s="7">
        <v>0</v>
      </c>
      <c r="AG88" s="7">
        <v>0</v>
      </c>
      <c r="AH88" s="7">
        <v>38986.536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279.79500000000002</v>
      </c>
      <c r="AP88" s="7">
        <v>0</v>
      </c>
      <c r="AQ88" s="7">
        <v>0</v>
      </c>
      <c r="AR88" s="7">
        <v>0</v>
      </c>
      <c r="AS88" s="7">
        <v>15.888999999999999</v>
      </c>
      <c r="AT88" s="7">
        <v>0</v>
      </c>
      <c r="AU88" s="7">
        <v>456.649</v>
      </c>
      <c r="AV88" s="7">
        <v>0</v>
      </c>
      <c r="AW88" s="7">
        <v>0</v>
      </c>
      <c r="AX88" s="7">
        <v>0</v>
      </c>
      <c r="AY88" s="7">
        <v>263.10599999999999</v>
      </c>
      <c r="AZ88" s="7">
        <v>0</v>
      </c>
      <c r="BA88" s="7">
        <v>0</v>
      </c>
      <c r="BB88" s="7">
        <v>84.644999999999996</v>
      </c>
      <c r="BC88" s="7">
        <v>169.42699999999999</v>
      </c>
      <c r="BD88" s="7">
        <v>0</v>
      </c>
      <c r="BE88" s="7">
        <v>22.167000000000002</v>
      </c>
      <c r="BF88" s="7">
        <v>22.167000000000002</v>
      </c>
      <c r="BG88" s="7">
        <v>0</v>
      </c>
      <c r="BH88" s="7">
        <v>0</v>
      </c>
      <c r="BI88" s="7">
        <v>79.34</v>
      </c>
      <c r="BJ88" s="21"/>
    </row>
    <row r="89" spans="1:62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58438.675999999999</v>
      </c>
      <c r="F91" s="7">
        <v>8663.8410000000003</v>
      </c>
      <c r="G91" s="7">
        <v>15218.802</v>
      </c>
      <c r="H91" s="7">
        <v>0</v>
      </c>
      <c r="I91" s="7">
        <v>1516.6890000000001</v>
      </c>
      <c r="J91" s="7">
        <v>9356.2890000000007</v>
      </c>
      <c r="K91" s="7">
        <v>0</v>
      </c>
      <c r="L91" s="7">
        <v>25075.629000000001</v>
      </c>
      <c r="M91" s="7">
        <v>36144.436000000002</v>
      </c>
      <c r="N91" s="7">
        <v>0</v>
      </c>
      <c r="O91" s="7">
        <v>0</v>
      </c>
      <c r="P91" s="7">
        <v>1.095</v>
      </c>
      <c r="Q91" s="7">
        <v>0</v>
      </c>
      <c r="R91" s="7">
        <v>139.453</v>
      </c>
      <c r="S91" s="7">
        <v>3663.5650000000001</v>
      </c>
      <c r="T91" s="7">
        <v>0</v>
      </c>
      <c r="U91" s="7">
        <v>0</v>
      </c>
      <c r="V91" s="7">
        <v>1426.912</v>
      </c>
      <c r="W91" s="7">
        <v>2550</v>
      </c>
      <c r="X91" s="7">
        <v>0</v>
      </c>
      <c r="Y91" s="7">
        <v>7146.6310000000003</v>
      </c>
      <c r="Z91" s="7">
        <v>0</v>
      </c>
      <c r="AA91" s="7">
        <v>11183.915999999999</v>
      </c>
      <c r="AB91" s="7">
        <v>0</v>
      </c>
      <c r="AC91" s="7">
        <v>1347.19</v>
      </c>
      <c r="AD91" s="7">
        <v>0</v>
      </c>
      <c r="AE91" s="7">
        <v>14018.436</v>
      </c>
      <c r="AF91" s="7">
        <v>0</v>
      </c>
      <c r="AG91" s="7">
        <v>0</v>
      </c>
      <c r="AH91" s="7">
        <v>59715.167000000001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567.05899999999997</v>
      </c>
      <c r="AP91" s="7">
        <v>0</v>
      </c>
      <c r="AQ91" s="7">
        <v>0</v>
      </c>
      <c r="AR91" s="7">
        <v>0</v>
      </c>
      <c r="AS91" s="7">
        <v>32.201999999999998</v>
      </c>
      <c r="AT91" s="7">
        <v>0</v>
      </c>
      <c r="AU91" s="7">
        <v>925.48800000000006</v>
      </c>
      <c r="AV91" s="7">
        <v>0</v>
      </c>
      <c r="AW91" s="7">
        <v>0</v>
      </c>
      <c r="AX91" s="7">
        <v>0</v>
      </c>
      <c r="AY91" s="7">
        <v>533.23500000000001</v>
      </c>
      <c r="AZ91" s="7">
        <v>0</v>
      </c>
      <c r="BA91" s="7">
        <v>0</v>
      </c>
      <c r="BB91" s="7">
        <v>171.55</v>
      </c>
      <c r="BC91" s="7">
        <v>343.37799999999999</v>
      </c>
      <c r="BD91" s="7">
        <v>0</v>
      </c>
      <c r="BE91" s="7">
        <v>44.926000000000002</v>
      </c>
      <c r="BF91" s="7">
        <v>44.926000000000002</v>
      </c>
      <c r="BG91" s="7">
        <v>0</v>
      </c>
      <c r="BH91" s="7">
        <v>0</v>
      </c>
      <c r="BI91" s="7">
        <v>160.798</v>
      </c>
      <c r="BJ91" s="21"/>
    </row>
    <row r="92" spans="1:62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73020.191999999995</v>
      </c>
      <c r="F92" s="7">
        <v>10968.56</v>
      </c>
      <c r="G92" s="7">
        <v>17822.441999999999</v>
      </c>
      <c r="H92" s="7">
        <v>0</v>
      </c>
      <c r="I92" s="7">
        <v>1975.2619999999999</v>
      </c>
      <c r="J92" s="7">
        <v>10096.584000000001</v>
      </c>
      <c r="K92" s="7">
        <v>0</v>
      </c>
      <c r="L92" s="7">
        <v>31367.794999999998</v>
      </c>
      <c r="M92" s="7">
        <v>44620.923000000003</v>
      </c>
      <c r="N92" s="7">
        <v>0</v>
      </c>
      <c r="O92" s="7">
        <v>0</v>
      </c>
      <c r="P92" s="7">
        <v>1.427</v>
      </c>
      <c r="Q92" s="7">
        <v>0</v>
      </c>
      <c r="R92" s="7">
        <v>0</v>
      </c>
      <c r="S92" s="7">
        <v>4771.2479999999996</v>
      </c>
      <c r="T92" s="7">
        <v>0</v>
      </c>
      <c r="U92" s="7">
        <v>0</v>
      </c>
      <c r="V92" s="7">
        <v>1858.3409999999999</v>
      </c>
      <c r="W92" s="7">
        <v>3320.9949999999999</v>
      </c>
      <c r="X92" s="7">
        <v>0</v>
      </c>
      <c r="Y92" s="7">
        <v>9307.4220000000005</v>
      </c>
      <c r="Z92" s="7">
        <v>0</v>
      </c>
      <c r="AA92" s="7">
        <v>14565.384</v>
      </c>
      <c r="AB92" s="7">
        <v>0</v>
      </c>
      <c r="AC92" s="7">
        <v>1754.5139999999999</v>
      </c>
      <c r="AD92" s="7">
        <v>0</v>
      </c>
      <c r="AE92" s="7">
        <v>12596.546</v>
      </c>
      <c r="AF92" s="7">
        <v>0</v>
      </c>
      <c r="AG92" s="7">
        <v>0</v>
      </c>
      <c r="AH92" s="7">
        <v>71716.23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738.51</v>
      </c>
      <c r="AP92" s="7">
        <v>0</v>
      </c>
      <c r="AQ92" s="7">
        <v>0</v>
      </c>
      <c r="AR92" s="7">
        <v>0</v>
      </c>
      <c r="AS92" s="7">
        <v>41.939</v>
      </c>
      <c r="AT92" s="7">
        <v>0</v>
      </c>
      <c r="AU92" s="7">
        <v>1205.3109999999999</v>
      </c>
      <c r="AV92" s="7">
        <v>0</v>
      </c>
      <c r="AW92" s="7">
        <v>0</v>
      </c>
      <c r="AX92" s="7">
        <v>0</v>
      </c>
      <c r="AY92" s="7">
        <v>694.45899999999995</v>
      </c>
      <c r="AZ92" s="7">
        <v>0</v>
      </c>
      <c r="BA92" s="7">
        <v>0</v>
      </c>
      <c r="BB92" s="7">
        <v>223.41900000000001</v>
      </c>
      <c r="BC92" s="7">
        <v>447.19900000000001</v>
      </c>
      <c r="BD92" s="7">
        <v>0</v>
      </c>
      <c r="BE92" s="7">
        <v>58.509</v>
      </c>
      <c r="BF92" s="7">
        <v>58.509</v>
      </c>
      <c r="BG92" s="7">
        <v>0</v>
      </c>
      <c r="BH92" s="7">
        <v>0</v>
      </c>
      <c r="BI92" s="7">
        <v>209.41499999999999</v>
      </c>
      <c r="BJ92" s="21"/>
    </row>
    <row r="93" spans="1:62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7425.424</v>
      </c>
      <c r="F93" s="7">
        <v>2585.6669999999999</v>
      </c>
      <c r="G93" s="7">
        <v>5937.277</v>
      </c>
      <c r="H93" s="7">
        <v>0</v>
      </c>
      <c r="I93" s="7">
        <v>310.87700000000001</v>
      </c>
      <c r="J93" s="7">
        <v>2045.973</v>
      </c>
      <c r="K93" s="7">
        <v>0</v>
      </c>
      <c r="L93" s="7">
        <v>14987.398999999999</v>
      </c>
      <c r="M93" s="7">
        <v>2571.6109999999999</v>
      </c>
      <c r="N93" s="7">
        <v>0</v>
      </c>
      <c r="O93" s="7">
        <v>0</v>
      </c>
      <c r="P93" s="7">
        <v>0.249</v>
      </c>
      <c r="Q93" s="7">
        <v>0</v>
      </c>
      <c r="R93" s="7">
        <v>0</v>
      </c>
      <c r="S93" s="7">
        <v>1022.327</v>
      </c>
      <c r="T93" s="7">
        <v>0</v>
      </c>
      <c r="U93" s="7">
        <v>0</v>
      </c>
      <c r="V93" s="7">
        <v>312.97399999999999</v>
      </c>
      <c r="W93" s="7">
        <v>353.04199999999997</v>
      </c>
      <c r="X93" s="7">
        <v>0</v>
      </c>
      <c r="Y93" s="7">
        <v>4169.0709999999999</v>
      </c>
      <c r="Z93" s="7">
        <v>0</v>
      </c>
      <c r="AA93" s="7">
        <v>3432.451</v>
      </c>
      <c r="AB93" s="7">
        <v>0</v>
      </c>
      <c r="AC93" s="7">
        <v>973.60799999999995</v>
      </c>
      <c r="AD93" s="7">
        <v>0</v>
      </c>
      <c r="AE93" s="7">
        <v>8749.402</v>
      </c>
      <c r="AF93" s="7">
        <v>1640.3340000000001</v>
      </c>
      <c r="AG93" s="7">
        <v>0</v>
      </c>
      <c r="AH93" s="7">
        <v>26857.227999999999</v>
      </c>
      <c r="AI93" s="7">
        <v>3015.8409999999999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402.29899999999998</v>
      </c>
      <c r="AP93" s="7">
        <v>0</v>
      </c>
      <c r="AQ93" s="7">
        <v>559.63900000000001</v>
      </c>
      <c r="AR93" s="7">
        <v>0</v>
      </c>
      <c r="AS93" s="7">
        <v>4.4619999999999997</v>
      </c>
      <c r="AT93" s="7">
        <v>0</v>
      </c>
      <c r="AU93" s="7">
        <v>304.96199999999999</v>
      </c>
      <c r="AV93" s="7">
        <v>0</v>
      </c>
      <c r="AW93" s="7">
        <v>0</v>
      </c>
      <c r="AX93" s="7">
        <v>0</v>
      </c>
      <c r="AY93" s="7">
        <v>48.783000000000001</v>
      </c>
      <c r="AZ93" s="7">
        <v>244.83500000000001</v>
      </c>
      <c r="BA93" s="7">
        <v>0</v>
      </c>
      <c r="BB93" s="7">
        <v>115.35</v>
      </c>
      <c r="BC93" s="7">
        <v>15.526999999999999</v>
      </c>
      <c r="BD93" s="7">
        <v>273.57600000000002</v>
      </c>
      <c r="BE93" s="7">
        <v>31.225999999999999</v>
      </c>
      <c r="BF93" s="7">
        <v>31.225999999999999</v>
      </c>
      <c r="BG93" s="7">
        <v>97.471000000000004</v>
      </c>
      <c r="BH93" s="7">
        <v>0</v>
      </c>
      <c r="BI93" s="7">
        <v>7.3890000000000002</v>
      </c>
      <c r="BJ93" s="21"/>
    </row>
    <row r="94" spans="1:62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19052.238000000001</v>
      </c>
      <c r="F94" s="7">
        <v>14085.335999999999</v>
      </c>
      <c r="G94" s="7">
        <v>21892.506000000001</v>
      </c>
      <c r="H94" s="7">
        <v>924.09</v>
      </c>
      <c r="I94" s="7">
        <v>1469.12</v>
      </c>
      <c r="J94" s="7">
        <v>10480.129999999999</v>
      </c>
      <c r="K94" s="7">
        <v>0</v>
      </c>
      <c r="L94" s="7">
        <v>51681.341999999997</v>
      </c>
      <c r="M94" s="7">
        <v>9223.9459999999999</v>
      </c>
      <c r="N94" s="7">
        <v>0</v>
      </c>
      <c r="O94" s="7">
        <v>0</v>
      </c>
      <c r="P94" s="7">
        <v>0.19400000000000001</v>
      </c>
      <c r="Q94" s="7">
        <v>0</v>
      </c>
      <c r="R94" s="7">
        <v>0</v>
      </c>
      <c r="S94" s="7">
        <v>5752.0290000000005</v>
      </c>
      <c r="T94" s="7">
        <v>0</v>
      </c>
      <c r="U94" s="7">
        <v>0</v>
      </c>
      <c r="V94" s="7">
        <v>1477.4380000000001</v>
      </c>
      <c r="W94" s="7">
        <v>544.58900000000006</v>
      </c>
      <c r="X94" s="7">
        <v>0</v>
      </c>
      <c r="Y94" s="7">
        <v>12800.182000000001</v>
      </c>
      <c r="Z94" s="7">
        <v>0</v>
      </c>
      <c r="AA94" s="7">
        <v>21133.56</v>
      </c>
      <c r="AB94" s="7">
        <v>0</v>
      </c>
      <c r="AC94" s="7">
        <v>4631.0029999999997</v>
      </c>
      <c r="AD94" s="7">
        <v>0</v>
      </c>
      <c r="AE94" s="7">
        <v>24177.030999999999</v>
      </c>
      <c r="AF94" s="7">
        <v>2680.16</v>
      </c>
      <c r="AG94" s="7">
        <v>0</v>
      </c>
      <c r="AH94" s="7">
        <v>85205.014999999999</v>
      </c>
      <c r="AI94" s="7">
        <v>4725.74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2326.2339999999999</v>
      </c>
      <c r="AP94" s="7">
        <v>0</v>
      </c>
      <c r="AQ94" s="7">
        <v>893.10599999999999</v>
      </c>
      <c r="AR94" s="7">
        <v>0</v>
      </c>
      <c r="AS94" s="7">
        <v>20.454000000000001</v>
      </c>
      <c r="AT94" s="7">
        <v>0</v>
      </c>
      <c r="AU94" s="7">
        <v>22.611000000000001</v>
      </c>
      <c r="AV94" s="7">
        <v>0</v>
      </c>
      <c r="AW94" s="7">
        <v>0</v>
      </c>
      <c r="AX94" s="7">
        <v>0</v>
      </c>
      <c r="AY94" s="7">
        <v>36.593000000000004</v>
      </c>
      <c r="AZ94" s="7">
        <v>383.64299999999997</v>
      </c>
      <c r="BA94" s="7">
        <v>0</v>
      </c>
      <c r="BB94" s="7">
        <v>656.00800000000004</v>
      </c>
      <c r="BC94" s="7">
        <v>0</v>
      </c>
      <c r="BD94" s="7">
        <v>428.67899999999997</v>
      </c>
      <c r="BE94" s="7">
        <v>178.69800000000001</v>
      </c>
      <c r="BF94" s="7">
        <v>178.69800000000001</v>
      </c>
      <c r="BG94" s="7">
        <v>152.732</v>
      </c>
      <c r="BH94" s="7">
        <v>0</v>
      </c>
      <c r="BI94" s="7">
        <v>0</v>
      </c>
      <c r="BJ94" s="21"/>
    </row>
    <row r="95" spans="1:62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62479.245999999999</v>
      </c>
      <c r="F95" s="7">
        <v>31328.778999999999</v>
      </c>
      <c r="G95" s="7">
        <v>4665.5320000000002</v>
      </c>
      <c r="H95" s="7">
        <v>7640.25</v>
      </c>
      <c r="I95" s="7">
        <v>2732.587</v>
      </c>
      <c r="J95" s="7">
        <v>21029.831999999999</v>
      </c>
      <c r="K95" s="7">
        <v>0</v>
      </c>
      <c r="L95" s="7">
        <v>100685.677</v>
      </c>
      <c r="M95" s="7">
        <v>37709.978999999999</v>
      </c>
      <c r="N95" s="7">
        <v>0</v>
      </c>
      <c r="O95" s="7">
        <v>0</v>
      </c>
      <c r="P95" s="7">
        <v>0.83899999999999997</v>
      </c>
      <c r="Q95" s="7">
        <v>0</v>
      </c>
      <c r="R95" s="7">
        <v>0</v>
      </c>
      <c r="S95" s="7">
        <v>12338.841</v>
      </c>
      <c r="T95" s="7">
        <v>0</v>
      </c>
      <c r="U95" s="7">
        <v>0</v>
      </c>
      <c r="V95" s="7">
        <v>2150.7939999999999</v>
      </c>
      <c r="W95" s="7">
        <v>736.87300000000005</v>
      </c>
      <c r="X95" s="7">
        <v>0</v>
      </c>
      <c r="Y95" s="7">
        <v>9519.1010000000006</v>
      </c>
      <c r="Z95" s="7">
        <v>0</v>
      </c>
      <c r="AA95" s="7">
        <v>45992.94</v>
      </c>
      <c r="AB95" s="7">
        <v>0</v>
      </c>
      <c r="AC95" s="7">
        <v>5627.6509999999998</v>
      </c>
      <c r="AD95" s="7">
        <v>0</v>
      </c>
      <c r="AE95" s="7">
        <v>18842.788</v>
      </c>
      <c r="AF95" s="7">
        <v>9332.3760000000002</v>
      </c>
      <c r="AG95" s="7">
        <v>0</v>
      </c>
      <c r="AH95" s="7">
        <v>169635.72</v>
      </c>
      <c r="AI95" s="7">
        <v>16264.954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4293.3410000000003</v>
      </c>
      <c r="AP95" s="7">
        <v>0</v>
      </c>
      <c r="AQ95" s="7">
        <v>3089.7530000000002</v>
      </c>
      <c r="AR95" s="7">
        <v>0</v>
      </c>
      <c r="AS95" s="7">
        <v>52.298000000000002</v>
      </c>
      <c r="AT95" s="7">
        <v>0</v>
      </c>
      <c r="AU95" s="7">
        <v>209.059</v>
      </c>
      <c r="AV95" s="7">
        <v>0</v>
      </c>
      <c r="AW95" s="7">
        <v>0</v>
      </c>
      <c r="AX95" s="7">
        <v>0</v>
      </c>
      <c r="AY95" s="7">
        <v>200.91300000000001</v>
      </c>
      <c r="AZ95" s="7">
        <v>1320.4069999999999</v>
      </c>
      <c r="BA95" s="7">
        <v>0</v>
      </c>
      <c r="BB95" s="7">
        <v>1187.58</v>
      </c>
      <c r="BC95" s="7">
        <v>48.276000000000003</v>
      </c>
      <c r="BD95" s="7">
        <v>1475.412</v>
      </c>
      <c r="BE95" s="7">
        <v>326.346</v>
      </c>
      <c r="BF95" s="7">
        <v>326.346</v>
      </c>
      <c r="BG95" s="7">
        <v>525.66600000000005</v>
      </c>
      <c r="BH95" s="7">
        <v>0</v>
      </c>
      <c r="BI95" s="7">
        <v>22.606999999999999</v>
      </c>
      <c r="BJ95" s="21"/>
    </row>
    <row r="96" spans="1:62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0.54700000000000004</v>
      </c>
      <c r="F99" s="7">
        <v>0.38200000000000001</v>
      </c>
      <c r="G99" s="7">
        <v>2.7E-2</v>
      </c>
      <c r="H99" s="7">
        <v>5.8999999999999997E-2</v>
      </c>
      <c r="I99" s="7">
        <v>3.4000000000000002E-2</v>
      </c>
      <c r="J99" s="7">
        <v>0.28399999999999997</v>
      </c>
      <c r="K99" s="7">
        <v>0</v>
      </c>
      <c r="L99" s="7">
        <v>0.8</v>
      </c>
      <c r="M99" s="7">
        <v>0.35099999999999998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0.153</v>
      </c>
      <c r="T99" s="7">
        <v>0</v>
      </c>
      <c r="U99" s="7">
        <v>0</v>
      </c>
      <c r="V99" s="7">
        <v>2.7E-2</v>
      </c>
      <c r="W99" s="7">
        <v>0</v>
      </c>
      <c r="X99" s="7">
        <v>0</v>
      </c>
      <c r="Y99" s="7">
        <v>1.7000000000000001E-2</v>
      </c>
      <c r="Z99" s="7">
        <v>0</v>
      </c>
      <c r="AA99" s="7">
        <v>0.63300000000000001</v>
      </c>
      <c r="AB99" s="7">
        <v>0</v>
      </c>
      <c r="AC99" s="7">
        <v>6.7000000000000004E-2</v>
      </c>
      <c r="AD99" s="7">
        <v>0</v>
      </c>
      <c r="AE99" s="7">
        <v>1E-3</v>
      </c>
      <c r="AF99" s="7">
        <v>7.0000000000000001E-3</v>
      </c>
      <c r="AG99" s="7">
        <v>0</v>
      </c>
      <c r="AH99" s="7">
        <v>1.3169999999999999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5.6000000000000001E-2</v>
      </c>
      <c r="AP99" s="7">
        <v>0</v>
      </c>
      <c r="AQ99" s="7">
        <v>1E-3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1.4999999999999999E-2</v>
      </c>
      <c r="BC99" s="7">
        <v>0</v>
      </c>
      <c r="BD99" s="7">
        <v>0</v>
      </c>
      <c r="BE99" s="7">
        <v>4.0000000000000001E-3</v>
      </c>
      <c r="BF99" s="7">
        <v>4.0000000000000001E-3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1830.5029999999999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330628.913</v>
      </c>
      <c r="F104" s="7">
        <v>70631.55</v>
      </c>
      <c r="G104" s="7">
        <v>0</v>
      </c>
      <c r="H104" s="7">
        <v>1983.4179999999999</v>
      </c>
      <c r="I104" s="7">
        <v>2720.1909999999998</v>
      </c>
      <c r="J104" s="7">
        <v>0</v>
      </c>
      <c r="K104" s="7">
        <v>0</v>
      </c>
      <c r="L104" s="7">
        <v>822801.179</v>
      </c>
      <c r="M104" s="7">
        <v>68110.081999999995</v>
      </c>
      <c r="N104" s="7">
        <v>0</v>
      </c>
      <c r="O104" s="7">
        <v>41.506</v>
      </c>
      <c r="P104" s="7">
        <v>12.148999999999999</v>
      </c>
      <c r="Q104" s="7">
        <v>58.084000000000003</v>
      </c>
      <c r="R104" s="7">
        <v>0</v>
      </c>
      <c r="S104" s="7">
        <v>21453.824000000001</v>
      </c>
      <c r="T104" s="7">
        <v>0</v>
      </c>
      <c r="U104" s="7">
        <v>0</v>
      </c>
      <c r="V104" s="7">
        <v>0</v>
      </c>
      <c r="W104" s="7">
        <v>6491.6049999999996</v>
      </c>
      <c r="X104" s="7">
        <v>0</v>
      </c>
      <c r="Y104" s="7">
        <v>137511.141</v>
      </c>
      <c r="Z104" s="7">
        <v>0</v>
      </c>
      <c r="AA104" s="7">
        <v>0</v>
      </c>
      <c r="AB104" s="7">
        <v>2589.5929999999998</v>
      </c>
      <c r="AC104" s="7">
        <v>12814.897999999999</v>
      </c>
      <c r="AD104" s="7">
        <v>0</v>
      </c>
      <c r="AE104" s="7">
        <v>333820.527</v>
      </c>
      <c r="AF104" s="7">
        <v>176685.63099999999</v>
      </c>
      <c r="AG104" s="7">
        <v>0</v>
      </c>
      <c r="AH104" s="7">
        <v>1381358.7239999999</v>
      </c>
      <c r="AI104" s="7">
        <v>324845.77799999999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5209.0219999999999</v>
      </c>
      <c r="AP104" s="7">
        <v>0</v>
      </c>
      <c r="AQ104" s="7">
        <v>60280.542999999998</v>
      </c>
      <c r="AR104" s="7">
        <v>0</v>
      </c>
      <c r="AS104" s="7">
        <v>206.84100000000001</v>
      </c>
      <c r="AT104" s="7">
        <v>0</v>
      </c>
      <c r="AU104" s="7">
        <v>1475.981</v>
      </c>
      <c r="AV104" s="7">
        <v>0</v>
      </c>
      <c r="AW104" s="7">
        <v>0</v>
      </c>
      <c r="AX104" s="7">
        <v>0</v>
      </c>
      <c r="AY104" s="7">
        <v>2515.433</v>
      </c>
      <c r="AZ104" s="7">
        <v>26371.929</v>
      </c>
      <c r="BA104" s="7">
        <v>0</v>
      </c>
      <c r="BB104" s="7">
        <v>1602.008</v>
      </c>
      <c r="BC104" s="7">
        <v>0</v>
      </c>
      <c r="BD104" s="7">
        <v>29467.776999999998</v>
      </c>
      <c r="BE104" s="7">
        <v>418.31299999999999</v>
      </c>
      <c r="BF104" s="7">
        <v>418.31299999999999</v>
      </c>
      <c r="BG104" s="7">
        <v>10498.897000000001</v>
      </c>
      <c r="BH104" s="7">
        <v>0</v>
      </c>
      <c r="BI104" s="7">
        <v>0</v>
      </c>
      <c r="BJ104" s="21"/>
    </row>
    <row r="105" spans="1:62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181129.32399999999</v>
      </c>
      <c r="F105" s="7">
        <v>36936.455000000002</v>
      </c>
      <c r="G105" s="7">
        <v>0</v>
      </c>
      <c r="H105" s="7">
        <v>2819.2809999999999</v>
      </c>
      <c r="I105" s="7">
        <v>1505.93</v>
      </c>
      <c r="J105" s="7">
        <v>0</v>
      </c>
      <c r="K105" s="7">
        <v>0</v>
      </c>
      <c r="L105" s="7">
        <v>449172.68</v>
      </c>
      <c r="M105" s="7">
        <v>37706.548000000003</v>
      </c>
      <c r="N105" s="7">
        <v>0</v>
      </c>
      <c r="O105" s="7">
        <v>0</v>
      </c>
      <c r="P105" s="7">
        <v>6.726</v>
      </c>
      <c r="Q105" s="7">
        <v>0</v>
      </c>
      <c r="R105" s="7">
        <v>0</v>
      </c>
      <c r="S105" s="7">
        <v>11877.091</v>
      </c>
      <c r="T105" s="7">
        <v>0</v>
      </c>
      <c r="U105" s="7">
        <v>0</v>
      </c>
      <c r="V105" s="7">
        <v>0</v>
      </c>
      <c r="W105" s="7">
        <v>3593.8290000000002</v>
      </c>
      <c r="X105" s="7">
        <v>0</v>
      </c>
      <c r="Y105" s="7">
        <v>76127.794999999998</v>
      </c>
      <c r="Z105" s="7">
        <v>0</v>
      </c>
      <c r="AA105" s="7">
        <v>0</v>
      </c>
      <c r="AB105" s="7">
        <v>5.0000000000000001E-3</v>
      </c>
      <c r="AC105" s="7">
        <v>7094.4790000000003</v>
      </c>
      <c r="AD105" s="7">
        <v>0</v>
      </c>
      <c r="AE105" s="7">
        <v>183528.073</v>
      </c>
      <c r="AF105" s="7">
        <v>97815.255999999994</v>
      </c>
      <c r="AG105" s="7">
        <v>0</v>
      </c>
      <c r="AH105" s="7">
        <v>758660.64599999995</v>
      </c>
      <c r="AI105" s="7">
        <v>179838.467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2883.7759999999998</v>
      </c>
      <c r="AP105" s="7">
        <v>0</v>
      </c>
      <c r="AQ105" s="7">
        <v>33372.021999999997</v>
      </c>
      <c r="AR105" s="7">
        <v>0</v>
      </c>
      <c r="AS105" s="7">
        <v>114.509</v>
      </c>
      <c r="AT105" s="7">
        <v>0</v>
      </c>
      <c r="AU105" s="7">
        <v>817.12099999999998</v>
      </c>
      <c r="AV105" s="7">
        <v>0</v>
      </c>
      <c r="AW105" s="7">
        <v>0</v>
      </c>
      <c r="AX105" s="7">
        <v>0</v>
      </c>
      <c r="AY105" s="7">
        <v>1392.5740000000001</v>
      </c>
      <c r="AZ105" s="7">
        <v>14599.812</v>
      </c>
      <c r="BA105" s="7">
        <v>0</v>
      </c>
      <c r="BB105" s="7">
        <v>886.89099999999996</v>
      </c>
      <c r="BC105" s="7">
        <v>0</v>
      </c>
      <c r="BD105" s="7">
        <v>16313.71</v>
      </c>
      <c r="BE105" s="7">
        <v>231.583</v>
      </c>
      <c r="BF105" s="7">
        <v>231.583</v>
      </c>
      <c r="BG105" s="7">
        <v>5812.3130000000001</v>
      </c>
      <c r="BH105" s="7">
        <v>0</v>
      </c>
      <c r="BI105" s="7">
        <v>0</v>
      </c>
      <c r="BJ105" s="21"/>
    </row>
    <row r="106" spans="1:62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75343.335000000006</v>
      </c>
      <c r="F106" s="7">
        <v>15519.931</v>
      </c>
      <c r="G106" s="7">
        <v>160.11699999999999</v>
      </c>
      <c r="H106" s="7">
        <v>3.8650000000000002</v>
      </c>
      <c r="I106" s="7">
        <v>764.90499999999997</v>
      </c>
      <c r="J106" s="7">
        <v>90.707999999999998</v>
      </c>
      <c r="K106" s="7">
        <v>0</v>
      </c>
      <c r="L106" s="7">
        <v>180049.139</v>
      </c>
      <c r="M106" s="7">
        <v>19581.069</v>
      </c>
      <c r="N106" s="7">
        <v>0</v>
      </c>
      <c r="O106" s="7">
        <v>83.614000000000004</v>
      </c>
      <c r="P106" s="7">
        <v>2.488</v>
      </c>
      <c r="Q106" s="7">
        <v>117.012</v>
      </c>
      <c r="R106" s="7">
        <v>0</v>
      </c>
      <c r="S106" s="7">
        <v>4413.8879999999999</v>
      </c>
      <c r="T106" s="7">
        <v>0</v>
      </c>
      <c r="U106" s="7">
        <v>0</v>
      </c>
      <c r="V106" s="7">
        <v>16.695</v>
      </c>
      <c r="W106" s="7">
        <v>1352.442</v>
      </c>
      <c r="X106" s="7">
        <v>0</v>
      </c>
      <c r="Y106" s="7">
        <v>28100.269</v>
      </c>
      <c r="Z106" s="7">
        <v>0</v>
      </c>
      <c r="AA106" s="7">
        <v>130.85599999999999</v>
      </c>
      <c r="AB106" s="7">
        <v>5216.8059999999996</v>
      </c>
      <c r="AC106" s="7">
        <v>2626.6819999999998</v>
      </c>
      <c r="AD106" s="7">
        <v>0</v>
      </c>
      <c r="AE106" s="7">
        <v>72309.266000000003</v>
      </c>
      <c r="AF106" s="7">
        <v>36001.417999999998</v>
      </c>
      <c r="AG106" s="7">
        <v>0</v>
      </c>
      <c r="AH106" s="7">
        <v>295963.99400000001</v>
      </c>
      <c r="AI106" s="7">
        <v>66195.907999999996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1067.9259999999999</v>
      </c>
      <c r="AP106" s="7">
        <v>0</v>
      </c>
      <c r="AQ106" s="7">
        <v>12281.615</v>
      </c>
      <c r="AR106" s="7">
        <v>0</v>
      </c>
      <c r="AS106" s="7">
        <v>42.518999999999998</v>
      </c>
      <c r="AT106" s="7">
        <v>0</v>
      </c>
      <c r="AU106" s="7">
        <v>311.54599999999999</v>
      </c>
      <c r="AV106" s="7">
        <v>0</v>
      </c>
      <c r="AW106" s="7">
        <v>0</v>
      </c>
      <c r="AX106" s="7">
        <v>0</v>
      </c>
      <c r="AY106" s="7">
        <v>518.73599999999999</v>
      </c>
      <c r="AZ106" s="7">
        <v>5373.0420000000004</v>
      </c>
      <c r="BA106" s="7">
        <v>0</v>
      </c>
      <c r="BB106" s="7">
        <v>328.40199999999999</v>
      </c>
      <c r="BC106" s="7">
        <v>4.0179999999999998</v>
      </c>
      <c r="BD106" s="7">
        <v>6003.7929999999997</v>
      </c>
      <c r="BE106" s="7">
        <v>85.753</v>
      </c>
      <c r="BF106" s="7">
        <v>85.753</v>
      </c>
      <c r="BG106" s="7">
        <v>2139.0549999999998</v>
      </c>
      <c r="BH106" s="7">
        <v>0</v>
      </c>
      <c r="BI106" s="7">
        <v>1.881</v>
      </c>
      <c r="BJ106" s="21"/>
    </row>
    <row r="107" spans="1:62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550.572</v>
      </c>
      <c r="F107" s="7">
        <v>98.356999999999999</v>
      </c>
      <c r="G107" s="7">
        <v>1.698</v>
      </c>
      <c r="H107" s="7">
        <v>0</v>
      </c>
      <c r="I107" s="7">
        <v>4.1559999999999997</v>
      </c>
      <c r="J107" s="7">
        <v>0.96199999999999997</v>
      </c>
      <c r="K107" s="7">
        <v>0</v>
      </c>
      <c r="L107" s="7">
        <v>1259.82</v>
      </c>
      <c r="M107" s="7">
        <v>103.592</v>
      </c>
      <c r="N107" s="7">
        <v>0</v>
      </c>
      <c r="O107" s="7">
        <v>2.5910000000000002</v>
      </c>
      <c r="P107" s="7">
        <v>1.7999999999999999E-2</v>
      </c>
      <c r="Q107" s="7">
        <v>3.6259999999999999</v>
      </c>
      <c r="R107" s="7">
        <v>0</v>
      </c>
      <c r="S107" s="7">
        <v>31.745999999999999</v>
      </c>
      <c r="T107" s="7">
        <v>0</v>
      </c>
      <c r="U107" s="7">
        <v>0</v>
      </c>
      <c r="V107" s="7">
        <v>0.17699999999999999</v>
      </c>
      <c r="W107" s="7">
        <v>9.7850000000000001</v>
      </c>
      <c r="X107" s="7">
        <v>0</v>
      </c>
      <c r="Y107" s="7">
        <v>201.45099999999999</v>
      </c>
      <c r="Z107" s="7">
        <v>0</v>
      </c>
      <c r="AA107" s="7">
        <v>1.3879999999999999</v>
      </c>
      <c r="AB107" s="7">
        <v>161.65600000000001</v>
      </c>
      <c r="AC107" s="7">
        <v>18.858000000000001</v>
      </c>
      <c r="AD107" s="7">
        <v>0</v>
      </c>
      <c r="AE107" s="7">
        <v>628.92899999999997</v>
      </c>
      <c r="AF107" s="7">
        <v>257.70100000000002</v>
      </c>
      <c r="AG107" s="7">
        <v>0</v>
      </c>
      <c r="AH107" s="7">
        <v>2005.577</v>
      </c>
      <c r="AI107" s="7">
        <v>473.79700000000003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7.6680000000000001</v>
      </c>
      <c r="AP107" s="7">
        <v>0</v>
      </c>
      <c r="AQ107" s="7">
        <v>87.921000000000006</v>
      </c>
      <c r="AR107" s="7">
        <v>0</v>
      </c>
      <c r="AS107" s="7">
        <v>0.30599999999999999</v>
      </c>
      <c r="AT107" s="7">
        <v>0</v>
      </c>
      <c r="AU107" s="7">
        <v>2.2679999999999998</v>
      </c>
      <c r="AV107" s="7">
        <v>0</v>
      </c>
      <c r="AW107" s="7">
        <v>0</v>
      </c>
      <c r="AX107" s="7">
        <v>0</v>
      </c>
      <c r="AY107" s="7">
        <v>3.7349999999999999</v>
      </c>
      <c r="AZ107" s="7">
        <v>38.463999999999999</v>
      </c>
      <c r="BA107" s="7">
        <v>0</v>
      </c>
      <c r="BB107" s="7">
        <v>2.3580000000000001</v>
      </c>
      <c r="BC107" s="7">
        <v>4.2999999999999997E-2</v>
      </c>
      <c r="BD107" s="7">
        <v>42.98</v>
      </c>
      <c r="BE107" s="7">
        <v>0.61599999999999999</v>
      </c>
      <c r="BF107" s="7">
        <v>0.61599999999999999</v>
      </c>
      <c r="BG107" s="7">
        <v>15.313000000000001</v>
      </c>
      <c r="BH107" s="7">
        <v>0</v>
      </c>
      <c r="BI107" s="7">
        <v>0.02</v>
      </c>
      <c r="BJ107" s="21"/>
    </row>
    <row r="108" spans="1:62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91700.589000000007</v>
      </c>
      <c r="F110" s="7">
        <v>578.20899999999995</v>
      </c>
      <c r="G110" s="7">
        <v>0</v>
      </c>
      <c r="H110" s="7">
        <v>9966.7739999999994</v>
      </c>
      <c r="I110" s="7">
        <v>0.05</v>
      </c>
      <c r="J110" s="7">
        <v>0</v>
      </c>
      <c r="K110" s="7">
        <v>0</v>
      </c>
      <c r="L110" s="7">
        <v>138616.31299999999</v>
      </c>
      <c r="M110" s="7">
        <v>22437.93</v>
      </c>
      <c r="N110" s="7">
        <v>0</v>
      </c>
      <c r="O110" s="7">
        <v>0</v>
      </c>
      <c r="P110" s="7">
        <v>0</v>
      </c>
      <c r="Q110" s="7">
        <v>0</v>
      </c>
      <c r="R110" s="7">
        <v>3.0000000000000001E-3</v>
      </c>
      <c r="S110" s="7">
        <v>0.39700000000000002</v>
      </c>
      <c r="T110" s="7">
        <v>0</v>
      </c>
      <c r="U110" s="7">
        <v>0</v>
      </c>
      <c r="V110" s="7">
        <v>0</v>
      </c>
      <c r="W110" s="7">
        <v>0.12</v>
      </c>
      <c r="X110" s="7">
        <v>0</v>
      </c>
      <c r="Y110" s="7">
        <v>33075.517999999996</v>
      </c>
      <c r="Z110" s="7">
        <v>0</v>
      </c>
      <c r="AA110" s="7">
        <v>0</v>
      </c>
      <c r="AB110" s="7">
        <v>0</v>
      </c>
      <c r="AC110" s="7">
        <v>0.23699999999999999</v>
      </c>
      <c r="AD110" s="7">
        <v>0</v>
      </c>
      <c r="AE110" s="7">
        <v>106575.394</v>
      </c>
      <c r="AF110" s="7">
        <v>4178.0709999999999</v>
      </c>
      <c r="AG110" s="7">
        <v>0</v>
      </c>
      <c r="AH110" s="7">
        <v>329415.66399999999</v>
      </c>
      <c r="AI110" s="7">
        <v>5737.3329999999996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9.6000000000000002E-2</v>
      </c>
      <c r="AP110" s="7">
        <v>0</v>
      </c>
      <c r="AQ110" s="7">
        <v>1.115</v>
      </c>
      <c r="AR110" s="7">
        <v>0</v>
      </c>
      <c r="AS110" s="7">
        <v>0.01</v>
      </c>
      <c r="AT110" s="7">
        <v>0</v>
      </c>
      <c r="AU110" s="7">
        <v>2.7E-2</v>
      </c>
      <c r="AV110" s="7">
        <v>0</v>
      </c>
      <c r="AW110" s="7">
        <v>0</v>
      </c>
      <c r="AX110" s="7">
        <v>0</v>
      </c>
      <c r="AY110" s="7">
        <v>4.7E-2</v>
      </c>
      <c r="AZ110" s="7">
        <v>0.48799999999999999</v>
      </c>
      <c r="BA110" s="7">
        <v>0</v>
      </c>
      <c r="BB110" s="7">
        <v>0.03</v>
      </c>
      <c r="BC110" s="7">
        <v>0</v>
      </c>
      <c r="BD110" s="7">
        <v>0.54500000000000004</v>
      </c>
      <c r="BE110" s="7">
        <v>8.0000000000000002E-3</v>
      </c>
      <c r="BF110" s="7">
        <v>8.0000000000000002E-3</v>
      </c>
      <c r="BG110" s="7">
        <v>0.19400000000000001</v>
      </c>
      <c r="BH110" s="7">
        <v>0</v>
      </c>
      <c r="BI110" s="7">
        <v>0</v>
      </c>
      <c r="BJ110" s="21"/>
    </row>
    <row r="111" spans="1:62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84823.376000000004</v>
      </c>
      <c r="F111" s="7">
        <v>17373.648000000001</v>
      </c>
      <c r="G111" s="7">
        <v>0</v>
      </c>
      <c r="H111" s="7">
        <v>0</v>
      </c>
      <c r="I111" s="7">
        <v>700.57899999999995</v>
      </c>
      <c r="J111" s="7">
        <v>0</v>
      </c>
      <c r="K111" s="7">
        <v>0</v>
      </c>
      <c r="L111" s="7">
        <v>211361.30799999999</v>
      </c>
      <c r="M111" s="7">
        <v>17566.246999999999</v>
      </c>
      <c r="N111" s="7">
        <v>0</v>
      </c>
      <c r="O111" s="7">
        <v>0</v>
      </c>
      <c r="P111" s="7">
        <v>3.0720000000000001</v>
      </c>
      <c r="Q111" s="7">
        <v>0</v>
      </c>
      <c r="R111" s="7">
        <v>0</v>
      </c>
      <c r="S111" s="7">
        <v>5573.53</v>
      </c>
      <c r="T111" s="7">
        <v>0</v>
      </c>
      <c r="U111" s="7">
        <v>0</v>
      </c>
      <c r="V111" s="7">
        <v>0</v>
      </c>
      <c r="W111" s="7">
        <v>1681.672</v>
      </c>
      <c r="X111" s="7">
        <v>0</v>
      </c>
      <c r="Y111" s="7">
        <v>35779.533000000003</v>
      </c>
      <c r="Z111" s="7">
        <v>0</v>
      </c>
      <c r="AA111" s="7">
        <v>0</v>
      </c>
      <c r="AB111" s="7">
        <v>16.295000000000002</v>
      </c>
      <c r="AC111" s="7">
        <v>3326.8040000000001</v>
      </c>
      <c r="AD111" s="7">
        <v>0</v>
      </c>
      <c r="AE111" s="7">
        <v>86392.466</v>
      </c>
      <c r="AF111" s="7">
        <v>45908.59</v>
      </c>
      <c r="AG111" s="7">
        <v>0</v>
      </c>
      <c r="AH111" s="7">
        <v>356960.59499999997</v>
      </c>
      <c r="AI111" s="7">
        <v>84272.17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1358.317</v>
      </c>
      <c r="AP111" s="7">
        <v>0</v>
      </c>
      <c r="AQ111" s="7">
        <v>15668.002</v>
      </c>
      <c r="AR111" s="7">
        <v>0</v>
      </c>
      <c r="AS111" s="7">
        <v>53.872</v>
      </c>
      <c r="AT111" s="7">
        <v>0</v>
      </c>
      <c r="AU111" s="7">
        <v>556.24900000000002</v>
      </c>
      <c r="AV111" s="7">
        <v>0</v>
      </c>
      <c r="AW111" s="7">
        <v>0</v>
      </c>
      <c r="AX111" s="7">
        <v>0</v>
      </c>
      <c r="AY111" s="7">
        <v>636.04300000000001</v>
      </c>
      <c r="AZ111" s="7">
        <v>6668.3209999999999</v>
      </c>
      <c r="BA111" s="7">
        <v>0</v>
      </c>
      <c r="BB111" s="7">
        <v>416.82600000000002</v>
      </c>
      <c r="BC111" s="7">
        <v>0</v>
      </c>
      <c r="BD111" s="7">
        <v>7451.1270000000004</v>
      </c>
      <c r="BE111" s="7">
        <v>109.04300000000001</v>
      </c>
      <c r="BF111" s="7">
        <v>109.04300000000001</v>
      </c>
      <c r="BG111" s="7">
        <v>2654.7159999999999</v>
      </c>
      <c r="BH111" s="7">
        <v>0</v>
      </c>
      <c r="BI111" s="7">
        <v>0</v>
      </c>
      <c r="BJ111" s="21"/>
    </row>
    <row r="112" spans="1:62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201739.08799999999</v>
      </c>
      <c r="F112" s="7">
        <v>51565.491000000002</v>
      </c>
      <c r="G112" s="7">
        <v>1.806</v>
      </c>
      <c r="H112" s="7">
        <v>3.9809999999999999</v>
      </c>
      <c r="I112" s="7">
        <v>1537.5740000000001</v>
      </c>
      <c r="J112" s="7">
        <v>19.170999999999999</v>
      </c>
      <c r="K112" s="7">
        <v>0</v>
      </c>
      <c r="L112" s="7">
        <v>555432.79500000004</v>
      </c>
      <c r="M112" s="7">
        <v>39222.008999999998</v>
      </c>
      <c r="N112" s="7">
        <v>0</v>
      </c>
      <c r="O112" s="7">
        <v>0</v>
      </c>
      <c r="P112" s="7">
        <v>0.27100000000000002</v>
      </c>
      <c r="Q112" s="7">
        <v>0</v>
      </c>
      <c r="R112" s="7">
        <v>0</v>
      </c>
      <c r="S112" s="7">
        <v>15953.648999999999</v>
      </c>
      <c r="T112" s="7">
        <v>0</v>
      </c>
      <c r="U112" s="7">
        <v>0</v>
      </c>
      <c r="V112" s="7">
        <v>1.857</v>
      </c>
      <c r="W112" s="7">
        <v>4410.5829999999996</v>
      </c>
      <c r="X112" s="7">
        <v>81749.565000000002</v>
      </c>
      <c r="Y112" s="7">
        <v>98836.260999999999</v>
      </c>
      <c r="Z112" s="7">
        <v>0</v>
      </c>
      <c r="AA112" s="7">
        <v>42.798000000000002</v>
      </c>
      <c r="AB112" s="7">
        <v>38.735999999999997</v>
      </c>
      <c r="AC112" s="7">
        <v>9181.6949999999997</v>
      </c>
      <c r="AD112" s="7">
        <v>0</v>
      </c>
      <c r="AE112" s="7">
        <v>246221.258</v>
      </c>
      <c r="AF112" s="7">
        <v>127044.622</v>
      </c>
      <c r="AG112" s="7">
        <v>0</v>
      </c>
      <c r="AH112" s="7">
        <v>1028828.789</v>
      </c>
      <c r="AI112" s="7">
        <v>222877.58499999999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4123.1779999999999</v>
      </c>
      <c r="AP112" s="7">
        <v>54675.322</v>
      </c>
      <c r="AQ112" s="7">
        <v>42067.182000000001</v>
      </c>
      <c r="AR112" s="7">
        <v>23966.821</v>
      </c>
      <c r="AS112" s="7">
        <v>157.42699999999999</v>
      </c>
      <c r="AT112" s="7">
        <v>0</v>
      </c>
      <c r="AU112" s="7">
        <v>1070.6179999999999</v>
      </c>
      <c r="AV112" s="7">
        <v>65031.120999999999</v>
      </c>
      <c r="AW112" s="7">
        <v>74064.823999999993</v>
      </c>
      <c r="AX112" s="7">
        <v>61237.171999999999</v>
      </c>
      <c r="AY112" s="7">
        <v>56.225000000000001</v>
      </c>
      <c r="AZ112" s="7">
        <v>589.48099999999999</v>
      </c>
      <c r="BA112" s="7">
        <v>45790.036999999997</v>
      </c>
      <c r="BB112" s="7">
        <v>1178.777</v>
      </c>
      <c r="BC112" s="7">
        <v>0</v>
      </c>
      <c r="BD112" s="7">
        <v>658.68</v>
      </c>
      <c r="BE112" s="7">
        <v>327.58199999999999</v>
      </c>
      <c r="BF112" s="7">
        <v>327.58199999999999</v>
      </c>
      <c r="BG112" s="7">
        <v>234.678</v>
      </c>
      <c r="BH112" s="7">
        <v>0</v>
      </c>
      <c r="BI112" s="7">
        <v>0</v>
      </c>
      <c r="BJ112" s="21"/>
    </row>
    <row r="113" spans="1:62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2092.0129999999999</v>
      </c>
      <c r="F114" s="7">
        <v>232.89099999999999</v>
      </c>
      <c r="G114" s="7">
        <v>271.82400000000001</v>
      </c>
      <c r="H114" s="7">
        <v>0</v>
      </c>
      <c r="I114" s="7">
        <v>47.615000000000002</v>
      </c>
      <c r="J114" s="7">
        <v>166.11199999999999</v>
      </c>
      <c r="K114" s="7">
        <v>0</v>
      </c>
      <c r="L114" s="7">
        <v>1525.74</v>
      </c>
      <c r="M114" s="7">
        <v>740.59299999999996</v>
      </c>
      <c r="N114" s="7">
        <v>0</v>
      </c>
      <c r="O114" s="7">
        <v>0</v>
      </c>
      <c r="P114" s="7">
        <v>8.8219999999999992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24.37</v>
      </c>
      <c r="W114" s="7">
        <v>74.388999999999996</v>
      </c>
      <c r="X114" s="7">
        <v>0</v>
      </c>
      <c r="Y114" s="7">
        <v>588.33100000000002</v>
      </c>
      <c r="Z114" s="7">
        <v>0</v>
      </c>
      <c r="AA114" s="7">
        <v>207.804</v>
      </c>
      <c r="AB114" s="7">
        <v>0</v>
      </c>
      <c r="AC114" s="7">
        <v>31.45</v>
      </c>
      <c r="AD114" s="7">
        <v>0</v>
      </c>
      <c r="AE114" s="7">
        <v>2229.451</v>
      </c>
      <c r="AF114" s="7">
        <v>23.295999999999999</v>
      </c>
      <c r="AG114" s="7">
        <v>0</v>
      </c>
      <c r="AH114" s="7">
        <v>4684.1279999999997</v>
      </c>
      <c r="AI114" s="7">
        <v>12.186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85678.442999999999</v>
      </c>
      <c r="F115" s="7">
        <v>911.94500000000005</v>
      </c>
      <c r="G115" s="7">
        <v>0</v>
      </c>
      <c r="H115" s="7">
        <v>0</v>
      </c>
      <c r="I115" s="7">
        <v>85.495000000000005</v>
      </c>
      <c r="J115" s="7">
        <v>0</v>
      </c>
      <c r="K115" s="7">
        <v>0</v>
      </c>
      <c r="L115" s="7">
        <v>175556.96599999999</v>
      </c>
      <c r="M115" s="7">
        <v>38754.728000000003</v>
      </c>
      <c r="N115" s="7">
        <v>0</v>
      </c>
      <c r="O115" s="7">
        <v>0</v>
      </c>
      <c r="P115" s="7">
        <v>28.498000000000001</v>
      </c>
      <c r="Q115" s="7">
        <v>0</v>
      </c>
      <c r="R115" s="7">
        <v>28.498000000000001</v>
      </c>
      <c r="S115" s="7">
        <v>0</v>
      </c>
      <c r="T115" s="7">
        <v>0</v>
      </c>
      <c r="U115" s="7">
        <v>0</v>
      </c>
      <c r="V115" s="7">
        <v>0</v>
      </c>
      <c r="W115" s="7">
        <v>284.983</v>
      </c>
      <c r="X115" s="7">
        <v>0</v>
      </c>
      <c r="Y115" s="7">
        <v>20911.171999999999</v>
      </c>
      <c r="Z115" s="7">
        <v>0</v>
      </c>
      <c r="AA115" s="7">
        <v>2678.84</v>
      </c>
      <c r="AB115" s="7">
        <v>0</v>
      </c>
      <c r="AC115" s="7">
        <v>227.98599999999999</v>
      </c>
      <c r="AD115" s="7">
        <v>0</v>
      </c>
      <c r="AE115" s="7">
        <v>58525.080999999998</v>
      </c>
      <c r="AF115" s="7">
        <v>7.0000000000000001E-3</v>
      </c>
      <c r="AG115" s="7">
        <v>0</v>
      </c>
      <c r="AH115" s="7">
        <v>274383.52</v>
      </c>
      <c r="AI115" s="7">
        <v>1.0999999999999999E-2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34784.756000000001</v>
      </c>
      <c r="F116" s="7">
        <v>7093.4160000000002</v>
      </c>
      <c r="G116" s="7">
        <v>0</v>
      </c>
      <c r="H116" s="7">
        <v>18925.121999999999</v>
      </c>
      <c r="I116" s="7">
        <v>289.20400000000001</v>
      </c>
      <c r="J116" s="7">
        <v>0</v>
      </c>
      <c r="K116" s="7">
        <v>0</v>
      </c>
      <c r="L116" s="7">
        <v>86260.808999999994</v>
      </c>
      <c r="M116" s="7">
        <v>7241.3069999999998</v>
      </c>
      <c r="N116" s="7">
        <v>0</v>
      </c>
      <c r="O116" s="7">
        <v>0</v>
      </c>
      <c r="P116" s="7">
        <v>1.292</v>
      </c>
      <c r="Q116" s="7">
        <v>0</v>
      </c>
      <c r="R116" s="7">
        <v>0</v>
      </c>
      <c r="S116" s="7">
        <v>2280.9209999999998</v>
      </c>
      <c r="T116" s="7">
        <v>0</v>
      </c>
      <c r="U116" s="7">
        <v>0</v>
      </c>
      <c r="V116" s="7">
        <v>0</v>
      </c>
      <c r="W116" s="7">
        <v>690.173</v>
      </c>
      <c r="X116" s="7">
        <v>0</v>
      </c>
      <c r="Y116" s="7">
        <v>14619.868</v>
      </c>
      <c r="Z116" s="7">
        <v>0</v>
      </c>
      <c r="AA116" s="7">
        <v>0</v>
      </c>
      <c r="AB116" s="7">
        <v>0</v>
      </c>
      <c r="AC116" s="7">
        <v>1362.45</v>
      </c>
      <c r="AD116" s="7">
        <v>9291.7960000000003</v>
      </c>
      <c r="AE116" s="7">
        <v>35245.42</v>
      </c>
      <c r="AF116" s="7">
        <v>18784.809000000001</v>
      </c>
      <c r="AG116" s="7">
        <v>42969.269</v>
      </c>
      <c r="AH116" s="7">
        <v>145696.041</v>
      </c>
      <c r="AI116" s="7">
        <v>34536.855000000003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553.81100000000004</v>
      </c>
      <c r="AP116" s="7">
        <v>0</v>
      </c>
      <c r="AQ116" s="7">
        <v>6408.8890000000001</v>
      </c>
      <c r="AR116" s="7">
        <v>0</v>
      </c>
      <c r="AS116" s="7">
        <v>21.991</v>
      </c>
      <c r="AT116" s="7">
        <v>0</v>
      </c>
      <c r="AU116" s="7">
        <v>2435.9899999999998</v>
      </c>
      <c r="AV116" s="7">
        <v>0</v>
      </c>
      <c r="AW116" s="7">
        <v>0</v>
      </c>
      <c r="AX116" s="7">
        <v>0</v>
      </c>
      <c r="AY116" s="7">
        <v>267.435</v>
      </c>
      <c r="AZ116" s="7">
        <v>2803.8029999999999</v>
      </c>
      <c r="BA116" s="7">
        <v>0</v>
      </c>
      <c r="BB116" s="7">
        <v>170.322</v>
      </c>
      <c r="BC116" s="7">
        <v>0</v>
      </c>
      <c r="BD116" s="7">
        <v>3132.9459999999999</v>
      </c>
      <c r="BE116" s="7">
        <v>44.473999999999997</v>
      </c>
      <c r="BF116" s="7">
        <v>44.473999999999997</v>
      </c>
      <c r="BG116" s="7">
        <v>1116.2180000000001</v>
      </c>
      <c r="BH116" s="7">
        <v>0</v>
      </c>
      <c r="BI116" s="7">
        <v>0</v>
      </c>
      <c r="BJ116" s="21"/>
    </row>
    <row r="117" spans="1:62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438.51600000000002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588520.31000000006</v>
      </c>
      <c r="AL117" s="7">
        <v>337838.60700000002</v>
      </c>
      <c r="AM117" s="7">
        <v>0</v>
      </c>
      <c r="AN117" s="7">
        <v>208105.685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1619.5150000000001</v>
      </c>
      <c r="AV117" s="7">
        <v>0</v>
      </c>
      <c r="AW117" s="7">
        <v>0</v>
      </c>
      <c r="AX117" s="7">
        <v>328.48399999999998</v>
      </c>
      <c r="AY117" s="7">
        <v>0</v>
      </c>
      <c r="AZ117" s="7">
        <v>0</v>
      </c>
      <c r="BA117" s="7">
        <v>245.624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9138.9609999999993</v>
      </c>
      <c r="L118" s="7">
        <v>0</v>
      </c>
      <c r="M118" s="7">
        <v>0</v>
      </c>
      <c r="N118" s="7">
        <v>2191.77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6964.9139999999998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11127.14</v>
      </c>
      <c r="AE118" s="7">
        <v>0</v>
      </c>
      <c r="AF118" s="7">
        <v>0</v>
      </c>
      <c r="AG118" s="7">
        <v>46205.536</v>
      </c>
      <c r="AH118" s="7">
        <v>42.915999999999997</v>
      </c>
      <c r="AI118" s="7">
        <v>0</v>
      </c>
      <c r="AJ118" s="7">
        <v>0</v>
      </c>
      <c r="AK118" s="7">
        <v>0</v>
      </c>
      <c r="AL118" s="7">
        <v>0</v>
      </c>
      <c r="AM118" s="7">
        <v>1465.425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43.545000000000002</v>
      </c>
      <c r="AT118" s="7">
        <v>0</v>
      </c>
      <c r="AU118" s="7">
        <v>2158.3040000000001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295922.49400000001</v>
      </c>
      <c r="F122" s="7">
        <v>71025.714000000007</v>
      </c>
      <c r="G122" s="7">
        <v>0</v>
      </c>
      <c r="H122" s="7">
        <v>0</v>
      </c>
      <c r="I122" s="7">
        <v>1892.819</v>
      </c>
      <c r="J122" s="7">
        <v>0</v>
      </c>
      <c r="K122" s="7">
        <v>0</v>
      </c>
      <c r="L122" s="7">
        <v>817515.90399999998</v>
      </c>
      <c r="M122" s="7">
        <v>49845.411</v>
      </c>
      <c r="N122" s="7">
        <v>0</v>
      </c>
      <c r="O122" s="7">
        <v>1334.415</v>
      </c>
      <c r="P122" s="7">
        <v>0</v>
      </c>
      <c r="Q122" s="7">
        <v>519.47199999999998</v>
      </c>
      <c r="R122" s="7">
        <v>0</v>
      </c>
      <c r="S122" s="7">
        <v>22040.835999999999</v>
      </c>
      <c r="T122" s="7">
        <v>0</v>
      </c>
      <c r="U122" s="7">
        <v>0</v>
      </c>
      <c r="V122" s="7">
        <v>0</v>
      </c>
      <c r="W122" s="7">
        <v>5960.2719999999999</v>
      </c>
      <c r="X122" s="7">
        <v>92572.03</v>
      </c>
      <c r="Y122" s="7">
        <v>145823.94899999999</v>
      </c>
      <c r="Z122" s="7">
        <v>46829.11</v>
      </c>
      <c r="AA122" s="7">
        <v>0</v>
      </c>
      <c r="AB122" s="7">
        <v>37398.504999999997</v>
      </c>
      <c r="AC122" s="7">
        <v>12808.061</v>
      </c>
      <c r="AD122" s="7">
        <v>6985.19</v>
      </c>
      <c r="AE122" s="7">
        <v>381526.24599999998</v>
      </c>
      <c r="AF122" s="7">
        <v>176670.07800000001</v>
      </c>
      <c r="AG122" s="7">
        <v>29120.352999999999</v>
      </c>
      <c r="AH122" s="7">
        <v>1345908.3829999999</v>
      </c>
      <c r="AI122" s="7">
        <v>310020.255</v>
      </c>
      <c r="AJ122" s="7">
        <v>253976.201</v>
      </c>
      <c r="AK122" s="7">
        <v>1916761.5660000001</v>
      </c>
      <c r="AL122" s="7">
        <v>1100312.1769999999</v>
      </c>
      <c r="AM122" s="7">
        <v>0</v>
      </c>
      <c r="AN122" s="7">
        <v>677782.86399999994</v>
      </c>
      <c r="AO122" s="7">
        <v>6096.1149999999998</v>
      </c>
      <c r="AP122" s="7">
        <v>0</v>
      </c>
      <c r="AQ122" s="7">
        <v>60672.756999999998</v>
      </c>
      <c r="AR122" s="7">
        <v>0</v>
      </c>
      <c r="AS122" s="7">
        <v>232.66399999999999</v>
      </c>
      <c r="AT122" s="7">
        <v>0</v>
      </c>
      <c r="AU122" s="7">
        <v>1580.13</v>
      </c>
      <c r="AV122" s="7">
        <v>0</v>
      </c>
      <c r="AW122" s="7">
        <v>0</v>
      </c>
      <c r="AX122" s="7">
        <v>69344.092999999993</v>
      </c>
      <c r="AY122" s="7">
        <v>0</v>
      </c>
      <c r="AZ122" s="7">
        <v>0</v>
      </c>
      <c r="BA122" s="7">
        <v>51851.92</v>
      </c>
      <c r="BB122" s="7">
        <v>1739.05</v>
      </c>
      <c r="BC122" s="7">
        <v>0</v>
      </c>
      <c r="BD122" s="7">
        <v>0</v>
      </c>
      <c r="BE122" s="7">
        <v>484.15800000000002</v>
      </c>
      <c r="BF122" s="7">
        <v>484.15800000000002</v>
      </c>
      <c r="BG122" s="7">
        <v>0</v>
      </c>
      <c r="BH122" s="7">
        <v>112011.76</v>
      </c>
      <c r="BI122" s="7">
        <v>0</v>
      </c>
      <c r="BJ122" s="21"/>
    </row>
    <row r="123" spans="1:62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1100.857</v>
      </c>
      <c r="F123" s="7">
        <v>862.85900000000004</v>
      </c>
      <c r="G123" s="7">
        <v>691.62699999999995</v>
      </c>
      <c r="H123" s="7">
        <v>100.009</v>
      </c>
      <c r="I123" s="7">
        <v>84.453999999999994</v>
      </c>
      <c r="J123" s="7">
        <v>663.14400000000001</v>
      </c>
      <c r="K123" s="7">
        <v>0</v>
      </c>
      <c r="L123" s="7">
        <v>2181.1320000000001</v>
      </c>
      <c r="M123" s="7">
        <v>603.26400000000001</v>
      </c>
      <c r="N123" s="7">
        <v>0</v>
      </c>
      <c r="O123" s="7">
        <v>0</v>
      </c>
      <c r="P123" s="7">
        <v>2E-3</v>
      </c>
      <c r="Q123" s="7">
        <v>377.80599999999998</v>
      </c>
      <c r="R123" s="7">
        <v>446.46100000000001</v>
      </c>
      <c r="S123" s="7">
        <v>351.33800000000002</v>
      </c>
      <c r="T123" s="7">
        <v>0</v>
      </c>
      <c r="U123" s="7">
        <v>0</v>
      </c>
      <c r="V123" s="7">
        <v>78.141000000000005</v>
      </c>
      <c r="W123" s="7">
        <v>14.167</v>
      </c>
      <c r="X123" s="7">
        <v>0</v>
      </c>
      <c r="Y123" s="7">
        <v>346.12099999999998</v>
      </c>
      <c r="Z123" s="7">
        <v>14229.788</v>
      </c>
      <c r="AA123" s="7">
        <v>1412.3209999999999</v>
      </c>
      <c r="AB123" s="7">
        <v>0</v>
      </c>
      <c r="AC123" s="7">
        <v>215.99600000000001</v>
      </c>
      <c r="AD123" s="7">
        <v>2060.3319999999999</v>
      </c>
      <c r="AE123" s="7">
        <v>584.00900000000001</v>
      </c>
      <c r="AF123" s="7">
        <v>11.888</v>
      </c>
      <c r="AG123" s="7">
        <v>7092.4470000000001</v>
      </c>
      <c r="AH123" s="7">
        <v>3579.12</v>
      </c>
      <c r="AI123" s="7">
        <v>8.9999999999999993E-3</v>
      </c>
      <c r="AJ123" s="7">
        <v>68738.013000000006</v>
      </c>
      <c r="AK123" s="7">
        <v>0</v>
      </c>
      <c r="AL123" s="7">
        <v>0</v>
      </c>
      <c r="AM123" s="7">
        <v>0</v>
      </c>
      <c r="AN123" s="7">
        <v>0</v>
      </c>
      <c r="AO123" s="7">
        <v>136.536</v>
      </c>
      <c r="AP123" s="7">
        <v>0</v>
      </c>
      <c r="AQ123" s="7">
        <v>1.7509999999999999</v>
      </c>
      <c r="AR123" s="7">
        <v>0</v>
      </c>
      <c r="AS123" s="7">
        <v>1.179</v>
      </c>
      <c r="AT123" s="7">
        <v>0</v>
      </c>
      <c r="AU123" s="7">
        <v>45.96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37.886000000000003</v>
      </c>
      <c r="BC123" s="7">
        <v>0</v>
      </c>
      <c r="BD123" s="7">
        <v>0</v>
      </c>
      <c r="BE123" s="7">
        <v>10.398999999999999</v>
      </c>
      <c r="BF123" s="7">
        <v>10.398999999999999</v>
      </c>
      <c r="BG123" s="7">
        <v>0</v>
      </c>
      <c r="BH123" s="7">
        <v>51208.417999999998</v>
      </c>
      <c r="BI123" s="7">
        <v>0</v>
      </c>
      <c r="BJ123" s="21"/>
    </row>
    <row r="124" spans="1:62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13.07</v>
      </c>
      <c r="F126" s="7">
        <v>1.21</v>
      </c>
      <c r="G126" s="7">
        <v>3.6880000000000002</v>
      </c>
      <c r="H126" s="7">
        <v>0</v>
      </c>
      <c r="I126" s="7">
        <v>0.314</v>
      </c>
      <c r="J126" s="7">
        <v>2.6659999999999999</v>
      </c>
      <c r="K126" s="7">
        <v>0</v>
      </c>
      <c r="L126" s="7">
        <v>4.2640000000000002</v>
      </c>
      <c r="M126" s="7">
        <v>8.1120000000000001</v>
      </c>
      <c r="N126" s="7">
        <v>0</v>
      </c>
      <c r="O126" s="7">
        <v>0</v>
      </c>
      <c r="P126" s="7">
        <v>0</v>
      </c>
      <c r="Q126" s="7">
        <v>0</v>
      </c>
      <c r="R126" s="7">
        <v>100.398</v>
      </c>
      <c r="S126" s="7">
        <v>0.44900000000000001</v>
      </c>
      <c r="T126" s="7">
        <v>0</v>
      </c>
      <c r="U126" s="7">
        <v>0</v>
      </c>
      <c r="V126" s="7">
        <v>0.28100000000000003</v>
      </c>
      <c r="W126" s="7">
        <v>0.81</v>
      </c>
      <c r="X126" s="7">
        <v>0</v>
      </c>
      <c r="Y126" s="7">
        <v>1.7270000000000001</v>
      </c>
      <c r="Z126" s="7">
        <v>0</v>
      </c>
      <c r="AA126" s="7">
        <v>3.371</v>
      </c>
      <c r="AB126" s="7">
        <v>0</v>
      </c>
      <c r="AC126" s="7">
        <v>0.224</v>
      </c>
      <c r="AD126" s="7">
        <v>0</v>
      </c>
      <c r="AE126" s="7">
        <v>4.7220000000000004</v>
      </c>
      <c r="AF126" s="7">
        <v>0</v>
      </c>
      <c r="AG126" s="7">
        <v>0</v>
      </c>
      <c r="AH126" s="7">
        <v>15.416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0.129</v>
      </c>
      <c r="AP126" s="7">
        <v>0</v>
      </c>
      <c r="AQ126" s="7">
        <v>0</v>
      </c>
      <c r="AR126" s="7">
        <v>0</v>
      </c>
      <c r="AS126" s="7">
        <v>2E-3</v>
      </c>
      <c r="AT126" s="7">
        <v>0</v>
      </c>
      <c r="AU126" s="7">
        <v>9.9000000000000005E-2</v>
      </c>
      <c r="AV126" s="7">
        <v>0</v>
      </c>
      <c r="AW126" s="7">
        <v>0</v>
      </c>
      <c r="AX126" s="7">
        <v>0</v>
      </c>
      <c r="AY126" s="7">
        <v>0.109</v>
      </c>
      <c r="AZ126" s="7">
        <v>0</v>
      </c>
      <c r="BA126" s="7">
        <v>0</v>
      </c>
      <c r="BB126" s="7">
        <v>3.4000000000000002E-2</v>
      </c>
      <c r="BC126" s="7">
        <v>6.7000000000000004E-2</v>
      </c>
      <c r="BD126" s="7">
        <v>0</v>
      </c>
      <c r="BE126" s="7">
        <v>0.01</v>
      </c>
      <c r="BF126" s="7">
        <v>0.01</v>
      </c>
      <c r="BG126" s="7">
        <v>0</v>
      </c>
      <c r="BH126" s="7">
        <v>0</v>
      </c>
      <c r="BI126" s="7">
        <v>3.2000000000000001E-2</v>
      </c>
      <c r="BJ126" s="21"/>
    </row>
    <row r="127" spans="1:62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2528.87</v>
      </c>
      <c r="F127" s="7">
        <v>1763.8530000000001</v>
      </c>
      <c r="G127" s="7">
        <v>124.465</v>
      </c>
      <c r="H127" s="7">
        <v>271.97800000000001</v>
      </c>
      <c r="I127" s="7">
        <v>156.071</v>
      </c>
      <c r="J127" s="7">
        <v>1311.123</v>
      </c>
      <c r="K127" s="7">
        <v>0</v>
      </c>
      <c r="L127" s="7">
        <v>3696.047</v>
      </c>
      <c r="M127" s="7">
        <v>1624.088</v>
      </c>
      <c r="N127" s="7">
        <v>0</v>
      </c>
      <c r="O127" s="7">
        <v>0</v>
      </c>
      <c r="P127" s="7">
        <v>5.0000000000000001E-3</v>
      </c>
      <c r="Q127" s="7">
        <v>0</v>
      </c>
      <c r="R127" s="7">
        <v>9.7000000000000003E-2</v>
      </c>
      <c r="S127" s="7">
        <v>706.78300000000002</v>
      </c>
      <c r="T127" s="7">
        <v>0</v>
      </c>
      <c r="U127" s="7">
        <v>0</v>
      </c>
      <c r="V127" s="7">
        <v>126.86199999999999</v>
      </c>
      <c r="W127" s="7">
        <v>2.3319999999999999</v>
      </c>
      <c r="X127" s="7">
        <v>0</v>
      </c>
      <c r="Y127" s="7">
        <v>79.542000000000002</v>
      </c>
      <c r="Z127" s="7">
        <v>0</v>
      </c>
      <c r="AA127" s="7">
        <v>2924.3690000000001</v>
      </c>
      <c r="AB127" s="7">
        <v>0</v>
      </c>
      <c r="AC127" s="7">
        <v>309.77800000000002</v>
      </c>
      <c r="AD127" s="7">
        <v>0</v>
      </c>
      <c r="AE127" s="7">
        <v>9.7219999999999995</v>
      </c>
      <c r="AF127" s="7">
        <v>32.33</v>
      </c>
      <c r="AG127" s="7">
        <v>0</v>
      </c>
      <c r="AH127" s="7">
        <v>6087.1459999999997</v>
      </c>
      <c r="AI127" s="7">
        <v>2.4E-2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259.202</v>
      </c>
      <c r="AP127" s="7">
        <v>0</v>
      </c>
      <c r="AQ127" s="7">
        <v>4.7619999999999996</v>
      </c>
      <c r="AR127" s="7">
        <v>0</v>
      </c>
      <c r="AS127" s="7">
        <v>2.464</v>
      </c>
      <c r="AT127" s="7">
        <v>0</v>
      </c>
      <c r="AU127" s="7">
        <v>0.33500000000000002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70.989000000000004</v>
      </c>
      <c r="BC127" s="7">
        <v>0</v>
      </c>
      <c r="BD127" s="7">
        <v>0</v>
      </c>
      <c r="BE127" s="7">
        <v>19.606000000000002</v>
      </c>
      <c r="BF127" s="7">
        <v>19.606000000000002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52171.161999999997</v>
      </c>
      <c r="F128" s="7">
        <v>11531.356</v>
      </c>
      <c r="G128" s="7">
        <v>11247.366</v>
      </c>
      <c r="H128" s="7">
        <v>0</v>
      </c>
      <c r="I128" s="7">
        <v>2257.6770000000001</v>
      </c>
      <c r="J128" s="7">
        <v>8860.0110000000004</v>
      </c>
      <c r="K128" s="7">
        <v>0</v>
      </c>
      <c r="L128" s="7">
        <v>46221.38</v>
      </c>
      <c r="M128" s="7">
        <v>40686.158000000003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3314.3119999999999</v>
      </c>
      <c r="T128" s="7">
        <v>0</v>
      </c>
      <c r="U128" s="7">
        <v>0</v>
      </c>
      <c r="V128" s="7">
        <v>1204.1400000000001</v>
      </c>
      <c r="W128" s="7">
        <v>3228.6970000000001</v>
      </c>
      <c r="X128" s="7">
        <v>0</v>
      </c>
      <c r="Y128" s="7">
        <v>11960.648999999999</v>
      </c>
      <c r="Z128" s="7">
        <v>0</v>
      </c>
      <c r="AA128" s="7">
        <v>11723.316999999999</v>
      </c>
      <c r="AB128" s="7">
        <v>0</v>
      </c>
      <c r="AC128" s="7">
        <v>1798.184</v>
      </c>
      <c r="AD128" s="7">
        <v>0</v>
      </c>
      <c r="AE128" s="7">
        <v>27542.719000000001</v>
      </c>
      <c r="AF128" s="7">
        <v>0</v>
      </c>
      <c r="AG128" s="7">
        <v>0</v>
      </c>
      <c r="AH128" s="7">
        <v>163114.356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343.53</v>
      </c>
      <c r="AP128" s="7">
        <v>0</v>
      </c>
      <c r="AQ128" s="7">
        <v>0</v>
      </c>
      <c r="AR128" s="7">
        <v>0</v>
      </c>
      <c r="AS128" s="7">
        <v>4.2880000000000003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115.681</v>
      </c>
      <c r="BC128" s="7">
        <v>0</v>
      </c>
      <c r="BD128" s="7">
        <v>0</v>
      </c>
      <c r="BE128" s="7">
        <v>63.984999999999999</v>
      </c>
      <c r="BF128" s="7">
        <v>63.984999999999999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33664.697</v>
      </c>
      <c r="F129" s="7">
        <v>8074.1530000000002</v>
      </c>
      <c r="G129" s="7">
        <v>0</v>
      </c>
      <c r="H129" s="7">
        <v>0</v>
      </c>
      <c r="I129" s="7">
        <v>214.93700000000001</v>
      </c>
      <c r="J129" s="7">
        <v>0</v>
      </c>
      <c r="K129" s="7">
        <v>0</v>
      </c>
      <c r="L129" s="7">
        <v>93002.305999999997</v>
      </c>
      <c r="M129" s="7">
        <v>5661.9740000000002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2505.7139999999999</v>
      </c>
      <c r="T129" s="7">
        <v>0</v>
      </c>
      <c r="U129" s="7">
        <v>0</v>
      </c>
      <c r="V129" s="7">
        <v>0</v>
      </c>
      <c r="W129" s="7">
        <v>677.39</v>
      </c>
      <c r="X129" s="7">
        <v>0</v>
      </c>
      <c r="Y129" s="7">
        <v>16589.436000000002</v>
      </c>
      <c r="Z129" s="7">
        <v>0</v>
      </c>
      <c r="AA129" s="7">
        <v>0</v>
      </c>
      <c r="AB129" s="7">
        <v>6.6920000000000002</v>
      </c>
      <c r="AC129" s="7">
        <v>1456.2650000000001</v>
      </c>
      <c r="AD129" s="7">
        <v>0</v>
      </c>
      <c r="AE129" s="7">
        <v>41370.957999999999</v>
      </c>
      <c r="AF129" s="7">
        <v>20086.235000000001</v>
      </c>
      <c r="AG129" s="7">
        <v>0</v>
      </c>
      <c r="AH129" s="7">
        <v>152915.152</v>
      </c>
      <c r="AI129" s="7">
        <v>35247.921999999999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693.48099999999999</v>
      </c>
      <c r="AP129" s="7">
        <v>0</v>
      </c>
      <c r="AQ129" s="7">
        <v>6900.7910000000002</v>
      </c>
      <c r="AR129" s="7">
        <v>0</v>
      </c>
      <c r="AS129" s="7">
        <v>26.507000000000001</v>
      </c>
      <c r="AT129" s="7">
        <v>0</v>
      </c>
      <c r="AU129" s="7">
        <v>179.45699999999999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197.85400000000001</v>
      </c>
      <c r="BC129" s="7">
        <v>0</v>
      </c>
      <c r="BD129" s="7">
        <v>0</v>
      </c>
      <c r="BE129" s="7">
        <v>55.11</v>
      </c>
      <c r="BF129" s="7">
        <v>55.11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1785.01</v>
      </c>
      <c r="F130" s="7">
        <v>603.25900000000001</v>
      </c>
      <c r="G130" s="7">
        <v>18.661999999999999</v>
      </c>
      <c r="H130" s="7">
        <v>41.148000000000003</v>
      </c>
      <c r="I130" s="7">
        <v>32.567999999999998</v>
      </c>
      <c r="J130" s="7">
        <v>198.18799999999999</v>
      </c>
      <c r="K130" s="7">
        <v>0</v>
      </c>
      <c r="L130" s="7">
        <v>4434.3220000000001</v>
      </c>
      <c r="M130" s="7">
        <v>481.40199999999999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211.34</v>
      </c>
      <c r="T130" s="7">
        <v>0</v>
      </c>
      <c r="U130" s="7">
        <v>0</v>
      </c>
      <c r="V130" s="7">
        <v>19.193000000000001</v>
      </c>
      <c r="W130" s="7">
        <v>28.581</v>
      </c>
      <c r="X130" s="7">
        <v>0</v>
      </c>
      <c r="Y130" s="7">
        <v>703.27099999999996</v>
      </c>
      <c r="Z130" s="7">
        <v>0</v>
      </c>
      <c r="AA130" s="7">
        <v>442.43799999999999</v>
      </c>
      <c r="AB130" s="7">
        <v>0.28000000000000003</v>
      </c>
      <c r="AC130" s="7">
        <v>107.547</v>
      </c>
      <c r="AD130" s="7">
        <v>0</v>
      </c>
      <c r="AE130" s="7">
        <v>1724.7149999999999</v>
      </c>
      <c r="AF130" s="7">
        <v>841.84699999999998</v>
      </c>
      <c r="AG130" s="7">
        <v>0</v>
      </c>
      <c r="AH130" s="7">
        <v>7292.02</v>
      </c>
      <c r="AI130" s="7">
        <v>1468.721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68.113</v>
      </c>
      <c r="AP130" s="7">
        <v>0</v>
      </c>
      <c r="AQ130" s="7">
        <v>288.26499999999999</v>
      </c>
      <c r="AR130" s="7">
        <v>0</v>
      </c>
      <c r="AS130" s="7">
        <v>1.476</v>
      </c>
      <c r="AT130" s="7">
        <v>0</v>
      </c>
      <c r="AU130" s="7">
        <v>7.5410000000000004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18.984000000000002</v>
      </c>
      <c r="BC130" s="7">
        <v>0</v>
      </c>
      <c r="BD130" s="7">
        <v>0</v>
      </c>
      <c r="BE130" s="7">
        <v>5.2610000000000001</v>
      </c>
      <c r="BF130" s="7">
        <v>5.2610000000000001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46953.173000000003</v>
      </c>
      <c r="F131" s="7">
        <v>398.56200000000001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78504.430999999997</v>
      </c>
      <c r="M131" s="7">
        <v>12421.178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4884.5879999999997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24493.651000000002</v>
      </c>
      <c r="AF131" s="7">
        <v>80.191999999999993</v>
      </c>
      <c r="AG131" s="7">
        <v>0</v>
      </c>
      <c r="AH131" s="7">
        <v>116378.451</v>
      </c>
      <c r="AI131" s="7">
        <v>51.173000000000002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70262.751000000004</v>
      </c>
      <c r="F132" s="7">
        <v>5396.1239999999998</v>
      </c>
      <c r="G132" s="7">
        <v>7574.24</v>
      </c>
      <c r="H132" s="7">
        <v>0</v>
      </c>
      <c r="I132" s="7">
        <v>1293.857</v>
      </c>
      <c r="J132" s="7">
        <v>4673.9769999999999</v>
      </c>
      <c r="K132" s="7">
        <v>0</v>
      </c>
      <c r="L132" s="7">
        <v>64319.538999999997</v>
      </c>
      <c r="M132" s="7">
        <v>21333.431</v>
      </c>
      <c r="N132" s="7">
        <v>0</v>
      </c>
      <c r="O132" s="7">
        <v>0</v>
      </c>
      <c r="P132" s="7">
        <v>239.05500000000001</v>
      </c>
      <c r="Q132" s="7">
        <v>0</v>
      </c>
      <c r="R132" s="7">
        <v>2.528</v>
      </c>
      <c r="S132" s="7">
        <v>0</v>
      </c>
      <c r="T132" s="7">
        <v>0</v>
      </c>
      <c r="U132" s="7">
        <v>0</v>
      </c>
      <c r="V132" s="7">
        <v>735.66899999999998</v>
      </c>
      <c r="W132" s="7">
        <v>2243.596</v>
      </c>
      <c r="X132" s="7">
        <v>0</v>
      </c>
      <c r="Y132" s="7">
        <v>17839.823</v>
      </c>
      <c r="Z132" s="7">
        <v>0</v>
      </c>
      <c r="AA132" s="7">
        <v>6399.8819999999996</v>
      </c>
      <c r="AB132" s="7">
        <v>0</v>
      </c>
      <c r="AC132" s="7">
        <v>986.553</v>
      </c>
      <c r="AD132" s="7">
        <v>0</v>
      </c>
      <c r="AE132" s="7">
        <v>57316.449000000001</v>
      </c>
      <c r="AF132" s="7">
        <v>0</v>
      </c>
      <c r="AG132" s="7">
        <v>0</v>
      </c>
      <c r="AH132" s="7">
        <v>138951.54500000001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12321.487999999999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64398.902999999998</v>
      </c>
      <c r="M133" s="7">
        <v>1901.732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220.47200000000001</v>
      </c>
      <c r="AB133" s="7">
        <v>0</v>
      </c>
      <c r="AC133" s="7">
        <v>0</v>
      </c>
      <c r="AD133" s="7">
        <v>0</v>
      </c>
      <c r="AE133" s="7">
        <v>14268.191999999999</v>
      </c>
      <c r="AF133" s="7">
        <v>0</v>
      </c>
      <c r="AG133" s="7">
        <v>0</v>
      </c>
      <c r="AH133" s="7">
        <v>87357.339000000007</v>
      </c>
      <c r="AI133" s="7">
        <v>15976.939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187419.46400000001</v>
      </c>
      <c r="F134" s="7">
        <v>13595.127</v>
      </c>
      <c r="G134" s="7">
        <v>8143.7190000000001</v>
      </c>
      <c r="H134" s="7">
        <v>5659.067</v>
      </c>
      <c r="I134" s="7">
        <v>1174.4639999999999</v>
      </c>
      <c r="J134" s="7">
        <v>5686.39</v>
      </c>
      <c r="K134" s="7">
        <v>0</v>
      </c>
      <c r="L134" s="7">
        <v>293317.65600000002</v>
      </c>
      <c r="M134" s="7">
        <v>60259.847000000002</v>
      </c>
      <c r="N134" s="7">
        <v>0</v>
      </c>
      <c r="O134" s="7">
        <v>0</v>
      </c>
      <c r="P134" s="7">
        <v>195.46600000000001</v>
      </c>
      <c r="Q134" s="7">
        <v>0</v>
      </c>
      <c r="R134" s="7">
        <v>105.90900000000001</v>
      </c>
      <c r="S134" s="7">
        <v>3265.0970000000002</v>
      </c>
      <c r="T134" s="7">
        <v>0</v>
      </c>
      <c r="U134" s="7">
        <v>0</v>
      </c>
      <c r="V134" s="7">
        <v>930.69200000000001</v>
      </c>
      <c r="W134" s="7">
        <v>2830.2919999999999</v>
      </c>
      <c r="X134" s="7">
        <v>0</v>
      </c>
      <c r="Y134" s="7">
        <v>29755.427</v>
      </c>
      <c r="Z134" s="7">
        <v>0</v>
      </c>
      <c r="AA134" s="7">
        <v>8593.8709999999992</v>
      </c>
      <c r="AB134" s="7">
        <v>0</v>
      </c>
      <c r="AC134" s="7">
        <v>1393.91</v>
      </c>
      <c r="AD134" s="7">
        <v>0</v>
      </c>
      <c r="AE134" s="7">
        <v>106528.273</v>
      </c>
      <c r="AF134" s="7">
        <v>464.34899999999999</v>
      </c>
      <c r="AG134" s="7">
        <v>0</v>
      </c>
      <c r="AH134" s="7">
        <v>439980.58600000001</v>
      </c>
      <c r="AI134" s="7">
        <v>1058.2360000000001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83.866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6943.75</v>
      </c>
      <c r="F135" s="7">
        <v>31.356999999999999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8072.5659999999998</v>
      </c>
      <c r="M135" s="7">
        <v>677.11300000000006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619.976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3171.576</v>
      </c>
      <c r="AF135" s="7">
        <v>344.29300000000001</v>
      </c>
      <c r="AG135" s="7">
        <v>0</v>
      </c>
      <c r="AH135" s="7">
        <v>13716.478999999999</v>
      </c>
      <c r="AI135" s="7">
        <v>1136.6220000000001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45981.648000000001</v>
      </c>
      <c r="F136" s="7">
        <v>1745.5650000000001</v>
      </c>
      <c r="G136" s="7">
        <v>0</v>
      </c>
      <c r="H136" s="7">
        <v>0</v>
      </c>
      <c r="I136" s="7">
        <v>1.069</v>
      </c>
      <c r="J136" s="7">
        <v>0</v>
      </c>
      <c r="K136" s="7">
        <v>0</v>
      </c>
      <c r="L136" s="7">
        <v>85068.891000000003</v>
      </c>
      <c r="M136" s="7">
        <v>23972.995999999999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2275.174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30242.661</v>
      </c>
      <c r="AF136" s="7">
        <v>1479.712</v>
      </c>
      <c r="AG136" s="7">
        <v>0</v>
      </c>
      <c r="AH136" s="7">
        <v>147391.829</v>
      </c>
      <c r="AI136" s="7">
        <v>1951.0830000000001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21656.47</v>
      </c>
      <c r="F137" s="7">
        <v>-3.0000000000000001E-3</v>
      </c>
      <c r="G137" s="7">
        <v>-5.0000000000000001E-3</v>
      </c>
      <c r="H137" s="7">
        <v>0</v>
      </c>
      <c r="I137" s="7">
        <v>0</v>
      </c>
      <c r="J137" s="7">
        <v>-3.0000000000000001E-3</v>
      </c>
      <c r="K137" s="7">
        <v>0</v>
      </c>
      <c r="L137" s="7">
        <v>44957.947999999997</v>
      </c>
      <c r="M137" s="7">
        <v>3631.7510000000002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-1E-3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-2E-3</v>
      </c>
      <c r="Z137" s="7">
        <v>0</v>
      </c>
      <c r="AA137" s="7">
        <v>-4.0000000000000001E-3</v>
      </c>
      <c r="AB137" s="7">
        <v>0</v>
      </c>
      <c r="AC137" s="7">
        <v>0</v>
      </c>
      <c r="AD137" s="7">
        <v>0</v>
      </c>
      <c r="AE137" s="7">
        <v>8272.6849999999995</v>
      </c>
      <c r="AF137" s="7">
        <v>0</v>
      </c>
      <c r="AG137" s="7">
        <v>0</v>
      </c>
      <c r="AH137" s="7">
        <v>81171.62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977750.87</v>
      </c>
      <c r="F138" s="7">
        <v>18187.101999999999</v>
      </c>
      <c r="G138" s="7">
        <v>21239.903999999999</v>
      </c>
      <c r="H138" s="7">
        <v>1972.8610000000001</v>
      </c>
      <c r="I138" s="7">
        <v>4072.779</v>
      </c>
      <c r="J138" s="7">
        <v>12755.596</v>
      </c>
      <c r="K138" s="7">
        <v>0</v>
      </c>
      <c r="L138" s="7">
        <v>970630.67500000005</v>
      </c>
      <c r="M138" s="7">
        <v>297842.821</v>
      </c>
      <c r="N138" s="7">
        <v>0</v>
      </c>
      <c r="O138" s="7">
        <v>0</v>
      </c>
      <c r="P138" s="7">
        <v>692.02800000000002</v>
      </c>
      <c r="Q138" s="7">
        <v>0</v>
      </c>
      <c r="R138" s="7">
        <v>3.081</v>
      </c>
      <c r="S138" s="7">
        <v>0</v>
      </c>
      <c r="T138" s="7">
        <v>0</v>
      </c>
      <c r="U138" s="7">
        <v>0</v>
      </c>
      <c r="V138" s="7">
        <v>1472.413</v>
      </c>
      <c r="W138" s="7">
        <v>4588.3980000000001</v>
      </c>
      <c r="X138" s="7">
        <v>0</v>
      </c>
      <c r="Y138" s="7">
        <v>132507.12400000001</v>
      </c>
      <c r="Z138" s="7">
        <v>0</v>
      </c>
      <c r="AA138" s="7">
        <v>15099.728999999999</v>
      </c>
      <c r="AB138" s="7">
        <v>0</v>
      </c>
      <c r="AC138" s="7">
        <v>1945.4659999999999</v>
      </c>
      <c r="AD138" s="7">
        <v>0</v>
      </c>
      <c r="AE138" s="7">
        <v>539567.61600000004</v>
      </c>
      <c r="AF138" s="7">
        <v>11388.084999999999</v>
      </c>
      <c r="AG138" s="7">
        <v>0</v>
      </c>
      <c r="AH138" s="7">
        <v>2077042.371</v>
      </c>
      <c r="AI138" s="7">
        <v>29274.026999999998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118.84099999999999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867.81</v>
      </c>
      <c r="F139" s="7">
        <v>161.71299999999999</v>
      </c>
      <c r="G139" s="7">
        <v>69.314999999999998</v>
      </c>
      <c r="H139" s="7">
        <v>0</v>
      </c>
      <c r="I139" s="7">
        <v>12.536</v>
      </c>
      <c r="J139" s="7">
        <v>39.268000000000001</v>
      </c>
      <c r="K139" s="7">
        <v>0</v>
      </c>
      <c r="L139" s="7">
        <v>1569.778</v>
      </c>
      <c r="M139" s="7">
        <v>295.07600000000002</v>
      </c>
      <c r="N139" s="7">
        <v>0</v>
      </c>
      <c r="O139" s="7">
        <v>0</v>
      </c>
      <c r="P139" s="7">
        <v>2.7E-2</v>
      </c>
      <c r="Q139" s="7">
        <v>0</v>
      </c>
      <c r="R139" s="7">
        <v>0</v>
      </c>
      <c r="S139" s="7">
        <v>56.838999999999999</v>
      </c>
      <c r="T139" s="7">
        <v>0</v>
      </c>
      <c r="U139" s="7">
        <v>0</v>
      </c>
      <c r="V139" s="7">
        <v>7.2270000000000003</v>
      </c>
      <c r="W139" s="7">
        <v>24.5</v>
      </c>
      <c r="X139" s="7">
        <v>0</v>
      </c>
      <c r="Y139" s="7">
        <v>281.57499999999999</v>
      </c>
      <c r="Z139" s="7">
        <v>0</v>
      </c>
      <c r="AA139" s="7">
        <v>56.648000000000003</v>
      </c>
      <c r="AB139" s="7">
        <v>0</v>
      </c>
      <c r="AC139" s="7">
        <v>29.690999999999999</v>
      </c>
      <c r="AD139" s="7">
        <v>0</v>
      </c>
      <c r="AE139" s="7">
        <v>640.54200000000003</v>
      </c>
      <c r="AF139" s="7">
        <v>315.72199999999998</v>
      </c>
      <c r="AG139" s="7">
        <v>0</v>
      </c>
      <c r="AH139" s="7">
        <v>2724.25</v>
      </c>
      <c r="AI139" s="7">
        <v>581.19399999999996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12.167</v>
      </c>
      <c r="AP139" s="7">
        <v>0</v>
      </c>
      <c r="AQ139" s="7">
        <v>107.565</v>
      </c>
      <c r="AR139" s="7">
        <v>0</v>
      </c>
      <c r="AS139" s="7">
        <v>0.53200000000000003</v>
      </c>
      <c r="AT139" s="7">
        <v>0</v>
      </c>
      <c r="AU139" s="7">
        <v>7.3209999999999997</v>
      </c>
      <c r="AV139" s="7">
        <v>0</v>
      </c>
      <c r="AW139" s="7">
        <v>0</v>
      </c>
      <c r="AX139" s="7">
        <v>0</v>
      </c>
      <c r="AY139" s="7">
        <v>7.1890000000000001</v>
      </c>
      <c r="AZ139" s="7">
        <v>47.058</v>
      </c>
      <c r="BA139" s="7">
        <v>0</v>
      </c>
      <c r="BB139" s="7">
        <v>3.7280000000000002</v>
      </c>
      <c r="BC139" s="7">
        <v>1.7390000000000001</v>
      </c>
      <c r="BD139" s="7">
        <v>52.582999999999998</v>
      </c>
      <c r="BE139" s="7">
        <v>0.97399999999999998</v>
      </c>
      <c r="BF139" s="7">
        <v>0.97399999999999998</v>
      </c>
      <c r="BG139" s="7">
        <v>18.734000000000002</v>
      </c>
      <c r="BH139" s="7">
        <v>0</v>
      </c>
      <c r="BI139" s="7">
        <v>0.81399999999999995</v>
      </c>
      <c r="BJ139" s="21"/>
    </row>
    <row r="140" spans="1:62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2594.8119999999999</v>
      </c>
      <c r="F140" s="7">
        <v>34.771000000000001</v>
      </c>
      <c r="G140" s="7">
        <v>0</v>
      </c>
      <c r="H140" s="7">
        <v>1.0999999999999999E-2</v>
      </c>
      <c r="I140" s="7">
        <v>1.4179999999999999</v>
      </c>
      <c r="J140" s="7">
        <v>0</v>
      </c>
      <c r="K140" s="7">
        <v>0</v>
      </c>
      <c r="L140" s="7">
        <v>4338.6440000000002</v>
      </c>
      <c r="M140" s="7">
        <v>951.33100000000002</v>
      </c>
      <c r="N140" s="7">
        <v>0</v>
      </c>
      <c r="O140" s="7">
        <v>0</v>
      </c>
      <c r="P140" s="7">
        <v>6.0000000000000001E-3</v>
      </c>
      <c r="Q140" s="7">
        <v>0</v>
      </c>
      <c r="R140" s="7">
        <v>0</v>
      </c>
      <c r="S140" s="7">
        <v>11.180999999999999</v>
      </c>
      <c r="T140" s="7">
        <v>0</v>
      </c>
      <c r="U140" s="7">
        <v>0</v>
      </c>
      <c r="V140" s="7">
        <v>0</v>
      </c>
      <c r="W140" s="7">
        <v>3.383</v>
      </c>
      <c r="X140" s="7">
        <v>0</v>
      </c>
      <c r="Y140" s="7">
        <v>543.274</v>
      </c>
      <c r="Z140" s="7">
        <v>0</v>
      </c>
      <c r="AA140" s="7">
        <v>0</v>
      </c>
      <c r="AB140" s="7">
        <v>0</v>
      </c>
      <c r="AC140" s="7">
        <v>6.6790000000000003</v>
      </c>
      <c r="AD140" s="7">
        <v>0</v>
      </c>
      <c r="AE140" s="7">
        <v>2316.1</v>
      </c>
      <c r="AF140" s="7">
        <v>92.087000000000003</v>
      </c>
      <c r="AG140" s="7">
        <v>0</v>
      </c>
      <c r="AH140" s="7">
        <v>9534.7440000000006</v>
      </c>
      <c r="AI140" s="7">
        <v>169.304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2.7149999999999999</v>
      </c>
      <c r="AP140" s="7">
        <v>0</v>
      </c>
      <c r="AQ140" s="7">
        <v>31.416</v>
      </c>
      <c r="AR140" s="7">
        <v>0</v>
      </c>
      <c r="AS140" s="7">
        <v>0.108</v>
      </c>
      <c r="AT140" s="7">
        <v>0</v>
      </c>
      <c r="AU140" s="7">
        <v>0.76900000000000002</v>
      </c>
      <c r="AV140" s="7">
        <v>0</v>
      </c>
      <c r="AW140" s="7">
        <v>0</v>
      </c>
      <c r="AX140" s="7">
        <v>0</v>
      </c>
      <c r="AY140" s="7">
        <v>1.3109999999999999</v>
      </c>
      <c r="AZ140" s="7">
        <v>13.744</v>
      </c>
      <c r="BA140" s="7">
        <v>0</v>
      </c>
      <c r="BB140" s="7">
        <v>0.83499999999999996</v>
      </c>
      <c r="BC140" s="7">
        <v>0</v>
      </c>
      <c r="BD140" s="7">
        <v>15.356999999999999</v>
      </c>
      <c r="BE140" s="7">
        <v>0.218</v>
      </c>
      <c r="BF140" s="7">
        <v>0.218</v>
      </c>
      <c r="BG140" s="7">
        <v>5.4720000000000004</v>
      </c>
      <c r="BH140" s="7">
        <v>0</v>
      </c>
      <c r="BI140" s="7">
        <v>0</v>
      </c>
      <c r="BJ140" s="21"/>
    </row>
    <row r="141" spans="1:62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41.27</v>
      </c>
      <c r="F141" s="7">
        <v>8.9079999999999995</v>
      </c>
      <c r="G141" s="7">
        <v>0</v>
      </c>
      <c r="H141" s="7">
        <v>0</v>
      </c>
      <c r="I141" s="7">
        <v>0.317</v>
      </c>
      <c r="J141" s="7">
        <v>0</v>
      </c>
      <c r="K141" s="7">
        <v>0</v>
      </c>
      <c r="L141" s="7">
        <v>106.218</v>
      </c>
      <c r="M141" s="7">
        <v>8.0440000000000005</v>
      </c>
      <c r="N141" s="7">
        <v>0</v>
      </c>
      <c r="O141" s="7">
        <v>0</v>
      </c>
      <c r="P141" s="7">
        <v>1E-3</v>
      </c>
      <c r="Q141" s="7">
        <v>0</v>
      </c>
      <c r="R141" s="7">
        <v>0</v>
      </c>
      <c r="S141" s="7">
        <v>2.8279999999999998</v>
      </c>
      <c r="T141" s="7">
        <v>0</v>
      </c>
      <c r="U141" s="7">
        <v>0</v>
      </c>
      <c r="V141" s="7">
        <v>0</v>
      </c>
      <c r="W141" s="7">
        <v>0.82299999999999995</v>
      </c>
      <c r="X141" s="7">
        <v>0</v>
      </c>
      <c r="Y141" s="7">
        <v>18.338999999999999</v>
      </c>
      <c r="Z141" s="7">
        <v>0</v>
      </c>
      <c r="AA141" s="7">
        <v>0</v>
      </c>
      <c r="AB141" s="7">
        <v>3.0000000000000001E-3</v>
      </c>
      <c r="AC141" s="7">
        <v>1.673</v>
      </c>
      <c r="AD141" s="7">
        <v>0</v>
      </c>
      <c r="AE141" s="7">
        <v>44.771999999999998</v>
      </c>
      <c r="AF141" s="7">
        <v>23.062999999999999</v>
      </c>
      <c r="AG141" s="7">
        <v>0</v>
      </c>
      <c r="AH141" s="7">
        <v>177.709</v>
      </c>
      <c r="AI141" s="7">
        <v>41.718000000000004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0.72099999999999997</v>
      </c>
      <c r="AP141" s="7">
        <v>0</v>
      </c>
      <c r="AQ141" s="7">
        <v>7.8879999999999999</v>
      </c>
      <c r="AR141" s="7">
        <v>0</v>
      </c>
      <c r="AS141" s="7">
        <v>2.8000000000000001E-2</v>
      </c>
      <c r="AT141" s="7">
        <v>0</v>
      </c>
      <c r="AU141" s="7">
        <v>0.19700000000000001</v>
      </c>
      <c r="AV141" s="7">
        <v>0</v>
      </c>
      <c r="AW141" s="7">
        <v>0</v>
      </c>
      <c r="AX141" s="7">
        <v>0</v>
      </c>
      <c r="AY141" s="7">
        <v>0.21199999999999999</v>
      </c>
      <c r="AZ141" s="7">
        <v>2.222</v>
      </c>
      <c r="BA141" s="7">
        <v>0</v>
      </c>
      <c r="BB141" s="7">
        <v>0.215</v>
      </c>
      <c r="BC141" s="7">
        <v>0</v>
      </c>
      <c r="BD141" s="7">
        <v>2.4830000000000001</v>
      </c>
      <c r="BE141" s="7">
        <v>5.8000000000000003E-2</v>
      </c>
      <c r="BF141" s="7">
        <v>5.8000000000000003E-2</v>
      </c>
      <c r="BG141" s="7">
        <v>0.88500000000000001</v>
      </c>
      <c r="BH141" s="7">
        <v>0</v>
      </c>
      <c r="BI141" s="7">
        <v>0</v>
      </c>
      <c r="BJ141" s="21"/>
    </row>
    <row r="142" spans="1:62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1691.33</v>
      </c>
      <c r="F142" s="7">
        <v>12.484</v>
      </c>
      <c r="G142" s="7">
        <v>17.738</v>
      </c>
      <c r="H142" s="7">
        <v>0</v>
      </c>
      <c r="I142" s="7">
        <v>3.1070000000000002</v>
      </c>
      <c r="J142" s="7">
        <v>10.84</v>
      </c>
      <c r="K142" s="7">
        <v>0</v>
      </c>
      <c r="L142" s="7">
        <v>2552.3180000000002</v>
      </c>
      <c r="M142" s="7">
        <v>560.77499999999998</v>
      </c>
      <c r="N142" s="7">
        <v>0</v>
      </c>
      <c r="O142" s="7">
        <v>0</v>
      </c>
      <c r="P142" s="7">
        <v>0.57599999999999996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1.59</v>
      </c>
      <c r="W142" s="7">
        <v>4.8540000000000001</v>
      </c>
      <c r="X142" s="7">
        <v>0</v>
      </c>
      <c r="Y142" s="7">
        <v>507.04</v>
      </c>
      <c r="Z142" s="7">
        <v>0</v>
      </c>
      <c r="AA142" s="7">
        <v>13.56</v>
      </c>
      <c r="AB142" s="7">
        <v>0</v>
      </c>
      <c r="AC142" s="7">
        <v>2.052</v>
      </c>
      <c r="AD142" s="7">
        <v>0</v>
      </c>
      <c r="AE142" s="7">
        <v>1984.2049999999999</v>
      </c>
      <c r="AF142" s="7">
        <v>0</v>
      </c>
      <c r="AG142" s="7">
        <v>0</v>
      </c>
      <c r="AH142" s="7">
        <v>5380.4970000000003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22432.74</v>
      </c>
      <c r="F144" s="7">
        <v>946.41200000000003</v>
      </c>
      <c r="G144" s="7">
        <v>0</v>
      </c>
      <c r="H144" s="7">
        <v>0</v>
      </c>
      <c r="I144" s="7">
        <v>38.585999999999999</v>
      </c>
      <c r="J144" s="7">
        <v>0</v>
      </c>
      <c r="K144" s="7">
        <v>0</v>
      </c>
      <c r="L144" s="7">
        <v>31186.260999999999</v>
      </c>
      <c r="M144" s="7">
        <v>966.14400000000001</v>
      </c>
      <c r="N144" s="7">
        <v>0</v>
      </c>
      <c r="O144" s="7">
        <v>694.07899999999995</v>
      </c>
      <c r="P144" s="7">
        <v>0.17199999999999999</v>
      </c>
      <c r="Q144" s="7">
        <v>971.31500000000005</v>
      </c>
      <c r="R144" s="7">
        <v>0</v>
      </c>
      <c r="S144" s="7">
        <v>304.32299999999998</v>
      </c>
      <c r="T144" s="7">
        <v>0</v>
      </c>
      <c r="U144" s="7">
        <v>0</v>
      </c>
      <c r="V144" s="7">
        <v>0</v>
      </c>
      <c r="W144" s="7">
        <v>92.084000000000003</v>
      </c>
      <c r="X144" s="7">
        <v>0</v>
      </c>
      <c r="Y144" s="7">
        <v>1950.6</v>
      </c>
      <c r="Z144" s="7">
        <v>0</v>
      </c>
      <c r="AA144" s="7">
        <v>0</v>
      </c>
      <c r="AB144" s="7">
        <v>43304.548000000003</v>
      </c>
      <c r="AC144" s="7">
        <v>181.78</v>
      </c>
      <c r="AD144" s="7">
        <v>0</v>
      </c>
      <c r="AE144" s="7">
        <v>43334.014000000003</v>
      </c>
      <c r="AF144" s="7">
        <v>2506.2910000000002</v>
      </c>
      <c r="AG144" s="7">
        <v>0</v>
      </c>
      <c r="AH144" s="7">
        <v>19438.937000000002</v>
      </c>
      <c r="AI144" s="7">
        <v>4607.9480000000003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73.89</v>
      </c>
      <c r="AP144" s="7">
        <v>0</v>
      </c>
      <c r="AQ144" s="7">
        <v>855.08100000000002</v>
      </c>
      <c r="AR144" s="7">
        <v>0</v>
      </c>
      <c r="AS144" s="7">
        <v>2.9340000000000002</v>
      </c>
      <c r="AT144" s="7">
        <v>0</v>
      </c>
      <c r="AU144" s="7">
        <v>20.937000000000001</v>
      </c>
      <c r="AV144" s="7">
        <v>0</v>
      </c>
      <c r="AW144" s="7">
        <v>0</v>
      </c>
      <c r="AX144" s="7">
        <v>0</v>
      </c>
      <c r="AY144" s="7">
        <v>35.682000000000002</v>
      </c>
      <c r="AZ144" s="7">
        <v>374.08699999999999</v>
      </c>
      <c r="BA144" s="7">
        <v>0</v>
      </c>
      <c r="BB144" s="7">
        <v>22.724</v>
      </c>
      <c r="BC144" s="7">
        <v>0</v>
      </c>
      <c r="BD144" s="7">
        <v>418.00099999999998</v>
      </c>
      <c r="BE144" s="7">
        <v>5.9340000000000002</v>
      </c>
      <c r="BF144" s="7">
        <v>5.9340000000000002</v>
      </c>
      <c r="BG144" s="7">
        <v>148.92699999999999</v>
      </c>
      <c r="BH144" s="7">
        <v>0</v>
      </c>
      <c r="BI144" s="7">
        <v>0</v>
      </c>
      <c r="BJ144" s="21"/>
    </row>
    <row r="145" spans="1:62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50135.05</v>
      </c>
      <c r="F145" s="7">
        <v>3271.4650000000001</v>
      </c>
      <c r="G145" s="7">
        <v>3911.54</v>
      </c>
      <c r="H145" s="7">
        <v>28.791</v>
      </c>
      <c r="I145" s="7">
        <v>385.02199999999999</v>
      </c>
      <c r="J145" s="7">
        <v>3006.306</v>
      </c>
      <c r="K145" s="7">
        <v>0</v>
      </c>
      <c r="L145" s="7">
        <v>51284.614000000001</v>
      </c>
      <c r="M145" s="7">
        <v>15409.129000000001</v>
      </c>
      <c r="N145" s="7">
        <v>0</v>
      </c>
      <c r="O145" s="7">
        <v>-17.581</v>
      </c>
      <c r="P145" s="7">
        <v>60.802</v>
      </c>
      <c r="Q145" s="7">
        <v>-38.503</v>
      </c>
      <c r="R145" s="7">
        <v>-46.357999999999997</v>
      </c>
      <c r="S145" s="7">
        <v>95.313999999999993</v>
      </c>
      <c r="T145" s="7">
        <v>0</v>
      </c>
      <c r="U145" s="7">
        <v>0</v>
      </c>
      <c r="V145" s="7">
        <v>321.77199999999999</v>
      </c>
      <c r="W145" s="7">
        <v>929.56700000000001</v>
      </c>
      <c r="X145" s="7">
        <v>-863.41700000000003</v>
      </c>
      <c r="Y145" s="7">
        <v>11119.633</v>
      </c>
      <c r="Z145" s="7">
        <v>-1588.1679999999999</v>
      </c>
      <c r="AA145" s="7">
        <v>3303.7570000000001</v>
      </c>
      <c r="AB145" s="7">
        <v>-503.94200000000001</v>
      </c>
      <c r="AC145" s="7">
        <v>637.86599999999999</v>
      </c>
      <c r="AD145" s="7">
        <v>-182.78399999999999</v>
      </c>
      <c r="AE145" s="7">
        <v>37048.510999999999</v>
      </c>
      <c r="AF145" s="7">
        <v>1772.463</v>
      </c>
      <c r="AG145" s="7">
        <v>-640.66</v>
      </c>
      <c r="AH145" s="7">
        <v>110850.024</v>
      </c>
      <c r="AI145" s="7">
        <v>1394.2760000000001</v>
      </c>
      <c r="AJ145" s="7">
        <v>-7784.3519999999999</v>
      </c>
      <c r="AK145" s="7">
        <v>-141407.44</v>
      </c>
      <c r="AL145" s="7">
        <v>-81174.585999999996</v>
      </c>
      <c r="AM145" s="7">
        <v>0</v>
      </c>
      <c r="AN145" s="7">
        <v>-50002.849000000002</v>
      </c>
      <c r="AO145" s="7">
        <v>112.191</v>
      </c>
      <c r="AP145" s="7">
        <v>0</v>
      </c>
      <c r="AQ145" s="7">
        <v>360.74400000000003</v>
      </c>
      <c r="AR145" s="7">
        <v>0</v>
      </c>
      <c r="AS145" s="7">
        <v>3.6389999999999998</v>
      </c>
      <c r="AT145" s="7">
        <v>0</v>
      </c>
      <c r="AU145" s="7">
        <v>46.890999999999998</v>
      </c>
      <c r="AV145" s="7">
        <v>0</v>
      </c>
      <c r="AW145" s="7">
        <v>0</v>
      </c>
      <c r="AX145" s="7">
        <v>-646.77</v>
      </c>
      <c r="AY145" s="7">
        <v>-6.3949999999999996</v>
      </c>
      <c r="AZ145" s="7">
        <v>-1.77</v>
      </c>
      <c r="BA145" s="7">
        <v>-502.089</v>
      </c>
      <c r="BB145" s="7">
        <v>28.791</v>
      </c>
      <c r="BC145" s="7">
        <v>0.121</v>
      </c>
      <c r="BD145" s="7">
        <v>-2.8740000000000001</v>
      </c>
      <c r="BE145" s="7">
        <v>7.2329999999999997</v>
      </c>
      <c r="BF145" s="7">
        <v>7.2329999999999997</v>
      </c>
      <c r="BG145" s="7">
        <v>0</v>
      </c>
      <c r="BH145" s="7">
        <v>-5439.1059999999998</v>
      </c>
      <c r="BI145" s="7">
        <v>-1.74</v>
      </c>
      <c r="BJ145" s="21"/>
    </row>
    <row r="146" spans="1:62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12455.906999999999</v>
      </c>
      <c r="F146" s="7">
        <v>1369.741</v>
      </c>
      <c r="G146" s="7">
        <v>708.61099999999999</v>
      </c>
      <c r="H146" s="7">
        <v>48.24</v>
      </c>
      <c r="I146" s="7">
        <v>190.714</v>
      </c>
      <c r="J146" s="7">
        <v>567.60699999999997</v>
      </c>
      <c r="K146" s="7">
        <v>0</v>
      </c>
      <c r="L146" s="7">
        <v>15468.811</v>
      </c>
      <c r="M146" s="7">
        <v>3082.6129999999998</v>
      </c>
      <c r="N146" s="7">
        <v>0</v>
      </c>
      <c r="O146" s="7">
        <v>0</v>
      </c>
      <c r="P146" s="7">
        <v>23.074000000000002</v>
      </c>
      <c r="Q146" s="7">
        <v>0</v>
      </c>
      <c r="R146" s="7">
        <v>0.84299999999999997</v>
      </c>
      <c r="S146" s="7">
        <v>369.56400000000002</v>
      </c>
      <c r="T146" s="7">
        <v>0</v>
      </c>
      <c r="U146" s="7">
        <v>0</v>
      </c>
      <c r="V146" s="7">
        <v>107.956</v>
      </c>
      <c r="W146" s="7">
        <v>318.44099999999997</v>
      </c>
      <c r="X146" s="7">
        <v>0</v>
      </c>
      <c r="Y146" s="7">
        <v>3679.614</v>
      </c>
      <c r="Z146" s="7">
        <v>0</v>
      </c>
      <c r="AA146" s="7">
        <v>1204.3240000000001</v>
      </c>
      <c r="AB146" s="7">
        <v>0.67800000000000005</v>
      </c>
      <c r="AC146" s="7">
        <v>289.98500000000001</v>
      </c>
      <c r="AD146" s="7">
        <v>0</v>
      </c>
      <c r="AE146" s="7">
        <v>11720.036</v>
      </c>
      <c r="AF146" s="7">
        <v>1625.4159999999999</v>
      </c>
      <c r="AG146" s="7">
        <v>0</v>
      </c>
      <c r="AH146" s="7">
        <v>30791.002</v>
      </c>
      <c r="AI146" s="7">
        <v>2808.8809999999999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114.83199999999999</v>
      </c>
      <c r="AP146" s="7">
        <v>0</v>
      </c>
      <c r="AQ146" s="7">
        <v>577.36599999999999</v>
      </c>
      <c r="AR146" s="7">
        <v>0</v>
      </c>
      <c r="AS146" s="7">
        <v>3.7869999999999999</v>
      </c>
      <c r="AT146" s="7">
        <v>0</v>
      </c>
      <c r="AU146" s="7">
        <v>20.925999999999998</v>
      </c>
      <c r="AV146" s="7">
        <v>0</v>
      </c>
      <c r="AW146" s="7">
        <v>0</v>
      </c>
      <c r="AX146" s="7">
        <v>0</v>
      </c>
      <c r="AY146" s="7">
        <v>-3.589</v>
      </c>
      <c r="AZ146" s="7">
        <v>2.742</v>
      </c>
      <c r="BA146" s="7">
        <v>0</v>
      </c>
      <c r="BB146" s="7">
        <v>30.163</v>
      </c>
      <c r="BC146" s="7">
        <v>-2.0489999999999999</v>
      </c>
      <c r="BD146" s="7">
        <v>3.2919999999999998</v>
      </c>
      <c r="BE146" s="7">
        <v>8.6020000000000003</v>
      </c>
      <c r="BF146" s="7">
        <v>8.6020000000000003</v>
      </c>
      <c r="BG146" s="7">
        <v>1.3819999999999999</v>
      </c>
      <c r="BH146" s="7">
        <v>0</v>
      </c>
      <c r="BI146" s="7">
        <v>-0.78800000000000003</v>
      </c>
      <c r="BJ146" s="21"/>
    </row>
    <row r="147" spans="1:62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-5282.4</v>
      </c>
      <c r="F147" s="7">
        <v>-385.08199999999999</v>
      </c>
      <c r="G147" s="7">
        <v>-344.71699999999998</v>
      </c>
      <c r="H147" s="7">
        <v>9.9990000000000006</v>
      </c>
      <c r="I147" s="7">
        <v>-96.286000000000001</v>
      </c>
      <c r="J147" s="7">
        <v>-202.03</v>
      </c>
      <c r="K147" s="7">
        <v>0</v>
      </c>
      <c r="L147" s="7">
        <v>-5820.277</v>
      </c>
      <c r="M147" s="7">
        <v>-1038.473</v>
      </c>
      <c r="N147" s="7">
        <v>0</v>
      </c>
      <c r="O147" s="7">
        <v>0</v>
      </c>
      <c r="P147" s="7">
        <v>-27.338000000000001</v>
      </c>
      <c r="Q147" s="7">
        <v>0</v>
      </c>
      <c r="R147" s="7">
        <v>0</v>
      </c>
      <c r="S147" s="7">
        <v>117.81100000000001</v>
      </c>
      <c r="T147" s="7">
        <v>0</v>
      </c>
      <c r="U147" s="7">
        <v>0</v>
      </c>
      <c r="V147" s="7">
        <v>-15.573</v>
      </c>
      <c r="W147" s="7">
        <v>-147.97900000000001</v>
      </c>
      <c r="X147" s="7">
        <v>0</v>
      </c>
      <c r="Y147" s="7">
        <v>-1977.4380000000001</v>
      </c>
      <c r="Z147" s="7">
        <v>0</v>
      </c>
      <c r="AA147" s="7">
        <v>-140.23400000000001</v>
      </c>
      <c r="AB147" s="7">
        <v>-0.155</v>
      </c>
      <c r="AC147" s="7">
        <v>-65.62</v>
      </c>
      <c r="AD147" s="7">
        <v>-3.3559999999999999</v>
      </c>
      <c r="AE147" s="7">
        <v>-6578.4250000000002</v>
      </c>
      <c r="AF147" s="7">
        <v>-461.8</v>
      </c>
      <c r="AG147" s="7">
        <v>-11.59</v>
      </c>
      <c r="AH147" s="7">
        <v>-15119.218000000001</v>
      </c>
      <c r="AI147" s="7">
        <v>-812.46500000000003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16.103000000000002</v>
      </c>
      <c r="AP147" s="7">
        <v>0</v>
      </c>
      <c r="AQ147" s="7">
        <v>-158.88900000000001</v>
      </c>
      <c r="AR147" s="7">
        <v>0</v>
      </c>
      <c r="AS147" s="7">
        <v>0.51700000000000002</v>
      </c>
      <c r="AT147" s="7">
        <v>0</v>
      </c>
      <c r="AU147" s="7">
        <v>29.314</v>
      </c>
      <c r="AV147" s="7">
        <v>0</v>
      </c>
      <c r="AW147" s="7">
        <v>0</v>
      </c>
      <c r="AX147" s="7">
        <v>0</v>
      </c>
      <c r="AY147" s="7">
        <v>21.033999999999999</v>
      </c>
      <c r="AZ147" s="7">
        <v>0</v>
      </c>
      <c r="BA147" s="7">
        <v>0</v>
      </c>
      <c r="BB147" s="7">
        <v>4.7690000000000001</v>
      </c>
      <c r="BC147" s="7">
        <v>13.929</v>
      </c>
      <c r="BD147" s="7">
        <v>0</v>
      </c>
      <c r="BE147" s="7">
        <v>1.1279999999999999</v>
      </c>
      <c r="BF147" s="7">
        <v>1.1279999999999999</v>
      </c>
      <c r="BG147" s="7">
        <v>0</v>
      </c>
      <c r="BH147" s="7">
        <v>0</v>
      </c>
      <c r="BI147" s="7">
        <v>6.6120000000000001</v>
      </c>
      <c r="BJ147" s="21"/>
    </row>
    <row r="148" spans="1:62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-1121.3589999999999</v>
      </c>
      <c r="F148" s="7">
        <v>-782.71600000000001</v>
      </c>
      <c r="G148" s="7">
        <v>-54.744</v>
      </c>
      <c r="H148" s="7">
        <v>-120.708</v>
      </c>
      <c r="I148" s="7">
        <v>-69.266999999999996</v>
      </c>
      <c r="J148" s="7">
        <v>-581.37900000000002</v>
      </c>
      <c r="K148" s="7">
        <v>0</v>
      </c>
      <c r="L148" s="7">
        <v>-1640.058</v>
      </c>
      <c r="M148" s="7">
        <v>-720.10500000000002</v>
      </c>
      <c r="N148" s="7">
        <v>0</v>
      </c>
      <c r="O148" s="7">
        <v>0</v>
      </c>
      <c r="P148" s="7">
        <v>-2E-3</v>
      </c>
      <c r="Q148" s="7">
        <v>-966.39700000000005</v>
      </c>
      <c r="R148" s="7">
        <v>-1142.018</v>
      </c>
      <c r="S148" s="7">
        <v>-313.68</v>
      </c>
      <c r="T148" s="7">
        <v>0</v>
      </c>
      <c r="U148" s="7">
        <v>0</v>
      </c>
      <c r="V148" s="7">
        <v>-56.302999999999997</v>
      </c>
      <c r="W148" s="7">
        <v>-1.0349999999999999</v>
      </c>
      <c r="X148" s="7">
        <v>0</v>
      </c>
      <c r="Y148" s="7">
        <v>-35.259</v>
      </c>
      <c r="Z148" s="7">
        <v>-36398.749000000003</v>
      </c>
      <c r="AA148" s="7">
        <v>-1297.8779999999999</v>
      </c>
      <c r="AB148" s="7">
        <v>0</v>
      </c>
      <c r="AC148" s="7">
        <v>-137.48400000000001</v>
      </c>
      <c r="AD148" s="7">
        <v>-6561.4430000000002</v>
      </c>
      <c r="AE148" s="7">
        <v>-2.528</v>
      </c>
      <c r="AF148" s="7">
        <v>-14.348000000000001</v>
      </c>
      <c r="AG148" s="7">
        <v>-23230.528999999999</v>
      </c>
      <c r="AH148" s="7">
        <v>-2699.7350000000001</v>
      </c>
      <c r="AI148" s="7">
        <v>-1.0999999999999999E-2</v>
      </c>
      <c r="AJ148" s="7">
        <v>-175826.80100000001</v>
      </c>
      <c r="AK148" s="7">
        <v>0</v>
      </c>
      <c r="AL148" s="7">
        <v>0</v>
      </c>
      <c r="AM148" s="7">
        <v>0</v>
      </c>
      <c r="AN148" s="7">
        <v>0</v>
      </c>
      <c r="AO148" s="7">
        <v>-115.03700000000001</v>
      </c>
      <c r="AP148" s="7">
        <v>0</v>
      </c>
      <c r="AQ148" s="7">
        <v>-2.1139999999999999</v>
      </c>
      <c r="AR148" s="7">
        <v>0</v>
      </c>
      <c r="AS148" s="7">
        <v>-1.0940000000000001</v>
      </c>
      <c r="AT148" s="7">
        <v>0</v>
      </c>
      <c r="AU148" s="7">
        <v>-0.14899999999999999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-31.506</v>
      </c>
      <c r="BC148" s="7">
        <v>0</v>
      </c>
      <c r="BD148" s="7">
        <v>0</v>
      </c>
      <c r="BE148" s="7">
        <v>-8.7010000000000005</v>
      </c>
      <c r="BF148" s="7">
        <v>-8.7010000000000005</v>
      </c>
      <c r="BG148" s="7">
        <v>0</v>
      </c>
      <c r="BH148" s="7">
        <v>-130987.37</v>
      </c>
      <c r="BI148" s="7">
        <v>0</v>
      </c>
      <c r="BJ148" s="21"/>
    </row>
    <row r="149" spans="1:62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7967.8509999999997</v>
      </c>
      <c r="F149" s="7">
        <v>1736.1679999999999</v>
      </c>
      <c r="G149" s="7">
        <v>113.599</v>
      </c>
      <c r="H149" s="7">
        <v>0</v>
      </c>
      <c r="I149" s="7">
        <v>61.271999999999998</v>
      </c>
      <c r="J149" s="7">
        <v>77.83</v>
      </c>
      <c r="K149" s="7">
        <v>0</v>
      </c>
      <c r="L149" s="7">
        <v>19723.464</v>
      </c>
      <c r="M149" s="7">
        <v>1619.548</v>
      </c>
      <c r="N149" s="7">
        <v>0</v>
      </c>
      <c r="O149" s="7">
        <v>-5.1829999999999998</v>
      </c>
      <c r="P149" s="7">
        <v>0</v>
      </c>
      <c r="Q149" s="7">
        <v>-2.1669999999999998</v>
      </c>
      <c r="R149" s="7">
        <v>0</v>
      </c>
      <c r="S149" s="7">
        <v>538.77</v>
      </c>
      <c r="T149" s="7">
        <v>0</v>
      </c>
      <c r="U149" s="7">
        <v>0</v>
      </c>
      <c r="V149" s="7">
        <v>7.8369999999999997</v>
      </c>
      <c r="W149" s="7">
        <v>156.13900000000001</v>
      </c>
      <c r="X149" s="7">
        <v>-227.65899999999999</v>
      </c>
      <c r="Y149" s="7">
        <v>3569.5729999999999</v>
      </c>
      <c r="Z149" s="7">
        <v>-2.8</v>
      </c>
      <c r="AA149" s="7">
        <v>98.137</v>
      </c>
      <c r="AB149" s="7">
        <v>-92.700999999999993</v>
      </c>
      <c r="AC149" s="7">
        <v>310.887</v>
      </c>
      <c r="AD149" s="7">
        <v>-6.8719999999999999</v>
      </c>
      <c r="AE149" s="7">
        <v>8891.9959999999992</v>
      </c>
      <c r="AF149" s="7">
        <v>4219.3919999999998</v>
      </c>
      <c r="AG149" s="7">
        <v>-46.08</v>
      </c>
      <c r="AH149" s="7">
        <v>32683.667000000001</v>
      </c>
      <c r="AI149" s="7">
        <v>7404.2439999999997</v>
      </c>
      <c r="AJ149" s="7">
        <v>-14.348000000000001</v>
      </c>
      <c r="AK149" s="7">
        <v>229.75</v>
      </c>
      <c r="AL149" s="7">
        <v>131.886</v>
      </c>
      <c r="AM149" s="7">
        <v>0</v>
      </c>
      <c r="AN149" s="7">
        <v>81.242000000000004</v>
      </c>
      <c r="AO149" s="7">
        <v>148.285</v>
      </c>
      <c r="AP149" s="7">
        <v>0</v>
      </c>
      <c r="AQ149" s="7">
        <v>1449.296</v>
      </c>
      <c r="AR149" s="7">
        <v>0</v>
      </c>
      <c r="AS149" s="7">
        <v>5.9690000000000003</v>
      </c>
      <c r="AT149" s="7">
        <v>0</v>
      </c>
      <c r="AU149" s="7">
        <v>45.963999999999999</v>
      </c>
      <c r="AV149" s="7">
        <v>0</v>
      </c>
      <c r="AW149" s="7">
        <v>0</v>
      </c>
      <c r="AX149" s="7">
        <v>-170.53299999999999</v>
      </c>
      <c r="AY149" s="7">
        <v>2.9119999999999999</v>
      </c>
      <c r="AZ149" s="7">
        <v>0</v>
      </c>
      <c r="BA149" s="7">
        <v>-127.517</v>
      </c>
      <c r="BB149" s="7">
        <v>42.451000000000001</v>
      </c>
      <c r="BC149" s="7">
        <v>1.4770000000000001</v>
      </c>
      <c r="BD149" s="7">
        <v>0</v>
      </c>
      <c r="BE149" s="7">
        <v>11.864000000000001</v>
      </c>
      <c r="BF149" s="7">
        <v>11.864000000000001</v>
      </c>
      <c r="BG149" s="7">
        <v>0</v>
      </c>
      <c r="BH149" s="7">
        <v>-37.430999999999997</v>
      </c>
      <c r="BI149" s="7">
        <v>0.59899999999999998</v>
      </c>
      <c r="BJ149" s="21"/>
    </row>
    <row r="150" spans="1:62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-13550.825000000001</v>
      </c>
      <c r="F150" s="7">
        <v>626.61500000000001</v>
      </c>
      <c r="G150" s="7">
        <v>0</v>
      </c>
      <c r="H150" s="7">
        <v>0</v>
      </c>
      <c r="I150" s="7">
        <v>16.68</v>
      </c>
      <c r="J150" s="7">
        <v>0</v>
      </c>
      <c r="K150" s="7">
        <v>0</v>
      </c>
      <c r="L150" s="7">
        <v>-10658.751</v>
      </c>
      <c r="M150" s="7">
        <v>439.40800000000002</v>
      </c>
      <c r="N150" s="7">
        <v>0</v>
      </c>
      <c r="O150" s="7">
        <v>-563.89800000000002</v>
      </c>
      <c r="P150" s="7">
        <v>0</v>
      </c>
      <c r="Q150" s="7">
        <v>-854.947</v>
      </c>
      <c r="R150" s="7">
        <v>0</v>
      </c>
      <c r="S150" s="7">
        <v>194.46100000000001</v>
      </c>
      <c r="T150" s="7">
        <v>0</v>
      </c>
      <c r="U150" s="7">
        <v>0</v>
      </c>
      <c r="V150" s="7">
        <v>0</v>
      </c>
      <c r="W150" s="7">
        <v>52.575000000000003</v>
      </c>
      <c r="X150" s="7">
        <v>0</v>
      </c>
      <c r="Y150" s="7">
        <v>1287.463</v>
      </c>
      <c r="Z150" s="7">
        <v>305.67500000000001</v>
      </c>
      <c r="AA150" s="7">
        <v>0</v>
      </c>
      <c r="AB150" s="7">
        <v>-37998.879999999997</v>
      </c>
      <c r="AC150" s="7">
        <v>113.01600000000001</v>
      </c>
      <c r="AD150" s="7">
        <v>107.303</v>
      </c>
      <c r="AE150" s="7">
        <v>-31690.35</v>
      </c>
      <c r="AF150" s="7">
        <v>1558.8389999999999</v>
      </c>
      <c r="AG150" s="7">
        <v>608.76199999999994</v>
      </c>
      <c r="AH150" s="7">
        <v>11867.35</v>
      </c>
      <c r="AI150" s="7">
        <v>2735.5</v>
      </c>
      <c r="AJ150" s="7">
        <v>1564.152</v>
      </c>
      <c r="AK150" s="7">
        <v>145188.93599999999</v>
      </c>
      <c r="AL150" s="7">
        <v>83345.343999999997</v>
      </c>
      <c r="AM150" s="7">
        <v>0</v>
      </c>
      <c r="AN150" s="7">
        <v>51340.017</v>
      </c>
      <c r="AO150" s="7">
        <v>53.822000000000003</v>
      </c>
      <c r="AP150" s="7">
        <v>0</v>
      </c>
      <c r="AQ150" s="7">
        <v>535.55399999999997</v>
      </c>
      <c r="AR150" s="7">
        <v>0</v>
      </c>
      <c r="AS150" s="7">
        <v>2.0539999999999998</v>
      </c>
      <c r="AT150" s="7">
        <v>0</v>
      </c>
      <c r="AU150" s="7">
        <v>13.949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15.353999999999999</v>
      </c>
      <c r="BC150" s="7">
        <v>0</v>
      </c>
      <c r="BD150" s="7">
        <v>0</v>
      </c>
      <c r="BE150" s="7">
        <v>4.2750000000000004</v>
      </c>
      <c r="BF150" s="7">
        <v>4.2750000000000004</v>
      </c>
      <c r="BG150" s="7">
        <v>0</v>
      </c>
      <c r="BH150" s="7">
        <v>1194.0060000000001</v>
      </c>
      <c r="BI150" s="7">
        <v>0</v>
      </c>
      <c r="BJ150" s="21"/>
    </row>
    <row r="151" spans="1:62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1128.6099999999999</v>
      </c>
      <c r="F153" s="7">
        <v>787.77800000000002</v>
      </c>
      <c r="G153" s="7">
        <v>55.097999999999999</v>
      </c>
      <c r="H153" s="7">
        <v>121.488</v>
      </c>
      <c r="I153" s="7">
        <v>69.715000000000003</v>
      </c>
      <c r="J153" s="7">
        <v>585.13800000000003</v>
      </c>
      <c r="K153" s="7">
        <v>0</v>
      </c>
      <c r="L153" s="7">
        <v>1650.663</v>
      </c>
      <c r="M153" s="7">
        <v>724.76199999999994</v>
      </c>
      <c r="N153" s="7">
        <v>0</v>
      </c>
      <c r="O153" s="7">
        <v>0</v>
      </c>
      <c r="P153" s="7">
        <v>2E-3</v>
      </c>
      <c r="Q153" s="7">
        <v>966.51300000000003</v>
      </c>
      <c r="R153" s="7">
        <v>1142.154</v>
      </c>
      <c r="S153" s="7">
        <v>315.709</v>
      </c>
      <c r="T153" s="7">
        <v>0</v>
      </c>
      <c r="U153" s="7">
        <v>0</v>
      </c>
      <c r="V153" s="7">
        <v>56.667000000000002</v>
      </c>
      <c r="W153" s="7">
        <v>1.042</v>
      </c>
      <c r="X153" s="7">
        <v>0</v>
      </c>
      <c r="Y153" s="7">
        <v>35.487000000000002</v>
      </c>
      <c r="Z153" s="7">
        <v>36403.099000000002</v>
      </c>
      <c r="AA153" s="7">
        <v>1306.27</v>
      </c>
      <c r="AB153" s="7">
        <v>0</v>
      </c>
      <c r="AC153" s="7">
        <v>138.37299999999999</v>
      </c>
      <c r="AD153" s="7">
        <v>6470.59</v>
      </c>
      <c r="AE153" s="7">
        <v>2.5449999999999999</v>
      </c>
      <c r="AF153" s="7">
        <v>14.441000000000001</v>
      </c>
      <c r="AG153" s="7">
        <v>22872.186000000002</v>
      </c>
      <c r="AH153" s="7">
        <v>2717.192</v>
      </c>
      <c r="AI153" s="7">
        <v>1.0999999999999999E-2</v>
      </c>
      <c r="AJ153" s="7">
        <v>175847.815</v>
      </c>
      <c r="AK153" s="7">
        <v>0</v>
      </c>
      <c r="AL153" s="7">
        <v>0</v>
      </c>
      <c r="AM153" s="7">
        <v>0</v>
      </c>
      <c r="AN153" s="7">
        <v>0</v>
      </c>
      <c r="AO153" s="7">
        <v>115.78100000000001</v>
      </c>
      <c r="AP153" s="7">
        <v>0</v>
      </c>
      <c r="AQ153" s="7">
        <v>2.1269999999999998</v>
      </c>
      <c r="AR153" s="7">
        <v>0</v>
      </c>
      <c r="AS153" s="7">
        <v>1.101</v>
      </c>
      <c r="AT153" s="7">
        <v>0</v>
      </c>
      <c r="AU153" s="7">
        <v>0.15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31.71</v>
      </c>
      <c r="BC153" s="7">
        <v>0</v>
      </c>
      <c r="BD153" s="7">
        <v>0</v>
      </c>
      <c r="BE153" s="7">
        <v>8.7579999999999991</v>
      </c>
      <c r="BF153" s="7">
        <v>8.7579999999999991</v>
      </c>
      <c r="BG153" s="7">
        <v>0</v>
      </c>
      <c r="BH153" s="7">
        <v>131003.02499999999</v>
      </c>
      <c r="BI153" s="7">
        <v>0</v>
      </c>
      <c r="BJ153" s="21"/>
    </row>
    <row r="154" spans="1:62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4711.3419999999996</v>
      </c>
      <c r="F154" s="7">
        <v>960.75199999999995</v>
      </c>
      <c r="G154" s="7">
        <v>0</v>
      </c>
      <c r="H154" s="7">
        <v>0</v>
      </c>
      <c r="I154" s="7">
        <v>39.168999999999997</v>
      </c>
      <c r="J154" s="7">
        <v>0</v>
      </c>
      <c r="K154" s="7">
        <v>0</v>
      </c>
      <c r="L154" s="7">
        <v>11683.403</v>
      </c>
      <c r="M154" s="7">
        <v>980.78200000000004</v>
      </c>
      <c r="N154" s="7">
        <v>0</v>
      </c>
      <c r="O154" s="7">
        <v>0</v>
      </c>
      <c r="P154" s="7">
        <v>0.17499999999999999</v>
      </c>
      <c r="Q154" s="7">
        <v>0</v>
      </c>
      <c r="R154" s="7">
        <v>0</v>
      </c>
      <c r="S154" s="7">
        <v>308.93299999999999</v>
      </c>
      <c r="T154" s="7">
        <v>0</v>
      </c>
      <c r="U154" s="7">
        <v>0</v>
      </c>
      <c r="V154" s="7">
        <v>0</v>
      </c>
      <c r="W154" s="7">
        <v>93.477000000000004</v>
      </c>
      <c r="X154" s="7">
        <v>0</v>
      </c>
      <c r="Y154" s="7">
        <v>1980.154</v>
      </c>
      <c r="Z154" s="7">
        <v>0</v>
      </c>
      <c r="AA154" s="7">
        <v>0</v>
      </c>
      <c r="AB154" s="7">
        <v>0</v>
      </c>
      <c r="AC154" s="7">
        <v>184.53299999999999</v>
      </c>
      <c r="AD154" s="7">
        <v>0</v>
      </c>
      <c r="AE154" s="7">
        <v>4773.7380000000003</v>
      </c>
      <c r="AF154" s="7">
        <v>2544.2649999999999</v>
      </c>
      <c r="AG154" s="7">
        <v>0</v>
      </c>
      <c r="AH154" s="7">
        <v>19733.474999999999</v>
      </c>
      <c r="AI154" s="7">
        <v>4677.768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75.007000000000005</v>
      </c>
      <c r="AP154" s="7">
        <v>0</v>
      </c>
      <c r="AQ154" s="7">
        <v>868.03599999999994</v>
      </c>
      <c r="AR154" s="7">
        <v>0</v>
      </c>
      <c r="AS154" s="7">
        <v>2.9769999999999999</v>
      </c>
      <c r="AT154" s="7">
        <v>0</v>
      </c>
      <c r="AU154" s="7">
        <v>21.234000000000002</v>
      </c>
      <c r="AV154" s="7">
        <v>0</v>
      </c>
      <c r="AW154" s="7">
        <v>0</v>
      </c>
      <c r="AX154" s="7">
        <v>0</v>
      </c>
      <c r="AY154" s="7">
        <v>36.225000000000001</v>
      </c>
      <c r="AZ154" s="7">
        <v>379.75799999999998</v>
      </c>
      <c r="BA154" s="7">
        <v>0</v>
      </c>
      <c r="BB154" s="7">
        <v>23.068999999999999</v>
      </c>
      <c r="BC154" s="7">
        <v>0</v>
      </c>
      <c r="BD154" s="7">
        <v>424.334</v>
      </c>
      <c r="BE154" s="7">
        <v>6.0250000000000004</v>
      </c>
      <c r="BF154" s="7">
        <v>6.0250000000000004</v>
      </c>
      <c r="BG154" s="7">
        <v>151.18100000000001</v>
      </c>
      <c r="BH154" s="7">
        <v>0</v>
      </c>
      <c r="BI154" s="7">
        <v>0</v>
      </c>
      <c r="BJ154" s="21"/>
    </row>
    <row r="155" spans="1:62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254.93100000000001</v>
      </c>
      <c r="F155" s="7">
        <v>58.984000000000002</v>
      </c>
      <c r="G155" s="7">
        <v>24.74</v>
      </c>
      <c r="H155" s="7">
        <v>0</v>
      </c>
      <c r="I155" s="7">
        <v>5.8609999999999998</v>
      </c>
      <c r="J155" s="7">
        <v>19.489000000000001</v>
      </c>
      <c r="K155" s="7">
        <v>0</v>
      </c>
      <c r="L155" s="7">
        <v>488.91699999999997</v>
      </c>
      <c r="M155" s="7">
        <v>113.069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17.724</v>
      </c>
      <c r="T155" s="7">
        <v>0</v>
      </c>
      <c r="U155" s="7">
        <v>0</v>
      </c>
      <c r="V155" s="7">
        <v>2.649</v>
      </c>
      <c r="W155" s="7">
        <v>9.923</v>
      </c>
      <c r="X155" s="7">
        <v>0</v>
      </c>
      <c r="Y155" s="7">
        <v>95.385000000000005</v>
      </c>
      <c r="Z155" s="7">
        <v>0</v>
      </c>
      <c r="AA155" s="7">
        <v>25.786999999999999</v>
      </c>
      <c r="AB155" s="7">
        <v>2.8000000000000001E-2</v>
      </c>
      <c r="AC155" s="7">
        <v>10.019</v>
      </c>
      <c r="AD155" s="7">
        <v>0</v>
      </c>
      <c r="AE155" s="7">
        <v>232.846</v>
      </c>
      <c r="AF155" s="7">
        <v>83.635999999999996</v>
      </c>
      <c r="AG155" s="7">
        <v>0</v>
      </c>
      <c r="AH155" s="7">
        <v>995.505</v>
      </c>
      <c r="AI155" s="7">
        <v>146.767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3.6429999999999998</v>
      </c>
      <c r="AP155" s="7">
        <v>0</v>
      </c>
      <c r="AQ155" s="7">
        <v>28.734000000000002</v>
      </c>
      <c r="AR155" s="7">
        <v>0</v>
      </c>
      <c r="AS155" s="7">
        <v>0.12</v>
      </c>
      <c r="AT155" s="7">
        <v>0</v>
      </c>
      <c r="AU155" s="7">
        <v>0.748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1.0780000000000001</v>
      </c>
      <c r="BC155" s="7">
        <v>0</v>
      </c>
      <c r="BD155" s="7">
        <v>0</v>
      </c>
      <c r="BE155" s="7">
        <v>0.37</v>
      </c>
      <c r="BF155" s="7">
        <v>0.37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638.35799999999995</v>
      </c>
      <c r="F157" s="7">
        <v>58.399000000000001</v>
      </c>
      <c r="G157" s="7">
        <v>82.972999999999999</v>
      </c>
      <c r="H157" s="7">
        <v>0</v>
      </c>
      <c r="I157" s="7">
        <v>14.534000000000001</v>
      </c>
      <c r="J157" s="7">
        <v>50.704999999999998</v>
      </c>
      <c r="K157" s="7">
        <v>0</v>
      </c>
      <c r="L157" s="7">
        <v>465.79399999999998</v>
      </c>
      <c r="M157" s="7">
        <v>226.06299999999999</v>
      </c>
      <c r="N157" s="7">
        <v>0</v>
      </c>
      <c r="O157" s="7">
        <v>0</v>
      </c>
      <c r="P157" s="7">
        <v>2.6930000000000001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7.4390000000000001</v>
      </c>
      <c r="W157" s="7">
        <v>22.707000000000001</v>
      </c>
      <c r="X157" s="7">
        <v>0</v>
      </c>
      <c r="Y157" s="7">
        <v>179.58500000000001</v>
      </c>
      <c r="Z157" s="7">
        <v>0</v>
      </c>
      <c r="AA157" s="7">
        <v>63.430999999999997</v>
      </c>
      <c r="AB157" s="7">
        <v>0</v>
      </c>
      <c r="AC157" s="7">
        <v>9.6</v>
      </c>
      <c r="AD157" s="7">
        <v>0</v>
      </c>
      <c r="AE157" s="7">
        <v>574.19299999999998</v>
      </c>
      <c r="AF157" s="7">
        <v>0</v>
      </c>
      <c r="AG157" s="7">
        <v>0</v>
      </c>
      <c r="AH157" s="7">
        <v>1341.0119999999999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-328.63099999999997</v>
      </c>
      <c r="F159" s="7">
        <v>-76.013999999999996</v>
      </c>
      <c r="G159" s="7">
        <v>-32.152000000000001</v>
      </c>
      <c r="H159" s="7">
        <v>0</v>
      </c>
      <c r="I159" s="7">
        <v>-7.6</v>
      </c>
      <c r="J159" s="7">
        <v>-25.327999999999999</v>
      </c>
      <c r="K159" s="7">
        <v>0</v>
      </c>
      <c r="L159" s="7">
        <v>-627.995</v>
      </c>
      <c r="M159" s="7">
        <v>-146.49600000000001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-22.834</v>
      </c>
      <c r="T159" s="7">
        <v>0</v>
      </c>
      <c r="U159" s="7">
        <v>0</v>
      </c>
      <c r="V159" s="7">
        <v>-3.4420000000000002</v>
      </c>
      <c r="W159" s="7">
        <v>-12.842000000000001</v>
      </c>
      <c r="X159" s="7">
        <v>0</v>
      </c>
      <c r="Y159" s="7">
        <v>-122.642</v>
      </c>
      <c r="Z159" s="7">
        <v>0</v>
      </c>
      <c r="AA159" s="7">
        <v>-33.512999999999998</v>
      </c>
      <c r="AB159" s="7">
        <v>-3.5999999999999997E-2</v>
      </c>
      <c r="AC159" s="7">
        <v>-12.904999999999999</v>
      </c>
      <c r="AD159" s="7">
        <v>0</v>
      </c>
      <c r="AE159" s="7">
        <v>-299.31400000000002</v>
      </c>
      <c r="AF159" s="7">
        <v>-107.095</v>
      </c>
      <c r="AG159" s="7">
        <v>0</v>
      </c>
      <c r="AH159" s="7">
        <v>-1281.5920000000001</v>
      </c>
      <c r="AI159" s="7">
        <v>-187.93299999999999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-4.68</v>
      </c>
      <c r="AP159" s="7">
        <v>0</v>
      </c>
      <c r="AQ159" s="7">
        <v>-36.792999999999999</v>
      </c>
      <c r="AR159" s="7">
        <v>0</v>
      </c>
      <c r="AS159" s="7">
        <v>-0.153</v>
      </c>
      <c r="AT159" s="7">
        <v>0</v>
      </c>
      <c r="AU159" s="7">
        <v>-0.95799999999999996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-1.3859999999999999</v>
      </c>
      <c r="BC159" s="7">
        <v>0</v>
      </c>
      <c r="BD159" s="7">
        <v>0</v>
      </c>
      <c r="BE159" s="7">
        <v>-0.47699999999999998</v>
      </c>
      <c r="BF159" s="7">
        <v>-0.47699999999999998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2124.0439999999999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99.468999999999994</v>
      </c>
      <c r="F164" s="7">
        <v>21.986000000000001</v>
      </c>
      <c r="G164" s="7">
        <v>21.443999999999999</v>
      </c>
      <c r="H164" s="7">
        <v>0</v>
      </c>
      <c r="I164" s="7">
        <v>4.3040000000000003</v>
      </c>
      <c r="J164" s="7">
        <v>16.891999999999999</v>
      </c>
      <c r="K164" s="7">
        <v>0</v>
      </c>
      <c r="L164" s="7">
        <v>88.125</v>
      </c>
      <c r="M164" s="7">
        <v>77.572000000000003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6.319</v>
      </c>
      <c r="T164" s="7">
        <v>0</v>
      </c>
      <c r="U164" s="7">
        <v>0</v>
      </c>
      <c r="V164" s="7">
        <v>2.2959999999999998</v>
      </c>
      <c r="W164" s="7">
        <v>6.1559999999999997</v>
      </c>
      <c r="X164" s="7">
        <v>0</v>
      </c>
      <c r="Y164" s="7">
        <v>22.803999999999998</v>
      </c>
      <c r="Z164" s="7">
        <v>0</v>
      </c>
      <c r="AA164" s="7">
        <v>22.352</v>
      </c>
      <c r="AB164" s="7">
        <v>0</v>
      </c>
      <c r="AC164" s="7">
        <v>3.4279999999999999</v>
      </c>
      <c r="AD164" s="7">
        <v>0</v>
      </c>
      <c r="AE164" s="7">
        <v>52.512999999999998</v>
      </c>
      <c r="AF164" s="7">
        <v>0</v>
      </c>
      <c r="AG164" s="7">
        <v>0</v>
      </c>
      <c r="AH164" s="7">
        <v>310.99299999999999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0.65500000000000003</v>
      </c>
      <c r="AP164" s="7">
        <v>0</v>
      </c>
      <c r="AQ164" s="7">
        <v>0</v>
      </c>
      <c r="AR164" s="7">
        <v>0</v>
      </c>
      <c r="AS164" s="7">
        <v>8.0000000000000002E-3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0.221</v>
      </c>
      <c r="BC164" s="7">
        <v>0</v>
      </c>
      <c r="BD164" s="7">
        <v>0</v>
      </c>
      <c r="BE164" s="7">
        <v>0.122</v>
      </c>
      <c r="BF164" s="7">
        <v>0.122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692.87099999999998</v>
      </c>
      <c r="F166" s="7">
        <v>63.386000000000003</v>
      </c>
      <c r="G166" s="7">
        <v>90.058999999999997</v>
      </c>
      <c r="H166" s="7">
        <v>0</v>
      </c>
      <c r="I166" s="7">
        <v>15.775</v>
      </c>
      <c r="J166" s="7">
        <v>55.034999999999997</v>
      </c>
      <c r="K166" s="7">
        <v>0</v>
      </c>
      <c r="L166" s="7">
        <v>505.57100000000003</v>
      </c>
      <c r="M166" s="7">
        <v>245.36699999999999</v>
      </c>
      <c r="N166" s="7">
        <v>0</v>
      </c>
      <c r="O166" s="7">
        <v>0</v>
      </c>
      <c r="P166" s="7">
        <v>2.923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8.0739999999999998</v>
      </c>
      <c r="W166" s="7">
        <v>24.646000000000001</v>
      </c>
      <c r="X166" s="7">
        <v>0</v>
      </c>
      <c r="Y166" s="7">
        <v>194.92099999999999</v>
      </c>
      <c r="Z166" s="7">
        <v>0</v>
      </c>
      <c r="AA166" s="7">
        <v>68.847999999999999</v>
      </c>
      <c r="AB166" s="7">
        <v>0</v>
      </c>
      <c r="AC166" s="7">
        <v>10.42</v>
      </c>
      <c r="AD166" s="7">
        <v>0</v>
      </c>
      <c r="AE166" s="7">
        <v>623.226</v>
      </c>
      <c r="AF166" s="7">
        <v>0</v>
      </c>
      <c r="AG166" s="7">
        <v>0</v>
      </c>
      <c r="AH166" s="7">
        <v>1455.528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-7.9660000000000002</v>
      </c>
      <c r="F169" s="7">
        <v>-1.7609999999999999</v>
      </c>
      <c r="G169" s="7">
        <v>-1.7170000000000001</v>
      </c>
      <c r="H169" s="7">
        <v>0</v>
      </c>
      <c r="I169" s="7">
        <v>-0.34499999999999997</v>
      </c>
      <c r="J169" s="7">
        <v>-1.353</v>
      </c>
      <c r="K169" s="7">
        <v>0</v>
      </c>
      <c r="L169" s="7">
        <v>-7.0579999999999998</v>
      </c>
      <c r="M169" s="7">
        <v>-6.2119999999999997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-0.50600000000000001</v>
      </c>
      <c r="T169" s="7">
        <v>0</v>
      </c>
      <c r="U169" s="7">
        <v>0</v>
      </c>
      <c r="V169" s="7">
        <v>-0.184</v>
      </c>
      <c r="W169" s="7">
        <v>-0.49299999999999999</v>
      </c>
      <c r="X169" s="7">
        <v>0</v>
      </c>
      <c r="Y169" s="7">
        <v>-1.8260000000000001</v>
      </c>
      <c r="Z169" s="7">
        <v>0</v>
      </c>
      <c r="AA169" s="7">
        <v>-1.79</v>
      </c>
      <c r="AB169" s="7">
        <v>0</v>
      </c>
      <c r="AC169" s="7">
        <v>-0.27500000000000002</v>
      </c>
      <c r="AD169" s="7">
        <v>0</v>
      </c>
      <c r="AE169" s="7">
        <v>-4.2060000000000004</v>
      </c>
      <c r="AF169" s="7">
        <v>0</v>
      </c>
      <c r="AG169" s="7">
        <v>0</v>
      </c>
      <c r="AH169" s="7">
        <v>-24.905999999999999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-5.1999999999999998E-2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-1.7999999999999999E-2</v>
      </c>
      <c r="BC169" s="7">
        <v>0</v>
      </c>
      <c r="BD169" s="7">
        <v>0</v>
      </c>
      <c r="BE169" s="7">
        <v>-0.01</v>
      </c>
      <c r="BF169" s="7">
        <v>-0.01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7780.6059999999998</v>
      </c>
      <c r="F172" s="7">
        <v>1649.7819999999999</v>
      </c>
      <c r="G172" s="7">
        <v>0</v>
      </c>
      <c r="H172" s="7">
        <v>0</v>
      </c>
      <c r="I172" s="7">
        <v>62.567</v>
      </c>
      <c r="J172" s="7">
        <v>0</v>
      </c>
      <c r="K172" s="7">
        <v>0</v>
      </c>
      <c r="L172" s="7">
        <v>19710.313999999998</v>
      </c>
      <c r="M172" s="7">
        <v>1576.211</v>
      </c>
      <c r="N172" s="7">
        <v>0</v>
      </c>
      <c r="O172" s="7">
        <v>0</v>
      </c>
      <c r="P172" s="7">
        <v>0.23400000000000001</v>
      </c>
      <c r="Q172" s="7">
        <v>0</v>
      </c>
      <c r="R172" s="7">
        <v>0</v>
      </c>
      <c r="S172" s="7">
        <v>526.22299999999996</v>
      </c>
      <c r="T172" s="7">
        <v>0</v>
      </c>
      <c r="U172" s="7">
        <v>0</v>
      </c>
      <c r="V172" s="7">
        <v>0</v>
      </c>
      <c r="W172" s="7">
        <v>155.86799999999999</v>
      </c>
      <c r="X172" s="7">
        <v>0</v>
      </c>
      <c r="Y172" s="7">
        <v>3376.433</v>
      </c>
      <c r="Z172" s="7">
        <v>0</v>
      </c>
      <c r="AA172" s="7">
        <v>0</v>
      </c>
      <c r="AB172" s="7">
        <v>0.29199999999999998</v>
      </c>
      <c r="AC172" s="7">
        <v>312.21899999999999</v>
      </c>
      <c r="AD172" s="7">
        <v>0</v>
      </c>
      <c r="AE172" s="7">
        <v>8199.8989999999994</v>
      </c>
      <c r="AF172" s="7">
        <v>4306.5039999999999</v>
      </c>
      <c r="AG172" s="7">
        <v>0</v>
      </c>
      <c r="AH172" s="7">
        <v>33458.752</v>
      </c>
      <c r="AI172" s="7">
        <v>7841.4160000000002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130.738</v>
      </c>
      <c r="AP172" s="7">
        <v>0</v>
      </c>
      <c r="AQ172" s="7">
        <v>1466.626</v>
      </c>
      <c r="AR172" s="7">
        <v>0</v>
      </c>
      <c r="AS172" s="7">
        <v>5.1429999999999998</v>
      </c>
      <c r="AT172" s="7">
        <v>0</v>
      </c>
      <c r="AU172" s="7">
        <v>36.313000000000002</v>
      </c>
      <c r="AV172" s="7">
        <v>0</v>
      </c>
      <c r="AW172" s="7">
        <v>0</v>
      </c>
      <c r="AX172" s="7">
        <v>0</v>
      </c>
      <c r="AY172" s="7">
        <v>48.537999999999997</v>
      </c>
      <c r="AZ172" s="7">
        <v>508.86900000000003</v>
      </c>
      <c r="BA172" s="7">
        <v>0</v>
      </c>
      <c r="BB172" s="7">
        <v>39.533999999999999</v>
      </c>
      <c r="BC172" s="7">
        <v>0</v>
      </c>
      <c r="BD172" s="7">
        <v>568.60599999999999</v>
      </c>
      <c r="BE172" s="7">
        <v>10.472</v>
      </c>
      <c r="BF172" s="7">
        <v>10.472</v>
      </c>
      <c r="BG172" s="7">
        <v>202.58500000000001</v>
      </c>
      <c r="BH172" s="7">
        <v>0</v>
      </c>
      <c r="BI172" s="7">
        <v>0</v>
      </c>
      <c r="BJ172" s="21"/>
    </row>
    <row r="173" spans="1:62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-7608.585</v>
      </c>
      <c r="F177" s="7">
        <v>-1685.3209999999999</v>
      </c>
      <c r="G177" s="7">
        <v>0</v>
      </c>
      <c r="H177" s="7">
        <v>0</v>
      </c>
      <c r="I177" s="7">
        <v>-56.726999999999997</v>
      </c>
      <c r="J177" s="7">
        <v>0</v>
      </c>
      <c r="K177" s="7">
        <v>0</v>
      </c>
      <c r="L177" s="7">
        <v>-19879.084999999999</v>
      </c>
      <c r="M177" s="7">
        <v>-1448.818</v>
      </c>
      <c r="N177" s="7">
        <v>0</v>
      </c>
      <c r="O177" s="7">
        <v>0</v>
      </c>
      <c r="P177" s="7">
        <v>-0.15</v>
      </c>
      <c r="Q177" s="7">
        <v>0</v>
      </c>
      <c r="R177" s="7">
        <v>0</v>
      </c>
      <c r="S177" s="7">
        <v>-532.14</v>
      </c>
      <c r="T177" s="7">
        <v>0</v>
      </c>
      <c r="U177" s="7">
        <v>0</v>
      </c>
      <c r="V177" s="7">
        <v>0</v>
      </c>
      <c r="W177" s="7">
        <v>-152.52600000000001</v>
      </c>
      <c r="X177" s="7">
        <v>0</v>
      </c>
      <c r="Y177" s="7">
        <v>-3456.89</v>
      </c>
      <c r="Z177" s="7">
        <v>0</v>
      </c>
      <c r="AA177" s="7">
        <v>0</v>
      </c>
      <c r="AB177" s="7">
        <v>-0.71199999999999997</v>
      </c>
      <c r="AC177" s="7">
        <v>-313.387</v>
      </c>
      <c r="AD177" s="7">
        <v>0</v>
      </c>
      <c r="AE177" s="7">
        <v>-8480.0550000000003</v>
      </c>
      <c r="AF177" s="7">
        <v>-4322.4210000000003</v>
      </c>
      <c r="AG177" s="7">
        <v>0</v>
      </c>
      <c r="AH177" s="7">
        <v>-33313.989000000001</v>
      </c>
      <c r="AI177" s="7">
        <v>-7766.9110000000001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-137.85499999999999</v>
      </c>
      <c r="AP177" s="7">
        <v>0</v>
      </c>
      <c r="AQ177" s="7">
        <v>-1477.345</v>
      </c>
      <c r="AR177" s="7">
        <v>0</v>
      </c>
      <c r="AS177" s="7">
        <v>-5.36</v>
      </c>
      <c r="AT177" s="7">
        <v>0</v>
      </c>
      <c r="AU177" s="7">
        <v>-37.258000000000003</v>
      </c>
      <c r="AV177" s="7">
        <v>0</v>
      </c>
      <c r="AW177" s="7">
        <v>0</v>
      </c>
      <c r="AX177" s="7">
        <v>0</v>
      </c>
      <c r="AY177" s="7">
        <v>-31.018000000000001</v>
      </c>
      <c r="AZ177" s="7">
        <v>-325.19600000000003</v>
      </c>
      <c r="BA177" s="7">
        <v>0</v>
      </c>
      <c r="BB177" s="7">
        <v>-40.758000000000003</v>
      </c>
      <c r="BC177" s="7">
        <v>0</v>
      </c>
      <c r="BD177" s="7">
        <v>-363.37099999999998</v>
      </c>
      <c r="BE177" s="7">
        <v>-11.006</v>
      </c>
      <c r="BF177" s="7">
        <v>-11.006</v>
      </c>
      <c r="BG177" s="7">
        <v>-129.46299999999999</v>
      </c>
      <c r="BH177" s="7">
        <v>0</v>
      </c>
      <c r="BI177" s="7">
        <v>0</v>
      </c>
      <c r="BJ177" s="21"/>
    </row>
    <row r="178" spans="1:62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155.636</v>
      </c>
      <c r="F182" s="7">
        <v>31.738</v>
      </c>
      <c r="G182" s="7">
        <v>0</v>
      </c>
      <c r="H182" s="7">
        <v>0</v>
      </c>
      <c r="I182" s="7">
        <v>1.294</v>
      </c>
      <c r="J182" s="7">
        <v>0</v>
      </c>
      <c r="K182" s="7">
        <v>0</v>
      </c>
      <c r="L182" s="7">
        <v>385.952</v>
      </c>
      <c r="M182" s="7">
        <v>32.399000000000001</v>
      </c>
      <c r="N182" s="7">
        <v>0</v>
      </c>
      <c r="O182" s="7">
        <v>0</v>
      </c>
      <c r="P182" s="7">
        <v>6.0000000000000001E-3</v>
      </c>
      <c r="Q182" s="7">
        <v>0</v>
      </c>
      <c r="R182" s="7">
        <v>0</v>
      </c>
      <c r="S182" s="7">
        <v>10.205</v>
      </c>
      <c r="T182" s="7">
        <v>0</v>
      </c>
      <c r="U182" s="7">
        <v>0</v>
      </c>
      <c r="V182" s="7">
        <v>0</v>
      </c>
      <c r="W182" s="7">
        <v>3.0880000000000001</v>
      </c>
      <c r="X182" s="7">
        <v>0</v>
      </c>
      <c r="Y182" s="7">
        <v>65.412999999999997</v>
      </c>
      <c r="Z182" s="7">
        <v>0</v>
      </c>
      <c r="AA182" s="7">
        <v>0</v>
      </c>
      <c r="AB182" s="7">
        <v>0</v>
      </c>
      <c r="AC182" s="7">
        <v>6.0960000000000001</v>
      </c>
      <c r="AD182" s="7">
        <v>0</v>
      </c>
      <c r="AE182" s="7">
        <v>157.697</v>
      </c>
      <c r="AF182" s="7">
        <v>84.048000000000002</v>
      </c>
      <c r="AG182" s="7">
        <v>0</v>
      </c>
      <c r="AH182" s="7">
        <v>651.88</v>
      </c>
      <c r="AI182" s="7">
        <v>154.52600000000001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2.4780000000000002</v>
      </c>
      <c r="AP182" s="7">
        <v>0</v>
      </c>
      <c r="AQ182" s="7">
        <v>28.675000000000001</v>
      </c>
      <c r="AR182" s="7">
        <v>0</v>
      </c>
      <c r="AS182" s="7">
        <v>9.8000000000000004E-2</v>
      </c>
      <c r="AT182" s="7">
        <v>0</v>
      </c>
      <c r="AU182" s="7">
        <v>0.70199999999999996</v>
      </c>
      <c r="AV182" s="7">
        <v>0</v>
      </c>
      <c r="AW182" s="7">
        <v>0</v>
      </c>
      <c r="AX182" s="7">
        <v>0</v>
      </c>
      <c r="AY182" s="7">
        <v>1.1970000000000001</v>
      </c>
      <c r="AZ182" s="7">
        <v>12.545</v>
      </c>
      <c r="BA182" s="7">
        <v>0</v>
      </c>
      <c r="BB182" s="7">
        <v>0.76200000000000001</v>
      </c>
      <c r="BC182" s="7">
        <v>0</v>
      </c>
      <c r="BD182" s="7">
        <v>14.018000000000001</v>
      </c>
      <c r="BE182" s="7">
        <v>0.19900000000000001</v>
      </c>
      <c r="BF182" s="7">
        <v>0.19900000000000001</v>
      </c>
      <c r="BG182" s="7">
        <v>4.9939999999999998</v>
      </c>
      <c r="BH182" s="7">
        <v>0</v>
      </c>
      <c r="BI182" s="7">
        <v>0</v>
      </c>
      <c r="BJ182" s="21"/>
    </row>
    <row r="183" spans="1:62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32.24</v>
      </c>
      <c r="F194" s="7">
        <v>2.9849999999999999</v>
      </c>
      <c r="G194" s="7">
        <v>9.0969999999999995</v>
      </c>
      <c r="H194" s="7">
        <v>0</v>
      </c>
      <c r="I194" s="7">
        <v>0.77300000000000002</v>
      </c>
      <c r="J194" s="7">
        <v>6.5759999999999996</v>
      </c>
      <c r="K194" s="7">
        <v>0</v>
      </c>
      <c r="L194" s="7">
        <v>10.518000000000001</v>
      </c>
      <c r="M194" s="7">
        <v>20.010999999999999</v>
      </c>
      <c r="N194" s="7">
        <v>0</v>
      </c>
      <c r="O194" s="7">
        <v>0</v>
      </c>
      <c r="P194" s="7">
        <v>1E-3</v>
      </c>
      <c r="Q194" s="7">
        <v>0</v>
      </c>
      <c r="R194" s="7">
        <v>0</v>
      </c>
      <c r="S194" s="7">
        <v>1.107</v>
      </c>
      <c r="T194" s="7">
        <v>0</v>
      </c>
      <c r="U194" s="7">
        <v>0</v>
      </c>
      <c r="V194" s="7">
        <v>0.69399999999999995</v>
      </c>
      <c r="W194" s="7">
        <v>1.9970000000000001</v>
      </c>
      <c r="X194" s="7">
        <v>0</v>
      </c>
      <c r="Y194" s="7">
        <v>4.2590000000000003</v>
      </c>
      <c r="Z194" s="7">
        <v>0</v>
      </c>
      <c r="AA194" s="7">
        <v>8.3140000000000001</v>
      </c>
      <c r="AB194" s="7">
        <v>0</v>
      </c>
      <c r="AC194" s="7">
        <v>0.55300000000000005</v>
      </c>
      <c r="AD194" s="7">
        <v>0</v>
      </c>
      <c r="AE194" s="7">
        <v>11.648</v>
      </c>
      <c r="AF194" s="7">
        <v>0</v>
      </c>
      <c r="AG194" s="7">
        <v>0</v>
      </c>
      <c r="AH194" s="7">
        <v>38.029000000000003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0.317</v>
      </c>
      <c r="AP194" s="7">
        <v>0</v>
      </c>
      <c r="AQ194" s="7">
        <v>0</v>
      </c>
      <c r="AR194" s="7">
        <v>0</v>
      </c>
      <c r="AS194" s="7">
        <v>4.0000000000000001E-3</v>
      </c>
      <c r="AT194" s="7">
        <v>0</v>
      </c>
      <c r="AU194" s="7">
        <v>0.24399999999999999</v>
      </c>
      <c r="AV194" s="7">
        <v>0</v>
      </c>
      <c r="AW194" s="7">
        <v>0</v>
      </c>
      <c r="AX194" s="7">
        <v>0</v>
      </c>
      <c r="AY194" s="7">
        <v>0.27</v>
      </c>
      <c r="AZ194" s="7">
        <v>0</v>
      </c>
      <c r="BA194" s="7">
        <v>0</v>
      </c>
      <c r="BB194" s="7">
        <v>8.3000000000000004E-2</v>
      </c>
      <c r="BC194" s="7">
        <v>0.16500000000000001</v>
      </c>
      <c r="BD194" s="7">
        <v>0</v>
      </c>
      <c r="BE194" s="7">
        <v>2.4E-2</v>
      </c>
      <c r="BF194" s="7">
        <v>2.4E-2</v>
      </c>
      <c r="BG194" s="7">
        <v>0</v>
      </c>
      <c r="BH194" s="7">
        <v>0</v>
      </c>
      <c r="BI194" s="7">
        <v>7.8E-2</v>
      </c>
      <c r="BJ194" s="21"/>
    </row>
    <row r="195" spans="1:62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29.7</v>
      </c>
      <c r="R195" s="7">
        <v>96.173000000000002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169.36799999999999</v>
      </c>
      <c r="F196" s="7">
        <v>0</v>
      </c>
      <c r="G196" s="7">
        <v>41.241</v>
      </c>
      <c r="H196" s="7">
        <v>0</v>
      </c>
      <c r="I196" s="7">
        <v>0</v>
      </c>
      <c r="J196" s="7">
        <v>71.736000000000004</v>
      </c>
      <c r="K196" s="7">
        <v>0</v>
      </c>
      <c r="L196" s="7">
        <v>609.17999999999995</v>
      </c>
      <c r="M196" s="7">
        <v>88.331999999999994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522.21199999999999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1390.7070000000001</v>
      </c>
      <c r="F214" s="7">
        <v>127.22499999999999</v>
      </c>
      <c r="G214" s="7">
        <v>180.762</v>
      </c>
      <c r="H214" s="7">
        <v>4.0000000000000001E-3</v>
      </c>
      <c r="I214" s="7">
        <v>31.664000000000001</v>
      </c>
      <c r="J214" s="7">
        <v>110.464</v>
      </c>
      <c r="K214" s="7">
        <v>0</v>
      </c>
      <c r="L214" s="7">
        <v>1014.764</v>
      </c>
      <c r="M214" s="7">
        <v>492.49299999999999</v>
      </c>
      <c r="N214" s="7">
        <v>0</v>
      </c>
      <c r="O214" s="7">
        <v>0</v>
      </c>
      <c r="P214" s="7">
        <v>5.8659999999999997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16.206</v>
      </c>
      <c r="W214" s="7">
        <v>49.469000000000001</v>
      </c>
      <c r="X214" s="7">
        <v>0</v>
      </c>
      <c r="Y214" s="7">
        <v>391.238</v>
      </c>
      <c r="Z214" s="7">
        <v>0</v>
      </c>
      <c r="AA214" s="7">
        <v>138.18899999999999</v>
      </c>
      <c r="AB214" s="7">
        <v>0</v>
      </c>
      <c r="AC214" s="7">
        <v>20.914000000000001</v>
      </c>
      <c r="AD214" s="7">
        <v>0</v>
      </c>
      <c r="AE214" s="7">
        <v>1250.9169999999999</v>
      </c>
      <c r="AF214" s="7">
        <v>0</v>
      </c>
      <c r="AG214" s="7">
        <v>0</v>
      </c>
      <c r="AH214" s="7">
        <v>2921.4850000000001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-2E-3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49544.858</v>
      </c>
      <c r="F221" s="7">
        <v>10103.342000000001</v>
      </c>
      <c r="G221" s="7">
        <v>0</v>
      </c>
      <c r="H221" s="7">
        <v>0</v>
      </c>
      <c r="I221" s="7">
        <v>411.92200000000003</v>
      </c>
      <c r="J221" s="7">
        <v>0</v>
      </c>
      <c r="K221" s="7">
        <v>0</v>
      </c>
      <c r="L221" s="7">
        <v>122863.57799999999</v>
      </c>
      <c r="M221" s="7">
        <v>10313.986999999999</v>
      </c>
      <c r="N221" s="7">
        <v>0</v>
      </c>
      <c r="O221" s="7">
        <v>0</v>
      </c>
      <c r="P221" s="7">
        <v>1.84</v>
      </c>
      <c r="Q221" s="7">
        <v>0</v>
      </c>
      <c r="R221" s="7">
        <v>0</v>
      </c>
      <c r="S221" s="7">
        <v>3248.777</v>
      </c>
      <c r="T221" s="7">
        <v>0</v>
      </c>
      <c r="U221" s="7">
        <v>0</v>
      </c>
      <c r="V221" s="7">
        <v>0</v>
      </c>
      <c r="W221" s="7">
        <v>983.03099999999995</v>
      </c>
      <c r="X221" s="7">
        <v>0</v>
      </c>
      <c r="Y221" s="7">
        <v>20823.469000000001</v>
      </c>
      <c r="Z221" s="7">
        <v>0</v>
      </c>
      <c r="AA221" s="7">
        <v>0</v>
      </c>
      <c r="AB221" s="7">
        <v>0</v>
      </c>
      <c r="AC221" s="7">
        <v>1940.575</v>
      </c>
      <c r="AD221" s="7">
        <v>0</v>
      </c>
      <c r="AE221" s="7">
        <v>50200.993999999999</v>
      </c>
      <c r="AF221" s="7">
        <v>26755.706999999999</v>
      </c>
      <c r="AG221" s="7">
        <v>0</v>
      </c>
      <c r="AH221" s="7">
        <v>207518.77</v>
      </c>
      <c r="AI221" s="7">
        <v>49191.767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788.80799999999999</v>
      </c>
      <c r="AP221" s="7">
        <v>0</v>
      </c>
      <c r="AQ221" s="7">
        <v>9128.3510000000006</v>
      </c>
      <c r="AR221" s="7">
        <v>0</v>
      </c>
      <c r="AS221" s="7">
        <v>31.321999999999999</v>
      </c>
      <c r="AT221" s="7">
        <v>0</v>
      </c>
      <c r="AU221" s="7">
        <v>223.50899999999999</v>
      </c>
      <c r="AV221" s="7">
        <v>0</v>
      </c>
      <c r="AW221" s="7">
        <v>0</v>
      </c>
      <c r="AX221" s="7">
        <v>0</v>
      </c>
      <c r="AY221" s="7">
        <v>380.91500000000002</v>
      </c>
      <c r="AZ221" s="7">
        <v>3993.5309999999999</v>
      </c>
      <c r="BA221" s="7">
        <v>0</v>
      </c>
      <c r="BB221" s="7">
        <v>242.59399999999999</v>
      </c>
      <c r="BC221" s="7">
        <v>0</v>
      </c>
      <c r="BD221" s="7">
        <v>4462.3389999999999</v>
      </c>
      <c r="BE221" s="7">
        <v>63.345999999999997</v>
      </c>
      <c r="BF221" s="7">
        <v>63.345999999999997</v>
      </c>
      <c r="BG221" s="7">
        <v>1589.86</v>
      </c>
      <c r="BH221" s="7">
        <v>0</v>
      </c>
      <c r="BI221" s="7">
        <v>0</v>
      </c>
      <c r="BJ221" s="21"/>
    </row>
    <row r="222" spans="1:62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1727.9259999999999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3966.549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508.15600000000001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398.70699999999999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3.9E-2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4.3999999999999997E-2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3009.8139999999999</v>
      </c>
      <c r="F265" s="7">
        <v>613.77099999999996</v>
      </c>
      <c r="G265" s="7">
        <v>0</v>
      </c>
      <c r="H265" s="7">
        <v>0</v>
      </c>
      <c r="I265" s="7">
        <v>25.024000000000001</v>
      </c>
      <c r="J265" s="7">
        <v>0</v>
      </c>
      <c r="K265" s="7">
        <v>0</v>
      </c>
      <c r="L265" s="7">
        <v>7463.8720000000003</v>
      </c>
      <c r="M265" s="7">
        <v>626.56700000000001</v>
      </c>
      <c r="N265" s="7">
        <v>0</v>
      </c>
      <c r="O265" s="7">
        <v>0</v>
      </c>
      <c r="P265" s="7">
        <v>0.112</v>
      </c>
      <c r="Q265" s="7">
        <v>0</v>
      </c>
      <c r="R265" s="7">
        <v>0</v>
      </c>
      <c r="S265" s="7">
        <v>197.36099999999999</v>
      </c>
      <c r="T265" s="7">
        <v>0</v>
      </c>
      <c r="U265" s="7">
        <v>0</v>
      </c>
      <c r="V265" s="7">
        <v>0</v>
      </c>
      <c r="W265" s="7">
        <v>59.718000000000004</v>
      </c>
      <c r="X265" s="7">
        <v>0</v>
      </c>
      <c r="Y265" s="7">
        <v>1265.01</v>
      </c>
      <c r="Z265" s="7">
        <v>0</v>
      </c>
      <c r="AA265" s="7">
        <v>0</v>
      </c>
      <c r="AB265" s="7">
        <v>0</v>
      </c>
      <c r="AC265" s="7">
        <v>117.88800000000001</v>
      </c>
      <c r="AD265" s="7">
        <v>0</v>
      </c>
      <c r="AE265" s="7">
        <v>3049.674</v>
      </c>
      <c r="AF265" s="7">
        <v>1625.39</v>
      </c>
      <c r="AG265" s="7">
        <v>0</v>
      </c>
      <c r="AH265" s="7">
        <v>12606.612999999999</v>
      </c>
      <c r="AI265" s="7">
        <v>2988.364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47.92</v>
      </c>
      <c r="AP265" s="7">
        <v>0</v>
      </c>
      <c r="AQ265" s="7">
        <v>554.54100000000005</v>
      </c>
      <c r="AR265" s="7">
        <v>0</v>
      </c>
      <c r="AS265" s="7">
        <v>1.903</v>
      </c>
      <c r="AT265" s="7">
        <v>0</v>
      </c>
      <c r="AU265" s="7">
        <v>13.577999999999999</v>
      </c>
      <c r="AV265" s="7">
        <v>0</v>
      </c>
      <c r="AW265" s="7">
        <v>0</v>
      </c>
      <c r="AX265" s="7">
        <v>0</v>
      </c>
      <c r="AY265" s="7">
        <v>23.14</v>
      </c>
      <c r="AZ265" s="7">
        <v>242.60400000000001</v>
      </c>
      <c r="BA265" s="7">
        <v>0</v>
      </c>
      <c r="BB265" s="7">
        <v>14.737</v>
      </c>
      <c r="BC265" s="7">
        <v>0</v>
      </c>
      <c r="BD265" s="7">
        <v>271.084</v>
      </c>
      <c r="BE265" s="7">
        <v>3.8479999999999999</v>
      </c>
      <c r="BF265" s="7">
        <v>3.8479999999999999</v>
      </c>
      <c r="BG265" s="7">
        <v>96.582999999999998</v>
      </c>
      <c r="BH265" s="7">
        <v>0</v>
      </c>
      <c r="BI265" s="7">
        <v>0</v>
      </c>
      <c r="BJ265" s="21"/>
    </row>
    <row r="266" spans="1:62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3700.4520000000002</v>
      </c>
      <c r="F278" s="7">
        <v>2582.94</v>
      </c>
      <c r="G278" s="7">
        <v>180.655</v>
      </c>
      <c r="H278" s="7">
        <v>398.33199999999999</v>
      </c>
      <c r="I278" s="7">
        <v>228.578</v>
      </c>
      <c r="J278" s="7">
        <v>1918.5319999999999</v>
      </c>
      <c r="K278" s="7">
        <v>0</v>
      </c>
      <c r="L278" s="7">
        <v>5412.143</v>
      </c>
      <c r="M278" s="7">
        <v>2376.3249999999998</v>
      </c>
      <c r="N278" s="7">
        <v>0</v>
      </c>
      <c r="O278" s="7">
        <v>0</v>
      </c>
      <c r="P278" s="7">
        <v>7.0000000000000001E-3</v>
      </c>
      <c r="Q278" s="7">
        <v>0</v>
      </c>
      <c r="R278" s="7">
        <v>0</v>
      </c>
      <c r="S278" s="7">
        <v>1035.136</v>
      </c>
      <c r="T278" s="7">
        <v>0</v>
      </c>
      <c r="U278" s="7">
        <v>0</v>
      </c>
      <c r="V278" s="7">
        <v>185.79900000000001</v>
      </c>
      <c r="W278" s="7">
        <v>3.4159999999999999</v>
      </c>
      <c r="X278" s="7">
        <v>0</v>
      </c>
      <c r="Y278" s="7">
        <v>116.35299999999999</v>
      </c>
      <c r="Z278" s="7">
        <v>0</v>
      </c>
      <c r="AA278" s="7">
        <v>4282.9579999999996</v>
      </c>
      <c r="AB278" s="7">
        <v>0</v>
      </c>
      <c r="AC278" s="7">
        <v>453.69299999999998</v>
      </c>
      <c r="AD278" s="7">
        <v>0</v>
      </c>
      <c r="AE278" s="7">
        <v>8.3439999999999994</v>
      </c>
      <c r="AF278" s="7">
        <v>47.348999999999997</v>
      </c>
      <c r="AG278" s="7">
        <v>0</v>
      </c>
      <c r="AH278" s="7">
        <v>8909.0429999999997</v>
      </c>
      <c r="AI278" s="7">
        <v>3.5000000000000003E-2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379.62</v>
      </c>
      <c r="AP278" s="7">
        <v>0</v>
      </c>
      <c r="AQ278" s="7">
        <v>6.9749999999999996</v>
      </c>
      <c r="AR278" s="7">
        <v>0</v>
      </c>
      <c r="AS278" s="7">
        <v>3.609</v>
      </c>
      <c r="AT278" s="7">
        <v>0</v>
      </c>
      <c r="AU278" s="7">
        <v>0.49099999999999999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103.968</v>
      </c>
      <c r="BC278" s="7">
        <v>0</v>
      </c>
      <c r="BD278" s="7">
        <v>0</v>
      </c>
      <c r="BE278" s="7">
        <v>28.713999999999999</v>
      </c>
      <c r="BF278" s="7">
        <v>28.713999999999999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143223.655</v>
      </c>
      <c r="F280" s="7">
        <v>0</v>
      </c>
      <c r="G280" s="7">
        <v>13350.974</v>
      </c>
      <c r="H280" s="7">
        <v>224.51599999999999</v>
      </c>
      <c r="I280" s="7">
        <v>0</v>
      </c>
      <c r="J280" s="7">
        <v>30870.486000000001</v>
      </c>
      <c r="K280" s="7">
        <v>14250.994000000001</v>
      </c>
      <c r="L280" s="7">
        <v>138973.26699999999</v>
      </c>
      <c r="M280" s="7">
        <v>163430.00599999999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2865.2310000000002</v>
      </c>
      <c r="V280" s="7">
        <v>4769.4719999999998</v>
      </c>
      <c r="W280" s="7">
        <v>6943.24</v>
      </c>
      <c r="X280" s="7">
        <v>0</v>
      </c>
      <c r="Y280" s="7">
        <v>31151.002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78801.691999999995</v>
      </c>
      <c r="AF280" s="7">
        <v>10987.209000000001</v>
      </c>
      <c r="AG280" s="7">
        <v>7865.884</v>
      </c>
      <c r="AH280" s="7">
        <v>556910.85800000001</v>
      </c>
      <c r="AI280" s="7">
        <v>87034.375</v>
      </c>
      <c r="AJ280" s="7">
        <v>19.672000000000001</v>
      </c>
      <c r="AK280" s="7">
        <v>399.00799999999998</v>
      </c>
      <c r="AL280" s="7">
        <v>116.48699999999999</v>
      </c>
      <c r="AM280" s="7">
        <v>621.60699999999997</v>
      </c>
      <c r="AN280" s="7">
        <v>279.19299999999998</v>
      </c>
      <c r="AO280" s="7">
        <v>0</v>
      </c>
      <c r="AP280" s="7">
        <v>0</v>
      </c>
      <c r="AQ280" s="7">
        <v>6767.6289999999999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16371.668</v>
      </c>
      <c r="F282" s="7">
        <v>1497.722</v>
      </c>
      <c r="G282" s="7">
        <v>2127.9679999999998</v>
      </c>
      <c r="H282" s="7">
        <v>0</v>
      </c>
      <c r="I282" s="7">
        <v>372.75400000000002</v>
      </c>
      <c r="J282" s="7">
        <v>1300.4010000000001</v>
      </c>
      <c r="K282" s="7">
        <v>0</v>
      </c>
      <c r="L282" s="7">
        <v>11946.004000000001</v>
      </c>
      <c r="M282" s="7">
        <v>5797.723</v>
      </c>
      <c r="N282" s="7">
        <v>0</v>
      </c>
      <c r="O282" s="7">
        <v>0</v>
      </c>
      <c r="P282" s="7">
        <v>69.061000000000007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190.77799999999999</v>
      </c>
      <c r="W282" s="7">
        <v>582.35599999999999</v>
      </c>
      <c r="X282" s="7">
        <v>0</v>
      </c>
      <c r="Y282" s="7">
        <v>4605.7349999999997</v>
      </c>
      <c r="Z282" s="7">
        <v>0</v>
      </c>
      <c r="AA282" s="7">
        <v>1626.7860000000001</v>
      </c>
      <c r="AB282" s="7">
        <v>0</v>
      </c>
      <c r="AC282" s="7">
        <v>246.202</v>
      </c>
      <c r="AD282" s="7">
        <v>0</v>
      </c>
      <c r="AE282" s="7">
        <v>14726.04</v>
      </c>
      <c r="AF282" s="7">
        <v>0</v>
      </c>
      <c r="AG282" s="7">
        <v>0</v>
      </c>
      <c r="AH282" s="7">
        <v>34392.284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75771.907000000007</v>
      </c>
      <c r="F286" s="7">
        <v>7230.4070000000002</v>
      </c>
      <c r="G286" s="7">
        <v>11317.553</v>
      </c>
      <c r="H286" s="7">
        <v>0</v>
      </c>
      <c r="I286" s="7">
        <v>1859.213</v>
      </c>
      <c r="J286" s="7">
        <v>6505.4269999999997</v>
      </c>
      <c r="K286" s="7">
        <v>0</v>
      </c>
      <c r="L286" s="7">
        <v>67384.697</v>
      </c>
      <c r="M286" s="7">
        <v>30776.870999999999</v>
      </c>
      <c r="N286" s="7">
        <v>0</v>
      </c>
      <c r="O286" s="7">
        <v>0</v>
      </c>
      <c r="P286" s="7">
        <v>369.29700000000003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778.95399999999995</v>
      </c>
      <c r="W286" s="7">
        <v>2377.7809999999999</v>
      </c>
      <c r="X286" s="7">
        <v>0</v>
      </c>
      <c r="Y286" s="7">
        <v>19560.956999999999</v>
      </c>
      <c r="Z286" s="7">
        <v>0</v>
      </c>
      <c r="AA286" s="7">
        <v>6642.2240000000002</v>
      </c>
      <c r="AB286" s="7">
        <v>0</v>
      </c>
      <c r="AC286" s="7">
        <v>1005.253</v>
      </c>
      <c r="AD286" s="7">
        <v>0</v>
      </c>
      <c r="AE286" s="7">
        <v>63135.034</v>
      </c>
      <c r="AF286" s="7">
        <v>0</v>
      </c>
      <c r="AG286" s="7">
        <v>0</v>
      </c>
      <c r="AH286" s="7">
        <v>172196.21599999999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194280.12299999999</v>
      </c>
      <c r="F287" s="7">
        <v>18774.505000000001</v>
      </c>
      <c r="G287" s="7">
        <v>28554.49</v>
      </c>
      <c r="H287" s="7">
        <v>14194.013999999999</v>
      </c>
      <c r="I287" s="7">
        <v>5010.9690000000001</v>
      </c>
      <c r="J287" s="7">
        <v>16882.313999999998</v>
      </c>
      <c r="K287" s="7">
        <v>0</v>
      </c>
      <c r="L287" s="7">
        <v>147907.87899999999</v>
      </c>
      <c r="M287" s="7">
        <v>76626.558000000005</v>
      </c>
      <c r="N287" s="7">
        <v>0</v>
      </c>
      <c r="O287" s="7">
        <v>0</v>
      </c>
      <c r="P287" s="7">
        <v>925.65700000000004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2078.047</v>
      </c>
      <c r="W287" s="7">
        <v>6430.01</v>
      </c>
      <c r="X287" s="7">
        <v>0</v>
      </c>
      <c r="Y287" s="7">
        <v>50514.703000000001</v>
      </c>
      <c r="Z287" s="7">
        <v>0</v>
      </c>
      <c r="AA287" s="7">
        <v>17994.798999999999</v>
      </c>
      <c r="AB287" s="7">
        <v>0</v>
      </c>
      <c r="AC287" s="7">
        <v>2681.7539999999999</v>
      </c>
      <c r="AD287" s="7">
        <v>0</v>
      </c>
      <c r="AE287" s="7">
        <v>161424.15900000001</v>
      </c>
      <c r="AF287" s="7">
        <v>0</v>
      </c>
      <c r="AG287" s="7">
        <v>0</v>
      </c>
      <c r="AH287" s="7">
        <v>406818.85499999998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51.314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2139.319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6082.67</v>
      </c>
      <c r="M288" s="7">
        <v>294.42899999999997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2409.5650000000001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4946.9840000000004</v>
      </c>
      <c r="AF288" s="7">
        <v>0</v>
      </c>
      <c r="AG288" s="7">
        <v>0</v>
      </c>
      <c r="AH288" s="7">
        <v>12258.532999999999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40396.374000000003</v>
      </c>
      <c r="F289" s="7">
        <v>3363.663</v>
      </c>
      <c r="G289" s="7">
        <v>4779.1030000000001</v>
      </c>
      <c r="H289" s="7">
        <v>104.51300000000001</v>
      </c>
      <c r="I289" s="7">
        <v>837.15099999999995</v>
      </c>
      <c r="J289" s="7">
        <v>2920.51</v>
      </c>
      <c r="K289" s="7">
        <v>0</v>
      </c>
      <c r="L289" s="7">
        <v>34678.315999999999</v>
      </c>
      <c r="M289" s="7">
        <v>14190.611000000001</v>
      </c>
      <c r="N289" s="7">
        <v>0</v>
      </c>
      <c r="O289" s="7">
        <v>0</v>
      </c>
      <c r="P289" s="7">
        <v>155.102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428.459</v>
      </c>
      <c r="W289" s="7">
        <v>1307.886</v>
      </c>
      <c r="X289" s="7">
        <v>0</v>
      </c>
      <c r="Y289" s="7">
        <v>13253.119000000001</v>
      </c>
      <c r="Z289" s="7">
        <v>0</v>
      </c>
      <c r="AA289" s="7">
        <v>3653.5210000000002</v>
      </c>
      <c r="AB289" s="7">
        <v>0</v>
      </c>
      <c r="AC289" s="7">
        <v>552.93399999999997</v>
      </c>
      <c r="AD289" s="7">
        <v>0</v>
      </c>
      <c r="AE289" s="7">
        <v>38880.798000000003</v>
      </c>
      <c r="AF289" s="7">
        <v>0</v>
      </c>
      <c r="AG289" s="7">
        <v>0</v>
      </c>
      <c r="AH289" s="7">
        <v>90432.930999999997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40454.58</v>
      </c>
      <c r="F290" s="7">
        <v>886.30100000000004</v>
      </c>
      <c r="G290" s="7">
        <v>1259.26</v>
      </c>
      <c r="H290" s="7">
        <v>11078.353999999999</v>
      </c>
      <c r="I290" s="7">
        <v>220.583</v>
      </c>
      <c r="J290" s="7">
        <v>769.53399999999999</v>
      </c>
      <c r="K290" s="7">
        <v>0</v>
      </c>
      <c r="L290" s="7">
        <v>50937.478999999999</v>
      </c>
      <c r="M290" s="7">
        <v>10926.103999999999</v>
      </c>
      <c r="N290" s="7">
        <v>0</v>
      </c>
      <c r="O290" s="7">
        <v>0</v>
      </c>
      <c r="P290" s="7">
        <v>40.868000000000002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112.896</v>
      </c>
      <c r="W290" s="7">
        <v>344.61900000000003</v>
      </c>
      <c r="X290" s="7">
        <v>0</v>
      </c>
      <c r="Y290" s="7">
        <v>14101.186</v>
      </c>
      <c r="Z290" s="7">
        <v>0</v>
      </c>
      <c r="AA290" s="7">
        <v>962.67700000000002</v>
      </c>
      <c r="AB290" s="7">
        <v>0</v>
      </c>
      <c r="AC290" s="7">
        <v>145.69399999999999</v>
      </c>
      <c r="AD290" s="7">
        <v>0</v>
      </c>
      <c r="AE290" s="7">
        <v>53019.661999999997</v>
      </c>
      <c r="AF290" s="7">
        <v>0</v>
      </c>
      <c r="AG290" s="7">
        <v>0</v>
      </c>
      <c r="AH290" s="7">
        <v>116082.43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198736.53700000001</v>
      </c>
      <c r="F293" s="7">
        <v>14697.772000000001</v>
      </c>
      <c r="G293" s="7">
        <v>19648.582999999999</v>
      </c>
      <c r="H293" s="7">
        <v>0</v>
      </c>
      <c r="I293" s="7">
        <v>3003.125</v>
      </c>
      <c r="J293" s="7">
        <v>12611.804</v>
      </c>
      <c r="K293" s="7">
        <v>0</v>
      </c>
      <c r="L293" s="7">
        <v>128990.8</v>
      </c>
      <c r="M293" s="7">
        <v>54402.254999999997</v>
      </c>
      <c r="N293" s="7">
        <v>0</v>
      </c>
      <c r="O293" s="7">
        <v>0</v>
      </c>
      <c r="P293" s="7">
        <v>547.57299999999998</v>
      </c>
      <c r="Q293" s="7">
        <v>0</v>
      </c>
      <c r="R293" s="7">
        <v>33.688000000000002</v>
      </c>
      <c r="S293" s="7">
        <v>0</v>
      </c>
      <c r="T293" s="7">
        <v>0</v>
      </c>
      <c r="U293" s="7">
        <v>0</v>
      </c>
      <c r="V293" s="7">
        <v>2516.1610000000001</v>
      </c>
      <c r="W293" s="7">
        <v>7653.2479999999996</v>
      </c>
      <c r="X293" s="7">
        <v>0</v>
      </c>
      <c r="Y293" s="7">
        <v>62621.267999999996</v>
      </c>
      <c r="Z293" s="7">
        <v>0</v>
      </c>
      <c r="AA293" s="7">
        <v>23144.948</v>
      </c>
      <c r="AB293" s="7">
        <v>0</v>
      </c>
      <c r="AC293" s="7">
        <v>3742.4189999999999</v>
      </c>
      <c r="AD293" s="7">
        <v>0</v>
      </c>
      <c r="AE293" s="7">
        <v>187299.81700000001</v>
      </c>
      <c r="AF293" s="7">
        <v>0</v>
      </c>
      <c r="AG293" s="7">
        <v>0</v>
      </c>
      <c r="AH293" s="7">
        <v>429791.266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35446.803</v>
      </c>
      <c r="F294" s="7">
        <v>2034.163</v>
      </c>
      <c r="G294" s="7">
        <v>2778.3589999999999</v>
      </c>
      <c r="H294" s="7">
        <v>0</v>
      </c>
      <c r="I294" s="7">
        <v>446.94299999999998</v>
      </c>
      <c r="J294" s="7">
        <v>1752.6179999999999</v>
      </c>
      <c r="K294" s="7">
        <v>0</v>
      </c>
      <c r="L294" s="7">
        <v>35260.756999999998</v>
      </c>
      <c r="M294" s="7">
        <v>10919.688</v>
      </c>
      <c r="N294" s="7">
        <v>0</v>
      </c>
      <c r="O294" s="7">
        <v>0</v>
      </c>
      <c r="P294" s="7">
        <v>82.007999999999996</v>
      </c>
      <c r="Q294" s="7">
        <v>0</v>
      </c>
      <c r="R294" s="7">
        <v>3.052</v>
      </c>
      <c r="S294" s="7">
        <v>0</v>
      </c>
      <c r="T294" s="7">
        <v>0</v>
      </c>
      <c r="U294" s="7">
        <v>0</v>
      </c>
      <c r="V294" s="7">
        <v>317.44400000000002</v>
      </c>
      <c r="W294" s="7">
        <v>966.52499999999998</v>
      </c>
      <c r="X294" s="7">
        <v>0</v>
      </c>
      <c r="Y294" s="7">
        <v>7759.5619999999999</v>
      </c>
      <c r="Z294" s="7">
        <v>0</v>
      </c>
      <c r="AA294" s="7">
        <v>2859.9090000000001</v>
      </c>
      <c r="AB294" s="7">
        <v>0</v>
      </c>
      <c r="AC294" s="7">
        <v>454.53</v>
      </c>
      <c r="AD294" s="7">
        <v>0</v>
      </c>
      <c r="AE294" s="7">
        <v>25898.388999999999</v>
      </c>
      <c r="AF294" s="7">
        <v>0</v>
      </c>
      <c r="AG294" s="7">
        <v>0</v>
      </c>
      <c r="AH294" s="7">
        <v>66521.671000000002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-36420.239000000001</v>
      </c>
      <c r="F322" s="7">
        <v>-8735.0660000000007</v>
      </c>
      <c r="G322" s="7">
        <v>0</v>
      </c>
      <c r="H322" s="7">
        <v>0</v>
      </c>
      <c r="I322" s="7">
        <v>-232.52</v>
      </c>
      <c r="J322" s="7">
        <v>0</v>
      </c>
      <c r="K322" s="7">
        <v>0</v>
      </c>
      <c r="L322" s="7">
        <v>-100614.83100000001</v>
      </c>
      <c r="M322" s="7">
        <v>-6125.3819999999996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-2710.8110000000001</v>
      </c>
      <c r="T322" s="7">
        <v>0</v>
      </c>
      <c r="U322" s="7">
        <v>0</v>
      </c>
      <c r="V322" s="7">
        <v>0</v>
      </c>
      <c r="W322" s="7">
        <v>-732.89700000000005</v>
      </c>
      <c r="X322" s="7">
        <v>0</v>
      </c>
      <c r="Y322" s="7">
        <v>-17947.341</v>
      </c>
      <c r="Z322" s="7">
        <v>0</v>
      </c>
      <c r="AA322" s="7">
        <v>0</v>
      </c>
      <c r="AB322" s="7">
        <v>-7.26</v>
      </c>
      <c r="AC322" s="7">
        <v>-1575.4480000000001</v>
      </c>
      <c r="AD322" s="7">
        <v>0</v>
      </c>
      <c r="AE322" s="7">
        <v>-44757.311999999998</v>
      </c>
      <c r="AF322" s="7">
        <v>-21730.337</v>
      </c>
      <c r="AG322" s="7">
        <v>0</v>
      </c>
      <c r="AH322" s="7">
        <v>-165431.80100000001</v>
      </c>
      <c r="AI322" s="7">
        <v>-38133.087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-750.28200000000004</v>
      </c>
      <c r="AP322" s="7">
        <v>0</v>
      </c>
      <c r="AQ322" s="7">
        <v>-7465.6639999999998</v>
      </c>
      <c r="AR322" s="7">
        <v>0</v>
      </c>
      <c r="AS322" s="7">
        <v>-28.635999999999999</v>
      </c>
      <c r="AT322" s="7">
        <v>0</v>
      </c>
      <c r="AU322" s="7">
        <v>-194.47900000000001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-214.035</v>
      </c>
      <c r="BC322" s="7">
        <v>0</v>
      </c>
      <c r="BD322" s="7">
        <v>0</v>
      </c>
      <c r="BE322" s="7">
        <v>-59.588999999999999</v>
      </c>
      <c r="BF322" s="7">
        <v>-59.588999999999999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-10553.68</v>
      </c>
      <c r="F324" s="7">
        <v>-2531.2049999999999</v>
      </c>
      <c r="G324" s="7">
        <v>0</v>
      </c>
      <c r="H324" s="7">
        <v>0</v>
      </c>
      <c r="I324" s="7">
        <v>-67.378</v>
      </c>
      <c r="J324" s="7">
        <v>0</v>
      </c>
      <c r="K324" s="7">
        <v>0</v>
      </c>
      <c r="L324" s="7">
        <v>-29155.675999999999</v>
      </c>
      <c r="M324" s="7">
        <v>-1774.9829999999999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-785.52599999999995</v>
      </c>
      <c r="T324" s="7">
        <v>0</v>
      </c>
      <c r="U324" s="7">
        <v>0</v>
      </c>
      <c r="V324" s="7">
        <v>0</v>
      </c>
      <c r="W324" s="7">
        <v>-212.375</v>
      </c>
      <c r="X324" s="7">
        <v>0</v>
      </c>
      <c r="Y324" s="7">
        <v>-5200.6930000000002</v>
      </c>
      <c r="Z324" s="7">
        <v>0</v>
      </c>
      <c r="AA324" s="7">
        <v>0</v>
      </c>
      <c r="AB324" s="7">
        <v>-2.1040000000000001</v>
      </c>
      <c r="AC324" s="7">
        <v>-456.52600000000001</v>
      </c>
      <c r="AD324" s="7">
        <v>0</v>
      </c>
      <c r="AE324" s="7">
        <v>-12969.556</v>
      </c>
      <c r="AF324" s="7">
        <v>-6296.9110000000001</v>
      </c>
      <c r="AG324" s="7">
        <v>0</v>
      </c>
      <c r="AH324" s="7">
        <v>-47938.023000000001</v>
      </c>
      <c r="AI324" s="7">
        <v>-11050.02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-217.41300000000001</v>
      </c>
      <c r="AP324" s="7">
        <v>0</v>
      </c>
      <c r="AQ324" s="7">
        <v>-2163.364</v>
      </c>
      <c r="AR324" s="7">
        <v>0</v>
      </c>
      <c r="AS324" s="7">
        <v>-8.298</v>
      </c>
      <c r="AT324" s="7">
        <v>0</v>
      </c>
      <c r="AU324" s="7">
        <v>-56.354999999999997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-62.021999999999998</v>
      </c>
      <c r="BC324" s="7">
        <v>0</v>
      </c>
      <c r="BD324" s="7">
        <v>0</v>
      </c>
      <c r="BE324" s="7">
        <v>-17.266999999999999</v>
      </c>
      <c r="BF324" s="7">
        <v>-17.266999999999999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64.563000000000002</v>
      </c>
      <c r="F325" s="7">
        <v>0</v>
      </c>
      <c r="G325" s="7">
        <v>0</v>
      </c>
      <c r="H325" s="7">
        <v>0</v>
      </c>
      <c r="I325" s="7">
        <v>91.061999999999998</v>
      </c>
      <c r="J325" s="7">
        <v>0</v>
      </c>
      <c r="K325" s="7">
        <v>0</v>
      </c>
      <c r="L325" s="7">
        <v>10585.914000000001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9.0419999999999998</v>
      </c>
      <c r="F330" s="7">
        <v>0.46100000000000002</v>
      </c>
      <c r="G330" s="7">
        <v>0.51500000000000001</v>
      </c>
      <c r="H330" s="7">
        <v>0</v>
      </c>
      <c r="I330" s="7">
        <v>0.04</v>
      </c>
      <c r="J330" s="7">
        <v>0.38300000000000001</v>
      </c>
      <c r="K330" s="7">
        <v>0</v>
      </c>
      <c r="L330" s="7">
        <v>4.5209999999999999</v>
      </c>
      <c r="M330" s="7">
        <v>1.399</v>
      </c>
      <c r="N330" s="7">
        <v>0</v>
      </c>
      <c r="O330" s="7">
        <v>0</v>
      </c>
      <c r="P330" s="7">
        <v>6.0000000000000001E-3</v>
      </c>
      <c r="Q330" s="7">
        <v>0</v>
      </c>
      <c r="R330" s="7">
        <v>4.0000000000000001E-3</v>
      </c>
      <c r="S330" s="7">
        <v>0</v>
      </c>
      <c r="T330" s="7">
        <v>0</v>
      </c>
      <c r="U330" s="7">
        <v>0</v>
      </c>
      <c r="V330" s="7">
        <v>0.13200000000000001</v>
      </c>
      <c r="W330" s="7">
        <v>0.39900000000000002</v>
      </c>
      <c r="X330" s="7">
        <v>0</v>
      </c>
      <c r="Y330" s="7">
        <v>3.298</v>
      </c>
      <c r="Z330" s="7">
        <v>0</v>
      </c>
      <c r="AA330" s="7">
        <v>1.3140000000000001</v>
      </c>
      <c r="AB330" s="7">
        <v>0</v>
      </c>
      <c r="AC330" s="7">
        <v>0.22600000000000001</v>
      </c>
      <c r="AD330" s="7">
        <v>0</v>
      </c>
      <c r="AE330" s="7">
        <v>9.0090000000000003</v>
      </c>
      <c r="AF330" s="7">
        <v>0</v>
      </c>
      <c r="AG330" s="7">
        <v>0</v>
      </c>
      <c r="AH330" s="7">
        <v>20.027000000000001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23937.157999999999</v>
      </c>
      <c r="F335" s="7">
        <v>2742.538</v>
      </c>
      <c r="G335" s="7">
        <v>3894.7049999999999</v>
      </c>
      <c r="H335" s="7">
        <v>1861.711</v>
      </c>
      <c r="I335" s="7">
        <v>493.29399999999998</v>
      </c>
      <c r="J335" s="7">
        <v>2451.6170000000002</v>
      </c>
      <c r="K335" s="7">
        <v>0</v>
      </c>
      <c r="L335" s="7">
        <v>13225.212</v>
      </c>
      <c r="M335" s="7">
        <v>8245.8029999999999</v>
      </c>
      <c r="N335" s="7">
        <v>96.123000000000005</v>
      </c>
      <c r="O335" s="7">
        <v>0.105</v>
      </c>
      <c r="P335" s="7">
        <v>15.984999999999999</v>
      </c>
      <c r="Q335" s="7">
        <v>18.927</v>
      </c>
      <c r="R335" s="7">
        <v>123.581</v>
      </c>
      <c r="S335" s="7">
        <v>563.81100000000004</v>
      </c>
      <c r="T335" s="7">
        <v>0</v>
      </c>
      <c r="U335" s="7">
        <v>0</v>
      </c>
      <c r="V335" s="7">
        <v>378.28800000000001</v>
      </c>
      <c r="W335" s="7">
        <v>840.428</v>
      </c>
      <c r="X335" s="7">
        <v>34.597999999999999</v>
      </c>
      <c r="Y335" s="7">
        <v>5176.7430000000004</v>
      </c>
      <c r="Z335" s="7">
        <v>0</v>
      </c>
      <c r="AA335" s="7">
        <v>3714.6170000000002</v>
      </c>
      <c r="AB335" s="7">
        <v>6.54</v>
      </c>
      <c r="AC335" s="7">
        <v>416.06299999999999</v>
      </c>
      <c r="AD335" s="7">
        <v>48.847999999999999</v>
      </c>
      <c r="AE335" s="7">
        <v>13621.498</v>
      </c>
      <c r="AF335" s="7">
        <v>172.756</v>
      </c>
      <c r="AG335" s="7">
        <v>174.18700000000001</v>
      </c>
      <c r="AH335" s="7">
        <v>36953.432999999997</v>
      </c>
      <c r="AI335" s="7">
        <v>141.36000000000001</v>
      </c>
      <c r="AJ335" s="7">
        <v>0</v>
      </c>
      <c r="AK335" s="7">
        <v>0</v>
      </c>
      <c r="AL335" s="7">
        <v>0</v>
      </c>
      <c r="AM335" s="7">
        <v>0</v>
      </c>
      <c r="AN335" s="7">
        <v>54.792999999999999</v>
      </c>
      <c r="AO335" s="7">
        <v>96.659000000000006</v>
      </c>
      <c r="AP335" s="7">
        <v>13.704000000000001</v>
      </c>
      <c r="AQ335" s="7">
        <v>24.645</v>
      </c>
      <c r="AR335" s="7">
        <v>6.1449999999999996</v>
      </c>
      <c r="AS335" s="7">
        <v>8.9860000000000007</v>
      </c>
      <c r="AT335" s="7">
        <v>0</v>
      </c>
      <c r="AU335" s="7">
        <v>205.298</v>
      </c>
      <c r="AV335" s="7">
        <v>16.718</v>
      </c>
      <c r="AW335" s="7">
        <v>18.536000000000001</v>
      </c>
      <c r="AX335" s="7">
        <v>25.917000000000002</v>
      </c>
      <c r="AY335" s="7">
        <v>96.858000000000004</v>
      </c>
      <c r="AZ335" s="7">
        <v>5.6660000000000004</v>
      </c>
      <c r="BA335" s="7">
        <v>19.379000000000001</v>
      </c>
      <c r="BB335" s="7">
        <v>30.754000000000001</v>
      </c>
      <c r="BC335" s="7">
        <v>53.298999999999999</v>
      </c>
      <c r="BD335" s="7">
        <v>6.3319999999999999</v>
      </c>
      <c r="BE335" s="7">
        <v>9.2590000000000003</v>
      </c>
      <c r="BF335" s="7">
        <v>9.2590000000000003</v>
      </c>
      <c r="BG335" s="7">
        <v>2.2559999999999998</v>
      </c>
      <c r="BH335" s="7">
        <v>0</v>
      </c>
      <c r="BI335" s="7">
        <v>23.67</v>
      </c>
      <c r="BJ335" s="21"/>
    </row>
    <row r="336" spans="1:62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-11522.635</v>
      </c>
      <c r="F336" s="7">
        <v>-2102.9720000000002</v>
      </c>
      <c r="G336" s="7">
        <v>-1109.989</v>
      </c>
      <c r="H336" s="7">
        <v>-16226.714</v>
      </c>
      <c r="I336" s="7">
        <v>-313.97500000000002</v>
      </c>
      <c r="J336" s="7">
        <v>-1064.653</v>
      </c>
      <c r="K336" s="7">
        <v>-207.41499999999999</v>
      </c>
      <c r="L336" s="7">
        <v>-20216.041000000001</v>
      </c>
      <c r="M336" s="7">
        <v>-4666.5379999999996</v>
      </c>
      <c r="N336" s="7">
        <v>-6.1120000000000001</v>
      </c>
      <c r="O336" s="7">
        <v>-5.1849999999999996</v>
      </c>
      <c r="P336" s="7">
        <v>-72.228999999999999</v>
      </c>
      <c r="Q336" s="7">
        <v>-5.8120000000000003</v>
      </c>
      <c r="R336" s="7">
        <v>-146.262</v>
      </c>
      <c r="S336" s="7">
        <v>-56.734999999999999</v>
      </c>
      <c r="T336" s="7">
        <v>-0.86499999999999999</v>
      </c>
      <c r="U336" s="7">
        <v>-124.065</v>
      </c>
      <c r="V336" s="7">
        <v>-71.974999999999994</v>
      </c>
      <c r="W336" s="7">
        <v>-223.477</v>
      </c>
      <c r="X336" s="7">
        <v>-114.64100000000001</v>
      </c>
      <c r="Y336" s="7">
        <v>-1880.348</v>
      </c>
      <c r="Z336" s="7">
        <v>-74.581999999999994</v>
      </c>
      <c r="AA336" s="7">
        <v>-145.982</v>
      </c>
      <c r="AB336" s="7">
        <v>-2.7549999999999999</v>
      </c>
      <c r="AC336" s="7">
        <v>-30.861999999999998</v>
      </c>
      <c r="AD336" s="7">
        <v>-0.49399999999999999</v>
      </c>
      <c r="AE336" s="7">
        <v>-6128.6289999999999</v>
      </c>
      <c r="AF336" s="7">
        <v>-682.90099999999995</v>
      </c>
      <c r="AG336" s="7">
        <v>-208.09700000000001</v>
      </c>
      <c r="AH336" s="7">
        <v>-30016.843000000001</v>
      </c>
      <c r="AI336" s="7">
        <v>-2066.7730000000001</v>
      </c>
      <c r="AJ336" s="7">
        <v>-348.22399999999999</v>
      </c>
      <c r="AK336" s="7">
        <v>-5145.6710000000003</v>
      </c>
      <c r="AL336" s="7">
        <v>-2867.7809999999999</v>
      </c>
      <c r="AM336" s="7">
        <v>-25.126000000000001</v>
      </c>
      <c r="AN336" s="7">
        <v>-1859.6859999999999</v>
      </c>
      <c r="AO336" s="7">
        <v>-33.063000000000002</v>
      </c>
      <c r="AP336" s="7">
        <v>-30.631</v>
      </c>
      <c r="AQ336" s="7">
        <v>-1457.42</v>
      </c>
      <c r="AR336" s="7">
        <v>-14.88</v>
      </c>
      <c r="AS336" s="7">
        <v>-3.9940000000000002</v>
      </c>
      <c r="AT336" s="7">
        <v>0</v>
      </c>
      <c r="AU336" s="7">
        <v>-28.18</v>
      </c>
      <c r="AV336" s="7">
        <v>-0.23200000000000001</v>
      </c>
      <c r="AW336" s="7">
        <v>-46.621000000000002</v>
      </c>
      <c r="AX336" s="7">
        <v>-75.350999999999999</v>
      </c>
      <c r="AY336" s="7">
        <v>-14.952</v>
      </c>
      <c r="AZ336" s="7">
        <v>-27.923999999999999</v>
      </c>
      <c r="BA336" s="7">
        <v>-59.195999999999998</v>
      </c>
      <c r="BB336" s="7">
        <v>-14.43</v>
      </c>
      <c r="BC336" s="7">
        <v>-6.52</v>
      </c>
      <c r="BD336" s="7">
        <v>-26.736999999999998</v>
      </c>
      <c r="BE336" s="7">
        <v>-7.577</v>
      </c>
      <c r="BF336" s="7">
        <v>-7.577</v>
      </c>
      <c r="BG336" s="7">
        <v>-22.234000000000002</v>
      </c>
      <c r="BH336" s="7">
        <v>-238.59899999999999</v>
      </c>
      <c r="BI336" s="7">
        <v>-9.6539999999999999</v>
      </c>
      <c r="BJ336" s="21"/>
    </row>
    <row r="337" spans="1:62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-842.47799999999995</v>
      </c>
      <c r="F337" s="7">
        <v>-449.46199999999999</v>
      </c>
      <c r="G337" s="7">
        <v>-26.12</v>
      </c>
      <c r="H337" s="7">
        <v>-11.971</v>
      </c>
      <c r="I337" s="7">
        <v>-0.72799999999999998</v>
      </c>
      <c r="J337" s="7">
        <v>-15.505000000000001</v>
      </c>
      <c r="K337" s="7">
        <v>-8.2240000000000002</v>
      </c>
      <c r="L337" s="7">
        <v>-1658.7929999999999</v>
      </c>
      <c r="M337" s="7">
        <v>-88.314999999999998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-7.2489999999999997</v>
      </c>
      <c r="V337" s="7">
        <v>-2.843</v>
      </c>
      <c r="W337" s="7">
        <v>-96.813000000000002</v>
      </c>
      <c r="X337" s="7">
        <v>-31.606000000000002</v>
      </c>
      <c r="Y337" s="7">
        <v>-275.99799999999999</v>
      </c>
      <c r="Z337" s="7">
        <v>-9.07</v>
      </c>
      <c r="AA337" s="7">
        <v>-14.973000000000001</v>
      </c>
      <c r="AB337" s="7">
        <v>-44.932000000000002</v>
      </c>
      <c r="AC337" s="7">
        <v>-25.553999999999998</v>
      </c>
      <c r="AD337" s="7">
        <v>-5.5</v>
      </c>
      <c r="AE337" s="7">
        <v>-1233.499</v>
      </c>
      <c r="AF337" s="7">
        <v>-147.511</v>
      </c>
      <c r="AG337" s="7">
        <v>-10.262</v>
      </c>
      <c r="AH337" s="7">
        <v>-1814.3689999999999</v>
      </c>
      <c r="AI337" s="7">
        <v>-93.981999999999999</v>
      </c>
      <c r="AJ337" s="7">
        <v>-22.067</v>
      </c>
      <c r="AK337" s="7">
        <v>-909.346</v>
      </c>
      <c r="AL337" s="7">
        <v>-902.66200000000003</v>
      </c>
      <c r="AM337" s="7">
        <v>-6.7309999999999999</v>
      </c>
      <c r="AN337" s="7">
        <v>-1143.127</v>
      </c>
      <c r="AO337" s="7">
        <v>-8.3729999999999993</v>
      </c>
      <c r="AP337" s="7">
        <v>-5.6429999999999998</v>
      </c>
      <c r="AQ337" s="7">
        <v>-134.816</v>
      </c>
      <c r="AR337" s="7">
        <v>-5.9249999999999998</v>
      </c>
      <c r="AS337" s="7">
        <v>0</v>
      </c>
      <c r="AT337" s="7">
        <v>0</v>
      </c>
      <c r="AU337" s="7">
        <v>0</v>
      </c>
      <c r="AV337" s="7">
        <v>-17.686</v>
      </c>
      <c r="AW337" s="7">
        <v>-15.85</v>
      </c>
      <c r="AX337" s="7">
        <v>-1.3149999999999999</v>
      </c>
      <c r="AY337" s="7">
        <v>-7.3999999999999996E-2</v>
      </c>
      <c r="AZ337" s="7">
        <v>0</v>
      </c>
      <c r="BA337" s="7">
        <v>-6.7149999999999999</v>
      </c>
      <c r="BB337" s="7">
        <v>0</v>
      </c>
      <c r="BC337" s="7">
        <v>0</v>
      </c>
      <c r="BD337" s="7">
        <v>-0.86299999999999999</v>
      </c>
      <c r="BE337" s="7">
        <v>0</v>
      </c>
      <c r="BF337" s="7">
        <v>0</v>
      </c>
      <c r="BG337" s="7">
        <v>-1.048</v>
      </c>
      <c r="BH337" s="7">
        <v>-3.2869999999999999</v>
      </c>
      <c r="BI337" s="7">
        <v>-0.156</v>
      </c>
      <c r="BJ337" s="21"/>
    </row>
    <row r="338" spans="1:62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21"/>
    </row>
    <row r="339" spans="1:62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 s="21"/>
    </row>
    <row r="340" spans="1:62" ht="15.6" x14ac:dyDescent="0.3">
      <c r="A340" s="5" t="s">
        <v>605</v>
      </c>
      <c r="B340" s="5" t="s">
        <v>606</v>
      </c>
      <c r="C340" s="5"/>
      <c r="D340" s="5"/>
      <c r="E340">
        <v>8118107.5719999997</v>
      </c>
      <c r="F340">
        <v>959524.88899999997</v>
      </c>
      <c r="G340">
        <v>995116.70200000005</v>
      </c>
      <c r="H340">
        <v>1098728.443</v>
      </c>
      <c r="I340">
        <v>140770.299</v>
      </c>
      <c r="J340">
        <v>690276.897</v>
      </c>
      <c r="K340">
        <v>269607.51699999999</v>
      </c>
      <c r="L340">
        <v>9035328.0480000004</v>
      </c>
      <c r="M340">
        <v>3066747.1979999999</v>
      </c>
      <c r="N340">
        <v>15007.688</v>
      </c>
      <c r="O340">
        <v>9409.1759999999995</v>
      </c>
      <c r="P340">
        <v>19580.706999999999</v>
      </c>
      <c r="Q340">
        <v>12335.798000000001</v>
      </c>
      <c r="R340">
        <v>19953.498</v>
      </c>
      <c r="S340">
        <v>297793.72899999999</v>
      </c>
      <c r="T340">
        <v>977.82299999999998</v>
      </c>
      <c r="U340">
        <v>196649.14600000001</v>
      </c>
      <c r="V340">
        <v>90287.675000000003</v>
      </c>
      <c r="W340">
        <v>222316.11</v>
      </c>
      <c r="X340">
        <v>213596.56299999999</v>
      </c>
      <c r="Y340">
        <v>1868506.101</v>
      </c>
      <c r="Z340">
        <v>133628.891</v>
      </c>
      <c r="AA340">
        <v>923700.93900000001</v>
      </c>
      <c r="AB340">
        <v>281959.76500000001</v>
      </c>
      <c r="AC340">
        <v>163467.32</v>
      </c>
      <c r="AD340">
        <v>57090.205000000002</v>
      </c>
      <c r="AE340">
        <v>5099874.8389999997</v>
      </c>
      <c r="AF340">
        <v>1101685.8289999999</v>
      </c>
      <c r="AG340">
        <v>252429.84599999999</v>
      </c>
      <c r="AH340">
        <v>18413258.083999999</v>
      </c>
      <c r="AI340">
        <v>2060425.4709999999</v>
      </c>
      <c r="AJ340">
        <v>682253.80799999996</v>
      </c>
      <c r="AK340">
        <v>10912594.169</v>
      </c>
      <c r="AL340">
        <v>6255136.9970000004</v>
      </c>
      <c r="AM340">
        <v>41857.447</v>
      </c>
      <c r="AN340">
        <v>3861263.4810000001</v>
      </c>
      <c r="AO340">
        <v>69260.922999999995</v>
      </c>
      <c r="AP340">
        <v>61704.563000000002</v>
      </c>
      <c r="AQ340">
        <v>372416.60600000003</v>
      </c>
      <c r="AR340">
        <v>26794.758000000002</v>
      </c>
      <c r="AS340">
        <v>3560.2040000000002</v>
      </c>
      <c r="AT340">
        <v>0</v>
      </c>
      <c r="AU340">
        <v>78703.601999999999</v>
      </c>
      <c r="AV340">
        <v>71966.244999999995</v>
      </c>
      <c r="AW340">
        <v>84298.524000000005</v>
      </c>
      <c r="AX340">
        <v>163547.74900000001</v>
      </c>
      <c r="AY340">
        <v>32241.878000000001</v>
      </c>
      <c r="AZ340">
        <v>72831.683000000005</v>
      </c>
      <c r="BA340">
        <v>119962.13099999999</v>
      </c>
      <c r="BB340">
        <v>20727.625</v>
      </c>
      <c r="BC340">
        <v>15117.496999999999</v>
      </c>
      <c r="BD340">
        <v>76991.638000000006</v>
      </c>
      <c r="BE340">
        <v>5821.5789999999997</v>
      </c>
      <c r="BF340">
        <v>5821.5789999999997</v>
      </c>
      <c r="BG340">
        <v>26789.094000000001</v>
      </c>
      <c r="BH340">
        <v>461669.10200000001</v>
      </c>
      <c r="BI340">
        <v>6753.9750000000004</v>
      </c>
      <c r="BJ340" s="21"/>
    </row>
    <row r="341" spans="1:62" x14ac:dyDescent="0.25">
      <c r="BJ341" s="21"/>
    </row>
    <row r="342" spans="1:62" ht="15.6" x14ac:dyDescent="0.3">
      <c r="A342" s="5" t="s">
        <v>607</v>
      </c>
      <c r="E342">
        <f t="shared" ref="E342:AW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>SUM(AM7:AM339)-AM340</f>
        <v>0</v>
      </c>
      <c r="AN342">
        <f>SUM(AN7:AN339)-AN340</f>
        <v>0</v>
      </c>
      <c r="AO342">
        <f>SUM(AO7:AO339)-AO340</f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 t="shared" si="0"/>
        <v>0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>SUM(AX7:AX339)-AX340</f>
        <v>0</v>
      </c>
      <c r="AY342">
        <f t="shared" ref="AY342:BI342" si="1">SUM(AY7:AY339)-AY340</f>
        <v>0</v>
      </c>
      <c r="AZ342">
        <f t="shared" si="1"/>
        <v>0</v>
      </c>
      <c r="BA342">
        <f t="shared" si="1"/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0</v>
      </c>
      <c r="BF342">
        <f t="shared" si="1"/>
        <v>0</v>
      </c>
      <c r="BG342">
        <f t="shared" si="1"/>
        <v>0</v>
      </c>
      <c r="BH342">
        <f t="shared" si="1"/>
        <v>0</v>
      </c>
      <c r="BI342">
        <f t="shared" si="1"/>
        <v>0</v>
      </c>
      <c r="BJ342" s="21"/>
    </row>
    <row r="343" spans="1:62" x14ac:dyDescent="0.25">
      <c r="BJ343" s="21"/>
    </row>
    <row r="344" spans="1:62" x14ac:dyDescent="0.25">
      <c r="A344" t="s">
        <v>608</v>
      </c>
      <c r="D344">
        <v>1</v>
      </c>
      <c r="E344" s="16">
        <f t="shared" ref="E344:AW344" si="2">SUMIF($D$6:$D$338,$D$344,E6:E338)</f>
        <v>756095.26399999997</v>
      </c>
      <c r="F344" s="16">
        <f t="shared" si="2"/>
        <v>136700.03300000002</v>
      </c>
      <c r="G344" s="16">
        <f t="shared" si="2"/>
        <v>36715.764000000003</v>
      </c>
      <c r="H344" s="16">
        <f t="shared" si="2"/>
        <v>5616.7670000000007</v>
      </c>
      <c r="I344" s="16">
        <f t="shared" si="2"/>
        <v>10219.756999999998</v>
      </c>
      <c r="J344" s="16">
        <f t="shared" si="2"/>
        <v>24164.480999999996</v>
      </c>
      <c r="K344" s="16">
        <f t="shared" si="2"/>
        <v>22214.103999999999</v>
      </c>
      <c r="L344" s="16">
        <f t="shared" si="2"/>
        <v>1515661.8199999998</v>
      </c>
      <c r="M344" s="16">
        <f t="shared" si="2"/>
        <v>172668.92900000003</v>
      </c>
      <c r="N344" s="16">
        <f>SUMIF($D$6:$D$338,$D$344,N6:N338)</f>
        <v>371.75200000000001</v>
      </c>
      <c r="O344" s="16">
        <f t="shared" si="2"/>
        <v>7703.6719999999996</v>
      </c>
      <c r="P344" s="16">
        <f t="shared" si="2"/>
        <v>609.47</v>
      </c>
      <c r="Q344" s="16">
        <f t="shared" si="2"/>
        <v>5597.058</v>
      </c>
      <c r="R344" s="16">
        <f t="shared" si="2"/>
        <v>1972</v>
      </c>
      <c r="S344" s="16">
        <f t="shared" si="2"/>
        <v>41136.550000000003</v>
      </c>
      <c r="T344" s="16">
        <f t="shared" si="2"/>
        <v>47.468999999999994</v>
      </c>
      <c r="U344" s="16">
        <f t="shared" si="2"/>
        <v>16070.184999999999</v>
      </c>
      <c r="V344" s="16">
        <f t="shared" si="2"/>
        <v>4109.0280000000002</v>
      </c>
      <c r="W344" s="16">
        <f t="shared" si="2"/>
        <v>17977.663000000004</v>
      </c>
      <c r="X344" s="16">
        <f t="shared" si="2"/>
        <v>36819.849000000009</v>
      </c>
      <c r="Y344" s="16">
        <f t="shared" si="2"/>
        <v>276518.30500000005</v>
      </c>
      <c r="Z344" s="16">
        <f t="shared" si="2"/>
        <v>73850.764999999999</v>
      </c>
      <c r="AA344" s="16">
        <f t="shared" si="2"/>
        <v>60796.967999999993</v>
      </c>
      <c r="AB344" s="16">
        <f t="shared" si="2"/>
        <v>229293.06899999999</v>
      </c>
      <c r="AC344" s="16">
        <f t="shared" si="2"/>
        <v>24722.01</v>
      </c>
      <c r="AD344" s="16">
        <f t="shared" si="2"/>
        <v>18001.435000000005</v>
      </c>
      <c r="AE344" s="16">
        <f t="shared" si="2"/>
        <v>821014.85899999994</v>
      </c>
      <c r="AF344" s="16">
        <f t="shared" si="2"/>
        <v>297753.03699999995</v>
      </c>
      <c r="AG344" s="16">
        <f t="shared" si="2"/>
        <v>85675.621999999988</v>
      </c>
      <c r="AH344" s="16">
        <f t="shared" si="2"/>
        <v>2521335.406</v>
      </c>
      <c r="AI344" s="16">
        <f t="shared" si="2"/>
        <v>526545.57999999996</v>
      </c>
      <c r="AJ344" s="16">
        <f t="shared" si="2"/>
        <v>365674.13199999998</v>
      </c>
      <c r="AK344" s="16">
        <f t="shared" si="2"/>
        <v>7504630.5019999994</v>
      </c>
      <c r="AL344" s="16">
        <f t="shared" si="2"/>
        <v>4299211.1350000007</v>
      </c>
      <c r="AM344" s="16">
        <f>SUMIF($D$6:$D$338,$D$344,AM6:AM338)</f>
        <v>3848.92</v>
      </c>
      <c r="AN344" s="16">
        <f>SUMIF($D$6:$D$338,$D$344,AN6:AN338)</f>
        <v>2656847.9439999997</v>
      </c>
      <c r="AO344" s="16">
        <f>SUMIF($D$6:$D$338,$D$344,AO6:AO338)</f>
        <v>11700.272999999999</v>
      </c>
      <c r="AP344" s="16">
        <f t="shared" si="2"/>
        <v>7051.8109999999997</v>
      </c>
      <c r="AQ344" s="16">
        <f t="shared" si="2"/>
        <v>103723.28700000001</v>
      </c>
      <c r="AR344" s="16">
        <f t="shared" si="2"/>
        <v>2842.5970000000002</v>
      </c>
      <c r="AS344" s="16">
        <f t="shared" si="2"/>
        <v>570.77099999999996</v>
      </c>
      <c r="AT344" s="16">
        <f t="shared" si="2"/>
        <v>0</v>
      </c>
      <c r="AU344" s="16">
        <f t="shared" si="2"/>
        <v>11538.783000000001</v>
      </c>
      <c r="AV344" s="16">
        <f t="shared" si="2"/>
        <v>6936.3239999999996</v>
      </c>
      <c r="AW344" s="16">
        <f t="shared" si="2"/>
        <v>10277.635</v>
      </c>
      <c r="AX344" s="16">
        <f>SUMIF($D$6:$D$338,$D$344,AX6:AX338)</f>
        <v>31094.51</v>
      </c>
      <c r="AY344" s="16">
        <f t="shared" ref="AY344:BI344" si="3">SUMIF($D$6:$D$338,$D$344,AY6:AY338)</f>
        <v>2394.69</v>
      </c>
      <c r="AZ344" s="16">
        <f t="shared" si="3"/>
        <v>8797.6560000000009</v>
      </c>
      <c r="BA344" s="16">
        <f t="shared" si="3"/>
        <v>20947.460999999996</v>
      </c>
      <c r="BB344" s="16">
        <f t="shared" si="3"/>
        <v>3590.8189999999995</v>
      </c>
      <c r="BC344" s="16">
        <f t="shared" si="3"/>
        <v>1069.7839999999999</v>
      </c>
      <c r="BD344" s="16">
        <f t="shared" si="3"/>
        <v>5437.6130000000003</v>
      </c>
      <c r="BE344" s="16">
        <f t="shared" si="3"/>
        <v>939.48500000000001</v>
      </c>
      <c r="BF344" s="16">
        <f t="shared" si="3"/>
        <v>939.48500000000001</v>
      </c>
      <c r="BG344" s="16">
        <f t="shared" si="3"/>
        <v>1307.759</v>
      </c>
      <c r="BH344" s="16">
        <f t="shared" si="3"/>
        <v>268936.43699999998</v>
      </c>
      <c r="BI344" s="16">
        <f t="shared" si="3"/>
        <v>406.50399999999996</v>
      </c>
      <c r="BJ344" s="21"/>
    </row>
    <row r="345" spans="1:62" x14ac:dyDescent="0.25">
      <c r="A345" t="s">
        <v>609</v>
      </c>
      <c r="D345">
        <v>2</v>
      </c>
      <c r="E345" s="16">
        <f t="shared" ref="E345:AW345" si="4">SUMIF($D$6:$D$338,$D$345,E6:E338)</f>
        <v>1851165.0030000003</v>
      </c>
      <c r="F345" s="16">
        <f t="shared" si="4"/>
        <v>162737.736</v>
      </c>
      <c r="G345" s="16">
        <f t="shared" si="4"/>
        <v>340560.09599999996</v>
      </c>
      <c r="H345" s="16">
        <f t="shared" si="4"/>
        <v>0</v>
      </c>
      <c r="I345" s="16">
        <f t="shared" si="4"/>
        <v>50668.063999999998</v>
      </c>
      <c r="J345" s="16">
        <f t="shared" si="4"/>
        <v>237225.44600000003</v>
      </c>
      <c r="K345" s="16">
        <f t="shared" si="4"/>
        <v>195873.88099999999</v>
      </c>
      <c r="L345" s="16">
        <f t="shared" si="4"/>
        <v>705082.61099999992</v>
      </c>
      <c r="M345" s="16">
        <f t="shared" si="4"/>
        <v>624214.12600000005</v>
      </c>
      <c r="N345" s="16">
        <f>SUMIF($D$6:$D$338,$D$345,N6:N338)</f>
        <v>11383.116</v>
      </c>
      <c r="O345" s="16">
        <f t="shared" si="4"/>
        <v>141.041</v>
      </c>
      <c r="P345" s="16">
        <f t="shared" si="4"/>
        <v>15374.014000000001</v>
      </c>
      <c r="Q345" s="16">
        <f t="shared" si="4"/>
        <v>1867.1569999999997</v>
      </c>
      <c r="R345" s="16">
        <f t="shared" si="4"/>
        <v>4463.7610000000004</v>
      </c>
      <c r="S345" s="16">
        <f t="shared" si="4"/>
        <v>49629.462</v>
      </c>
      <c r="T345" s="16">
        <f t="shared" si="4"/>
        <v>931.21900000000005</v>
      </c>
      <c r="U345" s="16">
        <f t="shared" si="4"/>
        <v>149277.89299999998</v>
      </c>
      <c r="V345" s="16">
        <f t="shared" si="4"/>
        <v>24766.710999999999</v>
      </c>
      <c r="W345" s="16">
        <f t="shared" si="4"/>
        <v>48834.592000000004</v>
      </c>
      <c r="X345" s="16">
        <f t="shared" si="4"/>
        <v>3219.328</v>
      </c>
      <c r="Y345" s="16">
        <f t="shared" si="4"/>
        <v>306367.86099999998</v>
      </c>
      <c r="Z345" s="16">
        <f t="shared" si="4"/>
        <v>83.822999999999993</v>
      </c>
      <c r="AA345" s="16">
        <f t="shared" si="4"/>
        <v>299235.64799999999</v>
      </c>
      <c r="AB345" s="16">
        <f t="shared" si="4"/>
        <v>2579.5160000000001</v>
      </c>
      <c r="AC345" s="16">
        <f t="shared" si="4"/>
        <v>22545.638000000003</v>
      </c>
      <c r="AD345" s="16">
        <f t="shared" si="4"/>
        <v>9539.1980000000003</v>
      </c>
      <c r="AE345" s="16">
        <f t="shared" si="4"/>
        <v>735766.63900000008</v>
      </c>
      <c r="AF345" s="16">
        <f t="shared" si="4"/>
        <v>47202.722999999998</v>
      </c>
      <c r="AG345" s="16">
        <f t="shared" si="4"/>
        <v>33547.445</v>
      </c>
      <c r="AH345" s="16">
        <f t="shared" si="4"/>
        <v>2356926.094</v>
      </c>
      <c r="AI345" s="16">
        <f t="shared" si="4"/>
        <v>83063.856999999989</v>
      </c>
      <c r="AJ345" s="16">
        <f t="shared" si="4"/>
        <v>429.61500000000001</v>
      </c>
      <c r="AK345" s="16">
        <f t="shared" si="4"/>
        <v>904326.554</v>
      </c>
      <c r="AL345" s="16">
        <f t="shared" si="4"/>
        <v>519126.39</v>
      </c>
      <c r="AM345" s="16">
        <f>SUMIF($D$6:$D$338,$D$345,AM6:AM338)</f>
        <v>31408.219000000001</v>
      </c>
      <c r="AN345" s="16">
        <f>SUMIF($D$6:$D$338,$D$345,AN6:AN338)</f>
        <v>319777.40500000003</v>
      </c>
      <c r="AO345" s="16">
        <f>SUMIF($D$6:$D$338,$D$345,AO6:AO338)</f>
        <v>9794.5020000000004</v>
      </c>
      <c r="AP345" s="16">
        <f t="shared" si="4"/>
        <v>0</v>
      </c>
      <c r="AQ345" s="16">
        <f t="shared" si="4"/>
        <v>16210.360999999999</v>
      </c>
      <c r="AR345" s="16">
        <f t="shared" si="4"/>
        <v>0</v>
      </c>
      <c r="AS345" s="16">
        <f t="shared" si="4"/>
        <v>1180.442</v>
      </c>
      <c r="AT345" s="16">
        <f t="shared" si="4"/>
        <v>0</v>
      </c>
      <c r="AU345" s="16">
        <f t="shared" si="4"/>
        <v>30108.534</v>
      </c>
      <c r="AV345" s="16">
        <f t="shared" si="4"/>
        <v>0</v>
      </c>
      <c r="AW345" s="16">
        <f t="shared" si="4"/>
        <v>0</v>
      </c>
      <c r="AX345" s="16">
        <f>SUMIF($D$6:$D$338,$D$345,AX6:AX338)</f>
        <v>2411.5419999999999</v>
      </c>
      <c r="AY345" s="16">
        <f t="shared" ref="AY345:BI345" si="5">SUMIF($D$6:$D$338,$D$345,AY6:AY338)</f>
        <v>7787.2089999999998</v>
      </c>
      <c r="AZ345" s="16">
        <f t="shared" si="5"/>
        <v>411.86599999999999</v>
      </c>
      <c r="BA345" s="16">
        <f t="shared" si="5"/>
        <v>1803.2270000000001</v>
      </c>
      <c r="BB345" s="16">
        <f t="shared" si="5"/>
        <v>3244.194</v>
      </c>
      <c r="BC345" s="16">
        <f t="shared" si="5"/>
        <v>3930.6540000000005</v>
      </c>
      <c r="BD345" s="16">
        <f t="shared" si="5"/>
        <v>460.21600000000001</v>
      </c>
      <c r="BE345" s="16">
        <f t="shared" si="5"/>
        <v>1131.5719999999999</v>
      </c>
      <c r="BF345" s="16">
        <f t="shared" si="5"/>
        <v>1131.5719999999999</v>
      </c>
      <c r="BG345" s="16">
        <f t="shared" si="5"/>
        <v>163.96799999999999</v>
      </c>
      <c r="BH345" s="16">
        <f t="shared" si="5"/>
        <v>34021.249000000003</v>
      </c>
      <c r="BI345" s="16">
        <f t="shared" si="5"/>
        <v>1594.7049999999999</v>
      </c>
      <c r="BJ345" s="21"/>
    </row>
    <row r="346" spans="1:62" x14ac:dyDescent="0.25">
      <c r="A346" t="s">
        <v>610</v>
      </c>
      <c r="D346">
        <v>3</v>
      </c>
      <c r="E346" s="16">
        <f t="shared" ref="E346:AW346" si="6">SUMIF($D$6:$D$338,$D$346,E6:E338)</f>
        <v>1749729.8320000004</v>
      </c>
      <c r="F346" s="16">
        <f t="shared" si="6"/>
        <v>264614.49099999998</v>
      </c>
      <c r="G346" s="16">
        <f t="shared" si="6"/>
        <v>461791.40100000001</v>
      </c>
      <c r="H346" s="16">
        <f t="shared" si="6"/>
        <v>73840.801000000007</v>
      </c>
      <c r="I346" s="16">
        <f t="shared" si="6"/>
        <v>47619.19200000001</v>
      </c>
      <c r="J346" s="16">
        <f t="shared" si="6"/>
        <v>305803.86899999995</v>
      </c>
      <c r="K346" s="16">
        <f t="shared" si="6"/>
        <v>37484.176999999996</v>
      </c>
      <c r="L346" s="16">
        <f t="shared" si="6"/>
        <v>826630.98599999992</v>
      </c>
      <c r="M346" s="16">
        <f t="shared" si="6"/>
        <v>1070344.5969999998</v>
      </c>
      <c r="N346" s="16">
        <f>SUMIF($D$6:$D$338,$D$346,N6:N338)</f>
        <v>3162.8090000000002</v>
      </c>
      <c r="O346" s="16">
        <f t="shared" si="6"/>
        <v>0</v>
      </c>
      <c r="P346" s="16">
        <f t="shared" si="6"/>
        <v>55.661000000000016</v>
      </c>
      <c r="Q346" s="16">
        <f t="shared" si="6"/>
        <v>4054.76</v>
      </c>
      <c r="R346" s="16">
        <f t="shared" si="6"/>
        <v>12492.387999999999</v>
      </c>
      <c r="S346" s="16">
        <f t="shared" si="6"/>
        <v>109389.31399999998</v>
      </c>
      <c r="T346" s="16">
        <f t="shared" si="6"/>
        <v>0</v>
      </c>
      <c r="U346" s="16">
        <f t="shared" si="6"/>
        <v>28567.151000000002</v>
      </c>
      <c r="V346" s="16">
        <f t="shared" si="6"/>
        <v>43835.117000000013</v>
      </c>
      <c r="W346" s="16">
        <f t="shared" si="6"/>
        <v>86742.928</v>
      </c>
      <c r="X346" s="16">
        <f t="shared" si="6"/>
        <v>0</v>
      </c>
      <c r="Y346" s="16">
        <f t="shared" si="6"/>
        <v>240836.03899999996</v>
      </c>
      <c r="Z346" s="16">
        <f t="shared" si="6"/>
        <v>14229.788</v>
      </c>
      <c r="AA346" s="16">
        <f t="shared" si="6"/>
        <v>439804.21800000005</v>
      </c>
      <c r="AB346" s="16">
        <f t="shared" si="6"/>
        <v>0</v>
      </c>
      <c r="AC346" s="16">
        <f t="shared" si="6"/>
        <v>47327.840999999993</v>
      </c>
      <c r="AD346" s="16">
        <f t="shared" si="6"/>
        <v>13406.294</v>
      </c>
      <c r="AE346" s="16">
        <f t="shared" si="6"/>
        <v>457868.00800000009</v>
      </c>
      <c r="AF346" s="16">
        <f t="shared" si="6"/>
        <v>13704.616000000002</v>
      </c>
      <c r="AG346" s="16">
        <f t="shared" si="6"/>
        <v>53743.356</v>
      </c>
      <c r="AH346" s="16">
        <f t="shared" si="6"/>
        <v>2044034.6029999997</v>
      </c>
      <c r="AI346" s="16">
        <f t="shared" si="6"/>
        <v>24032.694</v>
      </c>
      <c r="AJ346" s="16">
        <f t="shared" si="6"/>
        <v>68738.013000000006</v>
      </c>
      <c r="AK346" s="16">
        <f t="shared" si="6"/>
        <v>0</v>
      </c>
      <c r="AL346" s="16">
        <f t="shared" si="6"/>
        <v>0</v>
      </c>
      <c r="AM346" s="16">
        <f>SUMIF($D$6:$D$338,$D$346,AM6:AM338)</f>
        <v>6010.558</v>
      </c>
      <c r="AN346" s="16">
        <f>SUMIF($D$6:$D$338,$D$346,AN6:AN338)</f>
        <v>0</v>
      </c>
      <c r="AO346" s="16">
        <f>SUMIF($D$6:$D$338,$D$346,AO6:AO338)</f>
        <v>23953.304</v>
      </c>
      <c r="AP346" s="16">
        <f t="shared" si="6"/>
        <v>0</v>
      </c>
      <c r="AQ346" s="16">
        <f t="shared" si="6"/>
        <v>4549.0109999999995</v>
      </c>
      <c r="AR346" s="16">
        <f t="shared" si="6"/>
        <v>0</v>
      </c>
      <c r="AS346" s="16">
        <f t="shared" si="6"/>
        <v>805.20899999999983</v>
      </c>
      <c r="AT346" s="16">
        <f t="shared" si="6"/>
        <v>0</v>
      </c>
      <c r="AU346" s="16">
        <f t="shared" si="6"/>
        <v>25348.057000000004</v>
      </c>
      <c r="AV346" s="16">
        <f t="shared" si="6"/>
        <v>0</v>
      </c>
      <c r="AW346" s="16">
        <f t="shared" si="6"/>
        <v>0</v>
      </c>
      <c r="AX346" s="16">
        <f>SUMIF($D$6:$D$338,$D$346,AX6:AX338)</f>
        <v>0</v>
      </c>
      <c r="AY346" s="16">
        <f t="shared" ref="AY346:BI346" si="7">SUMIF($D$6:$D$338,$D$346,AY6:AY338)</f>
        <v>15306.107000000002</v>
      </c>
      <c r="AZ346" s="16">
        <f t="shared" si="7"/>
        <v>1948.8849999999998</v>
      </c>
      <c r="BA346" s="16">
        <f t="shared" si="7"/>
        <v>0</v>
      </c>
      <c r="BB346" s="16">
        <f t="shared" si="7"/>
        <v>6835.1949999999997</v>
      </c>
      <c r="BC346" s="16">
        <f t="shared" si="7"/>
        <v>9567.4170000000031</v>
      </c>
      <c r="BD346" s="16">
        <f t="shared" si="7"/>
        <v>2177.6669999999999</v>
      </c>
      <c r="BE346" s="16">
        <f t="shared" si="7"/>
        <v>1856.1759999999999</v>
      </c>
      <c r="BF346" s="16">
        <f t="shared" si="7"/>
        <v>1856.1759999999999</v>
      </c>
      <c r="BG346" s="16">
        <f t="shared" si="7"/>
        <v>775.86900000000003</v>
      </c>
      <c r="BH346" s="16">
        <f t="shared" si="7"/>
        <v>51208.417999999998</v>
      </c>
      <c r="BI346" s="16">
        <f t="shared" si="7"/>
        <v>4503.8429999999998</v>
      </c>
      <c r="BJ346" s="21"/>
    </row>
    <row r="347" spans="1:62" x14ac:dyDescent="0.25">
      <c r="A347" t="s">
        <v>611</v>
      </c>
      <c r="B347">
        <v>7</v>
      </c>
      <c r="D347">
        <v>4</v>
      </c>
      <c r="E347" s="16">
        <f t="shared" ref="E347:AW347" si="8">SUMIF($D$6:$D$338,$D$347,E6:E338)</f>
        <v>1252924.577</v>
      </c>
      <c r="F347" s="16">
        <f t="shared" si="8"/>
        <v>281193.29599999997</v>
      </c>
      <c r="G347" s="16">
        <f t="shared" si="8"/>
        <v>425.78400000000005</v>
      </c>
      <c r="H347" s="16">
        <f t="shared" si="8"/>
        <v>23735.666999999998</v>
      </c>
      <c r="I347" s="16">
        <f t="shared" si="8"/>
        <v>9762.5379999999968</v>
      </c>
      <c r="J347" s="16">
        <f t="shared" si="8"/>
        <v>275.47100000000006</v>
      </c>
      <c r="K347" s="16">
        <f t="shared" si="8"/>
        <v>0</v>
      </c>
      <c r="L347" s="16">
        <f t="shared" si="8"/>
        <v>3250101.0119999996</v>
      </c>
      <c r="M347" s="16">
        <f t="shared" si="8"/>
        <v>248269.82999999996</v>
      </c>
      <c r="N347" s="16">
        <f>SUMIF($D$6:$D$338,$D$347,N6:N338)</f>
        <v>0</v>
      </c>
      <c r="O347" s="16">
        <f t="shared" si="8"/>
        <v>1456.943</v>
      </c>
      <c r="P347" s="16">
        <f t="shared" si="8"/>
        <v>28.996000000000009</v>
      </c>
      <c r="Q347" s="16">
        <f t="shared" si="8"/>
        <v>696.02699999999993</v>
      </c>
      <c r="R347" s="16">
        <f t="shared" si="8"/>
        <v>100.398</v>
      </c>
      <c r="S347" s="16">
        <f t="shared" si="8"/>
        <v>87027.990999999995</v>
      </c>
      <c r="T347" s="16">
        <f t="shared" si="8"/>
        <v>0</v>
      </c>
      <c r="U347" s="16">
        <f t="shared" si="8"/>
        <v>0</v>
      </c>
      <c r="V347" s="16">
        <f t="shared" si="8"/>
        <v>40.72</v>
      </c>
      <c r="W347" s="16">
        <f t="shared" si="8"/>
        <v>25166.629999999994</v>
      </c>
      <c r="X347" s="16">
        <f t="shared" si="8"/>
        <v>174532.45199999999</v>
      </c>
      <c r="Y347" s="16">
        <f t="shared" si="8"/>
        <v>559512.94199999981</v>
      </c>
      <c r="Z347" s="16">
        <f t="shared" si="8"/>
        <v>46826.31</v>
      </c>
      <c r="AA347" s="16">
        <f t="shared" si="8"/>
        <v>388.90299999999996</v>
      </c>
      <c r="AB347" s="16">
        <f t="shared" si="8"/>
        <v>45335.161999999997</v>
      </c>
      <c r="AC347" s="16">
        <f t="shared" si="8"/>
        <v>51222.745999999999</v>
      </c>
      <c r="AD347" s="16">
        <f t="shared" si="8"/>
        <v>16270.114000000001</v>
      </c>
      <c r="AE347" s="16">
        <f t="shared" si="8"/>
        <v>1395626.4820000001</v>
      </c>
      <c r="AF347" s="16">
        <f t="shared" si="8"/>
        <v>706317.40599999996</v>
      </c>
      <c r="AG347" s="16">
        <f t="shared" si="8"/>
        <v>72043.542000000001</v>
      </c>
      <c r="AH347" s="16">
        <f t="shared" si="8"/>
        <v>5524832.1059999997</v>
      </c>
      <c r="AI347" s="16">
        <f t="shared" si="8"/>
        <v>1271046.9999999998</v>
      </c>
      <c r="AJ347" s="16">
        <f t="shared" si="8"/>
        <v>253961.853</v>
      </c>
      <c r="AK347" s="16">
        <f t="shared" si="8"/>
        <v>2505511.6260000002</v>
      </c>
      <c r="AL347" s="16">
        <f t="shared" si="8"/>
        <v>1438282.67</v>
      </c>
      <c r="AM347" s="16">
        <f>SUMIF($D$6:$D$338,$D$347,AM6:AM338)</f>
        <v>0</v>
      </c>
      <c r="AN347" s="16">
        <f>SUMIF($D$6:$D$338,$D$347,AN6:AN338)</f>
        <v>885969.79099999985</v>
      </c>
      <c r="AO347" s="16">
        <f>SUMIF($D$6:$D$338,$D$347,AO6:AO338)</f>
        <v>22221.449000000004</v>
      </c>
      <c r="AP347" s="16">
        <f t="shared" si="8"/>
        <v>54675.322</v>
      </c>
      <c r="AQ347" s="16">
        <f t="shared" si="8"/>
        <v>240153.72899999996</v>
      </c>
      <c r="AR347" s="16">
        <f t="shared" si="8"/>
        <v>23966.821</v>
      </c>
      <c r="AS347" s="16">
        <f t="shared" si="8"/>
        <v>865.89400000000001</v>
      </c>
      <c r="AT347" s="16">
        <f t="shared" si="8"/>
        <v>0</v>
      </c>
      <c r="AU347" s="16">
        <f t="shared" si="8"/>
        <v>10122.534999999998</v>
      </c>
      <c r="AV347" s="16">
        <f t="shared" si="8"/>
        <v>65031.120999999999</v>
      </c>
      <c r="AW347" s="16">
        <f t="shared" si="8"/>
        <v>74064.823999999993</v>
      </c>
      <c r="AX347" s="16">
        <f>SUMIF($D$6:$D$338,$D$347,AX6:AX338)</f>
        <v>130739.21599999999</v>
      </c>
      <c r="AY347" s="16">
        <f t="shared" ref="AY347:BI347" si="9">SUMIF($D$6:$D$338,$D$347,AY6:AY338)</f>
        <v>5454.3480000000018</v>
      </c>
      <c r="AZ347" s="16">
        <f t="shared" si="9"/>
        <v>57057.562999999995</v>
      </c>
      <c r="BA347" s="16">
        <f t="shared" si="9"/>
        <v>97760.063999999998</v>
      </c>
      <c r="BB347" s="16">
        <f t="shared" si="9"/>
        <v>6590.4530000000013</v>
      </c>
      <c r="BC347" s="16">
        <f t="shared" si="9"/>
        <v>7.3440000000000003</v>
      </c>
      <c r="BD347" s="16">
        <f t="shared" si="9"/>
        <v>63755.647999999994</v>
      </c>
      <c r="BE347" s="16">
        <f t="shared" si="9"/>
        <v>1774.9219999999996</v>
      </c>
      <c r="BF347" s="16">
        <f t="shared" si="9"/>
        <v>1774.9219999999996</v>
      </c>
      <c r="BG347" s="16">
        <f t="shared" si="9"/>
        <v>22715.111999999997</v>
      </c>
      <c r="BH347" s="16">
        <f t="shared" si="9"/>
        <v>111974.329</v>
      </c>
      <c r="BI347" s="16">
        <f t="shared" si="9"/>
        <v>3.3460000000000001</v>
      </c>
      <c r="BJ347" s="21"/>
    </row>
    <row r="348" spans="1:62" x14ac:dyDescent="0.25">
      <c r="A348" t="s">
        <v>612</v>
      </c>
      <c r="D348">
        <v>5</v>
      </c>
      <c r="E348" s="16">
        <f t="shared" ref="E348:AW348" si="10">SUMIF($D$6:$D$338,$D$348,E6:E338)</f>
        <v>699847.0469999999</v>
      </c>
      <c r="F348" s="16">
        <f t="shared" si="10"/>
        <v>37218.262000000002</v>
      </c>
      <c r="G348" s="16">
        <f t="shared" si="10"/>
        <v>83816.290000000008</v>
      </c>
      <c r="H348" s="16">
        <f t="shared" si="10"/>
        <v>971373.53899999999</v>
      </c>
      <c r="I348" s="16">
        <f t="shared" si="10"/>
        <v>11450.839999999998</v>
      </c>
      <c r="J348" s="16">
        <f t="shared" si="10"/>
        <v>73613.093999999997</v>
      </c>
      <c r="K348" s="16">
        <f t="shared" si="10"/>
        <v>14250.994000000001</v>
      </c>
      <c r="L348" s="16">
        <f t="shared" si="10"/>
        <v>492391.36199999996</v>
      </c>
      <c r="M348" s="16">
        <f t="shared" si="10"/>
        <v>359463.88</v>
      </c>
      <c r="N348" s="16">
        <f>SUMIF($D$6:$D$338,$D$348,N6:N338)</f>
        <v>0</v>
      </c>
      <c r="O348" s="16">
        <f t="shared" si="10"/>
        <v>0</v>
      </c>
      <c r="P348" s="16">
        <f t="shared" si="10"/>
        <v>2189.5659999999998</v>
      </c>
      <c r="Q348" s="16">
        <f t="shared" si="10"/>
        <v>0</v>
      </c>
      <c r="R348" s="16">
        <f t="shared" si="10"/>
        <v>36.74</v>
      </c>
      <c r="S348" s="16">
        <f t="shared" si="10"/>
        <v>-3496.337</v>
      </c>
      <c r="T348" s="16">
        <f t="shared" si="10"/>
        <v>0</v>
      </c>
      <c r="U348" s="16">
        <f t="shared" si="10"/>
        <v>2865.2310000000002</v>
      </c>
      <c r="V348" s="16">
        <f t="shared" si="10"/>
        <v>11192.211000000001</v>
      </c>
      <c r="W348" s="16">
        <f t="shared" si="10"/>
        <v>25660.393</v>
      </c>
      <c r="X348" s="16">
        <f t="shared" si="10"/>
        <v>0</v>
      </c>
      <c r="Y348" s="16">
        <f t="shared" si="10"/>
        <v>182829.06299999999</v>
      </c>
      <c r="Z348" s="16">
        <f t="shared" si="10"/>
        <v>0</v>
      </c>
      <c r="AA348" s="16">
        <f t="shared" si="10"/>
        <v>56884.864000000001</v>
      </c>
      <c r="AB348" s="16">
        <f t="shared" si="10"/>
        <v>-9.3640000000000008</v>
      </c>
      <c r="AC348" s="16">
        <f t="shared" si="10"/>
        <v>6796.8120000000017</v>
      </c>
      <c r="AD348" s="16">
        <f t="shared" si="10"/>
        <v>0</v>
      </c>
      <c r="AE348" s="16">
        <f t="shared" si="10"/>
        <v>570405.70700000005</v>
      </c>
      <c r="AF348" s="16">
        <f t="shared" si="10"/>
        <v>-17040.038999999997</v>
      </c>
      <c r="AG348" s="16">
        <f t="shared" si="10"/>
        <v>7865.884</v>
      </c>
      <c r="AH348" s="16">
        <f t="shared" si="10"/>
        <v>1672035.2200000002</v>
      </c>
      <c r="AI348" s="16">
        <f t="shared" si="10"/>
        <v>37851.267999999996</v>
      </c>
      <c r="AJ348" s="16">
        <f t="shared" si="10"/>
        <v>19.672000000000001</v>
      </c>
      <c r="AK348" s="16">
        <f t="shared" si="10"/>
        <v>399.00799999999998</v>
      </c>
      <c r="AL348" s="16">
        <f t="shared" si="10"/>
        <v>116.48699999999999</v>
      </c>
      <c r="AM348" s="16">
        <f>SUMIF($D$6:$D$338,$D$348,AM6:AM338)</f>
        <v>621.60699999999997</v>
      </c>
      <c r="AN348" s="16">
        <f>SUMIF($D$6:$D$338,$D$348,AN6:AN338)</f>
        <v>279.19299999999998</v>
      </c>
      <c r="AO348" s="16">
        <f>SUMIF($D$6:$D$338,$D$348,AO6:AO338)</f>
        <v>-967.69500000000005</v>
      </c>
      <c r="AP348" s="16">
        <f t="shared" si="10"/>
        <v>0</v>
      </c>
      <c r="AQ348" s="16">
        <f t="shared" si="10"/>
        <v>-2861.3989999999999</v>
      </c>
      <c r="AR348" s="16">
        <f t="shared" si="10"/>
        <v>0</v>
      </c>
      <c r="AS348" s="16">
        <f t="shared" si="10"/>
        <v>-36.933999999999997</v>
      </c>
      <c r="AT348" s="16">
        <f t="shared" si="10"/>
        <v>0</v>
      </c>
      <c r="AU348" s="16">
        <f t="shared" si="10"/>
        <v>-199.52</v>
      </c>
      <c r="AV348" s="16">
        <f t="shared" si="10"/>
        <v>0</v>
      </c>
      <c r="AW348" s="16">
        <f t="shared" si="10"/>
        <v>0</v>
      </c>
      <c r="AX348" s="16">
        <f>SUMIF($D$6:$D$338,$D$348,AX6:AX338)</f>
        <v>0</v>
      </c>
      <c r="AY348" s="16">
        <f t="shared" ref="AY348:BI348" si="11">SUMIF($D$6:$D$338,$D$348,AY6:AY338)</f>
        <v>0</v>
      </c>
      <c r="AZ348" s="16">
        <f t="shared" si="11"/>
        <v>0</v>
      </c>
      <c r="BA348" s="16">
        <f t="shared" si="11"/>
        <v>0</v>
      </c>
      <c r="BB348" s="16">
        <f t="shared" si="11"/>
        <v>-276.05700000000002</v>
      </c>
      <c r="BC348" s="16">
        <f t="shared" si="11"/>
        <v>0</v>
      </c>
      <c r="BD348" s="16">
        <f t="shared" si="11"/>
        <v>0</v>
      </c>
      <c r="BE348" s="16">
        <f t="shared" si="11"/>
        <v>-76.855999999999995</v>
      </c>
      <c r="BF348" s="16">
        <f t="shared" si="11"/>
        <v>-76.855999999999995</v>
      </c>
      <c r="BG348" s="16">
        <f t="shared" si="11"/>
        <v>0</v>
      </c>
      <c r="BH348" s="16">
        <f t="shared" si="11"/>
        <v>0</v>
      </c>
      <c r="BI348" s="16">
        <f t="shared" si="11"/>
        <v>0</v>
      </c>
      <c r="BJ348" s="21"/>
    </row>
    <row r="349" spans="1:62" x14ac:dyDescent="0.25">
      <c r="A349" t="s">
        <v>613</v>
      </c>
      <c r="B349">
        <v>7</v>
      </c>
      <c r="D349">
        <v>6</v>
      </c>
      <c r="E349" s="16">
        <f t="shared" ref="E349:AW349" si="12">SUMIF($D$6:$D$338,$D$349,E6:E338)+SUMIF($D$6:$D$338,$B$349,E6:E338)</f>
        <v>1808345.8490000006</v>
      </c>
      <c r="F349" s="16">
        <f t="shared" si="12"/>
        <v>77061.070999999996</v>
      </c>
      <c r="G349" s="16">
        <f t="shared" si="12"/>
        <v>71807.366999999969</v>
      </c>
      <c r="H349" s="16">
        <f t="shared" si="12"/>
        <v>24161.669000000005</v>
      </c>
      <c r="I349" s="16">
        <f t="shared" si="12"/>
        <v>11049.908000000001</v>
      </c>
      <c r="J349" s="16">
        <f t="shared" si="12"/>
        <v>49194.535999999986</v>
      </c>
      <c r="K349" s="16">
        <f t="shared" si="12"/>
        <v>-215.63899999999998</v>
      </c>
      <c r="L349" s="16">
        <f t="shared" si="12"/>
        <v>2245460.2570000002</v>
      </c>
      <c r="M349" s="16">
        <f t="shared" si="12"/>
        <v>591785.83600000013</v>
      </c>
      <c r="N349" s="16">
        <f>SUMIF($D$6:$D$338,$D$349,N6:N338)+SUMIF($D$6:$D$338,$B$349,N6:N338)</f>
        <v>90.01100000000001</v>
      </c>
      <c r="O349" s="16">
        <f t="shared" si="12"/>
        <v>107.51999999999991</v>
      </c>
      <c r="P349" s="16">
        <f t="shared" si="12"/>
        <v>1323.0000000000002</v>
      </c>
      <c r="Q349" s="16">
        <f t="shared" si="12"/>
        <v>120.79600000000001</v>
      </c>
      <c r="R349" s="16">
        <f t="shared" si="12"/>
        <v>888.21100000000024</v>
      </c>
      <c r="S349" s="16">
        <f t="shared" si="12"/>
        <v>14106.749</v>
      </c>
      <c r="T349" s="16">
        <f t="shared" si="12"/>
        <v>-0.86499999999999999</v>
      </c>
      <c r="U349" s="16">
        <f t="shared" si="12"/>
        <v>-131.31399999999999</v>
      </c>
      <c r="V349" s="16">
        <f t="shared" si="12"/>
        <v>6343.8879999999999</v>
      </c>
      <c r="W349" s="16">
        <f t="shared" si="12"/>
        <v>17933.904000000006</v>
      </c>
      <c r="X349" s="16">
        <f t="shared" si="12"/>
        <v>-975.06600000000003</v>
      </c>
      <c r="Y349" s="16">
        <f t="shared" si="12"/>
        <v>302441.89099999995</v>
      </c>
      <c r="Z349" s="16">
        <f t="shared" si="12"/>
        <v>-1361.7949999999962</v>
      </c>
      <c r="AA349" s="16">
        <f t="shared" si="12"/>
        <v>66590.337999999989</v>
      </c>
      <c r="AB349" s="16">
        <f t="shared" si="12"/>
        <v>4761.3820000000023</v>
      </c>
      <c r="AC349" s="16">
        <f t="shared" si="12"/>
        <v>10852.272999999999</v>
      </c>
      <c r="AD349" s="16">
        <f t="shared" si="12"/>
        <v>-126.83600000000051</v>
      </c>
      <c r="AE349" s="16">
        <f t="shared" si="12"/>
        <v>1119193.1439999999</v>
      </c>
      <c r="AF349" s="16">
        <f t="shared" si="12"/>
        <v>53748.086000000003</v>
      </c>
      <c r="AG349" s="16">
        <f t="shared" si="12"/>
        <v>-446.00299999999828</v>
      </c>
      <c r="AH349" s="16">
        <f t="shared" si="12"/>
        <v>4294094.6549999993</v>
      </c>
      <c r="AI349" s="16">
        <f t="shared" si="12"/>
        <v>117885.072</v>
      </c>
      <c r="AJ349" s="16">
        <f t="shared" si="12"/>
        <v>-6569.4770000000162</v>
      </c>
      <c r="AK349" s="16">
        <f t="shared" si="12"/>
        <v>-2273.5210000000156</v>
      </c>
      <c r="AL349" s="16">
        <f t="shared" si="12"/>
        <v>-1599.6849999999984</v>
      </c>
      <c r="AM349" s="16">
        <f>SUMIF($D$6:$D$338,$D$349,AM6:AM338)+SUMIF($D$6:$D$338,$B$349,AM6:AM338)</f>
        <v>-31.856999999999999</v>
      </c>
      <c r="AN349" s="16">
        <f>SUMIF($D$6:$D$338,$D$349,AN6:AN338)+SUMIF($D$6:$D$338,$B$349,AN6:AN338)</f>
        <v>-1610.8520000000021</v>
      </c>
      <c r="AO349" s="16">
        <f>SUMIF($D$6:$D$338,$D$349,AO6:AO338)+SUMIF($D$6:$D$338,$B$349,AO6:AO338)</f>
        <v>2559.09</v>
      </c>
      <c r="AP349" s="16">
        <f t="shared" si="12"/>
        <v>-22.57</v>
      </c>
      <c r="AQ349" s="16">
        <f t="shared" si="12"/>
        <v>10641.617</v>
      </c>
      <c r="AR349" s="16">
        <f t="shared" si="12"/>
        <v>-14.66</v>
      </c>
      <c r="AS349" s="16">
        <f t="shared" si="12"/>
        <v>174.822</v>
      </c>
      <c r="AT349" s="16">
        <f t="shared" si="12"/>
        <v>0</v>
      </c>
      <c r="AU349" s="16">
        <f t="shared" si="12"/>
        <v>1785.213</v>
      </c>
      <c r="AV349" s="16">
        <f t="shared" si="12"/>
        <v>-1.1999999999999993</v>
      </c>
      <c r="AW349" s="16">
        <f t="shared" si="12"/>
        <v>-43.935000000000002</v>
      </c>
      <c r="AX349" s="16">
        <f>SUMIF($D$6:$D$338,$D$349,AX6:AX338)+SUMIF($D$6:$D$338,$B$349,AX6:AX338)</f>
        <v>-697.51900000000001</v>
      </c>
      <c r="AY349" s="16">
        <f t="shared" ref="AY349:BI349" si="13">SUMIF($D$6:$D$338,$D$349,AY6:AY338)+SUMIF($D$6:$D$338,$B$349,AY6:AY338)</f>
        <v>1299.5239999999999</v>
      </c>
      <c r="AZ349" s="16">
        <f t="shared" si="13"/>
        <v>4615.7130000000006</v>
      </c>
      <c r="BA349" s="16">
        <f t="shared" si="13"/>
        <v>-548.62099999999998</v>
      </c>
      <c r="BB349" s="16">
        <f t="shared" si="13"/>
        <v>743.02099999999996</v>
      </c>
      <c r="BC349" s="16">
        <f t="shared" si="13"/>
        <v>542.298</v>
      </c>
      <c r="BD349" s="16">
        <f t="shared" si="13"/>
        <v>5160.4939999999997</v>
      </c>
      <c r="BE349" s="16">
        <f t="shared" si="13"/>
        <v>196.28000000000003</v>
      </c>
      <c r="BF349" s="16">
        <f t="shared" si="13"/>
        <v>196.28000000000003</v>
      </c>
      <c r="BG349" s="16">
        <f t="shared" si="13"/>
        <v>1826.3860000000002</v>
      </c>
      <c r="BH349" s="16">
        <f t="shared" si="13"/>
        <v>-4471.3310000000074</v>
      </c>
      <c r="BI349" s="16">
        <f t="shared" si="13"/>
        <v>245.577</v>
      </c>
      <c r="BJ349" s="21"/>
    </row>
    <row r="350" spans="1:6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21"/>
    </row>
    <row r="351" spans="1:62" x14ac:dyDescent="0.25">
      <c r="E351">
        <f t="shared" ref="E351:M351" si="14">SUM(E344:E350)</f>
        <v>8118107.5720000016</v>
      </c>
      <c r="F351">
        <f t="shared" si="14"/>
        <v>959524.88899999997</v>
      </c>
      <c r="G351">
        <f t="shared" si="14"/>
        <v>995116.70199999993</v>
      </c>
      <c r="H351">
        <f t="shared" si="14"/>
        <v>1098728.443</v>
      </c>
      <c r="I351">
        <f t="shared" si="14"/>
        <v>140770.299</v>
      </c>
      <c r="J351">
        <f t="shared" si="14"/>
        <v>690276.897</v>
      </c>
      <c r="K351">
        <f t="shared" si="14"/>
        <v>269607.51699999993</v>
      </c>
      <c r="L351" s="17">
        <f t="shared" si="14"/>
        <v>9035328.0480000004</v>
      </c>
      <c r="M351">
        <f t="shared" si="14"/>
        <v>3066747.1979999999</v>
      </c>
      <c r="N351">
        <f>SUM(N344:N350)</f>
        <v>15007.688</v>
      </c>
      <c r="O351">
        <f t="shared" ref="O351:AL351" si="15">SUM(O344:O350)</f>
        <v>9409.1759999999995</v>
      </c>
      <c r="P351">
        <f t="shared" si="15"/>
        <v>19580.706999999999</v>
      </c>
      <c r="Q351">
        <f t="shared" si="15"/>
        <v>12335.798000000001</v>
      </c>
      <c r="R351">
        <f t="shared" si="15"/>
        <v>19953.498</v>
      </c>
      <c r="S351">
        <f t="shared" si="15"/>
        <v>297793.72899999999</v>
      </c>
      <c r="T351">
        <f t="shared" si="15"/>
        <v>977.82300000000009</v>
      </c>
      <c r="U351">
        <f t="shared" si="15"/>
        <v>196649.14599999998</v>
      </c>
      <c r="V351">
        <f t="shared" si="15"/>
        <v>90287.675000000017</v>
      </c>
      <c r="W351">
        <f t="shared" si="15"/>
        <v>222316.11000000004</v>
      </c>
      <c r="X351">
        <f t="shared" si="15"/>
        <v>213596.56300000002</v>
      </c>
      <c r="Y351">
        <f t="shared" si="15"/>
        <v>1868506.1009999998</v>
      </c>
      <c r="Z351">
        <f t="shared" si="15"/>
        <v>133628.891</v>
      </c>
      <c r="AA351">
        <f t="shared" si="15"/>
        <v>923700.93900000001</v>
      </c>
      <c r="AB351">
        <f t="shared" si="15"/>
        <v>281959.76499999996</v>
      </c>
      <c r="AC351">
        <f t="shared" si="15"/>
        <v>163467.31999999998</v>
      </c>
      <c r="AD351">
        <f t="shared" si="15"/>
        <v>57090.205000000002</v>
      </c>
      <c r="AE351">
        <f t="shared" si="15"/>
        <v>5099874.8389999997</v>
      </c>
      <c r="AF351">
        <f t="shared" si="15"/>
        <v>1101685.8289999999</v>
      </c>
      <c r="AG351">
        <f t="shared" si="15"/>
        <v>252429.84599999996</v>
      </c>
      <c r="AH351">
        <f t="shared" si="15"/>
        <v>18413258.083999999</v>
      </c>
      <c r="AI351">
        <f t="shared" si="15"/>
        <v>2060425.4709999994</v>
      </c>
      <c r="AJ351">
        <f t="shared" si="15"/>
        <v>682253.80799999996</v>
      </c>
      <c r="AK351">
        <f t="shared" si="15"/>
        <v>10912594.169</v>
      </c>
      <c r="AL351">
        <f t="shared" si="15"/>
        <v>6255136.9970000004</v>
      </c>
      <c r="AM351">
        <f>SUM(AM344:AM350)</f>
        <v>41857.447</v>
      </c>
      <c r="AN351">
        <f>SUM(AN344:AN350)</f>
        <v>3861263.4809999992</v>
      </c>
      <c r="AO351">
        <f>SUM(AO344:AO350)</f>
        <v>69260.922999999995</v>
      </c>
      <c r="AP351">
        <f>SUM(AP344:AP350)</f>
        <v>61704.563000000002</v>
      </c>
      <c r="AQ351">
        <f t="shared" ref="AQ351:AW351" si="16">SUM(AQ344:AQ350)</f>
        <v>372416.60600000003</v>
      </c>
      <c r="AR351">
        <f t="shared" si="16"/>
        <v>26794.758000000002</v>
      </c>
      <c r="AS351">
        <f t="shared" si="16"/>
        <v>3560.2039999999997</v>
      </c>
      <c r="AT351">
        <f t="shared" si="16"/>
        <v>0</v>
      </c>
      <c r="AU351">
        <f t="shared" si="16"/>
        <v>78703.602000000014</v>
      </c>
      <c r="AV351">
        <f t="shared" si="16"/>
        <v>71966.244999999995</v>
      </c>
      <c r="AW351">
        <f t="shared" si="16"/>
        <v>84298.52399999999</v>
      </c>
      <c r="AX351">
        <f>SUM(AX344:AX350)</f>
        <v>163547.74899999998</v>
      </c>
      <c r="AY351">
        <f t="shared" ref="AY351:BI351" si="17">SUM(AY344:AY350)</f>
        <v>32241.878000000004</v>
      </c>
      <c r="AZ351">
        <f t="shared" si="17"/>
        <v>72831.683000000005</v>
      </c>
      <c r="BA351">
        <f t="shared" si="17"/>
        <v>119962.13099999999</v>
      </c>
      <c r="BB351">
        <f t="shared" si="17"/>
        <v>20727.625</v>
      </c>
      <c r="BC351">
        <f t="shared" si="17"/>
        <v>15117.497000000003</v>
      </c>
      <c r="BD351">
        <f t="shared" si="17"/>
        <v>76991.638000000006</v>
      </c>
      <c r="BE351">
        <f t="shared" si="17"/>
        <v>5821.5789999999988</v>
      </c>
      <c r="BF351">
        <f t="shared" si="17"/>
        <v>5821.5789999999988</v>
      </c>
      <c r="BG351">
        <f t="shared" si="17"/>
        <v>26789.093999999997</v>
      </c>
      <c r="BH351">
        <f t="shared" si="17"/>
        <v>461669.10199999996</v>
      </c>
      <c r="BI351">
        <f t="shared" si="17"/>
        <v>6753.9749999999995</v>
      </c>
      <c r="BJ351" s="21"/>
    </row>
    <row r="352" spans="1:62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21"/>
    </row>
    <row r="353" spans="1:62" x14ac:dyDescent="0.25">
      <c r="A353" s="8"/>
      <c r="B353" s="8"/>
      <c r="C353" s="8"/>
      <c r="D353" s="8"/>
      <c r="E353" s="8">
        <f t="shared" ref="E353:AJ353" si="18">E351-E339</f>
        <v>8118107.5720000016</v>
      </c>
      <c r="F353" s="8">
        <f t="shared" si="18"/>
        <v>959524.88899999997</v>
      </c>
      <c r="G353" s="8">
        <f t="shared" si="18"/>
        <v>995116.70199999993</v>
      </c>
      <c r="H353" s="8">
        <f t="shared" si="18"/>
        <v>1098728.443</v>
      </c>
      <c r="I353" s="8">
        <f t="shared" si="18"/>
        <v>140770.299</v>
      </c>
      <c r="J353" s="8">
        <f t="shared" si="18"/>
        <v>690276.897</v>
      </c>
      <c r="K353" s="8">
        <f t="shared" si="18"/>
        <v>269607.51699999993</v>
      </c>
      <c r="L353" s="18">
        <f t="shared" si="18"/>
        <v>9035328.0480000004</v>
      </c>
      <c r="M353" s="8">
        <f t="shared" si="18"/>
        <v>3066747.1979999999</v>
      </c>
      <c r="N353" s="8">
        <f>N351-N339</f>
        <v>15007.688</v>
      </c>
      <c r="O353" s="8">
        <f t="shared" si="18"/>
        <v>9409.1759999999995</v>
      </c>
      <c r="P353" s="8">
        <f t="shared" si="18"/>
        <v>19580.706999999999</v>
      </c>
      <c r="Q353" s="8">
        <f t="shared" si="18"/>
        <v>12335.798000000001</v>
      </c>
      <c r="R353" s="8">
        <f t="shared" si="18"/>
        <v>19953.498</v>
      </c>
      <c r="S353" s="8">
        <f t="shared" si="18"/>
        <v>297793.72899999999</v>
      </c>
      <c r="T353" s="8">
        <f t="shared" si="18"/>
        <v>977.82300000000009</v>
      </c>
      <c r="U353" s="8">
        <f t="shared" si="18"/>
        <v>196649.14599999998</v>
      </c>
      <c r="V353" s="8">
        <f t="shared" si="18"/>
        <v>90287.675000000017</v>
      </c>
      <c r="W353" s="8">
        <f t="shared" si="18"/>
        <v>222316.11000000004</v>
      </c>
      <c r="X353" s="8">
        <f t="shared" si="18"/>
        <v>213596.56300000002</v>
      </c>
      <c r="Y353" s="8">
        <f t="shared" si="18"/>
        <v>1868506.1009999998</v>
      </c>
      <c r="Z353" s="8">
        <f t="shared" si="18"/>
        <v>133628.891</v>
      </c>
      <c r="AA353" s="8">
        <f t="shared" si="18"/>
        <v>923700.93900000001</v>
      </c>
      <c r="AB353" s="8">
        <f t="shared" si="18"/>
        <v>281959.76499999996</v>
      </c>
      <c r="AC353" s="8">
        <f t="shared" si="18"/>
        <v>163467.31999999998</v>
      </c>
      <c r="AD353" s="8">
        <f t="shared" si="18"/>
        <v>57090.205000000002</v>
      </c>
      <c r="AE353" s="8">
        <f t="shared" si="18"/>
        <v>5099874.8389999997</v>
      </c>
      <c r="AF353" s="8">
        <f t="shared" si="18"/>
        <v>1101685.8289999999</v>
      </c>
      <c r="AG353" s="8">
        <f t="shared" si="18"/>
        <v>252429.84599999996</v>
      </c>
      <c r="AH353" s="8">
        <f t="shared" si="18"/>
        <v>18413258.083999999</v>
      </c>
      <c r="AI353" s="8">
        <f t="shared" si="18"/>
        <v>2060425.4709999994</v>
      </c>
      <c r="AJ353" s="8">
        <f t="shared" si="18"/>
        <v>682253.80799999996</v>
      </c>
      <c r="AK353" s="8">
        <f>AK351-AK339</f>
        <v>10912594.169</v>
      </c>
      <c r="AL353" s="8">
        <f>AL351-AL339</f>
        <v>6255136.9970000004</v>
      </c>
      <c r="AM353" s="8">
        <f>AM351-AM339</f>
        <v>41857.447</v>
      </c>
      <c r="AN353" s="8">
        <f>AN351-AN339</f>
        <v>3861263.4809999992</v>
      </c>
      <c r="AO353" s="8">
        <f>AO351-AO339</f>
        <v>69260.922999999995</v>
      </c>
      <c r="AP353" s="8">
        <f t="shared" ref="AP353:AW353" si="19">AP351-AP339</f>
        <v>61704.563000000002</v>
      </c>
      <c r="AQ353" s="8">
        <f t="shared" si="19"/>
        <v>372416.60600000003</v>
      </c>
      <c r="AR353" s="8">
        <f t="shared" si="19"/>
        <v>26794.758000000002</v>
      </c>
      <c r="AS353" s="8">
        <f t="shared" si="19"/>
        <v>3560.2039999999997</v>
      </c>
      <c r="AT353" s="8">
        <f t="shared" si="19"/>
        <v>0</v>
      </c>
      <c r="AU353" s="8">
        <f t="shared" si="19"/>
        <v>78703.602000000014</v>
      </c>
      <c r="AV353" s="8">
        <f t="shared" si="19"/>
        <v>71966.244999999995</v>
      </c>
      <c r="AW353" s="8">
        <f t="shared" si="19"/>
        <v>84298.52399999999</v>
      </c>
      <c r="AX353" s="8">
        <f>AX351-AX339</f>
        <v>163547.74899999998</v>
      </c>
      <c r="AY353" s="8">
        <f t="shared" ref="AY353:BI353" si="20">AY351-AY339</f>
        <v>32241.878000000004</v>
      </c>
      <c r="AZ353" s="8">
        <f t="shared" si="20"/>
        <v>72831.683000000005</v>
      </c>
      <c r="BA353" s="8">
        <f t="shared" si="20"/>
        <v>119962.13099999999</v>
      </c>
      <c r="BB353" s="8">
        <f t="shared" si="20"/>
        <v>20727.625</v>
      </c>
      <c r="BC353" s="8">
        <f t="shared" si="20"/>
        <v>15117.497000000003</v>
      </c>
      <c r="BD353" s="8">
        <f t="shared" si="20"/>
        <v>76991.638000000006</v>
      </c>
      <c r="BE353" s="8">
        <f t="shared" si="20"/>
        <v>5821.5789999999988</v>
      </c>
      <c r="BF353" s="8">
        <f t="shared" si="20"/>
        <v>5821.5789999999988</v>
      </c>
      <c r="BG353" s="8">
        <f t="shared" si="20"/>
        <v>26789.093999999997</v>
      </c>
      <c r="BH353" s="8">
        <f t="shared" si="20"/>
        <v>461669.10199999996</v>
      </c>
      <c r="BI353" s="8">
        <f t="shared" si="20"/>
        <v>6753.9749999999995</v>
      </c>
      <c r="BJ353" s="21"/>
    </row>
    <row r="354" spans="1:62" x14ac:dyDescent="0.25">
      <c r="E354" s="19">
        <f t="shared" ref="E354:M354" si="21">E4</f>
        <v>401</v>
      </c>
      <c r="F354" s="19">
        <f t="shared" si="21"/>
        <v>242</v>
      </c>
      <c r="G354" s="19">
        <f t="shared" si="21"/>
        <v>385</v>
      </c>
      <c r="H354" s="19">
        <f t="shared" si="21"/>
        <v>528</v>
      </c>
      <c r="I354" s="19">
        <f t="shared" si="21"/>
        <v>384</v>
      </c>
      <c r="J354" s="19">
        <f t="shared" si="21"/>
        <v>716</v>
      </c>
      <c r="K354" s="19">
        <f t="shared" si="21"/>
        <v>715</v>
      </c>
      <c r="L354" s="19">
        <f t="shared" si="21"/>
        <v>9916</v>
      </c>
      <c r="M354" s="19">
        <f t="shared" si="21"/>
        <v>1100</v>
      </c>
      <c r="N354" s="19">
        <f>N4</f>
        <v>801</v>
      </c>
      <c r="O354" s="19">
        <f t="shared" ref="O354:T354" si="22">O4</f>
        <v>804</v>
      </c>
      <c r="P354" s="19">
        <f t="shared" si="22"/>
        <v>806</v>
      </c>
      <c r="Q354" s="19">
        <f t="shared" si="22"/>
        <v>8765</v>
      </c>
      <c r="R354" s="19">
        <f t="shared" si="22"/>
        <v>8766</v>
      </c>
      <c r="S354" s="19">
        <f t="shared" si="22"/>
        <v>9418</v>
      </c>
      <c r="T354" s="19">
        <f t="shared" si="22"/>
        <v>9475</v>
      </c>
      <c r="U354" s="19">
        <f>U4</f>
        <v>9906</v>
      </c>
      <c r="V354" s="19">
        <f>V4</f>
        <v>7905</v>
      </c>
      <c r="W354" s="19">
        <f t="shared" ref="W354:AJ354" si="23">W4</f>
        <v>7906</v>
      </c>
      <c r="X354" s="19">
        <f t="shared" si="23"/>
        <v>7907</v>
      </c>
      <c r="Y354" s="19">
        <f t="shared" si="23"/>
        <v>7908</v>
      </c>
      <c r="Z354" s="19">
        <f t="shared" si="23"/>
        <v>7909</v>
      </c>
      <c r="AA354" s="19">
        <f t="shared" si="23"/>
        <v>11310</v>
      </c>
      <c r="AB354" s="19">
        <f t="shared" si="23"/>
        <v>11311</v>
      </c>
      <c r="AC354" s="19">
        <f t="shared" si="23"/>
        <v>11312</v>
      </c>
      <c r="AD354" s="19">
        <f t="shared" si="23"/>
        <v>11335</v>
      </c>
      <c r="AE354" s="19">
        <f t="shared" si="23"/>
        <v>9529</v>
      </c>
      <c r="AF354" s="19">
        <f t="shared" si="23"/>
        <v>961</v>
      </c>
      <c r="AG354" s="19">
        <f t="shared" si="23"/>
        <v>9528</v>
      </c>
      <c r="AH354" s="19">
        <f t="shared" si="23"/>
        <v>964</v>
      </c>
      <c r="AI354" s="19">
        <f t="shared" si="23"/>
        <v>968</v>
      </c>
      <c r="AJ354" s="19">
        <f t="shared" si="23"/>
        <v>8629</v>
      </c>
      <c r="AK354" s="19">
        <f>AK4</f>
        <v>13264</v>
      </c>
      <c r="AL354" s="19">
        <f>AL4</f>
        <v>13263</v>
      </c>
      <c r="AM354" s="19">
        <f>AM4</f>
        <v>13209</v>
      </c>
      <c r="AN354" s="19">
        <f>AN4</f>
        <v>13250</v>
      </c>
      <c r="AO354" s="19">
        <f>AO4</f>
        <v>14281</v>
      </c>
      <c r="AP354" s="19">
        <f t="shared" ref="AP354:AW354" si="24">AP4</f>
        <v>2049</v>
      </c>
      <c r="AQ354" s="19">
        <f t="shared" si="24"/>
        <v>7975</v>
      </c>
      <c r="AR354" s="19">
        <f t="shared" si="24"/>
        <v>8004</v>
      </c>
      <c r="AS354" s="19">
        <f t="shared" si="24"/>
        <v>1008</v>
      </c>
      <c r="AT354" s="19">
        <f t="shared" si="24"/>
        <v>9484</v>
      </c>
      <c r="AU354" s="19">
        <f t="shared" si="24"/>
        <v>682</v>
      </c>
      <c r="AV354" s="19">
        <f t="shared" si="24"/>
        <v>11352</v>
      </c>
      <c r="AW354" s="19">
        <f t="shared" si="24"/>
        <v>2058</v>
      </c>
      <c r="AX354" s="19">
        <f>AX4</f>
        <v>15007</v>
      </c>
      <c r="AY354" s="19">
        <f t="shared" ref="AY354:BI354" si="25">AY4</f>
        <v>15208</v>
      </c>
      <c r="AZ354" s="19">
        <f t="shared" si="25"/>
        <v>15209</v>
      </c>
      <c r="BA354" s="19">
        <f t="shared" si="25"/>
        <v>15210</v>
      </c>
      <c r="BB354" s="19">
        <f t="shared" si="25"/>
        <v>15211</v>
      </c>
      <c r="BC354" s="19">
        <f t="shared" si="25"/>
        <v>15212</v>
      </c>
      <c r="BD354" s="19">
        <f t="shared" si="25"/>
        <v>15232</v>
      </c>
      <c r="BE354" s="19">
        <f t="shared" si="25"/>
        <v>15214</v>
      </c>
      <c r="BF354" s="19">
        <f t="shared" si="25"/>
        <v>15214</v>
      </c>
      <c r="BG354" s="19">
        <f t="shared" si="25"/>
        <v>15233</v>
      </c>
      <c r="BH354" s="19">
        <f t="shared" si="25"/>
        <v>15234</v>
      </c>
      <c r="BI354" s="19">
        <f t="shared" si="25"/>
        <v>15215</v>
      </c>
      <c r="BJ354" s="21"/>
    </row>
    <row r="355" spans="1:62" x14ac:dyDescent="0.25">
      <c r="A355" t="s">
        <v>608</v>
      </c>
      <c r="E355" s="20">
        <f t="shared" ref="E355:AL355" si="26">E344/E351</f>
        <v>9.3136886558122564E-2</v>
      </c>
      <c r="F355" s="20">
        <f t="shared" si="26"/>
        <v>0.14246637535631451</v>
      </c>
      <c r="G355" s="20">
        <f t="shared" si="26"/>
        <v>3.6895937859557706E-2</v>
      </c>
      <c r="H355" s="20">
        <f t="shared" si="26"/>
        <v>5.1120611610488732E-3</v>
      </c>
      <c r="I355" s="20">
        <f t="shared" si="26"/>
        <v>7.2598815748768128E-2</v>
      </c>
      <c r="J355" s="20">
        <f t="shared" si="26"/>
        <v>3.5006938672032646E-2</v>
      </c>
      <c r="K355" s="20">
        <f t="shared" si="26"/>
        <v>8.2394230870053986E-2</v>
      </c>
      <c r="L355" s="20">
        <f t="shared" si="26"/>
        <v>0.16774839960962973</v>
      </c>
      <c r="M355" s="20">
        <f t="shared" si="26"/>
        <v>5.6303606998518579E-2</v>
      </c>
      <c r="N355" s="20">
        <f>N344/N351</f>
        <v>2.477077082092858E-2</v>
      </c>
      <c r="O355" s="20">
        <f t="shared" si="26"/>
        <v>0.81874034453176348</v>
      </c>
      <c r="P355" s="20">
        <f t="shared" si="26"/>
        <v>3.1126046674412731E-2</v>
      </c>
      <c r="Q355" s="20">
        <f t="shared" si="26"/>
        <v>0.45372484212209052</v>
      </c>
      <c r="R355" s="20">
        <f t="shared" si="26"/>
        <v>9.8829789142735783E-2</v>
      </c>
      <c r="S355" s="20">
        <f t="shared" si="26"/>
        <v>0.13813773089896061</v>
      </c>
      <c r="T355" s="20">
        <f t="shared" si="26"/>
        <v>4.8545595675290917E-2</v>
      </c>
      <c r="U355" s="20">
        <f t="shared" si="26"/>
        <v>8.1720085374792334E-2</v>
      </c>
      <c r="V355" s="20">
        <f t="shared" si="26"/>
        <v>4.5510397737011161E-2</v>
      </c>
      <c r="W355" s="20">
        <f t="shared" si="26"/>
        <v>8.0865318307341741E-2</v>
      </c>
      <c r="X355" s="20">
        <f t="shared" si="26"/>
        <v>0.1723803439664898</v>
      </c>
      <c r="Y355" s="20">
        <f t="shared" si="26"/>
        <v>0.14798897624792934</v>
      </c>
      <c r="Z355" s="20">
        <f t="shared" si="26"/>
        <v>0.55265567533595705</v>
      </c>
      <c r="AA355" s="20">
        <f t="shared" si="26"/>
        <v>6.581888729681154E-2</v>
      </c>
      <c r="AB355" s="20">
        <f t="shared" si="26"/>
        <v>0.81321201626054707</v>
      </c>
      <c r="AC355" s="20">
        <f t="shared" si="26"/>
        <v>0.1512351826652569</v>
      </c>
      <c r="AD355" s="20">
        <f t="shared" si="26"/>
        <v>0.31531564827977066</v>
      </c>
      <c r="AE355" s="20">
        <f t="shared" si="26"/>
        <v>0.16098725653451276</v>
      </c>
      <c r="AF355" s="20">
        <f t="shared" si="26"/>
        <v>0.27027037033803941</v>
      </c>
      <c r="AG355" s="20">
        <f t="shared" si="26"/>
        <v>0.33940369317501384</v>
      </c>
      <c r="AH355" s="20">
        <f t="shared" si="26"/>
        <v>0.1369304331964416</v>
      </c>
      <c r="AI355" s="20">
        <f t="shared" si="26"/>
        <v>0.25555186897609466</v>
      </c>
      <c r="AJ355" s="20">
        <f t="shared" si="26"/>
        <v>0.53597961302987696</v>
      </c>
      <c r="AK355" s="20">
        <f t="shared" si="26"/>
        <v>0.68770361893589071</v>
      </c>
      <c r="AL355" s="20">
        <f t="shared" si="26"/>
        <v>0.6873088690242799</v>
      </c>
      <c r="AM355" s="20">
        <f>AM344/AM351</f>
        <v>9.1953051986185405E-2</v>
      </c>
      <c r="AN355" s="20">
        <f>AN344/AN351</f>
        <v>0.68807735008850601</v>
      </c>
      <c r="AO355" s="20">
        <f>AO344/AO351</f>
        <v>0.16893036496207248</v>
      </c>
      <c r="AP355" s="20">
        <f>AP344/AP351</f>
        <v>0.11428346068993309</v>
      </c>
      <c r="AQ355" s="20">
        <f t="shared" ref="AQ355:AW355" si="27">AQ344/AQ351</f>
        <v>0.27851412995262625</v>
      </c>
      <c r="AR355" s="20">
        <f t="shared" si="27"/>
        <v>0.10608780269633336</v>
      </c>
      <c r="AS355" s="20">
        <f t="shared" si="27"/>
        <v>0.16031974572243612</v>
      </c>
      <c r="AT355" s="20">
        <v>0</v>
      </c>
      <c r="AU355" s="20">
        <f t="shared" si="27"/>
        <v>0.14661060874952075</v>
      </c>
      <c r="AV355" s="20">
        <f t="shared" si="27"/>
        <v>9.6383019567020625E-2</v>
      </c>
      <c r="AW355" s="20">
        <f t="shared" si="27"/>
        <v>0.12191951308661111</v>
      </c>
      <c r="AX355" s="20">
        <f>AX344/AX351</f>
        <v>0.19012496466704656</v>
      </c>
      <c r="AY355" s="20">
        <f t="shared" ref="AY355:BI355" si="28">AY344/AY351</f>
        <v>7.4272658683219375E-2</v>
      </c>
      <c r="AZ355" s="20">
        <f t="shared" si="28"/>
        <v>0.1207943526445764</v>
      </c>
      <c r="BA355" s="20">
        <f t="shared" si="28"/>
        <v>0.17461727984808803</v>
      </c>
      <c r="BB355" s="20">
        <f t="shared" si="28"/>
        <v>0.17323832325218155</v>
      </c>
      <c r="BC355" s="20">
        <f t="shared" si="28"/>
        <v>7.07646245936083E-2</v>
      </c>
      <c r="BD355" s="20">
        <f t="shared" si="28"/>
        <v>7.06260204517275E-2</v>
      </c>
      <c r="BE355" s="20">
        <f t="shared" si="28"/>
        <v>0.1613797562482619</v>
      </c>
      <c r="BF355" s="20">
        <f t="shared" si="28"/>
        <v>0.1613797562482619</v>
      </c>
      <c r="BG355" s="20">
        <f t="shared" si="28"/>
        <v>4.8816843152665039E-2</v>
      </c>
      <c r="BH355" s="20">
        <f t="shared" si="28"/>
        <v>0.58253072565380393</v>
      </c>
      <c r="BI355" s="20">
        <f t="shared" si="28"/>
        <v>6.0187371140698623E-2</v>
      </c>
      <c r="BJ355" s="21"/>
    </row>
    <row r="356" spans="1:62" x14ac:dyDescent="0.25">
      <c r="A356" t="s">
        <v>609</v>
      </c>
      <c r="E356" s="20">
        <f t="shared" ref="E356:AL356" si="29">E345/E351</f>
        <v>0.22802912952087695</v>
      </c>
      <c r="F356" s="20">
        <f t="shared" si="29"/>
        <v>0.16960241247061597</v>
      </c>
      <c r="G356" s="20">
        <f t="shared" si="29"/>
        <v>0.34223131348869673</v>
      </c>
      <c r="H356" s="20">
        <f t="shared" si="29"/>
        <v>0</v>
      </c>
      <c r="I356" s="20">
        <f t="shared" si="29"/>
        <v>0.35993433529611241</v>
      </c>
      <c r="J356" s="20">
        <f t="shared" si="29"/>
        <v>0.34366708060345241</v>
      </c>
      <c r="K356" s="20">
        <f t="shared" si="29"/>
        <v>0.72651491019072756</v>
      </c>
      <c r="L356" s="20">
        <f t="shared" si="29"/>
        <v>7.8036193844237045E-2</v>
      </c>
      <c r="M356" s="20">
        <f t="shared" si="29"/>
        <v>0.20354273948863003</v>
      </c>
      <c r="N356" s="20">
        <f>N345/N351</f>
        <v>0.7584856508210992</v>
      </c>
      <c r="O356" s="20">
        <f t="shared" si="29"/>
        <v>1.4989729175009587E-2</v>
      </c>
      <c r="P356" s="20">
        <f t="shared" si="29"/>
        <v>0.78516133253002574</v>
      </c>
      <c r="Q356" s="20">
        <f t="shared" si="29"/>
        <v>0.15136086048101627</v>
      </c>
      <c r="R356" s="20">
        <f t="shared" si="29"/>
        <v>0.22370819392168734</v>
      </c>
      <c r="S356" s="20">
        <f t="shared" si="29"/>
        <v>0.16665717631683238</v>
      </c>
      <c r="T356" s="20">
        <f t="shared" si="29"/>
        <v>0.9523390225020274</v>
      </c>
      <c r="U356" s="20">
        <f t="shared" si="29"/>
        <v>0.75910776139348202</v>
      </c>
      <c r="V356" s="20">
        <f t="shared" si="29"/>
        <v>0.27430887992187186</v>
      </c>
      <c r="W356" s="20">
        <f t="shared" si="29"/>
        <v>0.21966285754100318</v>
      </c>
      <c r="X356" s="20">
        <f t="shared" si="29"/>
        <v>1.5072002820569728E-2</v>
      </c>
      <c r="Y356" s="20">
        <f t="shared" si="29"/>
        <v>0.16396406778443803</v>
      </c>
      <c r="Z356" s="20">
        <f t="shared" si="29"/>
        <v>6.2728201493492889E-4</v>
      </c>
      <c r="AA356" s="20">
        <f t="shared" si="29"/>
        <v>0.32395295421476233</v>
      </c>
      <c r="AB356" s="20">
        <f t="shared" si="29"/>
        <v>9.1485251450681287E-3</v>
      </c>
      <c r="AC356" s="20">
        <f t="shared" si="29"/>
        <v>0.1379213778019974</v>
      </c>
      <c r="AD356" s="20">
        <f t="shared" si="29"/>
        <v>0.1670899237443621</v>
      </c>
      <c r="AE356" s="20">
        <f t="shared" si="29"/>
        <v>0.14427150905222444</v>
      </c>
      <c r="AF356" s="20">
        <f t="shared" si="29"/>
        <v>4.2845901941795786E-2</v>
      </c>
      <c r="AG356" s="20">
        <f t="shared" si="29"/>
        <v>0.13289809240702863</v>
      </c>
      <c r="AH356" s="20">
        <f t="shared" si="29"/>
        <v>0.12800157816980937</v>
      </c>
      <c r="AI356" s="20">
        <f t="shared" si="29"/>
        <v>4.0313934267025966E-2</v>
      </c>
      <c r="AJ356" s="20">
        <f t="shared" si="29"/>
        <v>6.2969967329225968E-4</v>
      </c>
      <c r="AK356" s="20">
        <f t="shared" si="29"/>
        <v>8.2869988565044378E-2</v>
      </c>
      <c r="AL356" s="20">
        <f t="shared" si="29"/>
        <v>8.2992009647266884E-2</v>
      </c>
      <c r="AM356" s="20">
        <f>AM345/AM351</f>
        <v>0.75036155454010367</v>
      </c>
      <c r="AN356" s="20">
        <f>AN345/AN351</f>
        <v>8.2816779164001347E-2</v>
      </c>
      <c r="AO356" s="20">
        <f>AO345/AO351</f>
        <v>0.14141454626586483</v>
      </c>
      <c r="AP356" s="20">
        <f>AP345/AP351</f>
        <v>0</v>
      </c>
      <c r="AQ356" s="20">
        <f t="shared" ref="AQ356:AW356" si="30">AQ345/AQ351</f>
        <v>4.3527492434104822E-2</v>
      </c>
      <c r="AR356" s="20">
        <f t="shared" si="30"/>
        <v>0</v>
      </c>
      <c r="AS356" s="20">
        <f t="shared" si="30"/>
        <v>0.33156583162088465</v>
      </c>
      <c r="AT356" s="20">
        <v>0</v>
      </c>
      <c r="AU356" s="20">
        <f t="shared" si="30"/>
        <v>0.38255598517587536</v>
      </c>
      <c r="AV356" s="20">
        <f t="shared" si="30"/>
        <v>0</v>
      </c>
      <c r="AW356" s="20">
        <f t="shared" si="30"/>
        <v>0</v>
      </c>
      <c r="AX356" s="20">
        <f>AX345/AX351</f>
        <v>1.4745186129097993E-2</v>
      </c>
      <c r="AY356" s="20">
        <f t="shared" ref="AY356:BI356" si="31">AY345/AY351</f>
        <v>0.2415246717328314</v>
      </c>
      <c r="AZ356" s="20">
        <f t="shared" si="31"/>
        <v>5.6550388928950047E-3</v>
      </c>
      <c r="BA356" s="20">
        <f t="shared" si="31"/>
        <v>1.5031635274968567E-2</v>
      </c>
      <c r="BB356" s="20">
        <f t="shared" si="31"/>
        <v>0.15651547150240319</v>
      </c>
      <c r="BC356" s="20">
        <f t="shared" si="31"/>
        <v>0.26000693104156064</v>
      </c>
      <c r="BD356" s="20">
        <f t="shared" si="31"/>
        <v>5.9774803076666581E-3</v>
      </c>
      <c r="BE356" s="20">
        <f t="shared" si="31"/>
        <v>0.19437544350080968</v>
      </c>
      <c r="BF356" s="20">
        <f t="shared" si="31"/>
        <v>0.19437544350080968</v>
      </c>
      <c r="BG356" s="20">
        <f t="shared" si="31"/>
        <v>6.1206997145928114E-3</v>
      </c>
      <c r="BH356" s="20">
        <f t="shared" si="31"/>
        <v>7.369184736993728E-2</v>
      </c>
      <c r="BI356" s="20">
        <f t="shared" si="31"/>
        <v>0.23611354794769007</v>
      </c>
      <c r="BJ356" s="21"/>
    </row>
    <row r="357" spans="1:62" x14ac:dyDescent="0.25">
      <c r="A357" t="s">
        <v>610</v>
      </c>
      <c r="E357" s="20">
        <f t="shared" ref="E357:AL357" si="32">E346/E351</f>
        <v>0.21553420134945708</v>
      </c>
      <c r="F357" s="20">
        <f t="shared" si="32"/>
        <v>0.27577657863130217</v>
      </c>
      <c r="G357" s="20">
        <f t="shared" si="32"/>
        <v>0.46405753221896989</v>
      </c>
      <c r="H357" s="20">
        <f t="shared" si="32"/>
        <v>6.7205688057353774E-2</v>
      </c>
      <c r="I357" s="20">
        <f t="shared" si="32"/>
        <v>0.3382758461001778</v>
      </c>
      <c r="J357" s="20">
        <f t="shared" si="32"/>
        <v>0.4430162306301263</v>
      </c>
      <c r="K357" s="20">
        <f t="shared" si="32"/>
        <v>0.13903238832914294</v>
      </c>
      <c r="L357" s="20">
        <f t="shared" si="32"/>
        <v>9.1488762954542349E-2</v>
      </c>
      <c r="M357" s="20">
        <f t="shared" si="32"/>
        <v>0.34901624682270271</v>
      </c>
      <c r="N357" s="20">
        <f>N346/N351</f>
        <v>0.21074591902496909</v>
      </c>
      <c r="O357" s="20">
        <f t="shared" si="32"/>
        <v>0</v>
      </c>
      <c r="P357" s="20">
        <f t="shared" si="32"/>
        <v>2.8426450587305157E-3</v>
      </c>
      <c r="Q357" s="20">
        <f t="shared" si="32"/>
        <v>0.32869863789922632</v>
      </c>
      <c r="R357" s="20">
        <f t="shared" si="32"/>
        <v>0.62607508718521432</v>
      </c>
      <c r="S357" s="20">
        <f t="shared" si="32"/>
        <v>0.3673324967833691</v>
      </c>
      <c r="T357" s="20">
        <f t="shared" si="32"/>
        <v>0</v>
      </c>
      <c r="U357" s="20">
        <f t="shared" si="32"/>
        <v>0.14526964180154642</v>
      </c>
      <c r="V357" s="20">
        <f t="shared" si="32"/>
        <v>0.48550499279109804</v>
      </c>
      <c r="W357" s="20">
        <f t="shared" si="32"/>
        <v>0.39017832760747739</v>
      </c>
      <c r="X357" s="20">
        <f t="shared" si="32"/>
        <v>0</v>
      </c>
      <c r="Y357" s="20">
        <f t="shared" si="32"/>
        <v>0.12889229468991709</v>
      </c>
      <c r="Z357" s="20">
        <f t="shared" si="32"/>
        <v>0.10648736132966935</v>
      </c>
      <c r="AA357" s="20">
        <f t="shared" si="32"/>
        <v>0.47613269558449595</v>
      </c>
      <c r="AB357" s="20">
        <f t="shared" si="32"/>
        <v>0</v>
      </c>
      <c r="AC357" s="20">
        <f t="shared" si="32"/>
        <v>0.28952478697271111</v>
      </c>
      <c r="AD357" s="20">
        <f t="shared" si="32"/>
        <v>0.23482651708817651</v>
      </c>
      <c r="AE357" s="20">
        <f t="shared" si="32"/>
        <v>8.9780244114732108E-2</v>
      </c>
      <c r="AF357" s="20">
        <f t="shared" si="32"/>
        <v>1.2439677119601039E-2</v>
      </c>
      <c r="AG357" s="20">
        <f t="shared" si="32"/>
        <v>0.21290412703417014</v>
      </c>
      <c r="AH357" s="20">
        <f t="shared" si="32"/>
        <v>0.11100884990995381</v>
      </c>
      <c r="AI357" s="20">
        <f t="shared" si="32"/>
        <v>1.1663947246942186E-2</v>
      </c>
      <c r="AJ357" s="20">
        <f t="shared" si="32"/>
        <v>0.10075138048918007</v>
      </c>
      <c r="AK357" s="20">
        <f t="shared" si="32"/>
        <v>0</v>
      </c>
      <c r="AL357" s="20">
        <f t="shared" si="32"/>
        <v>0</v>
      </c>
      <c r="AM357" s="20">
        <f>AM346/AM351</f>
        <v>0.14359590540722658</v>
      </c>
      <c r="AN357" s="20">
        <f>AN346/AN351</f>
        <v>0</v>
      </c>
      <c r="AO357" s="20">
        <f>AO346/AO351</f>
        <v>0.34584153607077978</v>
      </c>
      <c r="AP357" s="20">
        <f>AP346/AP351</f>
        <v>0</v>
      </c>
      <c r="AQ357" s="20">
        <f t="shared" ref="AQ357:AW357" si="33">AQ346/AQ351</f>
        <v>1.2214844683912937E-2</v>
      </c>
      <c r="AR357" s="20">
        <f t="shared" si="33"/>
        <v>0</v>
      </c>
      <c r="AS357" s="20">
        <f t="shared" si="33"/>
        <v>0.22616934310505798</v>
      </c>
      <c r="AT357" s="20">
        <v>0</v>
      </c>
      <c r="AU357" s="20">
        <f t="shared" si="33"/>
        <v>0.3220698463076696</v>
      </c>
      <c r="AV357" s="20">
        <f t="shared" si="33"/>
        <v>0</v>
      </c>
      <c r="AW357" s="20">
        <f t="shared" si="33"/>
        <v>0</v>
      </c>
      <c r="AX357" s="20">
        <f>AX346/AX351</f>
        <v>0</v>
      </c>
      <c r="AY357" s="20">
        <f t="shared" ref="AY357:BI357" si="34">AY346/AY351</f>
        <v>0.47472752672781654</v>
      </c>
      <c r="AZ357" s="20">
        <f t="shared" si="34"/>
        <v>2.6758752780709456E-2</v>
      </c>
      <c r="BA357" s="20">
        <f t="shared" si="34"/>
        <v>0</v>
      </c>
      <c r="BB357" s="20">
        <f t="shared" si="34"/>
        <v>0.32976257530710823</v>
      </c>
      <c r="BC357" s="20">
        <f t="shared" si="34"/>
        <v>0.63287044144940141</v>
      </c>
      <c r="BD357" s="20">
        <f t="shared" si="34"/>
        <v>2.8284461229412989E-2</v>
      </c>
      <c r="BE357" s="20">
        <f t="shared" si="34"/>
        <v>0.31884407993089164</v>
      </c>
      <c r="BF357" s="20">
        <f t="shared" si="34"/>
        <v>0.31884407993089164</v>
      </c>
      <c r="BG357" s="20">
        <f t="shared" si="34"/>
        <v>2.8962121675335496E-2</v>
      </c>
      <c r="BH357" s="20">
        <f t="shared" si="34"/>
        <v>0.11092017589689163</v>
      </c>
      <c r="BI357" s="20">
        <f t="shared" si="34"/>
        <v>0.6668433033880049</v>
      </c>
      <c r="BJ357" s="21"/>
    </row>
    <row r="358" spans="1:62" x14ac:dyDescent="0.25">
      <c r="A358" t="s">
        <v>611</v>
      </c>
      <c r="E358" s="20">
        <f t="shared" ref="E358:AL358" si="35">E347/E351</f>
        <v>0.15433702570306368</v>
      </c>
      <c r="F358" s="20">
        <f t="shared" si="35"/>
        <v>0.2930547182502527</v>
      </c>
      <c r="G358" s="20">
        <f t="shared" si="35"/>
        <v>4.2787343348197574E-4</v>
      </c>
      <c r="H358" s="20">
        <f t="shared" si="35"/>
        <v>2.1602851142354561E-2</v>
      </c>
      <c r="I358" s="20">
        <f t="shared" si="35"/>
        <v>6.935083657100137E-2</v>
      </c>
      <c r="J358" s="20">
        <f t="shared" si="35"/>
        <v>3.9907318526408695E-4</v>
      </c>
      <c r="K358" s="20">
        <f t="shared" si="35"/>
        <v>0</v>
      </c>
      <c r="L358" s="20">
        <f t="shared" si="35"/>
        <v>0.35971034972210225</v>
      </c>
      <c r="M358" s="20">
        <f t="shared" si="35"/>
        <v>8.0955427353748236E-2</v>
      </c>
      <c r="N358" s="20">
        <f>N347/N351</f>
        <v>0</v>
      </c>
      <c r="O358" s="20">
        <f t="shared" si="35"/>
        <v>0.154842783257535</v>
      </c>
      <c r="P358" s="20">
        <f t="shared" si="35"/>
        <v>1.4808454056332088E-3</v>
      </c>
      <c r="Q358" s="20">
        <f t="shared" si="35"/>
        <v>5.6423346102132989E-2</v>
      </c>
      <c r="R358" s="20">
        <f t="shared" si="35"/>
        <v>5.0315989707669304E-3</v>
      </c>
      <c r="S358" s="20">
        <f t="shared" si="35"/>
        <v>0.29224252401903333</v>
      </c>
      <c r="T358" s="20">
        <f t="shared" si="35"/>
        <v>0</v>
      </c>
      <c r="U358" s="20">
        <f t="shared" si="35"/>
        <v>0</v>
      </c>
      <c r="V358" s="20">
        <f t="shared" si="35"/>
        <v>4.510028639014128E-4</v>
      </c>
      <c r="W358" s="20">
        <f t="shared" si="35"/>
        <v>0.11320200771774924</v>
      </c>
      <c r="X358" s="20">
        <f t="shared" si="35"/>
        <v>0.81711264239771486</v>
      </c>
      <c r="Y358" s="20">
        <f t="shared" si="35"/>
        <v>0.29944400058450754</v>
      </c>
      <c r="Z358" s="20">
        <f t="shared" si="35"/>
        <v>0.35042055389055049</v>
      </c>
      <c r="AA358" s="20">
        <f t="shared" si="35"/>
        <v>4.2102696184441137E-4</v>
      </c>
      <c r="AB358" s="20">
        <f t="shared" si="35"/>
        <v>0.16078592631824618</v>
      </c>
      <c r="AC358" s="20">
        <f t="shared" si="35"/>
        <v>0.31335159835005555</v>
      </c>
      <c r="AD358" s="20">
        <f t="shared" si="35"/>
        <v>0.28498958796872426</v>
      </c>
      <c r="AE358" s="20">
        <f t="shared" si="35"/>
        <v>0.27365896733921791</v>
      </c>
      <c r="AF358" s="20">
        <f t="shared" si="35"/>
        <v>0.64112416390172156</v>
      </c>
      <c r="AG358" s="20">
        <f t="shared" si="35"/>
        <v>0.28540025334405195</v>
      </c>
      <c r="AH358" s="20">
        <f t="shared" si="35"/>
        <v>0.30004641659808934</v>
      </c>
      <c r="AI358" s="20">
        <f t="shared" si="35"/>
        <v>0.61688569564378104</v>
      </c>
      <c r="AJ358" s="20">
        <f t="shared" si="35"/>
        <v>0.37223955369993333</v>
      </c>
      <c r="AK358" s="20">
        <f t="shared" si="35"/>
        <v>0.2295981676948588</v>
      </c>
      <c r="AL358" s="20">
        <f t="shared" si="35"/>
        <v>0.2299362381175358</v>
      </c>
      <c r="AM358" s="20">
        <f>AM347/AM351</f>
        <v>0</v>
      </c>
      <c r="AN358" s="20">
        <f>AN347/AN351</f>
        <v>0.22945074723845296</v>
      </c>
      <c r="AO358" s="20">
        <f>AO347/AO351</f>
        <v>0.32083674368590215</v>
      </c>
      <c r="AP358" s="20">
        <f>AP347/AP351</f>
        <v>0.88608231452834374</v>
      </c>
      <c r="AQ358" s="20">
        <f t="shared" ref="AQ358:AW358" si="36">AQ347/AQ351</f>
        <v>0.64485236461233397</v>
      </c>
      <c r="AR358" s="20">
        <f t="shared" si="36"/>
        <v>0.8944593192444581</v>
      </c>
      <c r="AS358" s="20">
        <f t="shared" si="36"/>
        <v>0.24321471466241823</v>
      </c>
      <c r="AT358" s="20">
        <v>0</v>
      </c>
      <c r="AU358" s="20">
        <f t="shared" si="36"/>
        <v>0.12861590502554121</v>
      </c>
      <c r="AV358" s="20">
        <f t="shared" si="36"/>
        <v>0.90363365491696845</v>
      </c>
      <c r="AW358" s="20">
        <f t="shared" si="36"/>
        <v>0.87860167041596127</v>
      </c>
      <c r="AX358" s="20">
        <f>AX347/AX351</f>
        <v>0.79939477491677369</v>
      </c>
      <c r="AY358" s="20">
        <f t="shared" ref="AY358:BI358" si="37">AY347/AY351</f>
        <v>0.1691696742975084</v>
      </c>
      <c r="AZ358" s="20">
        <f t="shared" si="37"/>
        <v>0.7834167857963682</v>
      </c>
      <c r="BA358" s="20">
        <f t="shared" si="37"/>
        <v>0.81492436975798643</v>
      </c>
      <c r="BB358" s="20">
        <f t="shared" si="37"/>
        <v>0.31795504791311119</v>
      </c>
      <c r="BC358" s="20">
        <f t="shared" si="37"/>
        <v>4.8579470530075178E-4</v>
      </c>
      <c r="BD358" s="20">
        <f t="shared" si="37"/>
        <v>0.82808535649027226</v>
      </c>
      <c r="BE358" s="20">
        <f t="shared" si="37"/>
        <v>0.30488669826519571</v>
      </c>
      <c r="BF358" s="20">
        <f t="shared" si="37"/>
        <v>0.30488669826519571</v>
      </c>
      <c r="BG358" s="20">
        <f t="shared" si="37"/>
        <v>0.84792386035899536</v>
      </c>
      <c r="BH358" s="20">
        <f t="shared" si="37"/>
        <v>0.24254239349117196</v>
      </c>
      <c r="BI358" s="20">
        <f t="shared" si="37"/>
        <v>4.9541196110438669E-4</v>
      </c>
      <c r="BJ358" s="21"/>
    </row>
    <row r="359" spans="1:62" x14ac:dyDescent="0.25">
      <c r="A359" t="s">
        <v>612</v>
      </c>
      <c r="E359" s="20">
        <f t="shared" ref="E359:AL359" si="38">E348/E351</f>
        <v>8.6208151443302877E-2</v>
      </c>
      <c r="F359" s="20">
        <f t="shared" si="38"/>
        <v>3.8788219489322706E-2</v>
      </c>
      <c r="G359" s="20">
        <f t="shared" si="38"/>
        <v>8.4227598463119766E-2</v>
      </c>
      <c r="H359" s="20">
        <f t="shared" si="38"/>
        <v>0.8840888257591053</v>
      </c>
      <c r="I359" s="20">
        <f t="shared" si="38"/>
        <v>8.1344147745256959E-2</v>
      </c>
      <c r="J359" s="20">
        <f t="shared" si="38"/>
        <v>0.10664284770347746</v>
      </c>
      <c r="K359" s="20">
        <f t="shared" si="38"/>
        <v>5.2858296232148466E-2</v>
      </c>
      <c r="L359" s="20">
        <f t="shared" si="38"/>
        <v>5.4496235154294415E-2</v>
      </c>
      <c r="M359" s="20">
        <f t="shared" si="38"/>
        <v>0.11721340455921075</v>
      </c>
      <c r="N359" s="20">
        <f>N348/N351</f>
        <v>0</v>
      </c>
      <c r="O359" s="20">
        <f t="shared" si="38"/>
        <v>0</v>
      </c>
      <c r="P359" s="20">
        <f t="shared" si="38"/>
        <v>0.11182262213514557</v>
      </c>
      <c r="Q359" s="20">
        <f t="shared" si="38"/>
        <v>0</v>
      </c>
      <c r="R359" s="20">
        <f t="shared" si="38"/>
        <v>1.8412811628317001E-3</v>
      </c>
      <c r="S359" s="20">
        <f t="shared" si="38"/>
        <v>-1.1740801298068973E-2</v>
      </c>
      <c r="T359" s="20">
        <f t="shared" si="38"/>
        <v>0</v>
      </c>
      <c r="U359" s="20">
        <f t="shared" si="38"/>
        <v>1.4570269224560988E-2</v>
      </c>
      <c r="V359" s="20">
        <f t="shared" si="38"/>
        <v>0.12396167029442279</v>
      </c>
      <c r="W359" s="20">
        <f t="shared" si="38"/>
        <v>0.11542300285840731</v>
      </c>
      <c r="X359" s="20">
        <f t="shared" si="38"/>
        <v>0</v>
      </c>
      <c r="Y359" s="20">
        <f t="shared" si="38"/>
        <v>9.7847720648143607E-2</v>
      </c>
      <c r="Z359" s="20">
        <f t="shared" si="38"/>
        <v>0</v>
      </c>
      <c r="AA359" s="20">
        <f t="shared" si="38"/>
        <v>6.1583637731908815E-2</v>
      </c>
      <c r="AB359" s="20">
        <f t="shared" si="38"/>
        <v>-3.3210412130964862E-5</v>
      </c>
      <c r="AC359" s="20">
        <f t="shared" si="38"/>
        <v>4.1579026315473958E-2</v>
      </c>
      <c r="AD359" s="20">
        <f t="shared" si="38"/>
        <v>0</v>
      </c>
      <c r="AE359" s="20">
        <f t="shared" si="38"/>
        <v>0.11184700115343361</v>
      </c>
      <c r="AF359" s="20">
        <f t="shared" si="38"/>
        <v>-1.5467239889494847E-2</v>
      </c>
      <c r="AG359" s="20">
        <f t="shared" si="38"/>
        <v>3.1160673449050082E-2</v>
      </c>
      <c r="AH359" s="20">
        <f t="shared" si="38"/>
        <v>9.0806049226719796E-2</v>
      </c>
      <c r="AI359" s="20">
        <f t="shared" si="38"/>
        <v>1.8370607688920387E-2</v>
      </c>
      <c r="AJ359" s="20">
        <f t="shared" si="38"/>
        <v>2.8833844193068985E-5</v>
      </c>
      <c r="AK359" s="20">
        <f t="shared" si="38"/>
        <v>3.6563991459838554E-5</v>
      </c>
      <c r="AL359" s="20">
        <f t="shared" si="38"/>
        <v>1.8622613710278101E-5</v>
      </c>
      <c r="AM359" s="20">
        <f>AM348/AM351</f>
        <v>1.4850571273494057E-2</v>
      </c>
      <c r="AN359" s="20">
        <f>AN348/AN351</f>
        <v>7.2306125021982156E-5</v>
      </c>
      <c r="AO359" s="20">
        <f>AO348/AO351</f>
        <v>-1.3971731217038505E-2</v>
      </c>
      <c r="AP359" s="20">
        <f>AP348/AP351</f>
        <v>0</v>
      </c>
      <c r="AQ359" s="20">
        <f t="shared" ref="AQ359:AW359" si="39">AQ348/AQ351</f>
        <v>-7.6833281703877609E-3</v>
      </c>
      <c r="AR359" s="20">
        <f t="shared" si="39"/>
        <v>0</v>
      </c>
      <c r="AS359" s="20">
        <f t="shared" si="39"/>
        <v>-1.0374124628813404E-2</v>
      </c>
      <c r="AT359" s="20">
        <v>0</v>
      </c>
      <c r="AU359" s="20">
        <f t="shared" si="39"/>
        <v>-2.5350809229798652E-3</v>
      </c>
      <c r="AV359" s="20">
        <f t="shared" si="39"/>
        <v>0</v>
      </c>
      <c r="AW359" s="20">
        <f t="shared" si="39"/>
        <v>0</v>
      </c>
      <c r="AX359" s="20">
        <f>AX348/AX351</f>
        <v>0</v>
      </c>
      <c r="AY359" s="20">
        <f t="shared" ref="AY359:BI359" si="40">AY348/AY351</f>
        <v>0</v>
      </c>
      <c r="AZ359" s="20">
        <f t="shared" si="40"/>
        <v>0</v>
      </c>
      <c r="BA359" s="20">
        <f t="shared" si="40"/>
        <v>0</v>
      </c>
      <c r="BB359" s="20">
        <f t="shared" si="40"/>
        <v>-1.3318313120774812E-2</v>
      </c>
      <c r="BC359" s="20">
        <f t="shared" si="40"/>
        <v>0</v>
      </c>
      <c r="BD359" s="20">
        <f t="shared" si="40"/>
        <v>0</v>
      </c>
      <c r="BE359" s="20">
        <f t="shared" si="40"/>
        <v>-1.3201916524709192E-2</v>
      </c>
      <c r="BF359" s="20">
        <f t="shared" si="40"/>
        <v>-1.3201916524709192E-2</v>
      </c>
      <c r="BG359" s="20">
        <f t="shared" si="40"/>
        <v>0</v>
      </c>
      <c r="BH359" s="20">
        <f t="shared" si="40"/>
        <v>0</v>
      </c>
      <c r="BI359" s="20">
        <f t="shared" si="40"/>
        <v>0</v>
      </c>
      <c r="BJ359" s="21"/>
    </row>
    <row r="360" spans="1:62" x14ac:dyDescent="0.25">
      <c r="A360" t="s">
        <v>613</v>
      </c>
      <c r="E360" s="20">
        <f t="shared" ref="E360:M360" si="41">E349/E351</f>
        <v>0.22275460542517683</v>
      </c>
      <c r="F360" s="20">
        <f t="shared" si="41"/>
        <v>8.0311695802191954E-2</v>
      </c>
      <c r="G360" s="20">
        <f t="shared" si="41"/>
        <v>7.2159744536173978E-2</v>
      </c>
      <c r="H360" s="20">
        <f t="shared" si="41"/>
        <v>2.1990573880137556E-2</v>
      </c>
      <c r="I360" s="20">
        <f t="shared" si="41"/>
        <v>7.8496018538683376E-2</v>
      </c>
      <c r="J360" s="20">
        <f t="shared" si="41"/>
        <v>7.1267829205647004E-2</v>
      </c>
      <c r="K360" s="20">
        <f t="shared" si="41"/>
        <v>-7.998256220726963E-4</v>
      </c>
      <c r="L360" s="20">
        <f t="shared" si="41"/>
        <v>0.24852005871519411</v>
      </c>
      <c r="M360" s="20">
        <f t="shared" si="41"/>
        <v>0.19296857477718976</v>
      </c>
      <c r="N360" s="20">
        <f>N349/N351</f>
        <v>5.9976593330031917E-3</v>
      </c>
      <c r="O360" s="20">
        <f t="shared" ref="O360:AL360" si="42">O349/O351</f>
        <v>1.1427143035691959E-2</v>
      </c>
      <c r="P360" s="20">
        <f t="shared" si="42"/>
        <v>6.756650819605238E-2</v>
      </c>
      <c r="Q360" s="20">
        <f t="shared" si="42"/>
        <v>9.7923133955338769E-3</v>
      </c>
      <c r="R360" s="20">
        <f t="shared" si="42"/>
        <v>4.4514049616763952E-2</v>
      </c>
      <c r="S360" s="20">
        <f t="shared" si="42"/>
        <v>4.7370873279873535E-2</v>
      </c>
      <c r="T360" s="20">
        <f t="shared" si="42"/>
        <v>-8.8461817731838989E-4</v>
      </c>
      <c r="U360" s="20">
        <f t="shared" si="42"/>
        <v>-6.6775779438167507E-4</v>
      </c>
      <c r="V360" s="20">
        <f t="shared" si="42"/>
        <v>7.0263056391694639E-2</v>
      </c>
      <c r="W360" s="20">
        <f t="shared" si="42"/>
        <v>8.0668485968020953E-2</v>
      </c>
      <c r="X360" s="20">
        <f t="shared" si="42"/>
        <v>-4.5649891847744754E-3</v>
      </c>
      <c r="Y360" s="20">
        <f t="shared" si="42"/>
        <v>0.16186294004506435</v>
      </c>
      <c r="Z360" s="20">
        <f t="shared" si="42"/>
        <v>-1.0190872571111858E-2</v>
      </c>
      <c r="AA360" s="20">
        <f t="shared" si="42"/>
        <v>7.2090798210176971E-2</v>
      </c>
      <c r="AB360" s="20">
        <f t="shared" si="42"/>
        <v>1.6886742688269736E-2</v>
      </c>
      <c r="AC360" s="20">
        <f t="shared" si="42"/>
        <v>6.6388027894505153E-2</v>
      </c>
      <c r="AD360" s="20">
        <f t="shared" si="42"/>
        <v>-2.2216770810334365E-3</v>
      </c>
      <c r="AE360" s="20">
        <f t="shared" si="42"/>
        <v>0.21945502180587925</v>
      </c>
      <c r="AF360" s="20">
        <f t="shared" si="42"/>
        <v>4.8787126588337018E-2</v>
      </c>
      <c r="AG360" s="20">
        <f t="shared" si="42"/>
        <v>-1.7668394093145322E-3</v>
      </c>
      <c r="AH360" s="20">
        <f t="shared" si="42"/>
        <v>0.23320667289898611</v>
      </c>
      <c r="AI360" s="20">
        <f t="shared" si="42"/>
        <v>5.721394617723595E-2</v>
      </c>
      <c r="AJ360" s="20">
        <f t="shared" si="42"/>
        <v>-9.629080736475738E-3</v>
      </c>
      <c r="AK360" s="20">
        <f t="shared" si="42"/>
        <v>-2.0833918725379988E-4</v>
      </c>
      <c r="AL360" s="20">
        <f t="shared" si="42"/>
        <v>-2.5573940279281115E-4</v>
      </c>
      <c r="AM360" s="20">
        <f>AM349/AM351</f>
        <v>-7.6108320700973473E-4</v>
      </c>
      <c r="AN360" s="20">
        <f>AN349/AN351</f>
        <v>-4.1718261598217064E-4</v>
      </c>
      <c r="AO360" s="20">
        <f>AO349/AO351</f>
        <v>3.694854023241937E-2</v>
      </c>
      <c r="AP360" s="20">
        <f>AP349/AP351</f>
        <v>-3.6577521827680715E-4</v>
      </c>
      <c r="AQ360" s="20">
        <f t="shared" ref="AQ360:AW360" si="43">AQ349/AQ351</f>
        <v>2.8574496487409586E-2</v>
      </c>
      <c r="AR360" s="20">
        <f t="shared" si="43"/>
        <v>-5.471219407915533E-4</v>
      </c>
      <c r="AS360" s="20">
        <f t="shared" si="43"/>
        <v>4.9104489518016388E-2</v>
      </c>
      <c r="AT360" s="20">
        <v>0</v>
      </c>
      <c r="AU360" s="20">
        <f t="shared" si="43"/>
        <v>2.2682735664372764E-2</v>
      </c>
      <c r="AV360" s="20">
        <f t="shared" si="43"/>
        <v>-1.6674483988986773E-5</v>
      </c>
      <c r="AW360" s="20">
        <f t="shared" si="43"/>
        <v>-5.2118350257235834E-4</v>
      </c>
      <c r="AX360" s="20">
        <f>AX349/AX351</f>
        <v>-4.2649257129182506E-3</v>
      </c>
      <c r="AY360" s="20">
        <f t="shared" ref="AY360:BI360" si="44">AY349/AY351</f>
        <v>4.0305468558624276E-2</v>
      </c>
      <c r="AZ360" s="20">
        <f t="shared" si="44"/>
        <v>6.3375069885450816E-2</v>
      </c>
      <c r="BA360" s="20">
        <f t="shared" si="44"/>
        <v>-4.573284881043002E-3</v>
      </c>
      <c r="BB360" s="20">
        <f t="shared" si="44"/>
        <v>3.5846895145970656E-2</v>
      </c>
      <c r="BC360" s="20">
        <f t="shared" si="44"/>
        <v>3.5872208210128959E-2</v>
      </c>
      <c r="BD360" s="20">
        <f t="shared" si="44"/>
        <v>6.7026681520920478E-2</v>
      </c>
      <c r="BE360" s="20">
        <f t="shared" si="44"/>
        <v>3.3715938579550339E-2</v>
      </c>
      <c r="BF360" s="20">
        <f t="shared" si="44"/>
        <v>3.3715938579550339E-2</v>
      </c>
      <c r="BG360" s="20">
        <f t="shared" si="44"/>
        <v>6.8176475098411335E-2</v>
      </c>
      <c r="BH360" s="20">
        <f t="shared" si="44"/>
        <v>-9.6851424118047386E-3</v>
      </c>
      <c r="BI360" s="20">
        <f t="shared" si="44"/>
        <v>3.6360365562502085E-2</v>
      </c>
      <c r="BJ360" s="21"/>
    </row>
    <row r="361" spans="1:62" x14ac:dyDescent="0.25">
      <c r="A361" s="21" t="s">
        <v>694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</sheetData>
  <mergeCells count="3">
    <mergeCell ref="A2:BI2"/>
    <mergeCell ref="BJ2:BJ361"/>
    <mergeCell ref="A361:BI361"/>
  </mergeCells>
  <conditionalFormatting sqref="A18:A34">
    <cfRule type="cellIs" dxfId="3" priority="17" stopIfTrue="1" operator="lessThan">
      <formula>0</formula>
    </cfRule>
  </conditionalFormatting>
  <conditionalFormatting sqref="B24:B34">
    <cfRule type="cellIs" dxfId="2" priority="26" stopIfTrue="1" operator="lessThan">
      <formula>0</formula>
    </cfRule>
  </conditionalFormatting>
  <conditionalFormatting sqref="C17:D25">
    <cfRule type="cellIs" dxfId="1" priority="18" stopIfTrue="1" operator="lessThan">
      <formula>0</formula>
    </cfRule>
  </conditionalFormatting>
  <conditionalFormatting sqref="E16:BI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CCDA3F92-A2FB-4514-8FE0-86F1AB96E3F8}"/>
</file>

<file path=customXml/itemProps2.xml><?xml version="1.0" encoding="utf-8"?>
<ds:datastoreItem xmlns:ds="http://schemas.openxmlformats.org/officeDocument/2006/customXml" ds:itemID="{2DEBF834-35CD-4A79-A9C3-B50136F69561}"/>
</file>

<file path=customXml/itemProps3.xml><?xml version="1.0" encoding="utf-8"?>
<ds:datastoreItem xmlns:ds="http://schemas.openxmlformats.org/officeDocument/2006/customXml" ds:itemID="{AAC9ABE5-D0DE-44AA-B0DF-97EB71BA3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1/2025</dc:title>
  <dc:creator>פרידמן אמיר</dc:creator>
  <cp:lastModifiedBy>Tami Berman</cp:lastModifiedBy>
  <dcterms:created xsi:type="dcterms:W3CDTF">2025-02-17T08:36:24Z</dcterms:created>
  <dcterms:modified xsi:type="dcterms:W3CDTF">2025-02-19T18:42:07Z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