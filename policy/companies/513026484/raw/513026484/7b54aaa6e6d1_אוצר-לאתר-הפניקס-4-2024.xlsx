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34470109-758A-42CC-AFAE-9ED09857A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54" i="1" l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U351" i="1" l="1"/>
  <c r="U353" i="1" s="1"/>
  <c r="AK351" i="1"/>
  <c r="AK353" i="1" s="1"/>
  <c r="K351" i="1"/>
  <c r="K353" i="1" s="1"/>
  <c r="O351" i="1"/>
  <c r="O353" i="1" s="1"/>
  <c r="S351" i="1"/>
  <c r="S353" i="1" s="1"/>
  <c r="W351" i="1"/>
  <c r="W356" i="1" s="1"/>
  <c r="AA351" i="1"/>
  <c r="AA353" i="1" s="1"/>
  <c r="AE351" i="1"/>
  <c r="AE353" i="1" s="1"/>
  <c r="AI351" i="1"/>
  <c r="AI353" i="1" s="1"/>
  <c r="AM351" i="1"/>
  <c r="AM353" i="1" s="1"/>
  <c r="AQ351" i="1"/>
  <c r="AQ353" i="1" s="1"/>
  <c r="AU351" i="1"/>
  <c r="AU353" i="1" s="1"/>
  <c r="AY351" i="1"/>
  <c r="AY353" i="1" s="1"/>
  <c r="BC351" i="1"/>
  <c r="BC355" i="1" s="1"/>
  <c r="AQ357" i="1"/>
  <c r="O359" i="1"/>
  <c r="U360" i="1"/>
  <c r="E351" i="1"/>
  <c r="E353" i="1" s="1"/>
  <c r="Q351" i="1"/>
  <c r="Q356" i="1" s="1"/>
  <c r="AG351" i="1"/>
  <c r="AG353" i="1" s="1"/>
  <c r="AS351" i="1"/>
  <c r="AS359" i="1" s="1"/>
  <c r="BA351" i="1"/>
  <c r="BA357" i="1" s="1"/>
  <c r="K356" i="1"/>
  <c r="AQ356" i="1"/>
  <c r="G351" i="1"/>
  <c r="G353" i="1" s="1"/>
  <c r="H351" i="1"/>
  <c r="H353" i="1" s="1"/>
  <c r="L351" i="1"/>
  <c r="L353" i="1" s="1"/>
  <c r="P351" i="1"/>
  <c r="P353" i="1" s="1"/>
  <c r="T351" i="1"/>
  <c r="T353" i="1" s="1"/>
  <c r="X351" i="1"/>
  <c r="X353" i="1" s="1"/>
  <c r="AB351" i="1"/>
  <c r="AB353" i="1" s="1"/>
  <c r="AF351" i="1"/>
  <c r="AF353" i="1" s="1"/>
  <c r="AJ351" i="1"/>
  <c r="AJ353" i="1" s="1"/>
  <c r="AN351" i="1"/>
  <c r="AN353" i="1" s="1"/>
  <c r="AR351" i="1"/>
  <c r="AR353" i="1" s="1"/>
  <c r="AV351" i="1"/>
  <c r="AV353" i="1" s="1"/>
  <c r="AZ351" i="1"/>
  <c r="AZ353" i="1" s="1"/>
  <c r="BD351" i="1"/>
  <c r="BD353" i="1" s="1"/>
  <c r="M351" i="1"/>
  <c r="M353" i="1" s="1"/>
  <c r="AC351" i="1"/>
  <c r="AC357" i="1" s="1"/>
  <c r="AI356" i="1"/>
  <c r="O358" i="1"/>
  <c r="AM358" i="1"/>
  <c r="AU358" i="1"/>
  <c r="E359" i="1"/>
  <c r="U359" i="1"/>
  <c r="I351" i="1"/>
  <c r="I353" i="1" s="1"/>
  <c r="Y351" i="1"/>
  <c r="Y353" i="1" s="1"/>
  <c r="AO351" i="1"/>
  <c r="AO353" i="1" s="1"/>
  <c r="AW351" i="1"/>
  <c r="AW359" i="1" s="1"/>
  <c r="BE351" i="1"/>
  <c r="BE353" i="1" s="1"/>
  <c r="O356" i="1"/>
  <c r="AU356" i="1"/>
  <c r="U357" i="1"/>
  <c r="AK357" i="1"/>
  <c r="K358" i="1"/>
  <c r="AI358" i="1"/>
  <c r="AQ358" i="1"/>
  <c r="BC358" i="1"/>
  <c r="F351" i="1"/>
  <c r="F353" i="1" s="1"/>
  <c r="J351" i="1"/>
  <c r="J353" i="1" s="1"/>
  <c r="N351" i="1"/>
  <c r="N353" i="1" s="1"/>
  <c r="R351" i="1"/>
  <c r="R353" i="1" s="1"/>
  <c r="V351" i="1"/>
  <c r="V353" i="1" s="1"/>
  <c r="Z351" i="1"/>
  <c r="Z353" i="1" s="1"/>
  <c r="AD351" i="1"/>
  <c r="AD353" i="1" s="1"/>
  <c r="AH351" i="1"/>
  <c r="AH353" i="1" s="1"/>
  <c r="AL351" i="1"/>
  <c r="AL353" i="1" s="1"/>
  <c r="AP351" i="1"/>
  <c r="AP353" i="1" s="1"/>
  <c r="AT351" i="1"/>
  <c r="AT353" i="1" s="1"/>
  <c r="AX351" i="1"/>
  <c r="AX353" i="1" s="1"/>
  <c r="BB351" i="1"/>
  <c r="BB353" i="1" s="1"/>
  <c r="BF351" i="1"/>
  <c r="BF353" i="1" s="1"/>
  <c r="H356" i="1"/>
  <c r="L356" i="1"/>
  <c r="P356" i="1"/>
  <c r="N357" i="1"/>
  <c r="G360" i="1"/>
  <c r="K360" i="1"/>
  <c r="O360" i="1"/>
  <c r="AI360" i="1"/>
  <c r="AM360" i="1"/>
  <c r="AF356" i="1"/>
  <c r="AJ356" i="1"/>
  <c r="AR356" i="1"/>
  <c r="R357" i="1"/>
  <c r="AT357" i="1"/>
  <c r="AX357" i="1"/>
  <c r="H358" i="1"/>
  <c r="L358" i="1"/>
  <c r="P358" i="1"/>
  <c r="T358" i="1"/>
  <c r="AF358" i="1"/>
  <c r="AJ358" i="1"/>
  <c r="R359" i="1"/>
  <c r="AT359" i="1"/>
  <c r="BB359" i="1"/>
  <c r="AF360" i="1"/>
  <c r="AJ360" i="1"/>
  <c r="AN360" i="1"/>
  <c r="AR360" i="1"/>
  <c r="U356" i="1"/>
  <c r="AK356" i="1"/>
  <c r="K357" i="1"/>
  <c r="O357" i="1"/>
  <c r="AM357" i="1"/>
  <c r="U358" i="1"/>
  <c r="AC358" i="1"/>
  <c r="AK358" i="1"/>
  <c r="BA358" i="1"/>
  <c r="K359" i="1"/>
  <c r="S359" i="1"/>
  <c r="AI359" i="1"/>
  <c r="E360" i="1"/>
  <c r="Y360" i="1"/>
  <c r="AO360" i="1"/>
  <c r="AD356" i="1"/>
  <c r="AT356" i="1"/>
  <c r="AF357" i="1"/>
  <c r="AJ357" i="1"/>
  <c r="AN357" i="1"/>
  <c r="AR357" i="1"/>
  <c r="N358" i="1"/>
  <c r="AT358" i="1"/>
  <c r="BB358" i="1"/>
  <c r="BF358" i="1"/>
  <c r="H359" i="1"/>
  <c r="L359" i="1"/>
  <c r="AF359" i="1"/>
  <c r="AJ359" i="1"/>
  <c r="R360" i="1"/>
  <c r="Z360" i="1"/>
  <c r="AD360" i="1"/>
  <c r="AP360" i="1"/>
  <c r="AT360" i="1"/>
  <c r="AD359" i="1" l="1"/>
  <c r="BE356" i="1"/>
  <c r="AR359" i="1"/>
  <c r="AR358" i="1"/>
  <c r="BB357" i="1"/>
  <c r="BC360" i="1"/>
  <c r="BE359" i="1"/>
  <c r="BB360" i="1"/>
  <c r="AD358" i="1"/>
  <c r="AO356" i="1"/>
  <c r="BA359" i="1"/>
  <c r="AX360" i="1"/>
  <c r="R358" i="1"/>
  <c r="BF356" i="1"/>
  <c r="AQ359" i="1"/>
  <c r="BC357" i="1"/>
  <c r="L360" i="1"/>
  <c r="AQ360" i="1"/>
  <c r="P357" i="1"/>
  <c r="BA356" i="1"/>
  <c r="L357" i="1"/>
  <c r="AY359" i="1"/>
  <c r="P360" i="1"/>
  <c r="AU360" i="1"/>
  <c r="P359" i="1"/>
  <c r="BB356" i="1"/>
  <c r="AU357" i="1"/>
  <c r="Y356" i="1"/>
  <c r="H360" i="1"/>
  <c r="X358" i="1"/>
  <c r="Z357" i="1"/>
  <c r="T356" i="1"/>
  <c r="AC359" i="1"/>
  <c r="AB355" i="1"/>
  <c r="E357" i="1"/>
  <c r="J358" i="1"/>
  <c r="Z356" i="1"/>
  <c r="T359" i="1"/>
  <c r="Z358" i="1"/>
  <c r="T357" i="1"/>
  <c r="BE360" i="1"/>
  <c r="BF359" i="1"/>
  <c r="AK359" i="1"/>
  <c r="W358" i="1"/>
  <c r="Q357" i="1"/>
  <c r="M358" i="1"/>
  <c r="T360" i="1"/>
  <c r="Z359" i="1"/>
  <c r="AM359" i="1"/>
  <c r="AZ356" i="1"/>
  <c r="AZ360" i="1"/>
  <c r="AS358" i="1"/>
  <c r="AE357" i="1"/>
  <c r="AG356" i="1"/>
  <c r="X360" i="1"/>
  <c r="AL359" i="1"/>
  <c r="AD357" i="1"/>
  <c r="G356" i="1"/>
  <c r="AK360" i="1"/>
  <c r="AE358" i="1"/>
  <c r="G359" i="1"/>
  <c r="BD358" i="1"/>
  <c r="AE356" i="1"/>
  <c r="BD360" i="1"/>
  <c r="AB359" i="1"/>
  <c r="Q360" i="1"/>
  <c r="AB360" i="1"/>
  <c r="AZ358" i="1"/>
  <c r="J360" i="1"/>
  <c r="X359" i="1"/>
  <c r="F360" i="1"/>
  <c r="W357" i="1"/>
  <c r="AH359" i="1"/>
  <c r="AE360" i="1"/>
  <c r="Q359" i="1"/>
  <c r="AJ355" i="1"/>
  <c r="L355" i="1"/>
  <c r="AA356" i="1"/>
  <c r="BD357" i="1"/>
  <c r="J359" i="1"/>
  <c r="AZ357" i="1"/>
  <c r="J357" i="1"/>
  <c r="BD359" i="1"/>
  <c r="W360" i="1"/>
  <c r="BD356" i="1"/>
  <c r="AZ359" i="1"/>
  <c r="AB357" i="1"/>
  <c r="AB358" i="1"/>
  <c r="AB356" i="1"/>
  <c r="X356" i="1"/>
  <c r="X357" i="1"/>
  <c r="AE359" i="1"/>
  <c r="AL360" i="1"/>
  <c r="I360" i="1"/>
  <c r="AX359" i="1"/>
  <c r="F359" i="1"/>
  <c r="BF357" i="1"/>
  <c r="AL357" i="1"/>
  <c r="F357" i="1"/>
  <c r="BB355" i="1"/>
  <c r="AT355" i="1"/>
  <c r="AO359" i="1"/>
  <c r="AF355" i="1"/>
  <c r="T355" i="1"/>
  <c r="W355" i="1"/>
  <c r="AL358" i="1"/>
  <c r="AL356" i="1"/>
  <c r="AX355" i="1"/>
  <c r="Y355" i="1"/>
  <c r="AR355" i="1"/>
  <c r="G355" i="1"/>
  <c r="BF360" i="1"/>
  <c r="AX358" i="1"/>
  <c r="F358" i="1"/>
  <c r="AM355" i="1"/>
  <c r="V360" i="1"/>
  <c r="AV359" i="1"/>
  <c r="AP358" i="1"/>
  <c r="AW360" i="1"/>
  <c r="AW356" i="1"/>
  <c r="N359" i="1"/>
  <c r="AN358" i="1"/>
  <c r="AH357" i="1"/>
  <c r="AV356" i="1"/>
  <c r="AA360" i="1"/>
  <c r="V355" i="1"/>
  <c r="N355" i="1"/>
  <c r="AA358" i="1"/>
  <c r="AY358" i="1"/>
  <c r="S356" i="1"/>
  <c r="AV355" i="1"/>
  <c r="AY357" i="1"/>
  <c r="AA355" i="1"/>
  <c r="AH360" i="1"/>
  <c r="V358" i="1"/>
  <c r="AV357" i="1"/>
  <c r="AA357" i="1"/>
  <c r="AP359" i="1"/>
  <c r="AN356" i="1"/>
  <c r="AL355" i="1"/>
  <c r="AD355" i="1"/>
  <c r="R355" i="1"/>
  <c r="AO355" i="1"/>
  <c r="I355" i="1"/>
  <c r="AG359" i="1"/>
  <c r="I359" i="1"/>
  <c r="Y357" i="1"/>
  <c r="AV360" i="1"/>
  <c r="N360" i="1"/>
  <c r="AN359" i="1"/>
  <c r="AH358" i="1"/>
  <c r="AP356" i="1"/>
  <c r="V356" i="1"/>
  <c r="AG360" i="1"/>
  <c r="AA359" i="1"/>
  <c r="V359" i="1"/>
  <c r="AV358" i="1"/>
  <c r="AP357" i="1"/>
  <c r="V357" i="1"/>
  <c r="AY360" i="1"/>
  <c r="S360" i="1"/>
  <c r="AH355" i="1"/>
  <c r="BE355" i="1"/>
  <c r="AY356" i="1"/>
  <c r="P355" i="1"/>
  <c r="S357" i="1"/>
  <c r="AQ355" i="1"/>
  <c r="K355" i="1"/>
  <c r="AX356" i="1"/>
  <c r="J356" i="1"/>
  <c r="BA353" i="1"/>
  <c r="BA360" i="1"/>
  <c r="M360" i="1"/>
  <c r="AO358" i="1"/>
  <c r="E358" i="1"/>
  <c r="E356" i="1"/>
  <c r="AW353" i="1"/>
  <c r="AW358" i="1"/>
  <c r="M359" i="1"/>
  <c r="I357" i="1"/>
  <c r="M355" i="1"/>
  <c r="AH356" i="1"/>
  <c r="AZ355" i="1"/>
  <c r="AW357" i="1"/>
  <c r="BA355" i="1"/>
  <c r="AG355" i="1"/>
  <c r="E355" i="1"/>
  <c r="AG358" i="1"/>
  <c r="G357" i="1"/>
  <c r="M356" i="1"/>
  <c r="S358" i="1"/>
  <c r="M357" i="1"/>
  <c r="U355" i="1"/>
  <c r="BF355" i="1"/>
  <c r="AP355" i="1"/>
  <c r="Z355" i="1"/>
  <c r="J355" i="1"/>
  <c r="F355" i="1"/>
  <c r="AW355" i="1"/>
  <c r="Y359" i="1"/>
  <c r="BE357" i="1"/>
  <c r="AC353" i="1"/>
  <c r="AC360" i="1"/>
  <c r="R356" i="1"/>
  <c r="F356" i="1"/>
  <c r="AG357" i="1"/>
  <c r="AS353" i="1"/>
  <c r="AS360" i="1"/>
  <c r="Q353" i="1"/>
  <c r="Q358" i="1"/>
  <c r="AU359" i="1"/>
  <c r="Y358" i="1"/>
  <c r="AS356" i="1"/>
  <c r="I356" i="1"/>
  <c r="BC359" i="1"/>
  <c r="BC353" i="1"/>
  <c r="AU355" i="1"/>
  <c r="AE355" i="1"/>
  <c r="W359" i="1"/>
  <c r="W353" i="1"/>
  <c r="O355" i="1"/>
  <c r="G358" i="1"/>
  <c r="BC356" i="1"/>
  <c r="AO357" i="1"/>
  <c r="AC355" i="1"/>
  <c r="H357" i="1"/>
  <c r="N356" i="1"/>
  <c r="BD355" i="1"/>
  <c r="AN355" i="1"/>
  <c r="X355" i="1"/>
  <c r="H355" i="1"/>
  <c r="AS355" i="1"/>
  <c r="Q355" i="1"/>
  <c r="BE358" i="1"/>
  <c r="I358" i="1"/>
  <c r="AI357" i="1"/>
  <c r="AC356" i="1"/>
  <c r="AY355" i="1"/>
  <c r="AI355" i="1"/>
  <c r="S355" i="1"/>
  <c r="AS357" i="1"/>
  <c r="AM356" i="1"/>
  <c r="AK355" i="1"/>
</calcChain>
</file>

<file path=xl/sharedStrings.xml><?xml version="1.0" encoding="utf-8"?>
<sst xmlns="http://schemas.openxmlformats.org/spreadsheetml/2006/main" count="779" uniqueCount="710">
  <si>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</si>
  <si>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</si>
  <si>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</si>
  <si>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</si>
  <si>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</si>
  <si>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</si>
  <si>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</si>
  <si>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</si>
  <si>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</si>
  <si>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</si>
  <si>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</si>
  <si>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</si>
  <si>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</si>
  <si>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</si>
  <si>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</si>
  <si>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</si>
  <si>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</si>
  <si>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</si>
  <si>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</si>
  <si>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</si>
  <si>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</si>
  <si>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</si>
  <si>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</si>
  <si>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</si>
  <si>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</si>
  <si>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</si>
  <si>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</si>
  <si>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</si>
  <si>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</si>
  <si>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</si>
  <si>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</si>
  <si>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</si>
  <si>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</si>
  <si>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</si>
  <si>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</si>
  <si>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</si>
  <si>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</si>
  <si>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</si>
  <si>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</si>
  <si>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</si>
  <si>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</si>
  <si>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</si>
  <si>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</si>
  <si>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</si>
  <si>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</si>
  <si>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</si>
  <si>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</si>
  <si>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</si>
  <si>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</si>
  <si>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</si>
  <si>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</si>
  <si>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</si>
  <si>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</si>
  <si>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</si>
  <si>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</si>
  <si>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</si>
  <si>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</si>
  <si>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</si>
  <si>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</si>
  <si>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</si>
  <si>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</si>
  <si>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</si>
  <si>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</si>
  <si>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</si>
  <si>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</si>
  <si>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</si>
  <si>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</si>
  <si>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</si>
  <si>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</si>
  <si>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</si>
  <si>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</si>
  <si>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</si>
  <si>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</si>
  <si>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</si>
  <si>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</si>
  <si>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</si>
  <si>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</si>
  <si>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</si>
  <si>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</si>
  <si>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</si>
  <si>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</si>
  <si>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</si>
  <si>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</si>
  <si>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</si>
  <si>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</si>
  <si>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</si>
  <si>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</si>
  <si>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</si>
  <si>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</si>
  <si>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</si>
  <si>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</si>
  <si>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</si>
  <si>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</si>
  <si>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</si>
  <si>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</si>
  <si>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</si>
  <si>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</si>
  <si>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</si>
  <si>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</si>
  <si>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</si>
  <si>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</si>
  <si>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</si>
  <si>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</si>
  <si>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</si>
  <si>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</si>
  <si>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</si>
  <si>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</si>
  <si>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</si>
  <si>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</si>
  <si>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</si>
  <si>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</si>
  <si>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</si>
  <si>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</si>
  <si>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</si>
  <si>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</si>
  <si>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</si>
  <si>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</si>
  <si>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</si>
  <si>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</si>
  <si>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</si>
  <si>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</si>
  <si>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</si>
  <si>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</si>
  <si>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</si>
  <si>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</si>
  <si>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</si>
  <si>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</si>
  <si>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</si>
  <si>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</si>
  <si>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</si>
  <si>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</si>
  <si>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</si>
  <si>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</si>
  <si>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</si>
  <si>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</si>
  <si>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</si>
  <si>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</si>
  <si>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</si>
  <si>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</si>
  <si>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</si>
  <si>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</si>
  <si>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</si>
  <si>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</si>
  <si>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</si>
  <si>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</si>
  <si>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</si>
  <si>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</si>
  <si>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</si>
  <si>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</si>
  <si>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</si>
  <si>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</si>
  <si>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</si>
  <si>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</si>
  <si>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</si>
  <si>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</si>
  <si>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</si>
  <si>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</si>
  <si>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</si>
  <si>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</si>
  <si>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</si>
  <si>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</si>
  <si>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</si>
  <si>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</si>
  <si>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</si>
  <si>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</si>
  <si>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</si>
  <si>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</si>
  <si>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</si>
  <si>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</si>
  <si>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</si>
  <si>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</si>
  <si>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</si>
  <si>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</si>
  <si>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</si>
  <si>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</si>
  <si>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</si>
  <si>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</si>
  <si>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</si>
  <si>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</si>
  <si>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</si>
  <si>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</si>
  <si>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</si>
  <si>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</si>
  <si>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</si>
  <si>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</si>
  <si>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</si>
  <si>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</si>
  <si>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</si>
  <si>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</si>
  <si>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</si>
  <si>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</si>
  <si>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</si>
  <si>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</si>
  <si>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</si>
  <si>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</si>
  <si>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</si>
  <si>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</si>
  <si>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</si>
  <si>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</si>
  <si>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</si>
  <si>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</si>
  <si>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</si>
  <si>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</si>
  <si>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</si>
  <si>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</si>
  <si>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</si>
  <si>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</si>
  <si>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</si>
  <si>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</si>
  <si>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</si>
  <si>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</si>
  <si>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</si>
  <si>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</si>
  <si>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</si>
  <si>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</si>
  <si>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</si>
  <si>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</si>
  <si>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</si>
  <si>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</si>
  <si>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</si>
  <si>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</si>
  <si>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</si>
  <si>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</si>
  <si>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</si>
  <si>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</si>
  <si>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</si>
  <si>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</si>
  <si>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</si>
  <si>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</si>
  <si>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</si>
  <si>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</si>
  <si>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</si>
  <si>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</si>
  <si>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</si>
  <si>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</si>
  <si>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</si>
  <si>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</si>
  <si>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</si>
  <si>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</si>
  <si>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</si>
  <si>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</si>
  <si>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</si>
  <si>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</si>
  <si>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</si>
  <si>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</si>
  <si>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</si>
  <si>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</si>
  <si>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</si>
  <si>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</si>
  <si>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</si>
  <si>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</si>
  <si>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</si>
  <si>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</si>
  <si>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</si>
  <si>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</si>
  <si>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</si>
  <si>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</si>
  <si>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</si>
  <si>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</si>
  <si>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</si>
  <si>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</si>
  <si>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</si>
  <si>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</si>
  <si>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</si>
  <si>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</si>
  <si>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</si>
  <si>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</si>
  <si>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</si>
  <si>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</si>
  <si>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</si>
  <si>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</si>
  <si>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</si>
  <si>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</si>
  <si>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</si>
  <si>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</si>
  <si>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</si>
  <si>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</si>
  <si>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</si>
  <si>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</si>
  <si>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</si>
  <si>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</si>
  <si>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</si>
  <si>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</si>
  <si>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</si>
  <si>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</si>
  <si>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</si>
  <si>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</si>
  <si>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</si>
  <si>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</si>
  <si>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</si>
  <si>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</si>
  <si>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</si>
  <si>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</si>
  <si>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</si>
  <si>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</si>
  <si>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</si>
  <si>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</si>
  <si>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</si>
  <si>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</si>
  <si>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</si>
  <si>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</si>
  <si>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</si>
  <si>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</si>
  <si>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</si>
  <si>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</si>
  <si>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</si>
  <si>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</si>
  <si>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</si>
  <si>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</si>
  <si>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</si>
  <si>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</si>
  <si>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</si>
  <si>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</si>
  <si>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</si>
  <si>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</si>
  <si>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</si>
  <si>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</si>
  <si>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</si>
  <si>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</si>
  <si>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</si>
  <si>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</si>
  <si>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</si>
  <si>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</si>
  <si>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</si>
  <si>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</si>
  <si>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</si>
  <si>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</si>
  <si>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</si>
  <si>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</si>
  <si>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</si>
  <si>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</si>
  <si>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</si>
  <si>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</si>
  <si>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</si>
  <si>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</si>
  <si>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</si>
  <si>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</si>
  <si>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</si>
  <si>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</si>
  <si>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</si>
  <si>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</si>
  <si>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</si>
  <si>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</si>
  <si>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</si>
  <si>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</si>
  <si>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</si>
  <si>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</si>
  <si>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</si>
  <si>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</si>
  <si>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</si>
  <si>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</si>
  <si>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</si>
  <si>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</si>
  <si>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</si>
  <si>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</si>
  <si>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</si>
  <si>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</si>
  <si>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</si>
  <si>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</si>
  <si>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</si>
  <si>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</si>
  <si>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</si>
  <si>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</si>
  <si>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</si>
  <si>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</si>
  <si>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</si>
  <si>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</si>
  <si>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</si>
  <si>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</si>
  <si>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</si>
  <si>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</si>
  <si>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</si>
  <si>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</si>
  <si>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</si>
  <si>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</si>
  <si>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</si>
  <si>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</si>
  <si>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</si>
  <si>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</si>
  <si>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</si>
  <si>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</si>
  <si>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</si>
  <si>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</si>
  <si>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</si>
  <si>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</si>
  <si>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</si>
  <si>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</si>
  <si>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</si>
  <si>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</si>
  <si>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</si>
  <si>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</si>
  <si>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</si>
  <si>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</si>
  <si>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</si>
  <si>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</si>
  <si>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</si>
  <si>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</si>
  <si>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</si>
  <si>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</si>
  <si>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</si>
  <si>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</si>
  <si>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</si>
  <si>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</si>
  <si>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</si>
  <si>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</si>
  <si>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</si>
  <si>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</si>
  <si>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</si>
  <si>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</si>
  <si>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</si>
  <si>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</si>
  <si>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</si>
  <si>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</si>
  <si>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</si>
  <si>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</si>
  <si>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</si>
  <si>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</si>
  <si>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</si>
  <si>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</si>
  <si>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</si>
  <si>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</si>
  <si>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</si>
  <si>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</si>
  <si>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</si>
  <si>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</si>
  <si>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</si>
  <si>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</si>
  <si>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</si>
  <si>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</si>
  <si>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</si>
  <si>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</si>
  <si>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</si>
  <si>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</si>
  <si>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</si>
  <si>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</si>
  <si>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</si>
  <si>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</si>
  <si>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</si>
  <si>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</si>
  <si>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</si>
  <si>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</si>
  <si>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</si>
  <si>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</si>
  <si>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</si>
  <si>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</si>
  <si>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</si>
  <si>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</si>
  <si>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</si>
  <si>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</si>
  <si>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</si>
  <si>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</si>
  <si>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</si>
  <si>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</si>
  <si>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</si>
  <si>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</si>
  <si>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</si>
  <si>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</si>
  <si>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</si>
  <si>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</si>
  <si>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</si>
  <si>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</si>
  <si>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</si>
  <si>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</si>
  <si>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</si>
  <si>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</si>
  <si>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</si>
  <si>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</si>
  <si>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</si>
  <si>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</si>
  <si>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</si>
  <si>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</si>
  <si>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</si>
  <si>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</si>
  <si>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</si>
  <si>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</si>
  <si>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</si>
  <si>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</si>
  <si>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</si>
  <si>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</si>
  <si>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</si>
  <si>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</si>
  <si>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</si>
  <si>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</si>
  <si>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</si>
  <si>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</si>
  <si>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</si>
  <si>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</si>
  <si>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</si>
  <si>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</si>
  <si>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</si>
  <si>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</si>
  <si>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</si>
  <si>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</si>
  <si>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</si>
  <si>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</si>
  <si>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</si>
  <si>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</si>
  <si>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</si>
  <si>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</si>
  <si>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</si>
  <si>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</si>
  <si>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</si>
  <si>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</si>
  <si>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</si>
  <si>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</si>
  <si>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</si>
  <si>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</si>
  <si>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</si>
  <si>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</si>
  <si>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</si>
  <si>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</si>
  <si>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</si>
  <si>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</si>
  <si>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</si>
  <si>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</si>
  <si>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</si>
  <si>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</si>
  <si>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</si>
  <si>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</si>
  <si>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</si>
  <si>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</si>
  <si>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</si>
  <si>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</si>
  <si>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</si>
  <si>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</si>
  <si>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</si>
  <si>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</si>
  <si>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</si>
  <si>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</si>
  <si>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</si>
  <si>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</si>
  <si>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</si>
  <si>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</si>
  <si>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</si>
  <si>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</si>
  <si>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</si>
  <si>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</si>
  <si>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</si>
  <si>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</si>
  <si>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</si>
  <si>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</si>
  <si>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</si>
  <si>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</si>
  <si>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</si>
  <si>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</si>
  <si>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</si>
  <si>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</si>
  <si>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</si>
  <si>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</si>
  <si>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</si>
  <si>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</si>
  <si>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</si>
  <si>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</si>
  <si>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</si>
  <si>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</si>
  <si>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</si>
  <si>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</si>
  <si>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</si>
  <si>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</si>
  <si>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</si>
  <si>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</si>
  <si>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</si>
  <si>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</si>
  <si>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</si>
  <si>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</si>
  <si>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</si>
  <si>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</si>
  <si>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</si>
  <si>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</si>
  <si>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</si>
  <si>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</si>
  <si>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</si>
  <si>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</si>
  <si>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</si>
  <si>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</si>
  <si>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</si>
  <si>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</si>
  <si>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</si>
  <si>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</si>
  <si>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</si>
  <si>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</si>
  <si>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</si>
  <si>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</si>
  <si>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</si>
  <si>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</si>
  <si>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</si>
  <si>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</si>
  <si>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</si>
  <si>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</si>
  <si>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</si>
  <si>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</si>
  <si>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</si>
  <si>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</si>
  <si>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</si>
  <si>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</si>
  <si>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</si>
  <si>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</si>
  <si>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</si>
  <si>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</si>
  <si>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</si>
  <si>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</si>
  <si>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</si>
  <si>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</si>
  <si>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</si>
  <si>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</si>
  <si>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</si>
  <si>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</si>
  <si>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</si>
  <si>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</si>
  <si>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</si>
  <si>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</si>
  <si>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</si>
  <si>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</si>
  <si>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</si>
  <si>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</si>
  <si>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</si>
  <si>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</si>
  <si>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</si>
  <si>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</si>
  <si>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</si>
  <si>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</si>
  <si>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עד 25% מניות</t>
  </si>
  <si>
    <t>הפניקס השתלמות שקלי טווח קצר</t>
  </si>
  <si>
    <t>הפניקס גמל עד 15% מניות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</si>
  <si>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</si>
  <si>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</si>
  <si>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</si>
  <si>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</si>
  <si>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</si>
  <si>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</si>
  <si>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</si>
  <si>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</si>
  <si>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</si>
  <si>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פאסיבי לבמי 50 ומטה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</si>
  <si>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</si>
  <si>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</si>
  <si>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</si>
  <si>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</si>
  <si>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</si>
  <si>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</si>
  <si>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</si>
  <si>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</si>
  <si>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</si>
  <si>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</si>
  <si>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</si>
  <si>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</si>
  <si>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</si>
  <si>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</si>
  <si>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</si>
  <si>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</si>
  <si>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</si>
  <si>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</si>
  <si>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פאסיבי לבני 60 ומעלה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</si>
  <si>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</si>
  <si>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</si>
  <si>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</si>
  <si>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</si>
  <si>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גמל מסלול עוקב מדדים גמיש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</si>
  <si>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</si>
  <si>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</si>
  <si>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</si>
  <si>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</si>
  <si>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</si>
  <si>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</si>
  <si>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</si>
  <si>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</si>
  <si>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גמל חו"ל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</si>
  <si>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</si>
  <si>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</si>
  <si>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</si>
  <si>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</si>
  <si>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</si>
  <si>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</si>
  <si>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</si>
  <si>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</si>
  <si>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513026484-00000000000399-1190-000</t>
  </si>
  <si>
    <t>513026484-00000000000399-0715-000</t>
  </si>
  <si>
    <t>513026484-00000000000102-0211-000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</si>
  <si>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</si>
  <si>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</si>
  <si>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</si>
  <si>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</si>
  <si>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</si>
  <si>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</si>
  <si>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</si>
  <si>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</si>
  <si>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</si>
  <si>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</si>
  <si>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</si>
  <si>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</si>
  <si>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</si>
  <si>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</si>
  <si>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</si>
  <si>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</si>
  <si>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</si>
  <si>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</si>
  <si>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</si>
  <si>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</si>
  <si>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</si>
  <si>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</si>
  <si>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</si>
  <si>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</si>
  <si>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</si>
  <si>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</si>
  <si>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</si>
  <si>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</si>
  <si>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513026484-00000000000102-8624-000</t>
  </si>
  <si>
    <t>513026484-00000000000102-8626-000</t>
  </si>
  <si>
    <t>סיום מידע טבלה</t>
  </si>
  <si>
    <t>סיום מידע טבלה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</si>
</sst>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3</xdr:col>
      <xdr:colOff>257175</xdr:colOff>
      <xdr:row>5</xdr:row>
      <xdr:rowOff>31623</xdr:rowOff>
    </xdr:to>
    <xdr:sp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73796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309880</xdr:colOff>
      <xdr:row>1</xdr:row>
      <xdr:rowOff>117404</xdr:rowOff>
    </xdr:to>
    <xdr:pic>
      <xdr:nvPicPr>
        <xdr:cNvPr id="4" name="Picture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10B5B9A6-BEE5-4E50-96DB-91EDF1F73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3462920" y="0"/>
          <a:ext cx="309880" cy="2926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312"/>
      <sheetName val="גיליון314"/>
      <sheetName val="גיליון316"/>
      <sheetName val="גיליון318"/>
      <sheetName val="גיליון320"/>
      <sheetName val="גיליון322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G361"/>
  <sheetViews>
    <sheetView rightToLeft="1" tabSelected="1" workbookViewId="0">
      <selection activeCell="E1" sqref="E1"/>
    </sheetView>
  </sheetViews>
  <sheetFormatPr defaultRowHeight="13.8" x14ac:dyDescent="0.25"/>
  <sheetData>
    <row r="2" spans="1:59" x14ac:dyDescent="0.25">
      <c r="A2" s="21" t="s">
        <v>708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709</v>
      </c>
    </row>
    <row r="3" spans="1:59" ht="15.6" x14ac:dyDescent="0.3">
      <c r="A3" s="1"/>
      <c r="B3" s="2"/>
      <c r="C3" s="2"/>
      <c r="D3" s="2"/>
      <c r="E3">
        <v>6</v>
      </c>
      <c r="F3">
        <v>10</v>
      </c>
      <c r="G3">
        <v>30</v>
      </c>
      <c r="H3">
        <v>59</v>
      </c>
      <c r="I3">
        <v>93</v>
      </c>
      <c r="J3">
        <v>99</v>
      </c>
      <c r="K3">
        <v>100</v>
      </c>
      <c r="L3">
        <v>101</v>
      </c>
      <c r="M3">
        <v>102</v>
      </c>
      <c r="N3">
        <v>121</v>
      </c>
      <c r="O3">
        <v>122</v>
      </c>
      <c r="P3">
        <v>142</v>
      </c>
      <c r="Q3">
        <v>164</v>
      </c>
      <c r="R3">
        <v>167</v>
      </c>
      <c r="S3">
        <v>169</v>
      </c>
      <c r="T3">
        <v>425</v>
      </c>
      <c r="U3">
        <v>426</v>
      </c>
      <c r="V3">
        <v>499</v>
      </c>
      <c r="W3">
        <v>519</v>
      </c>
      <c r="X3">
        <v>525</v>
      </c>
      <c r="Y3">
        <v>526</v>
      </c>
      <c r="Z3">
        <v>570</v>
      </c>
      <c r="AA3">
        <v>571</v>
      </c>
      <c r="AB3">
        <v>572</v>
      </c>
      <c r="AC3">
        <v>573</v>
      </c>
      <c r="AD3">
        <v>574</v>
      </c>
      <c r="AE3">
        <v>628</v>
      </c>
      <c r="AF3">
        <v>629</v>
      </c>
      <c r="AG3">
        <v>631</v>
      </c>
      <c r="AH3">
        <v>632</v>
      </c>
      <c r="AI3">
        <v>658</v>
      </c>
      <c r="AJ3">
        <v>660</v>
      </c>
      <c r="AK3">
        <v>662</v>
      </c>
      <c r="AL3">
        <v>664</v>
      </c>
      <c r="AM3">
        <v>666</v>
      </c>
      <c r="AN3">
        <v>726</v>
      </c>
      <c r="AO3">
        <v>737</v>
      </c>
      <c r="AP3">
        <v>805</v>
      </c>
      <c r="AQ3">
        <v>807</v>
      </c>
      <c r="AR3">
        <v>827</v>
      </c>
      <c r="AS3">
        <v>575</v>
      </c>
      <c r="AT3">
        <v>576</v>
      </c>
      <c r="AU3">
        <v>359</v>
      </c>
      <c r="AV3">
        <v>360</v>
      </c>
      <c r="AW3" s="9">
        <v>828</v>
      </c>
      <c r="AX3" s="9">
        <v>844</v>
      </c>
      <c r="AY3" s="9">
        <v>839</v>
      </c>
      <c r="AZ3" s="9">
        <v>857</v>
      </c>
      <c r="BA3" s="9">
        <v>851</v>
      </c>
      <c r="BB3" s="9">
        <v>849</v>
      </c>
      <c r="BC3" s="9">
        <v>846</v>
      </c>
      <c r="BD3" s="9">
        <v>834</v>
      </c>
      <c r="BE3" s="9">
        <v>488</v>
      </c>
      <c r="BF3" s="9">
        <v>506</v>
      </c>
      <c r="BG3" s="21"/>
    </row>
    <row r="4" spans="1:59" x14ac:dyDescent="0.25">
      <c r="E4" s="10">
        <v>401</v>
      </c>
      <c r="F4" s="10">
        <v>242</v>
      </c>
      <c r="G4" s="10">
        <v>385</v>
      </c>
      <c r="H4" s="10">
        <v>528</v>
      </c>
      <c r="I4" s="10">
        <v>384</v>
      </c>
      <c r="J4" s="10">
        <v>716</v>
      </c>
      <c r="K4" s="10">
        <v>686</v>
      </c>
      <c r="L4" s="10">
        <v>1190</v>
      </c>
      <c r="M4" s="10">
        <v>715</v>
      </c>
      <c r="N4" s="10">
        <v>211</v>
      </c>
      <c r="O4" s="10">
        <v>9916</v>
      </c>
      <c r="P4" s="10">
        <v>1100</v>
      </c>
      <c r="Q4" s="10">
        <v>801</v>
      </c>
      <c r="R4" s="10">
        <v>804</v>
      </c>
      <c r="S4" s="10">
        <v>806</v>
      </c>
      <c r="T4" s="10">
        <v>8765</v>
      </c>
      <c r="U4" s="10">
        <v>8766</v>
      </c>
      <c r="V4" s="10">
        <v>9418</v>
      </c>
      <c r="W4" s="10">
        <v>9475</v>
      </c>
      <c r="X4" s="10">
        <v>9905</v>
      </c>
      <c r="Y4" s="10">
        <v>9906</v>
      </c>
      <c r="Z4" s="10">
        <v>7905</v>
      </c>
      <c r="AA4" s="10">
        <v>7906</v>
      </c>
      <c r="AB4" s="10">
        <v>7907</v>
      </c>
      <c r="AC4" s="10">
        <v>7908</v>
      </c>
      <c r="AD4" s="10">
        <v>7909</v>
      </c>
      <c r="AE4" s="10">
        <v>11310</v>
      </c>
      <c r="AF4" s="10">
        <v>11311</v>
      </c>
      <c r="AG4" s="10">
        <v>11312</v>
      </c>
      <c r="AH4" s="10">
        <v>11335</v>
      </c>
      <c r="AI4" s="10">
        <v>9529</v>
      </c>
      <c r="AJ4" s="10">
        <v>961</v>
      </c>
      <c r="AK4" s="10">
        <v>9528</v>
      </c>
      <c r="AL4" s="10">
        <v>964</v>
      </c>
      <c r="AM4" s="10">
        <v>968</v>
      </c>
      <c r="AN4" s="10">
        <v>8629</v>
      </c>
      <c r="AO4" s="10">
        <v>13264</v>
      </c>
      <c r="AP4" s="10">
        <v>9917</v>
      </c>
      <c r="AQ4" s="10">
        <v>8624</v>
      </c>
      <c r="AR4" s="10">
        <v>13263</v>
      </c>
      <c r="AS4" s="10">
        <v>13209</v>
      </c>
      <c r="AT4" s="10">
        <v>13250</v>
      </c>
      <c r="AU4" s="10">
        <v>14281</v>
      </c>
      <c r="AV4" s="10">
        <v>14282</v>
      </c>
      <c r="AW4" s="11">
        <v>2049</v>
      </c>
      <c r="AX4" s="12">
        <v>7975</v>
      </c>
      <c r="AY4" s="12">
        <v>8004</v>
      </c>
      <c r="AZ4" s="11">
        <v>1008</v>
      </c>
      <c r="BA4" s="11">
        <v>9484</v>
      </c>
      <c r="BB4" s="11">
        <v>682</v>
      </c>
      <c r="BC4" s="11">
        <v>11352</v>
      </c>
      <c r="BD4" s="11">
        <v>2058</v>
      </c>
      <c r="BE4" s="11">
        <v>12088</v>
      </c>
      <c r="BF4" s="11">
        <v>15007</v>
      </c>
      <c r="BG4" s="21"/>
    </row>
    <row r="5" spans="1:59" ht="15.6" x14ac:dyDescent="0.3">
      <c r="A5" s="3">
        <v>45383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t="s">
        <v>651</v>
      </c>
      <c r="AQ5" t="s">
        <v>652</v>
      </c>
      <c r="AR5" t="s">
        <v>653</v>
      </c>
      <c r="AS5" t="s">
        <v>654</v>
      </c>
      <c r="AT5" t="s">
        <v>655</v>
      </c>
      <c r="AU5" t="s">
        <v>656</v>
      </c>
      <c r="AV5" t="s">
        <v>657</v>
      </c>
      <c r="AW5" s="13" t="s">
        <v>658</v>
      </c>
      <c r="AX5" s="14" t="s">
        <v>659</v>
      </c>
      <c r="AY5" s="13" t="s">
        <v>660</v>
      </c>
      <c r="AZ5" s="13" t="s">
        <v>661</v>
      </c>
      <c r="BA5" s="13" t="s">
        <v>662</v>
      </c>
      <c r="BB5" s="13" t="s">
        <v>663</v>
      </c>
      <c r="BC5" s="13" t="s">
        <v>664</v>
      </c>
      <c r="BD5" s="13" t="s">
        <v>665</v>
      </c>
      <c r="BE5" s="13" t="s">
        <v>666</v>
      </c>
      <c r="BF5" s="13" t="s">
        <v>667</v>
      </c>
      <c r="BG5" s="21"/>
    </row>
    <row r="6" spans="1:59" ht="15.6" x14ac:dyDescent="0.3">
      <c r="A6" s="4"/>
      <c r="B6" s="5"/>
      <c r="C6" s="5"/>
      <c r="D6" s="6" t="s">
        <v>0</v>
      </c>
      <c r="E6" s="15" t="s">
        <v>668</v>
      </c>
      <c r="F6" s="15" t="s">
        <v>669</v>
      </c>
      <c r="G6" s="15" t="s">
        <v>670</v>
      </c>
      <c r="H6" s="15" t="s">
        <v>671</v>
      </c>
      <c r="I6" s="15" t="s">
        <v>672</v>
      </c>
      <c r="J6" s="15" t="s">
        <v>673</v>
      </c>
      <c r="K6" s="15" t="s">
        <v>674</v>
      </c>
      <c r="L6" s="15" t="s">
        <v>675</v>
      </c>
      <c r="M6" s="15" t="s">
        <v>676</v>
      </c>
      <c r="N6" s="15" t="s">
        <v>677</v>
      </c>
      <c r="O6" s="15" t="s">
        <v>678</v>
      </c>
      <c r="P6" s="15" t="s">
        <v>679</v>
      </c>
      <c r="Q6" s="15" t="s">
        <v>680</v>
      </c>
      <c r="R6" s="15" t="s">
        <v>681</v>
      </c>
      <c r="S6" s="15" t="s">
        <v>682</v>
      </c>
      <c r="T6" s="15" t="s">
        <v>683</v>
      </c>
      <c r="U6" s="15" t="s">
        <v>684</v>
      </c>
      <c r="V6" s="15" t="s">
        <v>685</v>
      </c>
      <c r="W6" s="15" t="s">
        <v>686</v>
      </c>
      <c r="X6" s="15" t="s">
        <v>687</v>
      </c>
      <c r="Y6" s="15" t="s">
        <v>688</v>
      </c>
      <c r="Z6" s="15" t="s">
        <v>689</v>
      </c>
      <c r="AA6" s="15" t="s">
        <v>690</v>
      </c>
      <c r="AB6" s="15" t="s">
        <v>691</v>
      </c>
      <c r="AC6" s="15" t="s">
        <v>692</v>
      </c>
      <c r="AD6" s="15" t="s">
        <v>693</v>
      </c>
      <c r="AE6" s="15" t="s">
        <v>694</v>
      </c>
      <c r="AF6" s="15" t="s">
        <v>695</v>
      </c>
      <c r="AG6" s="15" t="s">
        <v>696</v>
      </c>
      <c r="AH6" s="15" t="s">
        <v>697</v>
      </c>
      <c r="AI6" s="15" t="s">
        <v>698</v>
      </c>
      <c r="AJ6" s="15" t="s">
        <v>699</v>
      </c>
      <c r="AK6" s="15" t="s">
        <v>700</v>
      </c>
      <c r="AL6" s="15" t="s">
        <v>701</v>
      </c>
      <c r="AM6" s="15" t="s">
        <v>702</v>
      </c>
      <c r="AN6" s="15" t="s">
        <v>703</v>
      </c>
      <c r="AO6" s="15" t="s">
        <v>704</v>
      </c>
      <c r="AP6" s="15" t="s">
        <v>705</v>
      </c>
      <c r="AQ6" s="15" t="s">
        <v>706</v>
      </c>
      <c r="AR6" s="15" t="s">
        <v>707</v>
      </c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21"/>
    </row>
    <row r="7" spans="1:59" ht="15.6" x14ac:dyDescent="0.3">
      <c r="A7" s="5" t="s">
        <v>1</v>
      </c>
      <c r="B7" s="5" t="s">
        <v>2</v>
      </c>
      <c r="C7" s="7">
        <v>1</v>
      </c>
      <c r="D7" s="7">
        <v>1</v>
      </c>
      <c r="E7" s="7">
        <v>116077.981</v>
      </c>
      <c r="F7" s="7">
        <v>22743.75</v>
      </c>
      <c r="G7" s="7">
        <v>16630.846000000001</v>
      </c>
      <c r="H7" s="7">
        <v>-53.563000000000002</v>
      </c>
      <c r="I7" s="7">
        <v>2835.2820000000002</v>
      </c>
      <c r="J7" s="7">
        <v>11346.759</v>
      </c>
      <c r="K7" s="7">
        <v>101679.217</v>
      </c>
      <c r="L7" s="7">
        <v>14801.214</v>
      </c>
      <c r="M7" s="7">
        <v>6882.0320000000002</v>
      </c>
      <c r="N7" s="7">
        <v>35591.267</v>
      </c>
      <c r="O7" s="7">
        <v>215514.492</v>
      </c>
      <c r="P7" s="7">
        <v>37800.383999999998</v>
      </c>
      <c r="Q7" s="7">
        <v>2.4E-2</v>
      </c>
      <c r="R7" s="7">
        <v>637.08600000000001</v>
      </c>
      <c r="S7" s="7">
        <v>29.861000000000001</v>
      </c>
      <c r="T7" s="7">
        <v>675.51</v>
      </c>
      <c r="U7" s="7">
        <v>230.91800000000001</v>
      </c>
      <c r="V7" s="7">
        <v>6772.9040000000005</v>
      </c>
      <c r="W7" s="7">
        <v>24.550999999999998</v>
      </c>
      <c r="X7" s="7">
        <v>11086.743</v>
      </c>
      <c r="Y7" s="7">
        <v>5226.223</v>
      </c>
      <c r="Z7" s="7">
        <v>1251.4649999999999</v>
      </c>
      <c r="AA7" s="7">
        <v>3958.5169999999998</v>
      </c>
      <c r="AB7" s="7">
        <v>30104.953000000001</v>
      </c>
      <c r="AC7" s="7">
        <v>45818.159</v>
      </c>
      <c r="AD7" s="7">
        <v>7541.5240000000003</v>
      </c>
      <c r="AE7" s="7">
        <v>13505.541999999999</v>
      </c>
      <c r="AF7" s="7">
        <v>22106.566999999999</v>
      </c>
      <c r="AG7" s="7">
        <v>3886.1619999999998</v>
      </c>
      <c r="AH7" s="7">
        <v>1266.433</v>
      </c>
      <c r="AI7" s="7">
        <v>116749.822</v>
      </c>
      <c r="AJ7" s="7">
        <v>37826.976000000002</v>
      </c>
      <c r="AK7" s="7">
        <v>5547.5420000000004</v>
      </c>
      <c r="AL7" s="7">
        <v>325353.049</v>
      </c>
      <c r="AM7" s="7">
        <v>70859.409</v>
      </c>
      <c r="AN7" s="7">
        <v>44555.963000000003</v>
      </c>
      <c r="AO7" s="7">
        <v>291956.08199999999</v>
      </c>
      <c r="AP7" s="7">
        <v>23180.002</v>
      </c>
      <c r="AQ7" s="7">
        <v>10484.379999999999</v>
      </c>
      <c r="AR7" s="7">
        <v>178415.272</v>
      </c>
      <c r="AS7" s="7">
        <v>960.75699999999995</v>
      </c>
      <c r="AT7" s="7">
        <v>94086.106</v>
      </c>
      <c r="AU7" s="7">
        <v>275.93599999999998</v>
      </c>
      <c r="AV7" s="7">
        <v>2007.14</v>
      </c>
      <c r="AW7" s="7">
        <v>1570.241</v>
      </c>
      <c r="AX7" s="7">
        <v>13325.509</v>
      </c>
      <c r="AY7" s="7">
        <v>842.25300000000004</v>
      </c>
      <c r="AZ7" s="7">
        <v>119.33</v>
      </c>
      <c r="BA7" s="7">
        <v>0</v>
      </c>
      <c r="BB7" s="7">
        <v>5372.2889999999998</v>
      </c>
      <c r="BC7" s="7">
        <v>2033.636</v>
      </c>
      <c r="BD7" s="7">
        <v>1839.4059999999999</v>
      </c>
      <c r="BE7" s="7">
        <v>10521.525</v>
      </c>
      <c r="BF7" s="7">
        <v>2151.4969999999998</v>
      </c>
      <c r="BG7" s="21"/>
    </row>
    <row r="8" spans="1:59" ht="15.6" x14ac:dyDescent="0.3">
      <c r="A8" s="5" t="s">
        <v>3</v>
      </c>
      <c r="B8" s="5" t="s">
        <v>4</v>
      </c>
      <c r="C8" s="7">
        <v>1</v>
      </c>
      <c r="D8" s="7">
        <v>1</v>
      </c>
      <c r="E8" s="7">
        <v>26373.989000000001</v>
      </c>
      <c r="F8" s="7">
        <v>10966.512000000001</v>
      </c>
      <c r="G8" s="7">
        <v>6013.4549999999999</v>
      </c>
      <c r="H8" s="7">
        <v>3482.752</v>
      </c>
      <c r="I8" s="7">
        <v>3198.7460000000001</v>
      </c>
      <c r="J8" s="7">
        <v>3134.6619999999998</v>
      </c>
      <c r="K8" s="7">
        <v>26313.708999999999</v>
      </c>
      <c r="L8" s="7">
        <v>8554.5130000000008</v>
      </c>
      <c r="M8" s="7">
        <v>0</v>
      </c>
      <c r="N8" s="7">
        <v>14756.495000000001</v>
      </c>
      <c r="O8" s="7">
        <v>62575.963000000003</v>
      </c>
      <c r="P8" s="7">
        <v>9238.5290000000005</v>
      </c>
      <c r="Q8" s="7">
        <v>0</v>
      </c>
      <c r="R8" s="7">
        <v>118.72199999999999</v>
      </c>
      <c r="S8" s="7">
        <v>626.08100000000002</v>
      </c>
      <c r="T8" s="7">
        <v>104.17400000000001</v>
      </c>
      <c r="U8" s="7">
        <v>189.18199999999999</v>
      </c>
      <c r="V8" s="7">
        <v>1908.73</v>
      </c>
      <c r="W8" s="7">
        <v>0</v>
      </c>
      <c r="X8" s="7">
        <v>1324.441</v>
      </c>
      <c r="Y8" s="7">
        <v>0</v>
      </c>
      <c r="Z8" s="7">
        <v>486.85700000000003</v>
      </c>
      <c r="AA8" s="7">
        <v>1996.6590000000001</v>
      </c>
      <c r="AB8" s="7">
        <v>57.905000000000001</v>
      </c>
      <c r="AC8" s="7">
        <v>12748.922</v>
      </c>
      <c r="AD8" s="7">
        <v>857.87300000000005</v>
      </c>
      <c r="AE8" s="7">
        <v>4280.88</v>
      </c>
      <c r="AF8" s="7">
        <v>3086.1559999999999</v>
      </c>
      <c r="AG8" s="7">
        <v>1523.7660000000001</v>
      </c>
      <c r="AH8" s="7">
        <v>550.88199999999995</v>
      </c>
      <c r="AI8" s="7">
        <v>31696.066999999999</v>
      </c>
      <c r="AJ8" s="7">
        <v>10654.249</v>
      </c>
      <c r="AK8" s="7">
        <v>2815.9540000000002</v>
      </c>
      <c r="AL8" s="7">
        <v>87238.535000000003</v>
      </c>
      <c r="AM8" s="7">
        <v>19337.843000000001</v>
      </c>
      <c r="AN8" s="7">
        <v>21616.09</v>
      </c>
      <c r="AO8" s="7">
        <v>286608.36200000002</v>
      </c>
      <c r="AP8" s="7">
        <v>3154.46</v>
      </c>
      <c r="AQ8" s="7">
        <v>1339.873</v>
      </c>
      <c r="AR8" s="7">
        <v>173168.91399999999</v>
      </c>
      <c r="AS8" s="7">
        <v>0</v>
      </c>
      <c r="AT8" s="7">
        <v>91121.341</v>
      </c>
      <c r="AU8" s="7">
        <v>61.973999999999997</v>
      </c>
      <c r="AV8" s="7">
        <v>277.20699999999999</v>
      </c>
      <c r="AW8" s="7">
        <v>2843.998</v>
      </c>
      <c r="AX8" s="7">
        <v>2998.645</v>
      </c>
      <c r="AY8" s="7">
        <v>1167.3430000000001</v>
      </c>
      <c r="AZ8" s="7">
        <v>43.185000000000002</v>
      </c>
      <c r="BA8" s="7">
        <v>0</v>
      </c>
      <c r="BB8" s="7">
        <v>2704.0140000000001</v>
      </c>
      <c r="BC8" s="7">
        <v>5575.37</v>
      </c>
      <c r="BD8" s="7">
        <v>4744.37</v>
      </c>
      <c r="BE8" s="7">
        <v>4793.34</v>
      </c>
      <c r="BF8" s="7">
        <v>1.0029999999999999</v>
      </c>
      <c r="BG8" s="21"/>
    </row>
    <row r="9" spans="1:59" ht="15.6" x14ac:dyDescent="0.3">
      <c r="A9" s="5" t="s">
        <v>5</v>
      </c>
      <c r="B9" s="5" t="s">
        <v>6</v>
      </c>
      <c r="C9" s="7">
        <v>1</v>
      </c>
      <c r="D9" s="7">
        <v>1</v>
      </c>
      <c r="E9" s="7">
        <v>61683.512999999999</v>
      </c>
      <c r="F9" s="7">
        <v>15278.147000000001</v>
      </c>
      <c r="G9" s="7">
        <v>6950.6189999999997</v>
      </c>
      <c r="H9" s="7">
        <v>8568.5689999999995</v>
      </c>
      <c r="I9" s="7">
        <v>1027.5840000000001</v>
      </c>
      <c r="J9" s="7">
        <v>11098.923000000001</v>
      </c>
      <c r="K9" s="7">
        <v>56028.942000000003</v>
      </c>
      <c r="L9" s="7">
        <v>10546.23</v>
      </c>
      <c r="M9" s="7">
        <v>10598.546</v>
      </c>
      <c r="N9" s="7">
        <v>16742.386999999999</v>
      </c>
      <c r="O9" s="7">
        <v>128748.91099999999</v>
      </c>
      <c r="P9" s="7">
        <v>19748.517</v>
      </c>
      <c r="Q9" s="7">
        <v>696.73299999999995</v>
      </c>
      <c r="R9" s="7">
        <v>240.34399999999999</v>
      </c>
      <c r="S9" s="7">
        <v>33.76</v>
      </c>
      <c r="T9" s="7">
        <v>199.42</v>
      </c>
      <c r="U9" s="7">
        <v>268.18</v>
      </c>
      <c r="V9" s="7">
        <v>14592.525</v>
      </c>
      <c r="W9" s="7">
        <v>0</v>
      </c>
      <c r="X9" s="7">
        <v>3966.877</v>
      </c>
      <c r="Y9" s="7">
        <v>1875.9860000000001</v>
      </c>
      <c r="Z9" s="7">
        <v>4565.1400000000003</v>
      </c>
      <c r="AA9" s="7">
        <v>2986.6860000000001</v>
      </c>
      <c r="AB9" s="7">
        <v>7520.0020000000004</v>
      </c>
      <c r="AC9" s="7">
        <v>23245.338</v>
      </c>
      <c r="AD9" s="7">
        <v>8957.8880000000008</v>
      </c>
      <c r="AE9" s="7">
        <v>35460.574999999997</v>
      </c>
      <c r="AF9" s="7">
        <v>14506.476000000001</v>
      </c>
      <c r="AG9" s="7">
        <v>3834.1619999999998</v>
      </c>
      <c r="AH9" s="7">
        <v>4182.8370000000004</v>
      </c>
      <c r="AI9" s="7">
        <v>54080.800000000003</v>
      </c>
      <c r="AJ9" s="7">
        <v>23426.204000000002</v>
      </c>
      <c r="AK9" s="7">
        <v>16425.393</v>
      </c>
      <c r="AL9" s="7">
        <v>162224.60200000001</v>
      </c>
      <c r="AM9" s="7">
        <v>40948.237000000001</v>
      </c>
      <c r="AN9" s="7">
        <v>24954.512999999999</v>
      </c>
      <c r="AO9" s="7">
        <v>106628.571</v>
      </c>
      <c r="AP9" s="7">
        <v>4237.2979999999998</v>
      </c>
      <c r="AQ9" s="7">
        <v>7022.8339999999998</v>
      </c>
      <c r="AR9" s="7">
        <v>61410.993999999999</v>
      </c>
      <c r="AS9" s="7">
        <v>2334.393</v>
      </c>
      <c r="AT9" s="7">
        <v>35923.000999999997</v>
      </c>
      <c r="AU9" s="7">
        <v>226.79499999999999</v>
      </c>
      <c r="AV9" s="7">
        <v>3279.7959999999998</v>
      </c>
      <c r="AW9" s="7">
        <v>0</v>
      </c>
      <c r="AX9" s="7">
        <v>6591.4780000000001</v>
      </c>
      <c r="AY9" s="7">
        <v>0</v>
      </c>
      <c r="AZ9" s="7">
        <v>29.577999999999999</v>
      </c>
      <c r="BA9" s="7">
        <v>0</v>
      </c>
      <c r="BB9" s="7">
        <v>333.24200000000002</v>
      </c>
      <c r="BC9" s="7">
        <v>0</v>
      </c>
      <c r="BD9" s="7">
        <v>0</v>
      </c>
      <c r="BE9" s="7">
        <v>25156.623</v>
      </c>
      <c r="BF9" s="7">
        <v>20068.485000000001</v>
      </c>
      <c r="BG9" s="21"/>
    </row>
    <row r="10" spans="1:59" ht="15.6" x14ac:dyDescent="0.3">
      <c r="A10" s="5" t="s">
        <v>7</v>
      </c>
      <c r="B10" s="5" t="s">
        <v>8</v>
      </c>
      <c r="C10" s="7">
        <v>1</v>
      </c>
      <c r="D10" s="7">
        <v>1</v>
      </c>
      <c r="E10" s="7">
        <v>319061.67300000001</v>
      </c>
      <c r="F10" s="7">
        <v>89521.683999999994</v>
      </c>
      <c r="G10" s="7">
        <v>0</v>
      </c>
      <c r="H10" s="7">
        <v>0</v>
      </c>
      <c r="I10" s="7">
        <v>4567.4989999999998</v>
      </c>
      <c r="J10" s="7">
        <v>0.02</v>
      </c>
      <c r="K10" s="7">
        <v>417554.70400000003</v>
      </c>
      <c r="L10" s="7">
        <v>38225.131999999998</v>
      </c>
      <c r="M10" s="7">
        <v>0</v>
      </c>
      <c r="N10" s="7">
        <v>46808.275999999998</v>
      </c>
      <c r="O10" s="7">
        <v>1065254.155</v>
      </c>
      <c r="P10" s="7">
        <v>63933.822</v>
      </c>
      <c r="Q10" s="7">
        <v>0</v>
      </c>
      <c r="R10" s="7">
        <v>3617.95</v>
      </c>
      <c r="S10" s="7">
        <v>0</v>
      </c>
      <c r="T10" s="7">
        <v>3680.212</v>
      </c>
      <c r="U10" s="7">
        <v>643.10699999999997</v>
      </c>
      <c r="V10" s="7">
        <v>27493.946</v>
      </c>
      <c r="W10" s="7">
        <v>0</v>
      </c>
      <c r="X10" s="7">
        <v>58871.360999999997</v>
      </c>
      <c r="Y10" s="7">
        <v>0</v>
      </c>
      <c r="Z10" s="7">
        <v>0</v>
      </c>
      <c r="AA10" s="7">
        <v>6775.817</v>
      </c>
      <c r="AB10" s="7">
        <v>142750.913</v>
      </c>
      <c r="AC10" s="7">
        <v>180607.43</v>
      </c>
      <c r="AD10" s="7">
        <v>40992.379999999997</v>
      </c>
      <c r="AE10" s="7">
        <v>0</v>
      </c>
      <c r="AF10" s="7">
        <v>120385.234</v>
      </c>
      <c r="AG10" s="7">
        <v>15306.646000000001</v>
      </c>
      <c r="AH10" s="7">
        <v>7789.5820000000003</v>
      </c>
      <c r="AI10" s="7">
        <v>467979.96399999998</v>
      </c>
      <c r="AJ10" s="7">
        <v>215260.13099999999</v>
      </c>
      <c r="AK10" s="7">
        <v>35469.837</v>
      </c>
      <c r="AL10" s="7">
        <v>1363516.247</v>
      </c>
      <c r="AM10" s="7">
        <v>403117.62699999998</v>
      </c>
      <c r="AN10" s="7">
        <v>242766.85200000001</v>
      </c>
      <c r="AO10" s="7">
        <v>5359766.8320000004</v>
      </c>
      <c r="AP10" s="7">
        <v>123803.92200000001</v>
      </c>
      <c r="AQ10" s="7">
        <v>54151.873</v>
      </c>
      <c r="AR10" s="7">
        <v>3275348.602</v>
      </c>
      <c r="AS10" s="7">
        <v>0</v>
      </c>
      <c r="AT10" s="7">
        <v>1727261.9580000001</v>
      </c>
      <c r="AU10" s="7">
        <v>1269.3119999999999</v>
      </c>
      <c r="AV10" s="7">
        <v>10973.325999999999</v>
      </c>
      <c r="AW10" s="7">
        <v>0</v>
      </c>
      <c r="AX10" s="7">
        <v>63995.330999999998</v>
      </c>
      <c r="AY10" s="7">
        <v>0</v>
      </c>
      <c r="AZ10" s="7">
        <v>277.012</v>
      </c>
      <c r="BA10" s="7">
        <v>0</v>
      </c>
      <c r="BB10" s="7">
        <v>2007.59</v>
      </c>
      <c r="BC10" s="7">
        <v>0</v>
      </c>
      <c r="BD10" s="7">
        <v>0</v>
      </c>
      <c r="BE10" s="7">
        <v>58207.557999999997</v>
      </c>
      <c r="BF10" s="7">
        <v>10201.814</v>
      </c>
      <c r="BG10" s="21"/>
    </row>
    <row r="11" spans="1:59" ht="15.6" x14ac:dyDescent="0.3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21"/>
    </row>
    <row r="12" spans="1:59" ht="15.6" x14ac:dyDescent="0.3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21"/>
    </row>
    <row r="13" spans="1:59" ht="15.6" x14ac:dyDescent="0.3">
      <c r="A13" s="5" t="s">
        <v>13</v>
      </c>
      <c r="B13" s="5" t="s">
        <v>14</v>
      </c>
      <c r="C13" s="7">
        <v>1</v>
      </c>
      <c r="D13" s="7">
        <v>1</v>
      </c>
      <c r="E13" s="7">
        <v>76455.313999999998</v>
      </c>
      <c r="F13" s="7">
        <v>18033.939999999999</v>
      </c>
      <c r="G13" s="7">
        <v>3853.0340000000001</v>
      </c>
      <c r="H13" s="7">
        <v>582.42200000000003</v>
      </c>
      <c r="I13" s="7">
        <v>1401.8320000000001</v>
      </c>
      <c r="J13" s="7">
        <v>3075.7939999999999</v>
      </c>
      <c r="K13" s="7">
        <v>86646.248000000007</v>
      </c>
      <c r="L13" s="7">
        <v>13276.364</v>
      </c>
      <c r="M13" s="7">
        <v>0</v>
      </c>
      <c r="N13" s="7">
        <v>28119.737000000001</v>
      </c>
      <c r="O13" s="7">
        <v>217101.60500000001</v>
      </c>
      <c r="P13" s="7">
        <v>22155.167000000001</v>
      </c>
      <c r="Q13" s="7">
        <v>0</v>
      </c>
      <c r="R13" s="7">
        <v>21.204000000000001</v>
      </c>
      <c r="S13" s="7">
        <v>45.404000000000003</v>
      </c>
      <c r="T13" s="7">
        <v>13.166</v>
      </c>
      <c r="U13" s="7">
        <v>2.6920000000000002</v>
      </c>
      <c r="V13" s="7">
        <v>5394.973</v>
      </c>
      <c r="W13" s="7">
        <v>0</v>
      </c>
      <c r="X13" s="7">
        <v>267.952</v>
      </c>
      <c r="Y13" s="7">
        <v>0</v>
      </c>
      <c r="Z13" s="7">
        <v>396.62599999999998</v>
      </c>
      <c r="AA13" s="7">
        <v>2110.98</v>
      </c>
      <c r="AB13" s="7">
        <v>268.28699999999998</v>
      </c>
      <c r="AC13" s="7">
        <v>34316.904999999999</v>
      </c>
      <c r="AD13" s="7">
        <v>276.48200000000003</v>
      </c>
      <c r="AE13" s="7">
        <v>4746.0559999999996</v>
      </c>
      <c r="AF13" s="7">
        <v>611.93899999999996</v>
      </c>
      <c r="AG13" s="7">
        <v>3144.201</v>
      </c>
      <c r="AH13" s="7">
        <v>40.311</v>
      </c>
      <c r="AI13" s="7">
        <v>89744.304000000004</v>
      </c>
      <c r="AJ13" s="7">
        <v>35290.665000000001</v>
      </c>
      <c r="AK13" s="7">
        <v>238.416</v>
      </c>
      <c r="AL13" s="7">
        <v>267768.97399999999</v>
      </c>
      <c r="AM13" s="7">
        <v>66077.926999999996</v>
      </c>
      <c r="AN13" s="7">
        <v>1617.607</v>
      </c>
      <c r="AO13" s="7">
        <v>0</v>
      </c>
      <c r="AP13" s="7">
        <v>540.69100000000003</v>
      </c>
      <c r="AQ13" s="7">
        <v>230.941</v>
      </c>
      <c r="AR13" s="7">
        <v>-1.4999999999999999E-2</v>
      </c>
      <c r="AS13" s="7">
        <v>0</v>
      </c>
      <c r="AT13" s="7">
        <v>0</v>
      </c>
      <c r="AU13" s="7">
        <v>243.94499999999999</v>
      </c>
      <c r="AV13" s="7">
        <v>38.299999999999997</v>
      </c>
      <c r="AW13" s="7">
        <v>0</v>
      </c>
      <c r="AX13" s="7">
        <v>10477.272999999999</v>
      </c>
      <c r="AY13" s="7">
        <v>0</v>
      </c>
      <c r="AZ13" s="7">
        <v>50.404000000000003</v>
      </c>
      <c r="BA13" s="7">
        <v>0</v>
      </c>
      <c r="BB13" s="7">
        <v>406.827</v>
      </c>
      <c r="BC13" s="7">
        <v>0</v>
      </c>
      <c r="BD13" s="7">
        <v>0</v>
      </c>
      <c r="BE13" s="7">
        <v>13901.928</v>
      </c>
      <c r="BF13" s="7">
        <v>19.172000000000001</v>
      </c>
      <c r="BG13" s="21"/>
    </row>
    <row r="14" spans="1:59" ht="15.6" x14ac:dyDescent="0.3">
      <c r="A14" s="5" t="s">
        <v>3</v>
      </c>
      <c r="B14" s="5" t="s">
        <v>15</v>
      </c>
      <c r="C14" s="7">
        <v>1</v>
      </c>
      <c r="D14" s="7">
        <v>1</v>
      </c>
      <c r="E14" s="7">
        <v>19.129000000000001</v>
      </c>
      <c r="F14" s="7">
        <v>4.726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5.343</v>
      </c>
      <c r="M14" s="7">
        <v>0</v>
      </c>
      <c r="N14" s="7">
        <v>15.028</v>
      </c>
      <c r="O14" s="7">
        <v>152.268</v>
      </c>
      <c r="P14" s="7">
        <v>5.9580000000000002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10.432</v>
      </c>
      <c r="AJ14" s="7">
        <v>1.5529999999999999</v>
      </c>
      <c r="AK14" s="7">
        <v>0</v>
      </c>
      <c r="AL14" s="7">
        <v>97.772000000000006</v>
      </c>
      <c r="AM14" s="7">
        <v>1.0529999999999999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21"/>
    </row>
    <row r="15" spans="1:59" ht="15.6" x14ac:dyDescent="0.3">
      <c r="A15" s="5" t="s">
        <v>16</v>
      </c>
      <c r="B15" s="5" t="s">
        <v>17</v>
      </c>
      <c r="C15" s="7">
        <v>1</v>
      </c>
      <c r="D15" s="7">
        <v>1</v>
      </c>
      <c r="E15" s="7">
        <v>29.024000000000001</v>
      </c>
      <c r="F15" s="7">
        <v>8.1430000000000007</v>
      </c>
      <c r="G15" s="7">
        <v>0</v>
      </c>
      <c r="H15" s="7">
        <v>0</v>
      </c>
      <c r="I15" s="7">
        <v>0.41499999999999998</v>
      </c>
      <c r="J15" s="7">
        <v>0</v>
      </c>
      <c r="K15" s="7">
        <v>37.982999999999997</v>
      </c>
      <c r="L15" s="7">
        <v>3.4769999999999999</v>
      </c>
      <c r="M15" s="7">
        <v>0</v>
      </c>
      <c r="N15" s="7">
        <v>4.258</v>
      </c>
      <c r="O15" s="7">
        <v>96.900999999999996</v>
      </c>
      <c r="P15" s="7">
        <v>5.8159999999999998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2.5009999999999999</v>
      </c>
      <c r="W15" s="7">
        <v>0</v>
      </c>
      <c r="X15" s="7">
        <v>0</v>
      </c>
      <c r="Y15" s="7">
        <v>0</v>
      </c>
      <c r="Z15" s="7">
        <v>0</v>
      </c>
      <c r="AA15" s="7">
        <v>0.61599999999999999</v>
      </c>
      <c r="AB15" s="7">
        <v>0</v>
      </c>
      <c r="AC15" s="7">
        <v>16.428999999999998</v>
      </c>
      <c r="AD15" s="7">
        <v>0</v>
      </c>
      <c r="AE15" s="7">
        <v>0</v>
      </c>
      <c r="AF15" s="7">
        <v>6.0000000000000001E-3</v>
      </c>
      <c r="AG15" s="7">
        <v>1.3919999999999999</v>
      </c>
      <c r="AH15" s="7">
        <v>0</v>
      </c>
      <c r="AI15" s="7">
        <v>42.57</v>
      </c>
      <c r="AJ15" s="7">
        <v>19.581</v>
      </c>
      <c r="AK15" s="7">
        <v>0</v>
      </c>
      <c r="AL15" s="7">
        <v>124.033</v>
      </c>
      <c r="AM15" s="7">
        <v>36.67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0.115</v>
      </c>
      <c r="AV15" s="7">
        <v>0</v>
      </c>
      <c r="AW15" s="7">
        <v>0</v>
      </c>
      <c r="AX15" s="7">
        <v>5.8209999999999997</v>
      </c>
      <c r="AY15" s="7">
        <v>0</v>
      </c>
      <c r="AZ15" s="7">
        <v>2.5000000000000001E-2</v>
      </c>
      <c r="BA15" s="7">
        <v>0</v>
      </c>
      <c r="BB15" s="7">
        <v>0.183</v>
      </c>
      <c r="BC15" s="7">
        <v>0</v>
      </c>
      <c r="BD15" s="7">
        <v>0</v>
      </c>
      <c r="BE15" s="7">
        <v>5.2949999999999999</v>
      </c>
      <c r="BF15" s="7">
        <v>0</v>
      </c>
      <c r="BG15" s="21"/>
    </row>
    <row r="16" spans="1:59" ht="15.6" x14ac:dyDescent="0.3">
      <c r="A16" s="5" t="s">
        <v>18</v>
      </c>
      <c r="B16" s="5" t="s">
        <v>19</v>
      </c>
      <c r="C16" s="7">
        <v>2</v>
      </c>
      <c r="D16" s="7">
        <v>2</v>
      </c>
      <c r="E16" s="7">
        <v>668419.75</v>
      </c>
      <c r="F16" s="7">
        <v>67267.565000000002</v>
      </c>
      <c r="G16" s="7">
        <v>180651.74299999999</v>
      </c>
      <c r="H16" s="7">
        <v>0</v>
      </c>
      <c r="I16" s="7">
        <v>25910.002</v>
      </c>
      <c r="J16" s="7">
        <v>127476.535</v>
      </c>
      <c r="K16" s="7">
        <v>315963.66600000003</v>
      </c>
      <c r="L16" s="7">
        <v>70677.48</v>
      </c>
      <c r="M16" s="7">
        <v>0</v>
      </c>
      <c r="N16" s="7">
        <v>293483.20500000002</v>
      </c>
      <c r="O16" s="7">
        <v>203777.39799999999</v>
      </c>
      <c r="P16" s="7">
        <v>283601.39899999998</v>
      </c>
      <c r="Q16" s="7">
        <v>0</v>
      </c>
      <c r="R16" s="7">
        <v>0</v>
      </c>
      <c r="S16" s="7">
        <v>17912.899000000001</v>
      </c>
      <c r="T16" s="7">
        <v>524.97400000000005</v>
      </c>
      <c r="U16" s="7">
        <v>1452.5</v>
      </c>
      <c r="V16" s="7">
        <v>20070.580000000002</v>
      </c>
      <c r="W16" s="7">
        <v>0</v>
      </c>
      <c r="X16" s="7">
        <v>2073.5830000000001</v>
      </c>
      <c r="Y16" s="7">
        <v>0</v>
      </c>
      <c r="Z16" s="7">
        <v>11307.349</v>
      </c>
      <c r="AA16" s="7">
        <v>22465.823</v>
      </c>
      <c r="AB16" s="7">
        <v>0</v>
      </c>
      <c r="AC16" s="7">
        <v>111332.137</v>
      </c>
      <c r="AD16" s="7">
        <v>0</v>
      </c>
      <c r="AE16" s="7">
        <v>134898.785</v>
      </c>
      <c r="AF16" s="7">
        <v>0</v>
      </c>
      <c r="AG16" s="7">
        <v>8298.2540000000008</v>
      </c>
      <c r="AH16" s="7">
        <v>3667.145</v>
      </c>
      <c r="AI16" s="7">
        <v>267751.70400000003</v>
      </c>
      <c r="AJ16" s="7">
        <v>0</v>
      </c>
      <c r="AK16" s="7">
        <v>10577.713</v>
      </c>
      <c r="AL16" s="7">
        <v>706120.51500000001</v>
      </c>
      <c r="AM16" s="7">
        <v>0</v>
      </c>
      <c r="AN16" s="7">
        <v>0</v>
      </c>
      <c r="AO16" s="7">
        <v>0</v>
      </c>
      <c r="AP16" s="7">
        <v>12228.913</v>
      </c>
      <c r="AQ16" s="7">
        <v>14871.348</v>
      </c>
      <c r="AR16" s="7">
        <v>0</v>
      </c>
      <c r="AS16" s="7">
        <v>0</v>
      </c>
      <c r="AT16" s="7">
        <v>0</v>
      </c>
      <c r="AU16" s="7">
        <v>693.279</v>
      </c>
      <c r="AV16" s="7">
        <v>2015.6559999999999</v>
      </c>
      <c r="AW16" s="7">
        <v>0</v>
      </c>
      <c r="AX16" s="7">
        <v>0</v>
      </c>
      <c r="AY16" s="7">
        <v>0</v>
      </c>
      <c r="AZ16" s="7">
        <v>563.75</v>
      </c>
      <c r="BA16" s="7">
        <v>0</v>
      </c>
      <c r="BB16" s="7">
        <v>14682.376</v>
      </c>
      <c r="BC16" s="7">
        <v>0</v>
      </c>
      <c r="BD16" s="7">
        <v>0</v>
      </c>
      <c r="BE16" s="7">
        <v>0</v>
      </c>
      <c r="BF16" s="7">
        <v>0</v>
      </c>
      <c r="BG16" s="21"/>
    </row>
    <row r="17" spans="1:59" ht="15.6" x14ac:dyDescent="0.3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21"/>
    </row>
    <row r="18" spans="1:59" ht="15.6" x14ac:dyDescent="0.3">
      <c r="A18" s="5" t="s">
        <v>22</v>
      </c>
      <c r="B18" s="5" t="s">
        <v>23</v>
      </c>
      <c r="C18" s="7">
        <v>2</v>
      </c>
      <c r="D18" s="7">
        <v>2</v>
      </c>
      <c r="E18" s="7">
        <v>602778.14500000002</v>
      </c>
      <c r="F18" s="7">
        <v>60661.608999999997</v>
      </c>
      <c r="G18" s="7">
        <v>163577.217</v>
      </c>
      <c r="H18" s="7">
        <v>0</v>
      </c>
      <c r="I18" s="7">
        <v>23365.531999999999</v>
      </c>
      <c r="J18" s="7">
        <v>115112.58100000001</v>
      </c>
      <c r="K18" s="7">
        <v>284934.717</v>
      </c>
      <c r="L18" s="7">
        <v>71564.095000000001</v>
      </c>
      <c r="M18" s="7">
        <v>42143.080999999998</v>
      </c>
      <c r="N18" s="7">
        <v>264661.93099999998</v>
      </c>
      <c r="O18" s="7">
        <v>183765.60800000001</v>
      </c>
      <c r="P18" s="7">
        <v>255750.55900000001</v>
      </c>
      <c r="Q18" s="7">
        <v>12147.367</v>
      </c>
      <c r="R18" s="7">
        <v>0</v>
      </c>
      <c r="S18" s="7">
        <v>0</v>
      </c>
      <c r="T18" s="7">
        <v>901.80799999999999</v>
      </c>
      <c r="U18" s="7">
        <v>2495.127</v>
      </c>
      <c r="V18" s="7">
        <v>18099.564999999999</v>
      </c>
      <c r="W18" s="7">
        <v>0</v>
      </c>
      <c r="X18" s="7">
        <v>3562.0320000000002</v>
      </c>
      <c r="Y18" s="7">
        <v>31999.228999999999</v>
      </c>
      <c r="Z18" s="7">
        <v>10196.921</v>
      </c>
      <c r="AA18" s="7">
        <v>25340.169000000002</v>
      </c>
      <c r="AB18" s="7">
        <v>0</v>
      </c>
      <c r="AC18" s="7">
        <v>100398.857</v>
      </c>
      <c r="AD18" s="7">
        <v>0</v>
      </c>
      <c r="AE18" s="7">
        <v>121651.162</v>
      </c>
      <c r="AF18" s="7">
        <v>0</v>
      </c>
      <c r="AG18" s="7">
        <v>7483.3310000000001</v>
      </c>
      <c r="AH18" s="7">
        <v>3307.0160000000001</v>
      </c>
      <c r="AI18" s="7">
        <v>241457.37100000001</v>
      </c>
      <c r="AJ18" s="7">
        <v>0</v>
      </c>
      <c r="AK18" s="7">
        <v>9538.9380000000001</v>
      </c>
      <c r="AL18" s="7">
        <v>636700.95700000005</v>
      </c>
      <c r="AM18" s="7">
        <v>0</v>
      </c>
      <c r="AN18" s="7">
        <v>0</v>
      </c>
      <c r="AO18" s="7">
        <v>0</v>
      </c>
      <c r="AP18" s="7">
        <v>21007.012999999999</v>
      </c>
      <c r="AQ18" s="7">
        <v>25546.228999999999</v>
      </c>
      <c r="AR18" s="7">
        <v>0</v>
      </c>
      <c r="AS18" s="7">
        <v>5885.7460000000001</v>
      </c>
      <c r="AT18" s="7">
        <v>0</v>
      </c>
      <c r="AU18" s="7">
        <v>625.19600000000003</v>
      </c>
      <c r="AV18" s="7">
        <v>3462.5239999999999</v>
      </c>
      <c r="AW18" s="7">
        <v>0</v>
      </c>
      <c r="AX18" s="7">
        <v>0</v>
      </c>
      <c r="AY18" s="7">
        <v>0</v>
      </c>
      <c r="AZ18" s="7">
        <v>508.387</v>
      </c>
      <c r="BA18" s="7">
        <v>0</v>
      </c>
      <c r="BB18" s="7">
        <v>13461.632</v>
      </c>
      <c r="BC18" s="7">
        <v>0</v>
      </c>
      <c r="BD18" s="7">
        <v>0</v>
      </c>
      <c r="BE18" s="7">
        <v>0</v>
      </c>
      <c r="BF18" s="7">
        <v>0</v>
      </c>
      <c r="BG18" s="21"/>
    </row>
    <row r="19" spans="1:59" ht="15.6" x14ac:dyDescent="0.3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13655.687</v>
      </c>
      <c r="N19" s="7">
        <v>0</v>
      </c>
      <c r="O19" s="7">
        <v>0</v>
      </c>
      <c r="P19" s="7">
        <v>0</v>
      </c>
      <c r="Q19" s="7">
        <v>277.65199999999999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10368.759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1907.1669999999999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7.008</v>
      </c>
      <c r="BC19" s="7">
        <v>0</v>
      </c>
      <c r="BD19" s="7">
        <v>0</v>
      </c>
      <c r="BE19" s="7">
        <v>0</v>
      </c>
      <c r="BF19" s="7">
        <v>0</v>
      </c>
      <c r="BG19" s="21"/>
    </row>
    <row r="20" spans="1:59" ht="15.6" x14ac:dyDescent="0.3">
      <c r="A20" s="5" t="s">
        <v>26</v>
      </c>
      <c r="B20" s="5" t="s">
        <v>27</v>
      </c>
      <c r="C20" s="7">
        <v>2</v>
      </c>
      <c r="D20" s="7">
        <v>2</v>
      </c>
      <c r="E20" s="7">
        <v>15543.906000000001</v>
      </c>
      <c r="F20" s="7">
        <v>4361.2780000000002</v>
      </c>
      <c r="G20" s="7">
        <v>0</v>
      </c>
      <c r="H20" s="7">
        <v>0</v>
      </c>
      <c r="I20" s="7">
        <v>222.517</v>
      </c>
      <c r="J20" s="7">
        <v>0</v>
      </c>
      <c r="K20" s="7">
        <v>20342.245999999999</v>
      </c>
      <c r="L20" s="7">
        <v>1862.2349999999999</v>
      </c>
      <c r="M20" s="7">
        <v>149634.171</v>
      </c>
      <c r="N20" s="7">
        <v>2280.3850000000002</v>
      </c>
      <c r="O20" s="7">
        <v>51896.582999999999</v>
      </c>
      <c r="P20" s="7">
        <v>3114.7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1339.4380000000001</v>
      </c>
      <c r="W20" s="7">
        <v>2648.9349999999999</v>
      </c>
      <c r="X20" s="7">
        <v>0</v>
      </c>
      <c r="Y20" s="7">
        <v>113617.181</v>
      </c>
      <c r="Z20" s="7">
        <v>0</v>
      </c>
      <c r="AA20" s="7">
        <v>330.101</v>
      </c>
      <c r="AB20" s="7">
        <v>0</v>
      </c>
      <c r="AC20" s="7">
        <v>8798.7530000000006</v>
      </c>
      <c r="AD20" s="7">
        <v>0</v>
      </c>
      <c r="AE20" s="7">
        <v>0</v>
      </c>
      <c r="AF20" s="7">
        <v>3.1869999999999998</v>
      </c>
      <c r="AG20" s="7">
        <v>745.702</v>
      </c>
      <c r="AH20" s="7">
        <v>0</v>
      </c>
      <c r="AI20" s="7">
        <v>22798.842000000001</v>
      </c>
      <c r="AJ20" s="7">
        <v>10486.948</v>
      </c>
      <c r="AK20" s="7">
        <v>0</v>
      </c>
      <c r="AL20" s="7">
        <v>66427.184999999998</v>
      </c>
      <c r="AM20" s="7">
        <v>19638.906999999999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20898.062000000002</v>
      </c>
      <c r="AT20" s="7">
        <v>0</v>
      </c>
      <c r="AU20" s="7">
        <v>61.838000000000001</v>
      </c>
      <c r="AV20" s="7">
        <v>0</v>
      </c>
      <c r="AW20" s="7">
        <v>0</v>
      </c>
      <c r="AX20" s="7">
        <v>3117.6959999999999</v>
      </c>
      <c r="AY20" s="7">
        <v>0</v>
      </c>
      <c r="AZ20" s="7">
        <v>13.494999999999999</v>
      </c>
      <c r="BA20" s="7">
        <v>0</v>
      </c>
      <c r="BB20" s="7">
        <v>150.37299999999999</v>
      </c>
      <c r="BC20" s="7">
        <v>0</v>
      </c>
      <c r="BD20" s="7">
        <v>0</v>
      </c>
      <c r="BE20" s="7">
        <v>2835.73</v>
      </c>
      <c r="BF20" s="7">
        <v>0</v>
      </c>
      <c r="BG20" s="21"/>
    </row>
    <row r="21" spans="1:59" ht="15.6" x14ac:dyDescent="0.3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21"/>
    </row>
    <row r="22" spans="1:59" ht="15.6" x14ac:dyDescent="0.3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939414.76199999999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21"/>
    </row>
    <row r="23" spans="1:59" ht="15.6" x14ac:dyDescent="0.3">
      <c r="A23" s="5" t="s">
        <v>32</v>
      </c>
      <c r="B23" s="5" t="s">
        <v>33</v>
      </c>
      <c r="C23" s="7">
        <v>2</v>
      </c>
      <c r="D23" s="7">
        <v>2</v>
      </c>
      <c r="E23" s="7">
        <v>3079.1709999999998</v>
      </c>
      <c r="F23" s="7">
        <v>0</v>
      </c>
      <c r="G23" s="7">
        <v>1753.1510000000001</v>
      </c>
      <c r="H23" s="7">
        <v>0</v>
      </c>
      <c r="I23" s="7">
        <v>0</v>
      </c>
      <c r="J23" s="7">
        <v>1345.145</v>
      </c>
      <c r="K23" s="7">
        <v>0</v>
      </c>
      <c r="L23" s="7">
        <v>1172.0999999999999</v>
      </c>
      <c r="M23" s="7">
        <v>0</v>
      </c>
      <c r="N23" s="7">
        <v>4150.6819999999998</v>
      </c>
      <c r="O23" s="7">
        <v>4277.6880000000001</v>
      </c>
      <c r="P23" s="7">
        <v>1281.394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796.88699999999994</v>
      </c>
      <c r="AJ23" s="7">
        <v>0</v>
      </c>
      <c r="AK23" s="7">
        <v>0</v>
      </c>
      <c r="AL23" s="7">
        <v>4022.6840000000002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21"/>
    </row>
    <row r="24" spans="1:59" ht="15.6" x14ac:dyDescent="0.3">
      <c r="A24" s="5" t="s">
        <v>34</v>
      </c>
      <c r="B24" s="5" t="s">
        <v>35</v>
      </c>
      <c r="C24" s="7">
        <v>2</v>
      </c>
      <c r="D24" s="7">
        <v>2</v>
      </c>
      <c r="E24" s="7">
        <v>15007.118</v>
      </c>
      <c r="F24" s="7">
        <v>5008.0789999999997</v>
      </c>
      <c r="G24" s="7">
        <v>4939.4009999999998</v>
      </c>
      <c r="H24" s="7">
        <v>0</v>
      </c>
      <c r="I24" s="7">
        <v>980.51099999999997</v>
      </c>
      <c r="J24" s="7">
        <v>3847.9119999999998</v>
      </c>
      <c r="K24" s="7">
        <v>27763.166000000001</v>
      </c>
      <c r="L24" s="7">
        <v>4989.384</v>
      </c>
      <c r="M24" s="7">
        <v>0</v>
      </c>
      <c r="N24" s="7">
        <v>8881.8179999999993</v>
      </c>
      <c r="O24" s="7">
        <v>21359.917000000001</v>
      </c>
      <c r="P24" s="7">
        <v>13292.083000000001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1550.078</v>
      </c>
      <c r="W24" s="7">
        <v>0</v>
      </c>
      <c r="X24" s="7">
        <v>0</v>
      </c>
      <c r="Y24" s="7">
        <v>0</v>
      </c>
      <c r="Z24" s="7">
        <v>522.95899999999995</v>
      </c>
      <c r="AA24" s="7">
        <v>1402.2249999999999</v>
      </c>
      <c r="AB24" s="7">
        <v>0</v>
      </c>
      <c r="AC24" s="7">
        <v>4635.1499999999996</v>
      </c>
      <c r="AD24" s="7">
        <v>0</v>
      </c>
      <c r="AE24" s="7">
        <v>4775.2579999999998</v>
      </c>
      <c r="AF24" s="7">
        <v>0</v>
      </c>
      <c r="AG24" s="7">
        <v>686.95399999999995</v>
      </c>
      <c r="AH24" s="7">
        <v>0</v>
      </c>
      <c r="AI24" s="7">
        <v>11961.829</v>
      </c>
      <c r="AJ24" s="7">
        <v>0</v>
      </c>
      <c r="AK24" s="7">
        <v>0</v>
      </c>
      <c r="AL24" s="7">
        <v>43231.434999999998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38.603000000000002</v>
      </c>
      <c r="AV24" s="7">
        <v>0</v>
      </c>
      <c r="AW24" s="7">
        <v>0</v>
      </c>
      <c r="AX24" s="7">
        <v>0</v>
      </c>
      <c r="AY24" s="7">
        <v>0</v>
      </c>
      <c r="AZ24" s="7">
        <v>1.8620000000000001</v>
      </c>
      <c r="BA24" s="7">
        <v>0</v>
      </c>
      <c r="BB24" s="7">
        <v>1132.732</v>
      </c>
      <c r="BC24" s="7">
        <v>0</v>
      </c>
      <c r="BD24" s="7">
        <v>0</v>
      </c>
      <c r="BE24" s="7">
        <v>33062.642</v>
      </c>
      <c r="BF24" s="7">
        <v>0</v>
      </c>
      <c r="BG24" s="21"/>
    </row>
    <row r="25" spans="1:59" ht="15.6" x14ac:dyDescent="0.3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21"/>
    </row>
    <row r="26" spans="1:59" ht="15.6" x14ac:dyDescent="0.3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21"/>
    </row>
    <row r="27" spans="1:59" ht="15.6" x14ac:dyDescent="0.3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21"/>
    </row>
    <row r="28" spans="1:59" ht="15.6" x14ac:dyDescent="0.3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21"/>
    </row>
    <row r="29" spans="1:59" ht="15.6" x14ac:dyDescent="0.3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21"/>
    </row>
    <row r="30" spans="1:59" ht="15.6" x14ac:dyDescent="0.3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21"/>
    </row>
    <row r="31" spans="1:59" ht="15.6" x14ac:dyDescent="0.3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21"/>
    </row>
    <row r="32" spans="1:59" ht="15.6" x14ac:dyDescent="0.3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21"/>
    </row>
    <row r="33" spans="1:59" ht="15.6" x14ac:dyDescent="0.3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21"/>
    </row>
    <row r="34" spans="1:59" ht="15.6" x14ac:dyDescent="0.3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21"/>
    </row>
    <row r="35" spans="1:59" ht="15.6" x14ac:dyDescent="0.3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4837.04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3672.7629999999999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675.54600000000005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21"/>
    </row>
    <row r="36" spans="1:59" ht="15.6" x14ac:dyDescent="0.3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21"/>
    </row>
    <row r="37" spans="1:59" ht="15.6" x14ac:dyDescent="0.3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21"/>
    </row>
    <row r="38" spans="1:59" ht="15.6" x14ac:dyDescent="0.3">
      <c r="A38" s="5" t="s">
        <v>62</v>
      </c>
      <c r="B38" s="5" t="s">
        <v>63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21"/>
    </row>
    <row r="39" spans="1:59" ht="15.6" x14ac:dyDescent="0.3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21"/>
    </row>
    <row r="40" spans="1:59" ht="15.6" x14ac:dyDescent="0.3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21"/>
    </row>
    <row r="41" spans="1:59" ht="15.6" x14ac:dyDescent="0.3">
      <c r="A41" s="5" t="s">
        <v>68</v>
      </c>
      <c r="B41" s="5" t="s">
        <v>69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21"/>
    </row>
    <row r="42" spans="1:59" ht="15.6" x14ac:dyDescent="0.3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21"/>
    </row>
    <row r="43" spans="1:59" ht="15.6" x14ac:dyDescent="0.3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21"/>
    </row>
    <row r="44" spans="1:59" ht="15.6" x14ac:dyDescent="0.3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21"/>
    </row>
    <row r="45" spans="1:59" ht="15.6" x14ac:dyDescent="0.3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21"/>
    </row>
    <row r="46" spans="1:59" ht="15.6" x14ac:dyDescent="0.3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21"/>
    </row>
    <row r="47" spans="1:59" ht="15.6" x14ac:dyDescent="0.3">
      <c r="A47" s="5" t="s">
        <v>80</v>
      </c>
      <c r="B47" s="5" t="s">
        <v>81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21"/>
    </row>
    <row r="48" spans="1:59" ht="15.6" x14ac:dyDescent="0.3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21"/>
    </row>
    <row r="49" spans="1:59" ht="15.6" x14ac:dyDescent="0.3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21"/>
    </row>
    <row r="50" spans="1:59" ht="15.6" x14ac:dyDescent="0.3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21"/>
    </row>
    <row r="51" spans="1:59" ht="15.6" x14ac:dyDescent="0.3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21"/>
    </row>
    <row r="52" spans="1:59" ht="15.6" x14ac:dyDescent="0.3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21"/>
    </row>
    <row r="53" spans="1:59" ht="15.6" x14ac:dyDescent="0.3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21"/>
    </row>
    <row r="54" spans="1:59" ht="15.6" x14ac:dyDescent="0.3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21"/>
    </row>
    <row r="55" spans="1:59" ht="15.6" x14ac:dyDescent="0.3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21"/>
    </row>
    <row r="56" spans="1:59" ht="15.6" x14ac:dyDescent="0.3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21"/>
    </row>
    <row r="57" spans="1:59" ht="15.6" x14ac:dyDescent="0.3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21"/>
    </row>
    <row r="58" spans="1:59" ht="15.6" x14ac:dyDescent="0.3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21"/>
    </row>
    <row r="59" spans="1:59" ht="15.6" x14ac:dyDescent="0.3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21"/>
    </row>
    <row r="60" spans="1:59" ht="15.6" x14ac:dyDescent="0.3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21"/>
    </row>
    <row r="61" spans="1:59" ht="15.6" x14ac:dyDescent="0.3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21"/>
    </row>
    <row r="62" spans="1:59" ht="15.6" x14ac:dyDescent="0.3">
      <c r="A62" s="5" t="s">
        <v>110</v>
      </c>
      <c r="B62" s="5" t="s">
        <v>111</v>
      </c>
      <c r="C62" s="7">
        <v>3</v>
      </c>
      <c r="D62" s="7">
        <v>3</v>
      </c>
      <c r="E62" s="7">
        <v>576966.77500000002</v>
      </c>
      <c r="F62" s="7">
        <v>89118.409</v>
      </c>
      <c r="G62" s="7">
        <v>251203.867</v>
      </c>
      <c r="H62" s="7">
        <v>4943.1279999999997</v>
      </c>
      <c r="I62" s="7">
        <v>20082.657999999999</v>
      </c>
      <c r="J62" s="7">
        <v>166724.693</v>
      </c>
      <c r="K62" s="7">
        <v>124147.572</v>
      </c>
      <c r="L62" s="7">
        <v>178788.83100000001</v>
      </c>
      <c r="M62" s="7">
        <v>0</v>
      </c>
      <c r="N62" s="7">
        <v>398336.48200000002</v>
      </c>
      <c r="O62" s="7">
        <v>351140.34399999998</v>
      </c>
      <c r="P62" s="7">
        <v>382448.37099999998</v>
      </c>
      <c r="Q62" s="7">
        <v>0</v>
      </c>
      <c r="R62" s="7">
        <v>0</v>
      </c>
      <c r="S62" s="7">
        <v>127.161</v>
      </c>
      <c r="T62" s="7">
        <v>1366.479</v>
      </c>
      <c r="U62" s="7">
        <v>5472.518</v>
      </c>
      <c r="V62" s="7">
        <v>35246.843000000001</v>
      </c>
      <c r="W62" s="7">
        <v>0</v>
      </c>
      <c r="X62" s="7">
        <v>11035.348</v>
      </c>
      <c r="Y62" s="7">
        <v>0</v>
      </c>
      <c r="Z62" s="7">
        <v>18090.5</v>
      </c>
      <c r="AA62" s="7">
        <v>52087.675000000003</v>
      </c>
      <c r="AB62" s="7">
        <v>0</v>
      </c>
      <c r="AC62" s="7">
        <v>101710.649</v>
      </c>
      <c r="AD62" s="7">
        <v>0</v>
      </c>
      <c r="AE62" s="7">
        <v>188904.05900000001</v>
      </c>
      <c r="AF62" s="7">
        <v>0</v>
      </c>
      <c r="AG62" s="7">
        <v>14192.89</v>
      </c>
      <c r="AH62" s="7">
        <v>252.49700000000001</v>
      </c>
      <c r="AI62" s="7">
        <v>182009.93</v>
      </c>
      <c r="AJ62" s="7">
        <v>0</v>
      </c>
      <c r="AK62" s="7">
        <v>442.89</v>
      </c>
      <c r="AL62" s="7">
        <v>883423.93</v>
      </c>
      <c r="AM62" s="7">
        <v>0</v>
      </c>
      <c r="AN62" s="7">
        <v>0</v>
      </c>
      <c r="AO62" s="7">
        <v>0</v>
      </c>
      <c r="AP62" s="7">
        <v>32384.904999999999</v>
      </c>
      <c r="AQ62" s="7">
        <v>27502.929</v>
      </c>
      <c r="AR62" s="7">
        <v>0</v>
      </c>
      <c r="AS62" s="7">
        <v>0</v>
      </c>
      <c r="AT62" s="7">
        <v>0</v>
      </c>
      <c r="AU62" s="7">
        <v>1016.876</v>
      </c>
      <c r="AV62" s="7">
        <v>2865.1170000000002</v>
      </c>
      <c r="AW62" s="7">
        <v>0</v>
      </c>
      <c r="AX62" s="7">
        <v>0</v>
      </c>
      <c r="AY62" s="7">
        <v>0</v>
      </c>
      <c r="AZ62" s="7">
        <v>248.58500000000001</v>
      </c>
      <c r="BA62" s="7">
        <v>0</v>
      </c>
      <c r="BB62" s="7">
        <v>9636.9930000000004</v>
      </c>
      <c r="BC62" s="7">
        <v>0</v>
      </c>
      <c r="BD62" s="7">
        <v>0</v>
      </c>
      <c r="BE62" s="7">
        <v>0</v>
      </c>
      <c r="BF62" s="7">
        <v>0</v>
      </c>
      <c r="BG62" s="21"/>
    </row>
    <row r="63" spans="1:59" ht="15.6" x14ac:dyDescent="0.3">
      <c r="A63" s="5" t="s">
        <v>112</v>
      </c>
      <c r="B63" s="5" t="s">
        <v>113</v>
      </c>
      <c r="C63" s="7">
        <v>3</v>
      </c>
      <c r="D63" s="7">
        <v>3</v>
      </c>
      <c r="E63" s="7">
        <v>4209.9129999999996</v>
      </c>
      <c r="F63" s="7">
        <v>821.029</v>
      </c>
      <c r="G63" s="7">
        <v>1696.3030000000001</v>
      </c>
      <c r="H63" s="7">
        <v>0</v>
      </c>
      <c r="I63" s="7">
        <v>158.255</v>
      </c>
      <c r="J63" s="7">
        <v>1072.308</v>
      </c>
      <c r="K63" s="7">
        <v>1432.2380000000001</v>
      </c>
      <c r="L63" s="7">
        <v>1343.35</v>
      </c>
      <c r="M63" s="7">
        <v>0</v>
      </c>
      <c r="N63" s="7">
        <v>3034.2289999999998</v>
      </c>
      <c r="O63" s="7">
        <v>3297.84</v>
      </c>
      <c r="P63" s="7">
        <v>2867.9319999999998</v>
      </c>
      <c r="Q63" s="7">
        <v>0</v>
      </c>
      <c r="R63" s="7">
        <v>0</v>
      </c>
      <c r="S63" s="7">
        <v>0.38500000000000001</v>
      </c>
      <c r="T63" s="7">
        <v>137.46299999999999</v>
      </c>
      <c r="U63" s="7">
        <v>550.51700000000005</v>
      </c>
      <c r="V63" s="7">
        <v>340.887</v>
      </c>
      <c r="W63" s="7">
        <v>0</v>
      </c>
      <c r="X63" s="7">
        <v>1110.1179999999999</v>
      </c>
      <c r="Y63" s="7">
        <v>0</v>
      </c>
      <c r="Z63" s="7">
        <v>149.58699999999999</v>
      </c>
      <c r="AA63" s="7">
        <v>362.387</v>
      </c>
      <c r="AB63" s="7">
        <v>0</v>
      </c>
      <c r="AC63" s="7">
        <v>904.28399999999999</v>
      </c>
      <c r="AD63" s="7">
        <v>0</v>
      </c>
      <c r="AE63" s="7">
        <v>1157.203</v>
      </c>
      <c r="AF63" s="7">
        <v>0</v>
      </c>
      <c r="AG63" s="7">
        <v>141</v>
      </c>
      <c r="AH63" s="7">
        <v>0</v>
      </c>
      <c r="AI63" s="7">
        <v>1150.7059999999999</v>
      </c>
      <c r="AJ63" s="7">
        <v>0</v>
      </c>
      <c r="AK63" s="7">
        <v>0</v>
      </c>
      <c r="AL63" s="7">
        <v>6280.0330000000004</v>
      </c>
      <c r="AM63" s="7">
        <v>0</v>
      </c>
      <c r="AN63" s="7">
        <v>0</v>
      </c>
      <c r="AO63" s="7">
        <v>0</v>
      </c>
      <c r="AP63" s="7">
        <v>3257.8110000000001</v>
      </c>
      <c r="AQ63" s="7">
        <v>2766.701</v>
      </c>
      <c r="AR63" s="7">
        <v>0</v>
      </c>
      <c r="AS63" s="7">
        <v>0</v>
      </c>
      <c r="AT63" s="7">
        <v>0</v>
      </c>
      <c r="AU63" s="7">
        <v>6.1180000000000003</v>
      </c>
      <c r="AV63" s="7">
        <v>288.221</v>
      </c>
      <c r="AW63" s="7">
        <v>0</v>
      </c>
      <c r="AX63" s="7">
        <v>0</v>
      </c>
      <c r="AY63" s="7">
        <v>0</v>
      </c>
      <c r="AZ63" s="7">
        <v>3.1789999999999998</v>
      </c>
      <c r="BA63" s="7">
        <v>0</v>
      </c>
      <c r="BB63" s="7">
        <v>94.853999999999999</v>
      </c>
      <c r="BC63" s="7">
        <v>0</v>
      </c>
      <c r="BD63" s="7">
        <v>0</v>
      </c>
      <c r="BE63" s="7">
        <v>0</v>
      </c>
      <c r="BF63" s="7">
        <v>0</v>
      </c>
      <c r="BG63" s="21"/>
    </row>
    <row r="64" spans="1:59" ht="15.6" x14ac:dyDescent="0.3">
      <c r="A64" s="5" t="s">
        <v>114</v>
      </c>
      <c r="B64" s="5" t="s">
        <v>115</v>
      </c>
      <c r="C64" s="7">
        <v>3</v>
      </c>
      <c r="D64" s="7">
        <v>3</v>
      </c>
      <c r="E64" s="7">
        <v>105595.189</v>
      </c>
      <c r="F64" s="7">
        <v>18940.686000000002</v>
      </c>
      <c r="G64" s="7">
        <v>43870.023999999998</v>
      </c>
      <c r="H64" s="7">
        <v>193.53399999999999</v>
      </c>
      <c r="I64" s="7">
        <v>3856.0129999999999</v>
      </c>
      <c r="J64" s="7">
        <v>28292.041000000001</v>
      </c>
      <c r="K64" s="7">
        <v>30829.446</v>
      </c>
      <c r="L64" s="7">
        <v>33319.108999999997</v>
      </c>
      <c r="M64" s="7">
        <v>54563.635999999999</v>
      </c>
      <c r="N64" s="7">
        <v>74869.962</v>
      </c>
      <c r="O64" s="7">
        <v>75597.481</v>
      </c>
      <c r="P64" s="7">
        <v>71186.317999999999</v>
      </c>
      <c r="Q64" s="7">
        <v>965.96600000000001</v>
      </c>
      <c r="R64" s="7">
        <v>0</v>
      </c>
      <c r="S64" s="7">
        <v>14.907999999999999</v>
      </c>
      <c r="T64" s="7">
        <v>554.14700000000005</v>
      </c>
      <c r="U64" s="7">
        <v>2219.2640000000001</v>
      </c>
      <c r="V64" s="7">
        <v>7740.152</v>
      </c>
      <c r="W64" s="7">
        <v>0</v>
      </c>
      <c r="X64" s="7">
        <v>4475.152</v>
      </c>
      <c r="Y64" s="7">
        <v>41430.152000000002</v>
      </c>
      <c r="Z64" s="7">
        <v>3581.7910000000002</v>
      </c>
      <c r="AA64" s="7">
        <v>9260.6740000000009</v>
      </c>
      <c r="AB64" s="7">
        <v>0</v>
      </c>
      <c r="AC64" s="7">
        <v>21112.409</v>
      </c>
      <c r="AD64" s="7">
        <v>0</v>
      </c>
      <c r="AE64" s="7">
        <v>31166.109</v>
      </c>
      <c r="AF64" s="7">
        <v>0</v>
      </c>
      <c r="AG64" s="7">
        <v>3174.261</v>
      </c>
      <c r="AH64" s="7">
        <v>0</v>
      </c>
      <c r="AI64" s="7">
        <v>30579.151000000002</v>
      </c>
      <c r="AJ64" s="7">
        <v>0</v>
      </c>
      <c r="AK64" s="7">
        <v>211.053</v>
      </c>
      <c r="AL64" s="7">
        <v>159125.53200000001</v>
      </c>
      <c r="AM64" s="7">
        <v>0</v>
      </c>
      <c r="AN64" s="7">
        <v>0</v>
      </c>
      <c r="AO64" s="7">
        <v>0</v>
      </c>
      <c r="AP64" s="7">
        <v>13133.013000000001</v>
      </c>
      <c r="AQ64" s="7">
        <v>11153.231</v>
      </c>
      <c r="AR64" s="7">
        <v>0</v>
      </c>
      <c r="AS64" s="7">
        <v>7620.4129999999996</v>
      </c>
      <c r="AT64" s="7">
        <v>0</v>
      </c>
      <c r="AU64" s="7">
        <v>166.05799999999999</v>
      </c>
      <c r="AV64" s="7">
        <v>1161.8879999999999</v>
      </c>
      <c r="AW64" s="7">
        <v>0</v>
      </c>
      <c r="AX64" s="7">
        <v>0</v>
      </c>
      <c r="AY64" s="7">
        <v>0</v>
      </c>
      <c r="AZ64" s="7">
        <v>66.525999999999996</v>
      </c>
      <c r="BA64" s="7">
        <v>0</v>
      </c>
      <c r="BB64" s="7">
        <v>2299.1889999999999</v>
      </c>
      <c r="BC64" s="7">
        <v>0</v>
      </c>
      <c r="BD64" s="7">
        <v>0</v>
      </c>
      <c r="BE64" s="7">
        <v>0</v>
      </c>
      <c r="BF64" s="7">
        <v>0</v>
      </c>
      <c r="BG64" s="21"/>
    </row>
    <row r="65" spans="1:59" ht="15.6" x14ac:dyDescent="0.3">
      <c r="A65" s="5" t="s">
        <v>116</v>
      </c>
      <c r="B65" s="5" t="s">
        <v>117</v>
      </c>
      <c r="C65" s="7">
        <v>3</v>
      </c>
      <c r="D65" s="7">
        <v>3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21"/>
    </row>
    <row r="66" spans="1:59" ht="15.6" x14ac:dyDescent="0.3">
      <c r="A66" s="5" t="s">
        <v>118</v>
      </c>
      <c r="B66" s="5" t="s">
        <v>119</v>
      </c>
      <c r="C66" s="7">
        <v>3</v>
      </c>
      <c r="D66" s="7">
        <v>3</v>
      </c>
      <c r="E66" s="7">
        <v>124808.67200000001</v>
      </c>
      <c r="F66" s="7">
        <v>25055.883999999998</v>
      </c>
      <c r="G66" s="7">
        <v>49671.389000000003</v>
      </c>
      <c r="H66" s="7">
        <v>26897.248</v>
      </c>
      <c r="I66" s="7">
        <v>4679.8270000000002</v>
      </c>
      <c r="J66" s="7">
        <v>31294.457999999999</v>
      </c>
      <c r="K66" s="7">
        <v>44248.614999999998</v>
      </c>
      <c r="L66" s="7">
        <v>40045.173000000003</v>
      </c>
      <c r="M66" s="7">
        <v>0</v>
      </c>
      <c r="N66" s="7">
        <v>89288.850999999995</v>
      </c>
      <c r="O66" s="7">
        <v>103925.485</v>
      </c>
      <c r="P66" s="7">
        <v>84814.111000000004</v>
      </c>
      <c r="Q66" s="7">
        <v>0</v>
      </c>
      <c r="R66" s="7">
        <v>0</v>
      </c>
      <c r="S66" s="7">
        <v>8.8019999999999996</v>
      </c>
      <c r="T66" s="7">
        <v>451.73700000000002</v>
      </c>
      <c r="U66" s="7">
        <v>1809.13</v>
      </c>
      <c r="V66" s="7">
        <v>10344.102000000001</v>
      </c>
      <c r="W66" s="7">
        <v>0</v>
      </c>
      <c r="X66" s="7">
        <v>3648.116</v>
      </c>
      <c r="Y66" s="7">
        <v>0</v>
      </c>
      <c r="Z66" s="7">
        <v>4452.8339999999998</v>
      </c>
      <c r="AA66" s="7">
        <v>10515.535</v>
      </c>
      <c r="AB66" s="7">
        <v>0</v>
      </c>
      <c r="AC66" s="7">
        <v>27336.332999999999</v>
      </c>
      <c r="AD66" s="7">
        <v>0</v>
      </c>
      <c r="AE66" s="7">
        <v>32944.307999999997</v>
      </c>
      <c r="AF66" s="7">
        <v>0</v>
      </c>
      <c r="AG66" s="7">
        <v>4291.2979999999998</v>
      </c>
      <c r="AH66" s="7">
        <v>0</v>
      </c>
      <c r="AI66" s="7">
        <v>33867.675000000003</v>
      </c>
      <c r="AJ66" s="7">
        <v>0</v>
      </c>
      <c r="AK66" s="7">
        <v>0</v>
      </c>
      <c r="AL66" s="7">
        <v>186391.32699999999</v>
      </c>
      <c r="AM66" s="7">
        <v>0</v>
      </c>
      <c r="AN66" s="7">
        <v>0</v>
      </c>
      <c r="AO66" s="7">
        <v>0</v>
      </c>
      <c r="AP66" s="7">
        <v>10705.95</v>
      </c>
      <c r="AQ66" s="7">
        <v>9092.0439999999999</v>
      </c>
      <c r="AR66" s="7">
        <v>0</v>
      </c>
      <c r="AS66" s="7">
        <v>0</v>
      </c>
      <c r="AT66" s="7">
        <v>0</v>
      </c>
      <c r="AU66" s="7">
        <v>173.01300000000001</v>
      </c>
      <c r="AV66" s="7">
        <v>947.16300000000001</v>
      </c>
      <c r="AW66" s="7">
        <v>0</v>
      </c>
      <c r="AX66" s="7">
        <v>0</v>
      </c>
      <c r="AY66" s="7">
        <v>0</v>
      </c>
      <c r="AZ66" s="7">
        <v>99.105999999999995</v>
      </c>
      <c r="BA66" s="7">
        <v>0</v>
      </c>
      <c r="BB66" s="7">
        <v>3008.4160000000002</v>
      </c>
      <c r="BC66" s="7">
        <v>0</v>
      </c>
      <c r="BD66" s="7">
        <v>0</v>
      </c>
      <c r="BE66" s="7">
        <v>0</v>
      </c>
      <c r="BF66" s="7">
        <v>0</v>
      </c>
      <c r="BG66" s="21"/>
    </row>
    <row r="67" spans="1:59" ht="15.6" x14ac:dyDescent="0.3">
      <c r="A67" s="5" t="s">
        <v>120</v>
      </c>
      <c r="B67" s="5" t="s">
        <v>121</v>
      </c>
      <c r="C67" s="7">
        <v>3</v>
      </c>
      <c r="D67" s="7">
        <v>3</v>
      </c>
      <c r="E67" s="7">
        <v>21093.338</v>
      </c>
      <c r="F67" s="7">
        <v>4245.6499999999996</v>
      </c>
      <c r="G67" s="7">
        <v>8393.5580000000009</v>
      </c>
      <c r="H67" s="7">
        <v>10668.744000000001</v>
      </c>
      <c r="I67" s="7">
        <v>801.98</v>
      </c>
      <c r="J67" s="7">
        <v>5261.2340000000004</v>
      </c>
      <c r="K67" s="7">
        <v>7582.866</v>
      </c>
      <c r="L67" s="7">
        <v>6760.6959999999999</v>
      </c>
      <c r="M67" s="7">
        <v>0</v>
      </c>
      <c r="N67" s="7">
        <v>15301.392</v>
      </c>
      <c r="O67" s="7">
        <v>17092.036</v>
      </c>
      <c r="P67" s="7">
        <v>14429.258</v>
      </c>
      <c r="Q67" s="7">
        <v>0</v>
      </c>
      <c r="R67" s="7">
        <v>0</v>
      </c>
      <c r="S67" s="7">
        <v>1.508</v>
      </c>
      <c r="T67" s="7">
        <v>98.564999999999998</v>
      </c>
      <c r="U67" s="7">
        <v>394.73599999999999</v>
      </c>
      <c r="V67" s="7">
        <v>1772.664</v>
      </c>
      <c r="W67" s="7">
        <v>0</v>
      </c>
      <c r="X67" s="7">
        <v>795.98699999999997</v>
      </c>
      <c r="Y67" s="7">
        <v>0</v>
      </c>
      <c r="Z67" s="7">
        <v>763.08</v>
      </c>
      <c r="AA67" s="7">
        <v>1802.0429999999999</v>
      </c>
      <c r="AB67" s="7">
        <v>0</v>
      </c>
      <c r="AC67" s="7">
        <v>4656.1210000000001</v>
      </c>
      <c r="AD67" s="7">
        <v>0</v>
      </c>
      <c r="AE67" s="7">
        <v>5627.1379999999999</v>
      </c>
      <c r="AF67" s="7">
        <v>0</v>
      </c>
      <c r="AG67" s="7">
        <v>735.39800000000002</v>
      </c>
      <c r="AH67" s="7">
        <v>0</v>
      </c>
      <c r="AI67" s="7">
        <v>5628.4380000000001</v>
      </c>
      <c r="AJ67" s="7">
        <v>0</v>
      </c>
      <c r="AK67" s="7">
        <v>0</v>
      </c>
      <c r="AL67" s="7">
        <v>31337.197</v>
      </c>
      <c r="AM67" s="7">
        <v>0</v>
      </c>
      <c r="AN67" s="7">
        <v>0</v>
      </c>
      <c r="AO67" s="7">
        <v>0</v>
      </c>
      <c r="AP67" s="7">
        <v>2335.944</v>
      </c>
      <c r="AQ67" s="7">
        <v>1983.8040000000001</v>
      </c>
      <c r="AR67" s="7">
        <v>0</v>
      </c>
      <c r="AS67" s="7">
        <v>0</v>
      </c>
      <c r="AT67" s="7">
        <v>0</v>
      </c>
      <c r="AU67" s="7">
        <v>29.649000000000001</v>
      </c>
      <c r="AV67" s="7">
        <v>206.66300000000001</v>
      </c>
      <c r="AW67" s="7">
        <v>0</v>
      </c>
      <c r="AX67" s="7">
        <v>0</v>
      </c>
      <c r="AY67" s="7">
        <v>0</v>
      </c>
      <c r="AZ67" s="7">
        <v>16.984000000000002</v>
      </c>
      <c r="BA67" s="7">
        <v>0</v>
      </c>
      <c r="BB67" s="7">
        <v>523.52599999999995</v>
      </c>
      <c r="BC67" s="7">
        <v>0</v>
      </c>
      <c r="BD67" s="7">
        <v>0</v>
      </c>
      <c r="BE67" s="7">
        <v>0</v>
      </c>
      <c r="BF67" s="7">
        <v>0</v>
      </c>
      <c r="BG67" s="21"/>
    </row>
    <row r="68" spans="1:59" ht="15.6" x14ac:dyDescent="0.3">
      <c r="A68" s="5" t="s">
        <v>122</v>
      </c>
      <c r="B68" s="5" t="s">
        <v>123</v>
      </c>
      <c r="C68" s="7">
        <v>3</v>
      </c>
      <c r="D68" s="7">
        <v>3</v>
      </c>
      <c r="E68" s="7">
        <v>112855.798</v>
      </c>
      <c r="F68" s="7">
        <v>22715.524000000001</v>
      </c>
      <c r="G68" s="7">
        <v>44908.097000000002</v>
      </c>
      <c r="H68" s="7">
        <v>0</v>
      </c>
      <c r="I68" s="7">
        <v>4290.8370000000004</v>
      </c>
      <c r="J68" s="7">
        <v>28149.21</v>
      </c>
      <c r="K68" s="7">
        <v>40570.646999999997</v>
      </c>
      <c r="L68" s="7">
        <v>36171.786999999997</v>
      </c>
      <c r="M68" s="7">
        <v>9065.7950000000001</v>
      </c>
      <c r="N68" s="7">
        <v>81867.116999999998</v>
      </c>
      <c r="O68" s="7">
        <v>91447.611000000004</v>
      </c>
      <c r="P68" s="7">
        <v>77200.934999999998</v>
      </c>
      <c r="Q68" s="7">
        <v>0</v>
      </c>
      <c r="R68" s="7">
        <v>0</v>
      </c>
      <c r="S68" s="7">
        <v>8.07</v>
      </c>
      <c r="T68" s="7">
        <v>690.63</v>
      </c>
      <c r="U68" s="7">
        <v>2765.855</v>
      </c>
      <c r="V68" s="7">
        <v>9484.2950000000001</v>
      </c>
      <c r="W68" s="7">
        <v>0</v>
      </c>
      <c r="X68" s="7">
        <v>5577.3549999999996</v>
      </c>
      <c r="Y68" s="7">
        <v>6883.6549999999997</v>
      </c>
      <c r="Z68" s="7">
        <v>4082.712</v>
      </c>
      <c r="AA68" s="7">
        <v>9641.4779999999992</v>
      </c>
      <c r="AB68" s="7">
        <v>0</v>
      </c>
      <c r="AC68" s="7">
        <v>24911.669000000002</v>
      </c>
      <c r="AD68" s="7">
        <v>0</v>
      </c>
      <c r="AE68" s="7">
        <v>30106.903999999999</v>
      </c>
      <c r="AF68" s="7">
        <v>0</v>
      </c>
      <c r="AG68" s="7">
        <v>3934.6030000000001</v>
      </c>
      <c r="AH68" s="7">
        <v>102.39</v>
      </c>
      <c r="AI68" s="7">
        <v>30113.861000000001</v>
      </c>
      <c r="AJ68" s="7">
        <v>0</v>
      </c>
      <c r="AK68" s="7">
        <v>0</v>
      </c>
      <c r="AL68" s="7">
        <v>167663.57</v>
      </c>
      <c r="AM68" s="7">
        <v>0</v>
      </c>
      <c r="AN68" s="7">
        <v>0</v>
      </c>
      <c r="AO68" s="7">
        <v>0</v>
      </c>
      <c r="AP68" s="7">
        <v>16367.594999999999</v>
      </c>
      <c r="AQ68" s="7">
        <v>13900.205</v>
      </c>
      <c r="AR68" s="7">
        <v>0</v>
      </c>
      <c r="AS68" s="7">
        <v>1266.1379999999999</v>
      </c>
      <c r="AT68" s="7">
        <v>0</v>
      </c>
      <c r="AU68" s="7">
        <v>158.63200000000001</v>
      </c>
      <c r="AV68" s="7">
        <v>1448.0540000000001</v>
      </c>
      <c r="AW68" s="7">
        <v>0</v>
      </c>
      <c r="AX68" s="7">
        <v>0</v>
      </c>
      <c r="AY68" s="7">
        <v>0</v>
      </c>
      <c r="AZ68" s="7">
        <v>90.867999999999995</v>
      </c>
      <c r="BA68" s="7">
        <v>0</v>
      </c>
      <c r="BB68" s="7">
        <v>2783.2890000000002</v>
      </c>
      <c r="BC68" s="7">
        <v>0</v>
      </c>
      <c r="BD68" s="7">
        <v>0</v>
      </c>
      <c r="BE68" s="7">
        <v>0</v>
      </c>
      <c r="BF68" s="7">
        <v>0</v>
      </c>
      <c r="BG68" s="21"/>
    </row>
    <row r="69" spans="1:59" ht="15.6" x14ac:dyDescent="0.3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21"/>
    </row>
    <row r="70" spans="1:59" ht="15.6" x14ac:dyDescent="0.3">
      <c r="A70" s="5" t="s">
        <v>126</v>
      </c>
      <c r="B70" s="5" t="s">
        <v>127</v>
      </c>
      <c r="C70" s="7">
        <v>3</v>
      </c>
      <c r="D70" s="7">
        <v>3</v>
      </c>
      <c r="E70" s="7">
        <v>35604.42</v>
      </c>
      <c r="F70" s="7">
        <v>7166.4290000000001</v>
      </c>
      <c r="G70" s="7">
        <v>14167.874</v>
      </c>
      <c r="H70" s="7">
        <v>11073.626</v>
      </c>
      <c r="I70" s="7">
        <v>1353.6990000000001</v>
      </c>
      <c r="J70" s="7">
        <v>8880.68</v>
      </c>
      <c r="K70" s="7">
        <v>12799.47</v>
      </c>
      <c r="L70" s="7">
        <v>11411.691000000001</v>
      </c>
      <c r="M70" s="7">
        <v>0</v>
      </c>
      <c r="N70" s="7">
        <v>25827.925999999999</v>
      </c>
      <c r="O70" s="7">
        <v>28850.437000000002</v>
      </c>
      <c r="P70" s="7">
        <v>24355.811000000002</v>
      </c>
      <c r="Q70" s="7">
        <v>0</v>
      </c>
      <c r="R70" s="7">
        <v>0</v>
      </c>
      <c r="S70" s="7">
        <v>2.5459999999999998</v>
      </c>
      <c r="T70" s="7">
        <v>0</v>
      </c>
      <c r="U70" s="7">
        <v>0</v>
      </c>
      <c r="V70" s="7">
        <v>2992.1619999999998</v>
      </c>
      <c r="W70" s="7">
        <v>0</v>
      </c>
      <c r="X70" s="7">
        <v>0</v>
      </c>
      <c r="Y70" s="7">
        <v>0</v>
      </c>
      <c r="Z70" s="7">
        <v>1288.038</v>
      </c>
      <c r="AA70" s="7">
        <v>3041.7510000000002</v>
      </c>
      <c r="AB70" s="7">
        <v>0</v>
      </c>
      <c r="AC70" s="7">
        <v>7859.2820000000002</v>
      </c>
      <c r="AD70" s="7">
        <v>0</v>
      </c>
      <c r="AE70" s="7">
        <v>9498.3050000000003</v>
      </c>
      <c r="AF70" s="7">
        <v>0</v>
      </c>
      <c r="AG70" s="7">
        <v>1241.3119999999999</v>
      </c>
      <c r="AH70" s="7">
        <v>0</v>
      </c>
      <c r="AI70" s="7">
        <v>9500.5</v>
      </c>
      <c r="AJ70" s="7">
        <v>0</v>
      </c>
      <c r="AK70" s="7">
        <v>0</v>
      </c>
      <c r="AL70" s="7">
        <v>52895.502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50.045999999999999</v>
      </c>
      <c r="AV70" s="7">
        <v>0</v>
      </c>
      <c r="AW70" s="7">
        <v>0</v>
      </c>
      <c r="AX70" s="7">
        <v>0</v>
      </c>
      <c r="AY70" s="7">
        <v>0</v>
      </c>
      <c r="AZ70" s="7">
        <v>28.667999999999999</v>
      </c>
      <c r="BA70" s="7">
        <v>0</v>
      </c>
      <c r="BB70" s="7">
        <v>838.17100000000005</v>
      </c>
      <c r="BC70" s="7">
        <v>0</v>
      </c>
      <c r="BD70" s="7">
        <v>0</v>
      </c>
      <c r="BE70" s="7">
        <v>0</v>
      </c>
      <c r="BF70" s="7">
        <v>0</v>
      </c>
      <c r="BG70" s="21"/>
    </row>
    <row r="71" spans="1:59" ht="15.6" x14ac:dyDescent="0.3">
      <c r="A71" s="5" t="s">
        <v>128</v>
      </c>
      <c r="B71" s="5" t="s">
        <v>129</v>
      </c>
      <c r="C71" s="7">
        <v>3</v>
      </c>
      <c r="D71" s="7">
        <v>3</v>
      </c>
      <c r="E71" s="7">
        <v>8392.0589999999993</v>
      </c>
      <c r="F71" s="7">
        <v>1689.1469999999999</v>
      </c>
      <c r="G71" s="7">
        <v>3339.4070000000002</v>
      </c>
      <c r="H71" s="7">
        <v>0</v>
      </c>
      <c r="I71" s="7">
        <v>319.07100000000003</v>
      </c>
      <c r="J71" s="7">
        <v>2093.201</v>
      </c>
      <c r="K71" s="7">
        <v>3016.87</v>
      </c>
      <c r="L71" s="7">
        <v>2689.7669999999998</v>
      </c>
      <c r="M71" s="7">
        <v>0</v>
      </c>
      <c r="N71" s="7">
        <v>6087.7129999999997</v>
      </c>
      <c r="O71" s="7">
        <v>6800.1270000000004</v>
      </c>
      <c r="P71" s="7">
        <v>5740.7309999999998</v>
      </c>
      <c r="Q71" s="7">
        <v>0</v>
      </c>
      <c r="R71" s="7">
        <v>0</v>
      </c>
      <c r="S71" s="7">
        <v>0.6</v>
      </c>
      <c r="T71" s="7">
        <v>0</v>
      </c>
      <c r="U71" s="7">
        <v>0</v>
      </c>
      <c r="V71" s="7">
        <v>705.26099999999997</v>
      </c>
      <c r="W71" s="7">
        <v>0</v>
      </c>
      <c r="X71" s="7">
        <v>0</v>
      </c>
      <c r="Y71" s="7">
        <v>0</v>
      </c>
      <c r="Z71" s="7">
        <v>303.59399999999999</v>
      </c>
      <c r="AA71" s="7">
        <v>716.94899999999996</v>
      </c>
      <c r="AB71" s="7">
        <v>0</v>
      </c>
      <c r="AC71" s="7">
        <v>1852.454</v>
      </c>
      <c r="AD71" s="7">
        <v>0</v>
      </c>
      <c r="AE71" s="7">
        <v>2238.7759999999998</v>
      </c>
      <c r="AF71" s="7">
        <v>0</v>
      </c>
      <c r="AG71" s="7">
        <v>292.58100000000002</v>
      </c>
      <c r="AH71" s="7">
        <v>0</v>
      </c>
      <c r="AI71" s="7">
        <v>2239.2939999999999</v>
      </c>
      <c r="AJ71" s="7">
        <v>0</v>
      </c>
      <c r="AK71" s="7">
        <v>0</v>
      </c>
      <c r="AL71" s="7">
        <v>12467.614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11.795999999999999</v>
      </c>
      <c r="AV71" s="7">
        <v>0</v>
      </c>
      <c r="AW71" s="7">
        <v>0</v>
      </c>
      <c r="AX71" s="7">
        <v>0</v>
      </c>
      <c r="AY71" s="7">
        <v>0</v>
      </c>
      <c r="AZ71" s="7">
        <v>6.7569999999999997</v>
      </c>
      <c r="BA71" s="7">
        <v>0</v>
      </c>
      <c r="BB71" s="7">
        <v>197.559</v>
      </c>
      <c r="BC71" s="7">
        <v>0</v>
      </c>
      <c r="BD71" s="7">
        <v>0</v>
      </c>
      <c r="BE71" s="7">
        <v>0</v>
      </c>
      <c r="BF71" s="7">
        <v>0</v>
      </c>
      <c r="BG71" s="21"/>
    </row>
    <row r="72" spans="1:59" ht="15.6" x14ac:dyDescent="0.3">
      <c r="A72" s="5" t="s">
        <v>130</v>
      </c>
      <c r="B72" s="5" t="s">
        <v>131</v>
      </c>
      <c r="C72" s="7">
        <v>3</v>
      </c>
      <c r="D72" s="7">
        <v>3</v>
      </c>
      <c r="E72" s="7">
        <v>38416.771000000001</v>
      </c>
      <c r="F72" s="7">
        <v>7732.4970000000003</v>
      </c>
      <c r="G72" s="7">
        <v>15286.977999999999</v>
      </c>
      <c r="H72" s="7">
        <v>2480.8980000000001</v>
      </c>
      <c r="I72" s="7">
        <v>1460.626</v>
      </c>
      <c r="J72" s="7">
        <v>9582.1550000000007</v>
      </c>
      <c r="K72" s="7">
        <v>13810.484</v>
      </c>
      <c r="L72" s="7">
        <v>12313.087</v>
      </c>
      <c r="M72" s="7">
        <v>0</v>
      </c>
      <c r="N72" s="7">
        <v>27868.043000000001</v>
      </c>
      <c r="O72" s="7">
        <v>31129.298999999999</v>
      </c>
      <c r="P72" s="7">
        <v>26279.648000000001</v>
      </c>
      <c r="Q72" s="7">
        <v>0</v>
      </c>
      <c r="R72" s="7">
        <v>0</v>
      </c>
      <c r="S72" s="7">
        <v>2.7469999999999999</v>
      </c>
      <c r="T72" s="7">
        <v>0.221</v>
      </c>
      <c r="U72" s="7">
        <v>0.88500000000000001</v>
      </c>
      <c r="V72" s="7">
        <v>3228.509</v>
      </c>
      <c r="W72" s="7">
        <v>0</v>
      </c>
      <c r="X72" s="7">
        <v>1.7849999999999999</v>
      </c>
      <c r="Y72" s="7">
        <v>0</v>
      </c>
      <c r="Z72" s="7">
        <v>1389.779</v>
      </c>
      <c r="AA72" s="7">
        <v>3282.0149999999999</v>
      </c>
      <c r="AB72" s="7">
        <v>0</v>
      </c>
      <c r="AC72" s="7">
        <v>8480.0769999999993</v>
      </c>
      <c r="AD72" s="7">
        <v>0</v>
      </c>
      <c r="AE72" s="7">
        <v>10248.565000000001</v>
      </c>
      <c r="AF72" s="7">
        <v>0</v>
      </c>
      <c r="AG72" s="7">
        <v>1339.3620000000001</v>
      </c>
      <c r="AH72" s="7">
        <v>0</v>
      </c>
      <c r="AI72" s="7">
        <v>10250.933999999999</v>
      </c>
      <c r="AJ72" s="7">
        <v>6.8490000000000002</v>
      </c>
      <c r="AK72" s="7">
        <v>0</v>
      </c>
      <c r="AL72" s="7">
        <v>57073.654999999999</v>
      </c>
      <c r="AM72" s="7">
        <v>23.768999999999998</v>
      </c>
      <c r="AN72" s="7">
        <v>0</v>
      </c>
      <c r="AO72" s="7">
        <v>0</v>
      </c>
      <c r="AP72" s="7">
        <v>5.2380000000000004</v>
      </c>
      <c r="AQ72" s="7">
        <v>4.4480000000000004</v>
      </c>
      <c r="AR72" s="7">
        <v>0</v>
      </c>
      <c r="AS72" s="7">
        <v>0</v>
      </c>
      <c r="AT72" s="7">
        <v>0</v>
      </c>
      <c r="AU72" s="7">
        <v>53.999000000000002</v>
      </c>
      <c r="AV72" s="7">
        <v>0.46300000000000002</v>
      </c>
      <c r="AW72" s="7">
        <v>0</v>
      </c>
      <c r="AX72" s="7">
        <v>0</v>
      </c>
      <c r="AY72" s="7">
        <v>0</v>
      </c>
      <c r="AZ72" s="7">
        <v>30.931999999999999</v>
      </c>
      <c r="BA72" s="7">
        <v>0</v>
      </c>
      <c r="BB72" s="7">
        <v>904.37699999999995</v>
      </c>
      <c r="BC72" s="7">
        <v>0</v>
      </c>
      <c r="BD72" s="7">
        <v>0</v>
      </c>
      <c r="BE72" s="7">
        <v>0</v>
      </c>
      <c r="BF72" s="7">
        <v>0</v>
      </c>
      <c r="BG72" s="21"/>
    </row>
    <row r="73" spans="1:59" ht="15.6" x14ac:dyDescent="0.3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21"/>
    </row>
    <row r="74" spans="1:59" ht="15.6" x14ac:dyDescent="0.3">
      <c r="A74" s="5" t="s">
        <v>134</v>
      </c>
      <c r="B74" s="5" t="s">
        <v>135</v>
      </c>
      <c r="C74" s="7">
        <v>6</v>
      </c>
      <c r="D74" s="7">
        <v>6</v>
      </c>
      <c r="E74" s="7">
        <v>41563.192000000003</v>
      </c>
      <c r="F74" s="7">
        <v>6149.366</v>
      </c>
      <c r="G74" s="7">
        <v>17757.762999999999</v>
      </c>
      <c r="H74" s="7">
        <v>1933.0440000000001</v>
      </c>
      <c r="I74" s="7">
        <v>1254.2909999999999</v>
      </c>
      <c r="J74" s="7">
        <v>11974.117</v>
      </c>
      <c r="K74" s="7">
        <v>12519.582</v>
      </c>
      <c r="L74" s="7">
        <v>9865.8629999999994</v>
      </c>
      <c r="M74" s="7">
        <v>0</v>
      </c>
      <c r="N74" s="7">
        <v>24877.855</v>
      </c>
      <c r="O74" s="7">
        <v>26830.215</v>
      </c>
      <c r="P74" s="7">
        <v>25297.027999999998</v>
      </c>
      <c r="Q74" s="7">
        <v>0</v>
      </c>
      <c r="R74" s="7">
        <v>0</v>
      </c>
      <c r="S74" s="7">
        <v>57.320999999999998</v>
      </c>
      <c r="T74" s="7">
        <v>0</v>
      </c>
      <c r="U74" s="7">
        <v>137.685</v>
      </c>
      <c r="V74" s="7">
        <v>1480.1289999999999</v>
      </c>
      <c r="W74" s="7">
        <v>0</v>
      </c>
      <c r="X74" s="7">
        <v>0</v>
      </c>
      <c r="Y74" s="7">
        <v>0</v>
      </c>
      <c r="Z74" s="7">
        <v>985.53300000000002</v>
      </c>
      <c r="AA74" s="7">
        <v>3177.4589999999998</v>
      </c>
      <c r="AB74" s="7">
        <v>0</v>
      </c>
      <c r="AC74" s="7">
        <v>7550.9070000000002</v>
      </c>
      <c r="AD74" s="7">
        <v>0</v>
      </c>
      <c r="AE74" s="7">
        <v>11908.550999999999</v>
      </c>
      <c r="AF74" s="7">
        <v>0</v>
      </c>
      <c r="AG74" s="7">
        <v>755.02700000000004</v>
      </c>
      <c r="AH74" s="7">
        <v>0</v>
      </c>
      <c r="AI74" s="7">
        <v>24972.153999999999</v>
      </c>
      <c r="AJ74" s="7">
        <v>0</v>
      </c>
      <c r="AK74" s="7">
        <v>0</v>
      </c>
      <c r="AL74" s="7">
        <v>68414.535999999993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59.12</v>
      </c>
      <c r="AV74" s="7">
        <v>0</v>
      </c>
      <c r="AW74" s="7">
        <v>0</v>
      </c>
      <c r="AX74" s="7">
        <v>0</v>
      </c>
      <c r="AY74" s="7">
        <v>0</v>
      </c>
      <c r="AZ74" s="7">
        <v>7.0149999999999997</v>
      </c>
      <c r="BA74" s="7">
        <v>0</v>
      </c>
      <c r="BB74" s="7">
        <v>362.16300000000001</v>
      </c>
      <c r="BC74" s="7">
        <v>0</v>
      </c>
      <c r="BD74" s="7">
        <v>0</v>
      </c>
      <c r="BE74" s="7">
        <v>0</v>
      </c>
      <c r="BF74" s="7">
        <v>0</v>
      </c>
      <c r="BG74" s="21"/>
    </row>
    <row r="75" spans="1:59" ht="15.6" x14ac:dyDescent="0.3">
      <c r="A75" s="5" t="s">
        <v>136</v>
      </c>
      <c r="B75" s="5" t="s">
        <v>137</v>
      </c>
      <c r="C75" s="7">
        <v>6</v>
      </c>
      <c r="D75" s="7">
        <v>6</v>
      </c>
      <c r="E75" s="7">
        <v>957.51800000000003</v>
      </c>
      <c r="F75" s="7">
        <v>132.994</v>
      </c>
      <c r="G75" s="7">
        <v>192.011</v>
      </c>
      <c r="H75" s="7">
        <v>0</v>
      </c>
      <c r="I75" s="7">
        <v>33.606000000000002</v>
      </c>
      <c r="J75" s="7">
        <v>112.767</v>
      </c>
      <c r="K75" s="7">
        <v>946.99</v>
      </c>
      <c r="L75" s="7">
        <v>87.146000000000001</v>
      </c>
      <c r="M75" s="7">
        <v>0</v>
      </c>
      <c r="N75" s="7">
        <v>439.512</v>
      </c>
      <c r="O75" s="7">
        <v>1045.0909999999999</v>
      </c>
      <c r="P75" s="7">
        <v>435.23500000000001</v>
      </c>
      <c r="Q75" s="7">
        <v>0</v>
      </c>
      <c r="R75" s="7">
        <v>0</v>
      </c>
      <c r="S75" s="7">
        <v>6.4329999999999998</v>
      </c>
      <c r="T75" s="7">
        <v>0</v>
      </c>
      <c r="U75" s="7">
        <v>0.19900000000000001</v>
      </c>
      <c r="V75" s="7">
        <v>0</v>
      </c>
      <c r="W75" s="7">
        <v>0</v>
      </c>
      <c r="X75" s="7">
        <v>0</v>
      </c>
      <c r="Y75" s="7">
        <v>0</v>
      </c>
      <c r="Z75" s="7">
        <v>15.167999999999999</v>
      </c>
      <c r="AA75" s="7">
        <v>48.743000000000002</v>
      </c>
      <c r="AB75" s="7">
        <v>0</v>
      </c>
      <c r="AC75" s="7">
        <v>390.54700000000003</v>
      </c>
      <c r="AD75" s="7">
        <v>0</v>
      </c>
      <c r="AE75" s="7">
        <v>135.595</v>
      </c>
      <c r="AF75" s="7">
        <v>0</v>
      </c>
      <c r="AG75" s="7">
        <v>23.404</v>
      </c>
      <c r="AH75" s="7">
        <v>0</v>
      </c>
      <c r="AI75" s="7">
        <v>1229.5930000000001</v>
      </c>
      <c r="AJ75" s="7">
        <v>0</v>
      </c>
      <c r="AK75" s="7">
        <v>0</v>
      </c>
      <c r="AL75" s="7">
        <v>1993.942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21"/>
    </row>
    <row r="76" spans="1:59" ht="15.6" x14ac:dyDescent="0.3">
      <c r="A76" s="5" t="s">
        <v>138</v>
      </c>
      <c r="B76" s="5" t="s">
        <v>139</v>
      </c>
      <c r="C76" s="7">
        <v>6</v>
      </c>
      <c r="D76" s="7">
        <v>6</v>
      </c>
      <c r="E76" s="7">
        <v>8058.3469999999998</v>
      </c>
      <c r="F76" s="7">
        <v>2064.5419999999999</v>
      </c>
      <c r="G76" s="7">
        <v>1246.6849999999999</v>
      </c>
      <c r="H76" s="7">
        <v>0</v>
      </c>
      <c r="I76" s="7">
        <v>138.75200000000001</v>
      </c>
      <c r="J76" s="7">
        <v>1687.6030000000001</v>
      </c>
      <c r="K76" s="7">
        <v>2121.5360000000001</v>
      </c>
      <c r="L76" s="7">
        <v>1110.2190000000001</v>
      </c>
      <c r="M76" s="7">
        <v>0</v>
      </c>
      <c r="N76" s="7">
        <v>3331.5520000000001</v>
      </c>
      <c r="O76" s="7">
        <v>24432.29</v>
      </c>
      <c r="P76" s="7">
        <v>3666.241</v>
      </c>
      <c r="Q76" s="7">
        <v>0</v>
      </c>
      <c r="R76" s="7">
        <v>0</v>
      </c>
      <c r="S76" s="7">
        <v>8.4570000000000007</v>
      </c>
      <c r="T76" s="7">
        <v>0</v>
      </c>
      <c r="U76" s="7">
        <v>375.65699999999998</v>
      </c>
      <c r="V76" s="7">
        <v>211.11600000000001</v>
      </c>
      <c r="W76" s="7">
        <v>0</v>
      </c>
      <c r="X76" s="7">
        <v>0</v>
      </c>
      <c r="Y76" s="7">
        <v>0</v>
      </c>
      <c r="Z76" s="7">
        <v>110.395</v>
      </c>
      <c r="AA76" s="7">
        <v>277.33</v>
      </c>
      <c r="AB76" s="7">
        <v>0</v>
      </c>
      <c r="AC76" s="7">
        <v>1057.0229999999999</v>
      </c>
      <c r="AD76" s="7">
        <v>0</v>
      </c>
      <c r="AE76" s="7">
        <v>844.63</v>
      </c>
      <c r="AF76" s="7">
        <v>0</v>
      </c>
      <c r="AG76" s="7">
        <v>117.69499999999999</v>
      </c>
      <c r="AH76" s="7">
        <v>0</v>
      </c>
      <c r="AI76" s="7">
        <v>4619.567</v>
      </c>
      <c r="AJ76" s="7">
        <v>0</v>
      </c>
      <c r="AK76" s="7">
        <v>0</v>
      </c>
      <c r="AL76" s="7">
        <v>20110.512999999999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3.5310000000000001</v>
      </c>
      <c r="AV76" s="7">
        <v>0</v>
      </c>
      <c r="AW76" s="7">
        <v>0</v>
      </c>
      <c r="AX76" s="7">
        <v>0</v>
      </c>
      <c r="AY76" s="7">
        <v>0</v>
      </c>
      <c r="AZ76" s="7">
        <v>2.0230000000000001</v>
      </c>
      <c r="BA76" s="7">
        <v>0</v>
      </c>
      <c r="BB76" s="7">
        <v>59.137999999999998</v>
      </c>
      <c r="BC76" s="7">
        <v>0</v>
      </c>
      <c r="BD76" s="7">
        <v>0</v>
      </c>
      <c r="BE76" s="7">
        <v>0</v>
      </c>
      <c r="BF76" s="7">
        <v>0</v>
      </c>
      <c r="BG76" s="21"/>
    </row>
    <row r="77" spans="1:59" ht="15.6" x14ac:dyDescent="0.3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21"/>
    </row>
    <row r="78" spans="1:59" ht="15.6" x14ac:dyDescent="0.3">
      <c r="A78" s="5" t="s">
        <v>142</v>
      </c>
      <c r="B78" s="5" t="s">
        <v>143</v>
      </c>
      <c r="C78" s="7">
        <v>6</v>
      </c>
      <c r="D78" s="7">
        <v>6</v>
      </c>
      <c r="E78" s="7">
        <v>2714.5309999999999</v>
      </c>
      <c r="F78" s="7">
        <v>377.03399999999999</v>
      </c>
      <c r="G78" s="7">
        <v>544.34299999999996</v>
      </c>
      <c r="H78" s="7">
        <v>0</v>
      </c>
      <c r="I78" s="7">
        <v>95.272999999999996</v>
      </c>
      <c r="J78" s="7">
        <v>319.69099999999997</v>
      </c>
      <c r="K78" s="7">
        <v>2684.6840000000002</v>
      </c>
      <c r="L78" s="7">
        <v>247.05699999999999</v>
      </c>
      <c r="M78" s="7">
        <v>0</v>
      </c>
      <c r="N78" s="7">
        <v>1246.001</v>
      </c>
      <c r="O78" s="7">
        <v>2962.7950000000001</v>
      </c>
      <c r="P78" s="7">
        <v>1233.875</v>
      </c>
      <c r="Q78" s="7">
        <v>0</v>
      </c>
      <c r="R78" s="7">
        <v>0</v>
      </c>
      <c r="S78" s="7">
        <v>18.238</v>
      </c>
      <c r="T78" s="7">
        <v>0</v>
      </c>
      <c r="U78" s="7">
        <v>0.56299999999999994</v>
      </c>
      <c r="V78" s="7">
        <v>0</v>
      </c>
      <c r="W78" s="7">
        <v>0</v>
      </c>
      <c r="X78" s="7">
        <v>0</v>
      </c>
      <c r="Y78" s="7">
        <v>0</v>
      </c>
      <c r="Z78" s="7">
        <v>43.000999999999998</v>
      </c>
      <c r="AA78" s="7">
        <v>138.185</v>
      </c>
      <c r="AB78" s="7">
        <v>0</v>
      </c>
      <c r="AC78" s="7">
        <v>1107.1880000000001</v>
      </c>
      <c r="AD78" s="7">
        <v>0</v>
      </c>
      <c r="AE78" s="7">
        <v>384.40800000000002</v>
      </c>
      <c r="AF78" s="7">
        <v>0</v>
      </c>
      <c r="AG78" s="7">
        <v>66.349000000000004</v>
      </c>
      <c r="AH78" s="7">
        <v>0</v>
      </c>
      <c r="AI78" s="7">
        <v>3485.8510000000001</v>
      </c>
      <c r="AJ78" s="7">
        <v>0</v>
      </c>
      <c r="AK78" s="7">
        <v>0</v>
      </c>
      <c r="AL78" s="7">
        <v>5652.7539999999999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21"/>
    </row>
    <row r="79" spans="1:59" ht="15.6" x14ac:dyDescent="0.3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21"/>
    </row>
    <row r="80" spans="1:59" ht="15.6" x14ac:dyDescent="0.3">
      <c r="A80" s="5" t="s">
        <v>146</v>
      </c>
      <c r="B80" s="5" t="s">
        <v>147</v>
      </c>
      <c r="C80" s="7">
        <v>6</v>
      </c>
      <c r="D80" s="7">
        <v>6</v>
      </c>
      <c r="E80" s="7">
        <v>9314.9719999999998</v>
      </c>
      <c r="F80" s="7">
        <v>1700.0630000000001</v>
      </c>
      <c r="G80" s="7">
        <v>2582.5450000000001</v>
      </c>
      <c r="H80" s="7">
        <v>0</v>
      </c>
      <c r="I80" s="7">
        <v>225.50299999999999</v>
      </c>
      <c r="J80" s="7">
        <v>1958.3679999999999</v>
      </c>
      <c r="K80" s="7">
        <v>5139.643</v>
      </c>
      <c r="L80" s="7">
        <v>983.46400000000006</v>
      </c>
      <c r="M80" s="7">
        <v>0</v>
      </c>
      <c r="N80" s="7">
        <v>3668.0680000000002</v>
      </c>
      <c r="O80" s="7">
        <v>16662.125</v>
      </c>
      <c r="P80" s="7">
        <v>4388.509</v>
      </c>
      <c r="Q80" s="7">
        <v>0</v>
      </c>
      <c r="R80" s="7">
        <v>0</v>
      </c>
      <c r="S80" s="7">
        <v>30.870999999999999</v>
      </c>
      <c r="T80" s="7">
        <v>0</v>
      </c>
      <c r="U80" s="7">
        <v>171.93100000000001</v>
      </c>
      <c r="V80" s="7">
        <v>143.41</v>
      </c>
      <c r="W80" s="7">
        <v>0</v>
      </c>
      <c r="X80" s="7">
        <v>0</v>
      </c>
      <c r="Y80" s="7">
        <v>0</v>
      </c>
      <c r="Z80" s="7">
        <v>134.23099999999999</v>
      </c>
      <c r="AA80" s="7">
        <v>378.75700000000001</v>
      </c>
      <c r="AB80" s="7">
        <v>0</v>
      </c>
      <c r="AC80" s="7">
        <v>2481.0100000000002</v>
      </c>
      <c r="AD80" s="7">
        <v>0</v>
      </c>
      <c r="AE80" s="7">
        <v>1211.067</v>
      </c>
      <c r="AF80" s="7">
        <v>0</v>
      </c>
      <c r="AG80" s="7">
        <v>171.35400000000001</v>
      </c>
      <c r="AH80" s="7">
        <v>0</v>
      </c>
      <c r="AI80" s="7">
        <v>8516.7260000000006</v>
      </c>
      <c r="AJ80" s="7">
        <v>0</v>
      </c>
      <c r="AK80" s="7">
        <v>0</v>
      </c>
      <c r="AL80" s="7">
        <v>20284.831999999999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2.399</v>
      </c>
      <c r="AV80" s="7">
        <v>0</v>
      </c>
      <c r="AW80" s="7">
        <v>0</v>
      </c>
      <c r="AX80" s="7">
        <v>0</v>
      </c>
      <c r="AY80" s="7">
        <v>0</v>
      </c>
      <c r="AZ80" s="7">
        <v>1.3740000000000001</v>
      </c>
      <c r="BA80" s="7">
        <v>0</v>
      </c>
      <c r="BB80" s="7">
        <v>40.171999999999997</v>
      </c>
      <c r="BC80" s="7">
        <v>0</v>
      </c>
      <c r="BD80" s="7">
        <v>0</v>
      </c>
      <c r="BE80" s="7">
        <v>0</v>
      </c>
      <c r="BF80" s="7">
        <v>0</v>
      </c>
      <c r="BG80" s="21"/>
    </row>
    <row r="81" spans="1:59" ht="15.6" x14ac:dyDescent="0.3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21"/>
    </row>
    <row r="82" spans="1:59" ht="15.6" x14ac:dyDescent="0.3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21"/>
    </row>
    <row r="83" spans="1:59" ht="15.6" x14ac:dyDescent="0.3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21"/>
    </row>
    <row r="84" spans="1:59" ht="15.6" x14ac:dyDescent="0.3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21"/>
    </row>
    <row r="85" spans="1:59" ht="15.6" x14ac:dyDescent="0.3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21"/>
    </row>
    <row r="86" spans="1:59" ht="15.6" x14ac:dyDescent="0.3">
      <c r="A86" s="5" t="s">
        <v>158</v>
      </c>
      <c r="B86" s="5" t="s">
        <v>159</v>
      </c>
      <c r="C86" s="7">
        <v>6</v>
      </c>
      <c r="D86" s="7">
        <v>6</v>
      </c>
      <c r="E86" s="7">
        <v>2.347</v>
      </c>
      <c r="F86" s="7">
        <v>1.1200000000000001</v>
      </c>
      <c r="G86" s="7">
        <v>1.0740000000000001</v>
      </c>
      <c r="H86" s="7">
        <v>2379.5709999999999</v>
      </c>
      <c r="I86" s="7">
        <v>0.13500000000000001</v>
      </c>
      <c r="J86" s="7">
        <v>0.58099999999999996</v>
      </c>
      <c r="K86" s="7">
        <v>25.64</v>
      </c>
      <c r="L86" s="7">
        <v>1.5649999999999999</v>
      </c>
      <c r="M86" s="7">
        <v>0</v>
      </c>
      <c r="N86" s="7">
        <v>1.8380000000000001</v>
      </c>
      <c r="O86" s="7">
        <v>18.155000000000001</v>
      </c>
      <c r="P86" s="7">
        <v>2.3410000000000002</v>
      </c>
      <c r="Q86" s="7">
        <v>0</v>
      </c>
      <c r="R86" s="7">
        <v>0</v>
      </c>
      <c r="S86" s="7">
        <v>2.3E-2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0.01</v>
      </c>
      <c r="AA86" s="7">
        <v>4.1000000000000002E-2</v>
      </c>
      <c r="AB86" s="7">
        <v>0</v>
      </c>
      <c r="AC86" s="7">
        <v>0.115</v>
      </c>
      <c r="AD86" s="7">
        <v>0</v>
      </c>
      <c r="AE86" s="7">
        <v>0.105</v>
      </c>
      <c r="AF86" s="7">
        <v>0</v>
      </c>
      <c r="AG86" s="7">
        <v>1.2999999999999999E-2</v>
      </c>
      <c r="AH86" s="7">
        <v>0</v>
      </c>
      <c r="AI86" s="7">
        <v>0.27500000000000002</v>
      </c>
      <c r="AJ86" s="7">
        <v>0</v>
      </c>
      <c r="AK86" s="7">
        <v>0</v>
      </c>
      <c r="AL86" s="7">
        <v>0.999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21"/>
    </row>
    <row r="87" spans="1:59" ht="15.6" x14ac:dyDescent="0.3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21"/>
    </row>
    <row r="88" spans="1:59" ht="15.6" x14ac:dyDescent="0.3">
      <c r="A88" s="5" t="s">
        <v>162</v>
      </c>
      <c r="B88" s="5" t="s">
        <v>163</v>
      </c>
      <c r="C88" s="7">
        <v>6</v>
      </c>
      <c r="D88" s="7">
        <v>6</v>
      </c>
      <c r="E88" s="7">
        <v>12044.18</v>
      </c>
      <c r="F88" s="7">
        <v>2874.518</v>
      </c>
      <c r="G88" s="7">
        <v>4165.7910000000002</v>
      </c>
      <c r="H88" s="7">
        <v>0</v>
      </c>
      <c r="I88" s="7">
        <v>591.34799999999996</v>
      </c>
      <c r="J88" s="7">
        <v>2820.616</v>
      </c>
      <c r="K88" s="7">
        <v>8593.6270000000004</v>
      </c>
      <c r="L88" s="7">
        <v>3366.8939999999998</v>
      </c>
      <c r="M88" s="7">
        <v>0</v>
      </c>
      <c r="N88" s="7">
        <v>8403.6630000000005</v>
      </c>
      <c r="O88" s="7">
        <v>19770.698</v>
      </c>
      <c r="P88" s="7">
        <v>7243.5349999999999</v>
      </c>
      <c r="Q88" s="7">
        <v>0</v>
      </c>
      <c r="R88" s="7">
        <v>0</v>
      </c>
      <c r="S88" s="7">
        <v>71.724000000000004</v>
      </c>
      <c r="T88" s="7">
        <v>0</v>
      </c>
      <c r="U88" s="7">
        <v>111.262</v>
      </c>
      <c r="V88" s="7">
        <v>785.98599999999999</v>
      </c>
      <c r="W88" s="7">
        <v>0</v>
      </c>
      <c r="X88" s="7">
        <v>0</v>
      </c>
      <c r="Y88" s="7">
        <v>0</v>
      </c>
      <c r="Z88" s="7">
        <v>344.55900000000003</v>
      </c>
      <c r="AA88" s="7">
        <v>818.98500000000001</v>
      </c>
      <c r="AB88" s="7">
        <v>0</v>
      </c>
      <c r="AC88" s="7">
        <v>2333.6709999999998</v>
      </c>
      <c r="AD88" s="7">
        <v>0</v>
      </c>
      <c r="AE88" s="7">
        <v>2550.5920000000001</v>
      </c>
      <c r="AF88" s="7">
        <v>0</v>
      </c>
      <c r="AG88" s="7">
        <v>335.66</v>
      </c>
      <c r="AH88" s="7">
        <v>0</v>
      </c>
      <c r="AI88" s="7">
        <v>4128.799</v>
      </c>
      <c r="AJ88" s="7">
        <v>0</v>
      </c>
      <c r="AK88" s="7">
        <v>0</v>
      </c>
      <c r="AL88" s="7">
        <v>21675.170999999998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13.146000000000001</v>
      </c>
      <c r="AV88" s="7">
        <v>0</v>
      </c>
      <c r="AW88" s="7">
        <v>0</v>
      </c>
      <c r="AX88" s="7">
        <v>0</v>
      </c>
      <c r="AY88" s="7">
        <v>0</v>
      </c>
      <c r="AZ88" s="7">
        <v>7.53</v>
      </c>
      <c r="BA88" s="7">
        <v>0</v>
      </c>
      <c r="BB88" s="7">
        <v>220.172</v>
      </c>
      <c r="BC88" s="7">
        <v>0</v>
      </c>
      <c r="BD88" s="7">
        <v>0</v>
      </c>
      <c r="BE88" s="7">
        <v>0</v>
      </c>
      <c r="BF88" s="7">
        <v>0</v>
      </c>
      <c r="BG88" s="21"/>
    </row>
    <row r="89" spans="1:59" ht="15.6" x14ac:dyDescent="0.3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21"/>
    </row>
    <row r="90" spans="1:59" ht="15.6" x14ac:dyDescent="0.3">
      <c r="A90" s="5" t="s">
        <v>166</v>
      </c>
      <c r="B90" s="5" t="s">
        <v>167</v>
      </c>
      <c r="C90" s="7">
        <v>3</v>
      </c>
      <c r="D90" s="7">
        <v>3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21"/>
    </row>
    <row r="91" spans="1:59" ht="15.6" x14ac:dyDescent="0.3">
      <c r="A91" s="5" t="s">
        <v>168</v>
      </c>
      <c r="B91" s="5" t="s">
        <v>169</v>
      </c>
      <c r="C91" s="7">
        <v>3</v>
      </c>
      <c r="D91" s="7">
        <v>3</v>
      </c>
      <c r="E91" s="7">
        <v>36951.616999999998</v>
      </c>
      <c r="F91" s="7">
        <v>7206.1040000000003</v>
      </c>
      <c r="G91" s="7">
        <v>15284.629000000001</v>
      </c>
      <c r="H91" s="7">
        <v>0</v>
      </c>
      <c r="I91" s="7">
        <v>1316.3030000000001</v>
      </c>
      <c r="J91" s="7">
        <v>10212.045</v>
      </c>
      <c r="K91" s="7">
        <v>12445.887000000001</v>
      </c>
      <c r="L91" s="7">
        <v>11096.446</v>
      </c>
      <c r="M91" s="7">
        <v>0</v>
      </c>
      <c r="N91" s="7">
        <v>25114.435000000001</v>
      </c>
      <c r="O91" s="7">
        <v>29026.885999999999</v>
      </c>
      <c r="P91" s="7">
        <v>25533.885999999999</v>
      </c>
      <c r="Q91" s="7">
        <v>0</v>
      </c>
      <c r="R91" s="7">
        <v>0</v>
      </c>
      <c r="S91" s="7">
        <v>2.476</v>
      </c>
      <c r="T91" s="7">
        <v>0</v>
      </c>
      <c r="U91" s="7">
        <v>137.10400000000001</v>
      </c>
      <c r="V91" s="7">
        <v>2909.5039999999999</v>
      </c>
      <c r="W91" s="7">
        <v>0</v>
      </c>
      <c r="X91" s="7">
        <v>0</v>
      </c>
      <c r="Y91" s="7">
        <v>0</v>
      </c>
      <c r="Z91" s="7">
        <v>1252.4570000000001</v>
      </c>
      <c r="AA91" s="7">
        <v>2957.723</v>
      </c>
      <c r="AB91" s="7">
        <v>0</v>
      </c>
      <c r="AC91" s="7">
        <v>7642.1710000000003</v>
      </c>
      <c r="AD91" s="7">
        <v>0</v>
      </c>
      <c r="AE91" s="7">
        <v>9235.9169999999995</v>
      </c>
      <c r="AF91" s="7">
        <v>0</v>
      </c>
      <c r="AG91" s="7">
        <v>1207.021</v>
      </c>
      <c r="AH91" s="7">
        <v>0</v>
      </c>
      <c r="AI91" s="7">
        <v>13511.112999999999</v>
      </c>
      <c r="AJ91" s="7">
        <v>0</v>
      </c>
      <c r="AK91" s="7">
        <v>0</v>
      </c>
      <c r="AL91" s="7">
        <v>56004.396000000001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48.664000000000001</v>
      </c>
      <c r="AV91" s="7">
        <v>0</v>
      </c>
      <c r="AW91" s="7">
        <v>0</v>
      </c>
      <c r="AX91" s="7">
        <v>0</v>
      </c>
      <c r="AY91" s="7">
        <v>0</v>
      </c>
      <c r="AZ91" s="7">
        <v>27.876000000000001</v>
      </c>
      <c r="BA91" s="7">
        <v>0</v>
      </c>
      <c r="BB91" s="7">
        <v>815.01700000000005</v>
      </c>
      <c r="BC91" s="7">
        <v>0</v>
      </c>
      <c r="BD91" s="7">
        <v>0</v>
      </c>
      <c r="BE91" s="7">
        <v>0</v>
      </c>
      <c r="BF91" s="7">
        <v>0</v>
      </c>
      <c r="BG91" s="21"/>
    </row>
    <row r="92" spans="1:59" ht="15.6" x14ac:dyDescent="0.3">
      <c r="A92" s="5" t="s">
        <v>170</v>
      </c>
      <c r="B92" s="5" t="s">
        <v>171</v>
      </c>
      <c r="C92" s="7">
        <v>3</v>
      </c>
      <c r="D92" s="7">
        <v>3</v>
      </c>
      <c r="E92" s="7">
        <v>53579.362999999998</v>
      </c>
      <c r="F92" s="7">
        <v>10784.411</v>
      </c>
      <c r="G92" s="7">
        <v>21320.545999999998</v>
      </c>
      <c r="H92" s="7">
        <v>0</v>
      </c>
      <c r="I92" s="7">
        <v>2037.116</v>
      </c>
      <c r="J92" s="7">
        <v>13364.105</v>
      </c>
      <c r="K92" s="7">
        <v>19261.3</v>
      </c>
      <c r="L92" s="7">
        <v>17172.900000000001</v>
      </c>
      <c r="M92" s="7">
        <v>0</v>
      </c>
      <c r="N92" s="7">
        <v>38867.192000000003</v>
      </c>
      <c r="O92" s="7">
        <v>43415.622000000003</v>
      </c>
      <c r="P92" s="7">
        <v>36651.877999999997</v>
      </c>
      <c r="Q92" s="7">
        <v>0</v>
      </c>
      <c r="R92" s="7">
        <v>0</v>
      </c>
      <c r="S92" s="7">
        <v>3.831</v>
      </c>
      <c r="T92" s="7">
        <v>0</v>
      </c>
      <c r="U92" s="7">
        <v>0</v>
      </c>
      <c r="V92" s="7">
        <v>4502.759</v>
      </c>
      <c r="W92" s="7">
        <v>0</v>
      </c>
      <c r="X92" s="7">
        <v>0</v>
      </c>
      <c r="Y92" s="7">
        <v>0</v>
      </c>
      <c r="Z92" s="7">
        <v>1938.306</v>
      </c>
      <c r="AA92" s="7">
        <v>4577.3829999999998</v>
      </c>
      <c r="AB92" s="7">
        <v>0</v>
      </c>
      <c r="AC92" s="7">
        <v>11827.050999999999</v>
      </c>
      <c r="AD92" s="7">
        <v>0</v>
      </c>
      <c r="AE92" s="7">
        <v>14293.539000000001</v>
      </c>
      <c r="AF92" s="7">
        <v>0</v>
      </c>
      <c r="AG92" s="7">
        <v>1867.99</v>
      </c>
      <c r="AH92" s="7">
        <v>0</v>
      </c>
      <c r="AI92" s="7">
        <v>14296.842000000001</v>
      </c>
      <c r="AJ92" s="7">
        <v>0</v>
      </c>
      <c r="AK92" s="7">
        <v>0</v>
      </c>
      <c r="AL92" s="7">
        <v>79599.873000000007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75.311999999999998</v>
      </c>
      <c r="AV92" s="7">
        <v>0</v>
      </c>
      <c r="AW92" s="7">
        <v>0</v>
      </c>
      <c r="AX92" s="7">
        <v>0</v>
      </c>
      <c r="AY92" s="7">
        <v>0</v>
      </c>
      <c r="AZ92" s="7">
        <v>43.14</v>
      </c>
      <c r="BA92" s="7">
        <v>0</v>
      </c>
      <c r="BB92" s="7">
        <v>1261.3219999999999</v>
      </c>
      <c r="BC92" s="7">
        <v>0</v>
      </c>
      <c r="BD92" s="7">
        <v>0</v>
      </c>
      <c r="BE92" s="7">
        <v>0</v>
      </c>
      <c r="BF92" s="7">
        <v>0</v>
      </c>
      <c r="BG92" s="21"/>
    </row>
    <row r="93" spans="1:59" ht="15.6" x14ac:dyDescent="0.3">
      <c r="A93" s="5" t="s">
        <v>172</v>
      </c>
      <c r="B93" s="5" t="s">
        <v>173</v>
      </c>
      <c r="C93" s="7">
        <v>3</v>
      </c>
      <c r="D93" s="7">
        <v>3</v>
      </c>
      <c r="E93" s="7">
        <v>10507.538</v>
      </c>
      <c r="F93" s="7">
        <v>3238.0990000000002</v>
      </c>
      <c r="G93" s="7">
        <v>5273.1790000000001</v>
      </c>
      <c r="H93" s="7">
        <v>0</v>
      </c>
      <c r="I93" s="7">
        <v>341.404</v>
      </c>
      <c r="J93" s="7">
        <v>1988.239</v>
      </c>
      <c r="K93" s="7">
        <v>9183.1759999999995</v>
      </c>
      <c r="L93" s="7">
        <v>1667.258</v>
      </c>
      <c r="M93" s="7">
        <v>0</v>
      </c>
      <c r="N93" s="7">
        <v>2985.8919999999998</v>
      </c>
      <c r="O93" s="7">
        <v>27653.169000000002</v>
      </c>
      <c r="P93" s="7">
        <v>4383.8969999999999</v>
      </c>
      <c r="Q93" s="7">
        <v>0</v>
      </c>
      <c r="R93" s="7">
        <v>0</v>
      </c>
      <c r="S93" s="7">
        <v>1.764</v>
      </c>
      <c r="T93" s="7">
        <v>0</v>
      </c>
      <c r="U93" s="7">
        <v>0</v>
      </c>
      <c r="V93" s="7">
        <v>916.02</v>
      </c>
      <c r="W93" s="7">
        <v>0</v>
      </c>
      <c r="X93" s="7">
        <v>0</v>
      </c>
      <c r="Y93" s="7">
        <v>0</v>
      </c>
      <c r="Z93" s="7">
        <v>261.37900000000002</v>
      </c>
      <c r="AA93" s="7">
        <v>385.10399999999998</v>
      </c>
      <c r="AB93" s="7">
        <v>0</v>
      </c>
      <c r="AC93" s="7">
        <v>4897.2110000000002</v>
      </c>
      <c r="AD93" s="7">
        <v>0</v>
      </c>
      <c r="AE93" s="7">
        <v>2860.884</v>
      </c>
      <c r="AF93" s="7">
        <v>0</v>
      </c>
      <c r="AG93" s="7">
        <v>623.33299999999997</v>
      </c>
      <c r="AH93" s="7">
        <v>0</v>
      </c>
      <c r="AI93" s="7">
        <v>8316.3739999999998</v>
      </c>
      <c r="AJ93" s="7">
        <v>4043.7159999999999</v>
      </c>
      <c r="AK93" s="7">
        <v>0</v>
      </c>
      <c r="AL93" s="7">
        <v>51163.18</v>
      </c>
      <c r="AM93" s="7">
        <v>7608.49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44.222000000000001</v>
      </c>
      <c r="AV93" s="7">
        <v>0</v>
      </c>
      <c r="AW93" s="7">
        <v>0</v>
      </c>
      <c r="AX93" s="7">
        <v>1192.6110000000001</v>
      </c>
      <c r="AY93" s="7">
        <v>0</v>
      </c>
      <c r="AZ93" s="7">
        <v>6.8010000000000002</v>
      </c>
      <c r="BA93" s="7">
        <v>0</v>
      </c>
      <c r="BB93" s="7">
        <v>335.86500000000001</v>
      </c>
      <c r="BC93" s="7">
        <v>0</v>
      </c>
      <c r="BD93" s="7">
        <v>0</v>
      </c>
      <c r="BE93" s="7">
        <v>14898.124</v>
      </c>
      <c r="BF93" s="7">
        <v>0</v>
      </c>
      <c r="BG93" s="21"/>
    </row>
    <row r="94" spans="1:59" ht="15.6" x14ac:dyDescent="0.3">
      <c r="A94" s="5" t="s">
        <v>174</v>
      </c>
      <c r="B94" s="5" t="s">
        <v>175</v>
      </c>
      <c r="C94" s="7">
        <v>3</v>
      </c>
      <c r="D94" s="7">
        <v>3</v>
      </c>
      <c r="E94" s="7">
        <v>24924.154999999999</v>
      </c>
      <c r="F94" s="7">
        <v>14209.75</v>
      </c>
      <c r="G94" s="7">
        <v>23453.187999999998</v>
      </c>
      <c r="H94" s="7">
        <v>2671.1979999999999</v>
      </c>
      <c r="I94" s="7">
        <v>1952.4639999999999</v>
      </c>
      <c r="J94" s="7">
        <v>10799.191000000001</v>
      </c>
      <c r="K94" s="7">
        <v>13606.893</v>
      </c>
      <c r="L94" s="7">
        <v>5634.1679999999997</v>
      </c>
      <c r="M94" s="7">
        <v>0</v>
      </c>
      <c r="N94" s="7">
        <v>13876.802</v>
      </c>
      <c r="O94" s="7">
        <v>76917.645000000004</v>
      </c>
      <c r="P94" s="7">
        <v>20436.224999999999</v>
      </c>
      <c r="Q94" s="7">
        <v>0</v>
      </c>
      <c r="R94" s="7">
        <v>0</v>
      </c>
      <c r="S94" s="7">
        <v>0.76100000000000001</v>
      </c>
      <c r="T94" s="7">
        <v>0</v>
      </c>
      <c r="U94" s="7">
        <v>0</v>
      </c>
      <c r="V94" s="7">
        <v>4783.1189999999997</v>
      </c>
      <c r="W94" s="7">
        <v>0</v>
      </c>
      <c r="X94" s="7">
        <v>0</v>
      </c>
      <c r="Y94" s="7">
        <v>0</v>
      </c>
      <c r="Z94" s="7">
        <v>1453.1890000000001</v>
      </c>
      <c r="AA94" s="7">
        <v>1257.492</v>
      </c>
      <c r="AB94" s="7">
        <v>0</v>
      </c>
      <c r="AC94" s="7">
        <v>10890.034</v>
      </c>
      <c r="AD94" s="7">
        <v>0</v>
      </c>
      <c r="AE94" s="7">
        <v>19683.326000000001</v>
      </c>
      <c r="AF94" s="7">
        <v>0</v>
      </c>
      <c r="AG94" s="7">
        <v>2970.8510000000001</v>
      </c>
      <c r="AH94" s="7">
        <v>0</v>
      </c>
      <c r="AI94" s="7">
        <v>6240.5959999999995</v>
      </c>
      <c r="AJ94" s="7">
        <v>3495.6680000000001</v>
      </c>
      <c r="AK94" s="7">
        <v>0</v>
      </c>
      <c r="AL94" s="7">
        <v>203095.51</v>
      </c>
      <c r="AM94" s="7">
        <v>6558.0420000000004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292.16500000000002</v>
      </c>
      <c r="AV94" s="7">
        <v>0</v>
      </c>
      <c r="AW94" s="7">
        <v>0</v>
      </c>
      <c r="AX94" s="7">
        <v>1014.015</v>
      </c>
      <c r="AY94" s="7">
        <v>0</v>
      </c>
      <c r="AZ94" s="7">
        <v>21.771999999999998</v>
      </c>
      <c r="BA94" s="7">
        <v>0</v>
      </c>
      <c r="BB94" s="7">
        <v>29.888000000000002</v>
      </c>
      <c r="BC94" s="7">
        <v>0</v>
      </c>
      <c r="BD94" s="7">
        <v>0</v>
      </c>
      <c r="BE94" s="7">
        <v>93334.409</v>
      </c>
      <c r="BF94" s="7">
        <v>0</v>
      </c>
      <c r="BG94" s="21"/>
    </row>
    <row r="95" spans="1:59" ht="15.6" x14ac:dyDescent="0.3">
      <c r="A95" s="5" t="s">
        <v>176</v>
      </c>
      <c r="B95" s="5" t="s">
        <v>177</v>
      </c>
      <c r="C95" s="7">
        <v>3</v>
      </c>
      <c r="D95" s="7">
        <v>3</v>
      </c>
      <c r="E95" s="7">
        <v>40052.146999999997</v>
      </c>
      <c r="F95" s="7">
        <v>25942.052</v>
      </c>
      <c r="G95" s="7">
        <v>4615.8459999999995</v>
      </c>
      <c r="H95" s="7">
        <v>12081.053</v>
      </c>
      <c r="I95" s="7">
        <v>3892.212</v>
      </c>
      <c r="J95" s="7">
        <v>18228.810000000001</v>
      </c>
      <c r="K95" s="7">
        <v>15264.814</v>
      </c>
      <c r="L95" s="7">
        <v>14028.243</v>
      </c>
      <c r="M95" s="7">
        <v>0</v>
      </c>
      <c r="N95" s="7">
        <v>49469.061999999998</v>
      </c>
      <c r="O95" s="7">
        <v>131377.497</v>
      </c>
      <c r="P95" s="7">
        <v>46039.190999999999</v>
      </c>
      <c r="Q95" s="7">
        <v>0</v>
      </c>
      <c r="R95" s="7">
        <v>0</v>
      </c>
      <c r="S95" s="7">
        <v>1.9630000000000001</v>
      </c>
      <c r="T95" s="7">
        <v>0</v>
      </c>
      <c r="U95" s="7">
        <v>0</v>
      </c>
      <c r="V95" s="7">
        <v>9926.7049999999999</v>
      </c>
      <c r="W95" s="7">
        <v>0</v>
      </c>
      <c r="X95" s="7">
        <v>0</v>
      </c>
      <c r="Y95" s="7">
        <v>0</v>
      </c>
      <c r="Z95" s="7">
        <v>1749.796</v>
      </c>
      <c r="AA95" s="7">
        <v>4831.9840000000004</v>
      </c>
      <c r="AB95" s="7">
        <v>0</v>
      </c>
      <c r="AC95" s="7">
        <v>6653.1019999999999</v>
      </c>
      <c r="AD95" s="7">
        <v>0</v>
      </c>
      <c r="AE95" s="7">
        <v>36211.756000000001</v>
      </c>
      <c r="AF95" s="7">
        <v>0</v>
      </c>
      <c r="AG95" s="7">
        <v>4560.7340000000004</v>
      </c>
      <c r="AH95" s="7">
        <v>0</v>
      </c>
      <c r="AI95" s="7">
        <v>13905.234</v>
      </c>
      <c r="AJ95" s="7">
        <v>7265.4250000000002</v>
      </c>
      <c r="AK95" s="7">
        <v>0</v>
      </c>
      <c r="AL95" s="7">
        <v>267846.05499999999</v>
      </c>
      <c r="AM95" s="7">
        <v>13597.413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469.47300000000001</v>
      </c>
      <c r="AV95" s="7">
        <v>0</v>
      </c>
      <c r="AW95" s="7">
        <v>0</v>
      </c>
      <c r="AX95" s="7">
        <v>2078.5909999999999</v>
      </c>
      <c r="AY95" s="7">
        <v>0</v>
      </c>
      <c r="AZ95" s="7">
        <v>43.822000000000003</v>
      </c>
      <c r="BA95" s="7">
        <v>0</v>
      </c>
      <c r="BB95" s="7">
        <v>187.06700000000001</v>
      </c>
      <c r="BC95" s="7">
        <v>0</v>
      </c>
      <c r="BD95" s="7">
        <v>0</v>
      </c>
      <c r="BE95" s="7">
        <v>30833.632000000001</v>
      </c>
      <c r="BF95" s="7">
        <v>0</v>
      </c>
      <c r="BG95" s="21"/>
    </row>
    <row r="96" spans="1:59" ht="15.6" x14ac:dyDescent="0.3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21"/>
    </row>
    <row r="97" spans="1:59" ht="15.6" x14ac:dyDescent="0.3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21"/>
    </row>
    <row r="98" spans="1:59" ht="15.6" x14ac:dyDescent="0.3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21"/>
    </row>
    <row r="99" spans="1:59" ht="15.6" x14ac:dyDescent="0.3">
      <c r="A99" s="5" t="s">
        <v>184</v>
      </c>
      <c r="B99" s="5" t="s">
        <v>185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21"/>
    </row>
    <row r="100" spans="1:59" ht="15.6" x14ac:dyDescent="0.3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21"/>
    </row>
    <row r="101" spans="1:59" ht="15.6" x14ac:dyDescent="0.3">
      <c r="A101" s="5" t="s">
        <v>188</v>
      </c>
      <c r="B101" s="5" t="s">
        <v>189</v>
      </c>
      <c r="C101" s="7">
        <v>6</v>
      </c>
      <c r="D101" s="7">
        <v>6</v>
      </c>
      <c r="E101" s="7">
        <v>3938.78</v>
      </c>
      <c r="F101" s="7">
        <v>547.07600000000002</v>
      </c>
      <c r="G101" s="7">
        <v>789.84100000000001</v>
      </c>
      <c r="H101" s="7">
        <v>0</v>
      </c>
      <c r="I101" s="7">
        <v>138.24</v>
      </c>
      <c r="J101" s="7">
        <v>463.87099999999998</v>
      </c>
      <c r="K101" s="7">
        <v>3895.4720000000002</v>
      </c>
      <c r="L101" s="7">
        <v>358.47899999999998</v>
      </c>
      <c r="M101" s="7">
        <v>0</v>
      </c>
      <c r="N101" s="7">
        <v>1807.9449999999999</v>
      </c>
      <c r="O101" s="7">
        <v>4299.0110000000004</v>
      </c>
      <c r="P101" s="7">
        <v>1790.3510000000001</v>
      </c>
      <c r="Q101" s="7">
        <v>0</v>
      </c>
      <c r="R101" s="7">
        <v>0</v>
      </c>
      <c r="S101" s="7">
        <v>26.463999999999999</v>
      </c>
      <c r="T101" s="7">
        <v>0</v>
      </c>
      <c r="U101" s="7">
        <v>0.81699999999999995</v>
      </c>
      <c r="V101" s="7">
        <v>0</v>
      </c>
      <c r="W101" s="7">
        <v>0</v>
      </c>
      <c r="X101" s="7">
        <v>0</v>
      </c>
      <c r="Y101" s="7">
        <v>0</v>
      </c>
      <c r="Z101" s="7">
        <v>62.395000000000003</v>
      </c>
      <c r="AA101" s="7">
        <v>200.506</v>
      </c>
      <c r="AB101" s="7">
        <v>0</v>
      </c>
      <c r="AC101" s="7">
        <v>1606.527</v>
      </c>
      <c r="AD101" s="7">
        <v>0</v>
      </c>
      <c r="AE101" s="7">
        <v>557.77499999999998</v>
      </c>
      <c r="AF101" s="7">
        <v>0</v>
      </c>
      <c r="AG101" s="7">
        <v>96.272000000000006</v>
      </c>
      <c r="AH101" s="7">
        <v>0</v>
      </c>
      <c r="AI101" s="7">
        <v>5057.9650000000001</v>
      </c>
      <c r="AJ101" s="7">
        <v>0</v>
      </c>
      <c r="AK101" s="7">
        <v>0</v>
      </c>
      <c r="AL101" s="7">
        <v>8202.1370000000006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21"/>
    </row>
    <row r="102" spans="1:59" ht="15.6" x14ac:dyDescent="0.3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21"/>
    </row>
    <row r="103" spans="1:59" ht="15.6" x14ac:dyDescent="0.3">
      <c r="A103" s="5" t="s">
        <v>192</v>
      </c>
      <c r="B103" s="5" t="s">
        <v>193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1910.69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21"/>
    </row>
    <row r="104" spans="1:59" ht="15.6" x14ac:dyDescent="0.3">
      <c r="A104" s="5" t="s">
        <v>194</v>
      </c>
      <c r="B104" s="5" t="s">
        <v>195</v>
      </c>
      <c r="C104" s="7">
        <v>4</v>
      </c>
      <c r="D104" s="7">
        <v>4</v>
      </c>
      <c r="E104" s="7">
        <v>178530.383</v>
      </c>
      <c r="F104" s="7">
        <v>58220.663999999997</v>
      </c>
      <c r="G104" s="7">
        <v>0</v>
      </c>
      <c r="H104" s="7">
        <v>0</v>
      </c>
      <c r="I104" s="7">
        <v>2810.2910000000002</v>
      </c>
      <c r="J104" s="7">
        <v>0</v>
      </c>
      <c r="K104" s="7">
        <v>260255.43299999999</v>
      </c>
      <c r="L104" s="7">
        <v>14365.525</v>
      </c>
      <c r="M104" s="7">
        <v>0</v>
      </c>
      <c r="N104" s="7">
        <v>28392.697</v>
      </c>
      <c r="O104" s="7">
        <v>676133.63699999999</v>
      </c>
      <c r="P104" s="7">
        <v>33926.144999999997</v>
      </c>
      <c r="Q104" s="7">
        <v>0</v>
      </c>
      <c r="R104" s="7">
        <v>59.603000000000002</v>
      </c>
      <c r="S104" s="7">
        <v>29.274000000000001</v>
      </c>
      <c r="T104" s="7">
        <v>110.208</v>
      </c>
      <c r="U104" s="7">
        <v>0</v>
      </c>
      <c r="V104" s="7">
        <v>13841.732</v>
      </c>
      <c r="W104" s="7">
        <v>0</v>
      </c>
      <c r="X104" s="7">
        <v>1924.92</v>
      </c>
      <c r="Y104" s="7">
        <v>0</v>
      </c>
      <c r="Z104" s="7">
        <v>0</v>
      </c>
      <c r="AA104" s="7">
        <v>3779.3159999999998</v>
      </c>
      <c r="AB104" s="7">
        <v>11801.679</v>
      </c>
      <c r="AC104" s="7">
        <v>101139.849</v>
      </c>
      <c r="AD104" s="7">
        <v>0</v>
      </c>
      <c r="AE104" s="7">
        <v>0</v>
      </c>
      <c r="AF104" s="7">
        <v>3777.558</v>
      </c>
      <c r="AG104" s="7">
        <v>9123.0720000000001</v>
      </c>
      <c r="AH104" s="7">
        <v>0</v>
      </c>
      <c r="AI104" s="7">
        <v>243973.215</v>
      </c>
      <c r="AJ104" s="7">
        <v>134582.636</v>
      </c>
      <c r="AK104" s="7">
        <v>0</v>
      </c>
      <c r="AL104" s="7">
        <v>831789.18799999997</v>
      </c>
      <c r="AM104" s="7">
        <v>253225.19</v>
      </c>
      <c r="AN104" s="7">
        <v>0</v>
      </c>
      <c r="AO104" s="7">
        <v>0</v>
      </c>
      <c r="AP104" s="7">
        <v>3810.9580000000001</v>
      </c>
      <c r="AQ104" s="7">
        <v>1609.7049999999999</v>
      </c>
      <c r="AR104" s="7">
        <v>0</v>
      </c>
      <c r="AS104" s="7">
        <v>0</v>
      </c>
      <c r="AT104" s="7">
        <v>0</v>
      </c>
      <c r="AU104" s="7">
        <v>317.67</v>
      </c>
      <c r="AV104" s="7">
        <v>338.76100000000002</v>
      </c>
      <c r="AW104" s="7">
        <v>0</v>
      </c>
      <c r="AX104" s="7">
        <v>39692.402999999998</v>
      </c>
      <c r="AY104" s="7">
        <v>0</v>
      </c>
      <c r="AZ104" s="7">
        <v>153.03800000000001</v>
      </c>
      <c r="BA104" s="7">
        <v>0</v>
      </c>
      <c r="BB104" s="7">
        <v>1142.74</v>
      </c>
      <c r="BC104" s="7">
        <v>0</v>
      </c>
      <c r="BD104" s="7">
        <v>0</v>
      </c>
      <c r="BE104" s="7">
        <v>0</v>
      </c>
      <c r="BF104" s="7">
        <v>843.41700000000003</v>
      </c>
      <c r="BG104" s="21"/>
    </row>
    <row r="105" spans="1:59" ht="15.6" x14ac:dyDescent="0.3">
      <c r="A105" s="5" t="s">
        <v>196</v>
      </c>
      <c r="B105" s="5" t="s">
        <v>197</v>
      </c>
      <c r="C105" s="7">
        <v>4</v>
      </c>
      <c r="D105" s="7">
        <v>4</v>
      </c>
      <c r="E105" s="7">
        <v>96326.274999999994</v>
      </c>
      <c r="F105" s="7">
        <v>30218.897000000001</v>
      </c>
      <c r="G105" s="7">
        <v>0</v>
      </c>
      <c r="H105" s="7">
        <v>409.58699999999999</v>
      </c>
      <c r="I105" s="7">
        <v>1530.616</v>
      </c>
      <c r="J105" s="7">
        <v>0</v>
      </c>
      <c r="K105" s="7">
        <v>137660.68100000001</v>
      </c>
      <c r="L105" s="7">
        <v>7824.1369999999997</v>
      </c>
      <c r="M105" s="7">
        <v>0</v>
      </c>
      <c r="N105" s="7">
        <v>15463.991</v>
      </c>
      <c r="O105" s="7">
        <v>364338.86599999998</v>
      </c>
      <c r="P105" s="7">
        <v>18477.764999999999</v>
      </c>
      <c r="Q105" s="7">
        <v>0</v>
      </c>
      <c r="R105" s="7">
        <v>10.494</v>
      </c>
      <c r="S105" s="7">
        <v>15.944000000000001</v>
      </c>
      <c r="T105" s="7">
        <v>19.405000000000001</v>
      </c>
      <c r="U105" s="7">
        <v>0</v>
      </c>
      <c r="V105" s="7">
        <v>7538.8549999999996</v>
      </c>
      <c r="W105" s="7">
        <v>0</v>
      </c>
      <c r="X105" s="7">
        <v>338.93</v>
      </c>
      <c r="Y105" s="7">
        <v>0</v>
      </c>
      <c r="Z105" s="7">
        <v>0</v>
      </c>
      <c r="AA105" s="7">
        <v>2058.3919999999998</v>
      </c>
      <c r="AB105" s="7">
        <v>2077.9769999999999</v>
      </c>
      <c r="AC105" s="7">
        <v>55085.491999999998</v>
      </c>
      <c r="AD105" s="7">
        <v>0</v>
      </c>
      <c r="AE105" s="7">
        <v>0</v>
      </c>
      <c r="AF105" s="7">
        <v>665.13199999999995</v>
      </c>
      <c r="AG105" s="7">
        <v>4968.8509999999997</v>
      </c>
      <c r="AH105" s="7">
        <v>0</v>
      </c>
      <c r="AI105" s="7">
        <v>132879.223</v>
      </c>
      <c r="AJ105" s="7">
        <v>73299.998000000007</v>
      </c>
      <c r="AK105" s="7">
        <v>0</v>
      </c>
      <c r="AL105" s="7">
        <v>452936.033</v>
      </c>
      <c r="AM105" s="7">
        <v>137918.28099999999</v>
      </c>
      <c r="AN105" s="7">
        <v>0</v>
      </c>
      <c r="AO105" s="7">
        <v>0</v>
      </c>
      <c r="AP105" s="7">
        <v>671.01300000000003</v>
      </c>
      <c r="AQ105" s="7">
        <v>283.428</v>
      </c>
      <c r="AR105" s="7">
        <v>0</v>
      </c>
      <c r="AS105" s="7">
        <v>0</v>
      </c>
      <c r="AT105" s="7">
        <v>0</v>
      </c>
      <c r="AU105" s="7">
        <v>173.018</v>
      </c>
      <c r="AV105" s="7">
        <v>59.646999999999998</v>
      </c>
      <c r="AW105" s="7">
        <v>0</v>
      </c>
      <c r="AX105" s="7">
        <v>21618.339</v>
      </c>
      <c r="AY105" s="7">
        <v>0</v>
      </c>
      <c r="AZ105" s="7">
        <v>83.350999999999999</v>
      </c>
      <c r="BA105" s="7">
        <v>0</v>
      </c>
      <c r="BB105" s="7">
        <v>622.39</v>
      </c>
      <c r="BC105" s="7">
        <v>0</v>
      </c>
      <c r="BD105" s="7">
        <v>0</v>
      </c>
      <c r="BE105" s="7">
        <v>0</v>
      </c>
      <c r="BF105" s="7">
        <v>148.50399999999999</v>
      </c>
      <c r="BG105" s="21"/>
    </row>
    <row r="106" spans="1:59" ht="15.6" x14ac:dyDescent="0.3">
      <c r="A106" s="5" t="s">
        <v>198</v>
      </c>
      <c r="B106" s="5" t="s">
        <v>199</v>
      </c>
      <c r="C106" s="7">
        <v>4</v>
      </c>
      <c r="D106" s="7">
        <v>4</v>
      </c>
      <c r="E106" s="7">
        <v>45493.987999999998</v>
      </c>
      <c r="F106" s="7">
        <v>14880.906000000001</v>
      </c>
      <c r="G106" s="7">
        <v>98.805999999999997</v>
      </c>
      <c r="H106" s="7">
        <v>5.7220000000000004</v>
      </c>
      <c r="I106" s="7">
        <v>810.11699999999996</v>
      </c>
      <c r="J106" s="7">
        <v>61.933</v>
      </c>
      <c r="K106" s="7">
        <v>72715.572</v>
      </c>
      <c r="L106" s="7">
        <v>4132.0290000000005</v>
      </c>
      <c r="M106" s="7">
        <v>0</v>
      </c>
      <c r="N106" s="7">
        <v>9289.9509999999991</v>
      </c>
      <c r="O106" s="7">
        <v>172818.93799999999</v>
      </c>
      <c r="P106" s="7">
        <v>11411.822</v>
      </c>
      <c r="Q106" s="7">
        <v>0</v>
      </c>
      <c r="R106" s="7">
        <v>49.716000000000001</v>
      </c>
      <c r="S106" s="7">
        <v>7.2320000000000002</v>
      </c>
      <c r="T106" s="7">
        <v>91.927000000000007</v>
      </c>
      <c r="U106" s="7">
        <v>0</v>
      </c>
      <c r="V106" s="7">
        <v>3432.0250000000001</v>
      </c>
      <c r="W106" s="7">
        <v>0</v>
      </c>
      <c r="X106" s="7">
        <v>1605.626</v>
      </c>
      <c r="Y106" s="7">
        <v>0</v>
      </c>
      <c r="Z106" s="7">
        <v>8.9830000000000005</v>
      </c>
      <c r="AA106" s="7">
        <v>952.58799999999997</v>
      </c>
      <c r="AB106" s="7">
        <v>9844.0869999999995</v>
      </c>
      <c r="AC106" s="7">
        <v>24979.722000000002</v>
      </c>
      <c r="AD106" s="7">
        <v>0</v>
      </c>
      <c r="AE106" s="7">
        <v>66.239999999999995</v>
      </c>
      <c r="AF106" s="7">
        <v>3150.9589999999998</v>
      </c>
      <c r="AG106" s="7">
        <v>2256.9470000000001</v>
      </c>
      <c r="AH106" s="7">
        <v>0</v>
      </c>
      <c r="AI106" s="7">
        <v>60191.034</v>
      </c>
      <c r="AJ106" s="7">
        <v>33170.741999999998</v>
      </c>
      <c r="AK106" s="7">
        <v>0</v>
      </c>
      <c r="AL106" s="7">
        <v>205311.97899999999</v>
      </c>
      <c r="AM106" s="7">
        <v>62419.366999999998</v>
      </c>
      <c r="AN106" s="7">
        <v>0</v>
      </c>
      <c r="AO106" s="7">
        <v>0</v>
      </c>
      <c r="AP106" s="7">
        <v>3178.82</v>
      </c>
      <c r="AQ106" s="7">
        <v>1342.6969999999999</v>
      </c>
      <c r="AR106" s="7">
        <v>0</v>
      </c>
      <c r="AS106" s="7">
        <v>0</v>
      </c>
      <c r="AT106" s="7">
        <v>0</v>
      </c>
      <c r="AU106" s="7">
        <v>78.635999999999996</v>
      </c>
      <c r="AV106" s="7">
        <v>282.57</v>
      </c>
      <c r="AW106" s="7">
        <v>0</v>
      </c>
      <c r="AX106" s="7">
        <v>9781.7990000000009</v>
      </c>
      <c r="AY106" s="7">
        <v>0</v>
      </c>
      <c r="AZ106" s="7">
        <v>37.914000000000001</v>
      </c>
      <c r="BA106" s="7">
        <v>0</v>
      </c>
      <c r="BB106" s="7">
        <v>287.46199999999999</v>
      </c>
      <c r="BC106" s="7">
        <v>0</v>
      </c>
      <c r="BD106" s="7">
        <v>0</v>
      </c>
      <c r="BE106" s="7">
        <v>0</v>
      </c>
      <c r="BF106" s="7">
        <v>703.51599999999996</v>
      </c>
      <c r="BG106" s="21"/>
    </row>
    <row r="107" spans="1:59" ht="15.6" x14ac:dyDescent="0.3">
      <c r="A107" s="5" t="s">
        <v>200</v>
      </c>
      <c r="B107" s="5" t="s">
        <v>201</v>
      </c>
      <c r="C107" s="7">
        <v>4</v>
      </c>
      <c r="D107" s="7">
        <v>4</v>
      </c>
      <c r="E107" s="7">
        <v>2002.3510000000001</v>
      </c>
      <c r="F107" s="7">
        <v>627.59500000000003</v>
      </c>
      <c r="G107" s="7">
        <v>2.0209999999999999</v>
      </c>
      <c r="H107" s="7">
        <v>0</v>
      </c>
      <c r="I107" s="7">
        <v>31.93</v>
      </c>
      <c r="J107" s="7">
        <v>1.2669999999999999</v>
      </c>
      <c r="K107" s="7">
        <v>2856.145</v>
      </c>
      <c r="L107" s="7">
        <v>163.857</v>
      </c>
      <c r="M107" s="7">
        <v>0</v>
      </c>
      <c r="N107" s="7">
        <v>324.32100000000003</v>
      </c>
      <c r="O107" s="7">
        <v>7558.4849999999997</v>
      </c>
      <c r="P107" s="7">
        <v>386.6</v>
      </c>
      <c r="Q107" s="7">
        <v>0</v>
      </c>
      <c r="R107" s="7">
        <v>3.5470000000000002</v>
      </c>
      <c r="S107" s="7">
        <v>0.33100000000000002</v>
      </c>
      <c r="T107" s="7">
        <v>6.5590000000000002</v>
      </c>
      <c r="U107" s="7">
        <v>0</v>
      </c>
      <c r="V107" s="7">
        <v>156.74100000000001</v>
      </c>
      <c r="W107" s="7">
        <v>0</v>
      </c>
      <c r="X107" s="7">
        <v>114.55500000000001</v>
      </c>
      <c r="Y107" s="7">
        <v>0</v>
      </c>
      <c r="Z107" s="7">
        <v>0.184</v>
      </c>
      <c r="AA107" s="7">
        <v>43.113</v>
      </c>
      <c r="AB107" s="7">
        <v>702.33799999999997</v>
      </c>
      <c r="AC107" s="7">
        <v>1143.289</v>
      </c>
      <c r="AD107" s="7">
        <v>0</v>
      </c>
      <c r="AE107" s="7">
        <v>1.355</v>
      </c>
      <c r="AF107" s="7">
        <v>224.809</v>
      </c>
      <c r="AG107" s="7">
        <v>103.203</v>
      </c>
      <c r="AH107" s="7">
        <v>0</v>
      </c>
      <c r="AI107" s="7">
        <v>2756.5340000000001</v>
      </c>
      <c r="AJ107" s="7">
        <v>1519.836</v>
      </c>
      <c r="AK107" s="7">
        <v>0</v>
      </c>
      <c r="AL107" s="7">
        <v>9398.9279999999999</v>
      </c>
      <c r="AM107" s="7">
        <v>2859.6610000000001</v>
      </c>
      <c r="AN107" s="7">
        <v>0</v>
      </c>
      <c r="AO107" s="7">
        <v>0</v>
      </c>
      <c r="AP107" s="7">
        <v>226.797</v>
      </c>
      <c r="AQ107" s="7">
        <v>95.796000000000006</v>
      </c>
      <c r="AR107" s="7">
        <v>0</v>
      </c>
      <c r="AS107" s="7">
        <v>0</v>
      </c>
      <c r="AT107" s="7">
        <v>0</v>
      </c>
      <c r="AU107" s="7">
        <v>3.5950000000000002</v>
      </c>
      <c r="AV107" s="7">
        <v>20.16</v>
      </c>
      <c r="AW107" s="7">
        <v>0</v>
      </c>
      <c r="AX107" s="7">
        <v>448.245</v>
      </c>
      <c r="AY107" s="7">
        <v>0</v>
      </c>
      <c r="AZ107" s="7">
        <v>1.732</v>
      </c>
      <c r="BA107" s="7">
        <v>0</v>
      </c>
      <c r="BB107" s="7">
        <v>13.023999999999999</v>
      </c>
      <c r="BC107" s="7">
        <v>0</v>
      </c>
      <c r="BD107" s="7">
        <v>0</v>
      </c>
      <c r="BE107" s="7">
        <v>0</v>
      </c>
      <c r="BF107" s="7">
        <v>50.192999999999998</v>
      </c>
      <c r="BG107" s="21"/>
    </row>
    <row r="108" spans="1:59" ht="15.6" x14ac:dyDescent="0.3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21"/>
    </row>
    <row r="109" spans="1:59" ht="15.6" x14ac:dyDescent="0.3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21"/>
    </row>
    <row r="110" spans="1:59" ht="15.6" x14ac:dyDescent="0.3">
      <c r="A110" s="5" t="s">
        <v>206</v>
      </c>
      <c r="B110" s="5" t="s">
        <v>207</v>
      </c>
      <c r="C110" s="7">
        <v>6</v>
      </c>
      <c r="D110" s="7">
        <v>6</v>
      </c>
      <c r="E110" s="7">
        <v>60564.705000000002</v>
      </c>
      <c r="F110" s="7">
        <v>631.17100000000005</v>
      </c>
      <c r="G110" s="7">
        <v>0</v>
      </c>
      <c r="H110" s="7">
        <v>8965.7139999999999</v>
      </c>
      <c r="I110" s="7">
        <v>0.34</v>
      </c>
      <c r="J110" s="7">
        <v>0</v>
      </c>
      <c r="K110" s="7">
        <v>72780.777000000002</v>
      </c>
      <c r="L110" s="7">
        <v>593.51300000000003</v>
      </c>
      <c r="M110" s="7">
        <v>0</v>
      </c>
      <c r="N110" s="7">
        <v>22244.465</v>
      </c>
      <c r="O110" s="7">
        <v>121864.882</v>
      </c>
      <c r="P110" s="7">
        <v>19263.448</v>
      </c>
      <c r="Q110" s="7">
        <v>0</v>
      </c>
      <c r="R110" s="7">
        <v>0</v>
      </c>
      <c r="S110" s="7">
        <v>4.0000000000000001E-3</v>
      </c>
      <c r="T110" s="7">
        <v>0</v>
      </c>
      <c r="U110" s="7">
        <v>2E-3</v>
      </c>
      <c r="V110" s="7">
        <v>1.665</v>
      </c>
      <c r="W110" s="7">
        <v>0</v>
      </c>
      <c r="X110" s="7">
        <v>0</v>
      </c>
      <c r="Y110" s="7">
        <v>0</v>
      </c>
      <c r="Z110" s="7">
        <v>0</v>
      </c>
      <c r="AA110" s="7">
        <v>0.45500000000000002</v>
      </c>
      <c r="AB110" s="7">
        <v>0</v>
      </c>
      <c r="AC110" s="7">
        <v>27834.100999999999</v>
      </c>
      <c r="AD110" s="7">
        <v>0</v>
      </c>
      <c r="AE110" s="7">
        <v>0</v>
      </c>
      <c r="AF110" s="7">
        <v>0</v>
      </c>
      <c r="AG110" s="7">
        <v>1.097</v>
      </c>
      <c r="AH110" s="7">
        <v>0</v>
      </c>
      <c r="AI110" s="7">
        <v>94802.327999999994</v>
      </c>
      <c r="AJ110" s="7">
        <v>3826.1680000000001</v>
      </c>
      <c r="AK110" s="7">
        <v>0</v>
      </c>
      <c r="AL110" s="7">
        <v>221605.80799999999</v>
      </c>
      <c r="AM110" s="7">
        <v>5246.1689999999999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3.7999999999999999E-2</v>
      </c>
      <c r="AV110" s="7">
        <v>0</v>
      </c>
      <c r="AW110" s="7">
        <v>0</v>
      </c>
      <c r="AX110" s="7">
        <v>4.774</v>
      </c>
      <c r="AY110" s="7">
        <v>0</v>
      </c>
      <c r="AZ110" s="7">
        <v>2.4E-2</v>
      </c>
      <c r="BA110" s="7">
        <v>0</v>
      </c>
      <c r="BB110" s="7">
        <v>0.13700000000000001</v>
      </c>
      <c r="BC110" s="7">
        <v>0</v>
      </c>
      <c r="BD110" s="7">
        <v>0</v>
      </c>
      <c r="BE110" s="7">
        <v>0</v>
      </c>
      <c r="BF110" s="7">
        <v>0</v>
      </c>
      <c r="BG110" s="21"/>
    </row>
    <row r="111" spans="1:59" ht="15.6" x14ac:dyDescent="0.3">
      <c r="A111" s="5" t="s">
        <v>208</v>
      </c>
      <c r="B111" s="5" t="s">
        <v>209</v>
      </c>
      <c r="C111" s="7">
        <v>4</v>
      </c>
      <c r="D111" s="7">
        <v>4</v>
      </c>
      <c r="E111" s="7">
        <v>63076.012999999999</v>
      </c>
      <c r="F111" s="7">
        <v>19775.04</v>
      </c>
      <c r="G111" s="7">
        <v>0</v>
      </c>
      <c r="H111" s="7">
        <v>0</v>
      </c>
      <c r="I111" s="7">
        <v>999.64</v>
      </c>
      <c r="J111" s="7">
        <v>0</v>
      </c>
      <c r="K111" s="7">
        <v>89907.497000000003</v>
      </c>
      <c r="L111" s="7">
        <v>5113.8190000000004</v>
      </c>
      <c r="M111" s="7">
        <v>0</v>
      </c>
      <c r="N111" s="7">
        <v>10099.654</v>
      </c>
      <c r="O111" s="7">
        <v>238870.568</v>
      </c>
      <c r="P111" s="7">
        <v>12083.196</v>
      </c>
      <c r="Q111" s="7">
        <v>0</v>
      </c>
      <c r="R111" s="7">
        <v>0</v>
      </c>
      <c r="S111" s="7">
        <v>10.401</v>
      </c>
      <c r="T111" s="7">
        <v>0</v>
      </c>
      <c r="U111" s="7">
        <v>0</v>
      </c>
      <c r="V111" s="7">
        <v>4924.9110000000001</v>
      </c>
      <c r="W111" s="7">
        <v>0</v>
      </c>
      <c r="X111" s="7">
        <v>0</v>
      </c>
      <c r="Y111" s="7">
        <v>0</v>
      </c>
      <c r="Z111" s="7">
        <v>0</v>
      </c>
      <c r="AA111" s="7">
        <v>1344.4960000000001</v>
      </c>
      <c r="AB111" s="7">
        <v>0</v>
      </c>
      <c r="AC111" s="7">
        <v>36019.758000000002</v>
      </c>
      <c r="AD111" s="7">
        <v>0</v>
      </c>
      <c r="AE111" s="7">
        <v>0</v>
      </c>
      <c r="AF111" s="7">
        <v>26.245999999999999</v>
      </c>
      <c r="AG111" s="7">
        <v>3245.2660000000001</v>
      </c>
      <c r="AH111" s="7">
        <v>0</v>
      </c>
      <c r="AI111" s="7">
        <v>86985.297999999995</v>
      </c>
      <c r="AJ111" s="7">
        <v>47936.633999999998</v>
      </c>
      <c r="AK111" s="7">
        <v>0</v>
      </c>
      <c r="AL111" s="7">
        <v>297486.82500000001</v>
      </c>
      <c r="AM111" s="7">
        <v>90137.312000000005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113.19499999999999</v>
      </c>
      <c r="AV111" s="7">
        <v>0</v>
      </c>
      <c r="AW111" s="7">
        <v>0</v>
      </c>
      <c r="AX111" s="7">
        <v>14144.958000000001</v>
      </c>
      <c r="AY111" s="7">
        <v>0</v>
      </c>
      <c r="AZ111" s="7">
        <v>54.444000000000003</v>
      </c>
      <c r="BA111" s="7">
        <v>0</v>
      </c>
      <c r="BB111" s="7">
        <v>538.37099999999998</v>
      </c>
      <c r="BC111" s="7">
        <v>0</v>
      </c>
      <c r="BD111" s="7">
        <v>0</v>
      </c>
      <c r="BE111" s="7">
        <v>15.265000000000001</v>
      </c>
      <c r="BF111" s="7">
        <v>0</v>
      </c>
      <c r="BG111" s="21"/>
    </row>
    <row r="112" spans="1:59" ht="15.6" x14ac:dyDescent="0.3">
      <c r="A112" s="5" t="s">
        <v>210</v>
      </c>
      <c r="B112" s="5" t="s">
        <v>211</v>
      </c>
      <c r="C112" s="7">
        <v>4</v>
      </c>
      <c r="D112" s="7">
        <v>4</v>
      </c>
      <c r="E112" s="7">
        <v>168645.65100000001</v>
      </c>
      <c r="F112" s="7">
        <v>47256.714999999997</v>
      </c>
      <c r="G112" s="7">
        <v>0</v>
      </c>
      <c r="H112" s="7">
        <v>0</v>
      </c>
      <c r="I112" s="7">
        <v>2462.067</v>
      </c>
      <c r="J112" s="7">
        <v>0</v>
      </c>
      <c r="K112" s="7">
        <v>225618.258</v>
      </c>
      <c r="L112" s="7">
        <v>20094.764999999999</v>
      </c>
      <c r="M112" s="7">
        <v>0</v>
      </c>
      <c r="N112" s="7">
        <v>25870.431</v>
      </c>
      <c r="O112" s="7">
        <v>565439.03399999999</v>
      </c>
      <c r="P112" s="7">
        <v>34371.504999999997</v>
      </c>
      <c r="Q112" s="7">
        <v>0</v>
      </c>
      <c r="R112" s="7">
        <v>0</v>
      </c>
      <c r="S112" s="7">
        <v>0.78600000000000003</v>
      </c>
      <c r="T112" s="7">
        <v>0</v>
      </c>
      <c r="U112" s="7">
        <v>0</v>
      </c>
      <c r="V112" s="7">
        <v>14377.162</v>
      </c>
      <c r="W112" s="7">
        <v>0</v>
      </c>
      <c r="X112" s="7">
        <v>0</v>
      </c>
      <c r="Y112" s="7">
        <v>0</v>
      </c>
      <c r="Z112" s="7">
        <v>0</v>
      </c>
      <c r="AA112" s="7">
        <v>3649.183</v>
      </c>
      <c r="AB112" s="7">
        <v>0</v>
      </c>
      <c r="AC112" s="7">
        <v>88908.019</v>
      </c>
      <c r="AD112" s="7">
        <v>0</v>
      </c>
      <c r="AE112" s="7">
        <v>0</v>
      </c>
      <c r="AF112" s="7">
        <v>31.216000000000001</v>
      </c>
      <c r="AG112" s="7">
        <v>7978.598</v>
      </c>
      <c r="AH112" s="7">
        <v>0</v>
      </c>
      <c r="AI112" s="7">
        <v>229887.166</v>
      </c>
      <c r="AJ112" s="7">
        <v>112667.875</v>
      </c>
      <c r="AK112" s="7">
        <v>0</v>
      </c>
      <c r="AL112" s="7">
        <v>755592.84600000002</v>
      </c>
      <c r="AM112" s="7">
        <v>209930.12899999999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614.24699999999996</v>
      </c>
      <c r="AV112" s="7">
        <v>0</v>
      </c>
      <c r="AW112" s="7">
        <v>30682.116000000002</v>
      </c>
      <c r="AX112" s="7">
        <v>32390.197</v>
      </c>
      <c r="AY112" s="7">
        <v>13590.679</v>
      </c>
      <c r="AZ112" s="7">
        <v>136.30000000000001</v>
      </c>
      <c r="BA112" s="7">
        <v>0</v>
      </c>
      <c r="BB112" s="7">
        <v>988.70899999999995</v>
      </c>
      <c r="BC112" s="7">
        <v>52952.618999999999</v>
      </c>
      <c r="BD112" s="7">
        <v>46884.512999999999</v>
      </c>
      <c r="BE112" s="7">
        <v>27776.741000000002</v>
      </c>
      <c r="BF112" s="7">
        <v>0</v>
      </c>
      <c r="BG112" s="21"/>
    </row>
    <row r="113" spans="1:59" ht="15.6" x14ac:dyDescent="0.3">
      <c r="A113" s="5" t="s">
        <v>212</v>
      </c>
      <c r="B113" s="5" t="s">
        <v>213</v>
      </c>
      <c r="C113" s="7">
        <v>4</v>
      </c>
      <c r="D113" s="7">
        <v>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21"/>
    </row>
    <row r="114" spans="1:59" ht="15.6" x14ac:dyDescent="0.3">
      <c r="A114" s="5" t="s">
        <v>214</v>
      </c>
      <c r="B114" s="5" t="s">
        <v>215</v>
      </c>
      <c r="C114" s="7">
        <v>6</v>
      </c>
      <c r="D114" s="7">
        <v>6</v>
      </c>
      <c r="E114" s="7">
        <v>0</v>
      </c>
      <c r="F114" s="7">
        <v>43.396000000000001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0.748</v>
      </c>
      <c r="O114" s="7">
        <v>-0.23699999999999999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363.625</v>
      </c>
      <c r="AJ114" s="7">
        <v>24.317</v>
      </c>
      <c r="AK114" s="7">
        <v>0</v>
      </c>
      <c r="AL114" s="7">
        <v>303.64299999999997</v>
      </c>
      <c r="AM114" s="7">
        <v>12.718999999999999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21"/>
    </row>
    <row r="115" spans="1:59" ht="15.6" x14ac:dyDescent="0.3">
      <c r="A115" s="5" t="s">
        <v>216</v>
      </c>
      <c r="B115" s="5" t="s">
        <v>217</v>
      </c>
      <c r="C115" s="7">
        <v>6</v>
      </c>
      <c r="D115" s="7">
        <v>6</v>
      </c>
      <c r="E115" s="7">
        <v>56112.699000000001</v>
      </c>
      <c r="F115" s="7">
        <v>1173.1469999999999</v>
      </c>
      <c r="G115" s="7">
        <v>0</v>
      </c>
      <c r="H115" s="7">
        <v>0</v>
      </c>
      <c r="I115" s="7">
        <v>77.408000000000001</v>
      </c>
      <c r="J115" s="7">
        <v>0</v>
      </c>
      <c r="K115" s="7">
        <v>61092.637999999999</v>
      </c>
      <c r="L115" s="7">
        <v>4586.0659999999998</v>
      </c>
      <c r="M115" s="7">
        <v>0</v>
      </c>
      <c r="N115" s="7">
        <v>34441.838000000003</v>
      </c>
      <c r="O115" s="7">
        <v>187916.44699999999</v>
      </c>
      <c r="P115" s="7">
        <v>37568.1</v>
      </c>
      <c r="Q115" s="7">
        <v>0</v>
      </c>
      <c r="R115" s="7">
        <v>0</v>
      </c>
      <c r="S115" s="7">
        <v>25.803000000000001</v>
      </c>
      <c r="T115" s="7">
        <v>0</v>
      </c>
      <c r="U115" s="7">
        <v>25.803000000000001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258.02600000000001</v>
      </c>
      <c r="AB115" s="7">
        <v>0</v>
      </c>
      <c r="AC115" s="7">
        <v>18108.953000000001</v>
      </c>
      <c r="AD115" s="7">
        <v>0</v>
      </c>
      <c r="AE115" s="7">
        <v>2425.4459999999999</v>
      </c>
      <c r="AF115" s="7">
        <v>0</v>
      </c>
      <c r="AG115" s="7">
        <v>206.42099999999999</v>
      </c>
      <c r="AH115" s="7">
        <v>0</v>
      </c>
      <c r="AI115" s="7">
        <v>54622.442000000003</v>
      </c>
      <c r="AJ115" s="7">
        <v>114.184</v>
      </c>
      <c r="AK115" s="7">
        <v>0</v>
      </c>
      <c r="AL115" s="7">
        <v>218919.67300000001</v>
      </c>
      <c r="AM115" s="7">
        <v>77.400000000000006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21"/>
    </row>
    <row r="116" spans="1:59" ht="15.6" x14ac:dyDescent="0.3">
      <c r="A116" s="5" t="s">
        <v>218</v>
      </c>
      <c r="B116" s="5" t="s">
        <v>219</v>
      </c>
      <c r="C116" s="7">
        <v>4</v>
      </c>
      <c r="D116" s="7">
        <v>4</v>
      </c>
      <c r="E116" s="7">
        <v>17998.314999999999</v>
      </c>
      <c r="F116" s="7">
        <v>5646.3230000000003</v>
      </c>
      <c r="G116" s="7">
        <v>0</v>
      </c>
      <c r="H116" s="7">
        <v>11738.303</v>
      </c>
      <c r="I116" s="7">
        <v>285.99200000000002</v>
      </c>
      <c r="J116" s="7">
        <v>0</v>
      </c>
      <c r="K116" s="7">
        <v>25721.542000000001</v>
      </c>
      <c r="L116" s="7">
        <v>1461.92</v>
      </c>
      <c r="M116" s="7">
        <v>0</v>
      </c>
      <c r="N116" s="7">
        <v>2889.4070000000002</v>
      </c>
      <c r="O116" s="7">
        <v>68075.774999999994</v>
      </c>
      <c r="P116" s="7">
        <v>3452.5230000000001</v>
      </c>
      <c r="Q116" s="7">
        <v>0</v>
      </c>
      <c r="R116" s="7">
        <v>0</v>
      </c>
      <c r="S116" s="7">
        <v>2.9790000000000001</v>
      </c>
      <c r="T116" s="7">
        <v>0</v>
      </c>
      <c r="U116" s="7">
        <v>0</v>
      </c>
      <c r="V116" s="7">
        <v>1408.615</v>
      </c>
      <c r="W116" s="7">
        <v>0</v>
      </c>
      <c r="X116" s="7">
        <v>0</v>
      </c>
      <c r="Y116" s="7">
        <v>0</v>
      </c>
      <c r="Z116" s="7">
        <v>0</v>
      </c>
      <c r="AA116" s="7">
        <v>384.60500000000002</v>
      </c>
      <c r="AB116" s="7">
        <v>0</v>
      </c>
      <c r="AC116" s="7">
        <v>10292.582</v>
      </c>
      <c r="AD116" s="7">
        <v>0</v>
      </c>
      <c r="AE116" s="7">
        <v>0</v>
      </c>
      <c r="AF116" s="7">
        <v>0</v>
      </c>
      <c r="AG116" s="7">
        <v>928.41700000000003</v>
      </c>
      <c r="AH116" s="7">
        <v>7061.2569999999996</v>
      </c>
      <c r="AI116" s="7">
        <v>24828.138999999999</v>
      </c>
      <c r="AJ116" s="7">
        <v>13695.915000000001</v>
      </c>
      <c r="AK116" s="7">
        <v>33903.525000000001</v>
      </c>
      <c r="AL116" s="7">
        <v>84629.926999999996</v>
      </c>
      <c r="AM116" s="7">
        <v>25769.673999999999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32.328000000000003</v>
      </c>
      <c r="AV116" s="7">
        <v>0</v>
      </c>
      <c r="AW116" s="7">
        <v>0</v>
      </c>
      <c r="AX116" s="7">
        <v>4039.3310000000001</v>
      </c>
      <c r="AY116" s="7">
        <v>0</v>
      </c>
      <c r="AZ116" s="7">
        <v>15.574</v>
      </c>
      <c r="BA116" s="7">
        <v>0</v>
      </c>
      <c r="BB116" s="7">
        <v>2122.5520000000001</v>
      </c>
      <c r="BC116" s="7">
        <v>0</v>
      </c>
      <c r="BD116" s="7">
        <v>0</v>
      </c>
      <c r="BE116" s="7">
        <v>0</v>
      </c>
      <c r="BF116" s="7">
        <v>0</v>
      </c>
      <c r="BG116" s="21"/>
    </row>
    <row r="117" spans="1:59" ht="15.6" x14ac:dyDescent="0.3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298614.72399999999</v>
      </c>
      <c r="AP117" s="7">
        <v>0</v>
      </c>
      <c r="AQ117" s="7">
        <v>0</v>
      </c>
      <c r="AR117" s="7">
        <v>182483.18400000001</v>
      </c>
      <c r="AS117" s="7">
        <v>0</v>
      </c>
      <c r="AT117" s="7">
        <v>96232.89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1540.9079999999999</v>
      </c>
      <c r="BC117" s="7">
        <v>0</v>
      </c>
      <c r="BD117" s="7">
        <v>0</v>
      </c>
      <c r="BE117" s="7">
        <v>0</v>
      </c>
      <c r="BF117" s="7">
        <v>0</v>
      </c>
      <c r="BG117" s="21"/>
    </row>
    <row r="118" spans="1:59" ht="15.6" x14ac:dyDescent="0.3">
      <c r="A118" s="5" t="s">
        <v>222</v>
      </c>
      <c r="B118" s="5" t="s">
        <v>223</v>
      </c>
      <c r="C118" s="7">
        <v>4</v>
      </c>
      <c r="D118" s="7">
        <v>3</v>
      </c>
      <c r="E118" s="7">
        <v>0</v>
      </c>
      <c r="F118" s="7">
        <v>0</v>
      </c>
      <c r="G118" s="7">
        <v>354.38200000000001</v>
      </c>
      <c r="H118" s="7">
        <v>0</v>
      </c>
      <c r="I118" s="7">
        <v>0</v>
      </c>
      <c r="J118" s="7">
        <v>82.326999999999998</v>
      </c>
      <c r="K118" s="7">
        <v>0</v>
      </c>
      <c r="L118" s="7">
        <v>4163.5889999999999</v>
      </c>
      <c r="M118" s="7">
        <v>0</v>
      </c>
      <c r="N118" s="7">
        <v>0</v>
      </c>
      <c r="O118" s="7">
        <v>0</v>
      </c>
      <c r="P118" s="7">
        <v>0</v>
      </c>
      <c r="Q118" s="7">
        <v>2318.1570000000002</v>
      </c>
      <c r="R118" s="7">
        <v>0</v>
      </c>
      <c r="S118" s="7">
        <v>0</v>
      </c>
      <c r="T118" s="7">
        <v>227.87</v>
      </c>
      <c r="U118" s="7">
        <v>630.471</v>
      </c>
      <c r="V118" s="7">
        <v>0</v>
      </c>
      <c r="W118" s="7">
        <v>0</v>
      </c>
      <c r="X118" s="7">
        <v>900.05700000000002</v>
      </c>
      <c r="Y118" s="7">
        <v>0</v>
      </c>
      <c r="Z118" s="7">
        <v>0</v>
      </c>
      <c r="AA118" s="7">
        <v>2702.4760000000001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10615.669</v>
      </c>
      <c r="AI118" s="7">
        <v>0</v>
      </c>
      <c r="AJ118" s="7">
        <v>0</v>
      </c>
      <c r="AK118" s="7">
        <v>44061.118000000002</v>
      </c>
      <c r="AL118" s="7">
        <v>0</v>
      </c>
      <c r="AM118" s="7">
        <v>0</v>
      </c>
      <c r="AN118" s="7">
        <v>0</v>
      </c>
      <c r="AO118" s="7">
        <v>0</v>
      </c>
      <c r="AP118" s="7">
        <v>5308.0690000000004</v>
      </c>
      <c r="AQ118" s="7">
        <v>6455.0420000000004</v>
      </c>
      <c r="AR118" s="7">
        <v>0</v>
      </c>
      <c r="AS118" s="7">
        <v>0</v>
      </c>
      <c r="AT118" s="7">
        <v>0</v>
      </c>
      <c r="AU118" s="7">
        <v>0</v>
      </c>
      <c r="AV118" s="7">
        <v>874.91300000000001</v>
      </c>
      <c r="AW118" s="7">
        <v>0</v>
      </c>
      <c r="AX118" s="7">
        <v>0</v>
      </c>
      <c r="AY118" s="7">
        <v>0</v>
      </c>
      <c r="AZ118" s="7">
        <v>41.241999999999997</v>
      </c>
      <c r="BA118" s="7">
        <v>0</v>
      </c>
      <c r="BB118" s="7">
        <v>2071.0810000000001</v>
      </c>
      <c r="BC118" s="7">
        <v>0</v>
      </c>
      <c r="BD118" s="7">
        <v>0</v>
      </c>
      <c r="BE118" s="7">
        <v>0</v>
      </c>
      <c r="BF118" s="7">
        <v>0</v>
      </c>
      <c r="BG118" s="21"/>
    </row>
    <row r="119" spans="1:59" ht="15.6" x14ac:dyDescent="0.3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21"/>
    </row>
    <row r="120" spans="1:59" ht="15.6" x14ac:dyDescent="0.3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21"/>
    </row>
    <row r="121" spans="1:59" ht="15.6" x14ac:dyDescent="0.3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21"/>
    </row>
    <row r="122" spans="1:59" ht="15.6" x14ac:dyDescent="0.3">
      <c r="A122" s="5" t="s">
        <v>230</v>
      </c>
      <c r="B122" s="5" t="s">
        <v>231</v>
      </c>
      <c r="C122" s="7">
        <v>4</v>
      </c>
      <c r="D122" s="7">
        <v>4</v>
      </c>
      <c r="E122" s="7">
        <v>172565.10800000001</v>
      </c>
      <c r="F122" s="7">
        <v>48416.447999999997</v>
      </c>
      <c r="G122" s="7">
        <v>0</v>
      </c>
      <c r="H122" s="7">
        <v>0</v>
      </c>
      <c r="I122" s="7">
        <v>2470.6210000000001</v>
      </c>
      <c r="J122" s="7">
        <v>0</v>
      </c>
      <c r="K122" s="7">
        <v>225865.46</v>
      </c>
      <c r="L122" s="7">
        <v>20674.646000000001</v>
      </c>
      <c r="M122" s="7">
        <v>0</v>
      </c>
      <c r="N122" s="7">
        <v>25323.745999999999</v>
      </c>
      <c r="O122" s="7">
        <v>576146.62199999997</v>
      </c>
      <c r="P122" s="7">
        <v>34583.034</v>
      </c>
      <c r="Q122" s="7">
        <v>0</v>
      </c>
      <c r="R122" s="7">
        <v>1367.924</v>
      </c>
      <c r="S122" s="7">
        <v>0</v>
      </c>
      <c r="T122" s="7">
        <v>836.54899999999998</v>
      </c>
      <c r="U122" s="7">
        <v>0</v>
      </c>
      <c r="V122" s="7">
        <v>14869.333000000001</v>
      </c>
      <c r="W122" s="7">
        <v>0</v>
      </c>
      <c r="X122" s="7">
        <v>14902.045</v>
      </c>
      <c r="Y122" s="7">
        <v>0</v>
      </c>
      <c r="Z122" s="7">
        <v>0</v>
      </c>
      <c r="AA122" s="7">
        <v>3665.181</v>
      </c>
      <c r="AB122" s="7">
        <v>0</v>
      </c>
      <c r="AC122" s="7">
        <v>97636.051999999996</v>
      </c>
      <c r="AD122" s="7">
        <v>24610.781999999999</v>
      </c>
      <c r="AE122" s="7">
        <v>0</v>
      </c>
      <c r="AF122" s="7">
        <v>35335.374000000003</v>
      </c>
      <c r="AG122" s="7">
        <v>8277.7289999999994</v>
      </c>
      <c r="AH122" s="7">
        <v>8299.0509999999995</v>
      </c>
      <c r="AI122" s="7">
        <v>252989.12400000001</v>
      </c>
      <c r="AJ122" s="7">
        <v>116413.25900000001</v>
      </c>
      <c r="AK122" s="7">
        <v>36455.792000000001</v>
      </c>
      <c r="AL122" s="7">
        <v>737688.95400000003</v>
      </c>
      <c r="AM122" s="7">
        <v>217999.47700000001</v>
      </c>
      <c r="AN122" s="7">
        <v>152826.05100000001</v>
      </c>
      <c r="AO122" s="7">
        <v>1443421.8230000001</v>
      </c>
      <c r="AP122" s="7">
        <v>31304.577000000001</v>
      </c>
      <c r="AQ122" s="7">
        <v>12935.57</v>
      </c>
      <c r="AR122" s="7">
        <v>882073.755</v>
      </c>
      <c r="AS122" s="7">
        <v>0</v>
      </c>
      <c r="AT122" s="7">
        <v>465163.44300000003</v>
      </c>
      <c r="AU122" s="7">
        <v>686.18700000000001</v>
      </c>
      <c r="AV122" s="7">
        <v>2337.1689999999999</v>
      </c>
      <c r="AW122" s="7">
        <v>0</v>
      </c>
      <c r="AX122" s="7">
        <v>34601.214999999997</v>
      </c>
      <c r="AY122" s="7">
        <v>0</v>
      </c>
      <c r="AZ122" s="7">
        <v>149.75200000000001</v>
      </c>
      <c r="BA122" s="7">
        <v>0</v>
      </c>
      <c r="BB122" s="7">
        <v>1085.298</v>
      </c>
      <c r="BC122" s="7">
        <v>0</v>
      </c>
      <c r="BD122" s="7">
        <v>0</v>
      </c>
      <c r="BE122" s="7">
        <v>46878.851000000002</v>
      </c>
      <c r="BF122" s="7">
        <v>0</v>
      </c>
      <c r="BG122" s="21"/>
    </row>
    <row r="123" spans="1:59" ht="15.6" x14ac:dyDescent="0.3">
      <c r="A123" s="5" t="s">
        <v>232</v>
      </c>
      <c r="B123" s="5" t="s">
        <v>233</v>
      </c>
      <c r="C123" s="7">
        <v>4</v>
      </c>
      <c r="D123" s="7">
        <v>3</v>
      </c>
      <c r="E123" s="7">
        <v>1314.2260000000001</v>
      </c>
      <c r="F123" s="7">
        <v>962.82600000000002</v>
      </c>
      <c r="G123" s="7">
        <v>866.92499999999995</v>
      </c>
      <c r="H123" s="7">
        <v>331.12700000000001</v>
      </c>
      <c r="I123" s="7">
        <v>148.71299999999999</v>
      </c>
      <c r="J123" s="7">
        <v>771.80799999999999</v>
      </c>
      <c r="K123" s="7">
        <v>261.31099999999998</v>
      </c>
      <c r="L123" s="7">
        <v>455.947</v>
      </c>
      <c r="M123" s="7">
        <v>0</v>
      </c>
      <c r="N123" s="7">
        <v>1498.318</v>
      </c>
      <c r="O123" s="7">
        <v>4269.6210000000001</v>
      </c>
      <c r="P123" s="7">
        <v>1636.7719999999999</v>
      </c>
      <c r="Q123" s="7">
        <v>0</v>
      </c>
      <c r="R123" s="7">
        <v>0</v>
      </c>
      <c r="S123" s="7">
        <v>2E-3</v>
      </c>
      <c r="T123" s="7">
        <v>521.65599999999995</v>
      </c>
      <c r="U123" s="7">
        <v>650.36400000000003</v>
      </c>
      <c r="V123" s="7">
        <v>360.315</v>
      </c>
      <c r="W123" s="7">
        <v>0</v>
      </c>
      <c r="X123" s="7">
        <v>4398.88</v>
      </c>
      <c r="Y123" s="7">
        <v>0</v>
      </c>
      <c r="Z123" s="7">
        <v>86.897000000000006</v>
      </c>
      <c r="AA123" s="7">
        <v>139.071</v>
      </c>
      <c r="AB123" s="7">
        <v>0</v>
      </c>
      <c r="AC123" s="7">
        <v>295.31700000000001</v>
      </c>
      <c r="AD123" s="7">
        <v>16518.295999999998</v>
      </c>
      <c r="AE123" s="7">
        <v>1500.875</v>
      </c>
      <c r="AF123" s="7">
        <v>0</v>
      </c>
      <c r="AG123" s="7">
        <v>186.91900000000001</v>
      </c>
      <c r="AH123" s="7">
        <v>2392.6619999999998</v>
      </c>
      <c r="AI123" s="7">
        <v>5.282</v>
      </c>
      <c r="AJ123" s="7">
        <v>13.59</v>
      </c>
      <c r="AK123" s="7">
        <v>6464.4880000000003</v>
      </c>
      <c r="AL123" s="7">
        <v>11420.864</v>
      </c>
      <c r="AM123" s="7">
        <v>23.184000000000001</v>
      </c>
      <c r="AN123" s="7">
        <v>99609.945999999996</v>
      </c>
      <c r="AO123" s="7">
        <v>0</v>
      </c>
      <c r="AP123" s="7">
        <v>11531.664000000001</v>
      </c>
      <c r="AQ123" s="7">
        <v>7639.9709999999995</v>
      </c>
      <c r="AR123" s="7">
        <v>0</v>
      </c>
      <c r="AS123" s="7">
        <v>0</v>
      </c>
      <c r="AT123" s="7">
        <v>0</v>
      </c>
      <c r="AU123" s="7">
        <v>20.329999999999998</v>
      </c>
      <c r="AV123" s="7">
        <v>1812.414</v>
      </c>
      <c r="AW123" s="7">
        <v>0</v>
      </c>
      <c r="AX123" s="7">
        <v>1.905</v>
      </c>
      <c r="AY123" s="7">
        <v>0</v>
      </c>
      <c r="AZ123" s="7">
        <v>1.369</v>
      </c>
      <c r="BA123" s="7">
        <v>0</v>
      </c>
      <c r="BB123" s="7">
        <v>46.963000000000001</v>
      </c>
      <c r="BC123" s="7">
        <v>0</v>
      </c>
      <c r="BD123" s="7">
        <v>0</v>
      </c>
      <c r="BE123" s="7">
        <v>3943.078</v>
      </c>
      <c r="BF123" s="7">
        <v>0</v>
      </c>
      <c r="BG123" s="21"/>
    </row>
    <row r="124" spans="1:59" ht="15.6" x14ac:dyDescent="0.3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21"/>
    </row>
    <row r="125" spans="1:59" ht="15.6" x14ac:dyDescent="0.3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21"/>
    </row>
    <row r="126" spans="1:59" ht="15.6" x14ac:dyDescent="0.3">
      <c r="A126" s="5" t="s">
        <v>237</v>
      </c>
      <c r="B126" s="5" t="s">
        <v>238</v>
      </c>
      <c r="C126" s="7">
        <v>4</v>
      </c>
      <c r="D126" s="7">
        <v>4</v>
      </c>
      <c r="E126" s="7">
        <v>11.407</v>
      </c>
      <c r="F126" s="7">
        <v>1.42</v>
      </c>
      <c r="G126" s="7">
        <v>5.24</v>
      </c>
      <c r="H126" s="7">
        <v>0</v>
      </c>
      <c r="I126" s="7">
        <v>0.374</v>
      </c>
      <c r="J126" s="7">
        <v>3.585</v>
      </c>
      <c r="K126" s="7">
        <v>1.401</v>
      </c>
      <c r="L126" s="7">
        <v>3.4569999999999999</v>
      </c>
      <c r="M126" s="7">
        <v>0</v>
      </c>
      <c r="N126" s="7">
        <v>7.62</v>
      </c>
      <c r="O126" s="7">
        <v>5.47</v>
      </c>
      <c r="P126" s="7">
        <v>7.407</v>
      </c>
      <c r="Q126" s="7">
        <v>0</v>
      </c>
      <c r="R126" s="7">
        <v>0</v>
      </c>
      <c r="S126" s="7">
        <v>4.0000000000000001E-3</v>
      </c>
      <c r="T126" s="7">
        <v>0</v>
      </c>
      <c r="U126" s="7">
        <v>101.80800000000001</v>
      </c>
      <c r="V126" s="7">
        <v>0.52900000000000003</v>
      </c>
      <c r="W126" s="7">
        <v>0</v>
      </c>
      <c r="X126" s="7">
        <v>0</v>
      </c>
      <c r="Y126" s="7">
        <v>0</v>
      </c>
      <c r="Z126" s="7">
        <v>0.32200000000000001</v>
      </c>
      <c r="AA126" s="7">
        <v>1.0649999999999999</v>
      </c>
      <c r="AB126" s="7">
        <v>0</v>
      </c>
      <c r="AC126" s="7">
        <v>1.6859999999999999</v>
      </c>
      <c r="AD126" s="7">
        <v>0</v>
      </c>
      <c r="AE126" s="7">
        <v>4.1769999999999996</v>
      </c>
      <c r="AF126" s="7">
        <v>0</v>
      </c>
      <c r="AG126" s="7">
        <v>0.20599999999999999</v>
      </c>
      <c r="AH126" s="7">
        <v>0</v>
      </c>
      <c r="AI126" s="7">
        <v>3.9529999999999998</v>
      </c>
      <c r="AJ126" s="7">
        <v>0</v>
      </c>
      <c r="AK126" s="7">
        <v>0</v>
      </c>
      <c r="AL126" s="7">
        <v>17.797999999999998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2.3E-2</v>
      </c>
      <c r="AV126" s="7">
        <v>0</v>
      </c>
      <c r="AW126" s="7">
        <v>0</v>
      </c>
      <c r="AX126" s="7">
        <v>0</v>
      </c>
      <c r="AY126" s="7">
        <v>0</v>
      </c>
      <c r="AZ126" s="7">
        <v>2E-3</v>
      </c>
      <c r="BA126" s="7">
        <v>0</v>
      </c>
      <c r="BB126" s="7">
        <v>0.127</v>
      </c>
      <c r="BC126" s="7">
        <v>0</v>
      </c>
      <c r="BD126" s="7">
        <v>0</v>
      </c>
      <c r="BE126" s="7">
        <v>0</v>
      </c>
      <c r="BF126" s="7">
        <v>0</v>
      </c>
      <c r="BG126" s="21"/>
    </row>
    <row r="127" spans="1:59" ht="15.6" x14ac:dyDescent="0.3">
      <c r="A127" s="5" t="s">
        <v>239</v>
      </c>
      <c r="B127" s="5" t="s">
        <v>240</v>
      </c>
      <c r="C127" s="7">
        <v>4</v>
      </c>
      <c r="D127" s="7">
        <v>3</v>
      </c>
      <c r="E127" s="7">
        <v>4406.9650000000001</v>
      </c>
      <c r="F127" s="7">
        <v>3783.5610000000001</v>
      </c>
      <c r="G127" s="7">
        <v>375.00700000000001</v>
      </c>
      <c r="H127" s="7">
        <v>1742.857</v>
      </c>
      <c r="I127" s="7">
        <v>609.14300000000003</v>
      </c>
      <c r="J127" s="7">
        <v>2899.5329999999999</v>
      </c>
      <c r="K127" s="7">
        <v>67.260000000000005</v>
      </c>
      <c r="L127" s="7">
        <v>1993.9780000000001</v>
      </c>
      <c r="M127" s="7">
        <v>0</v>
      </c>
      <c r="N127" s="7">
        <v>7612.4970000000003</v>
      </c>
      <c r="O127" s="7">
        <v>15946.727000000001</v>
      </c>
      <c r="P127" s="7">
        <v>6993.1210000000001</v>
      </c>
      <c r="Q127" s="7">
        <v>0</v>
      </c>
      <c r="R127" s="7">
        <v>0</v>
      </c>
      <c r="S127" s="7">
        <v>1.6E-2</v>
      </c>
      <c r="T127" s="7">
        <v>0</v>
      </c>
      <c r="U127" s="7">
        <v>0.10100000000000001</v>
      </c>
      <c r="V127" s="7">
        <v>1507.546</v>
      </c>
      <c r="W127" s="7">
        <v>0</v>
      </c>
      <c r="X127" s="7">
        <v>0</v>
      </c>
      <c r="Y127" s="7">
        <v>0</v>
      </c>
      <c r="Z127" s="7">
        <v>265.93200000000002</v>
      </c>
      <c r="AA127" s="7">
        <v>721.67100000000005</v>
      </c>
      <c r="AB127" s="7">
        <v>0</v>
      </c>
      <c r="AC127" s="7">
        <v>36.832999999999998</v>
      </c>
      <c r="AD127" s="7">
        <v>0</v>
      </c>
      <c r="AE127" s="7">
        <v>5971.5959999999995</v>
      </c>
      <c r="AF127" s="7">
        <v>0</v>
      </c>
      <c r="AG127" s="7">
        <v>669.90099999999995</v>
      </c>
      <c r="AH127" s="7">
        <v>0</v>
      </c>
      <c r="AI127" s="7">
        <v>16.806999999999999</v>
      </c>
      <c r="AJ127" s="7">
        <v>71.53</v>
      </c>
      <c r="AK127" s="7">
        <v>0</v>
      </c>
      <c r="AL127" s="7">
        <v>37200.824000000001</v>
      </c>
      <c r="AM127" s="7">
        <v>122.01900000000001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76.427000000000007</v>
      </c>
      <c r="AV127" s="7">
        <v>0</v>
      </c>
      <c r="AW127" s="7">
        <v>0</v>
      </c>
      <c r="AX127" s="7">
        <v>10.029999999999999</v>
      </c>
      <c r="AY127" s="7">
        <v>0</v>
      </c>
      <c r="AZ127" s="7">
        <v>5.452</v>
      </c>
      <c r="BA127" s="7">
        <v>0</v>
      </c>
      <c r="BB127" s="7">
        <v>0.74199999999999999</v>
      </c>
      <c r="BC127" s="7">
        <v>0</v>
      </c>
      <c r="BD127" s="7">
        <v>0</v>
      </c>
      <c r="BE127" s="7">
        <v>5095.2560000000003</v>
      </c>
      <c r="BF127" s="7">
        <v>0</v>
      </c>
      <c r="BG127" s="21"/>
    </row>
    <row r="128" spans="1:59" ht="15.6" x14ac:dyDescent="0.3">
      <c r="A128" s="5" t="s">
        <v>241</v>
      </c>
      <c r="B128" s="5" t="s">
        <v>242</v>
      </c>
      <c r="C128" s="7">
        <v>2</v>
      </c>
      <c r="D128" s="7">
        <v>2</v>
      </c>
      <c r="E128" s="7">
        <v>34396.851999999999</v>
      </c>
      <c r="F128" s="7">
        <v>11478.695</v>
      </c>
      <c r="G128" s="7">
        <v>11321.281999999999</v>
      </c>
      <c r="H128" s="7">
        <v>0</v>
      </c>
      <c r="I128" s="7">
        <v>2247.3649999999998</v>
      </c>
      <c r="J128" s="7">
        <v>8819.5509999999995</v>
      </c>
      <c r="K128" s="7">
        <v>63634.175999999999</v>
      </c>
      <c r="L128" s="7">
        <v>11435.848</v>
      </c>
      <c r="M128" s="7">
        <v>0</v>
      </c>
      <c r="N128" s="7">
        <v>20357.446</v>
      </c>
      <c r="O128" s="7">
        <v>48957.697</v>
      </c>
      <c r="P128" s="7">
        <v>30465.933000000001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3552.835</v>
      </c>
      <c r="W128" s="7">
        <v>0</v>
      </c>
      <c r="X128" s="7">
        <v>0</v>
      </c>
      <c r="Y128" s="7">
        <v>0</v>
      </c>
      <c r="Z128" s="7">
        <v>1198.6420000000001</v>
      </c>
      <c r="AA128" s="7">
        <v>3213.95</v>
      </c>
      <c r="AB128" s="7">
        <v>0</v>
      </c>
      <c r="AC128" s="7">
        <v>10623.931</v>
      </c>
      <c r="AD128" s="7">
        <v>0</v>
      </c>
      <c r="AE128" s="7">
        <v>10945.064</v>
      </c>
      <c r="AF128" s="7">
        <v>0</v>
      </c>
      <c r="AG128" s="7">
        <v>1574.5239999999999</v>
      </c>
      <c r="AH128" s="7">
        <v>0</v>
      </c>
      <c r="AI128" s="7">
        <v>27416.942999999999</v>
      </c>
      <c r="AJ128" s="7">
        <v>0</v>
      </c>
      <c r="AK128" s="7">
        <v>0</v>
      </c>
      <c r="AL128" s="7">
        <v>99088.002999999997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88.48</v>
      </c>
      <c r="AV128" s="7">
        <v>0</v>
      </c>
      <c r="AW128" s="7">
        <v>0</v>
      </c>
      <c r="AX128" s="7">
        <v>0</v>
      </c>
      <c r="AY128" s="7">
        <v>0</v>
      </c>
      <c r="AZ128" s="7">
        <v>4.2649999999999997</v>
      </c>
      <c r="BA128" s="7">
        <v>0</v>
      </c>
      <c r="BB128" s="7">
        <v>0</v>
      </c>
      <c r="BC128" s="7">
        <v>0</v>
      </c>
      <c r="BD128" s="7">
        <v>0</v>
      </c>
      <c r="BE128" s="7">
        <v>22.760999999999999</v>
      </c>
      <c r="BF128" s="7">
        <v>0</v>
      </c>
      <c r="BG128" s="21"/>
    </row>
    <row r="129" spans="1:59" ht="15.6" x14ac:dyDescent="0.3">
      <c r="A129" s="5" t="s">
        <v>243</v>
      </c>
      <c r="B129" s="5" t="s">
        <v>244</v>
      </c>
      <c r="C129" s="7">
        <v>4</v>
      </c>
      <c r="D129" s="7">
        <v>4</v>
      </c>
      <c r="E129" s="7">
        <v>28752.383000000002</v>
      </c>
      <c r="F129" s="7">
        <v>8067.3289999999997</v>
      </c>
      <c r="G129" s="7">
        <v>0</v>
      </c>
      <c r="H129" s="7">
        <v>0</v>
      </c>
      <c r="I129" s="7">
        <v>411.56400000000002</v>
      </c>
      <c r="J129" s="7">
        <v>0</v>
      </c>
      <c r="K129" s="7">
        <v>37628.171999999999</v>
      </c>
      <c r="L129" s="7">
        <v>3444.6689999999999</v>
      </c>
      <c r="M129" s="7">
        <v>0</v>
      </c>
      <c r="N129" s="7">
        <v>4218.1980000000003</v>
      </c>
      <c r="O129" s="7">
        <v>95995.99</v>
      </c>
      <c r="P129" s="7">
        <v>5761.4409999999998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2477.6689999999999</v>
      </c>
      <c r="W129" s="7">
        <v>0</v>
      </c>
      <c r="X129" s="7">
        <v>0</v>
      </c>
      <c r="Y129" s="7">
        <v>0</v>
      </c>
      <c r="Z129" s="7">
        <v>0</v>
      </c>
      <c r="AA129" s="7">
        <v>610.57799999999997</v>
      </c>
      <c r="AB129" s="7">
        <v>0</v>
      </c>
      <c r="AC129" s="7">
        <v>16275.588</v>
      </c>
      <c r="AD129" s="7">
        <v>0</v>
      </c>
      <c r="AE129" s="7">
        <v>0</v>
      </c>
      <c r="AF129" s="7">
        <v>5.8849999999999998</v>
      </c>
      <c r="AG129" s="7">
        <v>1379.375</v>
      </c>
      <c r="AH129" s="7">
        <v>0</v>
      </c>
      <c r="AI129" s="7">
        <v>42172.264999999999</v>
      </c>
      <c r="AJ129" s="7">
        <v>19398.294999999998</v>
      </c>
      <c r="AK129" s="7">
        <v>0</v>
      </c>
      <c r="AL129" s="7">
        <v>122874.088</v>
      </c>
      <c r="AM129" s="7">
        <v>36327.207000000002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114.36</v>
      </c>
      <c r="AV129" s="7">
        <v>0</v>
      </c>
      <c r="AW129" s="7">
        <v>0</v>
      </c>
      <c r="AX129" s="7">
        <v>5766.9830000000002</v>
      </c>
      <c r="AY129" s="7">
        <v>0</v>
      </c>
      <c r="AZ129" s="7">
        <v>25.001999999999999</v>
      </c>
      <c r="BA129" s="7">
        <v>0</v>
      </c>
      <c r="BB129" s="7">
        <v>180.54400000000001</v>
      </c>
      <c r="BC129" s="7">
        <v>0</v>
      </c>
      <c r="BD129" s="7">
        <v>0</v>
      </c>
      <c r="BE129" s="7">
        <v>5245.3879999999999</v>
      </c>
      <c r="BF129" s="7">
        <v>0</v>
      </c>
      <c r="BG129" s="21"/>
    </row>
    <row r="130" spans="1:59" ht="15.6" x14ac:dyDescent="0.3">
      <c r="A130" s="5" t="s">
        <v>245</v>
      </c>
      <c r="B130" s="5" t="s">
        <v>246</v>
      </c>
      <c r="C130" s="7">
        <v>4</v>
      </c>
      <c r="D130" s="7">
        <v>6</v>
      </c>
      <c r="E130" s="7">
        <v>2871.1309999999999</v>
      </c>
      <c r="F130" s="7">
        <v>948.01199999999994</v>
      </c>
      <c r="G130" s="7">
        <v>20.902999999999999</v>
      </c>
      <c r="H130" s="7">
        <v>97.447999999999993</v>
      </c>
      <c r="I130" s="7">
        <v>71.635000000000005</v>
      </c>
      <c r="J130" s="7">
        <v>162.053</v>
      </c>
      <c r="K130" s="7">
        <v>3438.8989999999999</v>
      </c>
      <c r="L130" s="7">
        <v>425.959</v>
      </c>
      <c r="M130" s="7">
        <v>0</v>
      </c>
      <c r="N130" s="7">
        <v>810.71699999999998</v>
      </c>
      <c r="O130" s="7">
        <v>9655.2160000000003</v>
      </c>
      <c r="P130" s="7">
        <v>916.88400000000001</v>
      </c>
      <c r="Q130" s="7">
        <v>0</v>
      </c>
      <c r="R130" s="7">
        <v>0</v>
      </c>
      <c r="S130" s="7">
        <v>1E-3</v>
      </c>
      <c r="T130" s="7">
        <v>0</v>
      </c>
      <c r="U130" s="7">
        <v>0</v>
      </c>
      <c r="V130" s="7">
        <v>310.47800000000001</v>
      </c>
      <c r="W130" s="7">
        <v>0</v>
      </c>
      <c r="X130" s="7">
        <v>0</v>
      </c>
      <c r="Y130" s="7">
        <v>0</v>
      </c>
      <c r="Z130" s="7">
        <v>14.869</v>
      </c>
      <c r="AA130" s="7">
        <v>96.093999999999994</v>
      </c>
      <c r="AB130" s="7">
        <v>0</v>
      </c>
      <c r="AC130" s="7">
        <v>1487.875</v>
      </c>
      <c r="AD130" s="7">
        <v>0</v>
      </c>
      <c r="AE130" s="7">
        <v>333.88799999999998</v>
      </c>
      <c r="AF130" s="7">
        <v>0.53800000000000003</v>
      </c>
      <c r="AG130" s="7">
        <v>163.381</v>
      </c>
      <c r="AH130" s="7">
        <v>0</v>
      </c>
      <c r="AI130" s="7">
        <v>3850.6819999999998</v>
      </c>
      <c r="AJ130" s="7">
        <v>1774.9010000000001</v>
      </c>
      <c r="AK130" s="7">
        <v>0</v>
      </c>
      <c r="AL130" s="7">
        <v>13297.13</v>
      </c>
      <c r="AM130" s="7">
        <v>3323.19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14.715999999999999</v>
      </c>
      <c r="AV130" s="7">
        <v>0</v>
      </c>
      <c r="AW130" s="7">
        <v>0</v>
      </c>
      <c r="AX130" s="7">
        <v>527.03800000000001</v>
      </c>
      <c r="AY130" s="7">
        <v>0</v>
      </c>
      <c r="AZ130" s="7">
        <v>2.5840000000000001</v>
      </c>
      <c r="BA130" s="7">
        <v>0</v>
      </c>
      <c r="BB130" s="7">
        <v>16.558</v>
      </c>
      <c r="BC130" s="7">
        <v>0</v>
      </c>
      <c r="BD130" s="7">
        <v>0</v>
      </c>
      <c r="BE130" s="7">
        <v>763.75099999999998</v>
      </c>
      <c r="BF130" s="7">
        <v>0</v>
      </c>
      <c r="BG130" s="21"/>
    </row>
    <row r="131" spans="1:59" ht="15.6" x14ac:dyDescent="0.3">
      <c r="A131" s="5" t="s">
        <v>247</v>
      </c>
      <c r="B131" s="5" t="s">
        <v>248</v>
      </c>
      <c r="C131" s="7">
        <v>6</v>
      </c>
      <c r="D131" s="7">
        <v>6</v>
      </c>
      <c r="E131" s="7">
        <v>30448.774000000001</v>
      </c>
      <c r="F131" s="7">
        <v>452.07799999999997</v>
      </c>
      <c r="G131" s="7">
        <v>0</v>
      </c>
      <c r="H131" s="7">
        <v>0</v>
      </c>
      <c r="I131" s="7">
        <v>0</v>
      </c>
      <c r="J131" s="7">
        <v>0</v>
      </c>
      <c r="K131" s="7">
        <v>20997.296999999999</v>
      </c>
      <c r="L131" s="7">
        <v>1764.808</v>
      </c>
      <c r="M131" s="7">
        <v>0</v>
      </c>
      <c r="N131" s="7">
        <v>12164.874</v>
      </c>
      <c r="O131" s="7">
        <v>75602.914000000004</v>
      </c>
      <c r="P131" s="7">
        <v>9508.2219999999998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3838.6489999999999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22176.651000000002</v>
      </c>
      <c r="AJ131" s="7">
        <v>91.703000000000003</v>
      </c>
      <c r="AK131" s="7">
        <v>0</v>
      </c>
      <c r="AL131" s="7">
        <v>88120.909</v>
      </c>
      <c r="AM131" s="7">
        <v>58.518000000000001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21"/>
    </row>
    <row r="132" spans="1:59" ht="15.6" x14ac:dyDescent="0.3">
      <c r="A132" s="5" t="s">
        <v>249</v>
      </c>
      <c r="B132" s="5" t="s">
        <v>250</v>
      </c>
      <c r="C132" s="7">
        <v>6</v>
      </c>
      <c r="D132" s="7">
        <v>6</v>
      </c>
      <c r="E132" s="7">
        <v>20312.607</v>
      </c>
      <c r="F132" s="7">
        <v>2322.866</v>
      </c>
      <c r="G132" s="7">
        <v>3353.636</v>
      </c>
      <c r="H132" s="7">
        <v>0</v>
      </c>
      <c r="I132" s="7">
        <v>586.96299999999997</v>
      </c>
      <c r="J132" s="7">
        <v>1969.578</v>
      </c>
      <c r="K132" s="7">
        <v>16540.030999999999</v>
      </c>
      <c r="L132" s="7">
        <v>2291.15</v>
      </c>
      <c r="M132" s="7">
        <v>0</v>
      </c>
      <c r="N132" s="7">
        <v>12834.071</v>
      </c>
      <c r="O132" s="7">
        <v>40091.235999999997</v>
      </c>
      <c r="P132" s="7">
        <v>7601.7640000000001</v>
      </c>
      <c r="Q132" s="7">
        <v>0</v>
      </c>
      <c r="R132" s="7">
        <v>0</v>
      </c>
      <c r="S132" s="7">
        <v>112.36499999999999</v>
      </c>
      <c r="T132" s="7">
        <v>0</v>
      </c>
      <c r="U132" s="7">
        <v>3.468</v>
      </c>
      <c r="V132" s="7">
        <v>0</v>
      </c>
      <c r="W132" s="7">
        <v>0</v>
      </c>
      <c r="X132" s="7">
        <v>0</v>
      </c>
      <c r="Y132" s="7">
        <v>0</v>
      </c>
      <c r="Z132" s="7">
        <v>264.92500000000001</v>
      </c>
      <c r="AA132" s="7">
        <v>851.34199999999998</v>
      </c>
      <c r="AB132" s="7">
        <v>0</v>
      </c>
      <c r="AC132" s="7">
        <v>6821.2560000000003</v>
      </c>
      <c r="AD132" s="7">
        <v>0</v>
      </c>
      <c r="AE132" s="7">
        <v>2368.2939999999999</v>
      </c>
      <c r="AF132" s="7">
        <v>0</v>
      </c>
      <c r="AG132" s="7">
        <v>408.76799999999997</v>
      </c>
      <c r="AH132" s="7">
        <v>0</v>
      </c>
      <c r="AI132" s="7">
        <v>22754.944</v>
      </c>
      <c r="AJ132" s="7">
        <v>0</v>
      </c>
      <c r="AK132" s="7">
        <v>0</v>
      </c>
      <c r="AL132" s="7">
        <v>44488.455000000002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21"/>
    </row>
    <row r="133" spans="1:59" ht="15.6" x14ac:dyDescent="0.3">
      <c r="A133" s="5" t="s">
        <v>251</v>
      </c>
      <c r="B133" s="5" t="s">
        <v>252</v>
      </c>
      <c r="C133" s="7">
        <v>6</v>
      </c>
      <c r="D133" s="7">
        <v>6</v>
      </c>
      <c r="E133" s="7">
        <v>9937.8060000000005</v>
      </c>
      <c r="F133" s="7">
        <v>2096.8240000000001</v>
      </c>
      <c r="G133" s="7">
        <v>791.88699999999994</v>
      </c>
      <c r="H133" s="7">
        <v>0</v>
      </c>
      <c r="I133" s="7">
        <v>161.58000000000001</v>
      </c>
      <c r="J133" s="7">
        <v>496.36900000000003</v>
      </c>
      <c r="K133" s="7">
        <v>8442.6769999999997</v>
      </c>
      <c r="L133" s="7">
        <v>2268.4209999999998</v>
      </c>
      <c r="M133" s="7">
        <v>0</v>
      </c>
      <c r="N133" s="7">
        <v>5196.6490000000003</v>
      </c>
      <c r="O133" s="7">
        <v>36066.779000000002</v>
      </c>
      <c r="P133" s="7">
        <v>3115.7460000000001</v>
      </c>
      <c r="Q133" s="7">
        <v>0</v>
      </c>
      <c r="R133" s="7">
        <v>0</v>
      </c>
      <c r="S133" s="7">
        <v>1.0369999999999999</v>
      </c>
      <c r="T133" s="7">
        <v>0</v>
      </c>
      <c r="U133" s="7">
        <v>0</v>
      </c>
      <c r="V133" s="7">
        <v>590.41800000000001</v>
      </c>
      <c r="W133" s="7">
        <v>0</v>
      </c>
      <c r="X133" s="7">
        <v>0</v>
      </c>
      <c r="Y133" s="7">
        <v>0</v>
      </c>
      <c r="Z133" s="7">
        <v>71.992000000000004</v>
      </c>
      <c r="AA133" s="7">
        <v>285.55599999999998</v>
      </c>
      <c r="AB133" s="7">
        <v>0</v>
      </c>
      <c r="AC133" s="7">
        <v>3531.3809999999999</v>
      </c>
      <c r="AD133" s="7">
        <v>0</v>
      </c>
      <c r="AE133" s="7">
        <v>752.15899999999999</v>
      </c>
      <c r="AF133" s="7">
        <v>0</v>
      </c>
      <c r="AG133" s="7">
        <v>348.29599999999999</v>
      </c>
      <c r="AH133" s="7">
        <v>0</v>
      </c>
      <c r="AI133" s="7">
        <v>9107.7450000000008</v>
      </c>
      <c r="AJ133" s="7">
        <v>4114.5320000000002</v>
      </c>
      <c r="AK133" s="7">
        <v>0</v>
      </c>
      <c r="AL133" s="7">
        <v>34540.692999999999</v>
      </c>
      <c r="AM133" s="7">
        <v>7741.7349999999997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12.509</v>
      </c>
      <c r="AV133" s="7">
        <v>0</v>
      </c>
      <c r="AW133" s="7">
        <v>0</v>
      </c>
      <c r="AX133" s="7">
        <v>1213.4970000000001</v>
      </c>
      <c r="AY133" s="7">
        <v>0</v>
      </c>
      <c r="AZ133" s="7">
        <v>6.2809999999999997</v>
      </c>
      <c r="BA133" s="7">
        <v>0</v>
      </c>
      <c r="BB133" s="7">
        <v>81.784999999999997</v>
      </c>
      <c r="BC133" s="7">
        <v>0</v>
      </c>
      <c r="BD133" s="7">
        <v>0</v>
      </c>
      <c r="BE133" s="7">
        <v>0</v>
      </c>
      <c r="BF133" s="7">
        <v>0</v>
      </c>
      <c r="BG133" s="21"/>
    </row>
    <row r="134" spans="1:59" ht="15.6" x14ac:dyDescent="0.3">
      <c r="A134" s="5" t="s">
        <v>253</v>
      </c>
      <c r="B134" s="5" t="s">
        <v>254</v>
      </c>
      <c r="C134" s="7">
        <v>6</v>
      </c>
      <c r="D134" s="7">
        <v>6</v>
      </c>
      <c r="E134" s="7">
        <v>92729.479000000007</v>
      </c>
      <c r="F134" s="7">
        <v>10587.869000000001</v>
      </c>
      <c r="G134" s="7">
        <v>3928.433</v>
      </c>
      <c r="H134" s="7">
        <v>6181.5420000000004</v>
      </c>
      <c r="I134" s="7">
        <v>616.51499999999999</v>
      </c>
      <c r="J134" s="7">
        <v>2802.02</v>
      </c>
      <c r="K134" s="7">
        <v>107224.871</v>
      </c>
      <c r="L134" s="7">
        <v>7891.5879999999997</v>
      </c>
      <c r="M134" s="7">
        <v>0</v>
      </c>
      <c r="N134" s="7">
        <v>52110.855000000003</v>
      </c>
      <c r="O134" s="7">
        <v>285802.25099999999</v>
      </c>
      <c r="P134" s="7">
        <v>48051.32</v>
      </c>
      <c r="Q134" s="7">
        <v>0</v>
      </c>
      <c r="R134" s="7">
        <v>0</v>
      </c>
      <c r="S134" s="7">
        <v>98.51</v>
      </c>
      <c r="T134" s="7">
        <v>0</v>
      </c>
      <c r="U134" s="7">
        <v>92.301000000000002</v>
      </c>
      <c r="V134" s="7">
        <v>3163.11</v>
      </c>
      <c r="W134" s="7">
        <v>0</v>
      </c>
      <c r="X134" s="7">
        <v>0</v>
      </c>
      <c r="Y134" s="7">
        <v>0</v>
      </c>
      <c r="Z134" s="7">
        <v>232.25899999999999</v>
      </c>
      <c r="AA134" s="7">
        <v>746.36800000000005</v>
      </c>
      <c r="AB134" s="7">
        <v>0</v>
      </c>
      <c r="AC134" s="7">
        <v>11949.474</v>
      </c>
      <c r="AD134" s="7">
        <v>0</v>
      </c>
      <c r="AE134" s="7">
        <v>2076.2739999999999</v>
      </c>
      <c r="AF134" s="7">
        <v>0</v>
      </c>
      <c r="AG134" s="7">
        <v>358.36599999999999</v>
      </c>
      <c r="AH134" s="7">
        <v>0</v>
      </c>
      <c r="AI134" s="7">
        <v>56415.63</v>
      </c>
      <c r="AJ134" s="7">
        <v>231.03399999999999</v>
      </c>
      <c r="AK134" s="7">
        <v>0</v>
      </c>
      <c r="AL134" s="7">
        <v>239482.421</v>
      </c>
      <c r="AM134" s="7">
        <v>426.44299999999998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159.001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21"/>
    </row>
    <row r="135" spans="1:59" ht="15.6" x14ac:dyDescent="0.3">
      <c r="A135" s="5" t="s">
        <v>255</v>
      </c>
      <c r="B135" s="5" t="s">
        <v>256</v>
      </c>
      <c r="C135" s="7">
        <v>6</v>
      </c>
      <c r="D135" s="7">
        <v>6</v>
      </c>
      <c r="E135" s="7">
        <v>3416.3389999999999</v>
      </c>
      <c r="F135" s="7">
        <v>32.729999999999997</v>
      </c>
      <c r="G135" s="7">
        <v>0</v>
      </c>
      <c r="H135" s="7">
        <v>0</v>
      </c>
      <c r="I135" s="7">
        <v>0</v>
      </c>
      <c r="J135" s="7">
        <v>0</v>
      </c>
      <c r="K135" s="7">
        <v>1682.058</v>
      </c>
      <c r="L135" s="7">
        <v>0</v>
      </c>
      <c r="M135" s="7">
        <v>0</v>
      </c>
      <c r="N135" s="7">
        <v>549.51300000000003</v>
      </c>
      <c r="O135" s="7">
        <v>8032.165</v>
      </c>
      <c r="P135" s="7">
        <v>399.12400000000002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285.78800000000001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1634.883</v>
      </c>
      <c r="AJ135" s="7">
        <v>158.70699999999999</v>
      </c>
      <c r="AK135" s="7">
        <v>0</v>
      </c>
      <c r="AL135" s="7">
        <v>7242.5619999999999</v>
      </c>
      <c r="AM135" s="7">
        <v>523.94399999999996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21"/>
    </row>
    <row r="136" spans="1:59" ht="15.6" x14ac:dyDescent="0.3">
      <c r="A136" s="5" t="s">
        <v>257</v>
      </c>
      <c r="B136" s="5" t="s">
        <v>258</v>
      </c>
      <c r="C136" s="7">
        <v>6</v>
      </c>
      <c r="D136" s="7">
        <v>6</v>
      </c>
      <c r="E136" s="7">
        <v>56222.474999999999</v>
      </c>
      <c r="F136" s="7">
        <v>5194.8940000000002</v>
      </c>
      <c r="G136" s="7">
        <v>4789.2150000000001</v>
      </c>
      <c r="H136" s="7">
        <v>0</v>
      </c>
      <c r="I136" s="7">
        <v>839.34900000000005</v>
      </c>
      <c r="J136" s="7">
        <v>2812.6880000000001</v>
      </c>
      <c r="K136" s="7">
        <v>78747.475000000006</v>
      </c>
      <c r="L136" s="7">
        <v>3320.6880000000001</v>
      </c>
      <c r="M136" s="7">
        <v>0</v>
      </c>
      <c r="N136" s="7">
        <v>21976.353999999999</v>
      </c>
      <c r="O136" s="7">
        <v>114737.92</v>
      </c>
      <c r="P136" s="7">
        <v>34239.353000000003</v>
      </c>
      <c r="Q136" s="7">
        <v>0</v>
      </c>
      <c r="R136" s="7">
        <v>0</v>
      </c>
      <c r="S136" s="7">
        <v>160.464</v>
      </c>
      <c r="T136" s="7">
        <v>0</v>
      </c>
      <c r="U136" s="7">
        <v>4.952</v>
      </c>
      <c r="V136" s="7">
        <v>0</v>
      </c>
      <c r="W136" s="7">
        <v>0</v>
      </c>
      <c r="X136" s="7">
        <v>0</v>
      </c>
      <c r="Y136" s="7">
        <v>0</v>
      </c>
      <c r="Z136" s="7">
        <v>378.33100000000002</v>
      </c>
      <c r="AA136" s="7">
        <v>1215.7719999999999</v>
      </c>
      <c r="AB136" s="7">
        <v>0</v>
      </c>
      <c r="AC136" s="7">
        <v>11385.241</v>
      </c>
      <c r="AD136" s="7">
        <v>0</v>
      </c>
      <c r="AE136" s="7">
        <v>3382.08</v>
      </c>
      <c r="AF136" s="7">
        <v>0</v>
      </c>
      <c r="AG136" s="7">
        <v>583.74800000000005</v>
      </c>
      <c r="AH136" s="7">
        <v>0</v>
      </c>
      <c r="AI136" s="7">
        <v>53942.512000000002</v>
      </c>
      <c r="AJ136" s="7">
        <v>1643.7760000000001</v>
      </c>
      <c r="AK136" s="7">
        <v>0</v>
      </c>
      <c r="AL136" s="7">
        <v>131499.67800000001</v>
      </c>
      <c r="AM136" s="7">
        <v>2180.0720000000001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21"/>
    </row>
    <row r="137" spans="1:59" ht="15.6" x14ac:dyDescent="0.3">
      <c r="A137" s="5" t="s">
        <v>259</v>
      </c>
      <c r="B137" s="5" t="s">
        <v>260</v>
      </c>
      <c r="C137" s="7">
        <v>6</v>
      </c>
      <c r="D137" s="7">
        <v>6</v>
      </c>
      <c r="E137" s="7">
        <v>26202.496999999999</v>
      </c>
      <c r="F137" s="7">
        <v>2409.444</v>
      </c>
      <c r="G137" s="7">
        <v>0</v>
      </c>
      <c r="H137" s="7">
        <v>0</v>
      </c>
      <c r="I137" s="7">
        <v>122.93300000000001</v>
      </c>
      <c r="J137" s="7">
        <v>0</v>
      </c>
      <c r="K137" s="7">
        <v>28119.441999999999</v>
      </c>
      <c r="L137" s="7">
        <v>1028.816</v>
      </c>
      <c r="M137" s="7">
        <v>0</v>
      </c>
      <c r="N137" s="7">
        <v>3828.6930000000002</v>
      </c>
      <c r="O137" s="7">
        <v>49955.813000000002</v>
      </c>
      <c r="P137" s="7">
        <v>5023.5940000000001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739.99</v>
      </c>
      <c r="W137" s="7">
        <v>0</v>
      </c>
      <c r="X137" s="7">
        <v>0</v>
      </c>
      <c r="Y137" s="7">
        <v>0</v>
      </c>
      <c r="Z137" s="7">
        <v>0</v>
      </c>
      <c r="AA137" s="7">
        <v>182.369</v>
      </c>
      <c r="AB137" s="7">
        <v>0</v>
      </c>
      <c r="AC137" s="7">
        <v>4860.9849999999997</v>
      </c>
      <c r="AD137" s="7">
        <v>0</v>
      </c>
      <c r="AE137" s="7">
        <v>0</v>
      </c>
      <c r="AF137" s="7">
        <v>1.7609999999999999</v>
      </c>
      <c r="AG137" s="7">
        <v>411.97300000000001</v>
      </c>
      <c r="AH137" s="7">
        <v>0</v>
      </c>
      <c r="AI137" s="7">
        <v>16999.284</v>
      </c>
      <c r="AJ137" s="7">
        <v>5793.65</v>
      </c>
      <c r="AK137" s="7">
        <v>0</v>
      </c>
      <c r="AL137" s="7">
        <v>63855.12</v>
      </c>
      <c r="AM137" s="7">
        <v>10849.768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34.162999999999997</v>
      </c>
      <c r="AV137" s="7">
        <v>0</v>
      </c>
      <c r="AW137" s="7">
        <v>0</v>
      </c>
      <c r="AX137" s="7">
        <v>1722.412</v>
      </c>
      <c r="AY137" s="7">
        <v>0</v>
      </c>
      <c r="AZ137" s="7">
        <v>7.4560000000000004</v>
      </c>
      <c r="BA137" s="7">
        <v>0</v>
      </c>
      <c r="BB137" s="7">
        <v>54.033999999999999</v>
      </c>
      <c r="BC137" s="7">
        <v>0</v>
      </c>
      <c r="BD137" s="7">
        <v>0</v>
      </c>
      <c r="BE137" s="7">
        <v>1566.636</v>
      </c>
      <c r="BF137" s="7">
        <v>0</v>
      </c>
      <c r="BG137" s="21"/>
    </row>
    <row r="138" spans="1:59" ht="15.6" x14ac:dyDescent="0.3">
      <c r="A138" s="5" t="s">
        <v>261</v>
      </c>
      <c r="B138" s="5" t="s">
        <v>262</v>
      </c>
      <c r="C138" s="7">
        <v>6</v>
      </c>
      <c r="D138" s="7">
        <v>6</v>
      </c>
      <c r="E138" s="7">
        <v>679989.41899999999</v>
      </c>
      <c r="F138" s="7">
        <v>21707.685000000001</v>
      </c>
      <c r="G138" s="7">
        <v>27010.514999999999</v>
      </c>
      <c r="H138" s="7">
        <v>1812.336</v>
      </c>
      <c r="I138" s="7">
        <v>5044.9880000000003</v>
      </c>
      <c r="J138" s="7">
        <v>15943.561</v>
      </c>
      <c r="K138" s="7">
        <v>604115.48400000005</v>
      </c>
      <c r="L138" s="7">
        <v>47098.841999999997</v>
      </c>
      <c r="M138" s="7">
        <v>0</v>
      </c>
      <c r="N138" s="7">
        <v>271789.56400000001</v>
      </c>
      <c r="O138" s="7">
        <v>964988.56200000003</v>
      </c>
      <c r="P138" s="7">
        <v>266473.348</v>
      </c>
      <c r="Q138" s="7">
        <v>0</v>
      </c>
      <c r="R138" s="7">
        <v>0</v>
      </c>
      <c r="S138" s="7">
        <v>884.60299999999995</v>
      </c>
      <c r="T138" s="7">
        <v>0</v>
      </c>
      <c r="U138" s="7">
        <v>30.739000000000001</v>
      </c>
      <c r="V138" s="7">
        <v>0</v>
      </c>
      <c r="W138" s="7">
        <v>0</v>
      </c>
      <c r="X138" s="7">
        <v>0</v>
      </c>
      <c r="Y138" s="7">
        <v>0</v>
      </c>
      <c r="Z138" s="7">
        <v>1804.3040000000001</v>
      </c>
      <c r="AA138" s="7">
        <v>5916.5290000000005</v>
      </c>
      <c r="AB138" s="7">
        <v>0</v>
      </c>
      <c r="AC138" s="7">
        <v>118723.36</v>
      </c>
      <c r="AD138" s="7">
        <v>0</v>
      </c>
      <c r="AE138" s="7">
        <v>19298.243999999999</v>
      </c>
      <c r="AF138" s="7">
        <v>0</v>
      </c>
      <c r="AG138" s="7">
        <v>2862.3960000000002</v>
      </c>
      <c r="AH138" s="7">
        <v>0</v>
      </c>
      <c r="AI138" s="7">
        <v>495476.75699999998</v>
      </c>
      <c r="AJ138" s="7">
        <v>3081.3809999999999</v>
      </c>
      <c r="AK138" s="7">
        <v>0</v>
      </c>
      <c r="AL138" s="7">
        <v>1375432.226</v>
      </c>
      <c r="AM138" s="7">
        <v>8617.9330000000009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177.709</v>
      </c>
      <c r="BC138" s="7">
        <v>0</v>
      </c>
      <c r="BD138" s="7">
        <v>0</v>
      </c>
      <c r="BE138" s="7">
        <v>0</v>
      </c>
      <c r="BF138" s="7">
        <v>0</v>
      </c>
      <c r="BG138" s="21"/>
    </row>
    <row r="139" spans="1:59" ht="15.6" x14ac:dyDescent="0.3">
      <c r="A139" s="5" t="s">
        <v>263</v>
      </c>
      <c r="B139" s="5" t="s">
        <v>264</v>
      </c>
      <c r="C139" s="7">
        <v>4</v>
      </c>
      <c r="D139" s="7">
        <v>4</v>
      </c>
      <c r="E139" s="7">
        <v>116.657</v>
      </c>
      <c r="F139" s="7">
        <v>32.779000000000003</v>
      </c>
      <c r="G139" s="7">
        <v>13.513</v>
      </c>
      <c r="H139" s="7">
        <v>0</v>
      </c>
      <c r="I139" s="7">
        <v>2.605</v>
      </c>
      <c r="J139" s="7">
        <v>8.4700000000000006</v>
      </c>
      <c r="K139" s="7">
        <v>130.39400000000001</v>
      </c>
      <c r="L139" s="7">
        <v>17.600999999999999</v>
      </c>
      <c r="M139" s="7">
        <v>0</v>
      </c>
      <c r="N139" s="7">
        <v>37.909999999999997</v>
      </c>
      <c r="O139" s="7">
        <v>340.31299999999999</v>
      </c>
      <c r="P139" s="7">
        <v>39.093000000000004</v>
      </c>
      <c r="Q139" s="7">
        <v>0</v>
      </c>
      <c r="R139" s="7">
        <v>0</v>
      </c>
      <c r="S139" s="7">
        <v>1.6E-2</v>
      </c>
      <c r="T139" s="7">
        <v>0</v>
      </c>
      <c r="U139" s="7">
        <v>0</v>
      </c>
      <c r="V139" s="7">
        <v>9.3260000000000005</v>
      </c>
      <c r="W139" s="7">
        <v>0</v>
      </c>
      <c r="X139" s="7">
        <v>0</v>
      </c>
      <c r="Y139" s="7">
        <v>0</v>
      </c>
      <c r="Z139" s="7">
        <v>1.228</v>
      </c>
      <c r="AA139" s="7">
        <v>4.6680000000000001</v>
      </c>
      <c r="AB139" s="7">
        <v>0</v>
      </c>
      <c r="AC139" s="7">
        <v>54.787999999999997</v>
      </c>
      <c r="AD139" s="7">
        <v>0</v>
      </c>
      <c r="AE139" s="7">
        <v>9.0589999999999993</v>
      </c>
      <c r="AF139" s="7">
        <v>0</v>
      </c>
      <c r="AG139" s="7">
        <v>5.45</v>
      </c>
      <c r="AH139" s="7">
        <v>0</v>
      </c>
      <c r="AI139" s="7">
        <v>123.142</v>
      </c>
      <c r="AJ139" s="7">
        <v>63.503</v>
      </c>
      <c r="AK139" s="7">
        <v>0</v>
      </c>
      <c r="AL139" s="7">
        <v>439.30900000000003</v>
      </c>
      <c r="AM139" s="7">
        <v>120.395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0.19600000000000001</v>
      </c>
      <c r="AV139" s="7">
        <v>0</v>
      </c>
      <c r="AW139" s="7">
        <v>0</v>
      </c>
      <c r="AX139" s="7">
        <v>18.559999999999999</v>
      </c>
      <c r="AY139" s="7">
        <v>0</v>
      </c>
      <c r="AZ139" s="7">
        <v>9.9000000000000005E-2</v>
      </c>
      <c r="BA139" s="7">
        <v>0</v>
      </c>
      <c r="BB139" s="7">
        <v>1.3340000000000001</v>
      </c>
      <c r="BC139" s="7">
        <v>0</v>
      </c>
      <c r="BD139" s="7">
        <v>0</v>
      </c>
      <c r="BE139" s="7">
        <v>0</v>
      </c>
      <c r="BF139" s="7">
        <v>0</v>
      </c>
      <c r="BG139" s="21"/>
    </row>
    <row r="140" spans="1:59" ht="15.6" x14ac:dyDescent="0.3">
      <c r="A140" s="5" t="s">
        <v>265</v>
      </c>
      <c r="B140" s="5" t="s">
        <v>266</v>
      </c>
      <c r="C140" s="7">
        <v>6</v>
      </c>
      <c r="D140" s="7">
        <v>6</v>
      </c>
      <c r="E140" s="7">
        <v>1945.501</v>
      </c>
      <c r="F140" s="7">
        <v>6.7380000000000004</v>
      </c>
      <c r="G140" s="7">
        <v>0</v>
      </c>
      <c r="H140" s="7">
        <v>0</v>
      </c>
      <c r="I140" s="7">
        <v>0.34100000000000003</v>
      </c>
      <c r="J140" s="7">
        <v>0</v>
      </c>
      <c r="K140" s="7">
        <v>4154.8270000000002</v>
      </c>
      <c r="L140" s="7">
        <v>1.744</v>
      </c>
      <c r="M140" s="7">
        <v>0</v>
      </c>
      <c r="N140" s="7">
        <v>1000.422</v>
      </c>
      <c r="O140" s="7">
        <v>5663.8459999999995</v>
      </c>
      <c r="P140" s="7">
        <v>905.92899999999997</v>
      </c>
      <c r="Q140" s="7">
        <v>0</v>
      </c>
      <c r="R140" s="7">
        <v>0</v>
      </c>
      <c r="S140" s="7">
        <v>4.0000000000000001E-3</v>
      </c>
      <c r="T140" s="7">
        <v>0</v>
      </c>
      <c r="U140" s="7">
        <v>0</v>
      </c>
      <c r="V140" s="7">
        <v>1.681</v>
      </c>
      <c r="W140" s="7">
        <v>0</v>
      </c>
      <c r="X140" s="7">
        <v>0</v>
      </c>
      <c r="Y140" s="7">
        <v>0</v>
      </c>
      <c r="Z140" s="7">
        <v>0</v>
      </c>
      <c r="AA140" s="7">
        <v>0.45900000000000002</v>
      </c>
      <c r="AB140" s="7">
        <v>0</v>
      </c>
      <c r="AC140" s="7">
        <v>851.49900000000002</v>
      </c>
      <c r="AD140" s="7">
        <v>0</v>
      </c>
      <c r="AE140" s="7">
        <v>0</v>
      </c>
      <c r="AF140" s="7">
        <v>0</v>
      </c>
      <c r="AG140" s="7">
        <v>1.1080000000000001</v>
      </c>
      <c r="AH140" s="7">
        <v>0</v>
      </c>
      <c r="AI140" s="7">
        <v>3317.9940000000001</v>
      </c>
      <c r="AJ140" s="7">
        <v>16.343</v>
      </c>
      <c r="AK140" s="7">
        <v>0</v>
      </c>
      <c r="AL140" s="7">
        <v>8929.348</v>
      </c>
      <c r="AM140" s="7">
        <v>30.751000000000001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3.9E-2</v>
      </c>
      <c r="AV140" s="7">
        <v>0</v>
      </c>
      <c r="AW140" s="7">
        <v>0</v>
      </c>
      <c r="AX140" s="7">
        <v>4.82</v>
      </c>
      <c r="AY140" s="7">
        <v>0</v>
      </c>
      <c r="AZ140" s="7">
        <v>1.9E-2</v>
      </c>
      <c r="BA140" s="7">
        <v>0</v>
      </c>
      <c r="BB140" s="7">
        <v>0.13900000000000001</v>
      </c>
      <c r="BC140" s="7">
        <v>0</v>
      </c>
      <c r="BD140" s="7">
        <v>0</v>
      </c>
      <c r="BE140" s="7">
        <v>0</v>
      </c>
      <c r="BF140" s="7">
        <v>0</v>
      </c>
      <c r="BG140" s="21"/>
    </row>
    <row r="141" spans="1:59" ht="15.6" x14ac:dyDescent="0.3">
      <c r="A141" s="5" t="s">
        <v>267</v>
      </c>
      <c r="B141" s="5" t="s">
        <v>268</v>
      </c>
      <c r="C141" s="7">
        <v>4</v>
      </c>
      <c r="D141" s="7">
        <v>4</v>
      </c>
      <c r="E141" s="7">
        <v>4.4560000000000004</v>
      </c>
      <c r="F141" s="7">
        <v>1.25</v>
      </c>
      <c r="G141" s="7">
        <v>0</v>
      </c>
      <c r="H141" s="7">
        <v>0</v>
      </c>
      <c r="I141" s="7">
        <v>6.4000000000000001E-2</v>
      </c>
      <c r="J141" s="7">
        <v>0</v>
      </c>
      <c r="K141" s="7">
        <v>5.8310000000000004</v>
      </c>
      <c r="L141" s="7">
        <v>0.53400000000000003</v>
      </c>
      <c r="M141" s="7">
        <v>0</v>
      </c>
      <c r="N141" s="7">
        <v>0.65400000000000003</v>
      </c>
      <c r="O141" s="7">
        <v>14.875999999999999</v>
      </c>
      <c r="P141" s="7">
        <v>0.89300000000000002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0.38400000000000001</v>
      </c>
      <c r="W141" s="7">
        <v>0</v>
      </c>
      <c r="X141" s="7">
        <v>0</v>
      </c>
      <c r="Y141" s="7">
        <v>0</v>
      </c>
      <c r="Z141" s="7">
        <v>0</v>
      </c>
      <c r="AA141" s="7">
        <v>9.5000000000000001E-2</v>
      </c>
      <c r="AB141" s="7">
        <v>0</v>
      </c>
      <c r="AC141" s="7">
        <v>2.5219999999999998</v>
      </c>
      <c r="AD141" s="7">
        <v>0</v>
      </c>
      <c r="AE141" s="7">
        <v>0</v>
      </c>
      <c r="AF141" s="7">
        <v>0</v>
      </c>
      <c r="AG141" s="7">
        <v>0.214</v>
      </c>
      <c r="AH141" s="7">
        <v>0</v>
      </c>
      <c r="AI141" s="7">
        <v>6.5350000000000001</v>
      </c>
      <c r="AJ141" s="7">
        <v>3.0059999999999998</v>
      </c>
      <c r="AK141" s="7">
        <v>0</v>
      </c>
      <c r="AL141" s="7">
        <v>19.042000000000002</v>
      </c>
      <c r="AM141" s="7">
        <v>5.63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1.7999999999999999E-2</v>
      </c>
      <c r="AV141" s="7">
        <v>0</v>
      </c>
      <c r="AW141" s="7">
        <v>0</v>
      </c>
      <c r="AX141" s="7">
        <v>0.89400000000000002</v>
      </c>
      <c r="AY141" s="7">
        <v>0</v>
      </c>
      <c r="AZ141" s="7">
        <v>4.0000000000000001E-3</v>
      </c>
      <c r="BA141" s="7">
        <v>0</v>
      </c>
      <c r="BB141" s="7">
        <v>2.8000000000000001E-2</v>
      </c>
      <c r="BC141" s="7">
        <v>0</v>
      </c>
      <c r="BD141" s="7">
        <v>0</v>
      </c>
      <c r="BE141" s="7">
        <v>0.81299999999999994</v>
      </c>
      <c r="BF141" s="7">
        <v>0</v>
      </c>
      <c r="BG141" s="21"/>
    </row>
    <row r="142" spans="1:59" ht="15.6" x14ac:dyDescent="0.3">
      <c r="A142" s="5" t="s">
        <v>269</v>
      </c>
      <c r="B142" s="5" t="s">
        <v>270</v>
      </c>
      <c r="C142" s="7">
        <v>6</v>
      </c>
      <c r="D142" s="7">
        <v>6</v>
      </c>
      <c r="E142" s="7">
        <v>1420.2280000000001</v>
      </c>
      <c r="F142" s="7">
        <v>13.855</v>
      </c>
      <c r="G142" s="7">
        <v>20.003</v>
      </c>
      <c r="H142" s="7">
        <v>0</v>
      </c>
      <c r="I142" s="7">
        <v>3.5009999999999999</v>
      </c>
      <c r="J142" s="7">
        <v>11.747999999999999</v>
      </c>
      <c r="K142" s="7">
        <v>1756.3969999999999</v>
      </c>
      <c r="L142" s="7">
        <v>9.0790000000000006</v>
      </c>
      <c r="M142" s="7">
        <v>0</v>
      </c>
      <c r="N142" s="7">
        <v>754.61500000000001</v>
      </c>
      <c r="O142" s="7">
        <v>3310.029</v>
      </c>
      <c r="P142" s="7">
        <v>714.15800000000002</v>
      </c>
      <c r="Q142" s="7">
        <v>0</v>
      </c>
      <c r="R142" s="7">
        <v>0</v>
      </c>
      <c r="S142" s="7">
        <v>0.67</v>
      </c>
      <c r="T142" s="7">
        <v>0</v>
      </c>
      <c r="U142" s="7">
        <v>2.1000000000000001E-2</v>
      </c>
      <c r="V142" s="7">
        <v>0</v>
      </c>
      <c r="W142" s="7">
        <v>0</v>
      </c>
      <c r="X142" s="7">
        <v>0</v>
      </c>
      <c r="Y142" s="7">
        <v>0</v>
      </c>
      <c r="Z142" s="7">
        <v>1.58</v>
      </c>
      <c r="AA142" s="7">
        <v>5.0780000000000003</v>
      </c>
      <c r="AB142" s="7">
        <v>0</v>
      </c>
      <c r="AC142" s="7">
        <v>652.33399999999995</v>
      </c>
      <c r="AD142" s="7">
        <v>0</v>
      </c>
      <c r="AE142" s="7">
        <v>14.125999999999999</v>
      </c>
      <c r="AF142" s="7">
        <v>0</v>
      </c>
      <c r="AG142" s="7">
        <v>2.4380000000000002</v>
      </c>
      <c r="AH142" s="7">
        <v>0</v>
      </c>
      <c r="AI142" s="7">
        <v>2557.5479999999998</v>
      </c>
      <c r="AJ142" s="7">
        <v>0</v>
      </c>
      <c r="AK142" s="7">
        <v>0</v>
      </c>
      <c r="AL142" s="7">
        <v>5198.0959999999995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21"/>
    </row>
    <row r="143" spans="1:59" ht="15.6" x14ac:dyDescent="0.3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21"/>
    </row>
    <row r="144" spans="1:59" ht="15.6" x14ac:dyDescent="0.3">
      <c r="A144" s="5" t="s">
        <v>273</v>
      </c>
      <c r="B144" s="5" t="s">
        <v>274</v>
      </c>
      <c r="C144" s="7">
        <v>6</v>
      </c>
      <c r="D144" s="7">
        <v>6</v>
      </c>
      <c r="E144" s="7">
        <v>16638.856</v>
      </c>
      <c r="F144" s="7">
        <v>5219.8419999999996</v>
      </c>
      <c r="G144" s="7">
        <v>0</v>
      </c>
      <c r="H144" s="7">
        <v>0</v>
      </c>
      <c r="I144" s="7">
        <v>264.39</v>
      </c>
      <c r="J144" s="7">
        <v>0</v>
      </c>
      <c r="K144" s="7">
        <v>23778.727999999999</v>
      </c>
      <c r="L144" s="7">
        <v>1351.4970000000001</v>
      </c>
      <c r="M144" s="7">
        <v>0</v>
      </c>
      <c r="N144" s="7">
        <v>2671.1619999999998</v>
      </c>
      <c r="O144" s="7">
        <v>62933.837</v>
      </c>
      <c r="P144" s="7">
        <v>3191.7449999999999</v>
      </c>
      <c r="Q144" s="7">
        <v>0</v>
      </c>
      <c r="R144" s="7">
        <v>896.33799999999997</v>
      </c>
      <c r="S144" s="7">
        <v>2.754</v>
      </c>
      <c r="T144" s="7">
        <v>1657.3679999999999</v>
      </c>
      <c r="U144" s="7">
        <v>0</v>
      </c>
      <c r="V144" s="7">
        <v>1302.2190000000001</v>
      </c>
      <c r="W144" s="7">
        <v>0</v>
      </c>
      <c r="X144" s="7">
        <v>28948.011999999999</v>
      </c>
      <c r="Y144" s="7">
        <v>0</v>
      </c>
      <c r="Z144" s="7">
        <v>0</v>
      </c>
      <c r="AA144" s="7">
        <v>355.55500000000001</v>
      </c>
      <c r="AB144" s="7">
        <v>176477.75</v>
      </c>
      <c r="AC144" s="7">
        <v>9515.1569999999992</v>
      </c>
      <c r="AD144" s="7">
        <v>0</v>
      </c>
      <c r="AE144" s="7">
        <v>0</v>
      </c>
      <c r="AF144" s="7">
        <v>56809.012000000002</v>
      </c>
      <c r="AG144" s="7">
        <v>858.29100000000005</v>
      </c>
      <c r="AH144" s="7">
        <v>0</v>
      </c>
      <c r="AI144" s="7">
        <v>22952.806</v>
      </c>
      <c r="AJ144" s="7">
        <v>12661.427</v>
      </c>
      <c r="AK144" s="7">
        <v>0</v>
      </c>
      <c r="AL144" s="7">
        <v>78237.611000000004</v>
      </c>
      <c r="AM144" s="7">
        <v>23823.223999999998</v>
      </c>
      <c r="AN144" s="7">
        <v>0</v>
      </c>
      <c r="AO144" s="7">
        <v>0</v>
      </c>
      <c r="AP144" s="7">
        <v>57311.309000000001</v>
      </c>
      <c r="AQ144" s="7">
        <v>24207.642</v>
      </c>
      <c r="AR144" s="7">
        <v>0</v>
      </c>
      <c r="AS144" s="7">
        <v>0</v>
      </c>
      <c r="AT144" s="7">
        <v>0</v>
      </c>
      <c r="AU144" s="7">
        <v>29.885999999999999</v>
      </c>
      <c r="AV144" s="7">
        <v>5094.4790000000003</v>
      </c>
      <c r="AW144" s="7">
        <v>0</v>
      </c>
      <c r="AX144" s="7">
        <v>3734.23</v>
      </c>
      <c r="AY144" s="7">
        <v>0</v>
      </c>
      <c r="AZ144" s="7">
        <v>14.398</v>
      </c>
      <c r="BA144" s="7">
        <v>0</v>
      </c>
      <c r="BB144" s="7">
        <v>107.508</v>
      </c>
      <c r="BC144" s="7">
        <v>0</v>
      </c>
      <c r="BD144" s="7">
        <v>0</v>
      </c>
      <c r="BE144" s="7">
        <v>0</v>
      </c>
      <c r="BF144" s="7">
        <v>12683.771000000001</v>
      </c>
      <c r="BG144" s="21"/>
    </row>
    <row r="145" spans="1:59" ht="15.6" x14ac:dyDescent="0.3">
      <c r="A145" s="5" t="s">
        <v>275</v>
      </c>
      <c r="B145" s="5" t="s">
        <v>276</v>
      </c>
      <c r="C145" s="7">
        <v>6</v>
      </c>
      <c r="D145" s="7">
        <v>6</v>
      </c>
      <c r="E145" s="7">
        <v>-16020.241</v>
      </c>
      <c r="F145" s="7">
        <v>-1026.306</v>
      </c>
      <c r="G145" s="7">
        <v>2767.0619999999999</v>
      </c>
      <c r="H145" s="7">
        <v>-339.17599999999999</v>
      </c>
      <c r="I145" s="7">
        <v>137.30099999999999</v>
      </c>
      <c r="J145" s="7">
        <v>2172.5590000000002</v>
      </c>
      <c r="K145" s="7">
        <v>-22119.673999999999</v>
      </c>
      <c r="L145" s="7">
        <v>773.36599999999999</v>
      </c>
      <c r="M145" s="7">
        <v>0</v>
      </c>
      <c r="N145" s="7">
        <v>-444.476</v>
      </c>
      <c r="O145" s="7">
        <v>-53133.226999999999</v>
      </c>
      <c r="P145" s="7">
        <v>-1388.6279999999999</v>
      </c>
      <c r="Q145" s="7">
        <v>0</v>
      </c>
      <c r="R145" s="7">
        <v>29.167000000000002</v>
      </c>
      <c r="S145" s="7">
        <v>19.381</v>
      </c>
      <c r="T145" s="7">
        <v>22.091999999999999</v>
      </c>
      <c r="U145" s="7">
        <v>53.103000000000002</v>
      </c>
      <c r="V145" s="7">
        <v>-361.75599999999997</v>
      </c>
      <c r="W145" s="7">
        <v>0</v>
      </c>
      <c r="X145" s="7">
        <v>441.68900000000002</v>
      </c>
      <c r="Y145" s="7">
        <v>0</v>
      </c>
      <c r="Z145" s="7">
        <v>266.96800000000002</v>
      </c>
      <c r="AA145" s="7">
        <v>530.50599999999997</v>
      </c>
      <c r="AB145" s="7">
        <v>1.756</v>
      </c>
      <c r="AC145" s="7">
        <v>-3080.3020000000001</v>
      </c>
      <c r="AD145" s="7">
        <v>981.13499999999999</v>
      </c>
      <c r="AE145" s="7">
        <v>864.94500000000005</v>
      </c>
      <c r="AF145" s="7">
        <v>764.86900000000003</v>
      </c>
      <c r="AG145" s="7">
        <v>-325.90300000000002</v>
      </c>
      <c r="AH145" s="7">
        <v>35.149000000000001</v>
      </c>
      <c r="AI145" s="7">
        <v>-16450.428</v>
      </c>
      <c r="AJ145" s="7">
        <v>-5902.8280000000004</v>
      </c>
      <c r="AK145" s="7">
        <v>96.543000000000006</v>
      </c>
      <c r="AL145" s="7">
        <v>-59546.974000000002</v>
      </c>
      <c r="AM145" s="7">
        <v>-8576.4030000000002</v>
      </c>
      <c r="AN145" s="7">
        <v>5800.6350000000002</v>
      </c>
      <c r="AO145" s="7">
        <v>107734.266</v>
      </c>
      <c r="AP145" s="7">
        <v>901.59400000000005</v>
      </c>
      <c r="AQ145" s="7">
        <v>459.98500000000001</v>
      </c>
      <c r="AR145" s="7">
        <v>65836.311000000002</v>
      </c>
      <c r="AS145" s="7">
        <v>0</v>
      </c>
      <c r="AT145" s="7">
        <v>34718.917000000001</v>
      </c>
      <c r="AU145" s="7">
        <v>-50.975000000000001</v>
      </c>
      <c r="AV145" s="7">
        <v>72.450999999999993</v>
      </c>
      <c r="AW145" s="7">
        <v>0</v>
      </c>
      <c r="AX145" s="7">
        <v>-1707.0989999999999</v>
      </c>
      <c r="AY145" s="7">
        <v>0</v>
      </c>
      <c r="AZ145" s="7">
        <v>0.125</v>
      </c>
      <c r="BA145" s="7">
        <v>0</v>
      </c>
      <c r="BB145" s="7">
        <v>88.335999999999999</v>
      </c>
      <c r="BC145" s="7">
        <v>0</v>
      </c>
      <c r="BD145" s="7">
        <v>0</v>
      </c>
      <c r="BE145" s="7">
        <v>-5463.1379999999999</v>
      </c>
      <c r="BF145" s="7">
        <v>0.125</v>
      </c>
      <c r="BG145" s="21"/>
    </row>
    <row r="146" spans="1:59" ht="15.6" x14ac:dyDescent="0.3">
      <c r="A146" s="5" t="s">
        <v>277</v>
      </c>
      <c r="B146" s="5" t="s">
        <v>278</v>
      </c>
      <c r="C146" s="7">
        <v>6</v>
      </c>
      <c r="D146" s="7">
        <v>6</v>
      </c>
      <c r="E146" s="7">
        <v>4258.9470000000001</v>
      </c>
      <c r="F146" s="7">
        <v>1021.913</v>
      </c>
      <c r="G146" s="7">
        <v>223.79</v>
      </c>
      <c r="H146" s="7">
        <v>125.69</v>
      </c>
      <c r="I146" s="7">
        <v>167.65799999999999</v>
      </c>
      <c r="J146" s="7">
        <v>189.14099999999999</v>
      </c>
      <c r="K146" s="7">
        <v>5096.6980000000003</v>
      </c>
      <c r="L146" s="7">
        <v>579.11599999999999</v>
      </c>
      <c r="M146" s="7">
        <v>0</v>
      </c>
      <c r="N146" s="7">
        <v>1789.1079999999999</v>
      </c>
      <c r="O146" s="7">
        <v>14146.031999999999</v>
      </c>
      <c r="P146" s="7">
        <v>1823.703</v>
      </c>
      <c r="Q146" s="7">
        <v>0</v>
      </c>
      <c r="R146" s="7">
        <v>0</v>
      </c>
      <c r="S146" s="7">
        <v>14.725</v>
      </c>
      <c r="T146" s="7">
        <v>0</v>
      </c>
      <c r="U146" s="7">
        <v>0.58599999999999997</v>
      </c>
      <c r="V146" s="7">
        <v>365.00900000000001</v>
      </c>
      <c r="W146" s="7">
        <v>0</v>
      </c>
      <c r="X146" s="7">
        <v>0</v>
      </c>
      <c r="Y146" s="7">
        <v>0</v>
      </c>
      <c r="Z146" s="7">
        <v>51.088999999999999</v>
      </c>
      <c r="AA146" s="7">
        <v>178.80199999999999</v>
      </c>
      <c r="AB146" s="7">
        <v>0</v>
      </c>
      <c r="AC146" s="7">
        <v>2061.1170000000002</v>
      </c>
      <c r="AD146" s="7">
        <v>0</v>
      </c>
      <c r="AE146" s="7">
        <v>592.67200000000003</v>
      </c>
      <c r="AF146" s="7">
        <v>0.47</v>
      </c>
      <c r="AG146" s="7">
        <v>183.46799999999999</v>
      </c>
      <c r="AH146" s="7">
        <v>0</v>
      </c>
      <c r="AI146" s="7">
        <v>6085.143</v>
      </c>
      <c r="AJ146" s="7">
        <v>1325.1980000000001</v>
      </c>
      <c r="AK146" s="7">
        <v>0</v>
      </c>
      <c r="AL146" s="7">
        <v>19493.173999999999</v>
      </c>
      <c r="AM146" s="7">
        <v>2413.0340000000001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13.912000000000001</v>
      </c>
      <c r="AV146" s="7">
        <v>0</v>
      </c>
      <c r="AW146" s="7">
        <v>0</v>
      </c>
      <c r="AX146" s="7">
        <v>390.678</v>
      </c>
      <c r="AY146" s="7">
        <v>0</v>
      </c>
      <c r="AZ146" s="7">
        <v>1.5209999999999999</v>
      </c>
      <c r="BA146" s="7">
        <v>0</v>
      </c>
      <c r="BB146" s="7">
        <v>17.042999999999999</v>
      </c>
      <c r="BC146" s="7">
        <v>0</v>
      </c>
      <c r="BD146" s="7">
        <v>0</v>
      </c>
      <c r="BE146" s="7">
        <v>1003.328</v>
      </c>
      <c r="BF146" s="7">
        <v>0</v>
      </c>
      <c r="BG146" s="21"/>
    </row>
    <row r="147" spans="1:59" ht="15.6" x14ac:dyDescent="0.3">
      <c r="A147" s="5" t="s">
        <v>279</v>
      </c>
      <c r="B147" s="5" t="s">
        <v>280</v>
      </c>
      <c r="C147" s="7">
        <v>6</v>
      </c>
      <c r="D147" s="7">
        <v>6</v>
      </c>
      <c r="E147" s="7">
        <v>-20494.958999999999</v>
      </c>
      <c r="F147" s="7">
        <v>-4510.7269999999999</v>
      </c>
      <c r="G147" s="7">
        <v>-3798.114</v>
      </c>
      <c r="H147" s="7">
        <v>-46.732999999999997</v>
      </c>
      <c r="I147" s="7">
        <v>-512.75300000000004</v>
      </c>
      <c r="J147" s="7">
        <v>-2265.7280000000001</v>
      </c>
      <c r="K147" s="7">
        <v>-16310.268</v>
      </c>
      <c r="L147" s="7">
        <v>-3392.4140000000002</v>
      </c>
      <c r="M147" s="7">
        <v>0</v>
      </c>
      <c r="N147" s="7">
        <v>-9081.3870000000006</v>
      </c>
      <c r="O147" s="7">
        <v>-42427.536999999997</v>
      </c>
      <c r="P147" s="7">
        <v>-8260.125</v>
      </c>
      <c r="Q147" s="7">
        <v>0</v>
      </c>
      <c r="R147" s="7">
        <v>-876.95799999999997</v>
      </c>
      <c r="S147" s="7">
        <v>-41.115000000000002</v>
      </c>
      <c r="T147" s="7">
        <v>-1621.5340000000001</v>
      </c>
      <c r="U147" s="7">
        <v>-1.2130000000000001</v>
      </c>
      <c r="V147" s="7">
        <v>-1220.4059999999999</v>
      </c>
      <c r="W147" s="7">
        <v>0</v>
      </c>
      <c r="X147" s="7">
        <v>-28322.120999999999</v>
      </c>
      <c r="Y147" s="7">
        <v>0</v>
      </c>
      <c r="Z147" s="7">
        <v>-331.50599999999997</v>
      </c>
      <c r="AA147" s="7">
        <v>-1033.9010000000001</v>
      </c>
      <c r="AB147" s="7">
        <v>-173642.856</v>
      </c>
      <c r="AC147" s="7">
        <v>-8444.4220000000005</v>
      </c>
      <c r="AD147" s="7">
        <v>0</v>
      </c>
      <c r="AE147" s="7">
        <v>-2485.6979999999999</v>
      </c>
      <c r="AF147" s="7">
        <v>-55581.069000000003</v>
      </c>
      <c r="AG147" s="7">
        <v>-797.11099999999999</v>
      </c>
      <c r="AH147" s="7">
        <v>4.383</v>
      </c>
      <c r="AI147" s="7">
        <v>-19737.310000000001</v>
      </c>
      <c r="AJ147" s="7">
        <v>-6432.6660000000002</v>
      </c>
      <c r="AK147" s="7">
        <v>12.643000000000001</v>
      </c>
      <c r="AL147" s="7">
        <v>-58765.103999999999</v>
      </c>
      <c r="AM147" s="7">
        <v>-12093.273999999999</v>
      </c>
      <c r="AN147" s="7">
        <v>0</v>
      </c>
      <c r="AO147" s="7">
        <v>0</v>
      </c>
      <c r="AP147" s="7">
        <v>-56072.169000000002</v>
      </c>
      <c r="AQ147" s="7">
        <v>-23684.243999999999</v>
      </c>
      <c r="AR147" s="7">
        <v>0</v>
      </c>
      <c r="AS147" s="7">
        <v>0</v>
      </c>
      <c r="AT147" s="7">
        <v>0</v>
      </c>
      <c r="AU147" s="7">
        <v>-26.869</v>
      </c>
      <c r="AV147" s="7">
        <v>-4984.33</v>
      </c>
      <c r="AW147" s="7">
        <v>0</v>
      </c>
      <c r="AX147" s="7">
        <v>-1899.51</v>
      </c>
      <c r="AY147" s="7">
        <v>0</v>
      </c>
      <c r="AZ147" s="7">
        <v>-14.004</v>
      </c>
      <c r="BA147" s="7">
        <v>0</v>
      </c>
      <c r="BB147" s="7">
        <v>-256.95</v>
      </c>
      <c r="BC147" s="7">
        <v>0</v>
      </c>
      <c r="BD147" s="7">
        <v>0</v>
      </c>
      <c r="BE147" s="7">
        <v>-435.09300000000002</v>
      </c>
      <c r="BF147" s="7">
        <v>-12409.532999999999</v>
      </c>
      <c r="BG147" s="21"/>
    </row>
    <row r="148" spans="1:59" ht="15.6" x14ac:dyDescent="0.3">
      <c r="A148" s="5" t="s">
        <v>281</v>
      </c>
      <c r="B148" s="5" t="s">
        <v>282</v>
      </c>
      <c r="C148" s="7">
        <v>6</v>
      </c>
      <c r="D148" s="7">
        <v>6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21"/>
    </row>
    <row r="149" spans="1:59" ht="15.6" x14ac:dyDescent="0.3">
      <c r="A149" s="5" t="s">
        <v>283</v>
      </c>
      <c r="B149" s="5" t="s">
        <v>284</v>
      </c>
      <c r="C149" s="7">
        <v>4</v>
      </c>
      <c r="D149" s="7">
        <v>4</v>
      </c>
      <c r="E149" s="7">
        <v>-12929.338</v>
      </c>
      <c r="F149" s="7">
        <v>-3141.902</v>
      </c>
      <c r="G149" s="7">
        <v>-726.10500000000002</v>
      </c>
      <c r="H149" s="7">
        <v>0</v>
      </c>
      <c r="I149" s="7">
        <v>-251.09700000000001</v>
      </c>
      <c r="J149" s="7">
        <v>-513.93499999999995</v>
      </c>
      <c r="K149" s="7">
        <v>-14667.486000000001</v>
      </c>
      <c r="L149" s="7">
        <v>-2056.7440000000001</v>
      </c>
      <c r="M149" s="7">
        <v>0</v>
      </c>
      <c r="N149" s="7">
        <v>-4775.7569999999996</v>
      </c>
      <c r="O149" s="7">
        <v>-37144.33</v>
      </c>
      <c r="P149" s="7">
        <v>-3528.136</v>
      </c>
      <c r="Q149" s="7">
        <v>0</v>
      </c>
      <c r="R149" s="7">
        <v>-27.861999999999998</v>
      </c>
      <c r="S149" s="7">
        <v>0</v>
      </c>
      <c r="T149" s="7">
        <v>-17.664999999999999</v>
      </c>
      <c r="U149" s="7">
        <v>0</v>
      </c>
      <c r="V149" s="7">
        <v>-962.53</v>
      </c>
      <c r="W149" s="7">
        <v>0</v>
      </c>
      <c r="X149" s="7">
        <v>-300.18099999999998</v>
      </c>
      <c r="Y149" s="7">
        <v>0</v>
      </c>
      <c r="Z149" s="7">
        <v>-45.655000000000001</v>
      </c>
      <c r="AA149" s="7">
        <v>-282.88099999999997</v>
      </c>
      <c r="AB149" s="7">
        <v>0</v>
      </c>
      <c r="AC149" s="7">
        <v>-6235.8680000000004</v>
      </c>
      <c r="AD149" s="7">
        <v>-234.137</v>
      </c>
      <c r="AE149" s="7">
        <v>-544.66899999999998</v>
      </c>
      <c r="AF149" s="7">
        <v>-719.77499999999998</v>
      </c>
      <c r="AG149" s="7">
        <v>-524.21100000000001</v>
      </c>
      <c r="AH149" s="7">
        <v>-59.131</v>
      </c>
      <c r="AI149" s="7">
        <v>-16074.351000000001</v>
      </c>
      <c r="AJ149" s="7">
        <v>-6901.0950000000003</v>
      </c>
      <c r="AK149" s="7">
        <v>-289.81099999999998</v>
      </c>
      <c r="AL149" s="7">
        <v>-46594.553999999996</v>
      </c>
      <c r="AM149" s="7">
        <v>-12922.896000000001</v>
      </c>
      <c r="AN149" s="7">
        <v>-1369.87</v>
      </c>
      <c r="AO149" s="7">
        <v>-52728.608999999997</v>
      </c>
      <c r="AP149" s="7">
        <v>-637.74699999999996</v>
      </c>
      <c r="AQ149" s="7">
        <v>-260.673</v>
      </c>
      <c r="AR149" s="7">
        <v>-32222.404999999999</v>
      </c>
      <c r="AS149" s="7">
        <v>0</v>
      </c>
      <c r="AT149" s="7">
        <v>-16992.553</v>
      </c>
      <c r="AU149" s="7">
        <v>-43.466000000000001</v>
      </c>
      <c r="AV149" s="7">
        <v>-49.017000000000003</v>
      </c>
      <c r="AW149" s="7">
        <v>0</v>
      </c>
      <c r="AX149" s="7">
        <v>-2050.8609999999999</v>
      </c>
      <c r="AY149" s="7">
        <v>0</v>
      </c>
      <c r="AZ149" s="7">
        <v>-11.151</v>
      </c>
      <c r="BA149" s="7">
        <v>0</v>
      </c>
      <c r="BB149" s="7">
        <v>-110.59099999999999</v>
      </c>
      <c r="BC149" s="7">
        <v>0</v>
      </c>
      <c r="BD149" s="7">
        <v>0</v>
      </c>
      <c r="BE149" s="7">
        <v>-1864.8689999999999</v>
      </c>
      <c r="BF149" s="7">
        <v>0</v>
      </c>
      <c r="BG149" s="21"/>
    </row>
    <row r="150" spans="1:59" ht="15.6" x14ac:dyDescent="0.3">
      <c r="A150" s="5" t="s">
        <v>285</v>
      </c>
      <c r="B150" s="5" t="s">
        <v>286</v>
      </c>
      <c r="C150" s="7">
        <v>6</v>
      </c>
      <c r="D150" s="7">
        <v>6</v>
      </c>
      <c r="E150" s="7">
        <v>215855.40599999999</v>
      </c>
      <c r="F150" s="7">
        <v>60564.277000000002</v>
      </c>
      <c r="G150" s="7">
        <v>0</v>
      </c>
      <c r="H150" s="7">
        <v>0</v>
      </c>
      <c r="I150" s="7">
        <v>3090.0590000000002</v>
      </c>
      <c r="J150" s="7">
        <v>0</v>
      </c>
      <c r="K150" s="7">
        <v>282489.08600000001</v>
      </c>
      <c r="L150" s="7">
        <v>25860.522000000001</v>
      </c>
      <c r="M150" s="7">
        <v>0</v>
      </c>
      <c r="N150" s="7">
        <v>31667.293000000001</v>
      </c>
      <c r="O150" s="7">
        <v>720678.43900000001</v>
      </c>
      <c r="P150" s="7">
        <v>43253.271000000001</v>
      </c>
      <c r="Q150" s="7">
        <v>0</v>
      </c>
      <c r="R150" s="7">
        <v>2781.1709999999998</v>
      </c>
      <c r="S150" s="7">
        <v>0</v>
      </c>
      <c r="T150" s="7">
        <v>1746.1410000000001</v>
      </c>
      <c r="U150" s="7">
        <v>0</v>
      </c>
      <c r="V150" s="7">
        <v>18600.531999999999</v>
      </c>
      <c r="W150" s="7">
        <v>0</v>
      </c>
      <c r="X150" s="7">
        <v>30053.464</v>
      </c>
      <c r="Y150" s="7">
        <v>0</v>
      </c>
      <c r="Z150" s="7">
        <v>0</v>
      </c>
      <c r="AA150" s="7">
        <v>4584.0569999999998</v>
      </c>
      <c r="AB150" s="7">
        <v>0</v>
      </c>
      <c r="AC150" s="7">
        <v>122186.69100000001</v>
      </c>
      <c r="AD150" s="7">
        <v>24353.864000000001</v>
      </c>
      <c r="AE150" s="7">
        <v>0</v>
      </c>
      <c r="AF150" s="7">
        <v>71713.843999999997</v>
      </c>
      <c r="AG150" s="7">
        <v>10355.434999999999</v>
      </c>
      <c r="AH150" s="7">
        <v>4328.1809999999996</v>
      </c>
      <c r="AI150" s="7">
        <v>316603.38400000002</v>
      </c>
      <c r="AJ150" s="7">
        <v>145630.35</v>
      </c>
      <c r="AK150" s="7">
        <v>24220.791000000001</v>
      </c>
      <c r="AL150" s="7">
        <v>922462.26399999997</v>
      </c>
      <c r="AM150" s="7">
        <v>272721.94199999998</v>
      </c>
      <c r="AN150" s="7">
        <v>142486.63200000001</v>
      </c>
      <c r="AO150" s="7">
        <v>3678445.645</v>
      </c>
      <c r="AP150" s="7">
        <v>63651.677000000003</v>
      </c>
      <c r="AQ150" s="7">
        <v>26095.609</v>
      </c>
      <c r="AR150" s="7">
        <v>2247894.764</v>
      </c>
      <c r="AS150" s="7">
        <v>0</v>
      </c>
      <c r="AT150" s="7">
        <v>1185432.0209999999</v>
      </c>
      <c r="AU150" s="7">
        <v>858.73</v>
      </c>
      <c r="AV150" s="7">
        <v>4853.4629999999997</v>
      </c>
      <c r="AW150" s="7">
        <v>0</v>
      </c>
      <c r="AX150" s="7">
        <v>43294.883999999998</v>
      </c>
      <c r="AY150" s="7">
        <v>0</v>
      </c>
      <c r="AZ150" s="7">
        <v>187.40700000000001</v>
      </c>
      <c r="BA150" s="7">
        <v>0</v>
      </c>
      <c r="BB150" s="7">
        <v>1358.1980000000001</v>
      </c>
      <c r="BC150" s="7">
        <v>0</v>
      </c>
      <c r="BD150" s="7">
        <v>0</v>
      </c>
      <c r="BE150" s="7">
        <v>39379.271000000001</v>
      </c>
      <c r="BF150" s="7">
        <v>0</v>
      </c>
      <c r="BG150" s="21"/>
    </row>
    <row r="151" spans="1:59" ht="15.6" x14ac:dyDescent="0.3">
      <c r="A151" s="5" t="s">
        <v>287</v>
      </c>
      <c r="B151" s="5" t="s">
        <v>288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21"/>
    </row>
    <row r="152" spans="1:59" ht="15.6" x14ac:dyDescent="0.3">
      <c r="A152" s="5" t="s">
        <v>289</v>
      </c>
      <c r="B152" s="5" t="s">
        <v>290</v>
      </c>
      <c r="C152" s="7">
        <v>6</v>
      </c>
      <c r="D152" s="7">
        <v>6</v>
      </c>
      <c r="E152" s="7">
        <v>-234782.78099999999</v>
      </c>
      <c r="F152" s="7">
        <v>-67845.447</v>
      </c>
      <c r="G152" s="7">
        <v>-1054.0519999999999</v>
      </c>
      <c r="H152" s="7">
        <v>-1037.162</v>
      </c>
      <c r="I152" s="7">
        <v>-3830.114</v>
      </c>
      <c r="J152" s="7">
        <v>-2372.614</v>
      </c>
      <c r="K152" s="7">
        <v>-306400.68599999999</v>
      </c>
      <c r="L152" s="7">
        <v>-29165.026000000002</v>
      </c>
      <c r="M152" s="7">
        <v>0</v>
      </c>
      <c r="N152" s="7">
        <v>-39848.023999999998</v>
      </c>
      <c r="O152" s="7">
        <v>-784058.93299999996</v>
      </c>
      <c r="P152" s="7">
        <v>-52330.139000000003</v>
      </c>
      <c r="Q152" s="7">
        <v>0</v>
      </c>
      <c r="R152" s="7">
        <v>-2815.5790000000002</v>
      </c>
      <c r="S152" s="7">
        <v>-1.61</v>
      </c>
      <c r="T152" s="7">
        <v>-2405.7240000000002</v>
      </c>
      <c r="U152" s="7">
        <v>-790.69899999999996</v>
      </c>
      <c r="V152" s="7">
        <v>-20869.593000000001</v>
      </c>
      <c r="W152" s="7">
        <v>0</v>
      </c>
      <c r="X152" s="7">
        <v>-35895.222999999998</v>
      </c>
      <c r="Y152" s="7">
        <v>0</v>
      </c>
      <c r="Z152" s="7">
        <v>-246.298</v>
      </c>
      <c r="AA152" s="7">
        <v>-5543.5050000000001</v>
      </c>
      <c r="AB152" s="7">
        <v>0</v>
      </c>
      <c r="AC152" s="7">
        <v>-130845.12</v>
      </c>
      <c r="AD152" s="7">
        <v>-44831.713000000003</v>
      </c>
      <c r="AE152" s="7">
        <v>-4357.6009999999997</v>
      </c>
      <c r="AF152" s="7">
        <v>-72797.119000000006</v>
      </c>
      <c r="AG152" s="7">
        <v>-11565.701999999999</v>
      </c>
      <c r="AH152" s="7">
        <v>-8230.4439999999995</v>
      </c>
      <c r="AI152" s="7">
        <v>-337992.23300000001</v>
      </c>
      <c r="AJ152" s="7">
        <v>-155803.77900000001</v>
      </c>
      <c r="AK152" s="7">
        <v>-36281.167000000001</v>
      </c>
      <c r="AL152" s="7">
        <v>-1014906.877</v>
      </c>
      <c r="AM152" s="7">
        <v>-291831.79300000001</v>
      </c>
      <c r="AN152" s="7">
        <v>-265902.81400000001</v>
      </c>
      <c r="AO152" s="7">
        <v>-3735433.2080000001</v>
      </c>
      <c r="AP152" s="7">
        <v>-78666.706999999995</v>
      </c>
      <c r="AQ152" s="7">
        <v>-35807.146000000001</v>
      </c>
      <c r="AR152" s="7">
        <v>-2282719.8119999999</v>
      </c>
      <c r="AS152" s="7">
        <v>0</v>
      </c>
      <c r="AT152" s="7">
        <v>-1203797.0830000001</v>
      </c>
      <c r="AU152" s="7">
        <v>-944.43399999999997</v>
      </c>
      <c r="AV152" s="7">
        <v>-7131.5119999999997</v>
      </c>
      <c r="AW152" s="7">
        <v>0</v>
      </c>
      <c r="AX152" s="7">
        <v>-46295.300999999999</v>
      </c>
      <c r="AY152" s="7">
        <v>0</v>
      </c>
      <c r="AZ152" s="7">
        <v>-202.9</v>
      </c>
      <c r="BA152" s="7">
        <v>0</v>
      </c>
      <c r="BB152" s="7">
        <v>-1446.979</v>
      </c>
      <c r="BC152" s="7">
        <v>0</v>
      </c>
      <c r="BD152" s="7">
        <v>0</v>
      </c>
      <c r="BE152" s="7">
        <v>-43163.303999999996</v>
      </c>
      <c r="BF152" s="7">
        <v>-71.64</v>
      </c>
      <c r="BG152" s="21"/>
    </row>
    <row r="153" spans="1:59" ht="15.6" x14ac:dyDescent="0.3">
      <c r="A153" s="5" t="s">
        <v>291</v>
      </c>
      <c r="B153" s="5" t="s">
        <v>292</v>
      </c>
      <c r="C153" s="7">
        <v>6</v>
      </c>
      <c r="D153" s="7">
        <v>6</v>
      </c>
      <c r="E153" s="7">
        <v>2634.8040000000001</v>
      </c>
      <c r="F153" s="7">
        <v>2263.1320000000001</v>
      </c>
      <c r="G153" s="7">
        <v>223.62799999999999</v>
      </c>
      <c r="H153" s="7">
        <v>1042.558</v>
      </c>
      <c r="I153" s="7">
        <v>364.38200000000001</v>
      </c>
      <c r="J153" s="7">
        <v>1733.7670000000001</v>
      </c>
      <c r="K153" s="7">
        <v>40.234000000000002</v>
      </c>
      <c r="L153" s="7">
        <v>1192.7750000000001</v>
      </c>
      <c r="M153" s="7">
        <v>0</v>
      </c>
      <c r="N153" s="7">
        <v>4553.71</v>
      </c>
      <c r="O153" s="7">
        <v>9538.7279999999992</v>
      </c>
      <c r="P153" s="7">
        <v>4182.2370000000001</v>
      </c>
      <c r="Q153" s="7">
        <v>0</v>
      </c>
      <c r="R153" s="7">
        <v>0</v>
      </c>
      <c r="S153" s="7">
        <v>0.01</v>
      </c>
      <c r="T153" s="7">
        <v>660.39700000000005</v>
      </c>
      <c r="U153" s="7">
        <v>823.33199999999999</v>
      </c>
      <c r="V153" s="7">
        <v>901.79700000000003</v>
      </c>
      <c r="W153" s="7">
        <v>0</v>
      </c>
      <c r="X153" s="7">
        <v>5568.8029999999999</v>
      </c>
      <c r="Y153" s="7">
        <v>0</v>
      </c>
      <c r="Z153" s="7">
        <v>159.077</v>
      </c>
      <c r="AA153" s="7">
        <v>431.69499999999999</v>
      </c>
      <c r="AB153" s="7">
        <v>0</v>
      </c>
      <c r="AC153" s="7">
        <v>21.972999999999999</v>
      </c>
      <c r="AD153" s="7">
        <v>20911.495999999999</v>
      </c>
      <c r="AE153" s="7">
        <v>3572.1419999999998</v>
      </c>
      <c r="AF153" s="7">
        <v>0</v>
      </c>
      <c r="AG153" s="7">
        <v>400.72699999999998</v>
      </c>
      <c r="AH153" s="7">
        <v>3936.4169999999999</v>
      </c>
      <c r="AI153" s="7">
        <v>7.54</v>
      </c>
      <c r="AJ153" s="7">
        <v>42.787999999999997</v>
      </c>
      <c r="AK153" s="7">
        <v>11967.582</v>
      </c>
      <c r="AL153" s="7">
        <v>22250.54</v>
      </c>
      <c r="AM153" s="7">
        <v>72.991</v>
      </c>
      <c r="AN153" s="7">
        <v>126102.17600000001</v>
      </c>
      <c r="AO153" s="7">
        <v>0</v>
      </c>
      <c r="AP153" s="7">
        <v>14598.621999999999</v>
      </c>
      <c r="AQ153" s="7">
        <v>9671.8970000000008</v>
      </c>
      <c r="AR153" s="7">
        <v>0</v>
      </c>
      <c r="AS153" s="7">
        <v>0</v>
      </c>
      <c r="AT153" s="7">
        <v>0</v>
      </c>
      <c r="AU153" s="7">
        <v>45.718000000000004</v>
      </c>
      <c r="AV153" s="7">
        <v>2294.444</v>
      </c>
      <c r="AW153" s="7">
        <v>0</v>
      </c>
      <c r="AX153" s="7">
        <v>6</v>
      </c>
      <c r="AY153" s="7">
        <v>0</v>
      </c>
      <c r="AZ153" s="7">
        <v>3.2610000000000001</v>
      </c>
      <c r="BA153" s="7">
        <v>0</v>
      </c>
      <c r="BB153" s="7">
        <v>0.443</v>
      </c>
      <c r="BC153" s="7">
        <v>0</v>
      </c>
      <c r="BD153" s="7">
        <v>0</v>
      </c>
      <c r="BE153" s="7">
        <v>3047.9250000000002</v>
      </c>
      <c r="BF153" s="7">
        <v>0</v>
      </c>
      <c r="BG153" s="21"/>
    </row>
    <row r="154" spans="1:59" ht="15.6" x14ac:dyDescent="0.3">
      <c r="A154" s="5" t="s">
        <v>293</v>
      </c>
      <c r="B154" s="5" t="s">
        <v>294</v>
      </c>
      <c r="C154" s="7">
        <v>4</v>
      </c>
      <c r="D154" s="7">
        <v>4</v>
      </c>
      <c r="E154" s="7">
        <v>13855.779</v>
      </c>
      <c r="F154" s="7">
        <v>4346.7510000000002</v>
      </c>
      <c r="G154" s="7">
        <v>0</v>
      </c>
      <c r="H154" s="7">
        <v>0</v>
      </c>
      <c r="I154" s="7">
        <v>220.16900000000001</v>
      </c>
      <c r="J154" s="7">
        <v>0</v>
      </c>
      <c r="K154" s="7">
        <v>19801.407999999999</v>
      </c>
      <c r="L154" s="7">
        <v>1125.4390000000001</v>
      </c>
      <c r="M154" s="7">
        <v>0</v>
      </c>
      <c r="N154" s="7">
        <v>2224.373</v>
      </c>
      <c r="O154" s="7">
        <v>52407.277000000002</v>
      </c>
      <c r="P154" s="7">
        <v>2657.88</v>
      </c>
      <c r="Q154" s="7">
        <v>0</v>
      </c>
      <c r="R154" s="7">
        <v>0</v>
      </c>
      <c r="S154" s="7">
        <v>2.294</v>
      </c>
      <c r="T154" s="7">
        <v>0</v>
      </c>
      <c r="U154" s="7">
        <v>0</v>
      </c>
      <c r="V154" s="7">
        <v>1084.405</v>
      </c>
      <c r="W154" s="7">
        <v>0</v>
      </c>
      <c r="X154" s="7">
        <v>0</v>
      </c>
      <c r="Y154" s="7">
        <v>0</v>
      </c>
      <c r="Z154" s="7">
        <v>0</v>
      </c>
      <c r="AA154" s="7">
        <v>296.08300000000003</v>
      </c>
      <c r="AB154" s="7">
        <v>0</v>
      </c>
      <c r="AC154" s="7">
        <v>7923.6149999999998</v>
      </c>
      <c r="AD154" s="7">
        <v>0</v>
      </c>
      <c r="AE154" s="7">
        <v>0</v>
      </c>
      <c r="AF154" s="7">
        <v>0</v>
      </c>
      <c r="AG154" s="7">
        <v>714.73099999999999</v>
      </c>
      <c r="AH154" s="7">
        <v>0</v>
      </c>
      <c r="AI154" s="7">
        <v>19113.632000000001</v>
      </c>
      <c r="AJ154" s="7">
        <v>10543.626</v>
      </c>
      <c r="AK154" s="7">
        <v>0</v>
      </c>
      <c r="AL154" s="7">
        <v>65151.284</v>
      </c>
      <c r="AM154" s="7">
        <v>19838.457999999999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24.888999999999999</v>
      </c>
      <c r="AV154" s="7">
        <v>0</v>
      </c>
      <c r="AW154" s="7">
        <v>0</v>
      </c>
      <c r="AX154" s="7">
        <v>3109.627</v>
      </c>
      <c r="AY154" s="7">
        <v>0</v>
      </c>
      <c r="AZ154" s="7">
        <v>11.991</v>
      </c>
      <c r="BA154" s="7">
        <v>0</v>
      </c>
      <c r="BB154" s="7">
        <v>89.510999999999996</v>
      </c>
      <c r="BC154" s="7">
        <v>0</v>
      </c>
      <c r="BD154" s="7">
        <v>0</v>
      </c>
      <c r="BE154" s="7">
        <v>0</v>
      </c>
      <c r="BF154" s="7">
        <v>0</v>
      </c>
      <c r="BG154" s="21"/>
    </row>
    <row r="155" spans="1:59" ht="15.6" x14ac:dyDescent="0.3">
      <c r="A155" s="5" t="s">
        <v>295</v>
      </c>
      <c r="B155" s="5" t="s">
        <v>296</v>
      </c>
      <c r="C155" s="7">
        <v>4</v>
      </c>
      <c r="D155" s="7">
        <v>4</v>
      </c>
      <c r="E155" s="7">
        <v>363.93599999999998</v>
      </c>
      <c r="F155" s="7">
        <v>132.536</v>
      </c>
      <c r="G155" s="7">
        <v>45.362000000000002</v>
      </c>
      <c r="H155" s="7">
        <v>16.187000000000001</v>
      </c>
      <c r="I155" s="7">
        <v>16.776</v>
      </c>
      <c r="J155" s="7">
        <v>59.552999999999997</v>
      </c>
      <c r="K155" s="7">
        <v>492.26100000000002</v>
      </c>
      <c r="L155" s="7">
        <v>84.286000000000001</v>
      </c>
      <c r="M155" s="7">
        <v>0</v>
      </c>
      <c r="N155" s="7">
        <v>174.74700000000001</v>
      </c>
      <c r="O155" s="7">
        <v>982.81700000000001</v>
      </c>
      <c r="P155" s="7">
        <v>216.88900000000001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44.015999999999998</v>
      </c>
      <c r="W155" s="7">
        <v>0</v>
      </c>
      <c r="X155" s="7">
        <v>0</v>
      </c>
      <c r="Y155" s="7">
        <v>0</v>
      </c>
      <c r="Z155" s="7">
        <v>6.9050000000000002</v>
      </c>
      <c r="AA155" s="7">
        <v>22.751999999999999</v>
      </c>
      <c r="AB155" s="7">
        <v>0</v>
      </c>
      <c r="AC155" s="7">
        <v>150.459</v>
      </c>
      <c r="AD155" s="7">
        <v>0</v>
      </c>
      <c r="AE155" s="7">
        <v>95.962000000000003</v>
      </c>
      <c r="AF155" s="7">
        <v>0.04</v>
      </c>
      <c r="AG155" s="7">
        <v>21.439</v>
      </c>
      <c r="AH155" s="7">
        <v>0</v>
      </c>
      <c r="AI155" s="7">
        <v>388.68200000000002</v>
      </c>
      <c r="AJ155" s="7">
        <v>132.732</v>
      </c>
      <c r="AK155" s="7">
        <v>0</v>
      </c>
      <c r="AL155" s="7">
        <v>1548.67</v>
      </c>
      <c r="AM155" s="7">
        <v>248.45699999999999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1.8160000000000001</v>
      </c>
      <c r="AV155" s="7">
        <v>0</v>
      </c>
      <c r="AW155" s="7">
        <v>0</v>
      </c>
      <c r="AX155" s="7">
        <v>39.356000000000002</v>
      </c>
      <c r="AY155" s="7">
        <v>0</v>
      </c>
      <c r="AZ155" s="7">
        <v>0.23599999999999999</v>
      </c>
      <c r="BA155" s="7">
        <v>0</v>
      </c>
      <c r="BB155" s="7">
        <v>1.2390000000000001</v>
      </c>
      <c r="BC155" s="7">
        <v>0</v>
      </c>
      <c r="BD155" s="7">
        <v>0</v>
      </c>
      <c r="BE155" s="7">
        <v>83.12</v>
      </c>
      <c r="BF155" s="7">
        <v>0</v>
      </c>
      <c r="BG155" s="21"/>
    </row>
    <row r="156" spans="1:59" ht="15.6" x14ac:dyDescent="0.3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21"/>
    </row>
    <row r="157" spans="1:59" ht="15.6" x14ac:dyDescent="0.3">
      <c r="A157" s="5" t="s">
        <v>299</v>
      </c>
      <c r="B157" s="5" t="s">
        <v>300</v>
      </c>
      <c r="C157" s="7">
        <v>4</v>
      </c>
      <c r="D157" s="7">
        <v>4</v>
      </c>
      <c r="E157" s="7">
        <v>876.37300000000005</v>
      </c>
      <c r="F157" s="7">
        <v>121.724</v>
      </c>
      <c r="G157" s="7">
        <v>175.739</v>
      </c>
      <c r="H157" s="7">
        <v>0</v>
      </c>
      <c r="I157" s="7">
        <v>30.757999999999999</v>
      </c>
      <c r="J157" s="7">
        <v>103.211</v>
      </c>
      <c r="K157" s="7">
        <v>866.73699999999997</v>
      </c>
      <c r="L157" s="7">
        <v>79.760999999999996</v>
      </c>
      <c r="M157" s="7">
        <v>0</v>
      </c>
      <c r="N157" s="7">
        <v>402.26499999999999</v>
      </c>
      <c r="O157" s="7">
        <v>956.524</v>
      </c>
      <c r="P157" s="7">
        <v>398.351</v>
      </c>
      <c r="Q157" s="7">
        <v>0</v>
      </c>
      <c r="R157" s="7">
        <v>0</v>
      </c>
      <c r="S157" s="7">
        <v>5.8879999999999999</v>
      </c>
      <c r="T157" s="7">
        <v>0</v>
      </c>
      <c r="U157" s="7">
        <v>0.182</v>
      </c>
      <c r="V157" s="7">
        <v>0</v>
      </c>
      <c r="W157" s="7">
        <v>0</v>
      </c>
      <c r="X157" s="7">
        <v>0</v>
      </c>
      <c r="Y157" s="7">
        <v>0</v>
      </c>
      <c r="Z157" s="7">
        <v>13.882999999999999</v>
      </c>
      <c r="AA157" s="7">
        <v>44.612000000000002</v>
      </c>
      <c r="AB157" s="7">
        <v>0</v>
      </c>
      <c r="AC157" s="7">
        <v>357.45</v>
      </c>
      <c r="AD157" s="7">
        <v>0</v>
      </c>
      <c r="AE157" s="7">
        <v>124.104</v>
      </c>
      <c r="AF157" s="7">
        <v>0</v>
      </c>
      <c r="AG157" s="7">
        <v>21.42</v>
      </c>
      <c r="AH157" s="7">
        <v>0</v>
      </c>
      <c r="AI157" s="7">
        <v>1125.3900000000001</v>
      </c>
      <c r="AJ157" s="7">
        <v>0</v>
      </c>
      <c r="AK157" s="7">
        <v>0</v>
      </c>
      <c r="AL157" s="7">
        <v>1824.9639999999999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21"/>
    </row>
    <row r="158" spans="1:59" ht="15.6" x14ac:dyDescent="0.3">
      <c r="A158" s="5" t="s">
        <v>301</v>
      </c>
      <c r="B158" s="5" t="s">
        <v>302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21"/>
    </row>
    <row r="159" spans="1:59" ht="15.6" x14ac:dyDescent="0.3">
      <c r="A159" s="5" t="s">
        <v>303</v>
      </c>
      <c r="B159" s="5" t="s">
        <v>304</v>
      </c>
      <c r="C159" s="7">
        <v>4</v>
      </c>
      <c r="D159" s="7">
        <v>4</v>
      </c>
      <c r="E159" s="7">
        <v>-149.38</v>
      </c>
      <c r="F159" s="7">
        <v>-45.274999999999999</v>
      </c>
      <c r="G159" s="7">
        <v>-19.571000000000002</v>
      </c>
      <c r="H159" s="7">
        <v>-0.14199999999999999</v>
      </c>
      <c r="I159" s="7">
        <v>-5.2119999999999997</v>
      </c>
      <c r="J159" s="7">
        <v>-15.459</v>
      </c>
      <c r="K159" s="7">
        <v>-227.166</v>
      </c>
      <c r="L159" s="7">
        <v>-30.640999999999998</v>
      </c>
      <c r="M159" s="7">
        <v>0</v>
      </c>
      <c r="N159" s="7">
        <v>-48.908999999999999</v>
      </c>
      <c r="O159" s="7">
        <v>-385.12400000000002</v>
      </c>
      <c r="P159" s="7">
        <v>-71.117999999999995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-13.98</v>
      </c>
      <c r="W159" s="7">
        <v>0</v>
      </c>
      <c r="X159" s="7">
        <v>0</v>
      </c>
      <c r="Y159" s="7">
        <v>0</v>
      </c>
      <c r="Z159" s="7">
        <v>-2.09</v>
      </c>
      <c r="AA159" s="7">
        <v>-7.51</v>
      </c>
      <c r="AB159" s="7">
        <v>0</v>
      </c>
      <c r="AC159" s="7">
        <v>-69.088999999999999</v>
      </c>
      <c r="AD159" s="7">
        <v>0</v>
      </c>
      <c r="AE159" s="7">
        <v>-19.376999999999999</v>
      </c>
      <c r="AF159" s="7">
        <v>-1.7999999999999999E-2</v>
      </c>
      <c r="AG159" s="7">
        <v>-7.0730000000000004</v>
      </c>
      <c r="AH159" s="7">
        <v>0</v>
      </c>
      <c r="AI159" s="7">
        <v>-178.82</v>
      </c>
      <c r="AJ159" s="7">
        <v>-60.491999999999997</v>
      </c>
      <c r="AK159" s="7">
        <v>0</v>
      </c>
      <c r="AL159" s="7">
        <v>-557.18700000000001</v>
      </c>
      <c r="AM159" s="7">
        <v>-113.282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-0.51600000000000001</v>
      </c>
      <c r="AV159" s="7">
        <v>0</v>
      </c>
      <c r="AW159" s="7">
        <v>0</v>
      </c>
      <c r="AX159" s="7">
        <v>-17.983000000000001</v>
      </c>
      <c r="AY159" s="7">
        <v>0</v>
      </c>
      <c r="AZ159" s="7">
        <v>-8.5999999999999993E-2</v>
      </c>
      <c r="BA159" s="7">
        <v>0</v>
      </c>
      <c r="BB159" s="7">
        <v>-0.56399999999999995</v>
      </c>
      <c r="BC159" s="7">
        <v>0</v>
      </c>
      <c r="BD159" s="7">
        <v>0</v>
      </c>
      <c r="BE159" s="7">
        <v>-16.809999999999999</v>
      </c>
      <c r="BF159" s="7">
        <v>0</v>
      </c>
      <c r="BG159" s="21"/>
    </row>
    <row r="160" spans="1:59" ht="15.6" x14ac:dyDescent="0.3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21"/>
    </row>
    <row r="161" spans="1:59" ht="15.6" x14ac:dyDescent="0.3">
      <c r="A161" s="5" t="s">
        <v>307</v>
      </c>
      <c r="B161" s="5" t="s">
        <v>308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21"/>
    </row>
    <row r="162" spans="1:59" ht="15.6" x14ac:dyDescent="0.3">
      <c r="A162" s="5" t="s">
        <v>293</v>
      </c>
      <c r="B162" s="5" t="s">
        <v>309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21"/>
    </row>
    <row r="163" spans="1:59" ht="15.6" x14ac:dyDescent="0.3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21"/>
    </row>
    <row r="164" spans="1:59" ht="15.6" x14ac:dyDescent="0.3">
      <c r="A164" s="5" t="s">
        <v>312</v>
      </c>
      <c r="B164" s="5" t="s">
        <v>313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21"/>
    </row>
    <row r="165" spans="1:59" ht="15.6" x14ac:dyDescent="0.3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21"/>
    </row>
    <row r="166" spans="1:59" ht="15.6" x14ac:dyDescent="0.3">
      <c r="A166" s="5" t="s">
        <v>299</v>
      </c>
      <c r="B166" s="5" t="s">
        <v>315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21"/>
    </row>
    <row r="167" spans="1:59" ht="15.6" x14ac:dyDescent="0.3">
      <c r="A167" s="5" t="s">
        <v>301</v>
      </c>
      <c r="B167" s="5" t="s">
        <v>316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21"/>
    </row>
    <row r="168" spans="1:59" ht="15.6" x14ac:dyDescent="0.3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21"/>
    </row>
    <row r="169" spans="1:59" ht="15.6" x14ac:dyDescent="0.3">
      <c r="A169" s="5" t="s">
        <v>319</v>
      </c>
      <c r="B169" s="5" t="s">
        <v>320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21"/>
    </row>
    <row r="170" spans="1:59" ht="15.6" x14ac:dyDescent="0.3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21"/>
    </row>
    <row r="171" spans="1:59" ht="15.6" x14ac:dyDescent="0.3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21"/>
    </row>
    <row r="172" spans="1:59" ht="15.6" x14ac:dyDescent="0.3">
      <c r="A172" s="5" t="s">
        <v>323</v>
      </c>
      <c r="B172" s="5" t="s">
        <v>324</v>
      </c>
      <c r="C172" s="7">
        <v>4</v>
      </c>
      <c r="D172" s="7">
        <v>4</v>
      </c>
      <c r="E172" s="7">
        <v>3812.7750000000001</v>
      </c>
      <c r="F172" s="7">
        <v>1123.104</v>
      </c>
      <c r="G172" s="7">
        <v>0</v>
      </c>
      <c r="H172" s="7">
        <v>0</v>
      </c>
      <c r="I172" s="7">
        <v>57.237000000000002</v>
      </c>
      <c r="J172" s="7">
        <v>0</v>
      </c>
      <c r="K172" s="7">
        <v>5195.7629999999999</v>
      </c>
      <c r="L172" s="7">
        <v>394.27300000000002</v>
      </c>
      <c r="M172" s="7">
        <v>0</v>
      </c>
      <c r="N172" s="7">
        <v>584.36400000000003</v>
      </c>
      <c r="O172" s="7">
        <v>13451.290999999999</v>
      </c>
      <c r="P172" s="7">
        <v>751.57799999999997</v>
      </c>
      <c r="Q172" s="7">
        <v>0</v>
      </c>
      <c r="R172" s="7">
        <v>0</v>
      </c>
      <c r="S172" s="7">
        <v>0.26900000000000002</v>
      </c>
      <c r="T172" s="7">
        <v>0</v>
      </c>
      <c r="U172" s="7">
        <v>0</v>
      </c>
      <c r="V172" s="7">
        <v>315.42099999999999</v>
      </c>
      <c r="W172" s="7">
        <v>0</v>
      </c>
      <c r="X172" s="7">
        <v>0</v>
      </c>
      <c r="Y172" s="7">
        <v>0</v>
      </c>
      <c r="Z172" s="7">
        <v>0</v>
      </c>
      <c r="AA172" s="7">
        <v>81.346999999999994</v>
      </c>
      <c r="AB172" s="7">
        <v>0</v>
      </c>
      <c r="AC172" s="7">
        <v>2152.0189999999998</v>
      </c>
      <c r="AD172" s="7">
        <v>0</v>
      </c>
      <c r="AE172" s="7">
        <v>0</v>
      </c>
      <c r="AF172" s="7">
        <v>0.44500000000000001</v>
      </c>
      <c r="AG172" s="7">
        <v>188.471</v>
      </c>
      <c r="AH172" s="7">
        <v>0</v>
      </c>
      <c r="AI172" s="7">
        <v>5409.9369999999999</v>
      </c>
      <c r="AJ172" s="7">
        <v>2708.9470000000001</v>
      </c>
      <c r="AK172" s="7">
        <v>0</v>
      </c>
      <c r="AL172" s="7">
        <v>17068.588</v>
      </c>
      <c r="AM172" s="7">
        <v>5081.3940000000002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11.510999999999999</v>
      </c>
      <c r="AV172" s="7">
        <v>0</v>
      </c>
      <c r="AW172" s="7">
        <v>0</v>
      </c>
      <c r="AX172" s="7">
        <v>799.81799999999998</v>
      </c>
      <c r="AY172" s="7">
        <v>0</v>
      </c>
      <c r="AZ172" s="7">
        <v>3.2810000000000001</v>
      </c>
      <c r="BA172" s="7">
        <v>0</v>
      </c>
      <c r="BB172" s="7">
        <v>24.085999999999999</v>
      </c>
      <c r="BC172" s="7">
        <v>0</v>
      </c>
      <c r="BD172" s="7">
        <v>0</v>
      </c>
      <c r="BE172" s="7">
        <v>394.077</v>
      </c>
      <c r="BF172" s="7">
        <v>0</v>
      </c>
      <c r="BG172" s="21"/>
    </row>
    <row r="173" spans="1:59" ht="15.6" x14ac:dyDescent="0.3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21"/>
    </row>
    <row r="174" spans="1:59" ht="15.6" x14ac:dyDescent="0.3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21"/>
    </row>
    <row r="175" spans="1:59" ht="15.6" x14ac:dyDescent="0.3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21"/>
    </row>
    <row r="176" spans="1:59" ht="15.6" x14ac:dyDescent="0.3">
      <c r="A176" s="5" t="s">
        <v>331</v>
      </c>
      <c r="B176" s="5" t="s">
        <v>332</v>
      </c>
      <c r="C176" s="7">
        <v>4</v>
      </c>
      <c r="D176" s="7">
        <v>4</v>
      </c>
      <c r="E176" s="7">
        <v>247.398</v>
      </c>
      <c r="F176" s="7">
        <v>24.896999999999998</v>
      </c>
      <c r="G176" s="7">
        <v>66.561000000000007</v>
      </c>
      <c r="H176" s="7">
        <v>0</v>
      </c>
      <c r="I176" s="7">
        <v>9.59</v>
      </c>
      <c r="J176" s="7">
        <v>47.112000000000002</v>
      </c>
      <c r="K176" s="7">
        <v>116.946</v>
      </c>
      <c r="L176" s="7">
        <v>22.609000000000002</v>
      </c>
      <c r="M176" s="7">
        <v>0</v>
      </c>
      <c r="N176" s="7">
        <v>108.625</v>
      </c>
      <c r="O176" s="7">
        <v>75.423000000000002</v>
      </c>
      <c r="P176" s="7">
        <v>104.968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7.4290000000000003</v>
      </c>
      <c r="W176" s="7">
        <v>0</v>
      </c>
      <c r="X176" s="7">
        <v>0</v>
      </c>
      <c r="Y176" s="7">
        <v>0</v>
      </c>
      <c r="Z176" s="7">
        <v>4.1849999999999996</v>
      </c>
      <c r="AA176" s="7">
        <v>6.0110000000000001</v>
      </c>
      <c r="AB176" s="7">
        <v>0</v>
      </c>
      <c r="AC176" s="7">
        <v>41.207000000000001</v>
      </c>
      <c r="AD176" s="7">
        <v>0</v>
      </c>
      <c r="AE176" s="7">
        <v>49.929000000000002</v>
      </c>
      <c r="AF176" s="7">
        <v>0</v>
      </c>
      <c r="AG176" s="7">
        <v>3.0710000000000002</v>
      </c>
      <c r="AH176" s="7">
        <v>1.357</v>
      </c>
      <c r="AI176" s="7">
        <v>99.100999999999999</v>
      </c>
      <c r="AJ176" s="7">
        <v>0</v>
      </c>
      <c r="AK176" s="7">
        <v>3.915</v>
      </c>
      <c r="AL176" s="7">
        <v>261.32100000000003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0.25700000000000001</v>
      </c>
      <c r="AV176" s="7">
        <v>0</v>
      </c>
      <c r="AW176" s="7">
        <v>0</v>
      </c>
      <c r="AX176" s="7">
        <v>0</v>
      </c>
      <c r="AY176" s="7">
        <v>0</v>
      </c>
      <c r="AZ176" s="7">
        <v>0.20899999999999999</v>
      </c>
      <c r="BA176" s="7">
        <v>0</v>
      </c>
      <c r="BB176" s="7">
        <v>4.242</v>
      </c>
      <c r="BC176" s="7">
        <v>0</v>
      </c>
      <c r="BD176" s="7">
        <v>0</v>
      </c>
      <c r="BE176" s="7">
        <v>0</v>
      </c>
      <c r="BF176" s="7">
        <v>0</v>
      </c>
      <c r="BG176" s="21"/>
    </row>
    <row r="177" spans="1:59" ht="15.6" x14ac:dyDescent="0.3">
      <c r="A177" s="5" t="s">
        <v>333</v>
      </c>
      <c r="B177" s="5" t="s">
        <v>334</v>
      </c>
      <c r="C177" s="7">
        <v>4</v>
      </c>
      <c r="D177" s="7">
        <v>4</v>
      </c>
      <c r="E177" s="7">
        <v>-4665.2380000000003</v>
      </c>
      <c r="F177" s="7">
        <v>-1375.23</v>
      </c>
      <c r="G177" s="7">
        <v>0</v>
      </c>
      <c r="H177" s="7">
        <v>0</v>
      </c>
      <c r="I177" s="7">
        <v>-69.980999999999995</v>
      </c>
      <c r="J177" s="7">
        <v>0</v>
      </c>
      <c r="K177" s="7">
        <v>-6351.0479999999998</v>
      </c>
      <c r="L177" s="7">
        <v>-481.59899999999999</v>
      </c>
      <c r="M177" s="7">
        <v>0</v>
      </c>
      <c r="N177" s="7">
        <v>-713.17499999999995</v>
      </c>
      <c r="O177" s="7">
        <v>-16466.071</v>
      </c>
      <c r="P177" s="7">
        <v>-918.24800000000005</v>
      </c>
      <c r="Q177" s="7">
        <v>0</v>
      </c>
      <c r="R177" s="7">
        <v>0</v>
      </c>
      <c r="S177" s="7">
        <v>-0.33200000000000002</v>
      </c>
      <c r="T177" s="7">
        <v>0</v>
      </c>
      <c r="U177" s="7">
        <v>0</v>
      </c>
      <c r="V177" s="7">
        <v>-386.03500000000003</v>
      </c>
      <c r="W177" s="7">
        <v>0</v>
      </c>
      <c r="X177" s="7">
        <v>0</v>
      </c>
      <c r="Y177" s="7">
        <v>0</v>
      </c>
      <c r="Z177" s="7">
        <v>0</v>
      </c>
      <c r="AA177" s="7">
        <v>-99.403000000000006</v>
      </c>
      <c r="AB177" s="7">
        <v>0</v>
      </c>
      <c r="AC177" s="7">
        <v>-2646.1959999999999</v>
      </c>
      <c r="AD177" s="7">
        <v>0</v>
      </c>
      <c r="AE177" s="7">
        <v>0</v>
      </c>
      <c r="AF177" s="7">
        <v>-0.54400000000000004</v>
      </c>
      <c r="AG177" s="7">
        <v>-230.92599999999999</v>
      </c>
      <c r="AH177" s="7">
        <v>0</v>
      </c>
      <c r="AI177" s="7">
        <v>-6651.4449999999997</v>
      </c>
      <c r="AJ177" s="7">
        <v>-3319.1329999999998</v>
      </c>
      <c r="AK177" s="7">
        <v>0</v>
      </c>
      <c r="AL177" s="7">
        <v>-20827.891</v>
      </c>
      <c r="AM177" s="7">
        <v>-6228.2280000000001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-14.138</v>
      </c>
      <c r="AV177" s="7">
        <v>0</v>
      </c>
      <c r="AW177" s="7">
        <v>0</v>
      </c>
      <c r="AX177" s="7">
        <v>-982.10799999999995</v>
      </c>
      <c r="AY177" s="7">
        <v>0</v>
      </c>
      <c r="AZ177" s="7">
        <v>-4.0359999999999996</v>
      </c>
      <c r="BA177" s="7">
        <v>0</v>
      </c>
      <c r="BB177" s="7">
        <v>-29.611999999999998</v>
      </c>
      <c r="BC177" s="7">
        <v>0</v>
      </c>
      <c r="BD177" s="7">
        <v>0</v>
      </c>
      <c r="BE177" s="7">
        <v>-483.12099999999998</v>
      </c>
      <c r="BF177" s="7">
        <v>0</v>
      </c>
      <c r="BG177" s="21"/>
    </row>
    <row r="178" spans="1:59" ht="15.6" x14ac:dyDescent="0.3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21"/>
    </row>
    <row r="179" spans="1:59" ht="15.6" x14ac:dyDescent="0.3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21"/>
    </row>
    <row r="180" spans="1:59" ht="15.6" x14ac:dyDescent="0.3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21"/>
    </row>
    <row r="181" spans="1:59" ht="15.6" x14ac:dyDescent="0.3">
      <c r="A181" s="5" t="s">
        <v>341</v>
      </c>
      <c r="B181" s="5" t="s">
        <v>342</v>
      </c>
      <c r="C181" s="7">
        <v>4</v>
      </c>
      <c r="D181" s="7">
        <v>4</v>
      </c>
      <c r="E181" s="7">
        <v>-948.53200000000004</v>
      </c>
      <c r="F181" s="7">
        <v>-96.665000000000006</v>
      </c>
      <c r="G181" s="7">
        <v>-253.673</v>
      </c>
      <c r="H181" s="7">
        <v>0</v>
      </c>
      <c r="I181" s="7">
        <v>-36.637999999999998</v>
      </c>
      <c r="J181" s="7">
        <v>-179.54900000000001</v>
      </c>
      <c r="K181" s="7">
        <v>-453.79700000000003</v>
      </c>
      <c r="L181" s="7">
        <v>-86.626000000000005</v>
      </c>
      <c r="M181" s="7">
        <v>0</v>
      </c>
      <c r="N181" s="7">
        <v>-414.89299999999997</v>
      </c>
      <c r="O181" s="7">
        <v>-308.89400000000001</v>
      </c>
      <c r="P181" s="7">
        <v>-401.13099999999997</v>
      </c>
      <c r="Q181" s="7">
        <v>0</v>
      </c>
      <c r="R181" s="7">
        <v>0</v>
      </c>
      <c r="S181" s="7">
        <v>-1E-3</v>
      </c>
      <c r="T181" s="7">
        <v>0</v>
      </c>
      <c r="U181" s="7">
        <v>0</v>
      </c>
      <c r="V181" s="7">
        <v>-28.754999999999999</v>
      </c>
      <c r="W181" s="7">
        <v>0</v>
      </c>
      <c r="X181" s="7">
        <v>0</v>
      </c>
      <c r="Y181" s="7">
        <v>0</v>
      </c>
      <c r="Z181" s="7">
        <v>-15.95</v>
      </c>
      <c r="AA181" s="7">
        <v>-23.029</v>
      </c>
      <c r="AB181" s="7">
        <v>0</v>
      </c>
      <c r="AC181" s="7">
        <v>-160.286</v>
      </c>
      <c r="AD181" s="7">
        <v>0</v>
      </c>
      <c r="AE181" s="7">
        <v>-190.286</v>
      </c>
      <c r="AF181" s="7">
        <v>0</v>
      </c>
      <c r="AG181" s="7">
        <v>-11.997999999999999</v>
      </c>
      <c r="AH181" s="7">
        <v>-5.173</v>
      </c>
      <c r="AI181" s="7">
        <v>-385.50900000000001</v>
      </c>
      <c r="AJ181" s="7">
        <v>-4.3150000000000004</v>
      </c>
      <c r="AK181" s="7">
        <v>-14.920999999999999</v>
      </c>
      <c r="AL181" s="7">
        <v>-1022.588</v>
      </c>
      <c r="AM181" s="7">
        <v>-8.1189999999999998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-0.98799999999999999</v>
      </c>
      <c r="AV181" s="7">
        <v>0</v>
      </c>
      <c r="AW181" s="7">
        <v>0</v>
      </c>
      <c r="AX181" s="7">
        <v>-1.2729999999999999</v>
      </c>
      <c r="AY181" s="7">
        <v>0</v>
      </c>
      <c r="AZ181" s="7">
        <v>-0.8</v>
      </c>
      <c r="BA181" s="7">
        <v>0</v>
      </c>
      <c r="BB181" s="7">
        <v>-16.204000000000001</v>
      </c>
      <c r="BC181" s="7">
        <v>0</v>
      </c>
      <c r="BD181" s="7">
        <v>0</v>
      </c>
      <c r="BE181" s="7">
        <v>0</v>
      </c>
      <c r="BF181" s="7">
        <v>0</v>
      </c>
      <c r="BG181" s="21"/>
    </row>
    <row r="182" spans="1:59" ht="15.6" x14ac:dyDescent="0.3">
      <c r="A182" s="5" t="s">
        <v>323</v>
      </c>
      <c r="B182" s="5" t="s">
        <v>343</v>
      </c>
      <c r="C182" s="7">
        <v>6</v>
      </c>
      <c r="D182" s="7">
        <v>6</v>
      </c>
      <c r="E182" s="7">
        <v>78.971999999999994</v>
      </c>
      <c r="F182" s="7">
        <v>24.774999999999999</v>
      </c>
      <c r="G182" s="7">
        <v>0</v>
      </c>
      <c r="H182" s="7">
        <v>0</v>
      </c>
      <c r="I182" s="7">
        <v>1.2549999999999999</v>
      </c>
      <c r="J182" s="7">
        <v>0</v>
      </c>
      <c r="K182" s="7">
        <v>112.86</v>
      </c>
      <c r="L182" s="7">
        <v>6.415</v>
      </c>
      <c r="M182" s="7">
        <v>0</v>
      </c>
      <c r="N182" s="7">
        <v>12.678000000000001</v>
      </c>
      <c r="O182" s="7">
        <v>298.70100000000002</v>
      </c>
      <c r="P182" s="7">
        <v>15.148999999999999</v>
      </c>
      <c r="Q182" s="7">
        <v>0</v>
      </c>
      <c r="R182" s="7">
        <v>0</v>
      </c>
      <c r="S182" s="7">
        <v>1.2999999999999999E-2</v>
      </c>
      <c r="T182" s="7">
        <v>0</v>
      </c>
      <c r="U182" s="7">
        <v>0</v>
      </c>
      <c r="V182" s="7">
        <v>6.181</v>
      </c>
      <c r="W182" s="7">
        <v>0</v>
      </c>
      <c r="X182" s="7">
        <v>0</v>
      </c>
      <c r="Y182" s="7">
        <v>0</v>
      </c>
      <c r="Z182" s="7">
        <v>0</v>
      </c>
      <c r="AA182" s="7">
        <v>1.6879999999999999</v>
      </c>
      <c r="AB182" s="7">
        <v>0</v>
      </c>
      <c r="AC182" s="7">
        <v>45.161000000000001</v>
      </c>
      <c r="AD182" s="7">
        <v>0</v>
      </c>
      <c r="AE182" s="7">
        <v>0</v>
      </c>
      <c r="AF182" s="7">
        <v>0</v>
      </c>
      <c r="AG182" s="7">
        <v>4.0739999999999998</v>
      </c>
      <c r="AH182" s="7">
        <v>0</v>
      </c>
      <c r="AI182" s="7">
        <v>108.94</v>
      </c>
      <c r="AJ182" s="7">
        <v>60.094000000000001</v>
      </c>
      <c r="AK182" s="7">
        <v>0</v>
      </c>
      <c r="AL182" s="7">
        <v>371.33600000000001</v>
      </c>
      <c r="AM182" s="7">
        <v>113.071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0.14199999999999999</v>
      </c>
      <c r="AV182" s="7">
        <v>0</v>
      </c>
      <c r="AW182" s="7">
        <v>0</v>
      </c>
      <c r="AX182" s="7">
        <v>17.724</v>
      </c>
      <c r="AY182" s="7">
        <v>0</v>
      </c>
      <c r="AZ182" s="7">
        <v>6.8000000000000005E-2</v>
      </c>
      <c r="BA182" s="7">
        <v>0</v>
      </c>
      <c r="BB182" s="7">
        <v>0.51</v>
      </c>
      <c r="BC182" s="7">
        <v>0</v>
      </c>
      <c r="BD182" s="7">
        <v>0</v>
      </c>
      <c r="BE182" s="7">
        <v>0</v>
      </c>
      <c r="BF182" s="7">
        <v>0</v>
      </c>
      <c r="BG182" s="21"/>
    </row>
    <row r="183" spans="1:59" ht="15.6" x14ac:dyDescent="0.3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21"/>
    </row>
    <row r="184" spans="1:59" ht="15.6" x14ac:dyDescent="0.3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21"/>
    </row>
    <row r="185" spans="1:59" ht="15.6" x14ac:dyDescent="0.3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21"/>
    </row>
    <row r="186" spans="1:59" ht="15.6" x14ac:dyDescent="0.3">
      <c r="A186" s="5" t="s">
        <v>331</v>
      </c>
      <c r="B186" s="5" t="s">
        <v>347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21"/>
    </row>
    <row r="187" spans="1:59" ht="15.6" x14ac:dyDescent="0.3">
      <c r="A187" s="5" t="s">
        <v>333</v>
      </c>
      <c r="B187" s="5" t="s">
        <v>348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21"/>
    </row>
    <row r="188" spans="1:59" ht="15.6" x14ac:dyDescent="0.3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21"/>
    </row>
    <row r="189" spans="1:59" ht="15.6" x14ac:dyDescent="0.3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21"/>
    </row>
    <row r="190" spans="1:59" ht="15.6" x14ac:dyDescent="0.3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21"/>
    </row>
    <row r="191" spans="1:59" ht="15.6" x14ac:dyDescent="0.3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21"/>
    </row>
    <row r="192" spans="1:59" ht="15.6" x14ac:dyDescent="0.3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21"/>
    </row>
    <row r="193" spans="1:59" ht="15.6" x14ac:dyDescent="0.3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21"/>
    </row>
    <row r="194" spans="1:59" ht="15.6" x14ac:dyDescent="0.3">
      <c r="A194" s="5" t="s">
        <v>357</v>
      </c>
      <c r="B194" s="5" t="s">
        <v>358</v>
      </c>
      <c r="C194" s="7">
        <v>6</v>
      </c>
      <c r="D194" s="7">
        <v>6</v>
      </c>
      <c r="E194" s="7">
        <v>27.914000000000001</v>
      </c>
      <c r="F194" s="7">
        <v>3.4750000000000001</v>
      </c>
      <c r="G194" s="7">
        <v>12.821999999999999</v>
      </c>
      <c r="H194" s="7">
        <v>0</v>
      </c>
      <c r="I194" s="7">
        <v>0.91400000000000003</v>
      </c>
      <c r="J194" s="7">
        <v>8.7720000000000002</v>
      </c>
      <c r="K194" s="7">
        <v>3.4289999999999998</v>
      </c>
      <c r="L194" s="7">
        <v>8.4600000000000009</v>
      </c>
      <c r="M194" s="7">
        <v>0</v>
      </c>
      <c r="N194" s="7">
        <v>18.646000000000001</v>
      </c>
      <c r="O194" s="7">
        <v>13.385999999999999</v>
      </c>
      <c r="P194" s="7">
        <v>18.123999999999999</v>
      </c>
      <c r="Q194" s="7">
        <v>0</v>
      </c>
      <c r="R194" s="7">
        <v>0</v>
      </c>
      <c r="S194" s="7">
        <v>8.9999999999999993E-3</v>
      </c>
      <c r="T194" s="7">
        <v>0</v>
      </c>
      <c r="U194" s="7">
        <v>0</v>
      </c>
      <c r="V194" s="7">
        <v>1.2949999999999999</v>
      </c>
      <c r="W194" s="7">
        <v>0</v>
      </c>
      <c r="X194" s="7">
        <v>0</v>
      </c>
      <c r="Y194" s="7">
        <v>0</v>
      </c>
      <c r="Z194" s="7">
        <v>0.78900000000000003</v>
      </c>
      <c r="AA194" s="7">
        <v>2.6070000000000002</v>
      </c>
      <c r="AB194" s="7">
        <v>0</v>
      </c>
      <c r="AC194" s="7">
        <v>4.1269999999999998</v>
      </c>
      <c r="AD194" s="7">
        <v>0</v>
      </c>
      <c r="AE194" s="7">
        <v>10.222</v>
      </c>
      <c r="AF194" s="7">
        <v>0</v>
      </c>
      <c r="AG194" s="7">
        <v>0.503</v>
      </c>
      <c r="AH194" s="7">
        <v>0</v>
      </c>
      <c r="AI194" s="7">
        <v>9.6739999999999995</v>
      </c>
      <c r="AJ194" s="7">
        <v>0</v>
      </c>
      <c r="AK194" s="7">
        <v>0</v>
      </c>
      <c r="AL194" s="7">
        <v>43.552999999999997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5.6000000000000001E-2</v>
      </c>
      <c r="AV194" s="7">
        <v>0</v>
      </c>
      <c r="AW194" s="7">
        <v>0</v>
      </c>
      <c r="AX194" s="7">
        <v>0</v>
      </c>
      <c r="AY194" s="7">
        <v>0</v>
      </c>
      <c r="AZ194" s="7">
        <v>5.0000000000000001E-3</v>
      </c>
      <c r="BA194" s="7">
        <v>0</v>
      </c>
      <c r="BB194" s="7">
        <v>0.311</v>
      </c>
      <c r="BC194" s="7">
        <v>0</v>
      </c>
      <c r="BD194" s="7">
        <v>0</v>
      </c>
      <c r="BE194" s="7">
        <v>0</v>
      </c>
      <c r="BF194" s="7">
        <v>0</v>
      </c>
      <c r="BG194" s="21"/>
    </row>
    <row r="195" spans="1:59" ht="15.6" x14ac:dyDescent="0.3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21"/>
    </row>
    <row r="196" spans="1:59" ht="15.6" x14ac:dyDescent="0.3">
      <c r="A196" s="5" t="s">
        <v>361</v>
      </c>
      <c r="B196" s="5" t="s">
        <v>362</v>
      </c>
      <c r="C196" s="7">
        <v>6</v>
      </c>
      <c r="D196" s="7">
        <v>6</v>
      </c>
      <c r="E196" s="7">
        <v>165.58500000000001</v>
      </c>
      <c r="F196" s="7">
        <v>0</v>
      </c>
      <c r="G196" s="7">
        <v>40.319000000000003</v>
      </c>
      <c r="H196" s="7">
        <v>0</v>
      </c>
      <c r="I196" s="7">
        <v>0</v>
      </c>
      <c r="J196" s="7">
        <v>70.132999999999996</v>
      </c>
      <c r="K196" s="7">
        <v>0</v>
      </c>
      <c r="L196" s="7">
        <v>0</v>
      </c>
      <c r="M196" s="7">
        <v>0</v>
      </c>
      <c r="N196" s="7">
        <v>0</v>
      </c>
      <c r="O196" s="7">
        <v>595.57299999999998</v>
      </c>
      <c r="P196" s="7">
        <v>86.358999999999995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510.54700000000003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21"/>
    </row>
    <row r="197" spans="1:59" ht="15.6" x14ac:dyDescent="0.3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21"/>
    </row>
    <row r="198" spans="1:59" ht="15.6" x14ac:dyDescent="0.3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21"/>
    </row>
    <row r="199" spans="1:59" ht="15.6" x14ac:dyDescent="0.3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21"/>
    </row>
    <row r="200" spans="1:59" ht="15.6" x14ac:dyDescent="0.3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21"/>
    </row>
    <row r="201" spans="1:59" ht="15.6" x14ac:dyDescent="0.3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21"/>
    </row>
    <row r="202" spans="1:59" ht="15.6" x14ac:dyDescent="0.3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21"/>
    </row>
    <row r="203" spans="1:59" ht="15.6" x14ac:dyDescent="0.3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21"/>
    </row>
    <row r="204" spans="1:59" ht="15.6" x14ac:dyDescent="0.3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21"/>
    </row>
    <row r="205" spans="1:59" ht="15.6" x14ac:dyDescent="0.3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21"/>
    </row>
    <row r="206" spans="1:59" ht="15.6" x14ac:dyDescent="0.3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21"/>
    </row>
    <row r="207" spans="1:59" ht="15.6" x14ac:dyDescent="0.3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21"/>
    </row>
    <row r="208" spans="1:59" ht="15.6" x14ac:dyDescent="0.3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21"/>
    </row>
    <row r="209" spans="1:59" ht="15.6" x14ac:dyDescent="0.3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21"/>
    </row>
    <row r="210" spans="1:59" ht="15.6" x14ac:dyDescent="0.3">
      <c r="A210" s="5" t="s">
        <v>389</v>
      </c>
      <c r="B210" s="5" t="s">
        <v>390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21"/>
    </row>
    <row r="211" spans="1:59" ht="15.6" x14ac:dyDescent="0.3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21"/>
    </row>
    <row r="212" spans="1:59" ht="15.6" x14ac:dyDescent="0.3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21"/>
    </row>
    <row r="213" spans="1:59" ht="15.6" x14ac:dyDescent="0.3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21"/>
    </row>
    <row r="214" spans="1:59" ht="15.6" x14ac:dyDescent="0.3">
      <c r="A214" s="5" t="s">
        <v>353</v>
      </c>
      <c r="B214" s="5" t="s">
        <v>397</v>
      </c>
      <c r="C214" s="7">
        <v>6</v>
      </c>
      <c r="D214" s="7">
        <v>6</v>
      </c>
      <c r="E214" s="7">
        <v>1008.123</v>
      </c>
      <c r="F214" s="7">
        <v>139.44200000000001</v>
      </c>
      <c r="G214" s="7">
        <v>207.124</v>
      </c>
      <c r="H214" s="7">
        <v>2.9710000000000001</v>
      </c>
      <c r="I214" s="7">
        <v>35.234999999999999</v>
      </c>
      <c r="J214" s="7">
        <v>119.447</v>
      </c>
      <c r="K214" s="7">
        <v>1009.056</v>
      </c>
      <c r="L214" s="7">
        <v>92.712999999999994</v>
      </c>
      <c r="M214" s="7">
        <v>0</v>
      </c>
      <c r="N214" s="7">
        <v>467.88299999999998</v>
      </c>
      <c r="O214" s="7">
        <v>1107.1690000000001</v>
      </c>
      <c r="P214" s="7">
        <v>465.07600000000002</v>
      </c>
      <c r="Q214" s="7">
        <v>0</v>
      </c>
      <c r="R214" s="7">
        <v>0</v>
      </c>
      <c r="S214" s="7">
        <v>6.7450000000000001</v>
      </c>
      <c r="T214" s="7">
        <v>0</v>
      </c>
      <c r="U214" s="7">
        <v>0.20799999999999999</v>
      </c>
      <c r="V214" s="7">
        <v>0</v>
      </c>
      <c r="W214" s="7">
        <v>0</v>
      </c>
      <c r="X214" s="7">
        <v>0</v>
      </c>
      <c r="Y214" s="7">
        <v>0</v>
      </c>
      <c r="Z214" s="7">
        <v>15.903</v>
      </c>
      <c r="AA214" s="7">
        <v>51.106000000000002</v>
      </c>
      <c r="AB214" s="7">
        <v>0</v>
      </c>
      <c r="AC214" s="7">
        <v>409.48099999999999</v>
      </c>
      <c r="AD214" s="7">
        <v>0</v>
      </c>
      <c r="AE214" s="7">
        <v>142.16900000000001</v>
      </c>
      <c r="AF214" s="7">
        <v>0</v>
      </c>
      <c r="AG214" s="7">
        <v>24.538</v>
      </c>
      <c r="AH214" s="7">
        <v>0</v>
      </c>
      <c r="AI214" s="7">
        <v>1289.202</v>
      </c>
      <c r="AJ214" s="7">
        <v>0</v>
      </c>
      <c r="AK214" s="7">
        <v>0</v>
      </c>
      <c r="AL214" s="7">
        <v>2090.6060000000002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21"/>
    </row>
    <row r="215" spans="1:59" ht="15.6" x14ac:dyDescent="0.3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21"/>
    </row>
    <row r="216" spans="1:59" ht="15.6" x14ac:dyDescent="0.3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21"/>
    </row>
    <row r="217" spans="1:59" ht="15.6" x14ac:dyDescent="0.3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21"/>
    </row>
    <row r="218" spans="1:59" ht="15.6" x14ac:dyDescent="0.3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21"/>
    </row>
    <row r="219" spans="1:59" ht="15.6" x14ac:dyDescent="0.3">
      <c r="A219" s="5" t="s">
        <v>363</v>
      </c>
      <c r="B219" s="5" t="s">
        <v>402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-2E-3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21"/>
    </row>
    <row r="220" spans="1:59" ht="15.6" x14ac:dyDescent="0.3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21"/>
    </row>
    <row r="221" spans="1:59" ht="15.6" x14ac:dyDescent="0.3">
      <c r="A221" s="5" t="s">
        <v>367</v>
      </c>
      <c r="B221" s="5" t="s">
        <v>404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21"/>
    </row>
    <row r="222" spans="1:59" ht="15.6" x14ac:dyDescent="0.3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21"/>
    </row>
    <row r="223" spans="1:59" ht="15.6" x14ac:dyDescent="0.3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21"/>
    </row>
    <row r="224" spans="1:59" ht="15.6" x14ac:dyDescent="0.3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21"/>
    </row>
    <row r="225" spans="1:59" ht="15.6" x14ac:dyDescent="0.3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21"/>
    </row>
    <row r="226" spans="1:59" ht="15.6" x14ac:dyDescent="0.3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21"/>
    </row>
    <row r="227" spans="1:59" ht="15.6" x14ac:dyDescent="0.3">
      <c r="A227" s="5" t="s">
        <v>379</v>
      </c>
      <c r="B227" s="5" t="s">
        <v>410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21"/>
    </row>
    <row r="228" spans="1:59" ht="15.6" x14ac:dyDescent="0.3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21"/>
    </row>
    <row r="229" spans="1:59" ht="15.6" x14ac:dyDescent="0.3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21"/>
    </row>
    <row r="230" spans="1:59" ht="15.6" x14ac:dyDescent="0.3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21"/>
    </row>
    <row r="231" spans="1:59" ht="15.6" x14ac:dyDescent="0.3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21"/>
    </row>
    <row r="232" spans="1:59" ht="15.6" x14ac:dyDescent="0.3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21"/>
    </row>
    <row r="233" spans="1:59" ht="15.6" x14ac:dyDescent="0.3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21"/>
    </row>
    <row r="234" spans="1:59" ht="15.6" x14ac:dyDescent="0.3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21"/>
    </row>
    <row r="235" spans="1:59" ht="15.6" x14ac:dyDescent="0.3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21"/>
    </row>
    <row r="236" spans="1:59" ht="15.6" x14ac:dyDescent="0.3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21"/>
    </row>
    <row r="237" spans="1:59" ht="15.6" x14ac:dyDescent="0.3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21"/>
    </row>
    <row r="238" spans="1:59" ht="15.6" x14ac:dyDescent="0.3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21"/>
    </row>
    <row r="239" spans="1:59" ht="15.6" x14ac:dyDescent="0.3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21"/>
    </row>
    <row r="240" spans="1:59" ht="15.6" x14ac:dyDescent="0.3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21"/>
    </row>
    <row r="241" spans="1:59" ht="15.6" x14ac:dyDescent="0.3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21"/>
    </row>
    <row r="242" spans="1:59" ht="15.6" x14ac:dyDescent="0.3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21"/>
    </row>
    <row r="243" spans="1:59" ht="15.6" x14ac:dyDescent="0.3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21"/>
    </row>
    <row r="244" spans="1:59" ht="15.6" x14ac:dyDescent="0.3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21"/>
    </row>
    <row r="245" spans="1:59" ht="15.6" x14ac:dyDescent="0.3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21"/>
    </row>
    <row r="246" spans="1:59" ht="15.6" x14ac:dyDescent="0.3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21"/>
    </row>
    <row r="247" spans="1:59" ht="15.6" x14ac:dyDescent="0.3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21"/>
    </row>
    <row r="248" spans="1:59" ht="15.6" x14ac:dyDescent="0.3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21"/>
    </row>
    <row r="249" spans="1:59" ht="15.6" x14ac:dyDescent="0.3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21"/>
    </row>
    <row r="250" spans="1:59" ht="15.6" x14ac:dyDescent="0.3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21"/>
    </row>
    <row r="251" spans="1:59" ht="15.6" x14ac:dyDescent="0.3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21"/>
    </row>
    <row r="252" spans="1:59" ht="15.6" x14ac:dyDescent="0.3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21"/>
    </row>
    <row r="253" spans="1:59" ht="15.6" x14ac:dyDescent="0.3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21"/>
    </row>
    <row r="254" spans="1:59" ht="15.6" x14ac:dyDescent="0.3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21"/>
    </row>
    <row r="255" spans="1:59" ht="15.6" x14ac:dyDescent="0.3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21"/>
    </row>
    <row r="256" spans="1:59" ht="15.6" x14ac:dyDescent="0.3">
      <c r="A256" s="5" t="s">
        <v>459</v>
      </c>
      <c r="B256" s="5" t="s">
        <v>460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21"/>
    </row>
    <row r="257" spans="1:59" ht="15.6" x14ac:dyDescent="0.3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530.41600000000005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416.17200000000003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21"/>
    </row>
    <row r="258" spans="1:59" ht="15.6" x14ac:dyDescent="0.3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7.0000000000000001E-3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0.04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4.5999999999999999E-2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21"/>
    </row>
    <row r="259" spans="1:59" ht="15.6" x14ac:dyDescent="0.3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21"/>
    </row>
    <row r="260" spans="1:59" ht="15.6" x14ac:dyDescent="0.3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21"/>
    </row>
    <row r="261" spans="1:59" ht="15.6" x14ac:dyDescent="0.3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21"/>
    </row>
    <row r="262" spans="1:59" ht="15.6" x14ac:dyDescent="0.3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21"/>
    </row>
    <row r="263" spans="1:59" ht="15.6" x14ac:dyDescent="0.3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21"/>
    </row>
    <row r="264" spans="1:59" ht="15.6" x14ac:dyDescent="0.3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21"/>
    </row>
    <row r="265" spans="1:59" ht="15.6" x14ac:dyDescent="0.3">
      <c r="A265" s="5" t="s">
        <v>433</v>
      </c>
      <c r="B265" s="5" t="s">
        <v>470</v>
      </c>
      <c r="C265" s="7">
        <v>6</v>
      </c>
      <c r="D265" s="7">
        <v>6</v>
      </c>
      <c r="E265" s="7">
        <v>427.14100000000002</v>
      </c>
      <c r="F265" s="7">
        <v>134</v>
      </c>
      <c r="G265" s="7">
        <v>0</v>
      </c>
      <c r="H265" s="7">
        <v>0</v>
      </c>
      <c r="I265" s="7">
        <v>6.7869999999999999</v>
      </c>
      <c r="J265" s="7">
        <v>0</v>
      </c>
      <c r="K265" s="7">
        <v>610.43100000000004</v>
      </c>
      <c r="L265" s="7">
        <v>34.695</v>
      </c>
      <c r="M265" s="7">
        <v>0</v>
      </c>
      <c r="N265" s="7">
        <v>68.572000000000003</v>
      </c>
      <c r="O265" s="7">
        <v>1615.5940000000001</v>
      </c>
      <c r="P265" s="7">
        <v>81.936000000000007</v>
      </c>
      <c r="Q265" s="7">
        <v>0</v>
      </c>
      <c r="R265" s="7">
        <v>0</v>
      </c>
      <c r="S265" s="7">
        <v>7.0999999999999994E-2</v>
      </c>
      <c r="T265" s="7">
        <v>0</v>
      </c>
      <c r="U265" s="7">
        <v>0</v>
      </c>
      <c r="V265" s="7">
        <v>33.43</v>
      </c>
      <c r="W265" s="7">
        <v>0</v>
      </c>
      <c r="X265" s="7">
        <v>0</v>
      </c>
      <c r="Y265" s="7">
        <v>0</v>
      </c>
      <c r="Z265" s="7">
        <v>0</v>
      </c>
      <c r="AA265" s="7">
        <v>9.1280000000000001</v>
      </c>
      <c r="AB265" s="7">
        <v>0</v>
      </c>
      <c r="AC265" s="7">
        <v>244.267</v>
      </c>
      <c r="AD265" s="7">
        <v>0</v>
      </c>
      <c r="AE265" s="7">
        <v>0</v>
      </c>
      <c r="AF265" s="7">
        <v>0</v>
      </c>
      <c r="AG265" s="7">
        <v>22.033000000000001</v>
      </c>
      <c r="AH265" s="7">
        <v>0</v>
      </c>
      <c r="AI265" s="7">
        <v>589.22900000000004</v>
      </c>
      <c r="AJ265" s="7">
        <v>325.03500000000003</v>
      </c>
      <c r="AK265" s="7">
        <v>0</v>
      </c>
      <c r="AL265" s="7">
        <v>2008.462</v>
      </c>
      <c r="AM265" s="7">
        <v>611.57299999999998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0.76700000000000002</v>
      </c>
      <c r="AV265" s="7">
        <v>0</v>
      </c>
      <c r="AW265" s="7">
        <v>0</v>
      </c>
      <c r="AX265" s="7">
        <v>95.863</v>
      </c>
      <c r="AY265" s="7">
        <v>0</v>
      </c>
      <c r="AZ265" s="7">
        <v>0.37</v>
      </c>
      <c r="BA265" s="7">
        <v>0</v>
      </c>
      <c r="BB265" s="7">
        <v>2.76</v>
      </c>
      <c r="BC265" s="7">
        <v>0</v>
      </c>
      <c r="BD265" s="7">
        <v>0</v>
      </c>
      <c r="BE265" s="7">
        <v>0</v>
      </c>
      <c r="BF265" s="7">
        <v>0</v>
      </c>
      <c r="BG265" s="21"/>
    </row>
    <row r="266" spans="1:59" ht="15.6" x14ac:dyDescent="0.3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21"/>
    </row>
    <row r="267" spans="1:59" ht="15.6" x14ac:dyDescent="0.3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21"/>
    </row>
    <row r="268" spans="1:59" ht="15.6" x14ac:dyDescent="0.3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21"/>
    </row>
    <row r="269" spans="1:59" ht="15.6" x14ac:dyDescent="0.3">
      <c r="A269" s="5" t="s">
        <v>441</v>
      </c>
      <c r="B269" s="5" t="s">
        <v>474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21"/>
    </row>
    <row r="270" spans="1:59" ht="15.6" x14ac:dyDescent="0.3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21"/>
    </row>
    <row r="271" spans="1:59" ht="15.6" x14ac:dyDescent="0.3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21"/>
    </row>
    <row r="272" spans="1:59" ht="15.6" x14ac:dyDescent="0.3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21"/>
    </row>
    <row r="273" spans="1:59" ht="15.6" x14ac:dyDescent="0.3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21"/>
    </row>
    <row r="274" spans="1:59" ht="15.6" x14ac:dyDescent="0.3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21"/>
    </row>
    <row r="275" spans="1:59" ht="15.6" x14ac:dyDescent="0.3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21"/>
    </row>
    <row r="276" spans="1:59" ht="15.6" x14ac:dyDescent="0.3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21"/>
    </row>
    <row r="277" spans="1:59" ht="15.6" x14ac:dyDescent="0.3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21"/>
    </row>
    <row r="278" spans="1:59" ht="15.6" x14ac:dyDescent="0.3">
      <c r="A278" s="5" t="s">
        <v>459</v>
      </c>
      <c r="B278" s="5" t="s">
        <v>483</v>
      </c>
      <c r="C278" s="7">
        <v>6</v>
      </c>
      <c r="D278" s="7">
        <v>6</v>
      </c>
      <c r="E278" s="7">
        <v>2456.6060000000002</v>
      </c>
      <c r="F278" s="7">
        <v>2110.0709999999999</v>
      </c>
      <c r="G278" s="7">
        <v>208.50399999999999</v>
      </c>
      <c r="H278" s="7">
        <v>972.04700000000003</v>
      </c>
      <c r="I278" s="7">
        <v>339.738</v>
      </c>
      <c r="J278" s="7">
        <v>1616.4839999999999</v>
      </c>
      <c r="K278" s="7">
        <v>37.512999999999998</v>
      </c>
      <c r="L278" s="7">
        <v>1112.105</v>
      </c>
      <c r="M278" s="7">
        <v>0</v>
      </c>
      <c r="N278" s="7">
        <v>4245.732</v>
      </c>
      <c r="O278" s="7">
        <v>8893.6020000000008</v>
      </c>
      <c r="P278" s="7">
        <v>3899.3829999999998</v>
      </c>
      <c r="Q278" s="7">
        <v>0</v>
      </c>
      <c r="R278" s="7">
        <v>0</v>
      </c>
      <c r="S278" s="7">
        <v>8.9999999999999993E-3</v>
      </c>
      <c r="T278" s="7">
        <v>0</v>
      </c>
      <c r="U278" s="7">
        <v>0</v>
      </c>
      <c r="V278" s="7">
        <v>840.80700000000002</v>
      </c>
      <c r="W278" s="7">
        <v>0</v>
      </c>
      <c r="X278" s="7">
        <v>0</v>
      </c>
      <c r="Y278" s="7">
        <v>0</v>
      </c>
      <c r="Z278" s="7">
        <v>148.31899999999999</v>
      </c>
      <c r="AA278" s="7">
        <v>402.49900000000002</v>
      </c>
      <c r="AB278" s="7">
        <v>0</v>
      </c>
      <c r="AC278" s="7">
        <v>20.486999999999998</v>
      </c>
      <c r="AD278" s="7">
        <v>0</v>
      </c>
      <c r="AE278" s="7">
        <v>3330.549</v>
      </c>
      <c r="AF278" s="7">
        <v>0</v>
      </c>
      <c r="AG278" s="7">
        <v>373.625</v>
      </c>
      <c r="AH278" s="7">
        <v>0</v>
      </c>
      <c r="AI278" s="7">
        <v>7.03</v>
      </c>
      <c r="AJ278" s="7">
        <v>39.895000000000003</v>
      </c>
      <c r="AK278" s="7">
        <v>0</v>
      </c>
      <c r="AL278" s="7">
        <v>20745.685000000001</v>
      </c>
      <c r="AM278" s="7">
        <v>68.054000000000002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42.625999999999998</v>
      </c>
      <c r="AV278" s="7">
        <v>0</v>
      </c>
      <c r="AW278" s="7">
        <v>0</v>
      </c>
      <c r="AX278" s="7">
        <v>5.5940000000000003</v>
      </c>
      <c r="AY278" s="7">
        <v>0</v>
      </c>
      <c r="AZ278" s="7">
        <v>3.0409999999999999</v>
      </c>
      <c r="BA278" s="7">
        <v>0</v>
      </c>
      <c r="BB278" s="7">
        <v>0.41399999999999998</v>
      </c>
      <c r="BC278" s="7">
        <v>0</v>
      </c>
      <c r="BD278" s="7">
        <v>0</v>
      </c>
      <c r="BE278" s="7">
        <v>2841.7869999999998</v>
      </c>
      <c r="BF278" s="7">
        <v>0</v>
      </c>
      <c r="BG278" s="21"/>
    </row>
    <row r="279" spans="1:59" ht="15.6" x14ac:dyDescent="0.3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21"/>
    </row>
    <row r="280" spans="1:59" ht="15.6" x14ac:dyDescent="0.3">
      <c r="A280" s="5" t="s">
        <v>485</v>
      </c>
      <c r="B280" s="5" t="s">
        <v>486</v>
      </c>
      <c r="C280" s="7">
        <v>5</v>
      </c>
      <c r="D280" s="7">
        <v>5</v>
      </c>
      <c r="E280" s="7">
        <v>100014.41899999999</v>
      </c>
      <c r="F280" s="7">
        <v>0</v>
      </c>
      <c r="G280" s="7">
        <v>17148.803</v>
      </c>
      <c r="H280" s="7">
        <v>511.38799999999998</v>
      </c>
      <c r="I280" s="7">
        <v>0</v>
      </c>
      <c r="J280" s="7">
        <v>23612.642</v>
      </c>
      <c r="K280" s="7">
        <v>138014.98199999999</v>
      </c>
      <c r="L280" s="7">
        <v>33055.457999999999</v>
      </c>
      <c r="M280" s="7">
        <v>6835.6989999999996</v>
      </c>
      <c r="N280" s="7">
        <v>30928.126</v>
      </c>
      <c r="O280" s="7">
        <v>207784.43799999999</v>
      </c>
      <c r="P280" s="7">
        <v>90154.135999999999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0.44700000000000001</v>
      </c>
      <c r="Y280" s="7">
        <v>2146.116</v>
      </c>
      <c r="Z280" s="7">
        <v>379.55</v>
      </c>
      <c r="AA280" s="7">
        <v>2860.3319999999999</v>
      </c>
      <c r="AB280" s="7">
        <v>0</v>
      </c>
      <c r="AC280" s="7">
        <v>38959.357000000004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94762.528999999995</v>
      </c>
      <c r="AJ280" s="7">
        <v>13321.892</v>
      </c>
      <c r="AK280" s="7">
        <v>1964.9359999999999</v>
      </c>
      <c r="AL280" s="7">
        <v>524344.01399999997</v>
      </c>
      <c r="AM280" s="7">
        <v>89459.22</v>
      </c>
      <c r="AN280" s="7">
        <v>28.957000000000001</v>
      </c>
      <c r="AO280" s="7">
        <v>88.802000000000007</v>
      </c>
      <c r="AP280" s="7">
        <v>384.649</v>
      </c>
      <c r="AQ280" s="7">
        <v>0</v>
      </c>
      <c r="AR280" s="7">
        <v>117.277</v>
      </c>
      <c r="AS280" s="7">
        <v>567.84900000000005</v>
      </c>
      <c r="AT280" s="7">
        <v>647.41899999999998</v>
      </c>
      <c r="AU280" s="7">
        <v>0</v>
      </c>
      <c r="AV280" s="7">
        <v>0</v>
      </c>
      <c r="AW280" s="7">
        <v>0</v>
      </c>
      <c r="AX280" s="7">
        <v>2269.393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21"/>
    </row>
    <row r="281" spans="1:59" ht="15.6" x14ac:dyDescent="0.3">
      <c r="A281" s="5" t="s">
        <v>487</v>
      </c>
      <c r="B281" s="5" t="s">
        <v>488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21"/>
    </row>
    <row r="282" spans="1:59" ht="15.6" x14ac:dyDescent="0.3">
      <c r="A282" s="5" t="s">
        <v>489</v>
      </c>
      <c r="B282" s="5" t="s">
        <v>490</v>
      </c>
      <c r="C282" s="7">
        <v>5</v>
      </c>
      <c r="D282" s="7">
        <v>5</v>
      </c>
      <c r="E282" s="7">
        <v>12864.674999999999</v>
      </c>
      <c r="F282" s="7">
        <v>1786.837</v>
      </c>
      <c r="G282" s="7">
        <v>2579.7449999999999</v>
      </c>
      <c r="H282" s="7">
        <v>0</v>
      </c>
      <c r="I282" s="7">
        <v>451.51499999999999</v>
      </c>
      <c r="J282" s="7">
        <v>1515.075</v>
      </c>
      <c r="K282" s="7">
        <v>12723.225</v>
      </c>
      <c r="L282" s="7">
        <v>1170.8489999999999</v>
      </c>
      <c r="M282" s="7">
        <v>0</v>
      </c>
      <c r="N282" s="7">
        <v>5905.0320000000002</v>
      </c>
      <c r="O282" s="7">
        <v>14041.245999999999</v>
      </c>
      <c r="P282" s="7">
        <v>5847.5680000000002</v>
      </c>
      <c r="Q282" s="7">
        <v>0</v>
      </c>
      <c r="R282" s="7">
        <v>0</v>
      </c>
      <c r="S282" s="7">
        <v>86.435000000000002</v>
      </c>
      <c r="T282" s="7">
        <v>0</v>
      </c>
      <c r="U282" s="7">
        <v>2.6680000000000001</v>
      </c>
      <c r="V282" s="7">
        <v>0</v>
      </c>
      <c r="W282" s="7">
        <v>0</v>
      </c>
      <c r="X282" s="7">
        <v>0</v>
      </c>
      <c r="Y282" s="7">
        <v>0</v>
      </c>
      <c r="Z282" s="7">
        <v>203.791</v>
      </c>
      <c r="AA282" s="7">
        <v>654.88499999999999</v>
      </c>
      <c r="AB282" s="7">
        <v>0</v>
      </c>
      <c r="AC282" s="7">
        <v>5247.1719999999996</v>
      </c>
      <c r="AD282" s="7">
        <v>0</v>
      </c>
      <c r="AE282" s="7">
        <v>1821.7819999999999</v>
      </c>
      <c r="AF282" s="7">
        <v>0</v>
      </c>
      <c r="AG282" s="7">
        <v>314.44</v>
      </c>
      <c r="AH282" s="7">
        <v>0</v>
      </c>
      <c r="AI282" s="7">
        <v>16520.109</v>
      </c>
      <c r="AJ282" s="7">
        <v>0</v>
      </c>
      <c r="AK282" s="7">
        <v>0</v>
      </c>
      <c r="AL282" s="7">
        <v>26789.471000000001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21"/>
    </row>
    <row r="283" spans="1:59" ht="15.6" x14ac:dyDescent="0.3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21"/>
    </row>
    <row r="284" spans="1:59" ht="15.6" x14ac:dyDescent="0.3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21"/>
    </row>
    <row r="285" spans="1:59" ht="15.6" x14ac:dyDescent="0.3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21"/>
    </row>
    <row r="286" spans="1:59" ht="15.6" x14ac:dyDescent="0.3">
      <c r="A286" s="5" t="s">
        <v>497</v>
      </c>
      <c r="B286" s="5" t="s">
        <v>498</v>
      </c>
      <c r="C286" s="7">
        <v>5</v>
      </c>
      <c r="D286" s="7">
        <v>5</v>
      </c>
      <c r="E286" s="7">
        <v>39990.008999999998</v>
      </c>
      <c r="F286" s="7">
        <v>6147.5249999999996</v>
      </c>
      <c r="G286" s="7">
        <v>10036.258</v>
      </c>
      <c r="H286" s="7">
        <v>0</v>
      </c>
      <c r="I286" s="7">
        <v>1616.5540000000001</v>
      </c>
      <c r="J286" s="7">
        <v>5497.7560000000003</v>
      </c>
      <c r="K286" s="7">
        <v>58019.330999999998</v>
      </c>
      <c r="L286" s="7">
        <v>3874.6010000000001</v>
      </c>
      <c r="M286" s="7">
        <v>0</v>
      </c>
      <c r="N286" s="7">
        <v>22473.741000000002</v>
      </c>
      <c r="O286" s="7">
        <v>60084.391000000003</v>
      </c>
      <c r="P286" s="7">
        <v>23725.919000000002</v>
      </c>
      <c r="Q286" s="7">
        <v>0</v>
      </c>
      <c r="R286" s="7">
        <v>0</v>
      </c>
      <c r="S286" s="7">
        <v>335.37</v>
      </c>
      <c r="T286" s="7">
        <v>0</v>
      </c>
      <c r="U286" s="7">
        <v>7.2809999999999997</v>
      </c>
      <c r="V286" s="7">
        <v>0.151</v>
      </c>
      <c r="W286" s="7">
        <v>0</v>
      </c>
      <c r="X286" s="7">
        <v>0</v>
      </c>
      <c r="Y286" s="7">
        <v>0</v>
      </c>
      <c r="Z286" s="7">
        <v>556.29700000000003</v>
      </c>
      <c r="AA286" s="7">
        <v>1787.614</v>
      </c>
      <c r="AB286" s="7">
        <v>0</v>
      </c>
      <c r="AC286" s="7">
        <v>15503.407999999999</v>
      </c>
      <c r="AD286" s="7">
        <v>0</v>
      </c>
      <c r="AE286" s="7">
        <v>4972.902</v>
      </c>
      <c r="AF286" s="7">
        <v>0</v>
      </c>
      <c r="AG286" s="7">
        <v>858.30499999999995</v>
      </c>
      <c r="AH286" s="7">
        <v>0</v>
      </c>
      <c r="AI286" s="7">
        <v>49790.667999999998</v>
      </c>
      <c r="AJ286" s="7">
        <v>0</v>
      </c>
      <c r="AK286" s="7">
        <v>0</v>
      </c>
      <c r="AL286" s="7">
        <v>90735.475999999995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3.0000000000000001E-3</v>
      </c>
      <c r="AV286" s="7">
        <v>0</v>
      </c>
      <c r="AW286" s="7">
        <v>0</v>
      </c>
      <c r="AX286" s="7">
        <v>0</v>
      </c>
      <c r="AY286" s="7">
        <v>0</v>
      </c>
      <c r="AZ286" s="7">
        <v>1E-3</v>
      </c>
      <c r="BA286" s="7">
        <v>0</v>
      </c>
      <c r="BB286" s="7">
        <v>4.2000000000000003E-2</v>
      </c>
      <c r="BC286" s="7">
        <v>0</v>
      </c>
      <c r="BD286" s="7">
        <v>0</v>
      </c>
      <c r="BE286" s="7">
        <v>0</v>
      </c>
      <c r="BF286" s="7">
        <v>0</v>
      </c>
      <c r="BG286" s="21"/>
    </row>
    <row r="287" spans="1:59" ht="15.6" x14ac:dyDescent="0.3">
      <c r="A287" s="5" t="s">
        <v>499</v>
      </c>
      <c r="B287" s="5" t="s">
        <v>500</v>
      </c>
      <c r="C287" s="7">
        <v>5</v>
      </c>
      <c r="D287" s="7">
        <v>5</v>
      </c>
      <c r="E287" s="7">
        <v>120005.99</v>
      </c>
      <c r="F287" s="7">
        <v>18704.505000000001</v>
      </c>
      <c r="G287" s="7">
        <v>28105.436000000002</v>
      </c>
      <c r="H287" s="7">
        <v>14517.471</v>
      </c>
      <c r="I287" s="7">
        <v>4925.2349999999997</v>
      </c>
      <c r="J287" s="7">
        <v>16053.353999999999</v>
      </c>
      <c r="K287" s="7">
        <v>132609.223</v>
      </c>
      <c r="L287" s="7">
        <v>11846.325000000001</v>
      </c>
      <c r="M287" s="7">
        <v>0</v>
      </c>
      <c r="N287" s="7">
        <v>61159.805</v>
      </c>
      <c r="O287" s="7">
        <v>144136.995</v>
      </c>
      <c r="P287" s="7">
        <v>63440.05</v>
      </c>
      <c r="Q287" s="7">
        <v>0</v>
      </c>
      <c r="R287" s="7">
        <v>0</v>
      </c>
      <c r="S287" s="7">
        <v>934.17600000000004</v>
      </c>
      <c r="T287" s="7">
        <v>0</v>
      </c>
      <c r="U287" s="7">
        <v>106.858</v>
      </c>
      <c r="V287" s="7">
        <v>0</v>
      </c>
      <c r="W287" s="7">
        <v>0</v>
      </c>
      <c r="X287" s="7">
        <v>0</v>
      </c>
      <c r="Y287" s="7">
        <v>0</v>
      </c>
      <c r="Z287" s="7">
        <v>1789.7380000000001</v>
      </c>
      <c r="AA287" s="7">
        <v>5838.8879999999999</v>
      </c>
      <c r="AB287" s="7">
        <v>0</v>
      </c>
      <c r="AC287" s="7">
        <v>46432.038</v>
      </c>
      <c r="AD287" s="7">
        <v>0</v>
      </c>
      <c r="AE287" s="7">
        <v>16277.027</v>
      </c>
      <c r="AF287" s="7">
        <v>0</v>
      </c>
      <c r="AG287" s="7">
        <v>2761.4870000000001</v>
      </c>
      <c r="AH287" s="7">
        <v>0</v>
      </c>
      <c r="AI287" s="7">
        <v>147213.85399999999</v>
      </c>
      <c r="AJ287" s="7">
        <v>0</v>
      </c>
      <c r="AK287" s="7">
        <v>0</v>
      </c>
      <c r="AL287" s="7">
        <v>245089.739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77.631</v>
      </c>
      <c r="BC287" s="7">
        <v>0</v>
      </c>
      <c r="BD287" s="7">
        <v>0</v>
      </c>
      <c r="BE287" s="7">
        <v>0</v>
      </c>
      <c r="BF287" s="7">
        <v>0</v>
      </c>
      <c r="BG287" s="21"/>
    </row>
    <row r="288" spans="1:59" ht="15.6" x14ac:dyDescent="0.3">
      <c r="A288" s="5" t="s">
        <v>501</v>
      </c>
      <c r="B288" s="5" t="s">
        <v>502</v>
      </c>
      <c r="C288" s="7">
        <v>5</v>
      </c>
      <c r="D288" s="7">
        <v>5</v>
      </c>
      <c r="E288" s="7">
        <v>747.48699999999997</v>
      </c>
      <c r="F288" s="7">
        <v>0</v>
      </c>
      <c r="G288" s="7">
        <v>69.039000000000001</v>
      </c>
      <c r="H288" s="7">
        <v>0</v>
      </c>
      <c r="I288" s="7">
        <v>0</v>
      </c>
      <c r="J288" s="7">
        <v>38.878</v>
      </c>
      <c r="K288" s="7">
        <v>2089.348</v>
      </c>
      <c r="L288" s="7">
        <v>96.022000000000006</v>
      </c>
      <c r="M288" s="7">
        <v>0</v>
      </c>
      <c r="N288" s="7">
        <v>576.36599999999999</v>
      </c>
      <c r="O288" s="7">
        <v>3959.0320000000002</v>
      </c>
      <c r="P288" s="7">
        <v>161.352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1189.191</v>
      </c>
      <c r="AD288" s="7">
        <v>0</v>
      </c>
      <c r="AE288" s="7">
        <v>28.306999999999999</v>
      </c>
      <c r="AF288" s="7">
        <v>0</v>
      </c>
      <c r="AG288" s="7">
        <v>0</v>
      </c>
      <c r="AH288" s="7">
        <v>0</v>
      </c>
      <c r="AI288" s="7">
        <v>2442.4</v>
      </c>
      <c r="AJ288" s="7">
        <v>0</v>
      </c>
      <c r="AK288" s="7">
        <v>0</v>
      </c>
      <c r="AL288" s="7">
        <v>4589.1019999999999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21"/>
    </row>
    <row r="289" spans="1:59" ht="15.6" x14ac:dyDescent="0.3">
      <c r="A289" s="5" t="s">
        <v>503</v>
      </c>
      <c r="B289" s="5" t="s">
        <v>504</v>
      </c>
      <c r="C289" s="7">
        <v>5</v>
      </c>
      <c r="D289" s="7">
        <v>5</v>
      </c>
      <c r="E289" s="7">
        <v>32580.19</v>
      </c>
      <c r="F289" s="7">
        <v>4259.7470000000003</v>
      </c>
      <c r="G289" s="7">
        <v>6150.0079999999998</v>
      </c>
      <c r="H289" s="7">
        <v>101.74299999999999</v>
      </c>
      <c r="I289" s="7">
        <v>1076.3920000000001</v>
      </c>
      <c r="J289" s="7">
        <v>3611.8780000000002</v>
      </c>
      <c r="K289" s="7">
        <v>32903.881999999998</v>
      </c>
      <c r="L289" s="7">
        <v>2791.2559999999999</v>
      </c>
      <c r="M289" s="7">
        <v>0</v>
      </c>
      <c r="N289" s="7">
        <v>15491.287</v>
      </c>
      <c r="O289" s="7">
        <v>40540.313000000002</v>
      </c>
      <c r="P289" s="7">
        <v>15053.556</v>
      </c>
      <c r="Q289" s="7">
        <v>0</v>
      </c>
      <c r="R289" s="7">
        <v>0</v>
      </c>
      <c r="S289" s="7">
        <v>206.05799999999999</v>
      </c>
      <c r="T289" s="7">
        <v>0</v>
      </c>
      <c r="U289" s="7">
        <v>6.359</v>
      </c>
      <c r="V289" s="7">
        <v>0</v>
      </c>
      <c r="W289" s="7">
        <v>0</v>
      </c>
      <c r="X289" s="7">
        <v>0</v>
      </c>
      <c r="Y289" s="7">
        <v>0</v>
      </c>
      <c r="Z289" s="7">
        <v>485.82900000000001</v>
      </c>
      <c r="AA289" s="7">
        <v>1561.2180000000001</v>
      </c>
      <c r="AB289" s="7">
        <v>0</v>
      </c>
      <c r="AC289" s="7">
        <v>15081.273999999999</v>
      </c>
      <c r="AD289" s="7">
        <v>0</v>
      </c>
      <c r="AE289" s="7">
        <v>4343.0550000000003</v>
      </c>
      <c r="AF289" s="7">
        <v>0</v>
      </c>
      <c r="AG289" s="7">
        <v>749.61300000000006</v>
      </c>
      <c r="AH289" s="7">
        <v>0</v>
      </c>
      <c r="AI289" s="7">
        <v>44518.572999999997</v>
      </c>
      <c r="AJ289" s="7">
        <v>0</v>
      </c>
      <c r="AK289" s="7">
        <v>0</v>
      </c>
      <c r="AL289" s="7">
        <v>73036.400999999998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21"/>
    </row>
    <row r="290" spans="1:59" ht="15.6" x14ac:dyDescent="0.3">
      <c r="A290" s="5" t="s">
        <v>505</v>
      </c>
      <c r="B290" s="5" t="s">
        <v>506</v>
      </c>
      <c r="C290" s="7">
        <v>5</v>
      </c>
      <c r="D290" s="7">
        <v>5</v>
      </c>
      <c r="E290" s="7">
        <v>17519.932000000001</v>
      </c>
      <c r="F290" s="7">
        <v>369.55200000000002</v>
      </c>
      <c r="G290" s="7">
        <v>533.54</v>
      </c>
      <c r="H290" s="7">
        <v>3772.15</v>
      </c>
      <c r="I290" s="7">
        <v>93.382000000000005</v>
      </c>
      <c r="J290" s="7">
        <v>313.346</v>
      </c>
      <c r="K290" s="7">
        <v>20977.379000000001</v>
      </c>
      <c r="L290" s="7">
        <v>242.154</v>
      </c>
      <c r="M290" s="7">
        <v>0</v>
      </c>
      <c r="N290" s="7">
        <v>8420.7360000000008</v>
      </c>
      <c r="O290" s="7">
        <v>41005.637000000002</v>
      </c>
      <c r="P290" s="7">
        <v>7234.1239999999998</v>
      </c>
      <c r="Q290" s="7">
        <v>0</v>
      </c>
      <c r="R290" s="7">
        <v>0</v>
      </c>
      <c r="S290" s="7">
        <v>17.876000000000001</v>
      </c>
      <c r="T290" s="7">
        <v>0</v>
      </c>
      <c r="U290" s="7">
        <v>0.55200000000000005</v>
      </c>
      <c r="V290" s="7">
        <v>0</v>
      </c>
      <c r="W290" s="7">
        <v>0</v>
      </c>
      <c r="X290" s="7">
        <v>0</v>
      </c>
      <c r="Y290" s="7">
        <v>0</v>
      </c>
      <c r="Z290" s="7">
        <v>42.148000000000003</v>
      </c>
      <c r="AA290" s="7">
        <v>135.44200000000001</v>
      </c>
      <c r="AB290" s="7">
        <v>0</v>
      </c>
      <c r="AC290" s="7">
        <v>11875.152</v>
      </c>
      <c r="AD290" s="7">
        <v>0</v>
      </c>
      <c r="AE290" s="7">
        <v>376.779</v>
      </c>
      <c r="AF290" s="7">
        <v>0</v>
      </c>
      <c r="AG290" s="7">
        <v>65.031999999999996</v>
      </c>
      <c r="AH290" s="7">
        <v>0</v>
      </c>
      <c r="AI290" s="7">
        <v>37458.286999999997</v>
      </c>
      <c r="AJ290" s="7">
        <v>0</v>
      </c>
      <c r="AK290" s="7">
        <v>0</v>
      </c>
      <c r="AL290" s="7">
        <v>61341.258999999998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21"/>
    </row>
    <row r="291" spans="1:59" ht="15.6" x14ac:dyDescent="0.3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21"/>
    </row>
    <row r="292" spans="1:59" ht="15.6" x14ac:dyDescent="0.3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21"/>
    </row>
    <row r="293" spans="1:59" ht="15.6" x14ac:dyDescent="0.3">
      <c r="A293" s="5" t="s">
        <v>511</v>
      </c>
      <c r="B293" s="5" t="s">
        <v>512</v>
      </c>
      <c r="C293" s="7">
        <v>5</v>
      </c>
      <c r="D293" s="7">
        <v>5</v>
      </c>
      <c r="E293" s="7">
        <v>173716.73699999999</v>
      </c>
      <c r="F293" s="7">
        <v>20850.629000000001</v>
      </c>
      <c r="G293" s="7">
        <v>29949.667000000001</v>
      </c>
      <c r="H293" s="7">
        <v>0</v>
      </c>
      <c r="I293" s="7">
        <v>4862.4859999999999</v>
      </c>
      <c r="J293" s="7">
        <v>18210.814999999999</v>
      </c>
      <c r="K293" s="7">
        <v>144684.20199999999</v>
      </c>
      <c r="L293" s="7">
        <v>14285.478999999999</v>
      </c>
      <c r="M293" s="7">
        <v>0</v>
      </c>
      <c r="N293" s="7">
        <v>69969.320000000007</v>
      </c>
      <c r="O293" s="7">
        <v>169544.11499999999</v>
      </c>
      <c r="P293" s="7">
        <v>66680.72</v>
      </c>
      <c r="Q293" s="7">
        <v>0</v>
      </c>
      <c r="R293" s="7">
        <v>0</v>
      </c>
      <c r="S293" s="7">
        <v>935.41300000000001</v>
      </c>
      <c r="T293" s="7">
        <v>0</v>
      </c>
      <c r="U293" s="7">
        <v>56.258000000000003</v>
      </c>
      <c r="V293" s="7">
        <v>0</v>
      </c>
      <c r="W293" s="7">
        <v>0</v>
      </c>
      <c r="X293" s="7">
        <v>0</v>
      </c>
      <c r="Y293" s="7">
        <v>0</v>
      </c>
      <c r="Z293" s="7">
        <v>2850.0050000000001</v>
      </c>
      <c r="AA293" s="7">
        <v>9177.5049999999992</v>
      </c>
      <c r="AB293" s="7">
        <v>0</v>
      </c>
      <c r="AC293" s="7">
        <v>74901.043000000005</v>
      </c>
      <c r="AD293" s="7">
        <v>0</v>
      </c>
      <c r="AE293" s="7">
        <v>26734.35</v>
      </c>
      <c r="AF293" s="7">
        <v>0</v>
      </c>
      <c r="AG293" s="7">
        <v>4606.1689999999999</v>
      </c>
      <c r="AH293" s="7">
        <v>0</v>
      </c>
      <c r="AI293" s="7">
        <v>230146.22899999999</v>
      </c>
      <c r="AJ293" s="7">
        <v>0</v>
      </c>
      <c r="AK293" s="7">
        <v>0</v>
      </c>
      <c r="AL293" s="7">
        <v>370563.41200000001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21"/>
    </row>
    <row r="294" spans="1:59" ht="15.6" x14ac:dyDescent="0.3">
      <c r="A294" s="5" t="s">
        <v>513</v>
      </c>
      <c r="B294" s="5" t="s">
        <v>514</v>
      </c>
      <c r="C294" s="7">
        <v>5</v>
      </c>
      <c r="D294" s="7">
        <v>5</v>
      </c>
      <c r="E294" s="7">
        <v>11156.448</v>
      </c>
      <c r="F294" s="7">
        <v>383.2</v>
      </c>
      <c r="G294" s="7">
        <v>532.875</v>
      </c>
      <c r="H294" s="7">
        <v>0</v>
      </c>
      <c r="I294" s="7">
        <v>42.893999999999998</v>
      </c>
      <c r="J294" s="7">
        <v>395.47</v>
      </c>
      <c r="K294" s="7">
        <v>1927.1379999999999</v>
      </c>
      <c r="L294" s="7">
        <v>2335.9870000000001</v>
      </c>
      <c r="M294" s="7">
        <v>0</v>
      </c>
      <c r="N294" s="7">
        <v>6560.6409999999996</v>
      </c>
      <c r="O294" s="7">
        <v>22971.031999999999</v>
      </c>
      <c r="P294" s="7">
        <v>2536.7730000000001</v>
      </c>
      <c r="Q294" s="7">
        <v>0</v>
      </c>
      <c r="R294" s="7">
        <v>0</v>
      </c>
      <c r="S294" s="7">
        <v>8.8179999999999996</v>
      </c>
      <c r="T294" s="7">
        <v>0</v>
      </c>
      <c r="U294" s="7">
        <v>3.9089999999999998</v>
      </c>
      <c r="V294" s="7">
        <v>0</v>
      </c>
      <c r="W294" s="7">
        <v>0</v>
      </c>
      <c r="X294" s="7">
        <v>0</v>
      </c>
      <c r="Y294" s="7">
        <v>0</v>
      </c>
      <c r="Z294" s="7">
        <v>106.367</v>
      </c>
      <c r="AA294" s="7">
        <v>344.33100000000002</v>
      </c>
      <c r="AB294" s="7">
        <v>0</v>
      </c>
      <c r="AC294" s="7">
        <v>2830.1</v>
      </c>
      <c r="AD294" s="7">
        <v>0</v>
      </c>
      <c r="AE294" s="7">
        <v>1117.73</v>
      </c>
      <c r="AF294" s="7">
        <v>0</v>
      </c>
      <c r="AG294" s="7">
        <v>191.834</v>
      </c>
      <c r="AH294" s="7">
        <v>0</v>
      </c>
      <c r="AI294" s="7">
        <v>10562.255999999999</v>
      </c>
      <c r="AJ294" s="7">
        <v>0</v>
      </c>
      <c r="AK294" s="7">
        <v>0</v>
      </c>
      <c r="AL294" s="7">
        <v>25746.022000000001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21"/>
    </row>
    <row r="295" spans="1:59" ht="15.6" x14ac:dyDescent="0.3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21"/>
    </row>
    <row r="296" spans="1:59" ht="15.6" x14ac:dyDescent="0.3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21"/>
    </row>
    <row r="297" spans="1:59" ht="15.6" x14ac:dyDescent="0.3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21"/>
    </row>
    <row r="298" spans="1:59" ht="15.6" x14ac:dyDescent="0.3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21"/>
    </row>
    <row r="299" spans="1:59" ht="15.6" x14ac:dyDescent="0.3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21"/>
    </row>
    <row r="300" spans="1:59" ht="15.6" x14ac:dyDescent="0.3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21"/>
    </row>
    <row r="301" spans="1:59" ht="15.6" x14ac:dyDescent="0.3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21"/>
    </row>
    <row r="302" spans="1:59" ht="15.6" x14ac:dyDescent="0.3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21"/>
    </row>
    <row r="303" spans="1:59" ht="15.6" x14ac:dyDescent="0.3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21"/>
    </row>
    <row r="304" spans="1:59" ht="15.6" x14ac:dyDescent="0.3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21"/>
    </row>
    <row r="305" spans="1:59" ht="15.6" x14ac:dyDescent="0.3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21"/>
    </row>
    <row r="306" spans="1:59" ht="15.6" x14ac:dyDescent="0.3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21"/>
    </row>
    <row r="307" spans="1:59" ht="15.6" x14ac:dyDescent="0.3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21"/>
    </row>
    <row r="308" spans="1:59" ht="15.6" x14ac:dyDescent="0.3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21"/>
    </row>
    <row r="309" spans="1:59" ht="15.6" x14ac:dyDescent="0.3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21"/>
    </row>
    <row r="310" spans="1:59" ht="15.6" x14ac:dyDescent="0.3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21"/>
    </row>
    <row r="311" spans="1:59" ht="15.6" x14ac:dyDescent="0.3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21"/>
    </row>
    <row r="312" spans="1:59" ht="15.6" x14ac:dyDescent="0.3">
      <c r="A312" s="5" t="s">
        <v>549</v>
      </c>
      <c r="B312" s="5" t="s">
        <v>550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21"/>
    </row>
    <row r="313" spans="1:59" ht="15.6" x14ac:dyDescent="0.3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21"/>
    </row>
    <row r="314" spans="1:59" ht="15.6" x14ac:dyDescent="0.3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21"/>
    </row>
    <row r="315" spans="1:59" ht="15.6" x14ac:dyDescent="0.3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21"/>
    </row>
    <row r="316" spans="1:59" ht="15.6" x14ac:dyDescent="0.3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21"/>
    </row>
    <row r="317" spans="1:59" ht="15.6" x14ac:dyDescent="0.3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21"/>
    </row>
    <row r="318" spans="1:59" ht="15.6" x14ac:dyDescent="0.3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21"/>
    </row>
    <row r="319" spans="1:59" ht="15.6" x14ac:dyDescent="0.3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21"/>
    </row>
    <row r="320" spans="1:59" ht="15.6" x14ac:dyDescent="0.3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21"/>
    </row>
    <row r="321" spans="1:59" ht="15.6" x14ac:dyDescent="0.3">
      <c r="A321" s="5" t="s">
        <v>567</v>
      </c>
      <c r="B321" s="5" t="s">
        <v>568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21"/>
    </row>
    <row r="322" spans="1:59" ht="15.6" x14ac:dyDescent="0.3">
      <c r="A322" s="5" t="s">
        <v>569</v>
      </c>
      <c r="B322" s="5" t="s">
        <v>570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21"/>
    </row>
    <row r="323" spans="1:59" ht="15.6" x14ac:dyDescent="0.3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21"/>
    </row>
    <row r="324" spans="1:59" ht="15.6" x14ac:dyDescent="0.3">
      <c r="A324" s="5" t="s">
        <v>573</v>
      </c>
      <c r="B324" s="5" t="s">
        <v>574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21"/>
    </row>
    <row r="325" spans="1:59" ht="15.6" x14ac:dyDescent="0.3">
      <c r="A325" s="5" t="s">
        <v>575</v>
      </c>
      <c r="B325" s="5" t="s">
        <v>576</v>
      </c>
      <c r="C325" s="7">
        <v>6</v>
      </c>
      <c r="D325" s="7">
        <v>6</v>
      </c>
      <c r="E325" s="7">
        <v>71.510999999999996</v>
      </c>
      <c r="F325" s="7">
        <v>0</v>
      </c>
      <c r="G325" s="7">
        <v>0</v>
      </c>
      <c r="H325" s="7">
        <v>0</v>
      </c>
      <c r="I325" s="7">
        <v>100.851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10627.398999999999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21"/>
    </row>
    <row r="326" spans="1:59" ht="15.6" x14ac:dyDescent="0.3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21"/>
    </row>
    <row r="327" spans="1:59" ht="15.6" x14ac:dyDescent="0.3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21"/>
    </row>
    <row r="328" spans="1:59" ht="15.6" x14ac:dyDescent="0.3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21"/>
    </row>
    <row r="329" spans="1:59" ht="15.6" x14ac:dyDescent="0.3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21"/>
    </row>
    <row r="330" spans="1:59" ht="15.6" x14ac:dyDescent="0.3">
      <c r="A330" s="5" t="s">
        <v>585</v>
      </c>
      <c r="B330" s="5" t="s">
        <v>586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21"/>
    </row>
    <row r="331" spans="1:59" ht="15.6" x14ac:dyDescent="0.3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21"/>
    </row>
    <row r="332" spans="1:59" ht="15.6" x14ac:dyDescent="0.3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21"/>
    </row>
    <row r="333" spans="1:59" ht="15.6" x14ac:dyDescent="0.3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21"/>
    </row>
    <row r="334" spans="1:59" ht="15.6" x14ac:dyDescent="0.3">
      <c r="A334" s="5" t="s">
        <v>593</v>
      </c>
      <c r="B334" s="5" t="s">
        <v>594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21"/>
    </row>
    <row r="335" spans="1:59" ht="15.6" x14ac:dyDescent="0.3">
      <c r="A335" s="5" t="s">
        <v>595</v>
      </c>
      <c r="B335" s="5" t="s">
        <v>596</v>
      </c>
      <c r="C335" s="7">
        <v>6</v>
      </c>
      <c r="D335" s="7">
        <v>6</v>
      </c>
      <c r="E335" s="7">
        <v>5140.1660000000002</v>
      </c>
      <c r="F335" s="7">
        <v>1276.5350000000001</v>
      </c>
      <c r="G335" s="7">
        <v>1208.5170000000001</v>
      </c>
      <c r="H335" s="7">
        <v>2422.7190000000001</v>
      </c>
      <c r="I335" s="7">
        <v>162.4</v>
      </c>
      <c r="J335" s="7">
        <v>1395.845</v>
      </c>
      <c r="K335" s="7">
        <v>4914.4530000000004</v>
      </c>
      <c r="L335" s="7">
        <v>629.66300000000001</v>
      </c>
      <c r="M335" s="7">
        <v>3265.8679999999999</v>
      </c>
      <c r="N335" s="7">
        <v>2333.9110000000001</v>
      </c>
      <c r="O335" s="7">
        <v>9321.6129999999994</v>
      </c>
      <c r="P335" s="7">
        <v>2237.0970000000002</v>
      </c>
      <c r="Q335" s="7">
        <v>2.7509999999999999</v>
      </c>
      <c r="R335" s="7">
        <v>0.28499999999999998</v>
      </c>
      <c r="S335" s="7">
        <v>22.937999999999999</v>
      </c>
      <c r="T335" s="7">
        <v>5.7350000000000003</v>
      </c>
      <c r="U335" s="7">
        <v>74.378</v>
      </c>
      <c r="V335" s="7">
        <v>169.97</v>
      </c>
      <c r="W335" s="7">
        <v>0</v>
      </c>
      <c r="X335" s="7">
        <v>204.57400000000001</v>
      </c>
      <c r="Y335" s="7">
        <v>2484.3020000000001</v>
      </c>
      <c r="Z335" s="7">
        <v>75.134</v>
      </c>
      <c r="AA335" s="7">
        <v>249.25700000000001</v>
      </c>
      <c r="AB335" s="7">
        <v>56.488999999999997</v>
      </c>
      <c r="AC335" s="7">
        <v>13416.254000000001</v>
      </c>
      <c r="AD335" s="7">
        <v>0</v>
      </c>
      <c r="AE335" s="7">
        <v>726.65899999999999</v>
      </c>
      <c r="AF335" s="7">
        <v>18.173999999999999</v>
      </c>
      <c r="AG335" s="7">
        <v>169.73500000000001</v>
      </c>
      <c r="AH335" s="7">
        <v>1.4370000000000001</v>
      </c>
      <c r="AI335" s="7">
        <v>6161.58</v>
      </c>
      <c r="AJ335" s="7">
        <v>1672.643</v>
      </c>
      <c r="AK335" s="7">
        <v>3.1869999999999998</v>
      </c>
      <c r="AL335" s="7">
        <v>19311.708999999999</v>
      </c>
      <c r="AM335" s="7">
        <v>1678.798</v>
      </c>
      <c r="AN335" s="7">
        <v>364.35700000000003</v>
      </c>
      <c r="AO335" s="7">
        <v>0</v>
      </c>
      <c r="AP335" s="7">
        <v>288.14100000000002</v>
      </c>
      <c r="AQ335" s="7">
        <v>115.024</v>
      </c>
      <c r="AR335" s="7">
        <v>0</v>
      </c>
      <c r="AS335" s="7">
        <v>456.11500000000001</v>
      </c>
      <c r="AT335" s="7">
        <v>0</v>
      </c>
      <c r="AU335" s="7">
        <v>11.698</v>
      </c>
      <c r="AV335" s="7">
        <v>13.173999999999999</v>
      </c>
      <c r="AW335" s="7">
        <v>14.073</v>
      </c>
      <c r="AX335" s="7">
        <v>455.05399999999997</v>
      </c>
      <c r="AY335" s="7">
        <v>3.3639999999999999</v>
      </c>
      <c r="AZ335" s="7">
        <v>1.6830000000000001</v>
      </c>
      <c r="BA335" s="7">
        <v>0</v>
      </c>
      <c r="BB335" s="7">
        <v>34.277000000000001</v>
      </c>
      <c r="BC335" s="7">
        <v>13.244</v>
      </c>
      <c r="BD335" s="7">
        <v>36.064</v>
      </c>
      <c r="BE335" s="7">
        <v>177.64699999999999</v>
      </c>
      <c r="BF335" s="7">
        <v>4.0369999999999999</v>
      </c>
      <c r="BG335" s="21"/>
    </row>
    <row r="336" spans="1:59" ht="15.6" x14ac:dyDescent="0.3">
      <c r="A336" s="5" t="s">
        <v>597</v>
      </c>
      <c r="B336" s="5" t="s">
        <v>598</v>
      </c>
      <c r="C336" s="7">
        <v>6</v>
      </c>
      <c r="D336" s="7">
        <v>6</v>
      </c>
      <c r="E336" s="7">
        <v>-7940.665</v>
      </c>
      <c r="F336" s="7">
        <v>-2048.4580000000001</v>
      </c>
      <c r="G336" s="7">
        <v>-1024.3910000000001</v>
      </c>
      <c r="H336" s="7">
        <v>-9040.5779999999995</v>
      </c>
      <c r="I336" s="7">
        <v>-339.041</v>
      </c>
      <c r="J336" s="7">
        <v>-920.21400000000006</v>
      </c>
      <c r="K336" s="7">
        <v>-9188.5229999999992</v>
      </c>
      <c r="L336" s="7">
        <v>-1306.548</v>
      </c>
      <c r="M336" s="7">
        <v>-147.48599999999999</v>
      </c>
      <c r="N336" s="7">
        <v>-3550.8809999999999</v>
      </c>
      <c r="O336" s="7">
        <v>-19775.473000000002</v>
      </c>
      <c r="P336" s="7">
        <v>-2701.3049999999998</v>
      </c>
      <c r="Q336" s="7">
        <v>-6.4729999999999999</v>
      </c>
      <c r="R336" s="7">
        <v>-11.135</v>
      </c>
      <c r="S336" s="7">
        <v>-75.451999999999998</v>
      </c>
      <c r="T336" s="7">
        <v>-11.125</v>
      </c>
      <c r="U336" s="7">
        <v>-146.971</v>
      </c>
      <c r="V336" s="7">
        <v>-46.387</v>
      </c>
      <c r="W336" s="7">
        <v>-1.782</v>
      </c>
      <c r="X336" s="7">
        <v>-72.590999999999994</v>
      </c>
      <c r="Y336" s="7">
        <v>-103.598</v>
      </c>
      <c r="Z336" s="7">
        <v>-284.22800000000001</v>
      </c>
      <c r="AA336" s="7">
        <v>-896.14400000000001</v>
      </c>
      <c r="AB336" s="7">
        <v>-654.33199999999999</v>
      </c>
      <c r="AC336" s="7">
        <v>-1685.0650000000001</v>
      </c>
      <c r="AD336" s="7">
        <v>-319.10399999999998</v>
      </c>
      <c r="AE336" s="7">
        <v>-173.024</v>
      </c>
      <c r="AF336" s="7">
        <v>-1.958</v>
      </c>
      <c r="AG336" s="7">
        <v>-30.47</v>
      </c>
      <c r="AH336" s="7">
        <v>-0.34699999999999998</v>
      </c>
      <c r="AI336" s="7">
        <v>-5316.5069999999996</v>
      </c>
      <c r="AJ336" s="7">
        <v>-488.12700000000001</v>
      </c>
      <c r="AK336" s="7">
        <v>-152.125</v>
      </c>
      <c r="AL336" s="7">
        <v>-21202.135999999999</v>
      </c>
      <c r="AM336" s="7">
        <v>-1585.4559999999999</v>
      </c>
      <c r="AN336" s="7">
        <v>-301.5</v>
      </c>
      <c r="AO336" s="7">
        <v>-9027.2800000000007</v>
      </c>
      <c r="AP336" s="7">
        <v>-161.55799999999999</v>
      </c>
      <c r="AQ336" s="7">
        <v>-152.94300000000001</v>
      </c>
      <c r="AR336" s="7">
        <v>-2920.5239999999999</v>
      </c>
      <c r="AS336" s="7">
        <v>-1078.934</v>
      </c>
      <c r="AT336" s="7">
        <v>-9715.0560000000005</v>
      </c>
      <c r="AU336" s="7">
        <v>-4.3040000000000003</v>
      </c>
      <c r="AV336" s="7">
        <v>-15.991</v>
      </c>
      <c r="AW336" s="7">
        <v>-16.594999999999999</v>
      </c>
      <c r="AX336" s="7">
        <v>-144.83799999999999</v>
      </c>
      <c r="AY336" s="7">
        <v>-83.076999999999998</v>
      </c>
      <c r="AZ336" s="7">
        <v>-3.6659999999999999</v>
      </c>
      <c r="BA336" s="7">
        <v>0</v>
      </c>
      <c r="BB336" s="7">
        <v>-26.440999999999999</v>
      </c>
      <c r="BC336" s="7">
        <v>-0.17499999999999999</v>
      </c>
      <c r="BD336" s="7">
        <v>-32.265999999999998</v>
      </c>
      <c r="BE336" s="7">
        <v>-183.125</v>
      </c>
      <c r="BF336" s="7">
        <v>-13.930999999999999</v>
      </c>
      <c r="BG336" s="21"/>
    </row>
    <row r="337" spans="1:59" ht="15.6" x14ac:dyDescent="0.3">
      <c r="A337" s="5" t="s">
        <v>599</v>
      </c>
      <c r="B337" s="5" t="s">
        <v>600</v>
      </c>
      <c r="C337" s="7">
        <v>6</v>
      </c>
      <c r="D337" s="7">
        <v>6</v>
      </c>
      <c r="E337" s="7">
        <v>-593.74</v>
      </c>
      <c r="F337" s="7">
        <v>-26.808</v>
      </c>
      <c r="G337" s="7">
        <v>-51.215000000000003</v>
      </c>
      <c r="H337" s="7">
        <v>-10.065</v>
      </c>
      <c r="I337" s="7">
        <v>-2.7370000000000001</v>
      </c>
      <c r="J337" s="7">
        <v>-12.509</v>
      </c>
      <c r="K337" s="7">
        <v>-176.99</v>
      </c>
      <c r="L337" s="7">
        <v>-24.442</v>
      </c>
      <c r="M337" s="7">
        <v>-1.47</v>
      </c>
      <c r="N337" s="7">
        <v>-231.637</v>
      </c>
      <c r="O337" s="7">
        <v>-1391.383</v>
      </c>
      <c r="P337" s="7">
        <v>-75.899000000000001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-63.9</v>
      </c>
      <c r="Y337" s="7">
        <v>-24.161000000000001</v>
      </c>
      <c r="Z337" s="7">
        <v>-4.9189999999999996</v>
      </c>
      <c r="AA337" s="7">
        <v>-9.6539999999999999</v>
      </c>
      <c r="AB337" s="7">
        <v>-47.603999999999999</v>
      </c>
      <c r="AC337" s="7">
        <v>-100.259</v>
      </c>
      <c r="AD337" s="7">
        <v>-6.2279999999999998</v>
      </c>
      <c r="AE337" s="7">
        <v>-1.2030000000000001</v>
      </c>
      <c r="AF337" s="7">
        <v>-13.634</v>
      </c>
      <c r="AG337" s="7">
        <v>-7.8529999999999998</v>
      </c>
      <c r="AH337" s="7">
        <v>-2.3740000000000001</v>
      </c>
      <c r="AI337" s="7">
        <v>-281.87599999999998</v>
      </c>
      <c r="AJ337" s="7">
        <v>-62.054000000000002</v>
      </c>
      <c r="AK337" s="7">
        <v>-6.9710000000000001</v>
      </c>
      <c r="AL337" s="7">
        <v>-1154.4010000000001</v>
      </c>
      <c r="AM337" s="7">
        <v>-90.149000000000001</v>
      </c>
      <c r="AN337" s="7">
        <v>-9.6720000000000006</v>
      </c>
      <c r="AO337" s="7">
        <v>-473.15</v>
      </c>
      <c r="AP337" s="7">
        <v>-19.841000000000001</v>
      </c>
      <c r="AQ337" s="7">
        <v>-5.6820000000000004</v>
      </c>
      <c r="AR337" s="7">
        <v>-303.18200000000002</v>
      </c>
      <c r="AS337" s="7">
        <v>-9.9969999999999999</v>
      </c>
      <c r="AT337" s="7">
        <v>-642.17499999999995</v>
      </c>
      <c r="AU337" s="7">
        <v>-2.5000000000000001E-2</v>
      </c>
      <c r="AV337" s="7">
        <v>0</v>
      </c>
      <c r="AW337" s="7">
        <v>0</v>
      </c>
      <c r="AX337" s="7">
        <v>-32.642000000000003</v>
      </c>
      <c r="AY337" s="7">
        <v>-2.7480000000000002</v>
      </c>
      <c r="AZ337" s="7">
        <v>0</v>
      </c>
      <c r="BA337" s="7">
        <v>0</v>
      </c>
      <c r="BB337" s="7">
        <v>0</v>
      </c>
      <c r="BC337" s="7">
        <v>-4.2110000000000003</v>
      </c>
      <c r="BD337" s="7">
        <v>-2.0409999999999999</v>
      </c>
      <c r="BE337" s="7">
        <v>-4.8970000000000002</v>
      </c>
      <c r="BF337" s="7">
        <v>0</v>
      </c>
      <c r="BG337" s="21"/>
    </row>
    <row r="338" spans="1:59" ht="15.6" x14ac:dyDescent="0.3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21"/>
    </row>
    <row r="339" spans="1:59" ht="15.6" x14ac:dyDescent="0.3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 s="21"/>
    </row>
    <row r="340" spans="1:59" ht="15.6" x14ac:dyDescent="0.3">
      <c r="A340" s="5" t="s">
        <v>605</v>
      </c>
      <c r="B340" s="5" t="s">
        <v>606</v>
      </c>
      <c r="C340" s="5"/>
      <c r="D340" s="5"/>
      <c r="E340">
        <v>5510886.3300000001</v>
      </c>
      <c r="F340">
        <v>894450.625</v>
      </c>
      <c r="G340">
        <v>1060443.8500000001</v>
      </c>
      <c r="H340">
        <v>1073523.3799999999</v>
      </c>
      <c r="I340">
        <v>147902.57999999999</v>
      </c>
      <c r="J340">
        <v>739050.03599999996</v>
      </c>
      <c r="K340">
        <v>4385432.7309999997</v>
      </c>
      <c r="L340">
        <v>857269.54099999997</v>
      </c>
      <c r="M340">
        <v>301332.59899999999</v>
      </c>
      <c r="N340">
        <v>2416856.2039999999</v>
      </c>
      <c r="O340">
        <v>8663963.8780000005</v>
      </c>
      <c r="P340">
        <v>2472275.09</v>
      </c>
      <c r="Q340">
        <v>16402.177</v>
      </c>
      <c r="R340">
        <v>6102.0169999999998</v>
      </c>
      <c r="S340">
        <v>22876.245999999999</v>
      </c>
      <c r="T340">
        <v>11248.365</v>
      </c>
      <c r="U340">
        <v>21166.65</v>
      </c>
      <c r="V340">
        <v>267787.40299999999</v>
      </c>
      <c r="W340">
        <v>2671.7040000000002</v>
      </c>
      <c r="X340">
        <v>132544.83600000001</v>
      </c>
      <c r="Y340">
        <v>219576.60699999999</v>
      </c>
      <c r="Z340">
        <v>81735.429999999993</v>
      </c>
      <c r="AA340">
        <v>231668.18100000001</v>
      </c>
      <c r="AB340">
        <v>207319.34400000001</v>
      </c>
      <c r="AC340">
        <v>1649305.8319999999</v>
      </c>
      <c r="AD340">
        <v>100610.538</v>
      </c>
      <c r="AE340">
        <v>837646.07400000002</v>
      </c>
      <c r="AF340">
        <v>204111.78</v>
      </c>
      <c r="AG340">
        <v>142482.83600000001</v>
      </c>
      <c r="AH340">
        <v>49537.186999999998</v>
      </c>
      <c r="AI340">
        <v>4271247.551</v>
      </c>
      <c r="AJ340">
        <v>930975.61800000002</v>
      </c>
      <c r="AK340">
        <v>203677.261</v>
      </c>
      <c r="AL340">
        <v>13493792.33</v>
      </c>
      <c r="AM340">
        <v>1806432.1710000001</v>
      </c>
      <c r="AN340">
        <v>595145.92299999995</v>
      </c>
      <c r="AO340">
        <v>7775602.8600000003</v>
      </c>
      <c r="AP340">
        <v>323952.62300000002</v>
      </c>
      <c r="AQ340">
        <v>211052.51800000001</v>
      </c>
      <c r="AR340">
        <v>4748583.1349999998</v>
      </c>
      <c r="AS340">
        <v>41483.254999999997</v>
      </c>
      <c r="AT340">
        <v>2499440.2289999998</v>
      </c>
      <c r="AU340">
        <v>8507.6830000000009</v>
      </c>
      <c r="AV340">
        <v>34844.313000000002</v>
      </c>
      <c r="AW340">
        <v>35093.832999999999</v>
      </c>
      <c r="AX340">
        <v>271870.97600000002</v>
      </c>
      <c r="AY340">
        <v>15517.814</v>
      </c>
      <c r="AZ340">
        <v>3235.8449999999998</v>
      </c>
      <c r="BA340">
        <v>0</v>
      </c>
      <c r="BB340">
        <v>74747.289000000004</v>
      </c>
      <c r="BC340">
        <v>60570.483</v>
      </c>
      <c r="BD340">
        <v>53470.046000000002</v>
      </c>
      <c r="BE340">
        <v>374172.14399999997</v>
      </c>
      <c r="BF340">
        <v>34380.43</v>
      </c>
      <c r="BG340" s="21"/>
    </row>
    <row r="341" spans="1:59" x14ac:dyDescent="0.25">
      <c r="BG341" s="21"/>
    </row>
    <row r="342" spans="1:59" ht="15.6" x14ac:dyDescent="0.3">
      <c r="A342" s="5" t="s">
        <v>607</v>
      </c>
      <c r="E342">
        <f t="shared" ref="E342:BF342" si="0">SUM(E7:E339)-E340</f>
        <v>0</v>
      </c>
      <c r="F342">
        <f t="shared" si="0"/>
        <v>0</v>
      </c>
      <c r="G342">
        <f t="shared" si="0"/>
        <v>0</v>
      </c>
      <c r="H342">
        <f t="shared" si="0"/>
        <v>0</v>
      </c>
      <c r="I342">
        <f t="shared" si="0"/>
        <v>0</v>
      </c>
      <c r="J342">
        <f t="shared" si="0"/>
        <v>0</v>
      </c>
      <c r="K342">
        <f t="shared" si="0"/>
        <v>0</v>
      </c>
      <c r="L342">
        <f t="shared" si="0"/>
        <v>0</v>
      </c>
      <c r="M342">
        <f t="shared" si="0"/>
        <v>0</v>
      </c>
      <c r="N342">
        <f t="shared" si="0"/>
        <v>0</v>
      </c>
      <c r="O342">
        <f t="shared" si="0"/>
        <v>0</v>
      </c>
      <c r="P342">
        <f t="shared" si="0"/>
        <v>0</v>
      </c>
      <c r="Q342">
        <f t="shared" si="0"/>
        <v>0</v>
      </c>
      <c r="R342">
        <f t="shared" si="0"/>
        <v>0</v>
      </c>
      <c r="S342">
        <f t="shared" si="0"/>
        <v>0</v>
      </c>
      <c r="T342">
        <f t="shared" si="0"/>
        <v>0</v>
      </c>
      <c r="U342">
        <f t="shared" si="0"/>
        <v>0</v>
      </c>
      <c r="V342">
        <f t="shared" si="0"/>
        <v>0</v>
      </c>
      <c r="W342">
        <f t="shared" si="0"/>
        <v>0</v>
      </c>
      <c r="X342">
        <f t="shared" si="0"/>
        <v>0</v>
      </c>
      <c r="Y342">
        <f t="shared" si="0"/>
        <v>0</v>
      </c>
      <c r="Z342">
        <f t="shared" si="0"/>
        <v>0</v>
      </c>
      <c r="AA342">
        <f t="shared" si="0"/>
        <v>0</v>
      </c>
      <c r="AB342">
        <f t="shared" si="0"/>
        <v>0</v>
      </c>
      <c r="AC342">
        <f t="shared" si="0"/>
        <v>0</v>
      </c>
      <c r="AD342">
        <f t="shared" si="0"/>
        <v>0</v>
      </c>
      <c r="AE342">
        <f t="shared" si="0"/>
        <v>0</v>
      </c>
      <c r="AF342">
        <f t="shared" si="0"/>
        <v>0</v>
      </c>
      <c r="AG342">
        <f t="shared" si="0"/>
        <v>0</v>
      </c>
      <c r="AH342">
        <f t="shared" si="0"/>
        <v>0</v>
      </c>
      <c r="AI342">
        <f t="shared" si="0"/>
        <v>0</v>
      </c>
      <c r="AJ342">
        <f t="shared" si="0"/>
        <v>0</v>
      </c>
      <c r="AK342">
        <f t="shared" si="0"/>
        <v>0</v>
      </c>
      <c r="AL342">
        <f t="shared" si="0"/>
        <v>0</v>
      </c>
      <c r="AM342">
        <f t="shared" si="0"/>
        <v>0</v>
      </c>
      <c r="AN342">
        <f t="shared" si="0"/>
        <v>0</v>
      </c>
      <c r="AO342">
        <f t="shared" si="0"/>
        <v>0</v>
      </c>
      <c r="AP342">
        <f t="shared" si="0"/>
        <v>0</v>
      </c>
      <c r="AQ342">
        <f t="shared" si="0"/>
        <v>0</v>
      </c>
      <c r="AR342">
        <f t="shared" si="0"/>
        <v>0</v>
      </c>
      <c r="AS342">
        <f>SUM(AS7:AS339)-AS340</f>
        <v>0</v>
      </c>
      <c r="AT342">
        <f>SUM(AT7:AT339)-AT340</f>
        <v>0</v>
      </c>
      <c r="AU342">
        <f>SUM(AU7:AU339)-AU340</f>
        <v>0</v>
      </c>
      <c r="AV342">
        <f>SUM(AV7:AV339)-AV340</f>
        <v>0</v>
      </c>
      <c r="AW342">
        <f t="shared" si="0"/>
        <v>0</v>
      </c>
      <c r="AX342">
        <f t="shared" si="0"/>
        <v>0</v>
      </c>
      <c r="AY342">
        <f t="shared" si="0"/>
        <v>0</v>
      </c>
      <c r="AZ342">
        <f t="shared" si="0"/>
        <v>0</v>
      </c>
      <c r="BA342">
        <f t="shared" si="0"/>
        <v>0</v>
      </c>
      <c r="BB342">
        <f t="shared" si="0"/>
        <v>0</v>
      </c>
      <c r="BC342">
        <f t="shared" si="0"/>
        <v>0</v>
      </c>
      <c r="BD342">
        <f t="shared" si="0"/>
        <v>0</v>
      </c>
      <c r="BE342">
        <f t="shared" si="0"/>
        <v>0</v>
      </c>
      <c r="BF342">
        <f t="shared" si="0"/>
        <v>0</v>
      </c>
      <c r="BG342" s="21"/>
    </row>
    <row r="343" spans="1:59" x14ac:dyDescent="0.25">
      <c r="BG343" s="21"/>
    </row>
    <row r="344" spans="1:59" x14ac:dyDescent="0.25">
      <c r="A344" t="s">
        <v>608</v>
      </c>
      <c r="D344">
        <v>1</v>
      </c>
      <c r="E344" s="16">
        <f t="shared" ref="E344:BF344" si="1">SUMIF($D$6:$D$338,$D$344,E6:E338)</f>
        <v>599700.62299999991</v>
      </c>
      <c r="F344" s="16">
        <f t="shared" si="1"/>
        <v>156556.902</v>
      </c>
      <c r="G344" s="16">
        <f t="shared" si="1"/>
        <v>33447.953999999998</v>
      </c>
      <c r="H344" s="16">
        <f t="shared" si="1"/>
        <v>12580.18</v>
      </c>
      <c r="I344" s="16">
        <f t="shared" si="1"/>
        <v>13031.358000000002</v>
      </c>
      <c r="J344" s="16">
        <f t="shared" si="1"/>
        <v>28656.158000000003</v>
      </c>
      <c r="K344" s="16">
        <f t="shared" si="1"/>
        <v>688260.80300000007</v>
      </c>
      <c r="L344" s="16">
        <f t="shared" si="1"/>
        <v>85412.272999999986</v>
      </c>
      <c r="M344" s="16">
        <f t="shared" si="1"/>
        <v>17480.578000000001</v>
      </c>
      <c r="N344" s="16">
        <f t="shared" si="1"/>
        <v>142037.448</v>
      </c>
      <c r="O344" s="16">
        <f t="shared" si="1"/>
        <v>1689444.2950000002</v>
      </c>
      <c r="P344" s="16">
        <f t="shared" si="1"/>
        <v>152888.193</v>
      </c>
      <c r="Q344" s="16">
        <f>SUMIF($D$6:$D$338,$D$344,Q6:Q338)</f>
        <v>696.75699999999995</v>
      </c>
      <c r="R344" s="16">
        <f t="shared" si="1"/>
        <v>4635.3059999999996</v>
      </c>
      <c r="S344" s="16">
        <f t="shared" si="1"/>
        <v>735.10599999999999</v>
      </c>
      <c r="T344" s="16">
        <f t="shared" si="1"/>
        <v>4672.482</v>
      </c>
      <c r="U344" s="16">
        <f t="shared" si="1"/>
        <v>1334.079</v>
      </c>
      <c r="V344" s="16">
        <f t="shared" si="1"/>
        <v>56165.578999999991</v>
      </c>
      <c r="W344" s="16">
        <f t="shared" si="1"/>
        <v>24.550999999999998</v>
      </c>
      <c r="X344" s="16">
        <f t="shared" si="1"/>
        <v>75517.373999999996</v>
      </c>
      <c r="Y344" s="16">
        <f t="shared" si="1"/>
        <v>7102.2089999999998</v>
      </c>
      <c r="Z344" s="16">
        <f t="shared" si="1"/>
        <v>6700.0880000000006</v>
      </c>
      <c r="AA344" s="16">
        <f t="shared" si="1"/>
        <v>17829.275000000001</v>
      </c>
      <c r="AB344" s="16">
        <f t="shared" si="1"/>
        <v>180702.06</v>
      </c>
      <c r="AC344" s="16">
        <f t="shared" si="1"/>
        <v>296753.18299999996</v>
      </c>
      <c r="AD344" s="16">
        <f t="shared" si="1"/>
        <v>58626.147000000004</v>
      </c>
      <c r="AE344" s="16">
        <f t="shared" si="1"/>
        <v>57993.052999999993</v>
      </c>
      <c r="AF344" s="16">
        <f t="shared" si="1"/>
        <v>160696.378</v>
      </c>
      <c r="AG344" s="16">
        <f t="shared" si="1"/>
        <v>27696.329000000002</v>
      </c>
      <c r="AH344" s="16">
        <f t="shared" si="1"/>
        <v>13830.045</v>
      </c>
      <c r="AI344" s="16">
        <f t="shared" si="1"/>
        <v>760303.95899999992</v>
      </c>
      <c r="AJ344" s="16">
        <f t="shared" si="1"/>
        <v>322479.359</v>
      </c>
      <c r="AK344" s="16">
        <f t="shared" si="1"/>
        <v>60497.142</v>
      </c>
      <c r="AL344" s="16">
        <f t="shared" si="1"/>
        <v>2206323.2119999998</v>
      </c>
      <c r="AM344" s="16">
        <f t="shared" si="1"/>
        <v>600378.76599999995</v>
      </c>
      <c r="AN344" s="16">
        <f t="shared" si="1"/>
        <v>335511.02500000002</v>
      </c>
      <c r="AO344" s="16">
        <f t="shared" si="1"/>
        <v>6044959.8470000001</v>
      </c>
      <c r="AP344" s="16">
        <f t="shared" si="1"/>
        <v>154916.37299999999</v>
      </c>
      <c r="AQ344" s="16">
        <f t="shared" si="1"/>
        <v>73229.900999999998</v>
      </c>
      <c r="AR344" s="16">
        <f t="shared" si="1"/>
        <v>3688343.767</v>
      </c>
      <c r="AS344" s="16">
        <f>SUMIF($D$6:$D$338,$D$344,AS6:AS338)</f>
        <v>3295.15</v>
      </c>
      <c r="AT344" s="16">
        <f>SUMIF($D$6:$D$338,$D$344,AT6:AT338)</f>
        <v>1948392.406</v>
      </c>
      <c r="AU344" s="16">
        <f>SUMIF($D$6:$D$338,$D$344,AU6:AU338)</f>
        <v>2078.0769999999998</v>
      </c>
      <c r="AV344" s="16">
        <f>SUMIF($D$6:$D$338,$D$344,AV6:AV338)</f>
        <v>16575.768999999997</v>
      </c>
      <c r="AW344" s="16">
        <f t="shared" si="1"/>
        <v>4414.2389999999996</v>
      </c>
      <c r="AX344" s="16">
        <f t="shared" si="1"/>
        <v>97394.057000000001</v>
      </c>
      <c r="AY344" s="16">
        <f t="shared" si="1"/>
        <v>2009.596</v>
      </c>
      <c r="AZ344" s="16">
        <f t="shared" si="1"/>
        <v>519.53399999999999</v>
      </c>
      <c r="BA344" s="16">
        <f t="shared" si="1"/>
        <v>0</v>
      </c>
      <c r="BB344" s="16">
        <f t="shared" si="1"/>
        <v>10824.145</v>
      </c>
      <c r="BC344" s="16">
        <f t="shared" si="1"/>
        <v>7609.0059999999994</v>
      </c>
      <c r="BD344" s="16">
        <f t="shared" si="1"/>
        <v>6583.7759999999998</v>
      </c>
      <c r="BE344" s="16">
        <f t="shared" si="1"/>
        <v>112586.269</v>
      </c>
      <c r="BF344" s="16">
        <f t="shared" si="1"/>
        <v>32441.970999999998</v>
      </c>
      <c r="BG344" s="21"/>
    </row>
    <row r="345" spans="1:59" x14ac:dyDescent="0.25">
      <c r="A345" t="s">
        <v>609</v>
      </c>
      <c r="D345">
        <v>2</v>
      </c>
      <c r="E345" s="16">
        <f t="shared" ref="E345:BF345" si="2">SUMIF($D$6:$D$338,$D$345,E6:E338)</f>
        <v>1339224.942</v>
      </c>
      <c r="F345" s="16">
        <f t="shared" si="2"/>
        <v>148777.226</v>
      </c>
      <c r="G345" s="16">
        <f t="shared" si="2"/>
        <v>362242.79399999999</v>
      </c>
      <c r="H345" s="16">
        <f t="shared" si="2"/>
        <v>0</v>
      </c>
      <c r="I345" s="16">
        <f t="shared" si="2"/>
        <v>52725.926999999996</v>
      </c>
      <c r="J345" s="16">
        <f t="shared" si="2"/>
        <v>256601.72400000002</v>
      </c>
      <c r="K345" s="16">
        <f t="shared" si="2"/>
        <v>712637.97100000002</v>
      </c>
      <c r="L345" s="16">
        <f t="shared" si="2"/>
        <v>161701.14199999999</v>
      </c>
      <c r="M345" s="16">
        <f t="shared" si="2"/>
        <v>205432.93900000001</v>
      </c>
      <c r="N345" s="16">
        <f t="shared" si="2"/>
        <v>593815.46699999995</v>
      </c>
      <c r="O345" s="16">
        <f t="shared" si="2"/>
        <v>514034.891</v>
      </c>
      <c r="P345" s="16">
        <f t="shared" si="2"/>
        <v>587506.06799999985</v>
      </c>
      <c r="Q345" s="16">
        <f>SUMIF($D$6:$D$338,$D$345,Q6:Q338)</f>
        <v>12425.019</v>
      </c>
      <c r="R345" s="16">
        <f t="shared" si="2"/>
        <v>0</v>
      </c>
      <c r="S345" s="16">
        <f t="shared" si="2"/>
        <v>17912.899000000001</v>
      </c>
      <c r="T345" s="16">
        <f t="shared" si="2"/>
        <v>1426.7820000000002</v>
      </c>
      <c r="U345" s="16">
        <f t="shared" si="2"/>
        <v>3947.627</v>
      </c>
      <c r="V345" s="16">
        <f t="shared" si="2"/>
        <v>44612.496000000006</v>
      </c>
      <c r="W345" s="16">
        <f t="shared" si="2"/>
        <v>2648.9349999999999</v>
      </c>
      <c r="X345" s="16">
        <f t="shared" si="2"/>
        <v>5635.6149999999998</v>
      </c>
      <c r="Y345" s="16">
        <f t="shared" si="2"/>
        <v>155985.16899999999</v>
      </c>
      <c r="Z345" s="16">
        <f t="shared" si="2"/>
        <v>23225.870999999999</v>
      </c>
      <c r="AA345" s="16">
        <f t="shared" si="2"/>
        <v>52752.267999999996</v>
      </c>
      <c r="AB345" s="16">
        <f t="shared" si="2"/>
        <v>0</v>
      </c>
      <c r="AC345" s="16">
        <f t="shared" si="2"/>
        <v>235788.82800000001</v>
      </c>
      <c r="AD345" s="16">
        <f t="shared" si="2"/>
        <v>0</v>
      </c>
      <c r="AE345" s="16">
        <f t="shared" si="2"/>
        <v>272270.26899999997</v>
      </c>
      <c r="AF345" s="16">
        <f t="shared" si="2"/>
        <v>3.1869999999999998</v>
      </c>
      <c r="AG345" s="16">
        <f t="shared" si="2"/>
        <v>18788.765000000003</v>
      </c>
      <c r="AH345" s="16">
        <f t="shared" si="2"/>
        <v>6974.1610000000001</v>
      </c>
      <c r="AI345" s="16">
        <f t="shared" si="2"/>
        <v>572183.576</v>
      </c>
      <c r="AJ345" s="16">
        <f t="shared" si="2"/>
        <v>10486.948</v>
      </c>
      <c r="AK345" s="16">
        <f t="shared" si="2"/>
        <v>20116.650999999998</v>
      </c>
      <c r="AL345" s="16">
        <f t="shared" si="2"/>
        <v>1555590.7790000001</v>
      </c>
      <c r="AM345" s="16">
        <f t="shared" si="2"/>
        <v>19638.906999999999</v>
      </c>
      <c r="AN345" s="16">
        <f t="shared" si="2"/>
        <v>0</v>
      </c>
      <c r="AO345" s="16">
        <f t="shared" si="2"/>
        <v>0</v>
      </c>
      <c r="AP345" s="16">
        <f t="shared" si="2"/>
        <v>33235.925999999999</v>
      </c>
      <c r="AQ345" s="16">
        <f t="shared" si="2"/>
        <v>40417.576999999997</v>
      </c>
      <c r="AR345" s="16">
        <f t="shared" si="2"/>
        <v>0</v>
      </c>
      <c r="AS345" s="16">
        <f>SUMIF($D$6:$D$338,$D$345,AS6:AS338)</f>
        <v>28690.975000000002</v>
      </c>
      <c r="AT345" s="16">
        <f>SUMIF($D$6:$D$338,$D$345,AT6:AT338)</f>
        <v>0</v>
      </c>
      <c r="AU345" s="16">
        <f>SUMIF($D$6:$D$338,$D$345,AU6:AU338)</f>
        <v>1507.396</v>
      </c>
      <c r="AV345" s="16">
        <f>SUMIF($D$6:$D$338,$D$345,AV6:AV338)</f>
        <v>5478.18</v>
      </c>
      <c r="AW345" s="16">
        <f t="shared" si="2"/>
        <v>0</v>
      </c>
      <c r="AX345" s="16">
        <f t="shared" si="2"/>
        <v>3117.6959999999999</v>
      </c>
      <c r="AY345" s="16">
        <f t="shared" si="2"/>
        <v>0</v>
      </c>
      <c r="AZ345" s="16">
        <f t="shared" si="2"/>
        <v>1091.759</v>
      </c>
      <c r="BA345" s="16">
        <f t="shared" si="2"/>
        <v>0</v>
      </c>
      <c r="BB345" s="16">
        <f t="shared" si="2"/>
        <v>29434.121000000003</v>
      </c>
      <c r="BC345" s="16">
        <f t="shared" si="2"/>
        <v>0</v>
      </c>
      <c r="BD345" s="16">
        <f t="shared" si="2"/>
        <v>0</v>
      </c>
      <c r="BE345" s="16">
        <f t="shared" si="2"/>
        <v>35921.133000000002</v>
      </c>
      <c r="BF345" s="16">
        <f t="shared" si="2"/>
        <v>0</v>
      </c>
      <c r="BG345" s="21"/>
    </row>
    <row r="346" spans="1:59" x14ac:dyDescent="0.25">
      <c r="A346" t="s">
        <v>610</v>
      </c>
      <c r="D346">
        <v>3</v>
      </c>
      <c r="E346" s="16">
        <f t="shared" ref="E346:BF346" si="3">SUMIF($D$6:$D$338,$D$346,E6:E338)</f>
        <v>1199678.946</v>
      </c>
      <c r="F346" s="16">
        <f t="shared" si="3"/>
        <v>243612.05799999996</v>
      </c>
      <c r="G346" s="16">
        <f t="shared" si="3"/>
        <v>504081.19900000008</v>
      </c>
      <c r="H346" s="16">
        <f t="shared" si="3"/>
        <v>73083.413</v>
      </c>
      <c r="I346" s="16">
        <f t="shared" si="3"/>
        <v>47300.321000000011</v>
      </c>
      <c r="J346" s="16">
        <f t="shared" si="3"/>
        <v>339696.038</v>
      </c>
      <c r="K346" s="16">
        <f t="shared" si="3"/>
        <v>348528.84899999993</v>
      </c>
      <c r="L346" s="16">
        <f t="shared" si="3"/>
        <v>379056.01999999996</v>
      </c>
      <c r="M346" s="16">
        <f t="shared" si="3"/>
        <v>63629.430999999997</v>
      </c>
      <c r="N346" s="16">
        <f t="shared" si="3"/>
        <v>861905.91299999994</v>
      </c>
      <c r="O346" s="16">
        <f t="shared" si="3"/>
        <v>1037887.827</v>
      </c>
      <c r="P346" s="16">
        <f t="shared" si="3"/>
        <v>830998.0850000002</v>
      </c>
      <c r="Q346" s="16">
        <f>SUMIF($D$6:$D$338,$D$346,Q6:Q338)</f>
        <v>3284.123</v>
      </c>
      <c r="R346" s="16">
        <f t="shared" si="3"/>
        <v>0</v>
      </c>
      <c r="S346" s="16">
        <f t="shared" si="3"/>
        <v>177.53999999999996</v>
      </c>
      <c r="T346" s="16">
        <f t="shared" si="3"/>
        <v>4048.768</v>
      </c>
      <c r="U346" s="16">
        <f t="shared" si="3"/>
        <v>14630.945</v>
      </c>
      <c r="V346" s="16">
        <f t="shared" si="3"/>
        <v>96760.843000000023</v>
      </c>
      <c r="W346" s="16">
        <f t="shared" si="3"/>
        <v>0</v>
      </c>
      <c r="X346" s="16">
        <f t="shared" si="3"/>
        <v>31942.798000000006</v>
      </c>
      <c r="Y346" s="16">
        <f t="shared" si="3"/>
        <v>48313.807000000001</v>
      </c>
      <c r="Z346" s="16">
        <f t="shared" si="3"/>
        <v>41109.870999999999</v>
      </c>
      <c r="AA346" s="16">
        <f t="shared" si="3"/>
        <v>108283.41100000001</v>
      </c>
      <c r="AB346" s="16">
        <f t="shared" si="3"/>
        <v>0</v>
      </c>
      <c r="AC346" s="16">
        <f t="shared" si="3"/>
        <v>241064.99700000003</v>
      </c>
      <c r="AD346" s="16">
        <f t="shared" si="3"/>
        <v>16518.295999999998</v>
      </c>
      <c r="AE346" s="16">
        <f t="shared" si="3"/>
        <v>401649.26000000007</v>
      </c>
      <c r="AF346" s="16">
        <f t="shared" si="3"/>
        <v>0</v>
      </c>
      <c r="AG346" s="16">
        <f t="shared" si="3"/>
        <v>41429.454000000005</v>
      </c>
      <c r="AH346" s="16">
        <f t="shared" si="3"/>
        <v>13363.218000000001</v>
      </c>
      <c r="AI346" s="16">
        <f t="shared" si="3"/>
        <v>361632.73700000002</v>
      </c>
      <c r="AJ346" s="16">
        <f t="shared" si="3"/>
        <v>14896.778</v>
      </c>
      <c r="AK346" s="16">
        <f t="shared" si="3"/>
        <v>51179.548999999999</v>
      </c>
      <c r="AL346" s="16">
        <f t="shared" si="3"/>
        <v>2262989.0620000004</v>
      </c>
      <c r="AM346" s="16">
        <f t="shared" si="3"/>
        <v>27932.917000000001</v>
      </c>
      <c r="AN346" s="16">
        <f t="shared" si="3"/>
        <v>99609.945999999996</v>
      </c>
      <c r="AO346" s="16">
        <f t="shared" si="3"/>
        <v>0</v>
      </c>
      <c r="AP346" s="16">
        <f t="shared" si="3"/>
        <v>95030.189000000013</v>
      </c>
      <c r="AQ346" s="16">
        <f t="shared" si="3"/>
        <v>80498.375000000015</v>
      </c>
      <c r="AR346" s="16">
        <f t="shared" si="3"/>
        <v>0</v>
      </c>
      <c r="AS346" s="16">
        <f>SUMIF($D$6:$D$338,$D$346,AS6:AS338)</f>
        <v>8886.5509999999995</v>
      </c>
      <c r="AT346" s="16">
        <f>SUMIF($D$6:$D$338,$D$346,AT6:AT338)</f>
        <v>0</v>
      </c>
      <c r="AU346" s="16">
        <f>SUMIF($D$6:$D$338,$D$346,AU6:AU338)</f>
        <v>2692.78</v>
      </c>
      <c r="AV346" s="16">
        <f>SUMIF($D$6:$D$338,$D$346,AV6:AV338)</f>
        <v>9604.8960000000025</v>
      </c>
      <c r="AW346" s="16">
        <f t="shared" si="3"/>
        <v>0</v>
      </c>
      <c r="AX346" s="16">
        <f t="shared" si="3"/>
        <v>4297.152</v>
      </c>
      <c r="AY346" s="16">
        <f t="shared" si="3"/>
        <v>0</v>
      </c>
      <c r="AZ346" s="16">
        <f t="shared" si="3"/>
        <v>783.07900000000006</v>
      </c>
      <c r="BA346" s="16">
        <f t="shared" si="3"/>
        <v>0</v>
      </c>
      <c r="BB346" s="16">
        <f t="shared" si="3"/>
        <v>25034.319</v>
      </c>
      <c r="BC346" s="16">
        <f t="shared" si="3"/>
        <v>0</v>
      </c>
      <c r="BD346" s="16">
        <f t="shared" si="3"/>
        <v>0</v>
      </c>
      <c r="BE346" s="16">
        <f t="shared" si="3"/>
        <v>148104.49900000001</v>
      </c>
      <c r="BF346" s="16">
        <f t="shared" si="3"/>
        <v>0</v>
      </c>
      <c r="BG346" s="21"/>
    </row>
    <row r="347" spans="1:59" x14ac:dyDescent="0.25">
      <c r="A347" t="s">
        <v>611</v>
      </c>
      <c r="B347">
        <v>7</v>
      </c>
      <c r="D347">
        <v>4</v>
      </c>
      <c r="E347" s="16">
        <f t="shared" ref="E347:BF347" si="4">SUMIF($D$6:$D$338,$D$347,E6:E338)</f>
        <v>773986.76000000013</v>
      </c>
      <c r="F347" s="16">
        <f t="shared" si="4"/>
        <v>234235.30599999998</v>
      </c>
      <c r="G347" s="16">
        <f t="shared" si="4"/>
        <v>-592.10699999999997</v>
      </c>
      <c r="H347" s="16">
        <f t="shared" si="4"/>
        <v>12169.656999999999</v>
      </c>
      <c r="I347" s="16">
        <f t="shared" si="4"/>
        <v>11787.483</v>
      </c>
      <c r="J347" s="16">
        <f t="shared" si="4"/>
        <v>-423.81199999999995</v>
      </c>
      <c r="K347" s="16">
        <f t="shared" si="4"/>
        <v>1083140.004</v>
      </c>
      <c r="L347" s="16">
        <f t="shared" si="4"/>
        <v>76347.716999999961</v>
      </c>
      <c r="M347" s="16">
        <f t="shared" si="4"/>
        <v>0</v>
      </c>
      <c r="N347" s="16">
        <f t="shared" si="4"/>
        <v>119460.22000000003</v>
      </c>
      <c r="O347" s="16">
        <f t="shared" si="4"/>
        <v>2779307.4870000011</v>
      </c>
      <c r="P347" s="16">
        <f t="shared" si="4"/>
        <v>153712.45700000002</v>
      </c>
      <c r="Q347" s="16">
        <f>SUMIF($D$6:$D$338,$D$347,Q6:Q338)</f>
        <v>0</v>
      </c>
      <c r="R347" s="16">
        <f t="shared" si="4"/>
        <v>1463.422</v>
      </c>
      <c r="S347" s="16">
        <f t="shared" si="4"/>
        <v>75.085000000000022</v>
      </c>
      <c r="T347" s="16">
        <f t="shared" si="4"/>
        <v>1046.9829999999999</v>
      </c>
      <c r="U347" s="16">
        <f t="shared" si="4"/>
        <v>101.99000000000001</v>
      </c>
      <c r="V347" s="16">
        <f t="shared" si="4"/>
        <v>63097.253000000004</v>
      </c>
      <c r="W347" s="16">
        <f t="shared" si="4"/>
        <v>0</v>
      </c>
      <c r="X347" s="16">
        <f t="shared" si="4"/>
        <v>18585.895</v>
      </c>
      <c r="Y347" s="16">
        <f t="shared" si="4"/>
        <v>0</v>
      </c>
      <c r="Z347" s="16">
        <f t="shared" si="4"/>
        <v>-28.005000000000003</v>
      </c>
      <c r="AA347" s="16">
        <f t="shared" si="4"/>
        <v>16531.26200000001</v>
      </c>
      <c r="AB347" s="16">
        <f t="shared" si="4"/>
        <v>24426.080999999998</v>
      </c>
      <c r="AC347" s="16">
        <f t="shared" si="4"/>
        <v>433052.65799999994</v>
      </c>
      <c r="AD347" s="16">
        <f t="shared" si="4"/>
        <v>24376.645</v>
      </c>
      <c r="AE347" s="16">
        <f t="shared" si="4"/>
        <v>-403.50599999999997</v>
      </c>
      <c r="AF347" s="16">
        <f t="shared" si="4"/>
        <v>42497.327000000005</v>
      </c>
      <c r="AG347" s="16">
        <f t="shared" si="4"/>
        <v>38442.251999999993</v>
      </c>
      <c r="AH347" s="16">
        <f t="shared" si="4"/>
        <v>15297.360999999999</v>
      </c>
      <c r="AI347" s="16">
        <f t="shared" si="4"/>
        <v>1079642.2449999992</v>
      </c>
      <c r="AJ347" s="16">
        <f t="shared" si="4"/>
        <v>555851.96900000027</v>
      </c>
      <c r="AK347" s="16">
        <f t="shared" si="4"/>
        <v>70058.5</v>
      </c>
      <c r="AL347" s="16">
        <f t="shared" si="4"/>
        <v>3515037.5240000002</v>
      </c>
      <c r="AM347" s="16">
        <f t="shared" si="4"/>
        <v>1042608.1070000002</v>
      </c>
      <c r="AN347" s="16">
        <f t="shared" si="4"/>
        <v>151456.18100000001</v>
      </c>
      <c r="AO347" s="16">
        <f t="shared" si="4"/>
        <v>1689307.9380000001</v>
      </c>
      <c r="AP347" s="16">
        <f t="shared" si="4"/>
        <v>38554.417999999998</v>
      </c>
      <c r="AQ347" s="16">
        <f t="shared" si="4"/>
        <v>16006.522999999999</v>
      </c>
      <c r="AR347" s="16">
        <f t="shared" si="4"/>
        <v>1032334.534</v>
      </c>
      <c r="AS347" s="16">
        <f>SUMIF($D$6:$D$338,$D$347,AS6:AS338)</f>
        <v>0</v>
      </c>
      <c r="AT347" s="16">
        <f>SUMIF($D$6:$D$338,$D$347,AT6:AT338)</f>
        <v>544403.78</v>
      </c>
      <c r="AU347" s="16">
        <f>SUMIF($D$6:$D$338,$D$347,AU6:AU338)</f>
        <v>2112.8379999999997</v>
      </c>
      <c r="AV347" s="16">
        <f>SUMIF($D$6:$D$338,$D$347,AV6:AV338)</f>
        <v>2989.29</v>
      </c>
      <c r="AW347" s="16">
        <f t="shared" si="4"/>
        <v>30682.116000000002</v>
      </c>
      <c r="AX347" s="16">
        <f t="shared" si="4"/>
        <v>163399.5</v>
      </c>
      <c r="AY347" s="16">
        <f t="shared" si="4"/>
        <v>13590.679</v>
      </c>
      <c r="AZ347" s="16">
        <f t="shared" si="4"/>
        <v>656.85599999999999</v>
      </c>
      <c r="BA347" s="16">
        <f t="shared" si="4"/>
        <v>0</v>
      </c>
      <c r="BB347" s="16">
        <f t="shared" si="4"/>
        <v>8485.594000000001</v>
      </c>
      <c r="BC347" s="16">
        <f t="shared" si="4"/>
        <v>52952.618999999999</v>
      </c>
      <c r="BD347" s="16">
        <f t="shared" si="4"/>
        <v>46884.512999999999</v>
      </c>
      <c r="BE347" s="16">
        <f t="shared" si="4"/>
        <v>78029.455000000002</v>
      </c>
      <c r="BF347" s="16">
        <f t="shared" si="4"/>
        <v>1745.6299999999999</v>
      </c>
      <c r="BG347" s="21"/>
    </row>
    <row r="348" spans="1:59" x14ac:dyDescent="0.25">
      <c r="A348" t="s">
        <v>612</v>
      </c>
      <c r="D348">
        <v>5</v>
      </c>
      <c r="E348" s="16">
        <f t="shared" ref="E348:BF348" si="5">SUMIF($D$6:$D$338,$D$348,E6:E338)</f>
        <v>508595.88699999999</v>
      </c>
      <c r="F348" s="16">
        <f t="shared" si="5"/>
        <v>52501.994999999995</v>
      </c>
      <c r="G348" s="16">
        <f t="shared" si="5"/>
        <v>95105.370999999999</v>
      </c>
      <c r="H348" s="16">
        <f t="shared" si="5"/>
        <v>958317.51400000008</v>
      </c>
      <c r="I348" s="16">
        <f t="shared" si="5"/>
        <v>13068.457999999999</v>
      </c>
      <c r="J348" s="16">
        <f t="shared" si="5"/>
        <v>69249.213999999993</v>
      </c>
      <c r="K348" s="16">
        <f t="shared" si="5"/>
        <v>543948.71</v>
      </c>
      <c r="L348" s="16">
        <f t="shared" si="5"/>
        <v>69698.130999999994</v>
      </c>
      <c r="M348" s="16">
        <f t="shared" si="5"/>
        <v>6835.6989999999996</v>
      </c>
      <c r="N348" s="16">
        <f t="shared" si="5"/>
        <v>221485.054</v>
      </c>
      <c r="O348" s="16">
        <f t="shared" si="5"/>
        <v>704067.19900000002</v>
      </c>
      <c r="P348" s="16">
        <f t="shared" si="5"/>
        <v>274834.19800000003</v>
      </c>
      <c r="Q348" s="16">
        <f>SUMIF($D$6:$D$338,$D$348,Q6:Q338)</f>
        <v>0</v>
      </c>
      <c r="R348" s="16">
        <f t="shared" si="5"/>
        <v>0</v>
      </c>
      <c r="S348" s="16">
        <f t="shared" si="5"/>
        <v>2524.1460000000002</v>
      </c>
      <c r="T348" s="16">
        <f t="shared" si="5"/>
        <v>0</v>
      </c>
      <c r="U348" s="16">
        <f t="shared" si="5"/>
        <v>183.88499999999999</v>
      </c>
      <c r="V348" s="16">
        <f t="shared" si="5"/>
        <v>0.151</v>
      </c>
      <c r="W348" s="16">
        <f t="shared" si="5"/>
        <v>0</v>
      </c>
      <c r="X348" s="16">
        <f t="shared" si="5"/>
        <v>0.44700000000000001</v>
      </c>
      <c r="Y348" s="16">
        <f t="shared" si="5"/>
        <v>2146.116</v>
      </c>
      <c r="Z348" s="16">
        <f t="shared" si="5"/>
        <v>6413.7250000000004</v>
      </c>
      <c r="AA348" s="16">
        <f t="shared" si="5"/>
        <v>22360.214999999997</v>
      </c>
      <c r="AB348" s="16">
        <f t="shared" si="5"/>
        <v>0</v>
      </c>
      <c r="AC348" s="16">
        <f t="shared" si="5"/>
        <v>212018.73500000002</v>
      </c>
      <c r="AD348" s="16">
        <f t="shared" si="5"/>
        <v>0</v>
      </c>
      <c r="AE348" s="16">
        <f t="shared" si="5"/>
        <v>55671.932000000001</v>
      </c>
      <c r="AF348" s="16">
        <f t="shared" si="5"/>
        <v>0</v>
      </c>
      <c r="AG348" s="16">
        <f t="shared" si="5"/>
        <v>9546.880000000001</v>
      </c>
      <c r="AH348" s="16">
        <f t="shared" si="5"/>
        <v>0</v>
      </c>
      <c r="AI348" s="16">
        <f t="shared" si="5"/>
        <v>633414.90500000003</v>
      </c>
      <c r="AJ348" s="16">
        <f t="shared" si="5"/>
        <v>13321.892</v>
      </c>
      <c r="AK348" s="16">
        <f t="shared" si="5"/>
        <v>1964.9359999999999</v>
      </c>
      <c r="AL348" s="16">
        <f t="shared" si="5"/>
        <v>1422234.8959999999</v>
      </c>
      <c r="AM348" s="16">
        <f t="shared" si="5"/>
        <v>89459.22</v>
      </c>
      <c r="AN348" s="16">
        <f t="shared" si="5"/>
        <v>28.957000000000001</v>
      </c>
      <c r="AO348" s="16">
        <f t="shared" si="5"/>
        <v>88.802000000000007</v>
      </c>
      <c r="AP348" s="16">
        <f t="shared" si="5"/>
        <v>384.649</v>
      </c>
      <c r="AQ348" s="16">
        <f t="shared" si="5"/>
        <v>0</v>
      </c>
      <c r="AR348" s="16">
        <f t="shared" si="5"/>
        <v>117.277</v>
      </c>
      <c r="AS348" s="16">
        <f>SUMIF($D$6:$D$338,$D$348,AS6:AS338)</f>
        <v>567.84900000000005</v>
      </c>
      <c r="AT348" s="16">
        <f>SUMIF($D$6:$D$338,$D$348,AT6:AT338)</f>
        <v>647.41899999999998</v>
      </c>
      <c r="AU348" s="16">
        <f>SUMIF($D$6:$D$338,$D$348,AU6:AU338)</f>
        <v>3.0000000000000001E-3</v>
      </c>
      <c r="AV348" s="16">
        <f>SUMIF($D$6:$D$338,$D$348,AV6:AV338)</f>
        <v>0</v>
      </c>
      <c r="AW348" s="16">
        <f t="shared" si="5"/>
        <v>0</v>
      </c>
      <c r="AX348" s="16">
        <f t="shared" si="5"/>
        <v>2269.393</v>
      </c>
      <c r="AY348" s="16">
        <f t="shared" si="5"/>
        <v>0</v>
      </c>
      <c r="AZ348" s="16">
        <f t="shared" si="5"/>
        <v>1E-3</v>
      </c>
      <c r="BA348" s="16">
        <f t="shared" si="5"/>
        <v>0</v>
      </c>
      <c r="BB348" s="16">
        <f t="shared" si="5"/>
        <v>77.673000000000002</v>
      </c>
      <c r="BC348" s="16">
        <f t="shared" si="5"/>
        <v>0</v>
      </c>
      <c r="BD348" s="16">
        <f t="shared" si="5"/>
        <v>0</v>
      </c>
      <c r="BE348" s="16">
        <f t="shared" si="5"/>
        <v>0</v>
      </c>
      <c r="BF348" s="16">
        <f t="shared" si="5"/>
        <v>0</v>
      </c>
      <c r="BG348" s="21"/>
    </row>
    <row r="349" spans="1:59" x14ac:dyDescent="0.25">
      <c r="A349" t="s">
        <v>613</v>
      </c>
      <c r="B349">
        <v>7</v>
      </c>
      <c r="D349">
        <v>6</v>
      </c>
      <c r="E349" s="16">
        <f t="shared" ref="E349:BF349" si="6">SUMIF($D$6:$D$338,$D$349,E6:E338)+SUMIF($D$6:$D$338,$B$349,E6:E338)</f>
        <v>1089699.1719999996</v>
      </c>
      <c r="F349" s="16">
        <f t="shared" si="6"/>
        <v>58767.138000000014</v>
      </c>
      <c r="G349" s="16">
        <f t="shared" si="6"/>
        <v>66158.638999999996</v>
      </c>
      <c r="H349" s="16">
        <f t="shared" si="6"/>
        <v>17372.616000000005</v>
      </c>
      <c r="I349" s="16">
        <f t="shared" si="6"/>
        <v>9989.0330000000013</v>
      </c>
      <c r="J349" s="16">
        <f t="shared" si="6"/>
        <v>45270.714</v>
      </c>
      <c r="K349" s="16">
        <f t="shared" si="6"/>
        <v>1008916.3940000001</v>
      </c>
      <c r="L349" s="16">
        <f t="shared" si="6"/>
        <v>85054.258000000002</v>
      </c>
      <c r="M349" s="16">
        <f t="shared" si="6"/>
        <v>7953.9519999999993</v>
      </c>
      <c r="N349" s="16">
        <f t="shared" si="6"/>
        <v>478152.10200000013</v>
      </c>
      <c r="O349" s="16">
        <f t="shared" si="6"/>
        <v>1939222.1790000002</v>
      </c>
      <c r="P349" s="16">
        <f t="shared" si="6"/>
        <v>472336.08899999998</v>
      </c>
      <c r="Q349" s="16">
        <f>SUMIF($D$6:$D$338,$D$349,Q6:Q338)+SUMIF($D$6:$D$338,$B$349,Q6:Q338)</f>
        <v>-3.722</v>
      </c>
      <c r="R349" s="16">
        <f t="shared" si="6"/>
        <v>3.2889999999996693</v>
      </c>
      <c r="S349" s="16">
        <f t="shared" si="6"/>
        <v>1451.4699999999996</v>
      </c>
      <c r="T349" s="16">
        <f t="shared" si="6"/>
        <v>53.349999999999895</v>
      </c>
      <c r="U349" s="16">
        <f t="shared" si="6"/>
        <v>968.12400000000002</v>
      </c>
      <c r="V349" s="16">
        <f t="shared" si="6"/>
        <v>7151.0809999999983</v>
      </c>
      <c r="W349" s="16">
        <f t="shared" si="6"/>
        <v>-1.782</v>
      </c>
      <c r="X349" s="16">
        <f t="shared" si="6"/>
        <v>862.70699999999988</v>
      </c>
      <c r="Y349" s="16">
        <f t="shared" si="6"/>
        <v>6029.3060000000005</v>
      </c>
      <c r="Z349" s="16">
        <f t="shared" si="6"/>
        <v>4313.88</v>
      </c>
      <c r="AA349" s="16">
        <f t="shared" si="6"/>
        <v>13911.749999999998</v>
      </c>
      <c r="AB349" s="16">
        <f t="shared" si="6"/>
        <v>2191.2029999999945</v>
      </c>
      <c r="AC349" s="16">
        <f t="shared" si="6"/>
        <v>230627.43100000001</v>
      </c>
      <c r="AD349" s="16">
        <f t="shared" si="6"/>
        <v>1089.4499999999955</v>
      </c>
      <c r="AE349" s="16">
        <f t="shared" si="6"/>
        <v>50465.065999999992</v>
      </c>
      <c r="AF349" s="16">
        <f t="shared" si="6"/>
        <v>914.8879999999823</v>
      </c>
      <c r="AG349" s="16">
        <f t="shared" si="6"/>
        <v>6579.155999999999</v>
      </c>
      <c r="AH349" s="16">
        <f t="shared" si="6"/>
        <v>72.402000000000157</v>
      </c>
      <c r="AI349" s="16">
        <f t="shared" si="6"/>
        <v>864070.12899999984</v>
      </c>
      <c r="AJ349" s="16">
        <f t="shared" si="6"/>
        <v>13938.672000000015</v>
      </c>
      <c r="AK349" s="16">
        <f t="shared" si="6"/>
        <v>-139.51699999999835</v>
      </c>
      <c r="AL349" s="16">
        <f t="shared" si="6"/>
        <v>2531616.8570000003</v>
      </c>
      <c r="AM349" s="16">
        <f t="shared" si="6"/>
        <v>26414.253999999975</v>
      </c>
      <c r="AN349" s="16">
        <f t="shared" si="6"/>
        <v>8539.8140000000149</v>
      </c>
      <c r="AO349" s="16">
        <f t="shared" si="6"/>
        <v>41246.272999999746</v>
      </c>
      <c r="AP349" s="16">
        <f t="shared" si="6"/>
        <v>1831.0679999999975</v>
      </c>
      <c r="AQ349" s="16">
        <f t="shared" si="6"/>
        <v>900.1420000000021</v>
      </c>
      <c r="AR349" s="16">
        <f t="shared" si="6"/>
        <v>27787.557000000266</v>
      </c>
      <c r="AS349" s="16">
        <f>SUMIF($D$6:$D$338,$D$349,AS6:AS338)+SUMIF($D$6:$D$338,$B$349,AS6:AS338)</f>
        <v>42.730000000000089</v>
      </c>
      <c r="AT349" s="16">
        <f>SUMIF($D$6:$D$338,$D$349,AT6:AT338)+SUMIF($D$6:$D$338,$B$349,AT6:AT338)</f>
        <v>5996.6239999997479</v>
      </c>
      <c r="AU349" s="16">
        <f>SUMIF($D$6:$D$338,$D$349,AU6:AU338)+SUMIF($D$6:$D$338,$B$349,AU6:AU338)</f>
        <v>116.58900000000006</v>
      </c>
      <c r="AV349" s="16">
        <f>SUMIF($D$6:$D$338,$D$349,AV6:AV338)+SUMIF($D$6:$D$338,$B$349,AV6:AV338)</f>
        <v>196.17800000000034</v>
      </c>
      <c r="AW349" s="16">
        <f t="shared" si="6"/>
        <v>-2.5219999999999985</v>
      </c>
      <c r="AX349" s="16">
        <f t="shared" si="6"/>
        <v>1393.1780000000026</v>
      </c>
      <c r="AY349" s="16">
        <f t="shared" si="6"/>
        <v>-82.460999999999999</v>
      </c>
      <c r="AZ349" s="16">
        <f t="shared" si="6"/>
        <v>184.61600000000001</v>
      </c>
      <c r="BA349" s="16">
        <f t="shared" si="6"/>
        <v>0</v>
      </c>
      <c r="BB349" s="16">
        <f t="shared" si="6"/>
        <v>891.43699999999978</v>
      </c>
      <c r="BC349" s="16">
        <f t="shared" si="6"/>
        <v>8.8579999999999988</v>
      </c>
      <c r="BD349" s="16">
        <f t="shared" si="6"/>
        <v>1.7570000000000019</v>
      </c>
      <c r="BE349" s="16">
        <f t="shared" si="6"/>
        <v>-469.21199999999908</v>
      </c>
      <c r="BF349" s="16">
        <f t="shared" si="6"/>
        <v>192.8290000000012</v>
      </c>
      <c r="BG349" s="21"/>
    </row>
    <row r="350" spans="1:59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21"/>
    </row>
    <row r="351" spans="1:59" x14ac:dyDescent="0.25">
      <c r="E351">
        <f t="shared" ref="E351:P351" si="7">SUM(E344:E350)</f>
        <v>5510886.3299999991</v>
      </c>
      <c r="F351">
        <f t="shared" si="7"/>
        <v>894450.625</v>
      </c>
      <c r="G351">
        <f t="shared" si="7"/>
        <v>1060443.8500000003</v>
      </c>
      <c r="H351">
        <f t="shared" si="7"/>
        <v>1073523.3799999999</v>
      </c>
      <c r="I351">
        <f t="shared" si="7"/>
        <v>147902.58000000002</v>
      </c>
      <c r="J351">
        <f t="shared" si="7"/>
        <v>739050.03600000008</v>
      </c>
      <c r="K351">
        <f t="shared" si="7"/>
        <v>4385432.7310000006</v>
      </c>
      <c r="L351">
        <f t="shared" si="7"/>
        <v>857269.54099999985</v>
      </c>
      <c r="M351">
        <f t="shared" si="7"/>
        <v>301332.59900000005</v>
      </c>
      <c r="N351">
        <f t="shared" si="7"/>
        <v>2416856.2039999999</v>
      </c>
      <c r="O351" s="17">
        <f t="shared" si="7"/>
        <v>8663963.8780000024</v>
      </c>
      <c r="P351">
        <f t="shared" si="7"/>
        <v>2472275.09</v>
      </c>
      <c r="Q351">
        <f>SUM(Q344:Q350)</f>
        <v>16402.177</v>
      </c>
      <c r="R351">
        <f t="shared" ref="R351:AR351" si="8">SUM(R344:R350)</f>
        <v>6102.0169999999989</v>
      </c>
      <c r="S351">
        <f t="shared" si="8"/>
        <v>22876.246000000003</v>
      </c>
      <c r="T351">
        <f t="shared" si="8"/>
        <v>11248.365</v>
      </c>
      <c r="U351">
        <f t="shared" si="8"/>
        <v>21166.649999999998</v>
      </c>
      <c r="V351">
        <f t="shared" si="8"/>
        <v>267787.40299999999</v>
      </c>
      <c r="W351">
        <f t="shared" si="8"/>
        <v>2671.7039999999997</v>
      </c>
      <c r="X351">
        <f t="shared" si="8"/>
        <v>132544.83599999998</v>
      </c>
      <c r="Y351">
        <f t="shared" si="8"/>
        <v>219576.60700000002</v>
      </c>
      <c r="Z351">
        <f t="shared" si="8"/>
        <v>81735.430000000008</v>
      </c>
      <c r="AA351">
        <f t="shared" si="8"/>
        <v>231668.18100000004</v>
      </c>
      <c r="AB351">
        <f t="shared" si="8"/>
        <v>207319.34400000001</v>
      </c>
      <c r="AC351">
        <f t="shared" si="8"/>
        <v>1649305.8319999999</v>
      </c>
      <c r="AD351">
        <f t="shared" si="8"/>
        <v>100610.538</v>
      </c>
      <c r="AE351">
        <f t="shared" si="8"/>
        <v>837646.07400000002</v>
      </c>
      <c r="AF351">
        <f t="shared" si="8"/>
        <v>204111.77999999997</v>
      </c>
      <c r="AG351">
        <f t="shared" si="8"/>
        <v>142482.83599999998</v>
      </c>
      <c r="AH351">
        <f t="shared" si="8"/>
        <v>49537.186999999998</v>
      </c>
      <c r="AI351">
        <f t="shared" si="8"/>
        <v>4271247.550999999</v>
      </c>
      <c r="AJ351">
        <f t="shared" si="8"/>
        <v>930975.61800000025</v>
      </c>
      <c r="AK351">
        <f t="shared" si="8"/>
        <v>203677.261</v>
      </c>
      <c r="AL351">
        <f t="shared" si="8"/>
        <v>13493792.33</v>
      </c>
      <c r="AM351">
        <f t="shared" si="8"/>
        <v>1806432.1710000001</v>
      </c>
      <c r="AN351">
        <f t="shared" si="8"/>
        <v>595145.92300000007</v>
      </c>
      <c r="AO351">
        <f t="shared" si="8"/>
        <v>7775602.8600000003</v>
      </c>
      <c r="AP351">
        <f t="shared" si="8"/>
        <v>323952.62299999996</v>
      </c>
      <c r="AQ351">
        <f t="shared" si="8"/>
        <v>211052.51799999998</v>
      </c>
      <c r="AR351">
        <f t="shared" si="8"/>
        <v>4748583.1349999998</v>
      </c>
      <c r="AS351">
        <f>SUM(AS344:AS350)</f>
        <v>41483.255000000012</v>
      </c>
      <c r="AT351">
        <f>SUM(AT344:AT350)</f>
        <v>2499440.2289999998</v>
      </c>
      <c r="AU351">
        <f>SUM(AU344:AU350)</f>
        <v>8507.6830000000009</v>
      </c>
      <c r="AV351">
        <f>SUM(AV344:AV350)</f>
        <v>34844.313000000002</v>
      </c>
      <c r="AW351">
        <f>SUM(AW344:AW350)</f>
        <v>35093.833000000006</v>
      </c>
      <c r="AX351">
        <f t="shared" ref="AX351:BF351" si="9">SUM(AX344:AX350)</f>
        <v>271870.97600000002</v>
      </c>
      <c r="AY351">
        <f t="shared" si="9"/>
        <v>15517.814</v>
      </c>
      <c r="AZ351">
        <f t="shared" si="9"/>
        <v>3235.8450000000003</v>
      </c>
      <c r="BA351">
        <f t="shared" si="9"/>
        <v>0</v>
      </c>
      <c r="BB351">
        <f t="shared" si="9"/>
        <v>74747.289000000004</v>
      </c>
      <c r="BC351">
        <f t="shared" si="9"/>
        <v>60570.483</v>
      </c>
      <c r="BD351">
        <f t="shared" si="9"/>
        <v>53470.045999999995</v>
      </c>
      <c r="BE351">
        <f t="shared" si="9"/>
        <v>374172.14400000003</v>
      </c>
      <c r="BF351">
        <f t="shared" si="9"/>
        <v>34380.429999999993</v>
      </c>
      <c r="BG351" s="21"/>
    </row>
    <row r="352" spans="1:59" x14ac:dyDescent="0.25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21"/>
    </row>
    <row r="353" spans="1:59" x14ac:dyDescent="0.25">
      <c r="A353" s="8"/>
      <c r="B353" s="8"/>
      <c r="C353" s="8"/>
      <c r="D353" s="8"/>
      <c r="E353" s="8">
        <f t="shared" ref="E353:AT353" si="10">E351-E339</f>
        <v>5510886.3299999991</v>
      </c>
      <c r="F353" s="8">
        <f t="shared" si="10"/>
        <v>894450.625</v>
      </c>
      <c r="G353" s="8">
        <f t="shared" si="10"/>
        <v>1060443.8500000003</v>
      </c>
      <c r="H353" s="8">
        <f t="shared" si="10"/>
        <v>1073523.3799999999</v>
      </c>
      <c r="I353" s="8">
        <f t="shared" si="10"/>
        <v>147902.58000000002</v>
      </c>
      <c r="J353" s="8">
        <f t="shared" si="10"/>
        <v>739050.03600000008</v>
      </c>
      <c r="K353" s="8">
        <f t="shared" si="10"/>
        <v>4385432.7310000006</v>
      </c>
      <c r="L353" s="8">
        <f t="shared" si="10"/>
        <v>857269.54099999985</v>
      </c>
      <c r="M353" s="8">
        <f t="shared" si="10"/>
        <v>301332.59900000005</v>
      </c>
      <c r="N353" s="8">
        <f t="shared" si="10"/>
        <v>2416856.2039999999</v>
      </c>
      <c r="O353" s="18">
        <f t="shared" si="10"/>
        <v>8663963.8780000024</v>
      </c>
      <c r="P353" s="8">
        <f t="shared" si="10"/>
        <v>2472275.09</v>
      </c>
      <c r="Q353" s="8">
        <f>Q351-Q339</f>
        <v>16402.177</v>
      </c>
      <c r="R353" s="8">
        <f t="shared" si="10"/>
        <v>6102.0169999999989</v>
      </c>
      <c r="S353" s="8">
        <f t="shared" si="10"/>
        <v>22876.246000000003</v>
      </c>
      <c r="T353" s="8">
        <f t="shared" si="10"/>
        <v>11248.365</v>
      </c>
      <c r="U353" s="8">
        <f t="shared" si="10"/>
        <v>21166.649999999998</v>
      </c>
      <c r="V353" s="8">
        <f t="shared" si="10"/>
        <v>267787.40299999999</v>
      </c>
      <c r="W353" s="8">
        <f t="shared" si="10"/>
        <v>2671.7039999999997</v>
      </c>
      <c r="X353" s="8">
        <f t="shared" si="10"/>
        <v>132544.83599999998</v>
      </c>
      <c r="Y353" s="8">
        <f t="shared" si="10"/>
        <v>219576.60700000002</v>
      </c>
      <c r="Z353" s="8">
        <f t="shared" si="10"/>
        <v>81735.430000000008</v>
      </c>
      <c r="AA353" s="8">
        <f t="shared" si="10"/>
        <v>231668.18100000004</v>
      </c>
      <c r="AB353" s="8">
        <f t="shared" si="10"/>
        <v>207319.34400000001</v>
      </c>
      <c r="AC353" s="8">
        <f t="shared" si="10"/>
        <v>1649305.8319999999</v>
      </c>
      <c r="AD353" s="8">
        <f t="shared" si="10"/>
        <v>100610.538</v>
      </c>
      <c r="AE353" s="8">
        <f t="shared" si="10"/>
        <v>837646.07400000002</v>
      </c>
      <c r="AF353" s="8">
        <f t="shared" si="10"/>
        <v>204111.77999999997</v>
      </c>
      <c r="AG353" s="8">
        <f t="shared" si="10"/>
        <v>142482.83599999998</v>
      </c>
      <c r="AH353" s="8">
        <f t="shared" si="10"/>
        <v>49537.186999999998</v>
      </c>
      <c r="AI353" s="8">
        <f t="shared" si="10"/>
        <v>4271247.550999999</v>
      </c>
      <c r="AJ353" s="8">
        <f t="shared" si="10"/>
        <v>930975.61800000025</v>
      </c>
      <c r="AK353" s="8">
        <f t="shared" si="10"/>
        <v>203677.261</v>
      </c>
      <c r="AL353" s="8">
        <f t="shared" si="10"/>
        <v>13493792.33</v>
      </c>
      <c r="AM353" s="8">
        <f t="shared" si="10"/>
        <v>1806432.1710000001</v>
      </c>
      <c r="AN353" s="8">
        <f t="shared" si="10"/>
        <v>595145.92300000007</v>
      </c>
      <c r="AO353" s="8">
        <f t="shared" si="10"/>
        <v>7775602.8600000003</v>
      </c>
      <c r="AP353" s="8">
        <f t="shared" si="10"/>
        <v>323952.62299999996</v>
      </c>
      <c r="AQ353" s="8">
        <f t="shared" si="10"/>
        <v>211052.51799999998</v>
      </c>
      <c r="AR353" s="8">
        <f t="shared" si="10"/>
        <v>4748583.1349999998</v>
      </c>
      <c r="AS353" s="8">
        <f t="shared" si="10"/>
        <v>41483.255000000012</v>
      </c>
      <c r="AT353" s="8">
        <f t="shared" si="10"/>
        <v>2499440.2289999998</v>
      </c>
      <c r="AU353" s="8">
        <f>AU351-AU339</f>
        <v>8507.6830000000009</v>
      </c>
      <c r="AV353" s="8">
        <f>AV351-AV339</f>
        <v>34844.313000000002</v>
      </c>
      <c r="AW353" s="8">
        <f t="shared" ref="AW353:BF353" si="11">AW351-AW339</f>
        <v>35093.833000000006</v>
      </c>
      <c r="AX353" s="8">
        <f t="shared" si="11"/>
        <v>271870.97600000002</v>
      </c>
      <c r="AY353" s="8">
        <f t="shared" si="11"/>
        <v>15517.814</v>
      </c>
      <c r="AZ353" s="8">
        <f t="shared" si="11"/>
        <v>3235.8450000000003</v>
      </c>
      <c r="BA353" s="8">
        <f t="shared" si="11"/>
        <v>0</v>
      </c>
      <c r="BB353" s="8">
        <f t="shared" si="11"/>
        <v>74747.289000000004</v>
      </c>
      <c r="BC353" s="8">
        <f t="shared" si="11"/>
        <v>60570.483</v>
      </c>
      <c r="BD353" s="8">
        <f t="shared" si="11"/>
        <v>53470.045999999995</v>
      </c>
      <c r="BE353" s="8">
        <f t="shared" si="11"/>
        <v>374172.14400000003</v>
      </c>
      <c r="BF353" s="8">
        <f t="shared" si="11"/>
        <v>34380.429999999993</v>
      </c>
      <c r="BG353" s="21"/>
    </row>
    <row r="354" spans="1:59" x14ac:dyDescent="0.25">
      <c r="E354" s="19">
        <f t="shared" ref="E354:P354" si="12">E4</f>
        <v>401</v>
      </c>
      <c r="F354" s="19">
        <f t="shared" si="12"/>
        <v>242</v>
      </c>
      <c r="G354" s="19">
        <f t="shared" si="12"/>
        <v>385</v>
      </c>
      <c r="H354" s="19">
        <f t="shared" si="12"/>
        <v>528</v>
      </c>
      <c r="I354" s="19">
        <f t="shared" si="12"/>
        <v>384</v>
      </c>
      <c r="J354" s="19">
        <f t="shared" si="12"/>
        <v>716</v>
      </c>
      <c r="K354" s="19">
        <f t="shared" si="12"/>
        <v>686</v>
      </c>
      <c r="L354" s="19">
        <f t="shared" si="12"/>
        <v>1190</v>
      </c>
      <c r="M354" s="19">
        <f t="shared" si="12"/>
        <v>715</v>
      </c>
      <c r="N354" s="19">
        <f t="shared" si="12"/>
        <v>211</v>
      </c>
      <c r="O354" s="19">
        <f t="shared" si="12"/>
        <v>9916</v>
      </c>
      <c r="P354" s="19">
        <f t="shared" si="12"/>
        <v>1100</v>
      </c>
      <c r="Q354" s="19">
        <f>Q4</f>
        <v>801</v>
      </c>
      <c r="R354" s="19">
        <f t="shared" ref="R354:W354" si="13">R4</f>
        <v>804</v>
      </c>
      <c r="S354" s="19">
        <f t="shared" si="13"/>
        <v>806</v>
      </c>
      <c r="T354" s="19">
        <f t="shared" si="13"/>
        <v>8765</v>
      </c>
      <c r="U354" s="19">
        <f t="shared" si="13"/>
        <v>8766</v>
      </c>
      <c r="V354" s="19">
        <f t="shared" si="13"/>
        <v>9418</v>
      </c>
      <c r="W354" s="19">
        <f t="shared" si="13"/>
        <v>9475</v>
      </c>
      <c r="X354" s="19">
        <f>X4</f>
        <v>9905</v>
      </c>
      <c r="Y354" s="19">
        <f>Y4</f>
        <v>9906</v>
      </c>
      <c r="Z354" s="19">
        <f>Z4</f>
        <v>7905</v>
      </c>
      <c r="AA354" s="19">
        <f t="shared" ref="AA354:AT354" si="14">AA4</f>
        <v>7906</v>
      </c>
      <c r="AB354" s="19">
        <f t="shared" si="14"/>
        <v>7907</v>
      </c>
      <c r="AC354" s="19">
        <f t="shared" si="14"/>
        <v>7908</v>
      </c>
      <c r="AD354" s="19">
        <f t="shared" si="14"/>
        <v>7909</v>
      </c>
      <c r="AE354" s="19">
        <f t="shared" si="14"/>
        <v>11310</v>
      </c>
      <c r="AF354" s="19">
        <f t="shared" si="14"/>
        <v>11311</v>
      </c>
      <c r="AG354" s="19">
        <f t="shared" si="14"/>
        <v>11312</v>
      </c>
      <c r="AH354" s="19">
        <f t="shared" si="14"/>
        <v>11335</v>
      </c>
      <c r="AI354" s="19">
        <f t="shared" si="14"/>
        <v>9529</v>
      </c>
      <c r="AJ354" s="19">
        <f t="shared" si="14"/>
        <v>961</v>
      </c>
      <c r="AK354" s="19">
        <f t="shared" si="14"/>
        <v>9528</v>
      </c>
      <c r="AL354" s="19">
        <f t="shared" si="14"/>
        <v>964</v>
      </c>
      <c r="AM354" s="19">
        <f t="shared" si="14"/>
        <v>968</v>
      </c>
      <c r="AN354" s="19">
        <f t="shared" si="14"/>
        <v>8629</v>
      </c>
      <c r="AO354" s="19">
        <f t="shared" si="14"/>
        <v>13264</v>
      </c>
      <c r="AP354" s="19">
        <f t="shared" si="14"/>
        <v>9917</v>
      </c>
      <c r="AQ354" s="19">
        <f t="shared" si="14"/>
        <v>8624</v>
      </c>
      <c r="AR354" s="19">
        <f t="shared" si="14"/>
        <v>13263</v>
      </c>
      <c r="AS354" s="19">
        <f t="shared" si="14"/>
        <v>13209</v>
      </c>
      <c r="AT354" s="19">
        <f t="shared" si="14"/>
        <v>13250</v>
      </c>
      <c r="AU354" s="19">
        <f>AU4</f>
        <v>14281</v>
      </c>
      <c r="AV354" s="19">
        <f>AV4</f>
        <v>14282</v>
      </c>
      <c r="AW354" s="19">
        <f t="shared" ref="AW354:BF354" si="15">AW4</f>
        <v>2049</v>
      </c>
      <c r="AX354" s="19">
        <f t="shared" si="15"/>
        <v>7975</v>
      </c>
      <c r="AY354" s="19">
        <f t="shared" si="15"/>
        <v>8004</v>
      </c>
      <c r="AZ354" s="19">
        <f t="shared" si="15"/>
        <v>1008</v>
      </c>
      <c r="BA354" s="19">
        <f t="shared" si="15"/>
        <v>9484</v>
      </c>
      <c r="BB354" s="19">
        <f t="shared" si="15"/>
        <v>682</v>
      </c>
      <c r="BC354" s="19">
        <f t="shared" si="15"/>
        <v>11352</v>
      </c>
      <c r="BD354" s="19">
        <f t="shared" si="15"/>
        <v>2058</v>
      </c>
      <c r="BE354" s="19">
        <f t="shared" si="15"/>
        <v>12088</v>
      </c>
      <c r="BF354" s="19">
        <f t="shared" si="15"/>
        <v>15007</v>
      </c>
      <c r="BG354" s="21"/>
    </row>
    <row r="355" spans="1:59" x14ac:dyDescent="0.25">
      <c r="A355" t="s">
        <v>608</v>
      </c>
      <c r="E355" s="20">
        <f t="shared" ref="E355:AR355" si="16">E344/E351</f>
        <v>0.10882108377655468</v>
      </c>
      <c r="F355" s="20">
        <f t="shared" si="16"/>
        <v>0.1750313517864667</v>
      </c>
      <c r="G355" s="20">
        <f t="shared" si="16"/>
        <v>3.1541466339778376E-2</v>
      </c>
      <c r="H355" s="20">
        <f t="shared" si="16"/>
        <v>1.1718589678037569E-2</v>
      </c>
      <c r="I355" s="20">
        <f t="shared" si="16"/>
        <v>8.8107712522661877E-2</v>
      </c>
      <c r="J355" s="20">
        <f t="shared" si="16"/>
        <v>3.8774313786786689E-2</v>
      </c>
      <c r="K355" s="20">
        <f t="shared" si="16"/>
        <v>0.15694250606896379</v>
      </c>
      <c r="L355" s="20">
        <f t="shared" si="16"/>
        <v>9.9632926302697142E-2</v>
      </c>
      <c r="M355" s="20">
        <f t="shared" si="16"/>
        <v>5.8010909068620213E-2</v>
      </c>
      <c r="N355" s="20">
        <f t="shared" si="16"/>
        <v>5.8769507165929845E-2</v>
      </c>
      <c r="O355" s="20">
        <f t="shared" si="16"/>
        <v>0.19499669190564459</v>
      </c>
      <c r="P355" s="20">
        <f t="shared" si="16"/>
        <v>6.1841092691671304E-2</v>
      </c>
      <c r="Q355" s="20">
        <f>Q344/Q351</f>
        <v>4.247954402638137E-2</v>
      </c>
      <c r="R355" s="20">
        <f t="shared" si="16"/>
        <v>0.75963505181975077</v>
      </c>
      <c r="S355" s="20">
        <f t="shared" si="16"/>
        <v>3.2134031081847952E-2</v>
      </c>
      <c r="T355" s="20">
        <f t="shared" si="16"/>
        <v>0.41539210365239748</v>
      </c>
      <c r="U355" s="20">
        <f t="shared" si="16"/>
        <v>6.3027403958585804E-2</v>
      </c>
      <c r="V355" s="20">
        <f t="shared" si="16"/>
        <v>0.20973943647379109</v>
      </c>
      <c r="W355" s="20">
        <f t="shared" si="16"/>
        <v>9.1892664756275406E-3</v>
      </c>
      <c r="X355" s="20">
        <f t="shared" si="16"/>
        <v>0.56974965060125016</v>
      </c>
      <c r="Y355" s="20">
        <f t="shared" si="16"/>
        <v>3.2345016607347427E-2</v>
      </c>
      <c r="Z355" s="20">
        <f t="shared" si="16"/>
        <v>8.1972872718721862E-2</v>
      </c>
      <c r="AA355" s="20">
        <f t="shared" si="16"/>
        <v>7.6960396214273377E-2</v>
      </c>
      <c r="AB355" s="20">
        <f t="shared" si="16"/>
        <v>0.87161215404964809</v>
      </c>
      <c r="AC355" s="20">
        <f t="shared" si="16"/>
        <v>0.17992611027158484</v>
      </c>
      <c r="AD355" s="20">
        <f t="shared" si="16"/>
        <v>0.58270384161945343</v>
      </c>
      <c r="AE355" s="20">
        <f t="shared" si="16"/>
        <v>6.92333609624248E-2</v>
      </c>
      <c r="AF355" s="20">
        <f t="shared" si="16"/>
        <v>0.78729595126748697</v>
      </c>
      <c r="AG355" s="20">
        <f t="shared" si="16"/>
        <v>0.19438361684490899</v>
      </c>
      <c r="AH355" s="20">
        <f t="shared" si="16"/>
        <v>0.27918510996597368</v>
      </c>
      <c r="AI355" s="20">
        <f t="shared" si="16"/>
        <v>0.17800512611871325</v>
      </c>
      <c r="AJ355" s="20">
        <f t="shared" si="16"/>
        <v>0.34638861938487409</v>
      </c>
      <c r="AK355" s="20">
        <f t="shared" si="16"/>
        <v>0.29702452646395316</v>
      </c>
      <c r="AL355" s="20">
        <f t="shared" si="16"/>
        <v>0.16350653382257882</v>
      </c>
      <c r="AM355" s="20">
        <f t="shared" si="16"/>
        <v>0.33235610815525046</v>
      </c>
      <c r="AN355" s="20">
        <f t="shared" si="16"/>
        <v>0.56374581767907028</v>
      </c>
      <c r="AO355" s="20">
        <f t="shared" si="16"/>
        <v>0.77742651673956509</v>
      </c>
      <c r="AP355" s="20">
        <f t="shared" si="16"/>
        <v>0.4782068796522756</v>
      </c>
      <c r="AQ355" s="20">
        <f t="shared" si="16"/>
        <v>0.34697477999291154</v>
      </c>
      <c r="AR355" s="20">
        <f t="shared" si="16"/>
        <v>0.77672511192120053</v>
      </c>
      <c r="AS355" s="20">
        <f>AS344/AS351</f>
        <v>7.9433255659422081E-2</v>
      </c>
      <c r="AT355" s="20">
        <f>AT344/AT351</f>
        <v>0.77953150605226984</v>
      </c>
      <c r="AU355" s="20">
        <f>AU344/AU351</f>
        <v>0.24425886578049505</v>
      </c>
      <c r="AV355" s="20">
        <f>AV344/AV351</f>
        <v>0.47570945077895482</v>
      </c>
      <c r="AW355" s="20">
        <f>AW344/AW351</f>
        <v>0.12578389485126915</v>
      </c>
      <c r="AX355" s="20">
        <f t="shared" ref="AX355:BF355" si="17">AX344/AX351</f>
        <v>0.35823631647977011</v>
      </c>
      <c r="AY355" s="20">
        <f t="shared" si="17"/>
        <v>0.12950251884704894</v>
      </c>
      <c r="AZ355" s="20">
        <f t="shared" si="17"/>
        <v>0.16055589807299173</v>
      </c>
      <c r="BA355" s="20" t="e">
        <f t="shared" si="17"/>
        <v>#DIV/0!</v>
      </c>
      <c r="BB355" s="20">
        <f t="shared" si="17"/>
        <v>0.14480986728495263</v>
      </c>
      <c r="BC355" s="20">
        <f t="shared" si="17"/>
        <v>0.1256223431469087</v>
      </c>
      <c r="BD355" s="20">
        <f t="shared" si="17"/>
        <v>0.12313017273259874</v>
      </c>
      <c r="BE355" s="20">
        <f t="shared" si="17"/>
        <v>0.30089430975920001</v>
      </c>
      <c r="BF355" s="20">
        <f t="shared" si="17"/>
        <v>0.94361737185951444</v>
      </c>
      <c r="BG355" s="21"/>
    </row>
    <row r="356" spans="1:59" x14ac:dyDescent="0.25">
      <c r="A356" t="s">
        <v>609</v>
      </c>
      <c r="E356" s="20">
        <f t="shared" ref="E356:AR356" si="18">E345/E351</f>
        <v>0.24301443757051694</v>
      </c>
      <c r="F356" s="20">
        <f t="shared" si="18"/>
        <v>0.16633363747719446</v>
      </c>
      <c r="G356" s="20">
        <f t="shared" si="18"/>
        <v>0.34159544986752471</v>
      </c>
      <c r="H356" s="20">
        <f t="shared" si="18"/>
        <v>0</v>
      </c>
      <c r="I356" s="20">
        <f t="shared" si="18"/>
        <v>0.35649092125370624</v>
      </c>
      <c r="J356" s="20">
        <f t="shared" si="18"/>
        <v>0.34720480549438737</v>
      </c>
      <c r="K356" s="20">
        <f t="shared" si="18"/>
        <v>0.16250117484700277</v>
      </c>
      <c r="L356" s="20">
        <f t="shared" si="18"/>
        <v>0.18862345419548743</v>
      </c>
      <c r="M356" s="20">
        <f t="shared" si="18"/>
        <v>0.68174814036631992</v>
      </c>
      <c r="N356" s="20">
        <f t="shared" si="18"/>
        <v>0.24569747509893641</v>
      </c>
      <c r="O356" s="20">
        <f t="shared" si="18"/>
        <v>5.9330220928698087E-2</v>
      </c>
      <c r="P356" s="20">
        <f t="shared" si="18"/>
        <v>0.23763782209203907</v>
      </c>
      <c r="Q356" s="20">
        <f>Q345/Q351</f>
        <v>0.75752255325619278</v>
      </c>
      <c r="R356" s="20">
        <f t="shared" si="18"/>
        <v>0</v>
      </c>
      <c r="S356" s="20">
        <f t="shared" si="18"/>
        <v>0.78303490004435161</v>
      </c>
      <c r="T356" s="20">
        <f t="shared" si="18"/>
        <v>0.12684350125551583</v>
      </c>
      <c r="U356" s="20">
        <f t="shared" si="18"/>
        <v>0.18650220984425975</v>
      </c>
      <c r="V356" s="20">
        <f t="shared" si="18"/>
        <v>0.16659669387062245</v>
      </c>
      <c r="W356" s="20">
        <f t="shared" si="18"/>
        <v>0.99147772358015718</v>
      </c>
      <c r="X356" s="20">
        <f t="shared" si="18"/>
        <v>4.2518555758747183E-2</v>
      </c>
      <c r="Y356" s="20">
        <f t="shared" si="18"/>
        <v>0.71039065195137108</v>
      </c>
      <c r="Z356" s="20">
        <f t="shared" si="18"/>
        <v>0.28415915839679312</v>
      </c>
      <c r="AA356" s="20">
        <f t="shared" si="18"/>
        <v>0.2277061432100595</v>
      </c>
      <c r="AB356" s="20">
        <f t="shared" si="18"/>
        <v>0</v>
      </c>
      <c r="AC356" s="20">
        <f t="shared" si="18"/>
        <v>0.14296246543557969</v>
      </c>
      <c r="AD356" s="20">
        <f t="shared" si="18"/>
        <v>0</v>
      </c>
      <c r="AE356" s="20">
        <f t="shared" si="18"/>
        <v>0.32504213587467967</v>
      </c>
      <c r="AF356" s="20">
        <f t="shared" si="18"/>
        <v>1.5613993469656677E-5</v>
      </c>
      <c r="AG356" s="20">
        <f t="shared" si="18"/>
        <v>0.13186686570444181</v>
      </c>
      <c r="AH356" s="20">
        <f t="shared" si="18"/>
        <v>0.1407863752941805</v>
      </c>
      <c r="AI356" s="20">
        <f t="shared" si="18"/>
        <v>0.13396169834877364</v>
      </c>
      <c r="AJ356" s="20">
        <f t="shared" si="18"/>
        <v>1.1264471160403685E-2</v>
      </c>
      <c r="AK356" s="20">
        <f t="shared" si="18"/>
        <v>9.8767289491388036E-2</v>
      </c>
      <c r="AL356" s="20">
        <f t="shared" si="18"/>
        <v>0.1152819563957229</v>
      </c>
      <c r="AM356" s="20">
        <f t="shared" si="18"/>
        <v>1.0871654809562179E-2</v>
      </c>
      <c r="AN356" s="20">
        <f t="shared" si="18"/>
        <v>0</v>
      </c>
      <c r="AO356" s="20">
        <f t="shared" si="18"/>
        <v>0</v>
      </c>
      <c r="AP356" s="20">
        <f t="shared" si="18"/>
        <v>0.10259502050705731</v>
      </c>
      <c r="AQ356" s="20">
        <f t="shared" si="18"/>
        <v>0.19150483198688964</v>
      </c>
      <c r="AR356" s="20">
        <f t="shared" si="18"/>
        <v>0</v>
      </c>
      <c r="AS356" s="20">
        <f>AS345/AS351</f>
        <v>0.69162786285695266</v>
      </c>
      <c r="AT356" s="20">
        <f>AT345/AT351</f>
        <v>0</v>
      </c>
      <c r="AU356" s="20">
        <f>AU345/AU351</f>
        <v>0.17718055550494768</v>
      </c>
      <c r="AV356" s="20">
        <f>AV345/AV351</f>
        <v>0.15721876910013982</v>
      </c>
      <c r="AW356" s="20">
        <f>AW345/AW351</f>
        <v>0</v>
      </c>
      <c r="AX356" s="20">
        <f t="shared" ref="AX356:BF356" si="19">AX345/AX351</f>
        <v>1.1467557316600062E-2</v>
      </c>
      <c r="AY356" s="20">
        <f t="shared" si="19"/>
        <v>0</v>
      </c>
      <c r="AZ356" s="20">
        <f t="shared" si="19"/>
        <v>0.33739533259473181</v>
      </c>
      <c r="BA356" s="20" t="e">
        <f t="shared" si="19"/>
        <v>#DIV/0!</v>
      </c>
      <c r="BB356" s="20">
        <f t="shared" si="19"/>
        <v>0.3937817865207125</v>
      </c>
      <c r="BC356" s="20">
        <f t="shared" si="19"/>
        <v>0</v>
      </c>
      <c r="BD356" s="20">
        <f t="shared" si="19"/>
        <v>0</v>
      </c>
      <c r="BE356" s="20">
        <f t="shared" si="19"/>
        <v>9.6001622718338966E-2</v>
      </c>
      <c r="BF356" s="20">
        <f t="shared" si="19"/>
        <v>0</v>
      </c>
      <c r="BG356" s="21"/>
    </row>
    <row r="357" spans="1:59" x14ac:dyDescent="0.25">
      <c r="A357" t="s">
        <v>610</v>
      </c>
      <c r="E357" s="20">
        <f t="shared" ref="E357:AR357" si="20">E346/E351</f>
        <v>0.21769255872131194</v>
      </c>
      <c r="F357" s="20">
        <f t="shared" si="20"/>
        <v>0.27235942509403466</v>
      </c>
      <c r="G357" s="20">
        <f t="shared" si="20"/>
        <v>0.47534925965198432</v>
      </c>
      <c r="H357" s="20">
        <f t="shared" si="20"/>
        <v>6.8078082286386732E-2</v>
      </c>
      <c r="I357" s="20">
        <f t="shared" si="20"/>
        <v>0.31980727449108737</v>
      </c>
      <c r="J357" s="20">
        <f t="shared" si="20"/>
        <v>0.45963875441851676</v>
      </c>
      <c r="K357" s="20">
        <f t="shared" si="20"/>
        <v>7.9474220761910006E-2</v>
      </c>
      <c r="L357" s="20">
        <f t="shared" si="20"/>
        <v>0.44216667205723109</v>
      </c>
      <c r="M357" s="20">
        <f t="shared" si="20"/>
        <v>0.211160130736469</v>
      </c>
      <c r="N357" s="20">
        <f t="shared" si="20"/>
        <v>0.35662275296871571</v>
      </c>
      <c r="O357" s="20">
        <f t="shared" si="20"/>
        <v>0.11979364660504414</v>
      </c>
      <c r="P357" s="20">
        <f t="shared" si="20"/>
        <v>0.33612686887525944</v>
      </c>
      <c r="Q357" s="20">
        <f>Q346/Q351</f>
        <v>0.20022482381454609</v>
      </c>
      <c r="R357" s="20">
        <f t="shared" si="20"/>
        <v>0</v>
      </c>
      <c r="S357" s="20">
        <f t="shared" si="20"/>
        <v>7.7608887402242461E-3</v>
      </c>
      <c r="T357" s="20">
        <f t="shared" si="20"/>
        <v>0.35994280057590594</v>
      </c>
      <c r="U357" s="20">
        <f t="shared" si="20"/>
        <v>0.69122629230416721</v>
      </c>
      <c r="V357" s="20">
        <f t="shared" si="20"/>
        <v>0.36133455836979766</v>
      </c>
      <c r="W357" s="20">
        <f t="shared" si="20"/>
        <v>0</v>
      </c>
      <c r="X357" s="20">
        <f t="shared" si="20"/>
        <v>0.24099617128803125</v>
      </c>
      <c r="Y357" s="20">
        <f t="shared" si="20"/>
        <v>0.22003166758105519</v>
      </c>
      <c r="Z357" s="20">
        <f t="shared" si="20"/>
        <v>0.50296268093285856</v>
      </c>
      <c r="AA357" s="20">
        <f t="shared" si="20"/>
        <v>0.46740735189697885</v>
      </c>
      <c r="AB357" s="20">
        <f t="shared" si="20"/>
        <v>0</v>
      </c>
      <c r="AC357" s="20">
        <f t="shared" si="20"/>
        <v>0.14616148947201446</v>
      </c>
      <c r="AD357" s="20">
        <f t="shared" si="20"/>
        <v>0.16418057519978671</v>
      </c>
      <c r="AE357" s="20">
        <f t="shared" si="20"/>
        <v>0.47949757357783551</v>
      </c>
      <c r="AF357" s="20">
        <f t="shared" si="20"/>
        <v>0</v>
      </c>
      <c r="AG357" s="20">
        <f t="shared" si="20"/>
        <v>0.29076803328086487</v>
      </c>
      <c r="AH357" s="20">
        <f t="shared" si="20"/>
        <v>0.2697613411112747</v>
      </c>
      <c r="AI357" s="20">
        <f t="shared" si="20"/>
        <v>8.4666770699191471E-2</v>
      </c>
      <c r="AJ357" s="20">
        <f t="shared" si="20"/>
        <v>1.6001254718144505E-2</v>
      </c>
      <c r="AK357" s="20">
        <f t="shared" si="20"/>
        <v>0.25127767699114922</v>
      </c>
      <c r="AL357" s="20">
        <f t="shared" si="20"/>
        <v>0.16770593519279398</v>
      </c>
      <c r="AM357" s="20">
        <f t="shared" si="20"/>
        <v>1.5463031188454183E-2</v>
      </c>
      <c r="AN357" s="20">
        <f t="shared" si="20"/>
        <v>0.16737062651439852</v>
      </c>
      <c r="AO357" s="20">
        <f t="shared" si="20"/>
        <v>0</v>
      </c>
      <c r="AP357" s="20">
        <f t="shared" si="20"/>
        <v>0.29334594707078515</v>
      </c>
      <c r="AQ357" s="20">
        <f t="shared" si="20"/>
        <v>0.38141395214247109</v>
      </c>
      <c r="AR357" s="20">
        <f t="shared" si="20"/>
        <v>0</v>
      </c>
      <c r="AS357" s="20">
        <f>AS346/AS351</f>
        <v>0.2142201955945838</v>
      </c>
      <c r="AT357" s="20">
        <f>AT346/AT351</f>
        <v>0</v>
      </c>
      <c r="AU357" s="20">
        <f>AU346/AU351</f>
        <v>0.31651155784718354</v>
      </c>
      <c r="AV357" s="20">
        <f>AV346/AV351</f>
        <v>0.2756517541327333</v>
      </c>
      <c r="AW357" s="20">
        <f>AW346/AW351</f>
        <v>0</v>
      </c>
      <c r="AX357" s="20">
        <f t="shared" ref="AX357:BF357" si="21">AX346/AX351</f>
        <v>1.5805850492845545E-2</v>
      </c>
      <c r="AY357" s="20">
        <f t="shared" si="21"/>
        <v>0</v>
      </c>
      <c r="AZ357" s="20">
        <f t="shared" si="21"/>
        <v>0.24200139376268023</v>
      </c>
      <c r="BA357" s="20" t="e">
        <f t="shared" si="21"/>
        <v>#DIV/0!</v>
      </c>
      <c r="BB357" s="20">
        <f t="shared" si="21"/>
        <v>0.33491942430179639</v>
      </c>
      <c r="BC357" s="20">
        <f t="shared" si="21"/>
        <v>0</v>
      </c>
      <c r="BD357" s="20">
        <f t="shared" si="21"/>
        <v>0</v>
      </c>
      <c r="BE357" s="20">
        <f t="shared" si="21"/>
        <v>0.39581914734946172</v>
      </c>
      <c r="BF357" s="20">
        <f t="shared" si="21"/>
        <v>0</v>
      </c>
      <c r="BG357" s="21"/>
    </row>
    <row r="358" spans="1:59" x14ac:dyDescent="0.25">
      <c r="A358" t="s">
        <v>611</v>
      </c>
      <c r="E358" s="20">
        <f t="shared" ref="E358:AR358" si="22">E347/E351</f>
        <v>0.14044687435968223</v>
      </c>
      <c r="F358" s="20">
        <f t="shared" si="22"/>
        <v>0.26187617231526894</v>
      </c>
      <c r="G358" s="20">
        <f t="shared" si="22"/>
        <v>-5.5835771031158298E-4</v>
      </c>
      <c r="H358" s="20">
        <f t="shared" si="22"/>
        <v>1.1336182543131944E-2</v>
      </c>
      <c r="I358" s="20">
        <f t="shared" si="22"/>
        <v>7.9697615822523174E-2</v>
      </c>
      <c r="J358" s="20">
        <f t="shared" si="22"/>
        <v>-5.7345508335784716E-4</v>
      </c>
      <c r="K358" s="20">
        <f t="shared" si="22"/>
        <v>0.24698588952087608</v>
      </c>
      <c r="L358" s="20">
        <f t="shared" si="22"/>
        <v>8.9059173747081694E-2</v>
      </c>
      <c r="M358" s="20">
        <f t="shared" si="22"/>
        <v>0</v>
      </c>
      <c r="N358" s="20">
        <f t="shared" si="22"/>
        <v>4.9427938576688292E-2</v>
      </c>
      <c r="O358" s="20">
        <f t="shared" si="22"/>
        <v>0.32078936686905707</v>
      </c>
      <c r="P358" s="20">
        <f t="shared" si="22"/>
        <v>6.2174495719244591E-2</v>
      </c>
      <c r="Q358" s="20">
        <f>Q347/Q351</f>
        <v>0</v>
      </c>
      <c r="R358" s="20">
        <f t="shared" si="22"/>
        <v>0.23982594607651869</v>
      </c>
      <c r="S358" s="20">
        <f t="shared" si="22"/>
        <v>3.2822255889362272E-3</v>
      </c>
      <c r="T358" s="20">
        <f t="shared" si="22"/>
        <v>9.3078682990816883E-2</v>
      </c>
      <c r="U358" s="20">
        <f t="shared" si="22"/>
        <v>4.8184289908889703E-3</v>
      </c>
      <c r="V358" s="20">
        <f t="shared" si="22"/>
        <v>0.23562442554476698</v>
      </c>
      <c r="W358" s="20">
        <f t="shared" si="22"/>
        <v>0</v>
      </c>
      <c r="X358" s="20">
        <f t="shared" si="22"/>
        <v>0.14022345615939352</v>
      </c>
      <c r="Y358" s="20">
        <f t="shared" si="22"/>
        <v>0</v>
      </c>
      <c r="Z358" s="20">
        <f t="shared" si="22"/>
        <v>-3.4262987299387793E-4</v>
      </c>
      <c r="AA358" s="20">
        <f t="shared" si="22"/>
        <v>7.1357499025729423E-2</v>
      </c>
      <c r="AB358" s="20">
        <f t="shared" si="22"/>
        <v>0.11781862960168346</v>
      </c>
      <c r="AC358" s="20">
        <f t="shared" si="22"/>
        <v>0.26256662020946514</v>
      </c>
      <c r="AD358" s="20">
        <f t="shared" si="22"/>
        <v>0.24228719460778553</v>
      </c>
      <c r="AE358" s="20">
        <f t="shared" si="22"/>
        <v>-4.8171418994796117E-4</v>
      </c>
      <c r="AF358" s="20">
        <f t="shared" si="22"/>
        <v>0.20820614567174914</v>
      </c>
      <c r="AG358" s="20">
        <f t="shared" si="22"/>
        <v>0.26980268697066079</v>
      </c>
      <c r="AH358" s="20">
        <f t="shared" si="22"/>
        <v>0.3088056049690508</v>
      </c>
      <c r="AI358" s="20">
        <f t="shared" si="22"/>
        <v>0.25276976623544795</v>
      </c>
      <c r="AJ358" s="20">
        <f t="shared" si="22"/>
        <v>0.59706393835976934</v>
      </c>
      <c r="AK358" s="20">
        <f t="shared" si="22"/>
        <v>0.34396819584096822</v>
      </c>
      <c r="AL358" s="20">
        <f t="shared" si="22"/>
        <v>0.26049293171536458</v>
      </c>
      <c r="AM358" s="20">
        <f t="shared" si="22"/>
        <v>0.5771642709523026</v>
      </c>
      <c r="AN358" s="20">
        <f t="shared" si="22"/>
        <v>0.25448579104187191</v>
      </c>
      <c r="AO358" s="20">
        <f t="shared" si="22"/>
        <v>0.21725748709341877</v>
      </c>
      <c r="AP358" s="20">
        <f t="shared" si="22"/>
        <v>0.11901251992640913</v>
      </c>
      <c r="AQ358" s="20">
        <f t="shared" si="22"/>
        <v>7.584142161241593E-2</v>
      </c>
      <c r="AR358" s="20">
        <f t="shared" si="22"/>
        <v>0.21739843331183462</v>
      </c>
      <c r="AS358" s="20">
        <f>AS347/AS351</f>
        <v>0</v>
      </c>
      <c r="AT358" s="20">
        <f>AT347/AT351</f>
        <v>0.21781028155164581</v>
      </c>
      <c r="AU358" s="20">
        <f>AU347/AU351</f>
        <v>0.2483447020769344</v>
      </c>
      <c r="AV358" s="20">
        <f>AV347/AV351</f>
        <v>8.5789896331145907E-2</v>
      </c>
      <c r="AW358" s="20">
        <f>AW347/AW351</f>
        <v>0.87428796962702815</v>
      </c>
      <c r="AX358" s="20">
        <f t="shared" ref="AX358:BF358" si="23">AX347/AX351</f>
        <v>0.60101855079962629</v>
      </c>
      <c r="AY358" s="20">
        <f t="shared" si="23"/>
        <v>0.87581143838945352</v>
      </c>
      <c r="AZ358" s="20">
        <f t="shared" si="23"/>
        <v>0.20299365389874977</v>
      </c>
      <c r="BA358" s="20" t="e">
        <f t="shared" si="23"/>
        <v>#DIV/0!</v>
      </c>
      <c r="BB358" s="20">
        <f t="shared" si="23"/>
        <v>0.11352376940386427</v>
      </c>
      <c r="BC358" s="20">
        <f t="shared" si="23"/>
        <v>0.87423141400407844</v>
      </c>
      <c r="BD358" s="20">
        <f t="shared" si="23"/>
        <v>0.87683696774826048</v>
      </c>
      <c r="BE358" s="20">
        <f t="shared" si="23"/>
        <v>0.2085389205242387</v>
      </c>
      <c r="BF358" s="20">
        <f t="shared" si="23"/>
        <v>5.0773943199663302E-2</v>
      </c>
      <c r="BG358" s="21"/>
    </row>
    <row r="359" spans="1:59" x14ac:dyDescent="0.25">
      <c r="A359" t="s">
        <v>612</v>
      </c>
      <c r="E359" s="20">
        <f t="shared" ref="E359:AR359" si="24">E348/E351</f>
        <v>9.2289308206435106E-2</v>
      </c>
      <c r="F359" s="20">
        <f t="shared" si="24"/>
        <v>5.8697477012775293E-2</v>
      </c>
      <c r="G359" s="20">
        <f t="shared" si="24"/>
        <v>8.9684494846191024E-2</v>
      </c>
      <c r="H359" s="20">
        <f t="shared" si="24"/>
        <v>0.89268434377274597</v>
      </c>
      <c r="I359" s="20">
        <f t="shared" si="24"/>
        <v>8.8358553312592639E-2</v>
      </c>
      <c r="J359" s="20">
        <f t="shared" si="24"/>
        <v>9.3700305292996403E-2</v>
      </c>
      <c r="K359" s="20">
        <f t="shared" si="24"/>
        <v>0.12403535599917058</v>
      </c>
      <c r="L359" s="20">
        <f t="shared" si="24"/>
        <v>8.130246983778E-2</v>
      </c>
      <c r="M359" s="20">
        <f t="shared" si="24"/>
        <v>2.2684897096049001E-2</v>
      </c>
      <c r="N359" s="20">
        <f t="shared" si="24"/>
        <v>9.1641800465179848E-2</v>
      </c>
      <c r="O359" s="20">
        <f t="shared" si="24"/>
        <v>8.1263865929520424E-2</v>
      </c>
      <c r="P359" s="20">
        <f t="shared" si="24"/>
        <v>0.11116651181402311</v>
      </c>
      <c r="Q359" s="20">
        <f>Q348/Q351</f>
        <v>0</v>
      </c>
      <c r="R359" s="20">
        <f t="shared" si="24"/>
        <v>0</v>
      </c>
      <c r="S359" s="20">
        <f t="shared" si="24"/>
        <v>0.11033917015929973</v>
      </c>
      <c r="T359" s="20">
        <f t="shared" si="24"/>
        <v>0</v>
      </c>
      <c r="U359" s="20">
        <f t="shared" si="24"/>
        <v>8.6874871555016973E-3</v>
      </c>
      <c r="V359" s="20">
        <f t="shared" si="24"/>
        <v>5.6388014637118688E-7</v>
      </c>
      <c r="W359" s="20">
        <f t="shared" si="24"/>
        <v>0</v>
      </c>
      <c r="X359" s="20">
        <f t="shared" si="24"/>
        <v>3.3724437216097962E-6</v>
      </c>
      <c r="Y359" s="20">
        <f t="shared" si="24"/>
        <v>9.7738826978048705E-3</v>
      </c>
      <c r="Z359" s="20">
        <f t="shared" si="24"/>
        <v>7.846933698152686E-2</v>
      </c>
      <c r="AA359" s="20">
        <f t="shared" si="24"/>
        <v>9.6518282758908489E-2</v>
      </c>
      <c r="AB359" s="20">
        <f t="shared" si="24"/>
        <v>0</v>
      </c>
      <c r="AC359" s="20">
        <f t="shared" si="24"/>
        <v>0.12855028514808528</v>
      </c>
      <c r="AD359" s="20">
        <f t="shared" si="24"/>
        <v>0</v>
      </c>
      <c r="AE359" s="20">
        <f t="shared" si="24"/>
        <v>6.6462356510728418E-2</v>
      </c>
      <c r="AF359" s="20">
        <f t="shared" si="24"/>
        <v>0</v>
      </c>
      <c r="AG359" s="20">
        <f t="shared" si="24"/>
        <v>6.7003719662065142E-2</v>
      </c>
      <c r="AH359" s="20">
        <f t="shared" si="24"/>
        <v>0</v>
      </c>
      <c r="AI359" s="20">
        <f t="shared" si="24"/>
        <v>0.1482973996325038</v>
      </c>
      <c r="AJ359" s="20">
        <f t="shared" si="24"/>
        <v>1.4309603541088652E-2</v>
      </c>
      <c r="AK359" s="20">
        <f t="shared" si="24"/>
        <v>9.6473017672797558E-3</v>
      </c>
      <c r="AL359" s="20">
        <f t="shared" si="24"/>
        <v>0.10539919847721563</v>
      </c>
      <c r="AM359" s="20">
        <f t="shared" si="24"/>
        <v>4.9522601200396803E-2</v>
      </c>
      <c r="AN359" s="20">
        <f t="shared" si="24"/>
        <v>4.8655294241173853E-5</v>
      </c>
      <c r="AO359" s="20">
        <f t="shared" si="24"/>
        <v>1.1420593566683266E-5</v>
      </c>
      <c r="AP359" s="20">
        <f t="shared" si="24"/>
        <v>1.1873618939643531E-3</v>
      </c>
      <c r="AQ359" s="20">
        <f t="shared" si="24"/>
        <v>0</v>
      </c>
      <c r="AR359" s="20">
        <f t="shared" si="24"/>
        <v>2.4697261618017351E-5</v>
      </c>
      <c r="AS359" s="20">
        <f>AS348/AS351</f>
        <v>1.3688631714169968E-2</v>
      </c>
      <c r="AT359" s="20">
        <f>AT348/AT351</f>
        <v>2.5902559800720882E-4</v>
      </c>
      <c r="AU359" s="20">
        <f>AU348/AU351</f>
        <v>3.5262244726325601E-7</v>
      </c>
      <c r="AV359" s="20">
        <f>AV348/AV351</f>
        <v>0</v>
      </c>
      <c r="AW359" s="20">
        <f>AW348/AW351</f>
        <v>0</v>
      </c>
      <c r="AX359" s="20">
        <f t="shared" ref="AX359:BF359" si="25">AX348/AX351</f>
        <v>8.347316191633489E-3</v>
      </c>
      <c r="AY359" s="20">
        <f t="shared" si="25"/>
        <v>0</v>
      </c>
      <c r="AZ359" s="20">
        <f t="shared" si="25"/>
        <v>3.0903828829872878E-7</v>
      </c>
      <c r="BA359" s="20" t="e">
        <f t="shared" si="25"/>
        <v>#DIV/0!</v>
      </c>
      <c r="BB359" s="20">
        <f t="shared" si="25"/>
        <v>1.0391413660500784E-3</v>
      </c>
      <c r="BC359" s="20">
        <f t="shared" si="25"/>
        <v>0</v>
      </c>
      <c r="BD359" s="20">
        <f t="shared" si="25"/>
        <v>0</v>
      </c>
      <c r="BE359" s="20">
        <f t="shared" si="25"/>
        <v>0</v>
      </c>
      <c r="BF359" s="20">
        <f t="shared" si="25"/>
        <v>0</v>
      </c>
      <c r="BG359" s="21"/>
    </row>
    <row r="360" spans="1:59" x14ac:dyDescent="0.25">
      <c r="A360" t="s">
        <v>613</v>
      </c>
      <c r="E360" s="20">
        <f t="shared" ref="E360:P360" si="26">E349/E351</f>
        <v>0.19773573736549918</v>
      </c>
      <c r="F360" s="20">
        <f t="shared" si="26"/>
        <v>6.5701936314259954E-2</v>
      </c>
      <c r="G360" s="20">
        <f t="shared" si="26"/>
        <v>6.2387687004832909E-2</v>
      </c>
      <c r="H360" s="20">
        <f t="shared" si="26"/>
        <v>1.6182801719697999E-2</v>
      </c>
      <c r="I360" s="20">
        <f t="shared" si="26"/>
        <v>6.7537922597428662E-2</v>
      </c>
      <c r="J360" s="20">
        <f t="shared" si="26"/>
        <v>6.1255276090670531E-2</v>
      </c>
      <c r="K360" s="20">
        <f t="shared" si="26"/>
        <v>0.23006085280207664</v>
      </c>
      <c r="L360" s="20">
        <f t="shared" si="26"/>
        <v>9.9215303859722714E-2</v>
      </c>
      <c r="M360" s="20">
        <f t="shared" si="26"/>
        <v>2.6395922732541786E-2</v>
      </c>
      <c r="N360" s="20">
        <f t="shared" si="26"/>
        <v>0.19784052572454996</v>
      </c>
      <c r="O360" s="20">
        <f t="shared" si="26"/>
        <v>0.2238262077620356</v>
      </c>
      <c r="P360" s="20">
        <f t="shared" si="26"/>
        <v>0.19105320880776258</v>
      </c>
      <c r="Q360" s="20">
        <f>Q349/Q351</f>
        <v>-2.2692109712021765E-4</v>
      </c>
      <c r="R360" s="20">
        <f t="shared" ref="R360:AR360" si="27">R349/R351</f>
        <v>5.3900210373056484E-4</v>
      </c>
      <c r="S360" s="20">
        <f t="shared" si="27"/>
        <v>6.3448784385340115E-2</v>
      </c>
      <c r="T360" s="20">
        <f t="shared" si="27"/>
        <v>4.7429115253638989E-3</v>
      </c>
      <c r="U360" s="20">
        <f t="shared" si="27"/>
        <v>4.5738177746596657E-2</v>
      </c>
      <c r="V360" s="20">
        <f t="shared" si="27"/>
        <v>2.6704321860875579E-2</v>
      </c>
      <c r="W360" s="20">
        <f t="shared" si="27"/>
        <v>-6.6699005578462292E-4</v>
      </c>
      <c r="X360" s="20">
        <f t="shared" si="27"/>
        <v>6.5087937488564245E-3</v>
      </c>
      <c r="Y360" s="20">
        <f t="shared" si="27"/>
        <v>2.745878116242137E-2</v>
      </c>
      <c r="Z360" s="20">
        <f t="shared" si="27"/>
        <v>5.2778580843093378E-2</v>
      </c>
      <c r="AA360" s="20">
        <f t="shared" si="27"/>
        <v>6.0050326894050224E-2</v>
      </c>
      <c r="AB360" s="20">
        <f t="shared" si="27"/>
        <v>1.0569216348668335E-2</v>
      </c>
      <c r="AC360" s="20">
        <f t="shared" si="27"/>
        <v>0.13983302946327059</v>
      </c>
      <c r="AD360" s="20">
        <f t="shared" si="27"/>
        <v>1.0828388572974289E-2</v>
      </c>
      <c r="AE360" s="20">
        <f t="shared" si="27"/>
        <v>6.024628726427958E-2</v>
      </c>
      <c r="AF360" s="20">
        <f t="shared" si="27"/>
        <v>4.4822890672943155E-3</v>
      </c>
      <c r="AG360" s="20">
        <f t="shared" si="27"/>
        <v>4.6175077537058566E-2</v>
      </c>
      <c r="AH360" s="20">
        <f t="shared" si="27"/>
        <v>1.4615686595203753E-3</v>
      </c>
      <c r="AI360" s="20">
        <f t="shared" si="27"/>
        <v>0.20229923896536992</v>
      </c>
      <c r="AJ360" s="20">
        <f t="shared" si="27"/>
        <v>1.4972112835719842E-2</v>
      </c>
      <c r="AK360" s="20">
        <f t="shared" si="27"/>
        <v>-6.8499055473845137E-4</v>
      </c>
      <c r="AL360" s="20">
        <f t="shared" si="27"/>
        <v>0.18761344439632416</v>
      </c>
      <c r="AM360" s="20">
        <f t="shared" si="27"/>
        <v>1.4622333694033826E-2</v>
      </c>
      <c r="AN360" s="20">
        <f t="shared" si="27"/>
        <v>1.4349109470418087E-2</v>
      </c>
      <c r="AO360" s="20">
        <f t="shared" si="27"/>
        <v>5.3045755734494578E-3</v>
      </c>
      <c r="AP360" s="20">
        <f t="shared" si="27"/>
        <v>5.6522709495085569E-3</v>
      </c>
      <c r="AQ360" s="20">
        <f t="shared" si="27"/>
        <v>4.2650142653119271E-3</v>
      </c>
      <c r="AR360" s="20">
        <f t="shared" si="27"/>
        <v>5.8517575053469648E-3</v>
      </c>
      <c r="AS360" s="20">
        <f>AS349/AS351</f>
        <v>1.0300541748712842E-3</v>
      </c>
      <c r="AT360" s="20">
        <f>AT349/AT351</f>
        <v>2.3991867980771579E-3</v>
      </c>
      <c r="AU360" s="20">
        <f>AU349/AU351</f>
        <v>1.3703966167991926E-2</v>
      </c>
      <c r="AV360" s="20">
        <f>AV349/AV351</f>
        <v>5.6301296570261073E-3</v>
      </c>
      <c r="AW360" s="20">
        <f>AW349/AW351</f>
        <v>-7.1864478297369174E-5</v>
      </c>
      <c r="AX360" s="20">
        <f t="shared" ref="AX360:BF360" si="28">AX349/AX351</f>
        <v>5.1244087195243763E-3</v>
      </c>
      <c r="AY360" s="20">
        <f t="shared" si="28"/>
        <v>-5.3139572365025122E-3</v>
      </c>
      <c r="AZ360" s="20">
        <f t="shared" si="28"/>
        <v>5.7053412632558108E-2</v>
      </c>
      <c r="BA360" s="20" t="e">
        <f t="shared" si="28"/>
        <v>#DIV/0!</v>
      </c>
      <c r="BB360" s="20">
        <f t="shared" si="28"/>
        <v>1.1926011122624123E-2</v>
      </c>
      <c r="BC360" s="20">
        <f t="shared" si="28"/>
        <v>1.4624284901277739E-4</v>
      </c>
      <c r="BD360" s="20">
        <f t="shared" si="28"/>
        <v>3.2859519140866307E-5</v>
      </c>
      <c r="BE360" s="20">
        <f t="shared" si="28"/>
        <v>-1.2540003512393992E-3</v>
      </c>
      <c r="BF360" s="20">
        <f t="shared" si="28"/>
        <v>5.6086849408224747E-3</v>
      </c>
      <c r="BG360" s="21"/>
    </row>
    <row r="361" spans="1:59" x14ac:dyDescent="0.25">
      <c r="A361" s="21" t="s">
        <v>708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</row>
  </sheetData>
  <mergeCells count="3">
    <mergeCell ref="A2:BF2"/>
    <mergeCell ref="BG2:BG361"/>
    <mergeCell ref="A361:BF361"/>
  </mergeCells>
  <conditionalFormatting sqref="A18:A34">
    <cfRule type="cellIs" dxfId="3" priority="8" stopIfTrue="1" operator="lessThan">
      <formula>0</formula>
    </cfRule>
  </conditionalFormatting>
  <conditionalFormatting sqref="B24:B34">
    <cfRule type="cellIs" dxfId="2" priority="17" stopIfTrue="1" operator="lessThan">
      <formula>0</formula>
    </cfRule>
  </conditionalFormatting>
  <conditionalFormatting sqref="C17:D25">
    <cfRule type="cellIs" dxfId="1" priority="9" stopIfTrue="1" operator="lessThan">
      <formula>0</formula>
    </cfRule>
  </conditionalFormatting>
  <conditionalFormatting sqref="E16:BF24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Hishtalmut xmlns="e7c93c0b-31f4-4d6d-a404-57fd37393f5c">
      <Value>6</Value>
      <Value>7</Value>
      <Value>13</Value>
      <Value>14</Value>
      <Value>9</Value>
      <Value>1</Value>
      <Value>2</Value>
      <Value>3</Value>
      <Value>11</Value>
      <Value>12</Value>
      <Value>4</Value>
      <Value>5</Value>
    </Kupa_Hishtalmut>
    <Category xmlns="e7c93c0b-31f4-4d6d-a404-57fd37393f5c">1</Category>
    <KupotIsHidden xmlns="7c67d0cd-db71-4ceb-ba14-b5862b768686">false</KupotIsHidden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17</Value>
      <Value>14</Value>
      <Value>15</Value>
      <Value>16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  <Value>18</Value>
    </kupa_ktp>
  </documentManagement>
</p:properties>
</file>

<file path=customXml/itemProps1.xml><?xml version="1.0" encoding="utf-8"?>
<ds:datastoreItem xmlns:ds="http://schemas.openxmlformats.org/officeDocument/2006/customXml" ds:itemID="{2269BC24-90A6-42AC-B02A-719A13D539A9}"/>
</file>

<file path=customXml/itemProps2.xml><?xml version="1.0" encoding="utf-8"?>
<ds:datastoreItem xmlns:ds="http://schemas.openxmlformats.org/officeDocument/2006/customXml" ds:itemID="{BDC2E022-E587-4816-84AA-F2EA90C5B220}"/>
</file>

<file path=customXml/itemProps3.xml><?xml version="1.0" encoding="utf-8"?>
<ds:datastoreItem xmlns:ds="http://schemas.openxmlformats.org/officeDocument/2006/customXml" ds:itemID="{A432F06C-5A06-4EA8-832D-7EA1D6AEC8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4/2024</dc:title>
  <dc:creator>פרידמן אמיר</dc:creator>
  <cp:lastModifiedBy>Tami Berman</cp:lastModifiedBy>
  <dcterms:created xsi:type="dcterms:W3CDTF">2024-05-22T14:03:51Z</dcterms:created>
  <dcterms:modified xsi:type="dcterms:W3CDTF">2024-05-23T22:32:32Z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