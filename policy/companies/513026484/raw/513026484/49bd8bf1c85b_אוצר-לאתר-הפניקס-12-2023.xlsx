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C:\Users\silvi\Desktop\‏‏תיקיה חדשה\"/>
    </mc:Choice>
  </mc:AlternateContent>
  <xr:revisionPtr revIDLastSave="0" documentId="8_{48357257-C653-4307-9A88-278ECF691A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353" i="1" l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V350" i="1" l="1"/>
  <c r="V352" i="1" s="1"/>
  <c r="AL350" i="1"/>
  <c r="AL352" i="1" s="1"/>
  <c r="H350" i="1"/>
  <c r="H352" i="1" s="1"/>
  <c r="L350" i="1"/>
  <c r="L352" i="1" s="1"/>
  <c r="P350" i="1"/>
  <c r="P352" i="1" s="1"/>
  <c r="T350" i="1"/>
  <c r="T352" i="1" s="1"/>
  <c r="X350" i="1"/>
  <c r="X352" i="1" s="1"/>
  <c r="AB350" i="1"/>
  <c r="AB356" i="1" s="1"/>
  <c r="AF350" i="1"/>
  <c r="AF352" i="1" s="1"/>
  <c r="AJ350" i="1"/>
  <c r="AJ352" i="1" s="1"/>
  <c r="AN350" i="1"/>
  <c r="AN352" i="1" s="1"/>
  <c r="AR350" i="1"/>
  <c r="AR352" i="1" s="1"/>
  <c r="AV350" i="1"/>
  <c r="AV352" i="1" s="1"/>
  <c r="AZ350" i="1"/>
  <c r="AZ352" i="1" s="1"/>
  <c r="BD350" i="1"/>
  <c r="BD352" i="1" s="1"/>
  <c r="V356" i="1"/>
  <c r="N350" i="1"/>
  <c r="N352" i="1" s="1"/>
  <c r="AD350" i="1"/>
  <c r="AD352" i="1" s="1"/>
  <c r="BD356" i="1"/>
  <c r="E350" i="1"/>
  <c r="E352" i="1" s="1"/>
  <c r="I350" i="1"/>
  <c r="I352" i="1" s="1"/>
  <c r="M350" i="1"/>
  <c r="M352" i="1" s="1"/>
  <c r="Q350" i="1"/>
  <c r="Q352" i="1" s="1"/>
  <c r="U350" i="1"/>
  <c r="U352" i="1" s="1"/>
  <c r="Y350" i="1"/>
  <c r="Y352" i="1" s="1"/>
  <c r="AC350" i="1"/>
  <c r="AC352" i="1" s="1"/>
  <c r="AG350" i="1"/>
  <c r="AG352" i="1" s="1"/>
  <c r="AK350" i="1"/>
  <c r="AK352" i="1" s="1"/>
  <c r="AO350" i="1"/>
  <c r="AO352" i="1" s="1"/>
  <c r="AS350" i="1"/>
  <c r="AS352" i="1" s="1"/>
  <c r="AW350" i="1"/>
  <c r="AW356" i="1" s="1"/>
  <c r="BA350" i="1"/>
  <c r="BA352" i="1" s="1"/>
  <c r="BE350" i="1"/>
  <c r="BE352" i="1" s="1"/>
  <c r="P355" i="1"/>
  <c r="T355" i="1"/>
  <c r="AF355" i="1"/>
  <c r="AJ355" i="1"/>
  <c r="AV355" i="1"/>
  <c r="J350" i="1"/>
  <c r="J352" i="1" s="1"/>
  <c r="Z350" i="1"/>
  <c r="Z352" i="1" s="1"/>
  <c r="AP350" i="1"/>
  <c r="AP354" i="1" s="1"/>
  <c r="AO355" i="1"/>
  <c r="P356" i="1"/>
  <c r="AV356" i="1"/>
  <c r="V358" i="1"/>
  <c r="I359" i="1"/>
  <c r="AS359" i="1"/>
  <c r="F350" i="1"/>
  <c r="F352" i="1" s="1"/>
  <c r="R350" i="1"/>
  <c r="R352" i="1" s="1"/>
  <c r="AH350" i="1"/>
  <c r="AH352" i="1" s="1"/>
  <c r="AT350" i="1"/>
  <c r="AT352" i="1" s="1"/>
  <c r="AX350" i="1"/>
  <c r="AX352" i="1" s="1"/>
  <c r="BB350" i="1"/>
  <c r="BB352" i="1" s="1"/>
  <c r="M355" i="1"/>
  <c r="H356" i="1"/>
  <c r="T356" i="1"/>
  <c r="G350" i="1"/>
  <c r="G352" i="1" s="1"/>
  <c r="K350" i="1"/>
  <c r="K352" i="1" s="1"/>
  <c r="O350" i="1"/>
  <c r="O352" i="1" s="1"/>
  <c r="S350" i="1"/>
  <c r="S352" i="1" s="1"/>
  <c r="W350" i="1"/>
  <c r="W352" i="1" s="1"/>
  <c r="AA350" i="1"/>
  <c r="AA352" i="1" s="1"/>
  <c r="AE350" i="1"/>
  <c r="AE352" i="1" s="1"/>
  <c r="AI350" i="1"/>
  <c r="AI357" i="1" s="1"/>
  <c r="AM350" i="1"/>
  <c r="AM352" i="1" s="1"/>
  <c r="AQ350" i="1"/>
  <c r="AQ352" i="1" s="1"/>
  <c r="AU350" i="1"/>
  <c r="AU352" i="1" s="1"/>
  <c r="AY350" i="1"/>
  <c r="AY352" i="1" s="1"/>
  <c r="BC350" i="1"/>
  <c r="BC352" i="1" s="1"/>
  <c r="N355" i="1"/>
  <c r="V355" i="1"/>
  <c r="AD355" i="1"/>
  <c r="AP355" i="1"/>
  <c r="I356" i="1"/>
  <c r="Y359" i="1"/>
  <c r="AO359" i="1"/>
  <c r="AG356" i="1"/>
  <c r="AK356" i="1"/>
  <c r="AO356" i="1"/>
  <c r="P357" i="1"/>
  <c r="AF357" i="1"/>
  <c r="AV357" i="1"/>
  <c r="BD357" i="1"/>
  <c r="K358" i="1"/>
  <c r="AI358" i="1"/>
  <c r="J359" i="1"/>
  <c r="V359" i="1"/>
  <c r="AD359" i="1"/>
  <c r="AP359" i="1"/>
  <c r="BB359" i="1"/>
  <c r="R356" i="1"/>
  <c r="AP356" i="1"/>
  <c r="Q357" i="1"/>
  <c r="Y357" i="1"/>
  <c r="AS357" i="1"/>
  <c r="P358" i="1"/>
  <c r="T358" i="1"/>
  <c r="AF358" i="1"/>
  <c r="AV358" i="1"/>
  <c r="AZ358" i="1"/>
  <c r="K359" i="1"/>
  <c r="AY359" i="1"/>
  <c r="W356" i="1"/>
  <c r="V357" i="1"/>
  <c r="BB357" i="1"/>
  <c r="U358" i="1"/>
  <c r="Y358" i="1"/>
  <c r="AO358" i="1"/>
  <c r="AS358" i="1"/>
  <c r="H359" i="1"/>
  <c r="P359" i="1"/>
  <c r="T359" i="1"/>
  <c r="AF359" i="1"/>
  <c r="AV359" i="1"/>
  <c r="AB359" i="1" l="1"/>
  <c r="AQ358" i="1"/>
  <c r="AB357" i="1"/>
  <c r="U359" i="1"/>
  <c r="AX357" i="1"/>
  <c r="E357" i="1"/>
  <c r="Z359" i="1"/>
  <c r="U356" i="1"/>
  <c r="Q356" i="1"/>
  <c r="Z355" i="1"/>
  <c r="H355" i="1"/>
  <c r="AR359" i="1"/>
  <c r="AD357" i="1"/>
  <c r="W359" i="1"/>
  <c r="AG357" i="1"/>
  <c r="AX356" i="1"/>
  <c r="AT359" i="1"/>
  <c r="S358" i="1"/>
  <c r="AR357" i="1"/>
  <c r="S354" i="1"/>
  <c r="AJ356" i="1"/>
  <c r="E359" i="1"/>
  <c r="X359" i="1"/>
  <c r="X355" i="1"/>
  <c r="BE356" i="1"/>
  <c r="E356" i="1"/>
  <c r="AS354" i="1"/>
  <c r="J355" i="1"/>
  <c r="AH354" i="1"/>
  <c r="M359" i="1"/>
  <c r="Z358" i="1"/>
  <c r="Z354" i="1"/>
  <c r="AH357" i="1"/>
  <c r="AN355" i="1"/>
  <c r="M354" i="1"/>
  <c r="X356" i="1"/>
  <c r="X354" i="1"/>
  <c r="AH358" i="1"/>
  <c r="M357" i="1"/>
  <c r="BD359" i="1"/>
  <c r="BE358" i="1"/>
  <c r="AN358" i="1"/>
  <c r="M358" i="1"/>
  <c r="BD358" i="1"/>
  <c r="BE357" i="1"/>
  <c r="Z356" i="1"/>
  <c r="X357" i="1"/>
  <c r="BE359" i="1"/>
  <c r="AH355" i="1"/>
  <c r="AY354" i="1"/>
  <c r="AQ356" i="1"/>
  <c r="AY355" i="1"/>
  <c r="AQ359" i="1"/>
  <c r="BC356" i="1"/>
  <c r="AA359" i="1"/>
  <c r="X358" i="1"/>
  <c r="AY358" i="1"/>
  <c r="AN357" i="1"/>
  <c r="AI354" i="1"/>
  <c r="AC355" i="1"/>
  <c r="AQ357" i="1"/>
  <c r="AN359" i="1"/>
  <c r="BD355" i="1"/>
  <c r="S355" i="1"/>
  <c r="AL357" i="1"/>
  <c r="AW357" i="1"/>
  <c r="AW359" i="1"/>
  <c r="AX355" i="1"/>
  <c r="AA354" i="1"/>
  <c r="G354" i="1"/>
  <c r="BB358" i="1"/>
  <c r="J354" i="1"/>
  <c r="E358" i="1"/>
  <c r="AI356" i="1"/>
  <c r="AZ355" i="1"/>
  <c r="N354" i="1"/>
  <c r="AL356" i="1"/>
  <c r="AQ355" i="1"/>
  <c r="K355" i="1"/>
  <c r="AL354" i="1"/>
  <c r="L359" i="1"/>
  <c r="AL359" i="1"/>
  <c r="N359" i="1"/>
  <c r="G358" i="1"/>
  <c r="Y356" i="1"/>
  <c r="AT355" i="1"/>
  <c r="AA357" i="1"/>
  <c r="AX358" i="1"/>
  <c r="AA356" i="1"/>
  <c r="E355" i="1"/>
  <c r="S359" i="1"/>
  <c r="AI355" i="1"/>
  <c r="G355" i="1"/>
  <c r="S357" i="1"/>
  <c r="AK358" i="1"/>
  <c r="AJ358" i="1"/>
  <c r="AA358" i="1"/>
  <c r="L357" i="1"/>
  <c r="AK359" i="1"/>
  <c r="AQ354" i="1"/>
  <c r="K354" i="1"/>
  <c r="K357" i="1"/>
  <c r="AX354" i="1"/>
  <c r="AL358" i="1"/>
  <c r="AY357" i="1"/>
  <c r="BE355" i="1"/>
  <c r="J357" i="1"/>
  <c r="K356" i="1"/>
  <c r="AC354" i="1"/>
  <c r="L358" i="1"/>
  <c r="N356" i="1"/>
  <c r="AA355" i="1"/>
  <c r="P354" i="1"/>
  <c r="G357" i="1"/>
  <c r="V354" i="1"/>
  <c r="AU356" i="1"/>
  <c r="AM359" i="1"/>
  <c r="AU358" i="1"/>
  <c r="AE358" i="1"/>
  <c r="AU354" i="1"/>
  <c r="AM354" i="1"/>
  <c r="W354" i="1"/>
  <c r="O354" i="1"/>
  <c r="F358" i="1"/>
  <c r="AP352" i="1"/>
  <c r="AP357" i="1"/>
  <c r="F357" i="1"/>
  <c r="AW352" i="1"/>
  <c r="AW358" i="1"/>
  <c r="J356" i="1"/>
  <c r="AJ359" i="1"/>
  <c r="AC358" i="1"/>
  <c r="I358" i="1"/>
  <c r="AT357" i="1"/>
  <c r="N357" i="1"/>
  <c r="AM356" i="1"/>
  <c r="AE359" i="1"/>
  <c r="H358" i="1"/>
  <c r="AO357" i="1"/>
  <c r="I357" i="1"/>
  <c r="AH356" i="1"/>
  <c r="AX359" i="1"/>
  <c r="AH359" i="1"/>
  <c r="R359" i="1"/>
  <c r="F359" i="1"/>
  <c r="AZ357" i="1"/>
  <c r="AJ357" i="1"/>
  <c r="T357" i="1"/>
  <c r="H357" i="1"/>
  <c r="AS356" i="1"/>
  <c r="AC356" i="1"/>
  <c r="AG359" i="1"/>
  <c r="M356" i="1"/>
  <c r="BB355" i="1"/>
  <c r="AL355" i="1"/>
  <c r="AI352" i="1"/>
  <c r="AI359" i="1"/>
  <c r="AZ356" i="1"/>
  <c r="AS355" i="1"/>
  <c r="BB354" i="1"/>
  <c r="AT354" i="1"/>
  <c r="R354" i="1"/>
  <c r="AC359" i="1"/>
  <c r="AT358" i="1"/>
  <c r="AD358" i="1"/>
  <c r="N358" i="1"/>
  <c r="BC357" i="1"/>
  <c r="AM357" i="1"/>
  <c r="AF356" i="1"/>
  <c r="Y355" i="1"/>
  <c r="AZ359" i="1"/>
  <c r="AG358" i="1"/>
  <c r="Z357" i="1"/>
  <c r="AY356" i="1"/>
  <c r="S356" i="1"/>
  <c r="G356" i="1"/>
  <c r="AR355" i="1"/>
  <c r="AB355" i="1"/>
  <c r="L355" i="1"/>
  <c r="BE354" i="1"/>
  <c r="AW354" i="1"/>
  <c r="AO354" i="1"/>
  <c r="AG354" i="1"/>
  <c r="Y354" i="1"/>
  <c r="Q354" i="1"/>
  <c r="I354" i="1"/>
  <c r="E354" i="1"/>
  <c r="AN356" i="1"/>
  <c r="AG355" i="1"/>
  <c r="AD354" i="1"/>
  <c r="G359" i="1"/>
  <c r="AK357" i="1"/>
  <c r="AD356" i="1"/>
  <c r="AU355" i="1"/>
  <c r="AE355" i="1"/>
  <c r="O355" i="1"/>
  <c r="BD354" i="1"/>
  <c r="AV354" i="1"/>
  <c r="AN354" i="1"/>
  <c r="AF354" i="1"/>
  <c r="AE357" i="1"/>
  <c r="U355" i="1"/>
  <c r="AE356" i="1"/>
  <c r="AU359" i="1"/>
  <c r="BC358" i="1"/>
  <c r="AM358" i="1"/>
  <c r="W358" i="1"/>
  <c r="R355" i="1"/>
  <c r="F355" i="1"/>
  <c r="F354" i="1"/>
  <c r="Q359" i="1"/>
  <c r="AP358" i="1"/>
  <c r="J358" i="1"/>
  <c r="W357" i="1"/>
  <c r="I355" i="1"/>
  <c r="Q358" i="1"/>
  <c r="R357" i="1"/>
  <c r="O356" i="1"/>
  <c r="AK354" i="1"/>
  <c r="U354" i="1"/>
  <c r="Q355" i="1"/>
  <c r="AR358" i="1"/>
  <c r="AC357" i="1"/>
  <c r="BB356" i="1"/>
  <c r="F356" i="1"/>
  <c r="L356" i="1"/>
  <c r="AU357" i="1"/>
  <c r="O357" i="1"/>
  <c r="U357" i="1"/>
  <c r="AT356" i="1"/>
  <c r="BC355" i="1"/>
  <c r="AM355" i="1"/>
  <c r="W355" i="1"/>
  <c r="AB352" i="1"/>
  <c r="AB358" i="1"/>
  <c r="BC359" i="1"/>
  <c r="O359" i="1"/>
  <c r="O358" i="1"/>
  <c r="BC354" i="1"/>
  <c r="AE354" i="1"/>
  <c r="R358" i="1"/>
  <c r="AW355" i="1"/>
  <c r="AZ354" i="1"/>
  <c r="AR354" i="1"/>
  <c r="AJ354" i="1"/>
  <c r="AB354" i="1"/>
  <c r="T354" i="1"/>
  <c r="L354" i="1"/>
  <c r="H354" i="1"/>
  <c r="AR356" i="1"/>
  <c r="AK355" i="1"/>
</calcChain>
</file>

<file path=xl/sharedStrings.xml><?xml version="1.0" encoding="utf-8"?>
<sst xmlns="http://schemas.openxmlformats.org/spreadsheetml/2006/main" count="778" uniqueCount="710">
  <si>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</si>
  <si>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</si>
  <si>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</si>
  <si>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</si>
  <si>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</si>
  <si>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</si>
  <si>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</si>
  <si>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</si>
  <si>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</si>
  <si>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</si>
  <si>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</si>
  <si>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</si>
  <si>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</si>
  <si>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</si>
  <si>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</si>
  <si>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</si>
  <si>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</si>
  <si>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</si>
  <si>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</si>
  <si>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</si>
  <si>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</si>
  <si>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</si>
  <si>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</si>
  <si>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</si>
  <si>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</si>
  <si>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</si>
  <si>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</si>
  <si>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</si>
  <si>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</si>
  <si>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</si>
  <si>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</si>
  <si>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</si>
  <si>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</si>
  <si>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</si>
  <si>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</si>
  <si>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</si>
  <si>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</si>
  <si>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</si>
  <si>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</si>
  <si>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</si>
  <si>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</si>
  <si>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</si>
  <si>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</si>
  <si>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</si>
  <si>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</si>
  <si>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</si>
  <si>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</si>
  <si>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</si>
  <si>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</si>
  <si>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</si>
  <si>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</si>
  <si>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</si>
  <si>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</si>
  <si>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</si>
  <si>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</si>
  <si>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</si>
  <si>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</si>
  <si>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</si>
  <si>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</si>
  <si>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</si>
  <si>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</si>
  <si>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</si>
  <si>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</si>
  <si>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</si>
  <si>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</si>
  <si>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</si>
  <si>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</si>
  <si>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</si>
  <si>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</si>
  <si>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</si>
  <si>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</si>
  <si>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</si>
  <si>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</si>
  <si>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</si>
  <si>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</si>
  <si>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</si>
  <si>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</si>
  <si>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</si>
  <si>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</si>
  <si>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</si>
  <si>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</si>
  <si>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</si>
  <si>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</si>
  <si>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</si>
  <si>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</si>
  <si>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</si>
  <si>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</si>
  <si>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</si>
  <si>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</si>
  <si>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</si>
  <si>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</si>
  <si>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</si>
  <si>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</si>
  <si>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</si>
  <si>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</si>
  <si>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</si>
  <si>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</si>
  <si>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</si>
  <si>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</si>
  <si>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</si>
  <si>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</si>
  <si>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</si>
  <si>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</si>
  <si>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</si>
  <si>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</si>
  <si>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</si>
  <si>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</si>
  <si>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</si>
  <si>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</si>
  <si>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</si>
  <si>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</si>
  <si>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</si>
  <si>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</si>
  <si>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</si>
  <si>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</si>
  <si>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</si>
  <si>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</si>
  <si>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</si>
  <si>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</si>
  <si>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</si>
  <si>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</si>
  <si>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</si>
  <si>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</si>
  <si>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</si>
  <si>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</si>
  <si>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</si>
  <si>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</si>
  <si>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</si>
  <si>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</si>
  <si>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</si>
  <si>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</si>
  <si>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</si>
  <si>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</si>
  <si>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</si>
  <si>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</si>
  <si>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</si>
  <si>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</si>
  <si>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</si>
  <si>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</si>
  <si>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</si>
  <si>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</si>
  <si>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</si>
  <si>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</si>
  <si>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</si>
  <si>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</si>
  <si>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</si>
  <si>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</si>
  <si>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</si>
  <si>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</si>
  <si>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</si>
  <si>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</si>
  <si>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</si>
  <si>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</si>
  <si>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</si>
  <si>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</si>
  <si>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</si>
  <si>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</si>
  <si>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</si>
  <si>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</si>
  <si>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</si>
  <si>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</si>
  <si>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</si>
  <si>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</si>
  <si>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</si>
  <si>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</si>
  <si>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</si>
  <si>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</si>
  <si>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</si>
  <si>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</si>
  <si>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</si>
  <si>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</si>
  <si>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</si>
  <si>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</si>
  <si>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</si>
  <si>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</si>
  <si>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</si>
  <si>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</si>
  <si>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</si>
  <si>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</si>
  <si>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</si>
  <si>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</si>
  <si>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</si>
  <si>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</si>
  <si>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</si>
  <si>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</si>
  <si>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</si>
  <si>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</si>
  <si>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</si>
  <si>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</si>
  <si>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</si>
  <si>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</si>
  <si>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</si>
  <si>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</si>
  <si>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</si>
  <si>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</si>
  <si>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</si>
  <si>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</si>
  <si>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</si>
  <si>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</si>
  <si>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</si>
  <si>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</si>
  <si>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</si>
  <si>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</si>
  <si>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</si>
  <si>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</si>
  <si>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</si>
  <si>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</si>
  <si>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</si>
  <si>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</si>
  <si>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</si>
  <si>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</si>
  <si>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</si>
  <si>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</si>
  <si>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</si>
  <si>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</si>
  <si>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</si>
  <si>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</si>
  <si>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</si>
  <si>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</si>
  <si>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</si>
  <si>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</si>
  <si>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</si>
  <si>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</si>
  <si>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</si>
  <si>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</si>
  <si>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</si>
  <si>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</si>
  <si>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</si>
  <si>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</si>
  <si>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</si>
  <si>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</si>
  <si>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</si>
  <si>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</si>
  <si>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</si>
  <si>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</si>
  <si>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</si>
  <si>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</si>
  <si>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</si>
  <si>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</si>
  <si>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</si>
  <si>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</si>
  <si>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</si>
  <si>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</si>
  <si>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</si>
  <si>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</si>
  <si>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</si>
  <si>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</si>
  <si>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</si>
  <si>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</si>
  <si>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</si>
  <si>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</si>
  <si>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</si>
  <si>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</si>
  <si>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</si>
  <si>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</si>
  <si>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</si>
  <si>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</si>
  <si>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</si>
  <si>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</si>
  <si>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</si>
  <si>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</si>
  <si>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</si>
  <si>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</si>
  <si>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</si>
  <si>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</si>
  <si>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</si>
  <si>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</si>
  <si>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</si>
  <si>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</si>
  <si>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</si>
  <si>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</si>
  <si>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</si>
  <si>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</si>
  <si>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</si>
  <si>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</si>
  <si>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</si>
  <si>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</si>
  <si>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</si>
  <si>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</si>
  <si>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</si>
  <si>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</si>
  <si>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</si>
  <si>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</si>
  <si>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</si>
  <si>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</si>
  <si>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</si>
  <si>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</si>
  <si>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</si>
  <si>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</si>
  <si>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</si>
  <si>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</si>
  <si>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</si>
  <si>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</si>
  <si>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</si>
  <si>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</si>
  <si>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</si>
  <si>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</si>
  <si>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</si>
  <si>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</si>
  <si>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</si>
  <si>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</si>
  <si>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</si>
  <si>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</si>
  <si>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</si>
  <si>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</si>
  <si>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</si>
  <si>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</si>
  <si>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</si>
  <si>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</si>
  <si>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</si>
  <si>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</si>
  <si>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</si>
  <si>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</si>
  <si>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</si>
  <si>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</si>
  <si>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</si>
  <si>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</si>
  <si>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</si>
  <si>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</si>
  <si>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</si>
  <si>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</si>
  <si>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</si>
  <si>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</si>
  <si>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</si>
  <si>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</si>
  <si>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</si>
  <si>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</si>
  <si>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</si>
  <si>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</si>
  <si>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</si>
  <si>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</si>
  <si>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</si>
  <si>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</si>
  <si>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</si>
  <si>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</si>
  <si>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</si>
  <si>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</si>
  <si>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</si>
  <si>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</si>
  <si>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</si>
  <si>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</si>
  <si>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</si>
  <si>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</si>
  <si>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</si>
  <si>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</si>
  <si>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</si>
  <si>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</si>
  <si>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</si>
  <si>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</si>
  <si>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</si>
  <si>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</si>
  <si>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</si>
  <si>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</si>
  <si>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</si>
  <si>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</si>
  <si>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</si>
  <si>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</si>
  <si>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</si>
  <si>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</si>
  <si>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</si>
  <si>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</si>
  <si>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</si>
  <si>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</si>
  <si>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</si>
  <si>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</si>
  <si>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</si>
  <si>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</si>
  <si>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</si>
  <si>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</si>
  <si>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</si>
  <si>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</si>
  <si>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</si>
  <si>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</si>
  <si>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</si>
  <si>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</si>
  <si>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</si>
  <si>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</si>
  <si>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</si>
  <si>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</si>
  <si>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</si>
  <si>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</si>
  <si>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</si>
  <si>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</si>
  <si>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</si>
  <si>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</si>
  <si>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</si>
  <si>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</si>
  <si>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</si>
  <si>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</si>
  <si>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</si>
  <si>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</si>
  <si>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</si>
  <si>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</si>
  <si>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</si>
  <si>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</si>
  <si>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</si>
  <si>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</si>
  <si>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</si>
  <si>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</si>
  <si>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</si>
  <si>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</si>
  <si>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</si>
  <si>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</si>
  <si>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</si>
  <si>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</si>
  <si>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</si>
  <si>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</si>
  <si>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</si>
  <si>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</si>
  <si>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</si>
  <si>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</si>
  <si>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</si>
  <si>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</si>
  <si>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</si>
  <si>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</si>
  <si>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</si>
  <si>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</si>
  <si>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</si>
  <si>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</si>
  <si>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</si>
  <si>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</si>
  <si>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</si>
  <si>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</si>
  <si>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</si>
  <si>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</si>
  <si>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</si>
  <si>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</si>
  <si>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</si>
  <si>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</si>
  <si>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</si>
  <si>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</si>
  <si>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</si>
  <si>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</si>
  <si>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</si>
  <si>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</si>
  <si>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</si>
  <si>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</si>
  <si>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</si>
  <si>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</si>
  <si>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</si>
  <si>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</si>
  <si>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</si>
  <si>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</si>
  <si>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</si>
  <si>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</si>
  <si>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</si>
  <si>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</si>
  <si>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</si>
  <si>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</si>
  <si>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</si>
  <si>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</si>
  <si>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</si>
  <si>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</si>
  <si>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</si>
  <si>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</si>
  <si>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</si>
  <si>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</si>
  <si>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</si>
  <si>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</si>
  <si>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</si>
  <si>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</si>
  <si>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</si>
  <si>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</si>
  <si>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</si>
  <si>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</si>
  <si>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</si>
  <si>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</si>
  <si>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</si>
  <si>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</si>
  <si>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</si>
  <si>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</si>
  <si>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</si>
  <si>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</si>
  <si>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</si>
  <si>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</si>
  <si>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</si>
  <si>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</si>
  <si>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</si>
  <si>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</si>
  <si>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</si>
  <si>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</si>
  <si>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</si>
  <si>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</si>
  <si>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</si>
  <si>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</si>
  <si>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</si>
  <si>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</si>
  <si>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</si>
  <si>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</si>
  <si>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</si>
  <si>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</si>
  <si>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</si>
  <si>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</si>
  <si>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</si>
  <si>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</si>
  <si>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</si>
  <si>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</si>
  <si>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</si>
  <si>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</si>
  <si>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</si>
  <si>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</si>
  <si>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</si>
  <si>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</si>
  <si>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</si>
  <si>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</si>
  <si>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</si>
  <si>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</si>
  <si>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</si>
  <si>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</si>
  <si>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</si>
  <si>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</si>
  <si>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</si>
  <si>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</si>
  <si>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</si>
  <si>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</si>
  <si>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</si>
  <si>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</si>
  <si>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</si>
  <si>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</si>
  <si>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</si>
  <si>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</si>
  <si>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</si>
  <si>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</si>
  <si>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</si>
  <si>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</si>
  <si>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</si>
  <si>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</si>
  <si>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</si>
  <si>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</si>
  <si>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</si>
  <si>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</si>
  <si>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</si>
  <si>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</si>
  <si>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</si>
  <si>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</si>
  <si>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</si>
  <si>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</si>
  <si>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</si>
  <si>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</si>
  <si>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</si>
  <si>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</si>
  <si>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</si>
  <si>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</si>
  <si>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</si>
  <si>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</si>
  <si>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</si>
  <si>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</si>
  <si>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</si>
  <si>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</si>
  <si>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</si>
  <si>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</si>
  <si>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</si>
  <si>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</si>
  <si>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</si>
  <si>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</si>
  <si>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</si>
  <si>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</si>
  <si>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</si>
  <si>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</si>
  <si>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</si>
  <si>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</si>
  <si>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</si>
  <si>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</si>
  <si>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</si>
  <si>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</si>
  <si>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</si>
  <si>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</si>
  <si>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</si>
  <si>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</si>
  <si>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</si>
  <si>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</si>
  <si>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</si>
  <si>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</si>
  <si>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</si>
  <si>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</si>
  <si>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</si>
  <si>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</si>
  <si>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</si>
  <si>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</si>
  <si>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</si>
  <si>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</si>
  <si>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</si>
  <si>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</si>
  <si>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</si>
  <si>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</si>
  <si>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</si>
  <si>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</si>
  <si>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</si>
  <si>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</si>
  <si>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</si>
  <si>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</si>
  <si>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</si>
  <si>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</si>
  <si>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</si>
  <si>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</si>
  <si>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</si>
  <si>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</si>
  <si>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</si>
  <si>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</si>
  <si>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</si>
  <si>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</si>
  <si>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</si>
  <si>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</si>
  <si>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</si>
  <si>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</si>
  <si>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</si>
  <si>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</si>
  <si>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</si>
  <si>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</si>
  <si>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</si>
  <si>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</si>
  <si>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</si>
  <si>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</si>
  <si>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</si>
  <si>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</si>
  <si>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</si>
  <si>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</si>
  <si>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</si>
  <si>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</si>
  <si>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</si>
  <si>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 השתלמות לטווח קצר</t>
  </si>
  <si>
    <t>הפניקס השתלמות עד 25% מניות</t>
  </si>
  <si>
    <t>הפניקס השתלמות שקלי טווח קצר</t>
  </si>
  <si>
    <t>הפניקס גמל עד 15% מניות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</si>
  <si>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</si>
  <si>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</si>
  <si>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</si>
  <si>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</si>
  <si>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</si>
  <si>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</si>
  <si>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</si>
  <si>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</si>
  <si>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</si>
  <si>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פאסיבי לבמי 50 ומטה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</si>
  <si>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</si>
  <si>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</si>
  <si>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</si>
  <si>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</si>
  <si>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</si>
  <si>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</si>
  <si>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</si>
  <si>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</si>
  <si>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</si>
  <si>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</si>
  <si>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</si>
  <si>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</si>
  <si>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</si>
  <si>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</si>
  <si>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</si>
  <si>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</si>
  <si>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</si>
  <si>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 גמל פאסיבי לבני 50 עד 60</t>
  </si>
  <si>
    <t>הפניקס גמל פאסיבי לבני 60 ומעלה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</si>
  <si>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</si>
  <si>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</si>
  <si>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</si>
  <si>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</si>
  <si>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גמל מסלול עוקב מדדים גמיש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</si>
  <si>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</si>
  <si>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</si>
  <si>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</si>
  <si>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</si>
  <si>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</si>
  <si>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</si>
  <si>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</si>
  <si>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</si>
  <si>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גמל חו"ל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</si>
  <si>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</si>
  <si>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</si>
  <si>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</si>
  <si>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</si>
  <si>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</si>
  <si>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</si>
  <si>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513026484-00000000000399-0686-000</t>
  </si>
  <si>
    <t>513026484-00000000000399-1190-000</t>
  </si>
  <si>
    <t>513026484-00000000000399-0715-000</t>
  </si>
  <si>
    <t>513026484-00000000000102-0211-000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</si>
  <si>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</si>
  <si>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</si>
  <si>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</si>
  <si>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</si>
  <si>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</si>
  <si>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</si>
  <si>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</si>
  <si>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</si>
  <si>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</si>
  <si>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</si>
  <si>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</si>
  <si>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</si>
  <si>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</si>
  <si>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</si>
  <si>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</si>
  <si>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</si>
  <si>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</si>
  <si>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</si>
  <si>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</si>
  <si>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</si>
  <si>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</si>
  <si>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</si>
  <si>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</si>
  <si>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</si>
  <si>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</si>
  <si>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</si>
  <si>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</si>
  <si>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513026484-00000000000102-9917-000</t>
  </si>
  <si>
    <t>513026484-00000000000102-8624-000</t>
  </si>
  <si>
    <t>513026484-00000000000102-8626-000</t>
  </si>
  <si>
    <t>תחילת מידע טבלה</t>
  </si>
  <si>
    <t>סוף מידע טבלה צד שמאל</t>
  </si>
  <si>
    <t>סוף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</si>
</sst>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1</xdr:row>
      <xdr:rowOff>0</xdr:rowOff>
    </xdr:from>
    <xdr:to>
      <xdr:col>3</xdr:col>
      <xdr:colOff>257175</xdr:colOff>
      <xdr:row>4</xdr:row>
      <xdr:rowOff>31623</xdr:rowOff>
    </xdr:to>
    <xdr:sp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6517940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142875</xdr:colOff>
      <xdr:row>0</xdr:row>
      <xdr:rowOff>161925</xdr:rowOff>
    </xdr:from>
    <xdr:to>
      <xdr:col>1</xdr:col>
      <xdr:colOff>459958</xdr:colOff>
      <xdr:row>2</xdr:row>
      <xdr:rowOff>101102</xdr:rowOff>
    </xdr:to>
    <xdr:pic>
      <xdr:nvPicPr>
        <xdr:cNvPr id="4" name="תמונה 3" descr="קוֹבֶץ זֶה הוּנְגַּש עַל יְדֵי חברת אֵיְי טוּ זִי - סֶמֶל  הַנגישוּת">
          <a:extLst>
            <a:ext uri="{FF2B5EF4-FFF2-40B4-BE49-F238E27FC236}">
              <a16:creationId xmlns:a16="http://schemas.microsoft.com/office/drawing/2014/main" id="{A379A0D5-8A23-EC8C-E83B-EB4A2E25C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5001442" y="161925"/>
          <a:ext cx="317083" cy="320177"/>
        </a:xfrm>
        <a:prstGeom prst="rect">
          <a:avLst/>
        </a:prstGeom>
      </xdr:spPr>
    </xdr:pic>
    <xdr:clientData/>
  </xdr:twoCellAnchor>
</xdr:wsDr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09"/>
      <sheetName val="גיליון211"/>
      <sheetName val="גיליון213"/>
      <sheetName val="גיליון215"/>
      <sheetName val="גיליון217"/>
      <sheetName val="גיליון219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60"/>
  <sheetViews>
    <sheetView rightToLeft="1" tabSelected="1" workbookViewId="0">
      <selection activeCell="C7" sqref="C7"/>
    </sheetView>
  </sheetViews>
  <sheetFormatPr defaultRowHeight="14.25" x14ac:dyDescent="0.2"/>
  <sheetData>
    <row r="1" spans="1:58" x14ac:dyDescent="0.2">
      <c r="A1" s="21" t="s">
        <v>707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</row>
    <row r="2" spans="1:58" ht="15.75" x14ac:dyDescent="0.25">
      <c r="A2" s="1"/>
      <c r="B2" s="2"/>
      <c r="C2" s="2"/>
      <c r="D2" s="2"/>
      <c r="E2">
        <v>6</v>
      </c>
      <c r="F2">
        <v>10</v>
      </c>
      <c r="G2">
        <v>30</v>
      </c>
      <c r="H2">
        <v>50</v>
      </c>
      <c r="I2">
        <v>93</v>
      </c>
      <c r="J2">
        <v>99</v>
      </c>
      <c r="K2">
        <v>100</v>
      </c>
      <c r="L2">
        <v>101</v>
      </c>
      <c r="M2">
        <v>102</v>
      </c>
      <c r="N2">
        <v>121</v>
      </c>
      <c r="O2">
        <v>122</v>
      </c>
      <c r="P2">
        <v>142</v>
      </c>
      <c r="Q2">
        <v>164</v>
      </c>
      <c r="R2">
        <v>167</v>
      </c>
      <c r="S2">
        <v>169</v>
      </c>
      <c r="T2">
        <v>425</v>
      </c>
      <c r="U2">
        <v>426</v>
      </c>
      <c r="V2">
        <v>499</v>
      </c>
      <c r="W2">
        <v>519</v>
      </c>
      <c r="X2">
        <v>525</v>
      </c>
      <c r="Y2">
        <v>526</v>
      </c>
      <c r="Z2">
        <v>570</v>
      </c>
      <c r="AA2">
        <v>571</v>
      </c>
      <c r="AB2">
        <v>572</v>
      </c>
      <c r="AC2">
        <v>573</v>
      </c>
      <c r="AD2">
        <v>574</v>
      </c>
      <c r="AE2">
        <v>628</v>
      </c>
      <c r="AF2">
        <v>629</v>
      </c>
      <c r="AG2">
        <v>631</v>
      </c>
      <c r="AH2">
        <v>632</v>
      </c>
      <c r="AI2">
        <v>658</v>
      </c>
      <c r="AJ2">
        <v>660</v>
      </c>
      <c r="AK2">
        <v>662</v>
      </c>
      <c r="AL2">
        <v>664</v>
      </c>
      <c r="AM2">
        <v>666</v>
      </c>
      <c r="AN2">
        <v>726</v>
      </c>
      <c r="AO2">
        <v>737</v>
      </c>
      <c r="AP2">
        <v>805</v>
      </c>
      <c r="AQ2">
        <v>807</v>
      </c>
      <c r="AR2">
        <v>827</v>
      </c>
      <c r="AS2">
        <v>575</v>
      </c>
      <c r="AT2">
        <v>576</v>
      </c>
      <c r="AU2">
        <v>359</v>
      </c>
      <c r="AV2">
        <v>360</v>
      </c>
      <c r="AW2" s="9">
        <v>828</v>
      </c>
      <c r="AX2" s="9">
        <v>844</v>
      </c>
      <c r="AY2" s="9">
        <v>839</v>
      </c>
      <c r="AZ2" s="9">
        <v>857</v>
      </c>
      <c r="BA2" s="9">
        <v>851</v>
      </c>
      <c r="BB2" s="9">
        <v>849</v>
      </c>
      <c r="BC2" s="9">
        <v>846</v>
      </c>
      <c r="BD2" s="9">
        <v>834</v>
      </c>
      <c r="BE2" s="9">
        <v>488</v>
      </c>
      <c r="BF2" s="21" t="s">
        <v>708</v>
      </c>
    </row>
    <row r="3" spans="1:58" x14ac:dyDescent="0.2">
      <c r="E3" s="10">
        <v>401</v>
      </c>
      <c r="F3" s="10">
        <v>242</v>
      </c>
      <c r="G3" s="10">
        <v>385</v>
      </c>
      <c r="H3" s="10">
        <v>528</v>
      </c>
      <c r="I3" s="10">
        <v>384</v>
      </c>
      <c r="J3" s="10">
        <v>716</v>
      </c>
      <c r="K3" s="10">
        <v>686</v>
      </c>
      <c r="L3" s="10">
        <v>1190</v>
      </c>
      <c r="M3" s="10">
        <v>715</v>
      </c>
      <c r="N3" s="10">
        <v>211</v>
      </c>
      <c r="O3" s="10">
        <v>9916</v>
      </c>
      <c r="P3" s="10">
        <v>1100</v>
      </c>
      <c r="Q3" s="10">
        <v>801</v>
      </c>
      <c r="R3" s="10">
        <v>804</v>
      </c>
      <c r="S3" s="10">
        <v>806</v>
      </c>
      <c r="T3" s="10">
        <v>8765</v>
      </c>
      <c r="U3" s="10">
        <v>8766</v>
      </c>
      <c r="V3" s="10">
        <v>9418</v>
      </c>
      <c r="W3" s="10">
        <v>9475</v>
      </c>
      <c r="X3" s="10">
        <v>9905</v>
      </c>
      <c r="Y3" s="10">
        <v>9906</v>
      </c>
      <c r="Z3" s="10">
        <v>7905</v>
      </c>
      <c r="AA3" s="10">
        <v>7906</v>
      </c>
      <c r="AB3" s="10">
        <v>7907</v>
      </c>
      <c r="AC3" s="10">
        <v>7908</v>
      </c>
      <c r="AD3" s="10">
        <v>7909</v>
      </c>
      <c r="AE3" s="10">
        <v>11310</v>
      </c>
      <c r="AF3" s="10">
        <v>11311</v>
      </c>
      <c r="AG3" s="10">
        <v>11312</v>
      </c>
      <c r="AH3" s="10">
        <v>11335</v>
      </c>
      <c r="AI3" s="10">
        <v>9529</v>
      </c>
      <c r="AJ3" s="10">
        <v>961</v>
      </c>
      <c r="AK3" s="10">
        <v>9528</v>
      </c>
      <c r="AL3" s="10">
        <v>964</v>
      </c>
      <c r="AM3" s="10">
        <v>968</v>
      </c>
      <c r="AN3" s="10">
        <v>8629</v>
      </c>
      <c r="AO3" s="10">
        <v>13264</v>
      </c>
      <c r="AP3" s="10">
        <v>9917</v>
      </c>
      <c r="AQ3" s="10">
        <v>8624</v>
      </c>
      <c r="AR3" s="10">
        <v>13263</v>
      </c>
      <c r="AS3" s="10">
        <v>13209</v>
      </c>
      <c r="AT3" s="10">
        <v>13250</v>
      </c>
      <c r="AU3" s="10">
        <v>14281</v>
      </c>
      <c r="AV3" s="10">
        <v>14282</v>
      </c>
      <c r="AW3" s="11">
        <v>2049</v>
      </c>
      <c r="AX3" s="12">
        <v>7975</v>
      </c>
      <c r="AY3" s="12">
        <v>8004</v>
      </c>
      <c r="AZ3" s="11">
        <v>1008</v>
      </c>
      <c r="BA3" s="11">
        <v>9484</v>
      </c>
      <c r="BB3" s="11">
        <v>682</v>
      </c>
      <c r="BC3" s="11">
        <v>11352</v>
      </c>
      <c r="BD3" s="11">
        <v>2058</v>
      </c>
      <c r="BE3" s="11">
        <v>12088</v>
      </c>
      <c r="BF3" s="21"/>
    </row>
    <row r="4" spans="1:58" ht="15.75" x14ac:dyDescent="0.25">
      <c r="A4" s="3">
        <v>45261</v>
      </c>
      <c r="B4" s="2"/>
      <c r="C4" s="2"/>
      <c r="D4" s="2"/>
      <c r="E4" t="s">
        <v>614</v>
      </c>
      <c r="F4" t="s">
        <v>615</v>
      </c>
      <c r="G4" t="s">
        <v>616</v>
      </c>
      <c r="H4" t="s">
        <v>617</v>
      </c>
      <c r="I4" t="s">
        <v>618</v>
      </c>
      <c r="J4" t="s">
        <v>619</v>
      </c>
      <c r="K4" t="s">
        <v>620</v>
      </c>
      <c r="L4" t="s">
        <v>621</v>
      </c>
      <c r="M4" t="s">
        <v>622</v>
      </c>
      <c r="N4" t="s">
        <v>623</v>
      </c>
      <c r="O4" t="s">
        <v>624</v>
      </c>
      <c r="P4" t="s">
        <v>625</v>
      </c>
      <c r="Q4" t="s">
        <v>626</v>
      </c>
      <c r="R4" t="s">
        <v>627</v>
      </c>
      <c r="S4" t="s">
        <v>628</v>
      </c>
      <c r="T4" t="s">
        <v>629</v>
      </c>
      <c r="U4" t="s">
        <v>630</v>
      </c>
      <c r="V4" t="s">
        <v>631</v>
      </c>
      <c r="W4" t="s">
        <v>632</v>
      </c>
      <c r="X4" t="s">
        <v>633</v>
      </c>
      <c r="Y4" t="s">
        <v>634</v>
      </c>
      <c r="Z4" t="s">
        <v>635</v>
      </c>
      <c r="AA4" t="s">
        <v>636</v>
      </c>
      <c r="AB4" t="s">
        <v>637</v>
      </c>
      <c r="AC4" t="s">
        <v>638</v>
      </c>
      <c r="AD4" t="s">
        <v>639</v>
      </c>
      <c r="AE4" t="s">
        <v>640</v>
      </c>
      <c r="AF4" t="s">
        <v>641</v>
      </c>
      <c r="AG4" t="s">
        <v>642</v>
      </c>
      <c r="AH4" t="s">
        <v>643</v>
      </c>
      <c r="AI4" t="s">
        <v>644</v>
      </c>
      <c r="AJ4" t="s">
        <v>645</v>
      </c>
      <c r="AK4" t="s">
        <v>646</v>
      </c>
      <c r="AL4" t="s">
        <v>647</v>
      </c>
      <c r="AM4" t="s">
        <v>648</v>
      </c>
      <c r="AN4" t="s">
        <v>649</v>
      </c>
      <c r="AO4" t="s">
        <v>650</v>
      </c>
      <c r="AP4" t="s">
        <v>651</v>
      </c>
      <c r="AQ4" t="s">
        <v>652</v>
      </c>
      <c r="AR4" t="s">
        <v>653</v>
      </c>
      <c r="AS4" t="s">
        <v>654</v>
      </c>
      <c r="AT4" t="s">
        <v>655</v>
      </c>
      <c r="AU4" t="s">
        <v>656</v>
      </c>
      <c r="AV4" t="s">
        <v>657</v>
      </c>
      <c r="AW4" s="13" t="s">
        <v>658</v>
      </c>
      <c r="AX4" s="14" t="s">
        <v>659</v>
      </c>
      <c r="AY4" s="13" t="s">
        <v>660</v>
      </c>
      <c r="AZ4" s="13" t="s">
        <v>661</v>
      </c>
      <c r="BA4" s="13" t="s">
        <v>662</v>
      </c>
      <c r="BB4" s="13" t="s">
        <v>663</v>
      </c>
      <c r="BC4" s="13" t="s">
        <v>664</v>
      </c>
      <c r="BD4" s="13" t="s">
        <v>665</v>
      </c>
      <c r="BE4" s="13" t="s">
        <v>666</v>
      </c>
      <c r="BF4" s="21"/>
    </row>
    <row r="5" spans="1:58" ht="15.75" x14ac:dyDescent="0.25">
      <c r="A5" s="4"/>
      <c r="B5" s="5"/>
      <c r="C5" s="5"/>
      <c r="D5" s="6" t="s">
        <v>0</v>
      </c>
      <c r="E5" s="15" t="s">
        <v>667</v>
      </c>
      <c r="F5" s="15" t="s">
        <v>668</v>
      </c>
      <c r="G5" s="15" t="s">
        <v>669</v>
      </c>
      <c r="H5" s="15" t="s">
        <v>670</v>
      </c>
      <c r="I5" s="15" t="s">
        <v>671</v>
      </c>
      <c r="J5" s="15" t="s">
        <v>672</v>
      </c>
      <c r="K5" s="15" t="s">
        <v>673</v>
      </c>
      <c r="L5" s="15" t="s">
        <v>674</v>
      </c>
      <c r="M5" s="15" t="s">
        <v>675</v>
      </c>
      <c r="N5" s="15" t="s">
        <v>676</v>
      </c>
      <c r="O5" s="15" t="s">
        <v>677</v>
      </c>
      <c r="P5" s="15" t="s">
        <v>678</v>
      </c>
      <c r="Q5" s="15" t="s">
        <v>679</v>
      </c>
      <c r="R5" s="15" t="s">
        <v>680</v>
      </c>
      <c r="S5" s="15" t="s">
        <v>681</v>
      </c>
      <c r="T5" s="15" t="s">
        <v>682</v>
      </c>
      <c r="U5" s="15" t="s">
        <v>683</v>
      </c>
      <c r="V5" s="15" t="s">
        <v>684</v>
      </c>
      <c r="W5" s="15" t="s">
        <v>685</v>
      </c>
      <c r="X5" s="15" t="s">
        <v>686</v>
      </c>
      <c r="Y5" s="15" t="s">
        <v>687</v>
      </c>
      <c r="Z5" s="15" t="s">
        <v>688</v>
      </c>
      <c r="AA5" s="15" t="s">
        <v>689</v>
      </c>
      <c r="AB5" s="15" t="s">
        <v>690</v>
      </c>
      <c r="AC5" s="15" t="s">
        <v>691</v>
      </c>
      <c r="AD5" s="15" t="s">
        <v>692</v>
      </c>
      <c r="AE5" s="15" t="s">
        <v>693</v>
      </c>
      <c r="AF5" s="15" t="s">
        <v>694</v>
      </c>
      <c r="AG5" s="15" t="s">
        <v>695</v>
      </c>
      <c r="AH5" s="15" t="s">
        <v>696</v>
      </c>
      <c r="AI5" s="15" t="s">
        <v>697</v>
      </c>
      <c r="AJ5" s="15" t="s">
        <v>698</v>
      </c>
      <c r="AK5" s="15" t="s">
        <v>699</v>
      </c>
      <c r="AL5" s="15" t="s">
        <v>700</v>
      </c>
      <c r="AM5" s="15" t="s">
        <v>701</v>
      </c>
      <c r="AN5" s="15" t="s">
        <v>702</v>
      </c>
      <c r="AO5" s="15" t="s">
        <v>703</v>
      </c>
      <c r="AP5" s="15" t="s">
        <v>704</v>
      </c>
      <c r="AQ5" s="15" t="s">
        <v>705</v>
      </c>
      <c r="AR5" s="15" t="s">
        <v>706</v>
      </c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21"/>
    </row>
    <row r="6" spans="1:58" ht="15.75" x14ac:dyDescent="0.25">
      <c r="A6" s="5" t="s">
        <v>1</v>
      </c>
      <c r="B6" s="5" t="s">
        <v>2</v>
      </c>
      <c r="C6" s="7">
        <v>1</v>
      </c>
      <c r="D6" s="7">
        <v>1</v>
      </c>
      <c r="E6" s="7">
        <v>151325.37</v>
      </c>
      <c r="F6" s="7">
        <v>28511.865000000002</v>
      </c>
      <c r="G6" s="7">
        <v>24849.362000000001</v>
      </c>
      <c r="H6" s="7">
        <v>-378.29599999999999</v>
      </c>
      <c r="I6" s="7">
        <v>3950.8449999999998</v>
      </c>
      <c r="J6" s="7">
        <v>16078.038</v>
      </c>
      <c r="K6" s="7">
        <v>123204.389</v>
      </c>
      <c r="L6" s="7">
        <v>21777.100999999999</v>
      </c>
      <c r="M6" s="7">
        <v>12731.974</v>
      </c>
      <c r="N6" s="7">
        <v>52201.502999999997</v>
      </c>
      <c r="O6" s="7">
        <v>269949.14299999998</v>
      </c>
      <c r="P6" s="7">
        <v>55158.057000000001</v>
      </c>
      <c r="Q6" s="7">
        <v>3.0030000000000001</v>
      </c>
      <c r="R6" s="7">
        <v>429.072</v>
      </c>
      <c r="S6" s="7">
        <v>111.15</v>
      </c>
      <c r="T6" s="7">
        <v>485.58800000000002</v>
      </c>
      <c r="U6" s="7">
        <v>291.678</v>
      </c>
      <c r="V6" s="7">
        <v>8330.5609999999997</v>
      </c>
      <c r="W6" s="7">
        <v>1.423</v>
      </c>
      <c r="X6" s="7">
        <v>6643.6490000000003</v>
      </c>
      <c r="Y6" s="7">
        <v>9846.5910000000003</v>
      </c>
      <c r="Z6" s="7">
        <v>2053.5650000000001</v>
      </c>
      <c r="AA6" s="7">
        <v>8917.7819999999992</v>
      </c>
      <c r="AB6" s="7">
        <v>16909.912</v>
      </c>
      <c r="AC6" s="7">
        <v>25826.237000000001</v>
      </c>
      <c r="AD6" s="7">
        <v>4930.7340000000004</v>
      </c>
      <c r="AE6" s="7">
        <v>16434.046999999999</v>
      </c>
      <c r="AF6" s="7">
        <v>13389.197</v>
      </c>
      <c r="AG6" s="7">
        <v>4581.9399999999996</v>
      </c>
      <c r="AH6" s="7">
        <v>868.05499999999995</v>
      </c>
      <c r="AI6" s="7">
        <v>146577.00200000001</v>
      </c>
      <c r="AJ6" s="7">
        <v>46599.103999999999</v>
      </c>
      <c r="AK6" s="7">
        <v>3523.1329999999998</v>
      </c>
      <c r="AL6" s="7">
        <v>413757.71299999999</v>
      </c>
      <c r="AM6" s="7">
        <v>86977.597999999998</v>
      </c>
      <c r="AN6" s="7">
        <v>24160.667000000001</v>
      </c>
      <c r="AO6" s="7">
        <v>145548.45600000001</v>
      </c>
      <c r="AP6" s="7">
        <v>16751.588</v>
      </c>
      <c r="AQ6" s="7">
        <v>7764.4970000000003</v>
      </c>
      <c r="AR6" s="7">
        <v>90209.597999999998</v>
      </c>
      <c r="AS6" s="7">
        <v>6593.3</v>
      </c>
      <c r="AT6" s="7">
        <v>63744.667000000001</v>
      </c>
      <c r="AU6" s="7">
        <v>282.30099999999999</v>
      </c>
      <c r="AV6" s="7">
        <v>453.363</v>
      </c>
      <c r="AW6" s="7">
        <v>2287.4209999999998</v>
      </c>
      <c r="AX6" s="7">
        <v>18905.759999999998</v>
      </c>
      <c r="AY6" s="7">
        <v>918.95399999999995</v>
      </c>
      <c r="AZ6" s="7">
        <v>200.411</v>
      </c>
      <c r="BA6" s="7">
        <v>0</v>
      </c>
      <c r="BB6" s="7">
        <v>13190.103999999999</v>
      </c>
      <c r="BC6" s="7">
        <v>528.50099999999998</v>
      </c>
      <c r="BD6" s="7">
        <v>2883.8870000000002</v>
      </c>
      <c r="BE6" s="7">
        <v>10489.295</v>
      </c>
      <c r="BF6" s="21"/>
    </row>
    <row r="7" spans="1:58" ht="15.75" x14ac:dyDescent="0.25">
      <c r="A7" s="5" t="s">
        <v>3</v>
      </c>
      <c r="B7" s="5" t="s">
        <v>4</v>
      </c>
      <c r="C7" s="7">
        <v>1</v>
      </c>
      <c r="D7" s="7">
        <v>1</v>
      </c>
      <c r="E7" s="7">
        <v>36737.781999999999</v>
      </c>
      <c r="F7" s="7">
        <v>11003.337</v>
      </c>
      <c r="G7" s="7">
        <v>6110.2240000000002</v>
      </c>
      <c r="H7" s="7">
        <v>1812.8040000000001</v>
      </c>
      <c r="I7" s="7">
        <v>3111.9540000000002</v>
      </c>
      <c r="J7" s="7">
        <v>3221.24</v>
      </c>
      <c r="K7" s="7">
        <v>47391.478999999999</v>
      </c>
      <c r="L7" s="7">
        <v>8367.4750000000004</v>
      </c>
      <c r="M7" s="7">
        <v>0</v>
      </c>
      <c r="N7" s="7">
        <v>16439.471000000001</v>
      </c>
      <c r="O7" s="7">
        <v>125923.18799999999</v>
      </c>
      <c r="P7" s="7">
        <v>17286.935000000001</v>
      </c>
      <c r="Q7" s="7">
        <v>0</v>
      </c>
      <c r="R7" s="7">
        <v>93.010999999999996</v>
      </c>
      <c r="S7" s="7">
        <v>579.41499999999996</v>
      </c>
      <c r="T7" s="7">
        <v>98.561999999999998</v>
      </c>
      <c r="U7" s="7">
        <v>160.256</v>
      </c>
      <c r="V7" s="7">
        <v>2445.9430000000002</v>
      </c>
      <c r="W7" s="7">
        <v>0</v>
      </c>
      <c r="X7" s="7">
        <v>1585.925</v>
      </c>
      <c r="Y7" s="7">
        <v>0</v>
      </c>
      <c r="Z7" s="7">
        <v>472.02199999999999</v>
      </c>
      <c r="AA7" s="7">
        <v>2020.7550000000001</v>
      </c>
      <c r="AB7" s="7">
        <v>4124.893</v>
      </c>
      <c r="AC7" s="7">
        <v>14918.225</v>
      </c>
      <c r="AD7" s="7">
        <v>165.50399999999999</v>
      </c>
      <c r="AE7" s="7">
        <v>4491.0439999999999</v>
      </c>
      <c r="AF7" s="7">
        <v>3387.2939999999999</v>
      </c>
      <c r="AG7" s="7">
        <v>1543.4190000000001</v>
      </c>
      <c r="AH7" s="7">
        <v>293.46100000000001</v>
      </c>
      <c r="AI7" s="7">
        <v>34042.391000000003</v>
      </c>
      <c r="AJ7" s="7">
        <v>12291.737999999999</v>
      </c>
      <c r="AK7" s="7">
        <v>1520.8910000000001</v>
      </c>
      <c r="AL7" s="7">
        <v>102199.727</v>
      </c>
      <c r="AM7" s="7">
        <v>22987.547999999999</v>
      </c>
      <c r="AN7" s="7">
        <v>15461.34</v>
      </c>
      <c r="AO7" s="7">
        <v>201837.43900000001</v>
      </c>
      <c r="AP7" s="7">
        <v>3812.136</v>
      </c>
      <c r="AQ7" s="7">
        <v>1503.617</v>
      </c>
      <c r="AR7" s="7">
        <v>127144.78</v>
      </c>
      <c r="AS7" s="7">
        <v>0</v>
      </c>
      <c r="AT7" s="7">
        <v>60664.561999999998</v>
      </c>
      <c r="AU7" s="7">
        <v>63.524999999999999</v>
      </c>
      <c r="AV7" s="7">
        <v>98.843999999999994</v>
      </c>
      <c r="AW7" s="7">
        <v>125.92700000000001</v>
      </c>
      <c r="AX7" s="7">
        <v>3181.7220000000002</v>
      </c>
      <c r="AY7" s="7">
        <v>1212.07</v>
      </c>
      <c r="AZ7" s="7">
        <v>42.372</v>
      </c>
      <c r="BA7" s="7">
        <v>0</v>
      </c>
      <c r="BB7" s="7">
        <v>2569.3939999999998</v>
      </c>
      <c r="BC7" s="7">
        <v>5407.2120000000004</v>
      </c>
      <c r="BD7" s="7">
        <v>1204.1890000000001</v>
      </c>
      <c r="BE7" s="7">
        <v>4821.3040000000001</v>
      </c>
      <c r="BF7" s="21"/>
    </row>
    <row r="8" spans="1:58" ht="15.75" x14ac:dyDescent="0.25">
      <c r="A8" s="5" t="s">
        <v>5</v>
      </c>
      <c r="B8" s="5" t="s">
        <v>6</v>
      </c>
      <c r="C8" s="7">
        <v>1</v>
      </c>
      <c r="D8" s="7">
        <v>1</v>
      </c>
      <c r="E8" s="7">
        <v>71308.284</v>
      </c>
      <c r="F8" s="7">
        <v>17976.36</v>
      </c>
      <c r="G8" s="7">
        <v>2469.8310000000001</v>
      </c>
      <c r="H8" s="7">
        <v>4797.2439999999997</v>
      </c>
      <c r="I8" s="7">
        <v>1671.8</v>
      </c>
      <c r="J8" s="7">
        <v>3199.2840000000001</v>
      </c>
      <c r="K8" s="7">
        <v>92018.483999999997</v>
      </c>
      <c r="L8" s="7">
        <v>9791.9830000000002</v>
      </c>
      <c r="M8" s="7">
        <v>1731.124</v>
      </c>
      <c r="N8" s="7">
        <v>16796.223999999998</v>
      </c>
      <c r="O8" s="7">
        <v>181170.29500000001</v>
      </c>
      <c r="P8" s="7">
        <v>16732.260999999999</v>
      </c>
      <c r="Q8" s="7">
        <v>386.70699999999999</v>
      </c>
      <c r="R8" s="7">
        <v>88.370999999999995</v>
      </c>
      <c r="S8" s="7">
        <v>288.58</v>
      </c>
      <c r="T8" s="7">
        <v>160.14599999999999</v>
      </c>
      <c r="U8" s="7">
        <v>1034.4069999999999</v>
      </c>
      <c r="V8" s="7">
        <v>5736.9250000000002</v>
      </c>
      <c r="W8" s="7">
        <v>89.596000000000004</v>
      </c>
      <c r="X8" s="7">
        <v>1772.7929999999999</v>
      </c>
      <c r="Y8" s="7">
        <v>4476.0140000000001</v>
      </c>
      <c r="Z8" s="7">
        <v>6562.6440000000002</v>
      </c>
      <c r="AA8" s="7">
        <v>3283.2289999999998</v>
      </c>
      <c r="AB8" s="7">
        <v>3015.9929999999999</v>
      </c>
      <c r="AC8" s="7">
        <v>51099.392999999996</v>
      </c>
      <c r="AD8" s="7">
        <v>1578.221</v>
      </c>
      <c r="AE8" s="7">
        <v>39922.322999999997</v>
      </c>
      <c r="AF8" s="7">
        <v>9472.0419999999995</v>
      </c>
      <c r="AG8" s="7">
        <v>3615.8220000000001</v>
      </c>
      <c r="AH8" s="7">
        <v>5123.4110000000001</v>
      </c>
      <c r="AI8" s="7">
        <v>71568.595000000001</v>
      </c>
      <c r="AJ8" s="7">
        <v>32804.656999999999</v>
      </c>
      <c r="AK8" s="7">
        <v>22087.606</v>
      </c>
      <c r="AL8" s="7">
        <v>226339.08900000001</v>
      </c>
      <c r="AM8" s="7">
        <v>65514.343999999997</v>
      </c>
      <c r="AN8" s="7">
        <v>7864.8209999999999</v>
      </c>
      <c r="AO8" s="7">
        <v>173309.535</v>
      </c>
      <c r="AP8" s="7">
        <v>2740.4580000000001</v>
      </c>
      <c r="AQ8" s="7">
        <v>4212.9219999999996</v>
      </c>
      <c r="AR8" s="7">
        <v>83667.649999999994</v>
      </c>
      <c r="AS8" s="7">
        <v>2290.7280000000001</v>
      </c>
      <c r="AT8" s="7">
        <v>58807.800999999999</v>
      </c>
      <c r="AU8" s="7">
        <v>436.69299999999998</v>
      </c>
      <c r="AV8" s="7">
        <v>736.88800000000003</v>
      </c>
      <c r="AW8" s="7">
        <v>0</v>
      </c>
      <c r="AX8" s="7">
        <v>9679.4930000000004</v>
      </c>
      <c r="AY8" s="7">
        <v>0</v>
      </c>
      <c r="AZ8" s="7">
        <v>40.767000000000003</v>
      </c>
      <c r="BA8" s="7">
        <v>0</v>
      </c>
      <c r="BB8" s="7">
        <v>406.65499999999997</v>
      </c>
      <c r="BC8" s="7">
        <v>0</v>
      </c>
      <c r="BD8" s="7">
        <v>0</v>
      </c>
      <c r="BE8" s="7">
        <v>10338.589</v>
      </c>
      <c r="BF8" s="21"/>
    </row>
    <row r="9" spans="1:58" ht="15.75" x14ac:dyDescent="0.25">
      <c r="A9" s="5" t="s">
        <v>7</v>
      </c>
      <c r="B9" s="5" t="s">
        <v>8</v>
      </c>
      <c r="C9" s="7">
        <v>1</v>
      </c>
      <c r="D9" s="7">
        <v>1</v>
      </c>
      <c r="E9" s="7">
        <v>328730.685</v>
      </c>
      <c r="F9" s="7">
        <v>89853.101999999999</v>
      </c>
      <c r="G9" s="7">
        <v>0</v>
      </c>
      <c r="H9" s="7">
        <v>0</v>
      </c>
      <c r="I9" s="7">
        <v>5230.4009999999998</v>
      </c>
      <c r="J9" s="7">
        <v>0.02</v>
      </c>
      <c r="K9" s="7">
        <v>497843.25599999999</v>
      </c>
      <c r="L9" s="7">
        <v>39985.654999999999</v>
      </c>
      <c r="M9" s="7">
        <v>0</v>
      </c>
      <c r="N9" s="7">
        <v>50627.097999999998</v>
      </c>
      <c r="O9" s="7">
        <v>1142299.7819999999</v>
      </c>
      <c r="P9" s="7">
        <v>65953.566000000006</v>
      </c>
      <c r="Q9" s="7">
        <v>0</v>
      </c>
      <c r="R9" s="7">
        <v>3678.3420000000001</v>
      </c>
      <c r="S9" s="7">
        <v>0</v>
      </c>
      <c r="T9" s="7">
        <v>3524.652</v>
      </c>
      <c r="U9" s="7">
        <v>630.89400000000001</v>
      </c>
      <c r="V9" s="7">
        <v>26589.735000000001</v>
      </c>
      <c r="W9" s="7">
        <v>0</v>
      </c>
      <c r="X9" s="7">
        <v>50069.584999999999</v>
      </c>
      <c r="Y9" s="7">
        <v>0</v>
      </c>
      <c r="Z9" s="7">
        <v>0</v>
      </c>
      <c r="AA9" s="7">
        <v>8807.8289999999997</v>
      </c>
      <c r="AB9" s="7">
        <v>133388.23199999999</v>
      </c>
      <c r="AC9" s="7">
        <v>197623.70499999999</v>
      </c>
      <c r="AD9" s="7">
        <v>35850.160000000003</v>
      </c>
      <c r="AE9" s="7">
        <v>0</v>
      </c>
      <c r="AF9" s="7">
        <v>108998.368</v>
      </c>
      <c r="AG9" s="7">
        <v>14670.972</v>
      </c>
      <c r="AH9" s="7">
        <v>6800.3059999999996</v>
      </c>
      <c r="AI9" s="7">
        <v>482072.22499999998</v>
      </c>
      <c r="AJ9" s="7">
        <v>234854.49</v>
      </c>
      <c r="AK9" s="7">
        <v>27429.981</v>
      </c>
      <c r="AL9" s="7">
        <v>1468657.966</v>
      </c>
      <c r="AM9" s="7">
        <v>451895.17599999998</v>
      </c>
      <c r="AN9" s="7">
        <v>230313.18599999999</v>
      </c>
      <c r="AO9" s="7">
        <v>4326724.2319999998</v>
      </c>
      <c r="AP9" s="7">
        <v>123557.236</v>
      </c>
      <c r="AQ9" s="7">
        <v>53094.296999999999</v>
      </c>
      <c r="AR9" s="7">
        <v>2767917.77</v>
      </c>
      <c r="AS9" s="7">
        <v>0</v>
      </c>
      <c r="AT9" s="7">
        <v>1324344.5689999999</v>
      </c>
      <c r="AU9" s="7">
        <v>1094.7840000000001</v>
      </c>
      <c r="AV9" s="7">
        <v>3552.1570000000002</v>
      </c>
      <c r="AW9" s="7">
        <v>0</v>
      </c>
      <c r="AX9" s="7">
        <v>67119.394</v>
      </c>
      <c r="AY9" s="7">
        <v>0</v>
      </c>
      <c r="AZ9" s="7">
        <v>267.90100000000001</v>
      </c>
      <c r="BA9" s="7">
        <v>0</v>
      </c>
      <c r="BB9" s="7">
        <v>2114.9279999999999</v>
      </c>
      <c r="BC9" s="7">
        <v>0</v>
      </c>
      <c r="BD9" s="7">
        <v>0</v>
      </c>
      <c r="BE9" s="7">
        <v>57270.652000000002</v>
      </c>
      <c r="BF9" s="21"/>
    </row>
    <row r="10" spans="1:58" ht="15.75" x14ac:dyDescent="0.25">
      <c r="A10" s="5" t="s">
        <v>9</v>
      </c>
      <c r="B10" s="5" t="s">
        <v>10</v>
      </c>
      <c r="C10" s="7">
        <v>1</v>
      </c>
      <c r="D10" s="7">
        <v>1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21"/>
    </row>
    <row r="11" spans="1:58" ht="15.75" x14ac:dyDescent="0.25">
      <c r="A11" s="5" t="s">
        <v>11</v>
      </c>
      <c r="B11" s="5" t="s">
        <v>12</v>
      </c>
      <c r="C11" s="7">
        <v>1</v>
      </c>
      <c r="D11" s="7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21"/>
    </row>
    <row r="12" spans="1:58" ht="15.75" x14ac:dyDescent="0.25">
      <c r="A12" s="5" t="s">
        <v>13</v>
      </c>
      <c r="B12" s="5" t="s">
        <v>14</v>
      </c>
      <c r="C12" s="7">
        <v>1</v>
      </c>
      <c r="D12" s="7">
        <v>1</v>
      </c>
      <c r="E12" s="7">
        <v>27690.851999999999</v>
      </c>
      <c r="F12" s="7">
        <v>6361.9260000000004</v>
      </c>
      <c r="G12" s="7">
        <v>2759.6660000000002</v>
      </c>
      <c r="H12" s="7">
        <v>488.18799999999999</v>
      </c>
      <c r="I12" s="7">
        <v>687.03599999999994</v>
      </c>
      <c r="J12" s="7">
        <v>2325.5210000000002</v>
      </c>
      <c r="K12" s="7">
        <v>29495.334999999999</v>
      </c>
      <c r="L12" s="7">
        <v>7147.13</v>
      </c>
      <c r="M12" s="7">
        <v>0</v>
      </c>
      <c r="N12" s="7">
        <v>15074.07</v>
      </c>
      <c r="O12" s="7">
        <v>72425.322</v>
      </c>
      <c r="P12" s="7">
        <v>10520.689</v>
      </c>
      <c r="Q12" s="7">
        <v>0</v>
      </c>
      <c r="R12" s="7">
        <v>19.922999999999998</v>
      </c>
      <c r="S12" s="7">
        <v>12.795999999999999</v>
      </c>
      <c r="T12" s="7">
        <v>37.99</v>
      </c>
      <c r="U12" s="7">
        <v>33.098999999999997</v>
      </c>
      <c r="V12" s="7">
        <v>1993.835</v>
      </c>
      <c r="W12" s="7">
        <v>0</v>
      </c>
      <c r="X12" s="7">
        <v>373.97500000000002</v>
      </c>
      <c r="Y12" s="7">
        <v>0</v>
      </c>
      <c r="Z12" s="7">
        <v>223.15299999999999</v>
      </c>
      <c r="AA12" s="7">
        <v>1042.6279999999999</v>
      </c>
      <c r="AB12" s="7">
        <v>612.05399999999997</v>
      </c>
      <c r="AC12" s="7">
        <v>12107.674999999999</v>
      </c>
      <c r="AD12" s="7">
        <v>1194.8800000000001</v>
      </c>
      <c r="AE12" s="7">
        <v>2884.8939999999998</v>
      </c>
      <c r="AF12" s="7">
        <v>537.12</v>
      </c>
      <c r="AG12" s="7">
        <v>1042.194</v>
      </c>
      <c r="AH12" s="7">
        <v>103.578</v>
      </c>
      <c r="AI12" s="7">
        <v>28236.916000000001</v>
      </c>
      <c r="AJ12" s="7">
        <v>11053.575999999999</v>
      </c>
      <c r="AK12" s="7">
        <v>321.86399999999998</v>
      </c>
      <c r="AL12" s="7">
        <v>93064.028000000006</v>
      </c>
      <c r="AM12" s="7">
        <v>21327.512999999999</v>
      </c>
      <c r="AN12" s="7">
        <v>7503.91</v>
      </c>
      <c r="AO12" s="7">
        <v>105436.533</v>
      </c>
      <c r="AP12" s="7">
        <v>1063.8230000000001</v>
      </c>
      <c r="AQ12" s="7">
        <v>678.24199999999996</v>
      </c>
      <c r="AR12" s="7">
        <v>67450.471000000005</v>
      </c>
      <c r="AS12" s="7">
        <v>0</v>
      </c>
      <c r="AT12" s="7">
        <v>32272.521000000001</v>
      </c>
      <c r="AU12" s="7">
        <v>73.760000000000005</v>
      </c>
      <c r="AV12" s="7">
        <v>36.872</v>
      </c>
      <c r="AW12" s="7">
        <v>0</v>
      </c>
      <c r="AX12" s="7">
        <v>3138.127</v>
      </c>
      <c r="AY12" s="7">
        <v>0</v>
      </c>
      <c r="AZ12" s="7">
        <v>18.48</v>
      </c>
      <c r="BA12" s="7">
        <v>0</v>
      </c>
      <c r="BB12" s="7">
        <v>220.495</v>
      </c>
      <c r="BC12" s="7">
        <v>0</v>
      </c>
      <c r="BD12" s="7">
        <v>0</v>
      </c>
      <c r="BE12" s="7">
        <v>3681.2179999999998</v>
      </c>
      <c r="BF12" s="21"/>
    </row>
    <row r="13" spans="1:58" ht="15.75" x14ac:dyDescent="0.25">
      <c r="A13" s="5" t="s">
        <v>3</v>
      </c>
      <c r="B13" s="5" t="s">
        <v>15</v>
      </c>
      <c r="C13" s="7">
        <v>1</v>
      </c>
      <c r="D13" s="7">
        <v>1</v>
      </c>
      <c r="E13" s="7">
        <v>18.545999999999999</v>
      </c>
      <c r="F13" s="7">
        <v>4.5819999999999999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5.181</v>
      </c>
      <c r="M13" s="7">
        <v>0</v>
      </c>
      <c r="N13" s="7">
        <v>14.57</v>
      </c>
      <c r="O13" s="7">
        <v>147.62799999999999</v>
      </c>
      <c r="P13" s="7">
        <v>5.7770000000000001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10.114000000000001</v>
      </c>
      <c r="AJ13" s="7">
        <v>1.506</v>
      </c>
      <c r="AK13" s="7">
        <v>0</v>
      </c>
      <c r="AL13" s="7">
        <v>94.793000000000006</v>
      </c>
      <c r="AM13" s="7">
        <v>1.0209999999999999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21"/>
    </row>
    <row r="14" spans="1:58" ht="15.75" x14ac:dyDescent="0.25">
      <c r="A14" s="5" t="s">
        <v>16</v>
      </c>
      <c r="B14" s="5" t="s">
        <v>17</v>
      </c>
      <c r="C14" s="7">
        <v>1</v>
      </c>
      <c r="D14" s="7">
        <v>1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21"/>
    </row>
    <row r="15" spans="1:58" ht="15.75" x14ac:dyDescent="0.25">
      <c r="A15" s="5" t="s">
        <v>18</v>
      </c>
      <c r="B15" s="5" t="s">
        <v>19</v>
      </c>
      <c r="C15" s="7">
        <v>2</v>
      </c>
      <c r="D15" s="7">
        <v>2</v>
      </c>
      <c r="E15" s="7">
        <v>628689.755</v>
      </c>
      <c r="F15" s="7">
        <v>59500.692999999999</v>
      </c>
      <c r="G15" s="7">
        <v>163582.818</v>
      </c>
      <c r="H15" s="7">
        <v>0</v>
      </c>
      <c r="I15" s="7">
        <v>23165.565999999999</v>
      </c>
      <c r="J15" s="7">
        <v>114484.459</v>
      </c>
      <c r="K15" s="7">
        <v>282699.06699999998</v>
      </c>
      <c r="L15" s="7">
        <v>67815.736000000004</v>
      </c>
      <c r="M15" s="7">
        <v>0</v>
      </c>
      <c r="N15" s="7">
        <v>271724.93300000002</v>
      </c>
      <c r="O15" s="7">
        <v>196098.122</v>
      </c>
      <c r="P15" s="7">
        <v>265117.21899999998</v>
      </c>
      <c r="Q15" s="7">
        <v>0</v>
      </c>
      <c r="R15" s="7">
        <v>0</v>
      </c>
      <c r="S15" s="7">
        <v>18326.095000000001</v>
      </c>
      <c r="T15" s="7">
        <v>568.10299999999995</v>
      </c>
      <c r="U15" s="7">
        <v>1771.338</v>
      </c>
      <c r="V15" s="7">
        <v>18553.266</v>
      </c>
      <c r="W15" s="7">
        <v>0</v>
      </c>
      <c r="X15" s="7">
        <v>1751.538</v>
      </c>
      <c r="Y15" s="7">
        <v>0</v>
      </c>
      <c r="Z15" s="7">
        <v>8792.6949999999997</v>
      </c>
      <c r="AA15" s="7">
        <v>20188.776000000002</v>
      </c>
      <c r="AB15" s="7">
        <v>0</v>
      </c>
      <c r="AC15" s="7">
        <v>107983.25900000001</v>
      </c>
      <c r="AD15" s="7">
        <v>0</v>
      </c>
      <c r="AE15" s="7">
        <v>113432.31600000001</v>
      </c>
      <c r="AF15" s="7">
        <v>0</v>
      </c>
      <c r="AG15" s="7">
        <v>7218.3280000000004</v>
      </c>
      <c r="AH15" s="7">
        <v>2825.127</v>
      </c>
      <c r="AI15" s="7">
        <v>278189.40600000002</v>
      </c>
      <c r="AJ15" s="7">
        <v>0</v>
      </c>
      <c r="AK15" s="7">
        <v>8066.4189999999999</v>
      </c>
      <c r="AL15" s="7">
        <v>657193.66799999995</v>
      </c>
      <c r="AM15" s="7">
        <v>0</v>
      </c>
      <c r="AN15" s="7">
        <v>0</v>
      </c>
      <c r="AO15" s="7">
        <v>0</v>
      </c>
      <c r="AP15" s="7">
        <v>13469.235000000001</v>
      </c>
      <c r="AQ15" s="7">
        <v>13736.089</v>
      </c>
      <c r="AR15" s="7">
        <v>0</v>
      </c>
      <c r="AS15" s="7">
        <v>0</v>
      </c>
      <c r="AT15" s="7">
        <v>0</v>
      </c>
      <c r="AU15" s="7">
        <v>571.39400000000001</v>
      </c>
      <c r="AV15" s="7">
        <v>624.66600000000005</v>
      </c>
      <c r="AW15" s="7">
        <v>0</v>
      </c>
      <c r="AX15" s="7">
        <v>0</v>
      </c>
      <c r="AY15" s="7">
        <v>0</v>
      </c>
      <c r="AZ15" s="7">
        <v>472.14299999999997</v>
      </c>
      <c r="BA15" s="7">
        <v>0</v>
      </c>
      <c r="BB15" s="7">
        <v>13658.778</v>
      </c>
      <c r="BC15" s="7">
        <v>0</v>
      </c>
      <c r="BD15" s="7">
        <v>0</v>
      </c>
      <c r="BE15" s="7">
        <v>0</v>
      </c>
      <c r="BF15" s="21"/>
    </row>
    <row r="16" spans="1:58" ht="15.75" x14ac:dyDescent="0.25">
      <c r="A16" s="5" t="s">
        <v>20</v>
      </c>
      <c r="B16" s="5" t="s">
        <v>21</v>
      </c>
      <c r="C16" s="7">
        <v>2</v>
      </c>
      <c r="D16" s="7">
        <v>2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21"/>
    </row>
    <row r="17" spans="1:58" ht="15.75" x14ac:dyDescent="0.25">
      <c r="A17" s="5" t="s">
        <v>22</v>
      </c>
      <c r="B17" s="5" t="s">
        <v>23</v>
      </c>
      <c r="C17" s="7">
        <v>2</v>
      </c>
      <c r="D17" s="7">
        <v>2</v>
      </c>
      <c r="E17" s="7">
        <v>689562.99399999995</v>
      </c>
      <c r="F17" s="7">
        <v>65261.881000000001</v>
      </c>
      <c r="G17" s="7">
        <v>179952.61</v>
      </c>
      <c r="H17" s="7">
        <v>0</v>
      </c>
      <c r="I17" s="7">
        <v>25408.584999999999</v>
      </c>
      <c r="J17" s="7">
        <v>125692.791</v>
      </c>
      <c r="K17" s="7">
        <v>310071.56400000001</v>
      </c>
      <c r="L17" s="7">
        <v>80618.266000000003</v>
      </c>
      <c r="M17" s="7">
        <v>20979.883000000002</v>
      </c>
      <c r="N17" s="7">
        <v>298034.853</v>
      </c>
      <c r="O17" s="7">
        <v>215085.43299999999</v>
      </c>
      <c r="P17" s="7">
        <v>290787.34299999999</v>
      </c>
      <c r="Q17" s="7">
        <v>12259.307000000001</v>
      </c>
      <c r="R17" s="7">
        <v>0</v>
      </c>
      <c r="S17" s="7">
        <v>0</v>
      </c>
      <c r="T17" s="7">
        <v>979.17399999999998</v>
      </c>
      <c r="U17" s="7">
        <v>3053.0529999999999</v>
      </c>
      <c r="V17" s="7">
        <v>20349.696</v>
      </c>
      <c r="W17" s="7">
        <v>0</v>
      </c>
      <c r="X17" s="7">
        <v>3018.9259999999999</v>
      </c>
      <c r="Y17" s="7">
        <v>16481.913</v>
      </c>
      <c r="Z17" s="7">
        <v>9644.0519999999997</v>
      </c>
      <c r="AA17" s="7">
        <v>26191.341</v>
      </c>
      <c r="AB17" s="7">
        <v>0</v>
      </c>
      <c r="AC17" s="7">
        <v>118438.799</v>
      </c>
      <c r="AD17" s="7">
        <v>0</v>
      </c>
      <c r="AE17" s="7">
        <v>124415.46400000001</v>
      </c>
      <c r="AF17" s="7">
        <v>0</v>
      </c>
      <c r="AG17" s="7">
        <v>7917.2470000000003</v>
      </c>
      <c r="AH17" s="7">
        <v>3098.672</v>
      </c>
      <c r="AI17" s="7">
        <v>305125.25199999998</v>
      </c>
      <c r="AJ17" s="7">
        <v>0</v>
      </c>
      <c r="AK17" s="7">
        <v>8847.4549999999999</v>
      </c>
      <c r="AL17" s="7">
        <v>720736.13500000001</v>
      </c>
      <c r="AM17" s="7">
        <v>0</v>
      </c>
      <c r="AN17" s="7">
        <v>0</v>
      </c>
      <c r="AO17" s="7">
        <v>0</v>
      </c>
      <c r="AP17" s="7">
        <v>23215.382000000001</v>
      </c>
      <c r="AQ17" s="7">
        <v>23675.328000000001</v>
      </c>
      <c r="AR17" s="7">
        <v>0</v>
      </c>
      <c r="AS17" s="7">
        <v>2783.4650000000001</v>
      </c>
      <c r="AT17" s="7">
        <v>0</v>
      </c>
      <c r="AU17" s="7">
        <v>626.72</v>
      </c>
      <c r="AV17" s="7">
        <v>1076.665</v>
      </c>
      <c r="AW17" s="7">
        <v>0</v>
      </c>
      <c r="AX17" s="7">
        <v>0</v>
      </c>
      <c r="AY17" s="7">
        <v>0</v>
      </c>
      <c r="AZ17" s="7">
        <v>517.85799999999995</v>
      </c>
      <c r="BA17" s="7">
        <v>0</v>
      </c>
      <c r="BB17" s="7">
        <v>12151.114</v>
      </c>
      <c r="BC17" s="7">
        <v>0</v>
      </c>
      <c r="BD17" s="7">
        <v>0</v>
      </c>
      <c r="BE17" s="7">
        <v>0</v>
      </c>
      <c r="BF17" s="21"/>
    </row>
    <row r="18" spans="1:58" ht="15.75" x14ac:dyDescent="0.25">
      <c r="A18" s="5" t="s">
        <v>24</v>
      </c>
      <c r="B18" s="5" t="s">
        <v>25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13292.242</v>
      </c>
      <c r="N18" s="7">
        <v>0</v>
      </c>
      <c r="O18" s="7">
        <v>0</v>
      </c>
      <c r="P18" s="7">
        <v>0</v>
      </c>
      <c r="Q18" s="7">
        <v>276.10500000000002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10442.459000000001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1763.5219999999999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6.9610000000000003</v>
      </c>
      <c r="BC18" s="7">
        <v>0</v>
      </c>
      <c r="BD18" s="7">
        <v>0</v>
      </c>
      <c r="BE18" s="7">
        <v>0</v>
      </c>
      <c r="BF18" s="21"/>
    </row>
    <row r="19" spans="1:58" ht="15.75" x14ac:dyDescent="0.25">
      <c r="A19" s="5" t="s">
        <v>26</v>
      </c>
      <c r="B19" s="5" t="s">
        <v>27</v>
      </c>
      <c r="C19" s="7">
        <v>2</v>
      </c>
      <c r="D19" s="7">
        <v>2</v>
      </c>
      <c r="E19" s="7">
        <v>67233.153999999995</v>
      </c>
      <c r="F19" s="7">
        <v>16727.401000000002</v>
      </c>
      <c r="G19" s="7">
        <v>2529.8679999999999</v>
      </c>
      <c r="H19" s="7">
        <v>0</v>
      </c>
      <c r="I19" s="7">
        <v>1286.2850000000001</v>
      </c>
      <c r="J19" s="7">
        <v>1777.6579999999999</v>
      </c>
      <c r="K19" s="7">
        <v>91214.020999999993</v>
      </c>
      <c r="L19" s="7">
        <v>7773.6679999999997</v>
      </c>
      <c r="M19" s="7">
        <v>190482.416</v>
      </c>
      <c r="N19" s="7">
        <v>13113.231</v>
      </c>
      <c r="O19" s="7">
        <v>203856.40599999999</v>
      </c>
      <c r="P19" s="7">
        <v>15625.773999999999</v>
      </c>
      <c r="Q19" s="7">
        <v>556.11699999999996</v>
      </c>
      <c r="R19" s="7">
        <v>0</v>
      </c>
      <c r="S19" s="7">
        <v>3.0270000000000001</v>
      </c>
      <c r="T19" s="7">
        <v>0</v>
      </c>
      <c r="U19" s="7">
        <v>0</v>
      </c>
      <c r="V19" s="7">
        <v>4970.8140000000003</v>
      </c>
      <c r="W19" s="7">
        <v>2824.3910000000001</v>
      </c>
      <c r="X19" s="7">
        <v>0</v>
      </c>
      <c r="Y19" s="7">
        <v>149644.04500000001</v>
      </c>
      <c r="Z19" s="7">
        <v>136.37</v>
      </c>
      <c r="AA19" s="7">
        <v>1753.6590000000001</v>
      </c>
      <c r="AB19" s="7">
        <v>0</v>
      </c>
      <c r="AC19" s="7">
        <v>36105.659</v>
      </c>
      <c r="AD19" s="7">
        <v>0</v>
      </c>
      <c r="AE19" s="7">
        <v>1759.2760000000001</v>
      </c>
      <c r="AF19" s="7">
        <v>10.423</v>
      </c>
      <c r="AG19" s="7">
        <v>2688.2979999999998</v>
      </c>
      <c r="AH19" s="7">
        <v>43.816000000000003</v>
      </c>
      <c r="AI19" s="7">
        <v>88303.668999999994</v>
      </c>
      <c r="AJ19" s="7">
        <v>40992.167999999998</v>
      </c>
      <c r="AK19" s="7">
        <v>125.10599999999999</v>
      </c>
      <c r="AL19" s="7">
        <v>268003.65500000003</v>
      </c>
      <c r="AM19" s="7">
        <v>79027.316000000006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25271.883999999998</v>
      </c>
      <c r="AT19" s="7">
        <v>0</v>
      </c>
      <c r="AU19" s="7">
        <v>195.69800000000001</v>
      </c>
      <c r="AV19" s="7">
        <v>0</v>
      </c>
      <c r="AW19" s="7">
        <v>0</v>
      </c>
      <c r="AX19" s="7">
        <v>11670.254000000001</v>
      </c>
      <c r="AY19" s="7">
        <v>0</v>
      </c>
      <c r="AZ19" s="7">
        <v>54.173999999999999</v>
      </c>
      <c r="BA19" s="7">
        <v>0</v>
      </c>
      <c r="BB19" s="7">
        <v>1420.5619999999999</v>
      </c>
      <c r="BC19" s="7">
        <v>0</v>
      </c>
      <c r="BD19" s="7">
        <v>0</v>
      </c>
      <c r="BE19" s="7">
        <v>9436.1080000000002</v>
      </c>
      <c r="BF19" s="21"/>
    </row>
    <row r="20" spans="1:58" ht="15.75" x14ac:dyDescent="0.25">
      <c r="A20" s="5" t="s">
        <v>28</v>
      </c>
      <c r="B20" s="5" t="s">
        <v>29</v>
      </c>
      <c r="C20" s="7">
        <v>6</v>
      </c>
      <c r="D20" s="7">
        <v>6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21"/>
    </row>
    <row r="21" spans="1:58" ht="15.75" x14ac:dyDescent="0.25">
      <c r="A21" s="5" t="s">
        <v>30</v>
      </c>
      <c r="B21" s="5" t="s">
        <v>31</v>
      </c>
      <c r="C21" s="7">
        <v>5</v>
      </c>
      <c r="D21" s="7">
        <v>5</v>
      </c>
      <c r="E21" s="7">
        <v>0</v>
      </c>
      <c r="F21" s="7">
        <v>0</v>
      </c>
      <c r="G21" s="7">
        <v>0</v>
      </c>
      <c r="H21" s="7">
        <v>916994.17200000002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21"/>
    </row>
    <row r="22" spans="1:58" ht="15.75" x14ac:dyDescent="0.25">
      <c r="A22" s="5" t="s">
        <v>32</v>
      </c>
      <c r="B22" s="5" t="s">
        <v>33</v>
      </c>
      <c r="C22" s="7">
        <v>2</v>
      </c>
      <c r="D22" s="7">
        <v>2</v>
      </c>
      <c r="E22" s="7">
        <v>3151.2849999999999</v>
      </c>
      <c r="F22" s="7">
        <v>0</v>
      </c>
      <c r="G22" s="7">
        <v>1794.21</v>
      </c>
      <c r="H22" s="7">
        <v>0</v>
      </c>
      <c r="I22" s="7">
        <v>0</v>
      </c>
      <c r="J22" s="7">
        <v>1376.6479999999999</v>
      </c>
      <c r="K22" s="7">
        <v>0</v>
      </c>
      <c r="L22" s="7">
        <v>1147.665</v>
      </c>
      <c r="M22" s="7">
        <v>0</v>
      </c>
      <c r="N22" s="7">
        <v>4061.444</v>
      </c>
      <c r="O22" s="7">
        <v>4377.8720000000003</v>
      </c>
      <c r="P22" s="7">
        <v>1311.404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815.55</v>
      </c>
      <c r="AJ22" s="7">
        <v>0</v>
      </c>
      <c r="AK22" s="7">
        <v>0</v>
      </c>
      <c r="AL22" s="7">
        <v>4116.8959999999997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21"/>
    </row>
    <row r="23" spans="1:58" ht="15.75" x14ac:dyDescent="0.25">
      <c r="A23" s="5" t="s">
        <v>34</v>
      </c>
      <c r="B23" s="5" t="s">
        <v>35</v>
      </c>
      <c r="C23" s="7">
        <v>2</v>
      </c>
      <c r="D23" s="7">
        <v>2</v>
      </c>
      <c r="E23" s="7">
        <v>59995.21</v>
      </c>
      <c r="F23" s="7">
        <v>9518.66</v>
      </c>
      <c r="G23" s="7">
        <v>17357.849999999999</v>
      </c>
      <c r="H23" s="7">
        <v>0</v>
      </c>
      <c r="I23" s="7">
        <v>2642.364</v>
      </c>
      <c r="J23" s="7">
        <v>12106.855</v>
      </c>
      <c r="K23" s="7">
        <v>48478.203000000001</v>
      </c>
      <c r="L23" s="7">
        <v>9495.4719999999998</v>
      </c>
      <c r="M23" s="7">
        <v>0</v>
      </c>
      <c r="N23" s="7">
        <v>28232.837</v>
      </c>
      <c r="O23" s="7">
        <v>37973.898999999998</v>
      </c>
      <c r="P23" s="7">
        <v>32626.400000000001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2983.7939999999999</v>
      </c>
      <c r="W23" s="7">
        <v>0</v>
      </c>
      <c r="X23" s="7">
        <v>0</v>
      </c>
      <c r="Y23" s="7">
        <v>0</v>
      </c>
      <c r="Z23" s="7">
        <v>1141.7550000000001</v>
      </c>
      <c r="AA23" s="7">
        <v>2410.4209999999998</v>
      </c>
      <c r="AB23" s="7">
        <v>0</v>
      </c>
      <c r="AC23" s="7">
        <v>12389.14</v>
      </c>
      <c r="AD23" s="7">
        <v>0</v>
      </c>
      <c r="AE23" s="7">
        <v>12805.698</v>
      </c>
      <c r="AF23" s="7">
        <v>0</v>
      </c>
      <c r="AG23" s="7">
        <v>1291.011</v>
      </c>
      <c r="AH23" s="7">
        <v>187.96700000000001</v>
      </c>
      <c r="AI23" s="7">
        <v>32072.388999999999</v>
      </c>
      <c r="AJ23" s="7">
        <v>0</v>
      </c>
      <c r="AK23" s="7">
        <v>536.69100000000003</v>
      </c>
      <c r="AL23" s="7">
        <v>95675.05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84.183000000000007</v>
      </c>
      <c r="AV23" s="7">
        <v>0</v>
      </c>
      <c r="AW23" s="7">
        <v>0</v>
      </c>
      <c r="AX23" s="7">
        <v>0</v>
      </c>
      <c r="AY23" s="7">
        <v>0</v>
      </c>
      <c r="AZ23" s="7">
        <v>33.835999999999999</v>
      </c>
      <c r="BA23" s="7">
        <v>0</v>
      </c>
      <c r="BB23" s="7">
        <v>1818.5540000000001</v>
      </c>
      <c r="BC23" s="7">
        <v>0</v>
      </c>
      <c r="BD23" s="7">
        <v>0</v>
      </c>
      <c r="BE23" s="7">
        <v>30544.898000000001</v>
      </c>
      <c r="BF23" s="21"/>
    </row>
    <row r="24" spans="1:58" ht="15.75" x14ac:dyDescent="0.25">
      <c r="A24" s="5" t="s">
        <v>36</v>
      </c>
      <c r="B24" s="5" t="s">
        <v>37</v>
      </c>
      <c r="C24" s="7">
        <v>6</v>
      </c>
      <c r="D24" s="7">
        <v>6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21"/>
    </row>
    <row r="25" spans="1:58" ht="15.75" x14ac:dyDescent="0.25">
      <c r="A25" s="5" t="s">
        <v>38</v>
      </c>
      <c r="B25" s="5" t="s">
        <v>39</v>
      </c>
      <c r="C25" s="7">
        <v>6</v>
      </c>
      <c r="D25" s="7">
        <v>6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21"/>
    </row>
    <row r="26" spans="1:58" ht="15.75" x14ac:dyDescent="0.25">
      <c r="A26" s="5" t="s">
        <v>40</v>
      </c>
      <c r="B26" s="5" t="s">
        <v>41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21"/>
    </row>
    <row r="27" spans="1:58" ht="15.75" x14ac:dyDescent="0.25">
      <c r="A27" s="5" t="s">
        <v>42</v>
      </c>
      <c r="B27" s="5" t="s">
        <v>43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21"/>
    </row>
    <row r="28" spans="1:58" ht="15.75" x14ac:dyDescent="0.25">
      <c r="A28" s="5" t="s">
        <v>44</v>
      </c>
      <c r="B28" s="5" t="s">
        <v>45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21"/>
    </row>
    <row r="29" spans="1:58" ht="15.75" x14ac:dyDescent="0.25">
      <c r="A29" s="5" t="s">
        <v>46</v>
      </c>
      <c r="B29" s="5" t="s">
        <v>47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21"/>
    </row>
    <row r="30" spans="1:58" ht="15.75" x14ac:dyDescent="0.25">
      <c r="A30" s="5" t="s">
        <v>48</v>
      </c>
      <c r="B30" s="5" t="s">
        <v>49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21"/>
    </row>
    <row r="31" spans="1:58" ht="15.75" x14ac:dyDescent="0.25">
      <c r="A31" s="5" t="s">
        <v>50</v>
      </c>
      <c r="B31" s="5" t="s">
        <v>51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21"/>
    </row>
    <row r="32" spans="1:58" ht="15.75" x14ac:dyDescent="0.25">
      <c r="A32" s="5" t="s">
        <v>52</v>
      </c>
      <c r="B32" s="5" t="s">
        <v>53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21"/>
    </row>
    <row r="33" spans="1:58" ht="15.75" x14ac:dyDescent="0.25">
      <c r="A33" s="5" t="s">
        <v>54</v>
      </c>
      <c r="B33" s="5" t="s">
        <v>55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21"/>
    </row>
    <row r="34" spans="1:58" ht="15.75" x14ac:dyDescent="0.25">
      <c r="A34" s="5" t="s">
        <v>56</v>
      </c>
      <c r="B34" s="5" t="s">
        <v>57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4661.2560000000003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3661.9090000000001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618.423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21"/>
    </row>
    <row r="35" spans="1:58" ht="15.75" x14ac:dyDescent="0.25">
      <c r="A35" s="5" t="s">
        <v>58</v>
      </c>
      <c r="B35" s="5" t="s">
        <v>59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21"/>
    </row>
    <row r="36" spans="1:58" ht="15.75" x14ac:dyDescent="0.25">
      <c r="A36" s="5" t="s">
        <v>60</v>
      </c>
      <c r="B36" s="5" t="s">
        <v>61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21"/>
    </row>
    <row r="37" spans="1:58" ht="15.75" x14ac:dyDescent="0.25">
      <c r="A37" s="5" t="s">
        <v>62</v>
      </c>
      <c r="B37" s="5" t="s">
        <v>63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21"/>
    </row>
    <row r="38" spans="1:58" ht="15.75" x14ac:dyDescent="0.25">
      <c r="A38" s="5" t="s">
        <v>64</v>
      </c>
      <c r="B38" s="5" t="s">
        <v>65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21"/>
    </row>
    <row r="39" spans="1:58" ht="15.75" x14ac:dyDescent="0.25">
      <c r="A39" s="5" t="s">
        <v>66</v>
      </c>
      <c r="B39" s="5" t="s">
        <v>67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21"/>
    </row>
    <row r="40" spans="1:58" ht="15.75" x14ac:dyDescent="0.25">
      <c r="A40" s="5" t="s">
        <v>68</v>
      </c>
      <c r="B40" s="5" t="s">
        <v>69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21"/>
    </row>
    <row r="41" spans="1:58" ht="15.75" x14ac:dyDescent="0.25">
      <c r="A41" s="5" t="s">
        <v>70</v>
      </c>
      <c r="B41" s="5" t="s">
        <v>71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21"/>
    </row>
    <row r="42" spans="1:58" ht="15.75" x14ac:dyDescent="0.25">
      <c r="A42" s="5" t="s">
        <v>72</v>
      </c>
      <c r="B42" s="5" t="s">
        <v>73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21"/>
    </row>
    <row r="43" spans="1:58" ht="15.75" x14ac:dyDescent="0.25">
      <c r="A43" s="5" t="s">
        <v>74</v>
      </c>
      <c r="B43" s="5" t="s">
        <v>75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21"/>
    </row>
    <row r="44" spans="1:58" ht="15.75" x14ac:dyDescent="0.25">
      <c r="A44" s="5" t="s">
        <v>76</v>
      </c>
      <c r="B44" s="5" t="s">
        <v>77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21"/>
    </row>
    <row r="45" spans="1:58" ht="15.75" x14ac:dyDescent="0.25">
      <c r="A45" s="5" t="s">
        <v>78</v>
      </c>
      <c r="B45" s="5" t="s">
        <v>79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21"/>
    </row>
    <row r="46" spans="1:58" ht="15.75" x14ac:dyDescent="0.25">
      <c r="A46" s="5" t="s">
        <v>80</v>
      </c>
      <c r="B46" s="5" t="s">
        <v>81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21"/>
    </row>
    <row r="47" spans="1:58" ht="15.75" x14ac:dyDescent="0.25">
      <c r="A47" s="5" t="s">
        <v>82</v>
      </c>
      <c r="B47" s="5" t="s">
        <v>83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21"/>
    </row>
    <row r="48" spans="1:58" ht="15.75" x14ac:dyDescent="0.25">
      <c r="A48" s="5" t="s">
        <v>84</v>
      </c>
      <c r="B48" s="5" t="s">
        <v>85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21"/>
    </row>
    <row r="49" spans="1:58" ht="15.75" x14ac:dyDescent="0.25">
      <c r="A49" s="5" t="s">
        <v>86</v>
      </c>
      <c r="B49" s="5" t="s">
        <v>87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21"/>
    </row>
    <row r="50" spans="1:58" ht="15.75" x14ac:dyDescent="0.25">
      <c r="A50" s="5" t="s">
        <v>88</v>
      </c>
      <c r="B50" s="5" t="s">
        <v>89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21"/>
    </row>
    <row r="51" spans="1:58" ht="15.75" x14ac:dyDescent="0.25">
      <c r="A51" s="5" t="s">
        <v>90</v>
      </c>
      <c r="B51" s="5" t="s">
        <v>91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21"/>
    </row>
    <row r="52" spans="1:58" ht="15.75" x14ac:dyDescent="0.25">
      <c r="A52" s="5" t="s">
        <v>92</v>
      </c>
      <c r="B52" s="5" t="s">
        <v>93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21"/>
    </row>
    <row r="53" spans="1:58" ht="15.75" x14ac:dyDescent="0.25">
      <c r="A53" s="5" t="s">
        <v>94</v>
      </c>
      <c r="B53" s="5" t="s">
        <v>95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21"/>
    </row>
    <row r="54" spans="1:58" ht="15.75" x14ac:dyDescent="0.25">
      <c r="A54" s="5" t="s">
        <v>96</v>
      </c>
      <c r="B54" s="5" t="s">
        <v>97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21"/>
    </row>
    <row r="55" spans="1:58" ht="15.75" x14ac:dyDescent="0.25">
      <c r="A55" s="5" t="s">
        <v>98</v>
      </c>
      <c r="B55" s="5" t="s">
        <v>99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21"/>
    </row>
    <row r="56" spans="1:58" ht="15.75" x14ac:dyDescent="0.25">
      <c r="A56" s="5" t="s">
        <v>100</v>
      </c>
      <c r="B56" s="5" t="s">
        <v>101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21"/>
    </row>
    <row r="57" spans="1:58" ht="15.75" x14ac:dyDescent="0.25">
      <c r="A57" s="5" t="s">
        <v>102</v>
      </c>
      <c r="B57" s="5" t="s">
        <v>103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21"/>
    </row>
    <row r="58" spans="1:58" ht="15.75" x14ac:dyDescent="0.25">
      <c r="A58" s="5" t="s">
        <v>104</v>
      </c>
      <c r="B58" s="5" t="s">
        <v>105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21"/>
    </row>
    <row r="59" spans="1:58" ht="15.75" x14ac:dyDescent="0.25">
      <c r="A59" s="5" t="s">
        <v>106</v>
      </c>
      <c r="B59" s="5" t="s">
        <v>107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21"/>
    </row>
    <row r="60" spans="1:58" ht="15.75" x14ac:dyDescent="0.25">
      <c r="A60" s="5" t="s">
        <v>108</v>
      </c>
      <c r="B60" s="5" t="s">
        <v>109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21"/>
    </row>
    <row r="61" spans="1:58" ht="15.75" x14ac:dyDescent="0.25">
      <c r="A61" s="5" t="s">
        <v>110</v>
      </c>
      <c r="B61" s="5" t="s">
        <v>111</v>
      </c>
      <c r="C61" s="7">
        <v>3</v>
      </c>
      <c r="D61" s="7">
        <v>3</v>
      </c>
      <c r="E61" s="7">
        <v>654892.38500000001</v>
      </c>
      <c r="F61" s="7">
        <v>88204.077000000005</v>
      </c>
      <c r="G61" s="7">
        <v>262091.78899999999</v>
      </c>
      <c r="H61" s="7">
        <v>8158.2079999999996</v>
      </c>
      <c r="I61" s="7">
        <v>19450.734</v>
      </c>
      <c r="J61" s="7">
        <v>174023.595</v>
      </c>
      <c r="K61" s="7">
        <v>133202.734</v>
      </c>
      <c r="L61" s="7">
        <v>188141.81599999999</v>
      </c>
      <c r="M61" s="7">
        <v>0</v>
      </c>
      <c r="N61" s="7">
        <v>425400.55099999998</v>
      </c>
      <c r="O61" s="7">
        <v>364937.712</v>
      </c>
      <c r="P61" s="7">
        <v>413986.89899999998</v>
      </c>
      <c r="Q61" s="7">
        <v>0</v>
      </c>
      <c r="R61" s="7">
        <v>0</v>
      </c>
      <c r="S61" s="7">
        <v>127.283</v>
      </c>
      <c r="T61" s="7">
        <v>1255.4000000000001</v>
      </c>
      <c r="U61" s="7">
        <v>5259.4790000000003</v>
      </c>
      <c r="V61" s="7">
        <v>36525.322</v>
      </c>
      <c r="W61" s="7">
        <v>0</v>
      </c>
      <c r="X61" s="7">
        <v>8902.2669999999998</v>
      </c>
      <c r="Y61" s="7">
        <v>0</v>
      </c>
      <c r="Z61" s="7">
        <v>17435.458999999999</v>
      </c>
      <c r="AA61" s="7">
        <v>52518.71</v>
      </c>
      <c r="AB61" s="7">
        <v>0</v>
      </c>
      <c r="AC61" s="7">
        <v>115506.836</v>
      </c>
      <c r="AD61" s="7">
        <v>0</v>
      </c>
      <c r="AE61" s="7">
        <v>184696.86199999999</v>
      </c>
      <c r="AF61" s="7">
        <v>0</v>
      </c>
      <c r="AG61" s="7">
        <v>14300.177</v>
      </c>
      <c r="AH61" s="7">
        <v>249.29900000000001</v>
      </c>
      <c r="AI61" s="7">
        <v>237823.348</v>
      </c>
      <c r="AJ61" s="7">
        <v>0</v>
      </c>
      <c r="AK61" s="7">
        <v>442.49400000000003</v>
      </c>
      <c r="AL61" s="7">
        <v>900077.60199999996</v>
      </c>
      <c r="AM61" s="7">
        <v>0</v>
      </c>
      <c r="AN61" s="7">
        <v>0</v>
      </c>
      <c r="AO61" s="7">
        <v>0</v>
      </c>
      <c r="AP61" s="7">
        <v>31530.147000000001</v>
      </c>
      <c r="AQ61" s="7">
        <v>23934.332999999999</v>
      </c>
      <c r="AR61" s="7">
        <v>0</v>
      </c>
      <c r="AS61" s="7">
        <v>0</v>
      </c>
      <c r="AT61" s="7">
        <v>0</v>
      </c>
      <c r="AU61" s="7">
        <v>975.36</v>
      </c>
      <c r="AV61" s="7">
        <v>851.73599999999999</v>
      </c>
      <c r="AW61" s="7">
        <v>0</v>
      </c>
      <c r="AX61" s="7">
        <v>0</v>
      </c>
      <c r="AY61" s="7">
        <v>0</v>
      </c>
      <c r="AZ61" s="7">
        <v>253.20500000000001</v>
      </c>
      <c r="BA61" s="7">
        <v>0</v>
      </c>
      <c r="BB61" s="7">
        <v>11032.828</v>
      </c>
      <c r="BC61" s="7">
        <v>0</v>
      </c>
      <c r="BD61" s="7">
        <v>0</v>
      </c>
      <c r="BE61" s="7">
        <v>0</v>
      </c>
      <c r="BF61" s="21"/>
    </row>
    <row r="62" spans="1:58" ht="15.75" x14ac:dyDescent="0.25">
      <c r="A62" s="5" t="s">
        <v>112</v>
      </c>
      <c r="B62" s="5" t="s">
        <v>113</v>
      </c>
      <c r="C62" s="7">
        <v>3</v>
      </c>
      <c r="D62" s="7">
        <v>3</v>
      </c>
      <c r="E62" s="7">
        <v>4874.5039999999999</v>
      </c>
      <c r="F62" s="7">
        <v>821.005</v>
      </c>
      <c r="G62" s="7">
        <v>1805.0260000000001</v>
      </c>
      <c r="H62" s="7">
        <v>0</v>
      </c>
      <c r="I62" s="7">
        <v>148.13900000000001</v>
      </c>
      <c r="J62" s="7">
        <v>1152.704</v>
      </c>
      <c r="K62" s="7">
        <v>1594.951</v>
      </c>
      <c r="L62" s="7">
        <v>1420.4359999999999</v>
      </c>
      <c r="M62" s="7">
        <v>0</v>
      </c>
      <c r="N62" s="7">
        <v>3289.8090000000002</v>
      </c>
      <c r="O62" s="7">
        <v>3557.828</v>
      </c>
      <c r="P62" s="7">
        <v>3194.009</v>
      </c>
      <c r="Q62" s="7">
        <v>0</v>
      </c>
      <c r="R62" s="7">
        <v>0</v>
      </c>
      <c r="S62" s="7">
        <v>0.38100000000000001</v>
      </c>
      <c r="T62" s="7">
        <v>125.80800000000001</v>
      </c>
      <c r="U62" s="7">
        <v>527.07000000000005</v>
      </c>
      <c r="V62" s="7">
        <v>353.97800000000001</v>
      </c>
      <c r="W62" s="7">
        <v>0</v>
      </c>
      <c r="X62" s="7">
        <v>892.12699999999995</v>
      </c>
      <c r="Y62" s="7">
        <v>0</v>
      </c>
      <c r="Z62" s="7">
        <v>142.97300000000001</v>
      </c>
      <c r="AA62" s="7">
        <v>358.358</v>
      </c>
      <c r="AB62" s="7">
        <v>0</v>
      </c>
      <c r="AC62" s="7">
        <v>1071.925</v>
      </c>
      <c r="AD62" s="7">
        <v>0</v>
      </c>
      <c r="AE62" s="7">
        <v>1112.529</v>
      </c>
      <c r="AF62" s="7">
        <v>0</v>
      </c>
      <c r="AG62" s="7">
        <v>139.34700000000001</v>
      </c>
      <c r="AH62" s="7">
        <v>0</v>
      </c>
      <c r="AI62" s="7">
        <v>1836.7070000000001</v>
      </c>
      <c r="AJ62" s="7">
        <v>0</v>
      </c>
      <c r="AK62" s="7">
        <v>0</v>
      </c>
      <c r="AL62" s="7">
        <v>6618.6949999999997</v>
      </c>
      <c r="AM62" s="7">
        <v>0</v>
      </c>
      <c r="AN62" s="7">
        <v>0</v>
      </c>
      <c r="AO62" s="7">
        <v>0</v>
      </c>
      <c r="AP62" s="7">
        <v>3159.7440000000001</v>
      </c>
      <c r="AQ62" s="7">
        <v>2398.5410000000002</v>
      </c>
      <c r="AR62" s="7">
        <v>0</v>
      </c>
      <c r="AS62" s="7">
        <v>0</v>
      </c>
      <c r="AT62" s="7">
        <v>0</v>
      </c>
      <c r="AU62" s="7">
        <v>5.7409999999999997</v>
      </c>
      <c r="AV62" s="7">
        <v>85.355000000000004</v>
      </c>
      <c r="AW62" s="7">
        <v>0</v>
      </c>
      <c r="AX62" s="7">
        <v>0</v>
      </c>
      <c r="AY62" s="7">
        <v>0</v>
      </c>
      <c r="AZ62" s="7">
        <v>3.1760000000000002</v>
      </c>
      <c r="BA62" s="7">
        <v>0</v>
      </c>
      <c r="BB62" s="7">
        <v>97.165000000000006</v>
      </c>
      <c r="BC62" s="7">
        <v>0</v>
      </c>
      <c r="BD62" s="7">
        <v>0</v>
      </c>
      <c r="BE62" s="7">
        <v>0</v>
      </c>
      <c r="BF62" s="21"/>
    </row>
    <row r="63" spans="1:58" ht="15.75" x14ac:dyDescent="0.25">
      <c r="A63" s="5" t="s">
        <v>114</v>
      </c>
      <c r="B63" s="5" t="s">
        <v>115</v>
      </c>
      <c r="C63" s="7">
        <v>3</v>
      </c>
      <c r="D63" s="7">
        <v>3</v>
      </c>
      <c r="E63" s="7">
        <v>115376.541</v>
      </c>
      <c r="F63" s="7">
        <v>17016.046999999999</v>
      </c>
      <c r="G63" s="7">
        <v>44865.703000000001</v>
      </c>
      <c r="H63" s="7">
        <v>965.5</v>
      </c>
      <c r="I63" s="7">
        <v>3456.9490000000001</v>
      </c>
      <c r="J63" s="7">
        <v>29378.794000000002</v>
      </c>
      <c r="K63" s="7">
        <v>28884.758000000002</v>
      </c>
      <c r="L63" s="7">
        <v>33326.186999999998</v>
      </c>
      <c r="M63" s="7">
        <v>52687.459000000003</v>
      </c>
      <c r="N63" s="7">
        <v>76053.831000000006</v>
      </c>
      <c r="O63" s="7">
        <v>71847.736000000004</v>
      </c>
      <c r="P63" s="7">
        <v>73945.649999999994</v>
      </c>
      <c r="Q63" s="7">
        <v>956.202</v>
      </c>
      <c r="R63" s="7">
        <v>0</v>
      </c>
      <c r="S63" s="7">
        <v>17.344000000000001</v>
      </c>
      <c r="T63" s="7">
        <v>523.04600000000005</v>
      </c>
      <c r="U63" s="7">
        <v>2191.2919999999999</v>
      </c>
      <c r="V63" s="7">
        <v>7172.018</v>
      </c>
      <c r="W63" s="7">
        <v>0</v>
      </c>
      <c r="X63" s="7">
        <v>3709.011</v>
      </c>
      <c r="Y63" s="7">
        <v>41391.561000000002</v>
      </c>
      <c r="Z63" s="7">
        <v>3190.1849999999999</v>
      </c>
      <c r="AA63" s="7">
        <v>8960.348</v>
      </c>
      <c r="AB63" s="7">
        <v>0</v>
      </c>
      <c r="AC63" s="7">
        <v>22254.348000000002</v>
      </c>
      <c r="AD63" s="7">
        <v>0</v>
      </c>
      <c r="AE63" s="7">
        <v>30185.356</v>
      </c>
      <c r="AF63" s="7">
        <v>0</v>
      </c>
      <c r="AG63" s="7">
        <v>2814.7649999999999</v>
      </c>
      <c r="AH63" s="7">
        <v>0</v>
      </c>
      <c r="AI63" s="7">
        <v>42496.148000000001</v>
      </c>
      <c r="AJ63" s="7">
        <v>0</v>
      </c>
      <c r="AK63" s="7">
        <v>212.857</v>
      </c>
      <c r="AL63" s="7">
        <v>157847.25700000001</v>
      </c>
      <c r="AM63" s="7">
        <v>0</v>
      </c>
      <c r="AN63" s="7">
        <v>0</v>
      </c>
      <c r="AO63" s="7">
        <v>0</v>
      </c>
      <c r="AP63" s="7">
        <v>13136.615</v>
      </c>
      <c r="AQ63" s="7">
        <v>9971.92</v>
      </c>
      <c r="AR63" s="7">
        <v>0</v>
      </c>
      <c r="AS63" s="7">
        <v>6990.2060000000001</v>
      </c>
      <c r="AT63" s="7">
        <v>0</v>
      </c>
      <c r="AU63" s="7">
        <v>158.197</v>
      </c>
      <c r="AV63" s="7">
        <v>354.86500000000001</v>
      </c>
      <c r="AW63" s="7">
        <v>0</v>
      </c>
      <c r="AX63" s="7">
        <v>0</v>
      </c>
      <c r="AY63" s="7">
        <v>0</v>
      </c>
      <c r="AZ63" s="7">
        <v>56.197000000000003</v>
      </c>
      <c r="BA63" s="7">
        <v>0</v>
      </c>
      <c r="BB63" s="7">
        <v>2274.933</v>
      </c>
      <c r="BC63" s="7">
        <v>0</v>
      </c>
      <c r="BD63" s="7">
        <v>0</v>
      </c>
      <c r="BE63" s="7">
        <v>0</v>
      </c>
      <c r="BF63" s="21"/>
    </row>
    <row r="64" spans="1:58" ht="15.75" x14ac:dyDescent="0.25">
      <c r="A64" s="5" t="s">
        <v>116</v>
      </c>
      <c r="B64" s="5" t="s">
        <v>117</v>
      </c>
      <c r="C64" s="7">
        <v>3</v>
      </c>
      <c r="D64" s="7">
        <v>3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21"/>
    </row>
    <row r="65" spans="1:58" ht="15.75" x14ac:dyDescent="0.25">
      <c r="A65" s="5" t="s">
        <v>118</v>
      </c>
      <c r="B65" s="5" t="s">
        <v>119</v>
      </c>
      <c r="C65" s="7">
        <v>3</v>
      </c>
      <c r="D65" s="7">
        <v>3</v>
      </c>
      <c r="E65" s="7">
        <v>144945.24900000001</v>
      </c>
      <c r="F65" s="7">
        <v>25109.133999999998</v>
      </c>
      <c r="G65" s="7">
        <v>53103.896000000001</v>
      </c>
      <c r="H65" s="7">
        <v>34800.28</v>
      </c>
      <c r="I65" s="7">
        <v>4365.6980000000003</v>
      </c>
      <c r="J65" s="7">
        <v>33855.627999999997</v>
      </c>
      <c r="K65" s="7">
        <v>49436.470999999998</v>
      </c>
      <c r="L65" s="7">
        <v>42418.114000000001</v>
      </c>
      <c r="M65" s="7">
        <v>0</v>
      </c>
      <c r="N65" s="7">
        <v>97160.763000000006</v>
      </c>
      <c r="O65" s="7">
        <v>112409.81200000001</v>
      </c>
      <c r="P65" s="7">
        <v>94930.831999999995</v>
      </c>
      <c r="Q65" s="7">
        <v>0</v>
      </c>
      <c r="R65" s="7">
        <v>0</v>
      </c>
      <c r="S65" s="7">
        <v>8.7750000000000004</v>
      </c>
      <c r="T65" s="7">
        <v>452.76499999999999</v>
      </c>
      <c r="U65" s="7">
        <v>1896.8520000000001</v>
      </c>
      <c r="V65" s="7">
        <v>10749.498</v>
      </c>
      <c r="W65" s="7">
        <v>0</v>
      </c>
      <c r="X65" s="7">
        <v>3210.6390000000001</v>
      </c>
      <c r="Y65" s="7">
        <v>0</v>
      </c>
      <c r="Z65" s="7">
        <v>4256.1220000000003</v>
      </c>
      <c r="AA65" s="7">
        <v>10386.411</v>
      </c>
      <c r="AB65" s="7">
        <v>0</v>
      </c>
      <c r="AC65" s="7">
        <v>32566.154999999999</v>
      </c>
      <c r="AD65" s="7">
        <v>0</v>
      </c>
      <c r="AE65" s="7">
        <v>31664.588</v>
      </c>
      <c r="AF65" s="7">
        <v>0</v>
      </c>
      <c r="AG65" s="7">
        <v>4234.1549999999997</v>
      </c>
      <c r="AH65" s="7">
        <v>0</v>
      </c>
      <c r="AI65" s="7">
        <v>55285.362000000001</v>
      </c>
      <c r="AJ65" s="7">
        <v>0</v>
      </c>
      <c r="AK65" s="7">
        <v>0</v>
      </c>
      <c r="AL65" s="7">
        <v>197684.28899999999</v>
      </c>
      <c r="AM65" s="7">
        <v>0</v>
      </c>
      <c r="AN65" s="7">
        <v>0</v>
      </c>
      <c r="AO65" s="7">
        <v>0</v>
      </c>
      <c r="AP65" s="7">
        <v>11371.476000000001</v>
      </c>
      <c r="AQ65" s="7">
        <v>8632.0149999999994</v>
      </c>
      <c r="AR65" s="7">
        <v>0</v>
      </c>
      <c r="AS65" s="7">
        <v>0</v>
      </c>
      <c r="AT65" s="7">
        <v>0</v>
      </c>
      <c r="AU65" s="7">
        <v>162.1</v>
      </c>
      <c r="AV65" s="7">
        <v>307.18200000000002</v>
      </c>
      <c r="AW65" s="7">
        <v>0</v>
      </c>
      <c r="AX65" s="7">
        <v>0</v>
      </c>
      <c r="AY65" s="7">
        <v>0</v>
      </c>
      <c r="AZ65" s="7">
        <v>98.811000000000007</v>
      </c>
      <c r="BA65" s="7">
        <v>0</v>
      </c>
      <c r="BB65" s="7">
        <v>3082.7739999999999</v>
      </c>
      <c r="BC65" s="7">
        <v>0</v>
      </c>
      <c r="BD65" s="7">
        <v>0</v>
      </c>
      <c r="BE65" s="7">
        <v>0</v>
      </c>
      <c r="BF65" s="21"/>
    </row>
    <row r="66" spans="1:58" ht="15.75" x14ac:dyDescent="0.25">
      <c r="A66" s="5" t="s">
        <v>120</v>
      </c>
      <c r="B66" s="5" t="s">
        <v>121</v>
      </c>
      <c r="C66" s="7">
        <v>3</v>
      </c>
      <c r="D66" s="7">
        <v>3</v>
      </c>
      <c r="E66" s="7">
        <v>24225.237000000001</v>
      </c>
      <c r="F66" s="7">
        <v>4199.5709999999999</v>
      </c>
      <c r="G66" s="7">
        <v>8864.8119999999999</v>
      </c>
      <c r="H66" s="7">
        <v>543.84400000000005</v>
      </c>
      <c r="I66" s="7">
        <v>738.65899999999999</v>
      </c>
      <c r="J66" s="7">
        <v>5625.2240000000002</v>
      </c>
      <c r="K66" s="7">
        <v>8364.4619999999995</v>
      </c>
      <c r="L66" s="7">
        <v>7073.817</v>
      </c>
      <c r="M66" s="7">
        <v>0</v>
      </c>
      <c r="N66" s="7">
        <v>16439.228999999999</v>
      </c>
      <c r="O66" s="7">
        <v>18292.256000000001</v>
      </c>
      <c r="P66" s="7">
        <v>15955.251</v>
      </c>
      <c r="Q66" s="7">
        <v>0</v>
      </c>
      <c r="R66" s="7">
        <v>0</v>
      </c>
      <c r="S66" s="7">
        <v>1.4850000000000001</v>
      </c>
      <c r="T66" s="7">
        <v>92.317999999999998</v>
      </c>
      <c r="U66" s="7">
        <v>386.76499999999999</v>
      </c>
      <c r="V66" s="7">
        <v>1818.7739999999999</v>
      </c>
      <c r="W66" s="7">
        <v>0</v>
      </c>
      <c r="X66" s="7">
        <v>654.64300000000003</v>
      </c>
      <c r="Y66" s="7">
        <v>0</v>
      </c>
      <c r="Z66" s="7">
        <v>720.12</v>
      </c>
      <c r="AA66" s="7">
        <v>1757.3409999999999</v>
      </c>
      <c r="AB66" s="7">
        <v>0</v>
      </c>
      <c r="AC66" s="7">
        <v>5481.2</v>
      </c>
      <c r="AD66" s="7">
        <v>0</v>
      </c>
      <c r="AE66" s="7">
        <v>5338.77</v>
      </c>
      <c r="AF66" s="7">
        <v>0</v>
      </c>
      <c r="AG66" s="7">
        <v>716.40300000000002</v>
      </c>
      <c r="AH66" s="7">
        <v>0</v>
      </c>
      <c r="AI66" s="7">
        <v>9176.3169999999991</v>
      </c>
      <c r="AJ66" s="7">
        <v>0</v>
      </c>
      <c r="AK66" s="7">
        <v>0</v>
      </c>
      <c r="AL66" s="7">
        <v>32834.881000000001</v>
      </c>
      <c r="AM66" s="7">
        <v>0</v>
      </c>
      <c r="AN66" s="7">
        <v>0</v>
      </c>
      <c r="AO66" s="7">
        <v>0</v>
      </c>
      <c r="AP66" s="7">
        <v>2318.6219999999998</v>
      </c>
      <c r="AQ66" s="7">
        <v>1760.0509999999999</v>
      </c>
      <c r="AR66" s="7">
        <v>0</v>
      </c>
      <c r="AS66" s="7">
        <v>0</v>
      </c>
      <c r="AT66" s="7">
        <v>0</v>
      </c>
      <c r="AU66" s="7">
        <v>27.427</v>
      </c>
      <c r="AV66" s="7">
        <v>62.634</v>
      </c>
      <c r="AW66" s="7">
        <v>0</v>
      </c>
      <c r="AX66" s="7">
        <v>0</v>
      </c>
      <c r="AY66" s="7">
        <v>0</v>
      </c>
      <c r="AZ66" s="7">
        <v>16.718</v>
      </c>
      <c r="BA66" s="7">
        <v>0</v>
      </c>
      <c r="BB66" s="7">
        <v>522.65300000000002</v>
      </c>
      <c r="BC66" s="7">
        <v>0</v>
      </c>
      <c r="BD66" s="7">
        <v>0</v>
      </c>
      <c r="BE66" s="7">
        <v>0</v>
      </c>
      <c r="BF66" s="21"/>
    </row>
    <row r="67" spans="1:58" ht="15.75" x14ac:dyDescent="0.25">
      <c r="A67" s="5" t="s">
        <v>122</v>
      </c>
      <c r="B67" s="5" t="s">
        <v>123</v>
      </c>
      <c r="C67" s="7">
        <v>3</v>
      </c>
      <c r="D67" s="7">
        <v>3</v>
      </c>
      <c r="E67" s="7">
        <v>120794.234</v>
      </c>
      <c r="F67" s="7">
        <v>20940.310000000001</v>
      </c>
      <c r="G67" s="7">
        <v>44202.589</v>
      </c>
      <c r="H67" s="7">
        <v>8497.1</v>
      </c>
      <c r="I67" s="7">
        <v>3683.1750000000002</v>
      </c>
      <c r="J67" s="7">
        <v>28049.040000000001</v>
      </c>
      <c r="K67" s="7">
        <v>41707.694000000003</v>
      </c>
      <c r="L67" s="7">
        <v>35272.156999999999</v>
      </c>
      <c r="M67" s="7">
        <v>10371.092000000001</v>
      </c>
      <c r="N67" s="7">
        <v>81970.887000000002</v>
      </c>
      <c r="O67" s="7">
        <v>91210.629000000001</v>
      </c>
      <c r="P67" s="7">
        <v>79557.627999999997</v>
      </c>
      <c r="Q67" s="7">
        <v>0</v>
      </c>
      <c r="R67" s="7">
        <v>0</v>
      </c>
      <c r="S67" s="7">
        <v>7.4039999999999999</v>
      </c>
      <c r="T67" s="7">
        <v>654.90200000000004</v>
      </c>
      <c r="U67" s="7">
        <v>2743.6990000000001</v>
      </c>
      <c r="V67" s="7">
        <v>9068.9470000000001</v>
      </c>
      <c r="W67" s="7">
        <v>0</v>
      </c>
      <c r="X67" s="7">
        <v>4644.0240000000003</v>
      </c>
      <c r="Y67" s="7">
        <v>8147.5879999999997</v>
      </c>
      <c r="Z67" s="7">
        <v>3590.7310000000002</v>
      </c>
      <c r="AA67" s="7">
        <v>8762.625</v>
      </c>
      <c r="AB67" s="7">
        <v>0</v>
      </c>
      <c r="AC67" s="7">
        <v>27330.894</v>
      </c>
      <c r="AD67" s="7">
        <v>0</v>
      </c>
      <c r="AE67" s="7">
        <v>26620.694</v>
      </c>
      <c r="AF67" s="7">
        <v>0</v>
      </c>
      <c r="AG67" s="7">
        <v>3572.1970000000001</v>
      </c>
      <c r="AH67" s="7">
        <v>100.78</v>
      </c>
      <c r="AI67" s="7">
        <v>45755.843999999997</v>
      </c>
      <c r="AJ67" s="7">
        <v>0</v>
      </c>
      <c r="AK67" s="7">
        <v>0</v>
      </c>
      <c r="AL67" s="7">
        <v>163724.48300000001</v>
      </c>
      <c r="AM67" s="7">
        <v>0</v>
      </c>
      <c r="AN67" s="7">
        <v>0</v>
      </c>
      <c r="AO67" s="7">
        <v>0</v>
      </c>
      <c r="AP67" s="7">
        <v>16448.255000000001</v>
      </c>
      <c r="AQ67" s="7">
        <v>12485.764999999999</v>
      </c>
      <c r="AR67" s="7">
        <v>0</v>
      </c>
      <c r="AS67" s="7">
        <v>1375.9649999999999</v>
      </c>
      <c r="AT67" s="7">
        <v>0</v>
      </c>
      <c r="AU67" s="7">
        <v>136.75800000000001</v>
      </c>
      <c r="AV67" s="7">
        <v>444.32299999999998</v>
      </c>
      <c r="AW67" s="7">
        <v>0</v>
      </c>
      <c r="AX67" s="7">
        <v>0</v>
      </c>
      <c r="AY67" s="7">
        <v>0</v>
      </c>
      <c r="AZ67" s="7">
        <v>83.363</v>
      </c>
      <c r="BA67" s="7">
        <v>0</v>
      </c>
      <c r="BB67" s="7">
        <v>2600.9780000000001</v>
      </c>
      <c r="BC67" s="7">
        <v>0</v>
      </c>
      <c r="BD67" s="7">
        <v>0</v>
      </c>
      <c r="BE67" s="7">
        <v>0</v>
      </c>
      <c r="BF67" s="21"/>
    </row>
    <row r="68" spans="1:58" ht="15.75" x14ac:dyDescent="0.25">
      <c r="A68" s="5" t="s">
        <v>124</v>
      </c>
      <c r="B68" s="5" t="s">
        <v>125</v>
      </c>
      <c r="C68" s="7">
        <v>3</v>
      </c>
      <c r="D68" s="7">
        <v>3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21"/>
    </row>
    <row r="69" spans="1:58" ht="15.75" x14ac:dyDescent="0.25">
      <c r="A69" s="5" t="s">
        <v>126</v>
      </c>
      <c r="B69" s="5" t="s">
        <v>127</v>
      </c>
      <c r="C69" s="7">
        <v>3</v>
      </c>
      <c r="D69" s="7">
        <v>3</v>
      </c>
      <c r="E69" s="7">
        <v>37570.616999999998</v>
      </c>
      <c r="F69" s="7">
        <v>6513.0619999999999</v>
      </c>
      <c r="G69" s="7">
        <v>13748.325999999999</v>
      </c>
      <c r="H69" s="7">
        <v>10586.11</v>
      </c>
      <c r="I69" s="7">
        <v>1145.578</v>
      </c>
      <c r="J69" s="7">
        <v>8724.09</v>
      </c>
      <c r="K69" s="7">
        <v>12972.339</v>
      </c>
      <c r="L69" s="7">
        <v>10970.695</v>
      </c>
      <c r="M69" s="7">
        <v>0</v>
      </c>
      <c r="N69" s="7">
        <v>25495.396000000001</v>
      </c>
      <c r="O69" s="7">
        <v>28369.232</v>
      </c>
      <c r="P69" s="7">
        <v>24744.799999999999</v>
      </c>
      <c r="Q69" s="7">
        <v>0</v>
      </c>
      <c r="R69" s="7">
        <v>0</v>
      </c>
      <c r="S69" s="7">
        <v>2.3029999999999999</v>
      </c>
      <c r="T69" s="7">
        <v>0</v>
      </c>
      <c r="U69" s="7">
        <v>0</v>
      </c>
      <c r="V69" s="7">
        <v>2820.7139999999999</v>
      </c>
      <c r="W69" s="7">
        <v>0</v>
      </c>
      <c r="X69" s="7">
        <v>0</v>
      </c>
      <c r="Y69" s="7">
        <v>0</v>
      </c>
      <c r="Z69" s="7">
        <v>1116.825</v>
      </c>
      <c r="AA69" s="7">
        <v>2725.4380000000001</v>
      </c>
      <c r="AB69" s="7">
        <v>0</v>
      </c>
      <c r="AC69" s="7">
        <v>8500.7250000000004</v>
      </c>
      <c r="AD69" s="7">
        <v>0</v>
      </c>
      <c r="AE69" s="7">
        <v>8279.8320000000003</v>
      </c>
      <c r="AF69" s="7">
        <v>0</v>
      </c>
      <c r="AG69" s="7">
        <v>1111.06</v>
      </c>
      <c r="AH69" s="7">
        <v>0</v>
      </c>
      <c r="AI69" s="7">
        <v>14231.434999999999</v>
      </c>
      <c r="AJ69" s="7">
        <v>0</v>
      </c>
      <c r="AK69" s="7">
        <v>0</v>
      </c>
      <c r="AL69" s="7">
        <v>50923.207999999999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42.536000000000001</v>
      </c>
      <c r="AV69" s="7">
        <v>0</v>
      </c>
      <c r="AW69" s="7">
        <v>0</v>
      </c>
      <c r="AX69" s="7">
        <v>0</v>
      </c>
      <c r="AY69" s="7">
        <v>0</v>
      </c>
      <c r="AZ69" s="7">
        <v>25.928999999999998</v>
      </c>
      <c r="BA69" s="7">
        <v>0</v>
      </c>
      <c r="BB69" s="7">
        <v>769.11699999999996</v>
      </c>
      <c r="BC69" s="7">
        <v>0</v>
      </c>
      <c r="BD69" s="7">
        <v>0</v>
      </c>
      <c r="BE69" s="7">
        <v>0</v>
      </c>
      <c r="BF69" s="21"/>
    </row>
    <row r="70" spans="1:58" ht="15.75" x14ac:dyDescent="0.25">
      <c r="A70" s="5" t="s">
        <v>128</v>
      </c>
      <c r="B70" s="5" t="s">
        <v>129</v>
      </c>
      <c r="C70" s="7">
        <v>3</v>
      </c>
      <c r="D70" s="7">
        <v>3</v>
      </c>
      <c r="E70" s="7">
        <v>8185.4049999999997</v>
      </c>
      <c r="F70" s="7">
        <v>1418.982</v>
      </c>
      <c r="G70" s="7">
        <v>2995.3090000000002</v>
      </c>
      <c r="H70" s="7">
        <v>0</v>
      </c>
      <c r="I70" s="7">
        <v>249.584</v>
      </c>
      <c r="J70" s="7">
        <v>1900.693</v>
      </c>
      <c r="K70" s="7">
        <v>2826.2469999999998</v>
      </c>
      <c r="L70" s="7">
        <v>2390.154</v>
      </c>
      <c r="M70" s="7">
        <v>0</v>
      </c>
      <c r="N70" s="7">
        <v>5554.61</v>
      </c>
      <c r="O70" s="7">
        <v>6180.7250000000004</v>
      </c>
      <c r="P70" s="7">
        <v>5391.08</v>
      </c>
      <c r="Q70" s="7">
        <v>0</v>
      </c>
      <c r="R70" s="7">
        <v>0</v>
      </c>
      <c r="S70" s="7">
        <v>0.502</v>
      </c>
      <c r="T70" s="7">
        <v>0</v>
      </c>
      <c r="U70" s="7">
        <v>0</v>
      </c>
      <c r="V70" s="7">
        <v>614.54100000000005</v>
      </c>
      <c r="W70" s="7">
        <v>0</v>
      </c>
      <c r="X70" s="7">
        <v>0</v>
      </c>
      <c r="Y70" s="7">
        <v>0</v>
      </c>
      <c r="Z70" s="7">
        <v>243.31899999999999</v>
      </c>
      <c r="AA70" s="7">
        <v>593.78399999999999</v>
      </c>
      <c r="AB70" s="7">
        <v>0</v>
      </c>
      <c r="AC70" s="7">
        <v>1852.029</v>
      </c>
      <c r="AD70" s="7">
        <v>0</v>
      </c>
      <c r="AE70" s="7">
        <v>1803.904</v>
      </c>
      <c r="AF70" s="7">
        <v>0</v>
      </c>
      <c r="AG70" s="7">
        <v>242.06399999999999</v>
      </c>
      <c r="AH70" s="7">
        <v>0</v>
      </c>
      <c r="AI70" s="7">
        <v>3100.5630000000001</v>
      </c>
      <c r="AJ70" s="7">
        <v>0</v>
      </c>
      <c r="AK70" s="7">
        <v>0</v>
      </c>
      <c r="AL70" s="7">
        <v>11094.495999999999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9.2669999999999995</v>
      </c>
      <c r="AV70" s="7">
        <v>0</v>
      </c>
      <c r="AW70" s="7">
        <v>0</v>
      </c>
      <c r="AX70" s="7">
        <v>0</v>
      </c>
      <c r="AY70" s="7">
        <v>0</v>
      </c>
      <c r="AZ70" s="7">
        <v>5.649</v>
      </c>
      <c r="BA70" s="7">
        <v>0</v>
      </c>
      <c r="BB70" s="7">
        <v>167.565</v>
      </c>
      <c r="BC70" s="7">
        <v>0</v>
      </c>
      <c r="BD70" s="7">
        <v>0</v>
      </c>
      <c r="BE70" s="7">
        <v>0</v>
      </c>
      <c r="BF70" s="21"/>
    </row>
    <row r="71" spans="1:58" ht="15.75" x14ac:dyDescent="0.25">
      <c r="A71" s="5" t="s">
        <v>130</v>
      </c>
      <c r="B71" s="5" t="s">
        <v>131</v>
      </c>
      <c r="C71" s="7">
        <v>3</v>
      </c>
      <c r="D71" s="7">
        <v>3</v>
      </c>
      <c r="E71" s="7">
        <v>43136.832999999999</v>
      </c>
      <c r="F71" s="7">
        <v>7477.9949999999999</v>
      </c>
      <c r="G71" s="7">
        <v>15785.188</v>
      </c>
      <c r="H71" s="7">
        <v>2383.9520000000002</v>
      </c>
      <c r="I71" s="7">
        <v>1315.299</v>
      </c>
      <c r="J71" s="7">
        <v>10016.593999999999</v>
      </c>
      <c r="K71" s="7">
        <v>14894.236000000001</v>
      </c>
      <c r="L71" s="7">
        <v>12596.040999999999</v>
      </c>
      <c r="M71" s="7">
        <v>0</v>
      </c>
      <c r="N71" s="7">
        <v>29272.626</v>
      </c>
      <c r="O71" s="7">
        <v>32572.231</v>
      </c>
      <c r="P71" s="7">
        <v>28410.827000000001</v>
      </c>
      <c r="Q71" s="7">
        <v>0</v>
      </c>
      <c r="R71" s="7">
        <v>0</v>
      </c>
      <c r="S71" s="7">
        <v>2.6440000000000001</v>
      </c>
      <c r="T71" s="7">
        <v>0.21099999999999999</v>
      </c>
      <c r="U71" s="7">
        <v>0.88500000000000001</v>
      </c>
      <c r="V71" s="7">
        <v>3238.6120000000001</v>
      </c>
      <c r="W71" s="7">
        <v>0</v>
      </c>
      <c r="X71" s="7">
        <v>1.4990000000000001</v>
      </c>
      <c r="Y71" s="7">
        <v>0</v>
      </c>
      <c r="Z71" s="7">
        <v>1282.2860000000001</v>
      </c>
      <c r="AA71" s="7">
        <v>3129.221</v>
      </c>
      <c r="AB71" s="7">
        <v>0</v>
      </c>
      <c r="AC71" s="7">
        <v>9760.1370000000006</v>
      </c>
      <c r="AD71" s="7">
        <v>0</v>
      </c>
      <c r="AE71" s="7">
        <v>9506.5169999999998</v>
      </c>
      <c r="AF71" s="7">
        <v>0</v>
      </c>
      <c r="AG71" s="7">
        <v>1275.6679999999999</v>
      </c>
      <c r="AH71" s="7">
        <v>0</v>
      </c>
      <c r="AI71" s="7">
        <v>16339.870999999999</v>
      </c>
      <c r="AJ71" s="7">
        <v>6.7590000000000003</v>
      </c>
      <c r="AK71" s="7">
        <v>0</v>
      </c>
      <c r="AL71" s="7">
        <v>58467.656000000003</v>
      </c>
      <c r="AM71" s="7">
        <v>23.459</v>
      </c>
      <c r="AN71" s="7">
        <v>0</v>
      </c>
      <c r="AO71" s="7">
        <v>0</v>
      </c>
      <c r="AP71" s="7">
        <v>5.3079999999999998</v>
      </c>
      <c r="AQ71" s="7">
        <v>4.0289999999999999</v>
      </c>
      <c r="AR71" s="7">
        <v>0</v>
      </c>
      <c r="AS71" s="7">
        <v>0</v>
      </c>
      <c r="AT71" s="7">
        <v>0</v>
      </c>
      <c r="AU71" s="7">
        <v>48.838000000000001</v>
      </c>
      <c r="AV71" s="7">
        <v>0.14299999999999999</v>
      </c>
      <c r="AW71" s="7">
        <v>0</v>
      </c>
      <c r="AX71" s="7">
        <v>0</v>
      </c>
      <c r="AY71" s="7">
        <v>0</v>
      </c>
      <c r="AZ71" s="7">
        <v>29.77</v>
      </c>
      <c r="BA71" s="7">
        <v>0</v>
      </c>
      <c r="BB71" s="7">
        <v>883.06399999999996</v>
      </c>
      <c r="BC71" s="7">
        <v>0</v>
      </c>
      <c r="BD71" s="7">
        <v>0</v>
      </c>
      <c r="BE71" s="7">
        <v>0</v>
      </c>
      <c r="BF71" s="21"/>
    </row>
    <row r="72" spans="1:58" ht="15.75" x14ac:dyDescent="0.25">
      <c r="A72" s="5" t="s">
        <v>132</v>
      </c>
      <c r="B72" s="5" t="s">
        <v>133</v>
      </c>
      <c r="C72" s="7">
        <v>3</v>
      </c>
      <c r="D72" s="7">
        <v>3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21"/>
    </row>
    <row r="73" spans="1:58" ht="15.75" x14ac:dyDescent="0.25">
      <c r="A73" s="5" t="s">
        <v>134</v>
      </c>
      <c r="B73" s="5" t="s">
        <v>135</v>
      </c>
      <c r="C73" s="7">
        <v>6</v>
      </c>
      <c r="D73" s="7">
        <v>6</v>
      </c>
      <c r="E73" s="7">
        <v>41393.165999999997</v>
      </c>
      <c r="F73" s="7">
        <v>7522.9620000000004</v>
      </c>
      <c r="G73" s="7">
        <v>16780.97</v>
      </c>
      <c r="H73" s="7">
        <v>1886.106</v>
      </c>
      <c r="I73" s="7">
        <v>1137.0450000000001</v>
      </c>
      <c r="J73" s="7">
        <v>10732.951999999999</v>
      </c>
      <c r="K73" s="7">
        <v>15297.498</v>
      </c>
      <c r="L73" s="7">
        <v>8740.0889999999999</v>
      </c>
      <c r="M73" s="7">
        <v>0</v>
      </c>
      <c r="N73" s="7">
        <v>24197.24</v>
      </c>
      <c r="O73" s="7">
        <v>27652.694</v>
      </c>
      <c r="P73" s="7">
        <v>23707.16</v>
      </c>
      <c r="Q73" s="7">
        <v>0</v>
      </c>
      <c r="R73" s="7">
        <v>0</v>
      </c>
      <c r="S73" s="7">
        <v>70.244</v>
      </c>
      <c r="T73" s="7">
        <v>0</v>
      </c>
      <c r="U73" s="7">
        <v>140.74700000000001</v>
      </c>
      <c r="V73" s="7">
        <v>1264.973</v>
      </c>
      <c r="W73" s="7">
        <v>0</v>
      </c>
      <c r="X73" s="7">
        <v>0</v>
      </c>
      <c r="Y73" s="7">
        <v>0</v>
      </c>
      <c r="Z73" s="7">
        <v>828.78099999999995</v>
      </c>
      <c r="AA73" s="7">
        <v>2793.2220000000002</v>
      </c>
      <c r="AB73" s="7">
        <v>0</v>
      </c>
      <c r="AC73" s="7">
        <v>7766.6310000000003</v>
      </c>
      <c r="AD73" s="7">
        <v>0</v>
      </c>
      <c r="AE73" s="7">
        <v>10013.873</v>
      </c>
      <c r="AF73" s="7">
        <v>0</v>
      </c>
      <c r="AG73" s="7">
        <v>703.13900000000001</v>
      </c>
      <c r="AH73" s="7">
        <v>0</v>
      </c>
      <c r="AI73" s="7">
        <v>26363.45</v>
      </c>
      <c r="AJ73" s="7">
        <v>0</v>
      </c>
      <c r="AK73" s="7">
        <v>0</v>
      </c>
      <c r="AL73" s="7">
        <v>62993.04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46.796999999999997</v>
      </c>
      <c r="AV73" s="7">
        <v>0</v>
      </c>
      <c r="AW73" s="7">
        <v>0</v>
      </c>
      <c r="AX73" s="7">
        <v>0</v>
      </c>
      <c r="AY73" s="7">
        <v>0</v>
      </c>
      <c r="AZ73" s="7">
        <v>6.2389999999999999</v>
      </c>
      <c r="BA73" s="7">
        <v>0</v>
      </c>
      <c r="BB73" s="7">
        <v>389.46499999999997</v>
      </c>
      <c r="BC73" s="7">
        <v>0</v>
      </c>
      <c r="BD73" s="7">
        <v>0</v>
      </c>
      <c r="BE73" s="7">
        <v>0</v>
      </c>
      <c r="BF73" s="21"/>
    </row>
    <row r="74" spans="1:58" ht="15.75" x14ac:dyDescent="0.25">
      <c r="A74" s="5" t="s">
        <v>136</v>
      </c>
      <c r="B74" s="5" t="s">
        <v>137</v>
      </c>
      <c r="C74" s="7">
        <v>6</v>
      </c>
      <c r="D74" s="7">
        <v>6</v>
      </c>
      <c r="E74" s="7">
        <v>1042.6379999999999</v>
      </c>
      <c r="F74" s="7">
        <v>151.96299999999999</v>
      </c>
      <c r="G74" s="7">
        <v>223.53200000000001</v>
      </c>
      <c r="H74" s="7">
        <v>0</v>
      </c>
      <c r="I74" s="7">
        <v>38.869999999999997</v>
      </c>
      <c r="J74" s="7">
        <v>131.22</v>
      </c>
      <c r="K74" s="7">
        <v>1094.3430000000001</v>
      </c>
      <c r="L74" s="7">
        <v>97.986000000000004</v>
      </c>
      <c r="M74" s="7">
        <v>0</v>
      </c>
      <c r="N74" s="7">
        <v>506.80099999999999</v>
      </c>
      <c r="O74" s="7">
        <v>1174.31</v>
      </c>
      <c r="P74" s="7">
        <v>505.95</v>
      </c>
      <c r="Q74" s="7">
        <v>0</v>
      </c>
      <c r="R74" s="7">
        <v>0</v>
      </c>
      <c r="S74" s="7">
        <v>7.59</v>
      </c>
      <c r="T74" s="7">
        <v>0</v>
      </c>
      <c r="U74" s="7">
        <v>0.215</v>
      </c>
      <c r="V74" s="7">
        <v>0</v>
      </c>
      <c r="W74" s="7">
        <v>0</v>
      </c>
      <c r="X74" s="7">
        <v>0</v>
      </c>
      <c r="Y74" s="7">
        <v>0</v>
      </c>
      <c r="Z74" s="7">
        <v>16.155000000000001</v>
      </c>
      <c r="AA74" s="7">
        <v>53.884</v>
      </c>
      <c r="AB74" s="7">
        <v>0</v>
      </c>
      <c r="AC74" s="7">
        <v>434.72300000000001</v>
      </c>
      <c r="AD74" s="7">
        <v>0</v>
      </c>
      <c r="AE74" s="7">
        <v>149.96799999999999</v>
      </c>
      <c r="AF74" s="7">
        <v>0</v>
      </c>
      <c r="AG74" s="7">
        <v>25.427</v>
      </c>
      <c r="AH74" s="7">
        <v>0</v>
      </c>
      <c r="AI74" s="7">
        <v>1334.3989999999999</v>
      </c>
      <c r="AJ74" s="7">
        <v>0</v>
      </c>
      <c r="AK74" s="7">
        <v>0</v>
      </c>
      <c r="AL74" s="7">
        <v>2175.2310000000002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21"/>
    </row>
    <row r="75" spans="1:58" ht="15.75" x14ac:dyDescent="0.25">
      <c r="A75" s="5" t="s">
        <v>138</v>
      </c>
      <c r="B75" s="5" t="s">
        <v>139</v>
      </c>
      <c r="C75" s="7">
        <v>6</v>
      </c>
      <c r="D75" s="7">
        <v>6</v>
      </c>
      <c r="E75" s="7">
        <v>11385.174000000001</v>
      </c>
      <c r="F75" s="7">
        <v>2629.181</v>
      </c>
      <c r="G75" s="7">
        <v>2241.3519999999999</v>
      </c>
      <c r="H75" s="7">
        <v>0</v>
      </c>
      <c r="I75" s="7">
        <v>210.85599999999999</v>
      </c>
      <c r="J75" s="7">
        <v>2403.9029999999998</v>
      </c>
      <c r="K75" s="7">
        <v>3166.3310000000001</v>
      </c>
      <c r="L75" s="7">
        <v>1917.787</v>
      </c>
      <c r="M75" s="7">
        <v>0</v>
      </c>
      <c r="N75" s="7">
        <v>5302.7929999999997</v>
      </c>
      <c r="O75" s="7">
        <v>28533.409</v>
      </c>
      <c r="P75" s="7">
        <v>5669.9610000000002</v>
      </c>
      <c r="Q75" s="7">
        <v>0</v>
      </c>
      <c r="R75" s="7">
        <v>0</v>
      </c>
      <c r="S75" s="7">
        <v>9.3640000000000008</v>
      </c>
      <c r="T75" s="7">
        <v>0</v>
      </c>
      <c r="U75" s="7">
        <v>406.04500000000002</v>
      </c>
      <c r="V75" s="7">
        <v>405.267</v>
      </c>
      <c r="W75" s="7">
        <v>0</v>
      </c>
      <c r="X75" s="7">
        <v>0</v>
      </c>
      <c r="Y75" s="7">
        <v>0</v>
      </c>
      <c r="Z75" s="7">
        <v>179.68799999999999</v>
      </c>
      <c r="AA75" s="7">
        <v>455.71300000000002</v>
      </c>
      <c r="AB75" s="7">
        <v>0</v>
      </c>
      <c r="AC75" s="7">
        <v>1738.768</v>
      </c>
      <c r="AD75" s="7">
        <v>0</v>
      </c>
      <c r="AE75" s="7">
        <v>1368.105</v>
      </c>
      <c r="AF75" s="7">
        <v>0</v>
      </c>
      <c r="AG75" s="7">
        <v>189.89599999999999</v>
      </c>
      <c r="AH75" s="7">
        <v>0</v>
      </c>
      <c r="AI75" s="7">
        <v>6201.6480000000001</v>
      </c>
      <c r="AJ75" s="7">
        <v>0</v>
      </c>
      <c r="AK75" s="7">
        <v>0</v>
      </c>
      <c r="AL75" s="7">
        <v>25030.132000000001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6.1109999999999998</v>
      </c>
      <c r="AV75" s="7">
        <v>0</v>
      </c>
      <c r="AW75" s="7">
        <v>0</v>
      </c>
      <c r="AX75" s="7">
        <v>0</v>
      </c>
      <c r="AY75" s="7">
        <v>0</v>
      </c>
      <c r="AZ75" s="7">
        <v>3.7250000000000001</v>
      </c>
      <c r="BA75" s="7">
        <v>0</v>
      </c>
      <c r="BB75" s="7">
        <v>110.503</v>
      </c>
      <c r="BC75" s="7">
        <v>0</v>
      </c>
      <c r="BD75" s="7">
        <v>0</v>
      </c>
      <c r="BE75" s="7">
        <v>0</v>
      </c>
      <c r="BF75" s="21"/>
    </row>
    <row r="76" spans="1:58" ht="15.75" x14ac:dyDescent="0.25">
      <c r="A76" s="5" t="s">
        <v>140</v>
      </c>
      <c r="B76" s="5" t="s">
        <v>141</v>
      </c>
      <c r="C76" s="7">
        <v>6</v>
      </c>
      <c r="D76" s="7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21"/>
    </row>
    <row r="77" spans="1:58" ht="15.75" x14ac:dyDescent="0.25">
      <c r="A77" s="5" t="s">
        <v>142</v>
      </c>
      <c r="B77" s="5" t="s">
        <v>143</v>
      </c>
      <c r="C77" s="7">
        <v>6</v>
      </c>
      <c r="D77" s="7">
        <v>6</v>
      </c>
      <c r="E77" s="7">
        <v>3160.0970000000002</v>
      </c>
      <c r="F77" s="7">
        <v>1117.9000000000001</v>
      </c>
      <c r="G77" s="7">
        <v>644.13800000000003</v>
      </c>
      <c r="H77" s="7">
        <v>0</v>
      </c>
      <c r="I77" s="7">
        <v>106.93899999999999</v>
      </c>
      <c r="J77" s="7">
        <v>365.87099999999998</v>
      </c>
      <c r="K77" s="7">
        <v>3010.7449999999999</v>
      </c>
      <c r="L77" s="7">
        <v>269.577</v>
      </c>
      <c r="M77" s="7">
        <v>0</v>
      </c>
      <c r="N77" s="7">
        <v>1394.3050000000001</v>
      </c>
      <c r="O77" s="7">
        <v>7030.732</v>
      </c>
      <c r="P77" s="7">
        <v>1450.2840000000001</v>
      </c>
      <c r="Q77" s="7">
        <v>0</v>
      </c>
      <c r="R77" s="7">
        <v>0</v>
      </c>
      <c r="S77" s="7">
        <v>20.881</v>
      </c>
      <c r="T77" s="7">
        <v>0</v>
      </c>
      <c r="U77" s="7">
        <v>111.227</v>
      </c>
      <c r="V77" s="7">
        <v>0</v>
      </c>
      <c r="W77" s="7">
        <v>0</v>
      </c>
      <c r="X77" s="7">
        <v>0</v>
      </c>
      <c r="Y77" s="7">
        <v>0</v>
      </c>
      <c r="Z77" s="7">
        <v>44.445</v>
      </c>
      <c r="AA77" s="7">
        <v>148.245</v>
      </c>
      <c r="AB77" s="7">
        <v>0</v>
      </c>
      <c r="AC77" s="7">
        <v>1196.0060000000001</v>
      </c>
      <c r="AD77" s="7">
        <v>0</v>
      </c>
      <c r="AE77" s="7">
        <v>412.589</v>
      </c>
      <c r="AF77" s="7">
        <v>0</v>
      </c>
      <c r="AG77" s="7">
        <v>69.953999999999994</v>
      </c>
      <c r="AH77" s="7">
        <v>0</v>
      </c>
      <c r="AI77" s="7">
        <v>5129.2870000000003</v>
      </c>
      <c r="AJ77" s="7">
        <v>0</v>
      </c>
      <c r="AK77" s="7">
        <v>0</v>
      </c>
      <c r="AL77" s="7">
        <v>7756.1139999999996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102.94499999999999</v>
      </c>
      <c r="BC77" s="7">
        <v>0</v>
      </c>
      <c r="BD77" s="7">
        <v>0</v>
      </c>
      <c r="BE77" s="7">
        <v>0</v>
      </c>
      <c r="BF77" s="21"/>
    </row>
    <row r="78" spans="1:58" ht="15.75" x14ac:dyDescent="0.25">
      <c r="A78" s="5" t="s">
        <v>144</v>
      </c>
      <c r="B78" s="5" t="s">
        <v>145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21"/>
    </row>
    <row r="79" spans="1:58" ht="15.75" x14ac:dyDescent="0.25">
      <c r="A79" s="5" t="s">
        <v>146</v>
      </c>
      <c r="B79" s="5" t="s">
        <v>147</v>
      </c>
      <c r="C79" s="7">
        <v>6</v>
      </c>
      <c r="D79" s="7">
        <v>6</v>
      </c>
      <c r="E79" s="7">
        <v>9259.0820000000003</v>
      </c>
      <c r="F79" s="7">
        <v>1673.6089999999999</v>
      </c>
      <c r="G79" s="7">
        <v>2608.3020000000001</v>
      </c>
      <c r="H79" s="7">
        <v>0</v>
      </c>
      <c r="I79" s="7">
        <v>215.90199999999999</v>
      </c>
      <c r="J79" s="7">
        <v>1989.347</v>
      </c>
      <c r="K79" s="7">
        <v>5193.9110000000001</v>
      </c>
      <c r="L79" s="7">
        <v>934.72799999999995</v>
      </c>
      <c r="M79" s="7">
        <v>0</v>
      </c>
      <c r="N79" s="7">
        <v>3622.1210000000001</v>
      </c>
      <c r="O79" s="7">
        <v>16753.988000000001</v>
      </c>
      <c r="P79" s="7">
        <v>4444.4470000000001</v>
      </c>
      <c r="Q79" s="7">
        <v>0</v>
      </c>
      <c r="R79" s="7">
        <v>0</v>
      </c>
      <c r="S79" s="7">
        <v>32</v>
      </c>
      <c r="T79" s="7">
        <v>0</v>
      </c>
      <c r="U79" s="7">
        <v>177.209</v>
      </c>
      <c r="V79" s="7">
        <v>129.41</v>
      </c>
      <c r="W79" s="7">
        <v>0</v>
      </c>
      <c r="X79" s="7">
        <v>0</v>
      </c>
      <c r="Y79" s="7">
        <v>0</v>
      </c>
      <c r="Z79" s="7">
        <v>119.126</v>
      </c>
      <c r="AA79" s="7">
        <v>351.47500000000002</v>
      </c>
      <c r="AB79" s="7">
        <v>0</v>
      </c>
      <c r="AC79" s="7">
        <v>2466.7049999999999</v>
      </c>
      <c r="AD79" s="7">
        <v>0</v>
      </c>
      <c r="AE79" s="7">
        <v>1126.904</v>
      </c>
      <c r="AF79" s="7">
        <v>0</v>
      </c>
      <c r="AG79" s="7">
        <v>157.82400000000001</v>
      </c>
      <c r="AH79" s="7">
        <v>0</v>
      </c>
      <c r="AI79" s="7">
        <v>8509.2049999999999</v>
      </c>
      <c r="AJ79" s="7">
        <v>0</v>
      </c>
      <c r="AK79" s="7">
        <v>0</v>
      </c>
      <c r="AL79" s="7">
        <v>19903.629000000001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1.9510000000000001</v>
      </c>
      <c r="AV79" s="7">
        <v>0</v>
      </c>
      <c r="AW79" s="7">
        <v>0</v>
      </c>
      <c r="AX79" s="7">
        <v>0</v>
      </c>
      <c r="AY79" s="7">
        <v>0</v>
      </c>
      <c r="AZ79" s="7">
        <v>1.19</v>
      </c>
      <c r="BA79" s="7">
        <v>0</v>
      </c>
      <c r="BB79" s="7">
        <v>35.286000000000001</v>
      </c>
      <c r="BC79" s="7">
        <v>0</v>
      </c>
      <c r="BD79" s="7">
        <v>0</v>
      </c>
      <c r="BE79" s="7">
        <v>0</v>
      </c>
      <c r="BF79" s="21"/>
    </row>
    <row r="80" spans="1:58" ht="15.75" x14ac:dyDescent="0.25">
      <c r="A80" s="5" t="s">
        <v>148</v>
      </c>
      <c r="B80" s="5" t="s">
        <v>149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21"/>
    </row>
    <row r="81" spans="1:58" ht="15.75" x14ac:dyDescent="0.25">
      <c r="A81" s="5" t="s">
        <v>150</v>
      </c>
      <c r="B81" s="5" t="s">
        <v>151</v>
      </c>
      <c r="C81" s="7">
        <v>6</v>
      </c>
      <c r="D81" s="7">
        <v>6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21"/>
    </row>
    <row r="82" spans="1:58" ht="15.75" x14ac:dyDescent="0.25">
      <c r="A82" s="5" t="s">
        <v>152</v>
      </c>
      <c r="B82" s="5" t="s">
        <v>153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21"/>
    </row>
    <row r="83" spans="1:58" ht="15.75" x14ac:dyDescent="0.25">
      <c r="A83" s="5" t="s">
        <v>154</v>
      </c>
      <c r="B83" s="5" t="s">
        <v>155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21"/>
    </row>
    <row r="84" spans="1:58" ht="15.75" x14ac:dyDescent="0.25">
      <c r="A84" s="5" t="s">
        <v>156</v>
      </c>
      <c r="B84" s="5" t="s">
        <v>157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21"/>
    </row>
    <row r="85" spans="1:58" ht="15.75" x14ac:dyDescent="0.25">
      <c r="A85" s="5" t="s">
        <v>158</v>
      </c>
      <c r="B85" s="5" t="s">
        <v>159</v>
      </c>
      <c r="C85" s="7">
        <v>6</v>
      </c>
      <c r="D85" s="7">
        <v>6</v>
      </c>
      <c r="E85" s="7">
        <v>2.347</v>
      </c>
      <c r="F85" s="7">
        <v>1.1200000000000001</v>
      </c>
      <c r="G85" s="7">
        <v>1.0740000000000001</v>
      </c>
      <c r="H85" s="7">
        <v>2379.5709999999999</v>
      </c>
      <c r="I85" s="7">
        <v>0.13500000000000001</v>
      </c>
      <c r="J85" s="7">
        <v>0.58099999999999996</v>
      </c>
      <c r="K85" s="7">
        <v>25.64</v>
      </c>
      <c r="L85" s="7">
        <v>1.5649999999999999</v>
      </c>
      <c r="M85" s="7">
        <v>0</v>
      </c>
      <c r="N85" s="7">
        <v>1.8380000000000001</v>
      </c>
      <c r="O85" s="7">
        <v>18.155000000000001</v>
      </c>
      <c r="P85" s="7">
        <v>2.3410000000000002</v>
      </c>
      <c r="Q85" s="7">
        <v>0</v>
      </c>
      <c r="R85" s="7">
        <v>0</v>
      </c>
      <c r="S85" s="7">
        <v>2.3E-2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0.01</v>
      </c>
      <c r="AA85" s="7">
        <v>4.1000000000000002E-2</v>
      </c>
      <c r="AB85" s="7">
        <v>0</v>
      </c>
      <c r="AC85" s="7">
        <v>0.115</v>
      </c>
      <c r="AD85" s="7">
        <v>0</v>
      </c>
      <c r="AE85" s="7">
        <v>0.105</v>
      </c>
      <c r="AF85" s="7">
        <v>0</v>
      </c>
      <c r="AG85" s="7">
        <v>1.2999999999999999E-2</v>
      </c>
      <c r="AH85" s="7">
        <v>0</v>
      </c>
      <c r="AI85" s="7">
        <v>0.27500000000000002</v>
      </c>
      <c r="AJ85" s="7">
        <v>0</v>
      </c>
      <c r="AK85" s="7">
        <v>0</v>
      </c>
      <c r="AL85" s="7">
        <v>0.999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21"/>
    </row>
    <row r="86" spans="1:58" ht="15.75" x14ac:dyDescent="0.25">
      <c r="A86" s="5" t="s">
        <v>160</v>
      </c>
      <c r="B86" s="5" t="s">
        <v>161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21"/>
    </row>
    <row r="87" spans="1:58" ht="15.75" x14ac:dyDescent="0.25">
      <c r="A87" s="5" t="s">
        <v>162</v>
      </c>
      <c r="B87" s="5" t="s">
        <v>163</v>
      </c>
      <c r="C87" s="7">
        <v>6</v>
      </c>
      <c r="D87" s="7">
        <v>6</v>
      </c>
      <c r="E87" s="7">
        <v>4627.7560000000003</v>
      </c>
      <c r="F87" s="7">
        <v>1332.347</v>
      </c>
      <c r="G87" s="7">
        <v>1163.6489999999999</v>
      </c>
      <c r="H87" s="7">
        <v>0</v>
      </c>
      <c r="I87" s="7">
        <v>295.82799999999997</v>
      </c>
      <c r="J87" s="7">
        <v>944.25699999999995</v>
      </c>
      <c r="K87" s="7">
        <v>5898.35</v>
      </c>
      <c r="L87" s="7">
        <v>941.33900000000006</v>
      </c>
      <c r="M87" s="7">
        <v>0</v>
      </c>
      <c r="N87" s="7">
        <v>2947.1959999999999</v>
      </c>
      <c r="O87" s="7">
        <v>13629.307000000001</v>
      </c>
      <c r="P87" s="7">
        <v>2139.6860000000001</v>
      </c>
      <c r="Q87" s="7">
        <v>0</v>
      </c>
      <c r="R87" s="7">
        <v>0</v>
      </c>
      <c r="S87" s="7">
        <v>71.289000000000001</v>
      </c>
      <c r="T87" s="7">
        <v>0</v>
      </c>
      <c r="U87" s="7">
        <v>111.259</v>
      </c>
      <c r="V87" s="7">
        <v>147.14599999999999</v>
      </c>
      <c r="W87" s="7">
        <v>0</v>
      </c>
      <c r="X87" s="7">
        <v>0</v>
      </c>
      <c r="Y87" s="7">
        <v>0</v>
      </c>
      <c r="Z87" s="7">
        <v>64.113</v>
      </c>
      <c r="AA87" s="7">
        <v>161.696</v>
      </c>
      <c r="AB87" s="7">
        <v>0</v>
      </c>
      <c r="AC87" s="7">
        <v>691.86900000000003</v>
      </c>
      <c r="AD87" s="7">
        <v>0</v>
      </c>
      <c r="AE87" s="7">
        <v>486.25599999999997</v>
      </c>
      <c r="AF87" s="7">
        <v>0</v>
      </c>
      <c r="AG87" s="7">
        <v>67.171000000000006</v>
      </c>
      <c r="AH87" s="7">
        <v>0</v>
      </c>
      <c r="AI87" s="7">
        <v>2318.7930000000001</v>
      </c>
      <c r="AJ87" s="7">
        <v>0</v>
      </c>
      <c r="AK87" s="7">
        <v>0</v>
      </c>
      <c r="AL87" s="7">
        <v>10349.722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2.2189999999999999</v>
      </c>
      <c r="AV87" s="7">
        <v>0</v>
      </c>
      <c r="AW87" s="7">
        <v>0</v>
      </c>
      <c r="AX87" s="7">
        <v>0</v>
      </c>
      <c r="AY87" s="7">
        <v>0</v>
      </c>
      <c r="AZ87" s="7">
        <v>1.353</v>
      </c>
      <c r="BA87" s="7">
        <v>0</v>
      </c>
      <c r="BB87" s="7">
        <v>40.122</v>
      </c>
      <c r="BC87" s="7">
        <v>0</v>
      </c>
      <c r="BD87" s="7">
        <v>0</v>
      </c>
      <c r="BE87" s="7">
        <v>0</v>
      </c>
      <c r="BF87" s="21"/>
    </row>
    <row r="88" spans="1:58" ht="15.75" x14ac:dyDescent="0.25">
      <c r="A88" s="5" t="s">
        <v>164</v>
      </c>
      <c r="B88" s="5" t="s">
        <v>165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21"/>
    </row>
    <row r="89" spans="1:58" ht="15.75" x14ac:dyDescent="0.25">
      <c r="A89" s="5" t="s">
        <v>166</v>
      </c>
      <c r="B89" s="5" t="s">
        <v>167</v>
      </c>
      <c r="C89" s="7">
        <v>3</v>
      </c>
      <c r="D89" s="7">
        <v>3</v>
      </c>
      <c r="E89" s="7">
        <v>4804.4089999999997</v>
      </c>
      <c r="F89" s="7">
        <v>1447.3409999999999</v>
      </c>
      <c r="G89" s="7">
        <v>8.5649999999999995</v>
      </c>
      <c r="H89" s="7">
        <v>0</v>
      </c>
      <c r="I89" s="7">
        <v>94.388999999999996</v>
      </c>
      <c r="J89" s="7">
        <v>7.4029999999999996</v>
      </c>
      <c r="K89" s="7">
        <v>6951.2920000000004</v>
      </c>
      <c r="L89" s="7">
        <v>416.84399999999999</v>
      </c>
      <c r="M89" s="7">
        <v>0</v>
      </c>
      <c r="N89" s="7">
        <v>806.72699999999998</v>
      </c>
      <c r="O89" s="7">
        <v>18243.580999999998</v>
      </c>
      <c r="P89" s="7">
        <v>936.66499999999996</v>
      </c>
      <c r="Q89" s="7">
        <v>0</v>
      </c>
      <c r="R89" s="7">
        <v>0</v>
      </c>
      <c r="S89" s="7">
        <v>0.751</v>
      </c>
      <c r="T89" s="7">
        <v>0</v>
      </c>
      <c r="U89" s="7">
        <v>0</v>
      </c>
      <c r="V89" s="7">
        <v>437.13400000000001</v>
      </c>
      <c r="W89" s="7">
        <v>0</v>
      </c>
      <c r="X89" s="7">
        <v>0</v>
      </c>
      <c r="Y89" s="7">
        <v>0</v>
      </c>
      <c r="Z89" s="7">
        <v>0</v>
      </c>
      <c r="AA89" s="7">
        <v>129.52500000000001</v>
      </c>
      <c r="AB89" s="7">
        <v>0</v>
      </c>
      <c r="AC89" s="7">
        <v>2705.953</v>
      </c>
      <c r="AD89" s="7">
        <v>0</v>
      </c>
      <c r="AE89" s="7">
        <v>0</v>
      </c>
      <c r="AF89" s="7">
        <v>0</v>
      </c>
      <c r="AG89" s="7">
        <v>230.26400000000001</v>
      </c>
      <c r="AH89" s="7">
        <v>0</v>
      </c>
      <c r="AI89" s="7">
        <v>6601.1750000000002</v>
      </c>
      <c r="AJ89" s="7">
        <v>3323.9250000000002</v>
      </c>
      <c r="AK89" s="7">
        <v>0</v>
      </c>
      <c r="AL89" s="7">
        <v>22911.338</v>
      </c>
      <c r="AM89" s="7">
        <v>6616.0720000000001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9.3420000000000005</v>
      </c>
      <c r="AV89" s="7">
        <v>0</v>
      </c>
      <c r="AW89" s="7">
        <v>0</v>
      </c>
      <c r="AX89" s="7">
        <v>884.88800000000003</v>
      </c>
      <c r="AY89" s="7">
        <v>0</v>
      </c>
      <c r="AZ89" s="7">
        <v>3.9239999999999999</v>
      </c>
      <c r="BA89" s="7">
        <v>0</v>
      </c>
      <c r="BB89" s="7">
        <v>31.765999999999998</v>
      </c>
      <c r="BC89" s="7">
        <v>0</v>
      </c>
      <c r="BD89" s="7">
        <v>0</v>
      </c>
      <c r="BE89" s="7">
        <v>0</v>
      </c>
      <c r="BF89" s="21"/>
    </row>
    <row r="90" spans="1:58" ht="15.75" x14ac:dyDescent="0.25">
      <c r="A90" s="5" t="s">
        <v>168</v>
      </c>
      <c r="B90" s="5" t="s">
        <v>169</v>
      </c>
      <c r="C90" s="7">
        <v>3</v>
      </c>
      <c r="D90" s="7">
        <v>3</v>
      </c>
      <c r="E90" s="7">
        <v>36577.192000000003</v>
      </c>
      <c r="F90" s="7">
        <v>6195.1</v>
      </c>
      <c r="G90" s="7">
        <v>13958.696</v>
      </c>
      <c r="H90" s="7">
        <v>9606.1389999999992</v>
      </c>
      <c r="I90" s="7">
        <v>1053.0409999999999</v>
      </c>
      <c r="J90" s="7">
        <v>9400.3459999999995</v>
      </c>
      <c r="K90" s="7">
        <v>11924.47</v>
      </c>
      <c r="L90" s="7">
        <v>10084.513000000001</v>
      </c>
      <c r="M90" s="7">
        <v>0</v>
      </c>
      <c r="N90" s="7">
        <v>23435.948</v>
      </c>
      <c r="O90" s="7">
        <v>26930.239000000001</v>
      </c>
      <c r="P90" s="7">
        <v>24367.115000000002</v>
      </c>
      <c r="Q90" s="7">
        <v>0</v>
      </c>
      <c r="R90" s="7">
        <v>0</v>
      </c>
      <c r="S90" s="7">
        <v>2.117</v>
      </c>
      <c r="T90" s="7">
        <v>0</v>
      </c>
      <c r="U90" s="7">
        <v>120.084</v>
      </c>
      <c r="V90" s="7">
        <v>2592.864</v>
      </c>
      <c r="W90" s="7">
        <v>0</v>
      </c>
      <c r="X90" s="7">
        <v>0</v>
      </c>
      <c r="Y90" s="7">
        <v>0</v>
      </c>
      <c r="Z90" s="7">
        <v>1026.6110000000001</v>
      </c>
      <c r="AA90" s="7">
        <v>2505.2849999999999</v>
      </c>
      <c r="AB90" s="7">
        <v>0</v>
      </c>
      <c r="AC90" s="7">
        <v>7814.06</v>
      </c>
      <c r="AD90" s="7">
        <v>0</v>
      </c>
      <c r="AE90" s="7">
        <v>7611.01</v>
      </c>
      <c r="AF90" s="7">
        <v>0</v>
      </c>
      <c r="AG90" s="7">
        <v>1021.312</v>
      </c>
      <c r="AH90" s="7">
        <v>0</v>
      </c>
      <c r="AI90" s="7">
        <v>16824.471000000001</v>
      </c>
      <c r="AJ90" s="7">
        <v>0</v>
      </c>
      <c r="AK90" s="7">
        <v>0</v>
      </c>
      <c r="AL90" s="7">
        <v>50812.565999999999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39.1</v>
      </c>
      <c r="AV90" s="7">
        <v>0</v>
      </c>
      <c r="AW90" s="7">
        <v>0</v>
      </c>
      <c r="AX90" s="7">
        <v>0</v>
      </c>
      <c r="AY90" s="7">
        <v>0</v>
      </c>
      <c r="AZ90" s="7">
        <v>23.834</v>
      </c>
      <c r="BA90" s="7">
        <v>0</v>
      </c>
      <c r="BB90" s="7">
        <v>706.98900000000003</v>
      </c>
      <c r="BC90" s="7">
        <v>0</v>
      </c>
      <c r="BD90" s="7">
        <v>0</v>
      </c>
      <c r="BE90" s="7">
        <v>0</v>
      </c>
      <c r="BF90" s="21"/>
    </row>
    <row r="91" spans="1:58" ht="15.75" x14ac:dyDescent="0.25">
      <c r="A91" s="5" t="s">
        <v>170</v>
      </c>
      <c r="B91" s="5" t="s">
        <v>171</v>
      </c>
      <c r="C91" s="7">
        <v>3</v>
      </c>
      <c r="D91" s="7">
        <v>3</v>
      </c>
      <c r="E91" s="7">
        <v>65147.792999999998</v>
      </c>
      <c r="F91" s="7">
        <v>11785.864</v>
      </c>
      <c r="G91" s="7">
        <v>22438.457999999999</v>
      </c>
      <c r="H91" s="7">
        <v>0</v>
      </c>
      <c r="I91" s="7">
        <v>1944.71</v>
      </c>
      <c r="J91" s="7">
        <v>14240.046</v>
      </c>
      <c r="K91" s="7">
        <v>26733.073</v>
      </c>
      <c r="L91" s="7">
        <v>18233.516</v>
      </c>
      <c r="M91" s="7">
        <v>0</v>
      </c>
      <c r="N91" s="7">
        <v>42244.108999999997</v>
      </c>
      <c r="O91" s="7">
        <v>60898.894999999997</v>
      </c>
      <c r="P91" s="7">
        <v>41123.519999999997</v>
      </c>
      <c r="Q91" s="7">
        <v>0</v>
      </c>
      <c r="R91" s="7">
        <v>0</v>
      </c>
      <c r="S91" s="7">
        <v>4.3579999999999997</v>
      </c>
      <c r="T91" s="7">
        <v>0</v>
      </c>
      <c r="U91" s="7">
        <v>0</v>
      </c>
      <c r="V91" s="7">
        <v>4952.3590000000004</v>
      </c>
      <c r="W91" s="7">
        <v>0</v>
      </c>
      <c r="X91" s="7">
        <v>0</v>
      </c>
      <c r="Y91" s="7">
        <v>0</v>
      </c>
      <c r="Z91" s="7">
        <v>1822.1969999999999</v>
      </c>
      <c r="AA91" s="7">
        <v>4550.5330000000004</v>
      </c>
      <c r="AB91" s="7">
        <v>0</v>
      </c>
      <c r="AC91" s="7">
        <v>16036.982</v>
      </c>
      <c r="AD91" s="7">
        <v>0</v>
      </c>
      <c r="AE91" s="7">
        <v>13509.27</v>
      </c>
      <c r="AF91" s="7">
        <v>0</v>
      </c>
      <c r="AG91" s="7">
        <v>1997.22</v>
      </c>
      <c r="AH91" s="7">
        <v>0</v>
      </c>
      <c r="AI91" s="7">
        <v>28506.975999999999</v>
      </c>
      <c r="AJ91" s="7">
        <v>2662.2640000000001</v>
      </c>
      <c r="AK91" s="7">
        <v>0</v>
      </c>
      <c r="AL91" s="7">
        <v>101436.272</v>
      </c>
      <c r="AM91" s="7">
        <v>5299.076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76.882999999999996</v>
      </c>
      <c r="AV91" s="7">
        <v>0</v>
      </c>
      <c r="AW91" s="7">
        <v>0</v>
      </c>
      <c r="AX91" s="7">
        <v>708.74199999999996</v>
      </c>
      <c r="AY91" s="7">
        <v>0</v>
      </c>
      <c r="AZ91" s="7">
        <v>45.447000000000003</v>
      </c>
      <c r="BA91" s="7">
        <v>0</v>
      </c>
      <c r="BB91" s="7">
        <v>1280.3240000000001</v>
      </c>
      <c r="BC91" s="7">
        <v>0</v>
      </c>
      <c r="BD91" s="7">
        <v>0</v>
      </c>
      <c r="BE91" s="7">
        <v>0</v>
      </c>
      <c r="BF91" s="21"/>
    </row>
    <row r="92" spans="1:58" ht="15.75" x14ac:dyDescent="0.25">
      <c r="A92" s="5" t="s">
        <v>172</v>
      </c>
      <c r="B92" s="5" t="s">
        <v>173</v>
      </c>
      <c r="C92" s="7">
        <v>3</v>
      </c>
      <c r="D92" s="7">
        <v>3</v>
      </c>
      <c r="E92" s="7">
        <v>12639.697</v>
      </c>
      <c r="F92" s="7">
        <v>1469.7539999999999</v>
      </c>
      <c r="G92" s="7">
        <v>6178.5069999999996</v>
      </c>
      <c r="H92" s="7">
        <v>0</v>
      </c>
      <c r="I92" s="7">
        <v>302.83999999999997</v>
      </c>
      <c r="J92" s="7">
        <v>2274.0720000000001</v>
      </c>
      <c r="K92" s="7">
        <v>991.82299999999998</v>
      </c>
      <c r="L92" s="7">
        <v>1526.8050000000001</v>
      </c>
      <c r="M92" s="7">
        <v>0</v>
      </c>
      <c r="N92" s="7">
        <v>3250.7640000000001</v>
      </c>
      <c r="O92" s="7">
        <v>12609.578</v>
      </c>
      <c r="P92" s="7">
        <v>4088.7890000000002</v>
      </c>
      <c r="Q92" s="7">
        <v>0</v>
      </c>
      <c r="R92" s="7">
        <v>0</v>
      </c>
      <c r="S92" s="7">
        <v>0.94499999999999995</v>
      </c>
      <c r="T92" s="7">
        <v>0</v>
      </c>
      <c r="U92" s="7">
        <v>0</v>
      </c>
      <c r="V92" s="7">
        <v>609.57100000000003</v>
      </c>
      <c r="W92" s="7">
        <v>0</v>
      </c>
      <c r="X92" s="7">
        <v>0</v>
      </c>
      <c r="Y92" s="7">
        <v>0</v>
      </c>
      <c r="Z92" s="7">
        <v>254.94900000000001</v>
      </c>
      <c r="AA92" s="7">
        <v>283.63600000000002</v>
      </c>
      <c r="AB92" s="7">
        <v>0</v>
      </c>
      <c r="AC92" s="7">
        <v>1746.482</v>
      </c>
      <c r="AD92" s="7">
        <v>0</v>
      </c>
      <c r="AE92" s="7">
        <v>2935.6190000000001</v>
      </c>
      <c r="AF92" s="7">
        <v>0</v>
      </c>
      <c r="AG92" s="7">
        <v>426.512</v>
      </c>
      <c r="AH92" s="7">
        <v>0</v>
      </c>
      <c r="AI92" s="7">
        <v>4859.9870000000001</v>
      </c>
      <c r="AJ92" s="7">
        <v>319.05900000000003</v>
      </c>
      <c r="AK92" s="7">
        <v>0</v>
      </c>
      <c r="AL92" s="7">
        <v>31426.473999999998</v>
      </c>
      <c r="AM92" s="7">
        <v>635.06700000000001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38.738</v>
      </c>
      <c r="AV92" s="7">
        <v>0</v>
      </c>
      <c r="AW92" s="7">
        <v>0</v>
      </c>
      <c r="AX92" s="7">
        <v>84.938999999999993</v>
      </c>
      <c r="AY92" s="7">
        <v>0</v>
      </c>
      <c r="AZ92" s="7">
        <v>2.8839999999999999</v>
      </c>
      <c r="BA92" s="7">
        <v>0</v>
      </c>
      <c r="BB92" s="7">
        <v>303.94499999999999</v>
      </c>
      <c r="BC92" s="7">
        <v>0</v>
      </c>
      <c r="BD92" s="7">
        <v>0</v>
      </c>
      <c r="BE92" s="7">
        <v>17990.614000000001</v>
      </c>
      <c r="BF92" s="21"/>
    </row>
    <row r="93" spans="1:58" ht="15.75" x14ac:dyDescent="0.25">
      <c r="A93" s="5" t="s">
        <v>174</v>
      </c>
      <c r="B93" s="5" t="s">
        <v>175</v>
      </c>
      <c r="C93" s="7">
        <v>3</v>
      </c>
      <c r="D93" s="7">
        <v>3</v>
      </c>
      <c r="E93" s="7">
        <v>65301.317000000003</v>
      </c>
      <c r="F93" s="7">
        <v>10619.44</v>
      </c>
      <c r="G93" s="7">
        <v>22231.012999999999</v>
      </c>
      <c r="H93" s="7">
        <v>2760.7460000000001</v>
      </c>
      <c r="I93" s="7">
        <v>1787.473</v>
      </c>
      <c r="J93" s="7">
        <v>9949.768</v>
      </c>
      <c r="K93" s="7">
        <v>15011.058999999999</v>
      </c>
      <c r="L93" s="7">
        <v>7570.174</v>
      </c>
      <c r="M93" s="7">
        <v>0</v>
      </c>
      <c r="N93" s="7">
        <v>21856.353999999999</v>
      </c>
      <c r="O93" s="7">
        <v>90191.868000000002</v>
      </c>
      <c r="P93" s="7">
        <v>26160.719000000001</v>
      </c>
      <c r="Q93" s="7">
        <v>0</v>
      </c>
      <c r="R93" s="7">
        <v>0</v>
      </c>
      <c r="S93" s="7">
        <v>0.73</v>
      </c>
      <c r="T93" s="7">
        <v>0</v>
      </c>
      <c r="U93" s="7">
        <v>0</v>
      </c>
      <c r="V93" s="7">
        <v>4264.4769999999999</v>
      </c>
      <c r="W93" s="7">
        <v>0</v>
      </c>
      <c r="X93" s="7">
        <v>0</v>
      </c>
      <c r="Y93" s="7">
        <v>0</v>
      </c>
      <c r="Z93" s="7">
        <v>1013.0309999999999</v>
      </c>
      <c r="AA93" s="7">
        <v>1297.925</v>
      </c>
      <c r="AB93" s="7">
        <v>0</v>
      </c>
      <c r="AC93" s="7">
        <v>11460.071</v>
      </c>
      <c r="AD93" s="7">
        <v>0</v>
      </c>
      <c r="AE93" s="7">
        <v>15485.307000000001</v>
      </c>
      <c r="AF93" s="7">
        <v>0</v>
      </c>
      <c r="AG93" s="7">
        <v>2598.67</v>
      </c>
      <c r="AH93" s="7">
        <v>0</v>
      </c>
      <c r="AI93" s="7">
        <v>19525.175999999999</v>
      </c>
      <c r="AJ93" s="7">
        <v>3234.0239999999999</v>
      </c>
      <c r="AK93" s="7">
        <v>0</v>
      </c>
      <c r="AL93" s="7">
        <v>192101.71799999999</v>
      </c>
      <c r="AM93" s="7">
        <v>6410.0469999999996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241.72300000000001</v>
      </c>
      <c r="AV93" s="7">
        <v>0</v>
      </c>
      <c r="AW93" s="7">
        <v>0</v>
      </c>
      <c r="AX93" s="7">
        <v>848.96400000000006</v>
      </c>
      <c r="AY93" s="7">
        <v>0</v>
      </c>
      <c r="AZ93" s="7">
        <v>19.271000000000001</v>
      </c>
      <c r="BA93" s="7">
        <v>0</v>
      </c>
      <c r="BB93" s="7">
        <v>31.007999999999999</v>
      </c>
      <c r="BC93" s="7">
        <v>0</v>
      </c>
      <c r="BD93" s="7">
        <v>0</v>
      </c>
      <c r="BE93" s="7">
        <v>82504.125</v>
      </c>
      <c r="BF93" s="21"/>
    </row>
    <row r="94" spans="1:58" ht="15.75" x14ac:dyDescent="0.25">
      <c r="A94" s="5" t="s">
        <v>176</v>
      </c>
      <c r="B94" s="5" t="s">
        <v>177</v>
      </c>
      <c r="C94" s="7">
        <v>3</v>
      </c>
      <c r="D94" s="7">
        <v>3</v>
      </c>
      <c r="E94" s="7">
        <v>98018.373000000007</v>
      </c>
      <c r="F94" s="7">
        <v>21861.530999999999</v>
      </c>
      <c r="G94" s="7">
        <v>9584.2479999999996</v>
      </c>
      <c r="H94" s="7">
        <v>23965.154999999999</v>
      </c>
      <c r="I94" s="7">
        <v>3546.4989999999998</v>
      </c>
      <c r="J94" s="7">
        <v>17655.082999999999</v>
      </c>
      <c r="K94" s="7">
        <v>39892.945</v>
      </c>
      <c r="L94" s="7">
        <v>20154.685000000001</v>
      </c>
      <c r="M94" s="7">
        <v>0</v>
      </c>
      <c r="N94" s="7">
        <v>66914.296000000002</v>
      </c>
      <c r="O94" s="7">
        <v>145381.71400000001</v>
      </c>
      <c r="P94" s="7">
        <v>68905.56</v>
      </c>
      <c r="Q94" s="7">
        <v>0</v>
      </c>
      <c r="R94" s="7">
        <v>0</v>
      </c>
      <c r="S94" s="7">
        <v>1.048</v>
      </c>
      <c r="T94" s="7">
        <v>0</v>
      </c>
      <c r="U94" s="7">
        <v>0</v>
      </c>
      <c r="V94" s="7">
        <v>8664.3160000000007</v>
      </c>
      <c r="W94" s="7">
        <v>0</v>
      </c>
      <c r="X94" s="7">
        <v>0</v>
      </c>
      <c r="Y94" s="7">
        <v>0</v>
      </c>
      <c r="Z94" s="7">
        <v>1218.2429999999999</v>
      </c>
      <c r="AA94" s="7">
        <v>5001.107</v>
      </c>
      <c r="AB94" s="7">
        <v>0</v>
      </c>
      <c r="AC94" s="7">
        <v>20896.506000000001</v>
      </c>
      <c r="AD94" s="7">
        <v>0</v>
      </c>
      <c r="AE94" s="7">
        <v>30082.418000000001</v>
      </c>
      <c r="AF94" s="7">
        <v>0</v>
      </c>
      <c r="AG94" s="7">
        <v>3858.1190000000001</v>
      </c>
      <c r="AH94" s="7">
        <v>0</v>
      </c>
      <c r="AI94" s="7">
        <v>7619.3280000000004</v>
      </c>
      <c r="AJ94" s="7">
        <v>2619.2559999999999</v>
      </c>
      <c r="AK94" s="7">
        <v>0</v>
      </c>
      <c r="AL94" s="7">
        <v>280831.00699999998</v>
      </c>
      <c r="AM94" s="7">
        <v>5108.4579999999996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389.661</v>
      </c>
      <c r="AV94" s="7">
        <v>0</v>
      </c>
      <c r="AW94" s="7">
        <v>0</v>
      </c>
      <c r="AX94" s="7">
        <v>650.80200000000002</v>
      </c>
      <c r="AY94" s="7">
        <v>0</v>
      </c>
      <c r="AZ94" s="7">
        <v>36.064999999999998</v>
      </c>
      <c r="BA94" s="7">
        <v>0</v>
      </c>
      <c r="BB94" s="7">
        <v>177.84800000000001</v>
      </c>
      <c r="BC94" s="7">
        <v>0</v>
      </c>
      <c r="BD94" s="7">
        <v>0</v>
      </c>
      <c r="BE94" s="7">
        <v>28074.935000000001</v>
      </c>
      <c r="BF94" s="21"/>
    </row>
    <row r="95" spans="1:58" ht="15.75" x14ac:dyDescent="0.25">
      <c r="A95" s="5" t="s">
        <v>178</v>
      </c>
      <c r="B95" s="5" t="s">
        <v>179</v>
      </c>
      <c r="C95" s="7">
        <v>6</v>
      </c>
      <c r="D95" s="7">
        <v>6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21"/>
    </row>
    <row r="96" spans="1:58" ht="15.75" x14ac:dyDescent="0.25">
      <c r="A96" s="5" t="s">
        <v>180</v>
      </c>
      <c r="B96" s="5" t="s">
        <v>181</v>
      </c>
      <c r="C96" s="7">
        <v>6</v>
      </c>
      <c r="D96" s="7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21"/>
    </row>
    <row r="97" spans="1:58" ht="15.75" x14ac:dyDescent="0.25">
      <c r="A97" s="5" t="s">
        <v>182</v>
      </c>
      <c r="B97" s="5" t="s">
        <v>183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21"/>
    </row>
    <row r="98" spans="1:58" ht="15.75" x14ac:dyDescent="0.25">
      <c r="A98" s="5" t="s">
        <v>184</v>
      </c>
      <c r="B98" s="5" t="s">
        <v>185</v>
      </c>
      <c r="C98" s="7">
        <v>6</v>
      </c>
      <c r="D98" s="7">
        <v>6</v>
      </c>
      <c r="E98" s="7">
        <v>29.260999999999999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58.521999999999998</v>
      </c>
      <c r="L98" s="7">
        <v>0</v>
      </c>
      <c r="M98" s="7">
        <v>0</v>
      </c>
      <c r="N98" s="7">
        <v>29.260999999999999</v>
      </c>
      <c r="O98" s="7">
        <v>380.39100000000002</v>
      </c>
      <c r="P98" s="7">
        <v>87.783000000000001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58.521999999999998</v>
      </c>
      <c r="AJ98" s="7">
        <v>0</v>
      </c>
      <c r="AK98" s="7">
        <v>0</v>
      </c>
      <c r="AL98" s="7">
        <v>58.521999999999998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21"/>
    </row>
    <row r="99" spans="1:58" ht="15.75" x14ac:dyDescent="0.25">
      <c r="A99" s="5" t="s">
        <v>186</v>
      </c>
      <c r="B99" s="5" t="s">
        <v>187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21"/>
    </row>
    <row r="100" spans="1:58" ht="15.75" x14ac:dyDescent="0.25">
      <c r="A100" s="5" t="s">
        <v>188</v>
      </c>
      <c r="B100" s="5" t="s">
        <v>189</v>
      </c>
      <c r="C100" s="7">
        <v>6</v>
      </c>
      <c r="D100" s="7">
        <v>6</v>
      </c>
      <c r="E100" s="7">
        <v>3826.55</v>
      </c>
      <c r="F100" s="7">
        <v>557.71299999999997</v>
      </c>
      <c r="G100" s="7">
        <v>820.37599999999998</v>
      </c>
      <c r="H100" s="7">
        <v>0</v>
      </c>
      <c r="I100" s="7">
        <v>142.65600000000001</v>
      </c>
      <c r="J100" s="7">
        <v>481.58600000000001</v>
      </c>
      <c r="K100" s="7">
        <v>4016.3119999999999</v>
      </c>
      <c r="L100" s="7">
        <v>359.61399999999998</v>
      </c>
      <c r="M100" s="7">
        <v>0</v>
      </c>
      <c r="N100" s="7">
        <v>1859.992</v>
      </c>
      <c r="O100" s="7">
        <v>4309.7969999999996</v>
      </c>
      <c r="P100" s="7">
        <v>1856.8689999999999</v>
      </c>
      <c r="Q100" s="7">
        <v>0</v>
      </c>
      <c r="R100" s="7">
        <v>0</v>
      </c>
      <c r="S100" s="7">
        <v>27.855</v>
      </c>
      <c r="T100" s="7">
        <v>0</v>
      </c>
      <c r="U100" s="7">
        <v>0.79</v>
      </c>
      <c r="V100" s="7">
        <v>0</v>
      </c>
      <c r="W100" s="7">
        <v>0</v>
      </c>
      <c r="X100" s="7">
        <v>0</v>
      </c>
      <c r="Y100" s="7">
        <v>0</v>
      </c>
      <c r="Z100" s="7">
        <v>59.289000000000001</v>
      </c>
      <c r="AA100" s="7">
        <v>197.75800000000001</v>
      </c>
      <c r="AB100" s="7">
        <v>0</v>
      </c>
      <c r="AC100" s="7">
        <v>1595.4639999999999</v>
      </c>
      <c r="AD100" s="7">
        <v>0</v>
      </c>
      <c r="AE100" s="7">
        <v>550.39099999999996</v>
      </c>
      <c r="AF100" s="7">
        <v>0</v>
      </c>
      <c r="AG100" s="7">
        <v>93.317999999999998</v>
      </c>
      <c r="AH100" s="7">
        <v>0</v>
      </c>
      <c r="AI100" s="7">
        <v>4897.3320000000003</v>
      </c>
      <c r="AJ100" s="7">
        <v>0</v>
      </c>
      <c r="AK100" s="7">
        <v>0</v>
      </c>
      <c r="AL100" s="7">
        <v>7983.2439999999997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21"/>
    </row>
    <row r="101" spans="1:58" ht="15.75" x14ac:dyDescent="0.25">
      <c r="A101" s="5" t="s">
        <v>190</v>
      </c>
      <c r="B101" s="5" t="s">
        <v>191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21"/>
    </row>
    <row r="102" spans="1:58" ht="15.75" x14ac:dyDescent="0.25">
      <c r="A102" s="5" t="s">
        <v>192</v>
      </c>
      <c r="B102" s="5" t="s">
        <v>193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1842.6410000000001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21"/>
    </row>
    <row r="103" spans="1:58" ht="15.75" x14ac:dyDescent="0.25">
      <c r="A103" s="5" t="s">
        <v>194</v>
      </c>
      <c r="B103" s="5" t="s">
        <v>195</v>
      </c>
      <c r="C103" s="7">
        <v>4</v>
      </c>
      <c r="D103" s="7">
        <v>4</v>
      </c>
      <c r="E103" s="7">
        <v>175934.62299999999</v>
      </c>
      <c r="F103" s="7">
        <v>55297.351999999999</v>
      </c>
      <c r="G103" s="7">
        <v>310.59199999999998</v>
      </c>
      <c r="H103" s="7">
        <v>0</v>
      </c>
      <c r="I103" s="7">
        <v>3422.7269999999999</v>
      </c>
      <c r="J103" s="7">
        <v>268.45699999999999</v>
      </c>
      <c r="K103" s="7">
        <v>259781.228</v>
      </c>
      <c r="L103" s="7">
        <v>15115.584999999999</v>
      </c>
      <c r="M103" s="7">
        <v>0</v>
      </c>
      <c r="N103" s="7">
        <v>29253.53</v>
      </c>
      <c r="O103" s="7">
        <v>668938.66899999999</v>
      </c>
      <c r="P103" s="7">
        <v>33965.364000000001</v>
      </c>
      <c r="Q103" s="7">
        <v>0</v>
      </c>
      <c r="R103" s="7">
        <v>53.613999999999997</v>
      </c>
      <c r="S103" s="7">
        <v>27.215</v>
      </c>
      <c r="T103" s="7">
        <v>64.117999999999995</v>
      </c>
      <c r="U103" s="7">
        <v>0</v>
      </c>
      <c r="V103" s="7">
        <v>15851.346</v>
      </c>
      <c r="W103" s="7">
        <v>0</v>
      </c>
      <c r="X103" s="7">
        <v>1107.7860000000001</v>
      </c>
      <c r="Y103" s="7">
        <v>0</v>
      </c>
      <c r="Z103" s="7">
        <v>0</v>
      </c>
      <c r="AA103" s="7">
        <v>4696.8270000000002</v>
      </c>
      <c r="AB103" s="7">
        <v>2661.0329999999999</v>
      </c>
      <c r="AC103" s="7">
        <v>98123.278999999995</v>
      </c>
      <c r="AD103" s="7">
        <v>0</v>
      </c>
      <c r="AE103" s="7">
        <v>0</v>
      </c>
      <c r="AF103" s="7">
        <v>2192.7820000000002</v>
      </c>
      <c r="AG103" s="7">
        <v>8349.8389999999999</v>
      </c>
      <c r="AH103" s="7">
        <v>0</v>
      </c>
      <c r="AI103" s="7">
        <v>239371.878</v>
      </c>
      <c r="AJ103" s="7">
        <v>120532.198</v>
      </c>
      <c r="AK103" s="7">
        <v>0</v>
      </c>
      <c r="AL103" s="7">
        <v>830990.91099999996</v>
      </c>
      <c r="AM103" s="7">
        <v>239912.07199999999</v>
      </c>
      <c r="AN103" s="7">
        <v>0</v>
      </c>
      <c r="AO103" s="7">
        <v>0</v>
      </c>
      <c r="AP103" s="7">
        <v>2522.0430000000001</v>
      </c>
      <c r="AQ103" s="7">
        <v>1012.505</v>
      </c>
      <c r="AR103" s="7">
        <v>0</v>
      </c>
      <c r="AS103" s="7">
        <v>0</v>
      </c>
      <c r="AT103" s="7">
        <v>0</v>
      </c>
      <c r="AU103" s="7">
        <v>338.767</v>
      </c>
      <c r="AV103" s="7">
        <v>68.635999999999996</v>
      </c>
      <c r="AW103" s="7">
        <v>0</v>
      </c>
      <c r="AX103" s="7">
        <v>32087.811000000002</v>
      </c>
      <c r="AY103" s="7">
        <v>0</v>
      </c>
      <c r="AZ103" s="7">
        <v>142.274</v>
      </c>
      <c r="BA103" s="7">
        <v>0</v>
      </c>
      <c r="BB103" s="7">
        <v>1151.8879999999999</v>
      </c>
      <c r="BC103" s="7">
        <v>0</v>
      </c>
      <c r="BD103" s="7">
        <v>0</v>
      </c>
      <c r="BE103" s="7">
        <v>0</v>
      </c>
      <c r="BF103" s="21"/>
    </row>
    <row r="104" spans="1:58" ht="15.75" x14ac:dyDescent="0.25">
      <c r="A104" s="5" t="s">
        <v>196</v>
      </c>
      <c r="B104" s="5" t="s">
        <v>197</v>
      </c>
      <c r="C104" s="7">
        <v>4</v>
      </c>
      <c r="D104" s="7">
        <v>4</v>
      </c>
      <c r="E104" s="7">
        <v>98764.452000000005</v>
      </c>
      <c r="F104" s="7">
        <v>29753.045999999998</v>
      </c>
      <c r="G104" s="7">
        <v>176.07599999999999</v>
      </c>
      <c r="H104" s="7">
        <v>462.34899999999999</v>
      </c>
      <c r="I104" s="7">
        <v>1940.355</v>
      </c>
      <c r="J104" s="7">
        <v>152.18899999999999</v>
      </c>
      <c r="K104" s="7">
        <v>142898.011</v>
      </c>
      <c r="L104" s="7">
        <v>8569.0709999999999</v>
      </c>
      <c r="M104" s="7">
        <v>0</v>
      </c>
      <c r="N104" s="7">
        <v>16583.916000000001</v>
      </c>
      <c r="O104" s="7">
        <v>392049.239</v>
      </c>
      <c r="P104" s="7">
        <v>19255.069</v>
      </c>
      <c r="Q104" s="7">
        <v>0</v>
      </c>
      <c r="R104" s="7">
        <v>19.074000000000002</v>
      </c>
      <c r="S104" s="7">
        <v>15.429</v>
      </c>
      <c r="T104" s="7">
        <v>22.81</v>
      </c>
      <c r="U104" s="7">
        <v>0</v>
      </c>
      <c r="V104" s="7">
        <v>8986.1759999999995</v>
      </c>
      <c r="W104" s="7">
        <v>0</v>
      </c>
      <c r="X104" s="7">
        <v>394.10500000000002</v>
      </c>
      <c r="Y104" s="7">
        <v>0</v>
      </c>
      <c r="Z104" s="7">
        <v>0</v>
      </c>
      <c r="AA104" s="7">
        <v>2662.6460000000002</v>
      </c>
      <c r="AB104" s="7">
        <v>946.68499999999995</v>
      </c>
      <c r="AC104" s="7">
        <v>55626.387000000002</v>
      </c>
      <c r="AD104" s="7">
        <v>0</v>
      </c>
      <c r="AE104" s="7">
        <v>0</v>
      </c>
      <c r="AF104" s="7">
        <v>780.101</v>
      </c>
      <c r="AG104" s="7">
        <v>4733.549</v>
      </c>
      <c r="AH104" s="7">
        <v>0</v>
      </c>
      <c r="AI104" s="7">
        <v>135700.649</v>
      </c>
      <c r="AJ104" s="7">
        <v>68330.070999999996</v>
      </c>
      <c r="AK104" s="7">
        <v>0</v>
      </c>
      <c r="AL104" s="7">
        <v>470989.35700000002</v>
      </c>
      <c r="AM104" s="7">
        <v>136006.88699999999</v>
      </c>
      <c r="AN104" s="7">
        <v>0</v>
      </c>
      <c r="AO104" s="7">
        <v>0</v>
      </c>
      <c r="AP104" s="7">
        <v>897.23800000000006</v>
      </c>
      <c r="AQ104" s="7">
        <v>360.20699999999999</v>
      </c>
      <c r="AR104" s="7">
        <v>0</v>
      </c>
      <c r="AS104" s="7">
        <v>0</v>
      </c>
      <c r="AT104" s="7">
        <v>0</v>
      </c>
      <c r="AU104" s="7">
        <v>192.048</v>
      </c>
      <c r="AV104" s="7">
        <v>24.417999999999999</v>
      </c>
      <c r="AW104" s="7">
        <v>0</v>
      </c>
      <c r="AX104" s="7">
        <v>18190.678</v>
      </c>
      <c r="AY104" s="7">
        <v>0</v>
      </c>
      <c r="AZ104" s="7">
        <v>80.655000000000001</v>
      </c>
      <c r="BA104" s="7">
        <v>0</v>
      </c>
      <c r="BB104" s="7">
        <v>653.00800000000004</v>
      </c>
      <c r="BC104" s="7">
        <v>0</v>
      </c>
      <c r="BD104" s="7">
        <v>0</v>
      </c>
      <c r="BE104" s="7">
        <v>0</v>
      </c>
      <c r="BF104" s="21"/>
    </row>
    <row r="105" spans="1:58" ht="15.75" x14ac:dyDescent="0.25">
      <c r="A105" s="5" t="s">
        <v>198</v>
      </c>
      <c r="B105" s="5" t="s">
        <v>199</v>
      </c>
      <c r="C105" s="7">
        <v>4</v>
      </c>
      <c r="D105" s="7">
        <v>4</v>
      </c>
      <c r="E105" s="7">
        <v>45010.421000000002</v>
      </c>
      <c r="F105" s="7">
        <v>14134.207</v>
      </c>
      <c r="G105" s="7">
        <v>181.477</v>
      </c>
      <c r="H105" s="7">
        <v>8.7289999999999992</v>
      </c>
      <c r="I105" s="7">
        <v>955.68</v>
      </c>
      <c r="J105" s="7">
        <v>132.84</v>
      </c>
      <c r="K105" s="7">
        <v>72231.650999999998</v>
      </c>
      <c r="L105" s="7">
        <v>4309.7550000000001</v>
      </c>
      <c r="M105" s="7">
        <v>0</v>
      </c>
      <c r="N105" s="7">
        <v>9414.1190000000006</v>
      </c>
      <c r="O105" s="7">
        <v>171390.679</v>
      </c>
      <c r="P105" s="7">
        <v>11298.31</v>
      </c>
      <c r="Q105" s="7">
        <v>0</v>
      </c>
      <c r="R105" s="7">
        <v>65.367000000000004</v>
      </c>
      <c r="S105" s="7">
        <v>6.76</v>
      </c>
      <c r="T105" s="7">
        <v>78.174000000000007</v>
      </c>
      <c r="U105" s="7">
        <v>0</v>
      </c>
      <c r="V105" s="7">
        <v>3948.752</v>
      </c>
      <c r="W105" s="7">
        <v>0</v>
      </c>
      <c r="X105" s="7">
        <v>1350.635</v>
      </c>
      <c r="Y105" s="7">
        <v>0</v>
      </c>
      <c r="Z105" s="7">
        <v>8.4909999999999997</v>
      </c>
      <c r="AA105" s="7">
        <v>1184.4000000000001</v>
      </c>
      <c r="AB105" s="7">
        <v>3244.3850000000002</v>
      </c>
      <c r="AC105" s="7">
        <v>24375.508999999998</v>
      </c>
      <c r="AD105" s="7">
        <v>0</v>
      </c>
      <c r="AE105" s="7">
        <v>62.948999999999998</v>
      </c>
      <c r="AF105" s="7">
        <v>2673.4839999999999</v>
      </c>
      <c r="AG105" s="7">
        <v>2077.1909999999998</v>
      </c>
      <c r="AH105" s="7">
        <v>0</v>
      </c>
      <c r="AI105" s="7">
        <v>59414.624000000003</v>
      </c>
      <c r="AJ105" s="7">
        <v>29867.224999999999</v>
      </c>
      <c r="AK105" s="7">
        <v>0</v>
      </c>
      <c r="AL105" s="7">
        <v>206227.70199999999</v>
      </c>
      <c r="AM105" s="7">
        <v>59455.339</v>
      </c>
      <c r="AN105" s="7">
        <v>0</v>
      </c>
      <c r="AO105" s="7">
        <v>0</v>
      </c>
      <c r="AP105" s="7">
        <v>3074.9250000000002</v>
      </c>
      <c r="AQ105" s="7">
        <v>1234.4659999999999</v>
      </c>
      <c r="AR105" s="7">
        <v>0</v>
      </c>
      <c r="AS105" s="7">
        <v>0</v>
      </c>
      <c r="AT105" s="7">
        <v>0</v>
      </c>
      <c r="AU105" s="7">
        <v>84.256</v>
      </c>
      <c r="AV105" s="7">
        <v>83.683000000000007</v>
      </c>
      <c r="AW105" s="7">
        <v>0</v>
      </c>
      <c r="AX105" s="7">
        <v>7950.0290000000005</v>
      </c>
      <c r="AY105" s="7">
        <v>0</v>
      </c>
      <c r="AZ105" s="7">
        <v>35.447000000000003</v>
      </c>
      <c r="BA105" s="7">
        <v>0</v>
      </c>
      <c r="BB105" s="7">
        <v>291.23700000000002</v>
      </c>
      <c r="BC105" s="7">
        <v>0</v>
      </c>
      <c r="BD105" s="7">
        <v>0</v>
      </c>
      <c r="BE105" s="7">
        <v>0</v>
      </c>
      <c r="BF105" s="21"/>
    </row>
    <row r="106" spans="1:58" ht="15.75" x14ac:dyDescent="0.25">
      <c r="A106" s="5" t="s">
        <v>200</v>
      </c>
      <c r="B106" s="5" t="s">
        <v>201</v>
      </c>
      <c r="C106" s="7">
        <v>4</v>
      </c>
      <c r="D106" s="7">
        <v>4</v>
      </c>
      <c r="E106" s="7">
        <v>2199.6460000000002</v>
      </c>
      <c r="F106" s="7">
        <v>661.76700000000005</v>
      </c>
      <c r="G106" s="7">
        <v>6.4329999999999998</v>
      </c>
      <c r="H106" s="7">
        <v>0</v>
      </c>
      <c r="I106" s="7">
        <v>43.29</v>
      </c>
      <c r="J106" s="7">
        <v>4.9809999999999999</v>
      </c>
      <c r="K106" s="7">
        <v>3174.9740000000002</v>
      </c>
      <c r="L106" s="7">
        <v>192.26300000000001</v>
      </c>
      <c r="M106" s="7">
        <v>0</v>
      </c>
      <c r="N106" s="7">
        <v>372.87299999999999</v>
      </c>
      <c r="O106" s="7">
        <v>8331.6389999999992</v>
      </c>
      <c r="P106" s="7">
        <v>432.04</v>
      </c>
      <c r="Q106" s="7">
        <v>0</v>
      </c>
      <c r="R106" s="7">
        <v>5.83</v>
      </c>
      <c r="S106" s="7">
        <v>0.34300000000000003</v>
      </c>
      <c r="T106" s="7">
        <v>6.9720000000000004</v>
      </c>
      <c r="U106" s="7">
        <v>0</v>
      </c>
      <c r="V106" s="7">
        <v>200.02699999999999</v>
      </c>
      <c r="W106" s="7">
        <v>0</v>
      </c>
      <c r="X106" s="7">
        <v>120.455</v>
      </c>
      <c r="Y106" s="7">
        <v>0</v>
      </c>
      <c r="Z106" s="7">
        <v>0.20499999999999999</v>
      </c>
      <c r="AA106" s="7">
        <v>59.616</v>
      </c>
      <c r="AB106" s="7">
        <v>289.346</v>
      </c>
      <c r="AC106" s="7">
        <v>1236.566</v>
      </c>
      <c r="AD106" s="7">
        <v>0</v>
      </c>
      <c r="AE106" s="7">
        <v>1.52</v>
      </c>
      <c r="AF106" s="7">
        <v>238.43100000000001</v>
      </c>
      <c r="AG106" s="7">
        <v>105.297</v>
      </c>
      <c r="AH106" s="7">
        <v>0</v>
      </c>
      <c r="AI106" s="7">
        <v>3015.4110000000001</v>
      </c>
      <c r="AJ106" s="7">
        <v>1517.05</v>
      </c>
      <c r="AK106" s="7">
        <v>0</v>
      </c>
      <c r="AL106" s="7">
        <v>10466.159</v>
      </c>
      <c r="AM106" s="7">
        <v>3019.5970000000002</v>
      </c>
      <c r="AN106" s="7">
        <v>0</v>
      </c>
      <c r="AO106" s="7">
        <v>0</v>
      </c>
      <c r="AP106" s="7">
        <v>274.233</v>
      </c>
      <c r="AQ106" s="7">
        <v>110.09399999999999</v>
      </c>
      <c r="AR106" s="7">
        <v>0</v>
      </c>
      <c r="AS106" s="7">
        <v>0</v>
      </c>
      <c r="AT106" s="7">
        <v>0</v>
      </c>
      <c r="AU106" s="7">
        <v>4.2720000000000002</v>
      </c>
      <c r="AV106" s="7">
        <v>7.4630000000000001</v>
      </c>
      <c r="AW106" s="7">
        <v>0</v>
      </c>
      <c r="AX106" s="7">
        <v>403.86599999999999</v>
      </c>
      <c r="AY106" s="7">
        <v>0</v>
      </c>
      <c r="AZ106" s="7">
        <v>1.7949999999999999</v>
      </c>
      <c r="BA106" s="7">
        <v>0</v>
      </c>
      <c r="BB106" s="7">
        <v>14.638999999999999</v>
      </c>
      <c r="BC106" s="7">
        <v>0</v>
      </c>
      <c r="BD106" s="7">
        <v>0</v>
      </c>
      <c r="BE106" s="7">
        <v>0</v>
      </c>
      <c r="BF106" s="21"/>
    </row>
    <row r="107" spans="1:58" ht="15.75" x14ac:dyDescent="0.25">
      <c r="A107" s="5" t="s">
        <v>202</v>
      </c>
      <c r="B107" s="5" t="s">
        <v>203</v>
      </c>
      <c r="C107" s="7">
        <v>4</v>
      </c>
      <c r="D107" s="7">
        <v>4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21"/>
    </row>
    <row r="108" spans="1:58" ht="15.75" x14ac:dyDescent="0.25">
      <c r="A108" s="5" t="s">
        <v>204</v>
      </c>
      <c r="B108" s="5" t="s">
        <v>205</v>
      </c>
      <c r="C108" s="7">
        <v>4</v>
      </c>
      <c r="D108" s="7">
        <v>4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21"/>
    </row>
    <row r="109" spans="1:58" ht="15.75" x14ac:dyDescent="0.25">
      <c r="A109" s="5" t="s">
        <v>206</v>
      </c>
      <c r="B109" s="5" t="s">
        <v>207</v>
      </c>
      <c r="C109" s="7">
        <v>6</v>
      </c>
      <c r="D109" s="7">
        <v>6</v>
      </c>
      <c r="E109" s="7">
        <v>48787.389000000003</v>
      </c>
      <c r="F109" s="7">
        <v>634.45100000000002</v>
      </c>
      <c r="G109" s="7">
        <v>1.7210000000000001</v>
      </c>
      <c r="H109" s="7">
        <v>9.1530000000000005</v>
      </c>
      <c r="I109" s="7">
        <v>1.46</v>
      </c>
      <c r="J109" s="7">
        <v>2.0649999999999999</v>
      </c>
      <c r="K109" s="7">
        <v>64954.233999999997</v>
      </c>
      <c r="L109" s="7">
        <v>577.20100000000002</v>
      </c>
      <c r="M109" s="7">
        <v>0</v>
      </c>
      <c r="N109" s="7">
        <v>19976.527999999998</v>
      </c>
      <c r="O109" s="7">
        <v>109165.603</v>
      </c>
      <c r="P109" s="7">
        <v>17046.454000000002</v>
      </c>
      <c r="Q109" s="7">
        <v>0</v>
      </c>
      <c r="R109" s="7">
        <v>0</v>
      </c>
      <c r="S109" s="7">
        <v>0.32</v>
      </c>
      <c r="T109" s="7">
        <v>0</v>
      </c>
      <c r="U109" s="7">
        <v>2E-3</v>
      </c>
      <c r="V109" s="7">
        <v>1.998</v>
      </c>
      <c r="W109" s="7">
        <v>0</v>
      </c>
      <c r="X109" s="7">
        <v>0</v>
      </c>
      <c r="Y109" s="7">
        <v>0</v>
      </c>
      <c r="Z109" s="7">
        <v>0</v>
      </c>
      <c r="AA109" s="7">
        <v>0.59199999999999997</v>
      </c>
      <c r="AB109" s="7">
        <v>0</v>
      </c>
      <c r="AC109" s="7">
        <v>25031.275000000001</v>
      </c>
      <c r="AD109" s="7">
        <v>0</v>
      </c>
      <c r="AE109" s="7">
        <v>0</v>
      </c>
      <c r="AF109" s="7">
        <v>0</v>
      </c>
      <c r="AG109" s="7">
        <v>1.0529999999999999</v>
      </c>
      <c r="AH109" s="7">
        <v>0</v>
      </c>
      <c r="AI109" s="7">
        <v>84549.592999999993</v>
      </c>
      <c r="AJ109" s="7">
        <v>874.47900000000004</v>
      </c>
      <c r="AK109" s="7">
        <v>0</v>
      </c>
      <c r="AL109" s="7">
        <v>201903.198</v>
      </c>
      <c r="AM109" s="7">
        <v>1116.442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4.2999999999999997E-2</v>
      </c>
      <c r="AV109" s="7">
        <v>0</v>
      </c>
      <c r="AW109" s="7">
        <v>0</v>
      </c>
      <c r="AX109" s="7">
        <v>4.0449999999999999</v>
      </c>
      <c r="AY109" s="7">
        <v>0</v>
      </c>
      <c r="AZ109" s="7">
        <v>2.4E-2</v>
      </c>
      <c r="BA109" s="7">
        <v>0</v>
      </c>
      <c r="BB109" s="7">
        <v>0.14499999999999999</v>
      </c>
      <c r="BC109" s="7">
        <v>0</v>
      </c>
      <c r="BD109" s="7">
        <v>0</v>
      </c>
      <c r="BE109" s="7">
        <v>0</v>
      </c>
      <c r="BF109" s="21"/>
    </row>
    <row r="110" spans="1:58" ht="15.75" x14ac:dyDescent="0.25">
      <c r="A110" s="5" t="s">
        <v>208</v>
      </c>
      <c r="B110" s="5" t="s">
        <v>209</v>
      </c>
      <c r="C110" s="7">
        <v>4</v>
      </c>
      <c r="D110" s="7">
        <v>4</v>
      </c>
      <c r="E110" s="7">
        <v>60551.874000000003</v>
      </c>
      <c r="F110" s="7">
        <v>18223.731</v>
      </c>
      <c r="G110" s="7">
        <v>107.22799999999999</v>
      </c>
      <c r="H110" s="7">
        <v>0</v>
      </c>
      <c r="I110" s="7">
        <v>1183.752</v>
      </c>
      <c r="J110" s="7">
        <v>92.682000000000002</v>
      </c>
      <c r="K110" s="7">
        <v>87222.994999999995</v>
      </c>
      <c r="L110" s="7">
        <v>5234.5060000000003</v>
      </c>
      <c r="M110" s="7">
        <v>0</v>
      </c>
      <c r="N110" s="7">
        <v>10119.728999999999</v>
      </c>
      <c r="O110" s="7">
        <v>230173.22</v>
      </c>
      <c r="P110" s="7">
        <v>11775.392</v>
      </c>
      <c r="Q110" s="7">
        <v>0</v>
      </c>
      <c r="R110" s="7">
        <v>0</v>
      </c>
      <c r="S110" s="7">
        <v>9.3960000000000008</v>
      </c>
      <c r="T110" s="7">
        <v>0</v>
      </c>
      <c r="U110" s="7">
        <v>0</v>
      </c>
      <c r="V110" s="7">
        <v>5483.1480000000001</v>
      </c>
      <c r="W110" s="7">
        <v>0</v>
      </c>
      <c r="X110" s="7">
        <v>0</v>
      </c>
      <c r="Y110" s="7">
        <v>0</v>
      </c>
      <c r="Z110" s="7">
        <v>0</v>
      </c>
      <c r="AA110" s="7">
        <v>1625.0550000000001</v>
      </c>
      <c r="AB110" s="7">
        <v>0</v>
      </c>
      <c r="AC110" s="7">
        <v>34023.533000000003</v>
      </c>
      <c r="AD110" s="7">
        <v>0</v>
      </c>
      <c r="AE110" s="7">
        <v>0</v>
      </c>
      <c r="AF110" s="7">
        <v>45.622999999999998</v>
      </c>
      <c r="AG110" s="7">
        <v>2888.5639999999999</v>
      </c>
      <c r="AH110" s="7">
        <v>0</v>
      </c>
      <c r="AI110" s="7">
        <v>83152.707999999999</v>
      </c>
      <c r="AJ110" s="7">
        <v>41820.438000000002</v>
      </c>
      <c r="AK110" s="7">
        <v>0</v>
      </c>
      <c r="AL110" s="7">
        <v>289474.81400000001</v>
      </c>
      <c r="AM110" s="7">
        <v>83121.930999999997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117.395</v>
      </c>
      <c r="AV110" s="7">
        <v>0</v>
      </c>
      <c r="AW110" s="7">
        <v>120.973</v>
      </c>
      <c r="AX110" s="7">
        <v>11150.441000000001</v>
      </c>
      <c r="AY110" s="7">
        <v>54.698</v>
      </c>
      <c r="AZ110" s="7">
        <v>49.225999999999999</v>
      </c>
      <c r="BA110" s="7">
        <v>0</v>
      </c>
      <c r="BB110" s="7">
        <v>493.74799999999999</v>
      </c>
      <c r="BC110" s="7">
        <v>249.833</v>
      </c>
      <c r="BD110" s="7">
        <v>210.40199999999999</v>
      </c>
      <c r="BE110" s="7">
        <v>22.957999999999998</v>
      </c>
      <c r="BF110" s="21"/>
    </row>
    <row r="111" spans="1:58" ht="15.75" x14ac:dyDescent="0.25">
      <c r="A111" s="5" t="s">
        <v>210</v>
      </c>
      <c r="B111" s="5" t="s">
        <v>211</v>
      </c>
      <c r="C111" s="7">
        <v>4</v>
      </c>
      <c r="D111" s="7">
        <v>4</v>
      </c>
      <c r="E111" s="7">
        <v>151943.11199999999</v>
      </c>
      <c r="F111" s="7">
        <v>41574.116000000002</v>
      </c>
      <c r="G111" s="7">
        <v>10.47</v>
      </c>
      <c r="H111" s="7">
        <v>0</v>
      </c>
      <c r="I111" s="7">
        <v>2459.0569999999998</v>
      </c>
      <c r="J111" s="7">
        <v>9.0500000000000007</v>
      </c>
      <c r="K111" s="7">
        <v>231461.19399999999</v>
      </c>
      <c r="L111" s="7">
        <v>18323.824000000001</v>
      </c>
      <c r="M111" s="7">
        <v>0</v>
      </c>
      <c r="N111" s="7">
        <v>24361.761999999999</v>
      </c>
      <c r="O111" s="7">
        <v>528698.429</v>
      </c>
      <c r="P111" s="7">
        <v>31004.847000000002</v>
      </c>
      <c r="Q111" s="7">
        <v>0</v>
      </c>
      <c r="R111" s="7">
        <v>0</v>
      </c>
      <c r="S111" s="7">
        <v>0.91800000000000004</v>
      </c>
      <c r="T111" s="7">
        <v>0</v>
      </c>
      <c r="U111" s="7">
        <v>0</v>
      </c>
      <c r="V111" s="7">
        <v>12298.915999999999</v>
      </c>
      <c r="W111" s="7">
        <v>0</v>
      </c>
      <c r="X111" s="7">
        <v>0</v>
      </c>
      <c r="Y111" s="7">
        <v>0</v>
      </c>
      <c r="Z111" s="7">
        <v>0</v>
      </c>
      <c r="AA111" s="7">
        <v>4074.1930000000002</v>
      </c>
      <c r="AB111" s="7">
        <v>0</v>
      </c>
      <c r="AC111" s="7">
        <v>84835.456000000006</v>
      </c>
      <c r="AD111" s="7">
        <v>0</v>
      </c>
      <c r="AE111" s="7">
        <v>0</v>
      </c>
      <c r="AF111" s="7">
        <v>26.097000000000001</v>
      </c>
      <c r="AG111" s="7">
        <v>6719.3689999999997</v>
      </c>
      <c r="AH111" s="7">
        <v>0</v>
      </c>
      <c r="AI111" s="7">
        <v>206943.818</v>
      </c>
      <c r="AJ111" s="7">
        <v>106635.933</v>
      </c>
      <c r="AK111" s="7">
        <v>0</v>
      </c>
      <c r="AL111" s="7">
        <v>708098.41700000002</v>
      </c>
      <c r="AM111" s="7">
        <v>204175.516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463.03199999999998</v>
      </c>
      <c r="AV111" s="7">
        <v>0</v>
      </c>
      <c r="AW111" s="7">
        <v>22940.923999999999</v>
      </c>
      <c r="AX111" s="7">
        <v>29475.651999999998</v>
      </c>
      <c r="AY111" s="7">
        <v>10339.097</v>
      </c>
      <c r="AZ111" s="7">
        <v>115.309</v>
      </c>
      <c r="BA111" s="7">
        <v>0</v>
      </c>
      <c r="BB111" s="7">
        <v>911.26300000000003</v>
      </c>
      <c r="BC111" s="7">
        <v>47765.561000000002</v>
      </c>
      <c r="BD111" s="7">
        <v>39839.495000000003</v>
      </c>
      <c r="BE111" s="7">
        <v>23624.809000000001</v>
      </c>
      <c r="BF111" s="21"/>
    </row>
    <row r="112" spans="1:58" ht="15.75" x14ac:dyDescent="0.25">
      <c r="A112" s="5" t="s">
        <v>212</v>
      </c>
      <c r="B112" s="5" t="s">
        <v>213</v>
      </c>
      <c r="C112" s="7">
        <v>4</v>
      </c>
      <c r="D112" s="7">
        <v>4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21"/>
    </row>
    <row r="113" spans="1:58" ht="15.75" x14ac:dyDescent="0.25">
      <c r="A113" s="5" t="s">
        <v>214</v>
      </c>
      <c r="B113" s="5" t="s">
        <v>215</v>
      </c>
      <c r="C113" s="7">
        <v>6</v>
      </c>
      <c r="D113" s="7">
        <v>6</v>
      </c>
      <c r="E113" s="7">
        <v>0</v>
      </c>
      <c r="F113" s="7">
        <v>42.073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0.72499999999999998</v>
      </c>
      <c r="O113" s="7">
        <v>-0.23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352.54399999999998</v>
      </c>
      <c r="AJ113" s="7">
        <v>23.576000000000001</v>
      </c>
      <c r="AK113" s="7">
        <v>0</v>
      </c>
      <c r="AL113" s="7">
        <v>294.39</v>
      </c>
      <c r="AM113" s="7">
        <v>12.332000000000001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21"/>
    </row>
    <row r="114" spans="1:58" ht="15.75" x14ac:dyDescent="0.25">
      <c r="A114" s="5" t="s">
        <v>216</v>
      </c>
      <c r="B114" s="5" t="s">
        <v>217</v>
      </c>
      <c r="C114" s="7">
        <v>6</v>
      </c>
      <c r="D114" s="7">
        <v>6</v>
      </c>
      <c r="E114" s="7">
        <v>51361.044999999998</v>
      </c>
      <c r="F114" s="7">
        <v>1137.3979999999999</v>
      </c>
      <c r="G114" s="7">
        <v>0</v>
      </c>
      <c r="H114" s="7">
        <v>0</v>
      </c>
      <c r="I114" s="7">
        <v>75.049000000000007</v>
      </c>
      <c r="J114" s="7">
        <v>0</v>
      </c>
      <c r="K114" s="7">
        <v>53202.080999999998</v>
      </c>
      <c r="L114" s="7">
        <v>4408.6419999999998</v>
      </c>
      <c r="M114" s="7">
        <v>0</v>
      </c>
      <c r="N114" s="7">
        <v>33561.186999999998</v>
      </c>
      <c r="O114" s="7">
        <v>175077.00399999999</v>
      </c>
      <c r="P114" s="7">
        <v>33972.019</v>
      </c>
      <c r="Q114" s="7">
        <v>0</v>
      </c>
      <c r="R114" s="7">
        <v>0</v>
      </c>
      <c r="S114" s="7">
        <v>25.015999999999998</v>
      </c>
      <c r="T114" s="7">
        <v>0</v>
      </c>
      <c r="U114" s="7">
        <v>25.015999999999998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250.16300000000001</v>
      </c>
      <c r="AB114" s="7">
        <v>0</v>
      </c>
      <c r="AC114" s="7">
        <v>16483.621999999999</v>
      </c>
      <c r="AD114" s="7">
        <v>0</v>
      </c>
      <c r="AE114" s="7">
        <v>2351.5349999999999</v>
      </c>
      <c r="AF114" s="7">
        <v>0</v>
      </c>
      <c r="AG114" s="7">
        <v>200.131</v>
      </c>
      <c r="AH114" s="7">
        <v>0</v>
      </c>
      <c r="AI114" s="7">
        <v>49582.784</v>
      </c>
      <c r="AJ114" s="7">
        <v>110.705</v>
      </c>
      <c r="AK114" s="7">
        <v>0</v>
      </c>
      <c r="AL114" s="7">
        <v>203951.33900000001</v>
      </c>
      <c r="AM114" s="7">
        <v>75.040999999999997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21"/>
    </row>
    <row r="115" spans="1:58" ht="15.75" x14ac:dyDescent="0.25">
      <c r="A115" s="5" t="s">
        <v>218</v>
      </c>
      <c r="B115" s="5" t="s">
        <v>219</v>
      </c>
      <c r="C115" s="7">
        <v>4</v>
      </c>
      <c r="D115" s="7">
        <v>4</v>
      </c>
      <c r="E115" s="7">
        <v>17081.587</v>
      </c>
      <c r="F115" s="7">
        <v>5145.8720000000003</v>
      </c>
      <c r="G115" s="7">
        <v>30.452999999999999</v>
      </c>
      <c r="H115" s="7">
        <v>10869.47</v>
      </c>
      <c r="I115" s="7">
        <v>335.59</v>
      </c>
      <c r="J115" s="7">
        <v>26.321999999999999</v>
      </c>
      <c r="K115" s="7">
        <v>24714.608</v>
      </c>
      <c r="L115" s="7">
        <v>1482.0450000000001</v>
      </c>
      <c r="M115" s="7">
        <v>0</v>
      </c>
      <c r="N115" s="7">
        <v>2868.2339999999999</v>
      </c>
      <c r="O115" s="7">
        <v>64863.188999999998</v>
      </c>
      <c r="P115" s="7">
        <v>3330.2179999999998</v>
      </c>
      <c r="Q115" s="7">
        <v>0</v>
      </c>
      <c r="R115" s="7">
        <v>0</v>
      </c>
      <c r="S115" s="7">
        <v>2.6680000000000001</v>
      </c>
      <c r="T115" s="7">
        <v>0</v>
      </c>
      <c r="U115" s="7">
        <v>0</v>
      </c>
      <c r="V115" s="7">
        <v>1554.184</v>
      </c>
      <c r="W115" s="7">
        <v>0</v>
      </c>
      <c r="X115" s="7">
        <v>0</v>
      </c>
      <c r="Y115" s="7">
        <v>0</v>
      </c>
      <c r="Z115" s="7">
        <v>0</v>
      </c>
      <c r="AA115" s="7">
        <v>460.512</v>
      </c>
      <c r="AB115" s="7">
        <v>0</v>
      </c>
      <c r="AC115" s="7">
        <v>9620.7379999999994</v>
      </c>
      <c r="AD115" s="7">
        <v>0</v>
      </c>
      <c r="AE115" s="7">
        <v>0</v>
      </c>
      <c r="AF115" s="7">
        <v>0</v>
      </c>
      <c r="AG115" s="7">
        <v>818.68100000000004</v>
      </c>
      <c r="AH115" s="7">
        <v>6756.4920000000002</v>
      </c>
      <c r="AI115" s="7">
        <v>23469.805</v>
      </c>
      <c r="AJ115" s="7">
        <v>11817.876</v>
      </c>
      <c r="AK115" s="7">
        <v>32422.483</v>
      </c>
      <c r="AL115" s="7">
        <v>81458.92</v>
      </c>
      <c r="AM115" s="7">
        <v>23522.769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33.215000000000003</v>
      </c>
      <c r="AV115" s="7">
        <v>0</v>
      </c>
      <c r="AW115" s="7">
        <v>0</v>
      </c>
      <c r="AX115" s="7">
        <v>3146.1280000000002</v>
      </c>
      <c r="AY115" s="7">
        <v>0</v>
      </c>
      <c r="AZ115" s="7">
        <v>13.95</v>
      </c>
      <c r="BA115" s="7">
        <v>0</v>
      </c>
      <c r="BB115" s="7">
        <v>2069.3249999999998</v>
      </c>
      <c r="BC115" s="7">
        <v>0</v>
      </c>
      <c r="BD115" s="7">
        <v>0</v>
      </c>
      <c r="BE115" s="7">
        <v>0</v>
      </c>
      <c r="BF115" s="21"/>
    </row>
    <row r="116" spans="1:58" ht="15.75" x14ac:dyDescent="0.25">
      <c r="A116" s="5" t="s">
        <v>220</v>
      </c>
      <c r="B116" s="5" t="s">
        <v>221</v>
      </c>
      <c r="C116" s="7">
        <v>4</v>
      </c>
      <c r="D116" s="7">
        <v>4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170027.35399999999</v>
      </c>
      <c r="AP116" s="7">
        <v>0</v>
      </c>
      <c r="AQ116" s="7">
        <v>0</v>
      </c>
      <c r="AR116" s="7">
        <v>108770.91099999999</v>
      </c>
      <c r="AS116" s="7">
        <v>0</v>
      </c>
      <c r="AT116" s="7">
        <v>52042.790999999997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1426.152</v>
      </c>
      <c r="BC116" s="7">
        <v>0</v>
      </c>
      <c r="BD116" s="7">
        <v>0</v>
      </c>
      <c r="BE116" s="7">
        <v>0</v>
      </c>
      <c r="BF116" s="21"/>
    </row>
    <row r="117" spans="1:58" ht="15.75" x14ac:dyDescent="0.25">
      <c r="A117" s="5" t="s">
        <v>222</v>
      </c>
      <c r="B117" s="5" t="s">
        <v>223</v>
      </c>
      <c r="C117" s="7">
        <v>4</v>
      </c>
      <c r="D117" s="7">
        <v>3</v>
      </c>
      <c r="E117" s="7">
        <v>0</v>
      </c>
      <c r="F117" s="7">
        <v>0</v>
      </c>
      <c r="G117" s="7">
        <v>299.99400000000003</v>
      </c>
      <c r="H117" s="7">
        <v>0</v>
      </c>
      <c r="I117" s="7">
        <v>0</v>
      </c>
      <c r="J117" s="7">
        <v>69.691999999999993</v>
      </c>
      <c r="K117" s="7">
        <v>0</v>
      </c>
      <c r="L117" s="7">
        <v>3524.596</v>
      </c>
      <c r="M117" s="7">
        <v>0</v>
      </c>
      <c r="N117" s="7">
        <v>0</v>
      </c>
      <c r="O117" s="7">
        <v>0</v>
      </c>
      <c r="P117" s="7">
        <v>0</v>
      </c>
      <c r="Q117" s="7">
        <v>2429.7280000000001</v>
      </c>
      <c r="R117" s="7">
        <v>0</v>
      </c>
      <c r="S117" s="7">
        <v>0</v>
      </c>
      <c r="T117" s="7">
        <v>201.24100000000001</v>
      </c>
      <c r="U117" s="7">
        <v>627.46600000000001</v>
      </c>
      <c r="V117" s="7">
        <v>0</v>
      </c>
      <c r="W117" s="7">
        <v>0</v>
      </c>
      <c r="X117" s="7">
        <v>620.452</v>
      </c>
      <c r="Y117" s="7">
        <v>0</v>
      </c>
      <c r="Z117" s="7">
        <v>0</v>
      </c>
      <c r="AA117" s="7">
        <v>2287.723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9849.5580000000009</v>
      </c>
      <c r="AI117" s="7">
        <v>0</v>
      </c>
      <c r="AJ117" s="7">
        <v>0</v>
      </c>
      <c r="AK117" s="7">
        <v>43648.057999999997</v>
      </c>
      <c r="AL117" s="7">
        <v>0</v>
      </c>
      <c r="AM117" s="7">
        <v>0</v>
      </c>
      <c r="AN117" s="7">
        <v>0</v>
      </c>
      <c r="AO117" s="7">
        <v>0</v>
      </c>
      <c r="AP117" s="7">
        <v>4771.241</v>
      </c>
      <c r="AQ117" s="7">
        <v>4865.7690000000002</v>
      </c>
      <c r="AR117" s="7">
        <v>0</v>
      </c>
      <c r="AS117" s="7">
        <v>0</v>
      </c>
      <c r="AT117" s="7">
        <v>0</v>
      </c>
      <c r="AU117" s="7">
        <v>0</v>
      </c>
      <c r="AV117" s="7">
        <v>221.27699999999999</v>
      </c>
      <c r="AW117" s="7">
        <v>0</v>
      </c>
      <c r="AX117" s="7">
        <v>0</v>
      </c>
      <c r="AY117" s="7">
        <v>0</v>
      </c>
      <c r="AZ117" s="7">
        <v>39.920999999999999</v>
      </c>
      <c r="BA117" s="7">
        <v>0</v>
      </c>
      <c r="BB117" s="7">
        <v>692.60699999999997</v>
      </c>
      <c r="BC117" s="7">
        <v>0</v>
      </c>
      <c r="BD117" s="7">
        <v>0</v>
      </c>
      <c r="BE117" s="7">
        <v>0</v>
      </c>
      <c r="BF117" s="21"/>
    </row>
    <row r="118" spans="1:58" ht="15.75" x14ac:dyDescent="0.25">
      <c r="A118" s="5" t="s">
        <v>224</v>
      </c>
      <c r="B118" s="5" t="s">
        <v>225</v>
      </c>
      <c r="C118" s="7">
        <v>4</v>
      </c>
      <c r="D118" s="7">
        <v>3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21"/>
    </row>
    <row r="119" spans="1:58" ht="15.75" x14ac:dyDescent="0.25">
      <c r="A119" s="5" t="s">
        <v>226</v>
      </c>
      <c r="B119" s="5" t="s">
        <v>227</v>
      </c>
      <c r="C119" s="7">
        <v>4</v>
      </c>
      <c r="D119" s="7">
        <v>4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21"/>
    </row>
    <row r="120" spans="1:58" ht="15.75" x14ac:dyDescent="0.25">
      <c r="A120" s="5" t="s">
        <v>228</v>
      </c>
      <c r="B120" s="5" t="s">
        <v>229</v>
      </c>
      <c r="C120" s="7">
        <v>4</v>
      </c>
      <c r="D120" s="7">
        <v>6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21"/>
    </row>
    <row r="121" spans="1:58" ht="15.75" x14ac:dyDescent="0.25">
      <c r="A121" s="5" t="s">
        <v>230</v>
      </c>
      <c r="B121" s="5" t="s">
        <v>231</v>
      </c>
      <c r="C121" s="7">
        <v>4</v>
      </c>
      <c r="D121" s="7">
        <v>4</v>
      </c>
      <c r="E121" s="7">
        <v>160572.41200000001</v>
      </c>
      <c r="F121" s="7">
        <v>43889.440000000002</v>
      </c>
      <c r="G121" s="7">
        <v>0</v>
      </c>
      <c r="H121" s="7">
        <v>0</v>
      </c>
      <c r="I121" s="7">
        <v>2554.913</v>
      </c>
      <c r="J121" s="7">
        <v>0</v>
      </c>
      <c r="K121" s="7">
        <v>243182.899</v>
      </c>
      <c r="L121" s="7">
        <v>19531.614000000001</v>
      </c>
      <c r="M121" s="7">
        <v>0</v>
      </c>
      <c r="N121" s="7">
        <v>24732.144</v>
      </c>
      <c r="O121" s="7">
        <v>557966.24100000004</v>
      </c>
      <c r="P121" s="7">
        <v>32217.526000000002</v>
      </c>
      <c r="Q121" s="7">
        <v>0</v>
      </c>
      <c r="R121" s="7">
        <v>1121.8779999999999</v>
      </c>
      <c r="S121" s="7">
        <v>0</v>
      </c>
      <c r="T121" s="7">
        <v>720.08799999999997</v>
      </c>
      <c r="U121" s="7">
        <v>0</v>
      </c>
      <c r="V121" s="7">
        <v>12987.915000000001</v>
      </c>
      <c r="W121" s="7">
        <v>0</v>
      </c>
      <c r="X121" s="7">
        <v>10499.790999999999</v>
      </c>
      <c r="Y121" s="7">
        <v>0</v>
      </c>
      <c r="Z121" s="7">
        <v>0</v>
      </c>
      <c r="AA121" s="7">
        <v>4302.2960000000003</v>
      </c>
      <c r="AB121" s="7">
        <v>35255.942000000003</v>
      </c>
      <c r="AC121" s="7">
        <v>96512.093999999997</v>
      </c>
      <c r="AD121" s="7">
        <v>18672.929</v>
      </c>
      <c r="AE121" s="7">
        <v>0</v>
      </c>
      <c r="AF121" s="7">
        <v>28804.516</v>
      </c>
      <c r="AG121" s="7">
        <v>7165.9579999999996</v>
      </c>
      <c r="AH121" s="7">
        <v>7560.375</v>
      </c>
      <c r="AI121" s="7">
        <v>235426.21</v>
      </c>
      <c r="AJ121" s="7">
        <v>114711.91800000001</v>
      </c>
      <c r="AK121" s="7">
        <v>31246.105</v>
      </c>
      <c r="AL121" s="7">
        <v>717468.995</v>
      </c>
      <c r="AM121" s="7">
        <v>220718.91899999999</v>
      </c>
      <c r="AN121" s="7">
        <v>139113.755</v>
      </c>
      <c r="AO121" s="7">
        <v>1191454.8470000001</v>
      </c>
      <c r="AP121" s="7">
        <v>26296.296999999999</v>
      </c>
      <c r="AQ121" s="7">
        <v>8861.3320000000003</v>
      </c>
      <c r="AR121" s="7">
        <v>762204.58799999999</v>
      </c>
      <c r="AS121" s="7">
        <v>0</v>
      </c>
      <c r="AT121" s="7">
        <v>364686.23700000002</v>
      </c>
      <c r="AU121" s="7">
        <v>534.65200000000004</v>
      </c>
      <c r="AV121" s="7">
        <v>714.00199999999995</v>
      </c>
      <c r="AW121" s="7">
        <v>0</v>
      </c>
      <c r="AX121" s="7">
        <v>32780.815999999999</v>
      </c>
      <c r="AY121" s="7">
        <v>0</v>
      </c>
      <c r="AZ121" s="7">
        <v>130.833</v>
      </c>
      <c r="BA121" s="7">
        <v>0</v>
      </c>
      <c r="BB121" s="7">
        <v>1032.8520000000001</v>
      </c>
      <c r="BC121" s="7">
        <v>0</v>
      </c>
      <c r="BD121" s="7">
        <v>0</v>
      </c>
      <c r="BE121" s="7">
        <v>39996.372000000003</v>
      </c>
      <c r="BF121" s="21"/>
    </row>
    <row r="122" spans="1:58" ht="15.75" x14ac:dyDescent="0.25">
      <c r="A122" s="5" t="s">
        <v>232</v>
      </c>
      <c r="B122" s="5" t="s">
        <v>233</v>
      </c>
      <c r="C122" s="7">
        <v>4</v>
      </c>
      <c r="D122" s="7">
        <v>3</v>
      </c>
      <c r="E122" s="7">
        <v>5005.6220000000003</v>
      </c>
      <c r="F122" s="7">
        <v>936.32399999999996</v>
      </c>
      <c r="G122" s="7">
        <v>1136.9190000000001</v>
      </c>
      <c r="H122" s="7">
        <v>413.78199999999998</v>
      </c>
      <c r="I122" s="7">
        <v>162.44800000000001</v>
      </c>
      <c r="J122" s="7">
        <v>864.25099999999998</v>
      </c>
      <c r="K122" s="7">
        <v>1262.249</v>
      </c>
      <c r="L122" s="7">
        <v>795.471</v>
      </c>
      <c r="M122" s="7">
        <v>0</v>
      </c>
      <c r="N122" s="7">
        <v>2595.2440000000001</v>
      </c>
      <c r="O122" s="7">
        <v>6634.5429999999997</v>
      </c>
      <c r="P122" s="7">
        <v>2830.2640000000001</v>
      </c>
      <c r="Q122" s="7">
        <v>0</v>
      </c>
      <c r="R122" s="7">
        <v>0</v>
      </c>
      <c r="S122" s="7">
        <v>2E-3</v>
      </c>
      <c r="T122" s="7">
        <v>601.15499999999997</v>
      </c>
      <c r="U122" s="7">
        <v>651.83500000000004</v>
      </c>
      <c r="V122" s="7">
        <v>380.20299999999997</v>
      </c>
      <c r="W122" s="7">
        <v>0</v>
      </c>
      <c r="X122" s="7">
        <v>4484.8069999999998</v>
      </c>
      <c r="Y122" s="7">
        <v>0</v>
      </c>
      <c r="Z122" s="7">
        <v>70.757999999999996</v>
      </c>
      <c r="AA122" s="7">
        <v>171.08099999999999</v>
      </c>
      <c r="AB122" s="7">
        <v>0</v>
      </c>
      <c r="AC122" s="7">
        <v>860.33500000000004</v>
      </c>
      <c r="AD122" s="7">
        <v>15732.868</v>
      </c>
      <c r="AE122" s="7">
        <v>1446.8219999999999</v>
      </c>
      <c r="AF122" s="7">
        <v>0</v>
      </c>
      <c r="AG122" s="7">
        <v>197.82400000000001</v>
      </c>
      <c r="AH122" s="7">
        <v>2139.0459999999998</v>
      </c>
      <c r="AI122" s="7">
        <v>575.73199999999997</v>
      </c>
      <c r="AJ122" s="7">
        <v>14.265000000000001</v>
      </c>
      <c r="AK122" s="7">
        <v>5830.6930000000002</v>
      </c>
      <c r="AL122" s="7">
        <v>14326.471</v>
      </c>
      <c r="AM122" s="7">
        <v>24.33</v>
      </c>
      <c r="AN122" s="7">
        <v>95558.203999999998</v>
      </c>
      <c r="AO122" s="7">
        <v>0</v>
      </c>
      <c r="AP122" s="7">
        <v>13960.429</v>
      </c>
      <c r="AQ122" s="7">
        <v>12736.772999999999</v>
      </c>
      <c r="AR122" s="7">
        <v>0</v>
      </c>
      <c r="AS122" s="7">
        <v>0</v>
      </c>
      <c r="AT122" s="7">
        <v>0</v>
      </c>
      <c r="AU122" s="7">
        <v>20.297999999999998</v>
      </c>
      <c r="AV122" s="7">
        <v>566.78099999999995</v>
      </c>
      <c r="AW122" s="7">
        <v>0</v>
      </c>
      <c r="AX122" s="7">
        <v>2</v>
      </c>
      <c r="AY122" s="7">
        <v>0</v>
      </c>
      <c r="AZ122" s="7">
        <v>1.446</v>
      </c>
      <c r="BA122" s="7">
        <v>0</v>
      </c>
      <c r="BB122" s="7">
        <v>48.914000000000001</v>
      </c>
      <c r="BC122" s="7">
        <v>0</v>
      </c>
      <c r="BD122" s="7">
        <v>0</v>
      </c>
      <c r="BE122" s="7">
        <v>4293.6210000000001</v>
      </c>
      <c r="BF122" s="21"/>
    </row>
    <row r="123" spans="1:58" ht="15.75" x14ac:dyDescent="0.25">
      <c r="A123" s="5" t="s">
        <v>234</v>
      </c>
      <c r="B123" s="5" t="s">
        <v>235</v>
      </c>
      <c r="C123" s="7">
        <v>4</v>
      </c>
      <c r="D123" s="7">
        <v>4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21"/>
    </row>
    <row r="124" spans="1:58" ht="15.75" x14ac:dyDescent="0.25">
      <c r="A124" s="5" t="s">
        <v>228</v>
      </c>
      <c r="B124" s="5" t="s">
        <v>236</v>
      </c>
      <c r="C124" s="7">
        <v>4</v>
      </c>
      <c r="D124" s="7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21"/>
    </row>
    <row r="125" spans="1:58" ht="15.75" x14ac:dyDescent="0.25">
      <c r="A125" s="5" t="s">
        <v>237</v>
      </c>
      <c r="B125" s="5" t="s">
        <v>238</v>
      </c>
      <c r="C125" s="7">
        <v>4</v>
      </c>
      <c r="D125" s="7">
        <v>4</v>
      </c>
      <c r="E125" s="7">
        <v>9384.6200000000008</v>
      </c>
      <c r="F125" s="7">
        <v>2112.4780000000001</v>
      </c>
      <c r="G125" s="7">
        <v>707.37400000000002</v>
      </c>
      <c r="H125" s="7">
        <v>1157.9590000000001</v>
      </c>
      <c r="I125" s="7">
        <v>350.87599999999998</v>
      </c>
      <c r="J125" s="7">
        <v>1714.607</v>
      </c>
      <c r="K125" s="7">
        <v>3529.4070000000002</v>
      </c>
      <c r="L125" s="7">
        <v>1912.9770000000001</v>
      </c>
      <c r="M125" s="7">
        <v>0</v>
      </c>
      <c r="N125" s="7">
        <v>6630.32</v>
      </c>
      <c r="O125" s="7">
        <v>13710.375</v>
      </c>
      <c r="P125" s="7">
        <v>6845.0910000000003</v>
      </c>
      <c r="Q125" s="7">
        <v>0</v>
      </c>
      <c r="R125" s="7">
        <v>0</v>
      </c>
      <c r="S125" s="7">
        <v>1.2999999999999999E-2</v>
      </c>
      <c r="T125" s="7">
        <v>0</v>
      </c>
      <c r="U125" s="7">
        <v>95.671000000000006</v>
      </c>
      <c r="V125" s="7">
        <v>841.75800000000004</v>
      </c>
      <c r="W125" s="7">
        <v>0</v>
      </c>
      <c r="X125" s="7">
        <v>0</v>
      </c>
      <c r="Y125" s="7">
        <v>0</v>
      </c>
      <c r="Z125" s="7">
        <v>106.69</v>
      </c>
      <c r="AA125" s="7">
        <v>474.03800000000001</v>
      </c>
      <c r="AB125" s="7">
        <v>0</v>
      </c>
      <c r="AC125" s="7">
        <v>1873.299</v>
      </c>
      <c r="AD125" s="7">
        <v>0</v>
      </c>
      <c r="AE125" s="7">
        <v>3064.9760000000001</v>
      </c>
      <c r="AF125" s="7">
        <v>0</v>
      </c>
      <c r="AG125" s="7">
        <v>374.01900000000001</v>
      </c>
      <c r="AH125" s="7">
        <v>0</v>
      </c>
      <c r="AI125" s="7">
        <v>14.704000000000001</v>
      </c>
      <c r="AJ125" s="7">
        <v>39.914999999999999</v>
      </c>
      <c r="AK125" s="7">
        <v>0</v>
      </c>
      <c r="AL125" s="7">
        <v>27425.07</v>
      </c>
      <c r="AM125" s="7">
        <v>68.088999999999999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40.314999999999998</v>
      </c>
      <c r="AV125" s="7">
        <v>0</v>
      </c>
      <c r="AW125" s="7">
        <v>0</v>
      </c>
      <c r="AX125" s="7">
        <v>5.5970000000000004</v>
      </c>
      <c r="AY125" s="7">
        <v>0</v>
      </c>
      <c r="AZ125" s="7">
        <v>3.044</v>
      </c>
      <c r="BA125" s="7">
        <v>0</v>
      </c>
      <c r="BB125" s="7">
        <v>0.58799999999999997</v>
      </c>
      <c r="BC125" s="7">
        <v>0</v>
      </c>
      <c r="BD125" s="7">
        <v>0</v>
      </c>
      <c r="BE125" s="7">
        <v>2892.4630000000002</v>
      </c>
      <c r="BF125" s="21"/>
    </row>
    <row r="126" spans="1:58" ht="15.75" x14ac:dyDescent="0.25">
      <c r="A126" s="5" t="s">
        <v>239</v>
      </c>
      <c r="B126" s="5" t="s">
        <v>240</v>
      </c>
      <c r="C126" s="7">
        <v>4</v>
      </c>
      <c r="D126" s="7">
        <v>3</v>
      </c>
      <c r="E126" s="7">
        <v>8667.2860000000001</v>
      </c>
      <c r="F126" s="7">
        <v>1951.71</v>
      </c>
      <c r="G126" s="7">
        <v>651.66</v>
      </c>
      <c r="H126" s="7">
        <v>1070.184</v>
      </c>
      <c r="I126" s="7">
        <v>323.947</v>
      </c>
      <c r="J126" s="7">
        <v>1584.232</v>
      </c>
      <c r="K126" s="7">
        <v>3260.6840000000002</v>
      </c>
      <c r="L126" s="7">
        <v>1764.729</v>
      </c>
      <c r="M126" s="7">
        <v>0</v>
      </c>
      <c r="N126" s="7">
        <v>6120.549</v>
      </c>
      <c r="O126" s="7">
        <v>12667.948</v>
      </c>
      <c r="P126" s="7">
        <v>6323.0469999999996</v>
      </c>
      <c r="Q126" s="7">
        <v>0</v>
      </c>
      <c r="R126" s="7">
        <v>0</v>
      </c>
      <c r="S126" s="7">
        <v>8.0000000000000002E-3</v>
      </c>
      <c r="T126" s="7">
        <v>0</v>
      </c>
      <c r="U126" s="7">
        <v>0.245</v>
      </c>
      <c r="V126" s="7">
        <v>777.46900000000005</v>
      </c>
      <c r="W126" s="7">
        <v>0</v>
      </c>
      <c r="X126" s="7">
        <v>0</v>
      </c>
      <c r="Y126" s="7">
        <v>0</v>
      </c>
      <c r="Z126" s="7">
        <v>98.323999999999998</v>
      </c>
      <c r="AA126" s="7">
        <v>437.12900000000002</v>
      </c>
      <c r="AB126" s="7">
        <v>0</v>
      </c>
      <c r="AC126" s="7">
        <v>1729.6859999999999</v>
      </c>
      <c r="AD126" s="7">
        <v>0</v>
      </c>
      <c r="AE126" s="7">
        <v>2828.9349999999999</v>
      </c>
      <c r="AF126" s="7">
        <v>0</v>
      </c>
      <c r="AG126" s="7">
        <v>345.48</v>
      </c>
      <c r="AH126" s="7">
        <v>0</v>
      </c>
      <c r="AI126" s="7">
        <v>19.385000000000002</v>
      </c>
      <c r="AJ126" s="7">
        <v>36.889000000000003</v>
      </c>
      <c r="AK126" s="7">
        <v>0</v>
      </c>
      <c r="AL126" s="7">
        <v>25340.481</v>
      </c>
      <c r="AM126" s="7">
        <v>62.927999999999997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37.238999999999997</v>
      </c>
      <c r="AV126" s="7">
        <v>0</v>
      </c>
      <c r="AW126" s="7">
        <v>0</v>
      </c>
      <c r="AX126" s="7">
        <v>5.1719999999999997</v>
      </c>
      <c r="AY126" s="7">
        <v>0</v>
      </c>
      <c r="AZ126" s="7">
        <v>2.8119999999999998</v>
      </c>
      <c r="BA126" s="7">
        <v>0</v>
      </c>
      <c r="BB126" s="7">
        <v>0.39100000000000001</v>
      </c>
      <c r="BC126" s="7">
        <v>0</v>
      </c>
      <c r="BD126" s="7">
        <v>0</v>
      </c>
      <c r="BE126" s="7">
        <v>2673.21</v>
      </c>
      <c r="BF126" s="21"/>
    </row>
    <row r="127" spans="1:58" ht="15.75" x14ac:dyDescent="0.25">
      <c r="A127" s="5" t="s">
        <v>241</v>
      </c>
      <c r="B127" s="5" t="s">
        <v>242</v>
      </c>
      <c r="C127" s="7">
        <v>2</v>
      </c>
      <c r="D127" s="7">
        <v>2</v>
      </c>
      <c r="E127" s="7">
        <v>36061.072</v>
      </c>
      <c r="F127" s="7">
        <v>11654.123</v>
      </c>
      <c r="G127" s="7">
        <v>11491.183999999999</v>
      </c>
      <c r="H127" s="7">
        <v>318.767</v>
      </c>
      <c r="I127" s="7">
        <v>2286.3789999999999</v>
      </c>
      <c r="J127" s="7">
        <v>9170.8709999999992</v>
      </c>
      <c r="K127" s="7">
        <v>62522.453000000001</v>
      </c>
      <c r="L127" s="7">
        <v>11950.923000000001</v>
      </c>
      <c r="M127" s="7">
        <v>0</v>
      </c>
      <c r="N127" s="7">
        <v>22308.41</v>
      </c>
      <c r="O127" s="7">
        <v>51075.718999999997</v>
      </c>
      <c r="P127" s="7">
        <v>31993.216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3658.8429999999998</v>
      </c>
      <c r="W127" s="7">
        <v>0</v>
      </c>
      <c r="X127" s="7">
        <v>0</v>
      </c>
      <c r="Y127" s="7">
        <v>0</v>
      </c>
      <c r="Z127" s="7">
        <v>1101.162</v>
      </c>
      <c r="AA127" s="7">
        <v>3230.5619999999999</v>
      </c>
      <c r="AB127" s="7">
        <v>0</v>
      </c>
      <c r="AC127" s="7">
        <v>10826.659</v>
      </c>
      <c r="AD127" s="7">
        <v>0</v>
      </c>
      <c r="AE127" s="7">
        <v>10855.928</v>
      </c>
      <c r="AF127" s="7">
        <v>0</v>
      </c>
      <c r="AG127" s="7">
        <v>1621.7460000000001</v>
      </c>
      <c r="AH127" s="7">
        <v>0</v>
      </c>
      <c r="AI127" s="7">
        <v>26689.838</v>
      </c>
      <c r="AJ127" s="7">
        <v>10.971</v>
      </c>
      <c r="AK127" s="7">
        <v>0</v>
      </c>
      <c r="AL127" s="7">
        <v>103822.19500000001</v>
      </c>
      <c r="AM127" s="7">
        <v>18.765000000000001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91.882999999999996</v>
      </c>
      <c r="AV127" s="7">
        <v>0</v>
      </c>
      <c r="AW127" s="7">
        <v>0</v>
      </c>
      <c r="AX127" s="7">
        <v>1.5589999999999999</v>
      </c>
      <c r="AY127" s="7">
        <v>0</v>
      </c>
      <c r="AZ127" s="7">
        <v>4.9560000000000004</v>
      </c>
      <c r="BA127" s="7">
        <v>0</v>
      </c>
      <c r="BB127" s="7">
        <v>0.06</v>
      </c>
      <c r="BC127" s="7">
        <v>0</v>
      </c>
      <c r="BD127" s="7">
        <v>0</v>
      </c>
      <c r="BE127" s="7">
        <v>818.18200000000002</v>
      </c>
      <c r="BF127" s="21"/>
    </row>
    <row r="128" spans="1:58" ht="15.75" x14ac:dyDescent="0.25">
      <c r="A128" s="5" t="s">
        <v>243</v>
      </c>
      <c r="B128" s="5" t="s">
        <v>244</v>
      </c>
      <c r="C128" s="7">
        <v>4</v>
      </c>
      <c r="D128" s="7">
        <v>4</v>
      </c>
      <c r="E128" s="7">
        <v>40371.008999999998</v>
      </c>
      <c r="F128" s="7">
        <v>11034.754000000001</v>
      </c>
      <c r="G128" s="7">
        <v>0</v>
      </c>
      <c r="H128" s="7">
        <v>0</v>
      </c>
      <c r="I128" s="7">
        <v>642.36300000000006</v>
      </c>
      <c r="J128" s="7">
        <v>0</v>
      </c>
      <c r="K128" s="7">
        <v>61139.457999999999</v>
      </c>
      <c r="L128" s="7">
        <v>4910.63</v>
      </c>
      <c r="M128" s="7">
        <v>0</v>
      </c>
      <c r="N128" s="7">
        <v>6217.38</v>
      </c>
      <c r="O128" s="7">
        <v>140284.47700000001</v>
      </c>
      <c r="P128" s="7">
        <v>8099.7039999999997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3265.451</v>
      </c>
      <c r="W128" s="7">
        <v>0</v>
      </c>
      <c r="X128" s="7">
        <v>0</v>
      </c>
      <c r="Y128" s="7">
        <v>0</v>
      </c>
      <c r="Z128" s="7">
        <v>0</v>
      </c>
      <c r="AA128" s="7">
        <v>1081.7190000000001</v>
      </c>
      <c r="AB128" s="7">
        <v>0</v>
      </c>
      <c r="AC128" s="7">
        <v>24269.941999999999</v>
      </c>
      <c r="AD128" s="7">
        <v>0</v>
      </c>
      <c r="AE128" s="7">
        <v>0</v>
      </c>
      <c r="AF128" s="7">
        <v>7.7590000000000003</v>
      </c>
      <c r="AG128" s="7">
        <v>1801.681</v>
      </c>
      <c r="AH128" s="7">
        <v>0</v>
      </c>
      <c r="AI128" s="7">
        <v>59202.68</v>
      </c>
      <c r="AJ128" s="7">
        <v>28842.248</v>
      </c>
      <c r="AK128" s="7">
        <v>0</v>
      </c>
      <c r="AL128" s="7">
        <v>180364.08100000001</v>
      </c>
      <c r="AM128" s="7">
        <v>55496.716999999997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134.464</v>
      </c>
      <c r="AV128" s="7">
        <v>0</v>
      </c>
      <c r="AW128" s="7">
        <v>0</v>
      </c>
      <c r="AX128" s="7">
        <v>8242.86</v>
      </c>
      <c r="AY128" s="7">
        <v>0</v>
      </c>
      <c r="AZ128" s="7">
        <v>32.914999999999999</v>
      </c>
      <c r="BA128" s="7">
        <v>0</v>
      </c>
      <c r="BB128" s="7">
        <v>259.27</v>
      </c>
      <c r="BC128" s="7">
        <v>0</v>
      </c>
      <c r="BD128" s="7">
        <v>0</v>
      </c>
      <c r="BE128" s="7">
        <v>7033.3040000000001</v>
      </c>
      <c r="BF128" s="21"/>
    </row>
    <row r="129" spans="1:58" ht="15.75" x14ac:dyDescent="0.25">
      <c r="A129" s="5" t="s">
        <v>245</v>
      </c>
      <c r="B129" s="5" t="s">
        <v>246</v>
      </c>
      <c r="C129" s="7">
        <v>4</v>
      </c>
      <c r="D129" s="7">
        <v>6</v>
      </c>
      <c r="E129" s="7">
        <v>3157.268</v>
      </c>
      <c r="F129" s="7">
        <v>828.76599999999996</v>
      </c>
      <c r="G129" s="7">
        <v>53.323</v>
      </c>
      <c r="H129" s="7">
        <v>87.94</v>
      </c>
      <c r="I129" s="7">
        <v>65.53</v>
      </c>
      <c r="J129" s="7">
        <v>129.94300000000001</v>
      </c>
      <c r="K129" s="7">
        <v>3971.5070000000001</v>
      </c>
      <c r="L129" s="7">
        <v>442.47500000000002</v>
      </c>
      <c r="M129" s="7">
        <v>0</v>
      </c>
      <c r="N129" s="7">
        <v>879.56899999999996</v>
      </c>
      <c r="O129" s="7">
        <v>9538.6509999999998</v>
      </c>
      <c r="P129" s="7">
        <v>1009.9109999999999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261.69400000000002</v>
      </c>
      <c r="W129" s="7">
        <v>0</v>
      </c>
      <c r="X129" s="7">
        <v>0</v>
      </c>
      <c r="Y129" s="7">
        <v>0</v>
      </c>
      <c r="Z129" s="7">
        <v>8.08</v>
      </c>
      <c r="AA129" s="7">
        <v>101.443</v>
      </c>
      <c r="AB129" s="7">
        <v>0</v>
      </c>
      <c r="AC129" s="7">
        <v>1612.3</v>
      </c>
      <c r="AD129" s="7">
        <v>0</v>
      </c>
      <c r="AE129" s="7">
        <v>232.46100000000001</v>
      </c>
      <c r="AF129" s="7">
        <v>0.47099999999999997</v>
      </c>
      <c r="AG129" s="7">
        <v>137.53</v>
      </c>
      <c r="AH129" s="7">
        <v>0</v>
      </c>
      <c r="AI129" s="7">
        <v>3587.03</v>
      </c>
      <c r="AJ129" s="7">
        <v>1750.1659999999999</v>
      </c>
      <c r="AK129" s="7">
        <v>0</v>
      </c>
      <c r="AL129" s="7">
        <v>13007.143</v>
      </c>
      <c r="AM129" s="7">
        <v>3366.92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11.204000000000001</v>
      </c>
      <c r="AV129" s="7">
        <v>0</v>
      </c>
      <c r="AW129" s="7">
        <v>0</v>
      </c>
      <c r="AX129" s="7">
        <v>499.74099999999999</v>
      </c>
      <c r="AY129" s="7">
        <v>0</v>
      </c>
      <c r="AZ129" s="7">
        <v>2.2240000000000002</v>
      </c>
      <c r="BA129" s="7">
        <v>0</v>
      </c>
      <c r="BB129" s="7">
        <v>15.766</v>
      </c>
      <c r="BC129" s="7">
        <v>0</v>
      </c>
      <c r="BD129" s="7">
        <v>0</v>
      </c>
      <c r="BE129" s="7">
        <v>645.71400000000006</v>
      </c>
      <c r="BF129" s="21"/>
    </row>
    <row r="130" spans="1:58" ht="15.75" x14ac:dyDescent="0.25">
      <c r="A130" s="5" t="s">
        <v>247</v>
      </c>
      <c r="B130" s="5" t="s">
        <v>248</v>
      </c>
      <c r="C130" s="7">
        <v>6</v>
      </c>
      <c r="D130" s="7">
        <v>6</v>
      </c>
      <c r="E130" s="7">
        <v>26587.745999999999</v>
      </c>
      <c r="F130" s="7">
        <v>474.62799999999999</v>
      </c>
      <c r="G130" s="7">
        <v>0</v>
      </c>
      <c r="H130" s="7">
        <v>0</v>
      </c>
      <c r="I130" s="7">
        <v>0</v>
      </c>
      <c r="J130" s="7">
        <v>0</v>
      </c>
      <c r="K130" s="7">
        <v>18236.561000000002</v>
      </c>
      <c r="L130" s="7">
        <v>1724.239</v>
      </c>
      <c r="M130" s="7">
        <v>0</v>
      </c>
      <c r="N130" s="7">
        <v>11097.078</v>
      </c>
      <c r="O130" s="7">
        <v>71845.402000000002</v>
      </c>
      <c r="P130" s="7">
        <v>8439.7199999999993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3244.3780000000002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19633.339</v>
      </c>
      <c r="AJ130" s="7">
        <v>114.23399999999999</v>
      </c>
      <c r="AK130" s="7">
        <v>0</v>
      </c>
      <c r="AL130" s="7">
        <v>82118.186000000002</v>
      </c>
      <c r="AM130" s="7">
        <v>72.896000000000001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21"/>
    </row>
    <row r="131" spans="1:58" ht="15.75" x14ac:dyDescent="0.25">
      <c r="A131" s="5" t="s">
        <v>249</v>
      </c>
      <c r="B131" s="5" t="s">
        <v>250</v>
      </c>
      <c r="C131" s="7">
        <v>6</v>
      </c>
      <c r="D131" s="7">
        <v>6</v>
      </c>
      <c r="E131" s="7">
        <v>17443.807000000001</v>
      </c>
      <c r="F131" s="7">
        <v>2025.8530000000001</v>
      </c>
      <c r="G131" s="7">
        <v>2979.9609999999998</v>
      </c>
      <c r="H131" s="7">
        <v>0</v>
      </c>
      <c r="I131" s="7">
        <v>518.18899999999996</v>
      </c>
      <c r="J131" s="7">
        <v>1749.329</v>
      </c>
      <c r="K131" s="7">
        <v>14588.98</v>
      </c>
      <c r="L131" s="7">
        <v>2165.9859999999999</v>
      </c>
      <c r="M131" s="7">
        <v>0</v>
      </c>
      <c r="N131" s="7">
        <v>12131.163</v>
      </c>
      <c r="O131" s="7">
        <v>38963.163999999997</v>
      </c>
      <c r="P131" s="7">
        <v>6744.95</v>
      </c>
      <c r="Q131" s="7">
        <v>0</v>
      </c>
      <c r="R131" s="7">
        <v>0</v>
      </c>
      <c r="S131" s="7">
        <v>101.18</v>
      </c>
      <c r="T131" s="7">
        <v>0</v>
      </c>
      <c r="U131" s="7">
        <v>2.87</v>
      </c>
      <c r="V131" s="7">
        <v>0</v>
      </c>
      <c r="W131" s="7">
        <v>0</v>
      </c>
      <c r="X131" s="7">
        <v>0</v>
      </c>
      <c r="Y131" s="7">
        <v>0</v>
      </c>
      <c r="Z131" s="7">
        <v>215.364</v>
      </c>
      <c r="AA131" s="7">
        <v>718.34100000000001</v>
      </c>
      <c r="AB131" s="7">
        <v>0</v>
      </c>
      <c r="AC131" s="7">
        <v>5795.4139999999998</v>
      </c>
      <c r="AD131" s="7">
        <v>0</v>
      </c>
      <c r="AE131" s="7">
        <v>1999.259</v>
      </c>
      <c r="AF131" s="7">
        <v>0</v>
      </c>
      <c r="AG131" s="7">
        <v>338.97</v>
      </c>
      <c r="AH131" s="7">
        <v>0</v>
      </c>
      <c r="AI131" s="7">
        <v>19052.351999999999</v>
      </c>
      <c r="AJ131" s="7">
        <v>0</v>
      </c>
      <c r="AK131" s="7">
        <v>0</v>
      </c>
      <c r="AL131" s="7">
        <v>39800.021999999997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21"/>
    </row>
    <row r="132" spans="1:58" ht="15.75" x14ac:dyDescent="0.25">
      <c r="A132" s="5" t="s">
        <v>251</v>
      </c>
      <c r="B132" s="5" t="s">
        <v>252</v>
      </c>
      <c r="C132" s="7">
        <v>6</v>
      </c>
      <c r="D132" s="7">
        <v>6</v>
      </c>
      <c r="E132" s="7">
        <v>7929.66</v>
      </c>
      <c r="F132" s="7">
        <v>1466.8050000000001</v>
      </c>
      <c r="G132" s="7">
        <v>728.31600000000003</v>
      </c>
      <c r="H132" s="7">
        <v>0</v>
      </c>
      <c r="I132" s="7">
        <v>133.495</v>
      </c>
      <c r="J132" s="7">
        <v>463.68700000000001</v>
      </c>
      <c r="K132" s="7">
        <v>6083.7430000000004</v>
      </c>
      <c r="L132" s="7">
        <v>1942.441</v>
      </c>
      <c r="M132" s="7">
        <v>0</v>
      </c>
      <c r="N132" s="7">
        <v>4489.9719999999998</v>
      </c>
      <c r="O132" s="7">
        <v>27939.815999999999</v>
      </c>
      <c r="P132" s="7">
        <v>2654.5219999999999</v>
      </c>
      <c r="Q132" s="7">
        <v>0</v>
      </c>
      <c r="R132" s="7">
        <v>0</v>
      </c>
      <c r="S132" s="7">
        <v>0.70399999999999996</v>
      </c>
      <c r="T132" s="7">
        <v>0</v>
      </c>
      <c r="U132" s="7">
        <v>0</v>
      </c>
      <c r="V132" s="7">
        <v>487.81900000000002</v>
      </c>
      <c r="W132" s="7">
        <v>0</v>
      </c>
      <c r="X132" s="7">
        <v>0</v>
      </c>
      <c r="Y132" s="7">
        <v>0</v>
      </c>
      <c r="Z132" s="7">
        <v>58.622999999999998</v>
      </c>
      <c r="AA132" s="7">
        <v>243.732</v>
      </c>
      <c r="AB132" s="7">
        <v>0</v>
      </c>
      <c r="AC132" s="7">
        <v>2549.3809999999999</v>
      </c>
      <c r="AD132" s="7">
        <v>0</v>
      </c>
      <c r="AE132" s="7">
        <v>628.24699999999996</v>
      </c>
      <c r="AF132" s="7">
        <v>0</v>
      </c>
      <c r="AG132" s="7">
        <v>237.291</v>
      </c>
      <c r="AH132" s="7">
        <v>0</v>
      </c>
      <c r="AI132" s="7">
        <v>6855.9470000000001</v>
      </c>
      <c r="AJ132" s="7">
        <v>2583.4850000000001</v>
      </c>
      <c r="AK132" s="7">
        <v>0</v>
      </c>
      <c r="AL132" s="7">
        <v>25870.91</v>
      </c>
      <c r="AM132" s="7">
        <v>5142.2709999999997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9.4939999999999998</v>
      </c>
      <c r="AV132" s="7">
        <v>0</v>
      </c>
      <c r="AW132" s="7">
        <v>0</v>
      </c>
      <c r="AX132" s="7">
        <v>687.77</v>
      </c>
      <c r="AY132" s="7">
        <v>0</v>
      </c>
      <c r="AZ132" s="7">
        <v>4.4109999999999996</v>
      </c>
      <c r="BA132" s="7">
        <v>0</v>
      </c>
      <c r="BB132" s="7">
        <v>65.061000000000007</v>
      </c>
      <c r="BC132" s="7">
        <v>0</v>
      </c>
      <c r="BD132" s="7">
        <v>0</v>
      </c>
      <c r="BE132" s="7">
        <v>0</v>
      </c>
      <c r="BF132" s="21"/>
    </row>
    <row r="133" spans="1:58" ht="15.75" x14ac:dyDescent="0.25">
      <c r="A133" s="5" t="s">
        <v>253</v>
      </c>
      <c r="B133" s="5" t="s">
        <v>254</v>
      </c>
      <c r="C133" s="7">
        <v>6</v>
      </c>
      <c r="D133" s="7">
        <v>6</v>
      </c>
      <c r="E133" s="7">
        <v>88535.766000000003</v>
      </c>
      <c r="F133" s="7">
        <v>13556.423000000001</v>
      </c>
      <c r="G133" s="7">
        <v>3870.5680000000002</v>
      </c>
      <c r="H133" s="7">
        <v>6256.7579999999998</v>
      </c>
      <c r="I133" s="7">
        <v>584.56899999999996</v>
      </c>
      <c r="J133" s="7">
        <v>2848.6849999999999</v>
      </c>
      <c r="K133" s="7">
        <v>115498.133</v>
      </c>
      <c r="L133" s="7">
        <v>7848.4070000000002</v>
      </c>
      <c r="M133" s="7">
        <v>0</v>
      </c>
      <c r="N133" s="7">
        <v>52808.667000000001</v>
      </c>
      <c r="O133" s="7">
        <v>284917.48300000001</v>
      </c>
      <c r="P133" s="7">
        <v>49128.466</v>
      </c>
      <c r="Q133" s="7">
        <v>0</v>
      </c>
      <c r="R133" s="7">
        <v>0</v>
      </c>
      <c r="S133" s="7">
        <v>91.992999999999995</v>
      </c>
      <c r="T133" s="7">
        <v>0</v>
      </c>
      <c r="U133" s="7">
        <v>107.02200000000001</v>
      </c>
      <c r="V133" s="7">
        <v>0</v>
      </c>
      <c r="W133" s="7">
        <v>0</v>
      </c>
      <c r="X133" s="7">
        <v>0</v>
      </c>
      <c r="Y133" s="7">
        <v>0</v>
      </c>
      <c r="Z133" s="7">
        <v>195.80799999999999</v>
      </c>
      <c r="AA133" s="7">
        <v>653.11099999999999</v>
      </c>
      <c r="AB133" s="7">
        <v>0</v>
      </c>
      <c r="AC133" s="7">
        <v>9785.59</v>
      </c>
      <c r="AD133" s="7">
        <v>0</v>
      </c>
      <c r="AE133" s="7">
        <v>1817.7149999999999</v>
      </c>
      <c r="AF133" s="7">
        <v>0</v>
      </c>
      <c r="AG133" s="7">
        <v>308.18900000000002</v>
      </c>
      <c r="AH133" s="7">
        <v>0</v>
      </c>
      <c r="AI133" s="7">
        <v>50962.245000000003</v>
      </c>
      <c r="AJ133" s="7">
        <v>106.63500000000001</v>
      </c>
      <c r="AK133" s="7">
        <v>0</v>
      </c>
      <c r="AL133" s="7">
        <v>228566.842</v>
      </c>
      <c r="AM133" s="7">
        <v>62.466000000000001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136.995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21"/>
    </row>
    <row r="134" spans="1:58" ht="15.75" x14ac:dyDescent="0.25">
      <c r="A134" s="5" t="s">
        <v>255</v>
      </c>
      <c r="B134" s="5" t="s">
        <v>256</v>
      </c>
      <c r="C134" s="7">
        <v>6</v>
      </c>
      <c r="D134" s="7">
        <v>6</v>
      </c>
      <c r="E134" s="7">
        <v>2749.1030000000001</v>
      </c>
      <c r="F134" s="7">
        <v>31.733000000000001</v>
      </c>
      <c r="G134" s="7">
        <v>0</v>
      </c>
      <c r="H134" s="7">
        <v>0</v>
      </c>
      <c r="I134" s="7">
        <v>0</v>
      </c>
      <c r="J134" s="7">
        <v>0</v>
      </c>
      <c r="K134" s="7">
        <v>1441.0450000000001</v>
      </c>
      <c r="L134" s="7">
        <v>0</v>
      </c>
      <c r="M134" s="7">
        <v>0</v>
      </c>
      <c r="N134" s="7">
        <v>490.57400000000001</v>
      </c>
      <c r="O134" s="7">
        <v>8077.8710000000001</v>
      </c>
      <c r="P134" s="7">
        <v>353.92599999999999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102.474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1005.173</v>
      </c>
      <c r="AJ134" s="7">
        <v>56.906999999999996</v>
      </c>
      <c r="AK134" s="7">
        <v>0</v>
      </c>
      <c r="AL134" s="7">
        <v>5886.0209999999997</v>
      </c>
      <c r="AM134" s="7">
        <v>187.869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21"/>
    </row>
    <row r="135" spans="1:58" ht="15.75" x14ac:dyDescent="0.25">
      <c r="A135" s="5" t="s">
        <v>257</v>
      </c>
      <c r="B135" s="5" t="s">
        <v>258</v>
      </c>
      <c r="C135" s="7">
        <v>6</v>
      </c>
      <c r="D135" s="7">
        <v>6</v>
      </c>
      <c r="E135" s="7">
        <v>46190.523999999998</v>
      </c>
      <c r="F135" s="7">
        <v>4786.4579999999996</v>
      </c>
      <c r="G135" s="7">
        <v>4315.6890000000003</v>
      </c>
      <c r="H135" s="7">
        <v>0</v>
      </c>
      <c r="I135" s="7">
        <v>751.56899999999996</v>
      </c>
      <c r="J135" s="7">
        <v>2533.442</v>
      </c>
      <c r="K135" s="7">
        <v>72093.61</v>
      </c>
      <c r="L135" s="7">
        <v>3035.31</v>
      </c>
      <c r="M135" s="7">
        <v>0</v>
      </c>
      <c r="N135" s="7">
        <v>20740.028999999999</v>
      </c>
      <c r="O135" s="7">
        <v>108068.754</v>
      </c>
      <c r="P135" s="7">
        <v>31290.493999999999</v>
      </c>
      <c r="Q135" s="7">
        <v>0</v>
      </c>
      <c r="R135" s="7">
        <v>0</v>
      </c>
      <c r="S135" s="7">
        <v>146.53299999999999</v>
      </c>
      <c r="T135" s="7">
        <v>0</v>
      </c>
      <c r="U135" s="7">
        <v>4.1559999999999997</v>
      </c>
      <c r="V135" s="7">
        <v>0</v>
      </c>
      <c r="W135" s="7">
        <v>0</v>
      </c>
      <c r="X135" s="7">
        <v>0</v>
      </c>
      <c r="Y135" s="7">
        <v>0</v>
      </c>
      <c r="Z135" s="7">
        <v>311.89800000000002</v>
      </c>
      <c r="AA135" s="7">
        <v>1040.327</v>
      </c>
      <c r="AB135" s="7">
        <v>0</v>
      </c>
      <c r="AC135" s="7">
        <v>9721.8559999999998</v>
      </c>
      <c r="AD135" s="7">
        <v>0</v>
      </c>
      <c r="AE135" s="7">
        <v>2895.4</v>
      </c>
      <c r="AF135" s="7">
        <v>0</v>
      </c>
      <c r="AG135" s="7">
        <v>490.90800000000002</v>
      </c>
      <c r="AH135" s="7">
        <v>0</v>
      </c>
      <c r="AI135" s="7">
        <v>42576.137000000002</v>
      </c>
      <c r="AJ135" s="7">
        <v>1491.4570000000001</v>
      </c>
      <c r="AK135" s="7">
        <v>0</v>
      </c>
      <c r="AL135" s="7">
        <v>113885.49400000001</v>
      </c>
      <c r="AM135" s="7">
        <v>1970.519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21"/>
    </row>
    <row r="136" spans="1:58" ht="15.75" x14ac:dyDescent="0.25">
      <c r="A136" s="5" t="s">
        <v>259</v>
      </c>
      <c r="B136" s="5" t="s">
        <v>260</v>
      </c>
      <c r="C136" s="7">
        <v>6</v>
      </c>
      <c r="D136" s="7">
        <v>6</v>
      </c>
      <c r="E136" s="7">
        <v>18633.207999999999</v>
      </c>
      <c r="F136" s="7">
        <v>468.83499999999998</v>
      </c>
      <c r="G136" s="7">
        <v>2.7749999999999999</v>
      </c>
      <c r="H136" s="7">
        <v>0</v>
      </c>
      <c r="I136" s="7">
        <v>30.574999999999999</v>
      </c>
      <c r="J136" s="7">
        <v>2.3980000000000001</v>
      </c>
      <c r="K136" s="7">
        <v>18617.108</v>
      </c>
      <c r="L136" s="7">
        <v>135.02799999999999</v>
      </c>
      <c r="M136" s="7">
        <v>0</v>
      </c>
      <c r="N136" s="7">
        <v>2751.7069999999999</v>
      </c>
      <c r="O136" s="7">
        <v>26544.236000000001</v>
      </c>
      <c r="P136" s="7">
        <v>3505.3490000000002</v>
      </c>
      <c r="Q136" s="7">
        <v>0</v>
      </c>
      <c r="R136" s="7">
        <v>0</v>
      </c>
      <c r="S136" s="7">
        <v>0.24299999999999999</v>
      </c>
      <c r="T136" s="7">
        <v>0</v>
      </c>
      <c r="U136" s="7">
        <v>0</v>
      </c>
      <c r="V136" s="7">
        <v>141.6</v>
      </c>
      <c r="W136" s="7">
        <v>0</v>
      </c>
      <c r="X136" s="7">
        <v>0</v>
      </c>
      <c r="Y136" s="7">
        <v>0</v>
      </c>
      <c r="Z136" s="7">
        <v>0</v>
      </c>
      <c r="AA136" s="7">
        <v>41.957000000000001</v>
      </c>
      <c r="AB136" s="7">
        <v>0</v>
      </c>
      <c r="AC136" s="7">
        <v>876.53499999999997</v>
      </c>
      <c r="AD136" s="7">
        <v>0</v>
      </c>
      <c r="AE136" s="7">
        <v>0</v>
      </c>
      <c r="AF136" s="7">
        <v>0</v>
      </c>
      <c r="AG136" s="7">
        <v>74.588999999999999</v>
      </c>
      <c r="AH136" s="7">
        <v>0</v>
      </c>
      <c r="AI136" s="7">
        <v>6407.5429999999997</v>
      </c>
      <c r="AJ136" s="7">
        <v>1076.7139999999999</v>
      </c>
      <c r="AK136" s="7">
        <v>0</v>
      </c>
      <c r="AL136" s="7">
        <v>33748.563000000002</v>
      </c>
      <c r="AM136" s="7">
        <v>2143.134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3.0259999999999998</v>
      </c>
      <c r="AV136" s="7">
        <v>0</v>
      </c>
      <c r="AW136" s="7">
        <v>0</v>
      </c>
      <c r="AX136" s="7">
        <v>286.64</v>
      </c>
      <c r="AY136" s="7">
        <v>0</v>
      </c>
      <c r="AZ136" s="7">
        <v>1.2709999999999999</v>
      </c>
      <c r="BA136" s="7">
        <v>0</v>
      </c>
      <c r="BB136" s="7">
        <v>10.29</v>
      </c>
      <c r="BC136" s="7">
        <v>0</v>
      </c>
      <c r="BD136" s="7">
        <v>0</v>
      </c>
      <c r="BE136" s="7">
        <v>0</v>
      </c>
      <c r="BF136" s="21"/>
    </row>
    <row r="137" spans="1:58" ht="15.75" x14ac:dyDescent="0.25">
      <c r="A137" s="5" t="s">
        <v>261</v>
      </c>
      <c r="B137" s="5" t="s">
        <v>262</v>
      </c>
      <c r="C137" s="7">
        <v>6</v>
      </c>
      <c r="D137" s="7">
        <v>6</v>
      </c>
      <c r="E137" s="7">
        <v>630932.723</v>
      </c>
      <c r="F137" s="7">
        <v>20418.873</v>
      </c>
      <c r="G137" s="7">
        <v>25902.776000000002</v>
      </c>
      <c r="H137" s="7">
        <v>1767.7619999999999</v>
      </c>
      <c r="I137" s="7">
        <v>4932.8010000000004</v>
      </c>
      <c r="J137" s="7">
        <v>15215.221</v>
      </c>
      <c r="K137" s="7">
        <v>583899.32499999995</v>
      </c>
      <c r="L137" s="7">
        <v>45438.277999999998</v>
      </c>
      <c r="M137" s="7">
        <v>0</v>
      </c>
      <c r="N137" s="7">
        <v>260219.095</v>
      </c>
      <c r="O137" s="7">
        <v>921714.91200000001</v>
      </c>
      <c r="P137" s="7">
        <v>258196.29500000001</v>
      </c>
      <c r="Q137" s="7">
        <v>0</v>
      </c>
      <c r="R137" s="7">
        <v>0</v>
      </c>
      <c r="S137" s="7">
        <v>863.678</v>
      </c>
      <c r="T137" s="7">
        <v>0</v>
      </c>
      <c r="U137" s="7">
        <v>25.327999999999999</v>
      </c>
      <c r="V137" s="7">
        <v>0</v>
      </c>
      <c r="W137" s="7">
        <v>0</v>
      </c>
      <c r="X137" s="7">
        <v>0</v>
      </c>
      <c r="Y137" s="7">
        <v>0</v>
      </c>
      <c r="Z137" s="7">
        <v>1530.4760000000001</v>
      </c>
      <c r="AA137" s="7">
        <v>5191.9120000000003</v>
      </c>
      <c r="AB137" s="7">
        <v>0</v>
      </c>
      <c r="AC137" s="7">
        <v>104693.682</v>
      </c>
      <c r="AD137" s="7">
        <v>0</v>
      </c>
      <c r="AE137" s="7">
        <v>17071.557000000001</v>
      </c>
      <c r="AF137" s="7">
        <v>0</v>
      </c>
      <c r="AG137" s="7">
        <v>2457.8870000000002</v>
      </c>
      <c r="AH137" s="7">
        <v>0</v>
      </c>
      <c r="AI137" s="7">
        <v>446461.89299999998</v>
      </c>
      <c r="AJ137" s="7">
        <v>922.38900000000001</v>
      </c>
      <c r="AK137" s="7">
        <v>0</v>
      </c>
      <c r="AL137" s="7">
        <v>1271443.74</v>
      </c>
      <c r="AM137" s="7">
        <v>2987.0140000000001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185.59</v>
      </c>
      <c r="BC137" s="7">
        <v>0</v>
      </c>
      <c r="BD137" s="7">
        <v>0</v>
      </c>
      <c r="BE137" s="7">
        <v>0</v>
      </c>
      <c r="BF137" s="21"/>
    </row>
    <row r="138" spans="1:58" ht="15.75" x14ac:dyDescent="0.25">
      <c r="A138" s="5" t="s">
        <v>263</v>
      </c>
      <c r="B138" s="5" t="s">
        <v>264</v>
      </c>
      <c r="C138" s="7">
        <v>4</v>
      </c>
      <c r="D138" s="7">
        <v>4</v>
      </c>
      <c r="E138" s="7">
        <v>116.503</v>
      </c>
      <c r="F138" s="7">
        <v>30.454999999999998</v>
      </c>
      <c r="G138" s="7">
        <v>13.423</v>
      </c>
      <c r="H138" s="7">
        <v>0</v>
      </c>
      <c r="I138" s="7">
        <v>2.6819999999999999</v>
      </c>
      <c r="J138" s="7">
        <v>8.5510000000000002</v>
      </c>
      <c r="K138" s="7">
        <v>128.58500000000001</v>
      </c>
      <c r="L138" s="7">
        <v>17.556999999999999</v>
      </c>
      <c r="M138" s="7">
        <v>0</v>
      </c>
      <c r="N138" s="7">
        <v>38.095999999999997</v>
      </c>
      <c r="O138" s="7">
        <v>331.98599999999999</v>
      </c>
      <c r="P138" s="7">
        <v>39.54</v>
      </c>
      <c r="Q138" s="7">
        <v>0</v>
      </c>
      <c r="R138" s="7">
        <v>0</v>
      </c>
      <c r="S138" s="7">
        <v>1.4999999999999999E-2</v>
      </c>
      <c r="T138" s="7">
        <v>0</v>
      </c>
      <c r="U138" s="7">
        <v>0</v>
      </c>
      <c r="V138" s="7">
        <v>10.023</v>
      </c>
      <c r="W138" s="7">
        <v>0</v>
      </c>
      <c r="X138" s="7">
        <v>0</v>
      </c>
      <c r="Y138" s="7">
        <v>0</v>
      </c>
      <c r="Z138" s="7">
        <v>1.079</v>
      </c>
      <c r="AA138" s="7">
        <v>4.7949999999999999</v>
      </c>
      <c r="AB138" s="7">
        <v>0</v>
      </c>
      <c r="AC138" s="7">
        <v>53.387999999999998</v>
      </c>
      <c r="AD138" s="7">
        <v>0</v>
      </c>
      <c r="AE138" s="7">
        <v>7.9980000000000002</v>
      </c>
      <c r="AF138" s="7">
        <v>0</v>
      </c>
      <c r="AG138" s="7">
        <v>4.9180000000000001</v>
      </c>
      <c r="AH138" s="7">
        <v>0</v>
      </c>
      <c r="AI138" s="7">
        <v>123.956</v>
      </c>
      <c r="AJ138" s="7">
        <v>56.045999999999999</v>
      </c>
      <c r="AK138" s="7">
        <v>0</v>
      </c>
      <c r="AL138" s="7">
        <v>431.70100000000002</v>
      </c>
      <c r="AM138" s="7">
        <v>112.373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0.19700000000000001</v>
      </c>
      <c r="AV138" s="7">
        <v>0</v>
      </c>
      <c r="AW138" s="7">
        <v>0</v>
      </c>
      <c r="AX138" s="7">
        <v>14.773</v>
      </c>
      <c r="AY138" s="7">
        <v>0</v>
      </c>
      <c r="AZ138" s="7">
        <v>9.0999999999999998E-2</v>
      </c>
      <c r="BA138" s="7">
        <v>0</v>
      </c>
      <c r="BB138" s="7">
        <v>1.2729999999999999</v>
      </c>
      <c r="BC138" s="7">
        <v>0</v>
      </c>
      <c r="BD138" s="7">
        <v>0</v>
      </c>
      <c r="BE138" s="7">
        <v>0</v>
      </c>
      <c r="BF138" s="21"/>
    </row>
    <row r="139" spans="1:58" ht="15.75" x14ac:dyDescent="0.25">
      <c r="A139" s="5" t="s">
        <v>265</v>
      </c>
      <c r="B139" s="5" t="s">
        <v>266</v>
      </c>
      <c r="C139" s="7">
        <v>6</v>
      </c>
      <c r="D139" s="7">
        <v>6</v>
      </c>
      <c r="E139" s="7">
        <v>1937.298</v>
      </c>
      <c r="F139" s="7">
        <v>1E-3</v>
      </c>
      <c r="G139" s="7">
        <v>0</v>
      </c>
      <c r="H139" s="7">
        <v>0</v>
      </c>
      <c r="I139" s="7">
        <v>0</v>
      </c>
      <c r="J139" s="7">
        <v>0</v>
      </c>
      <c r="K139" s="7">
        <v>4116.674</v>
      </c>
      <c r="L139" s="7">
        <v>0</v>
      </c>
      <c r="M139" s="7">
        <v>0</v>
      </c>
      <c r="N139" s="7">
        <v>1023.57</v>
      </c>
      <c r="O139" s="7">
        <v>5643.5559999999996</v>
      </c>
      <c r="P139" s="7">
        <v>940.75800000000004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839.22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3276.4160000000002</v>
      </c>
      <c r="AJ139" s="7">
        <v>3.0000000000000001E-3</v>
      </c>
      <c r="AK139" s="7">
        <v>0</v>
      </c>
      <c r="AL139" s="7">
        <v>8793.6239999999998</v>
      </c>
      <c r="AM139" s="7">
        <v>6.0000000000000001E-3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21"/>
    </row>
    <row r="140" spans="1:58" ht="15.75" x14ac:dyDescent="0.25">
      <c r="A140" s="5" t="s">
        <v>267</v>
      </c>
      <c r="B140" s="5" t="s">
        <v>268</v>
      </c>
      <c r="C140" s="7">
        <v>4</v>
      </c>
      <c r="D140" s="7">
        <v>4</v>
      </c>
      <c r="E140" s="7">
        <v>102.218</v>
      </c>
      <c r="F140" s="7">
        <v>15.548999999999999</v>
      </c>
      <c r="G140" s="7">
        <v>20.82</v>
      </c>
      <c r="H140" s="7">
        <v>0</v>
      </c>
      <c r="I140" s="7">
        <v>3.702</v>
      </c>
      <c r="J140" s="7">
        <v>12.222</v>
      </c>
      <c r="K140" s="7">
        <v>109.66</v>
      </c>
      <c r="L140" s="7">
        <v>9.7479999999999993</v>
      </c>
      <c r="M140" s="7">
        <v>0</v>
      </c>
      <c r="N140" s="7">
        <v>47.99</v>
      </c>
      <c r="O140" s="7">
        <v>127.117</v>
      </c>
      <c r="P140" s="7">
        <v>48.149000000000001</v>
      </c>
      <c r="Q140" s="7">
        <v>0</v>
      </c>
      <c r="R140" s="7">
        <v>0</v>
      </c>
      <c r="S140" s="7">
        <v>0.70699999999999996</v>
      </c>
      <c r="T140" s="7">
        <v>0</v>
      </c>
      <c r="U140" s="7">
        <v>0.02</v>
      </c>
      <c r="V140" s="7">
        <v>0.41299999999999998</v>
      </c>
      <c r="W140" s="7">
        <v>0</v>
      </c>
      <c r="X140" s="7">
        <v>0</v>
      </c>
      <c r="Y140" s="7">
        <v>0</v>
      </c>
      <c r="Z140" s="7">
        <v>1.5049999999999999</v>
      </c>
      <c r="AA140" s="7">
        <v>5.1559999999999997</v>
      </c>
      <c r="AB140" s="7">
        <v>0</v>
      </c>
      <c r="AC140" s="7">
        <v>43.56</v>
      </c>
      <c r="AD140" s="7">
        <v>0</v>
      </c>
      <c r="AE140" s="7">
        <v>13.968</v>
      </c>
      <c r="AF140" s="7">
        <v>1E-3</v>
      </c>
      <c r="AG140" s="7">
        <v>2.5960000000000001</v>
      </c>
      <c r="AH140" s="7">
        <v>0</v>
      </c>
      <c r="AI140" s="7">
        <v>131.774</v>
      </c>
      <c r="AJ140" s="7">
        <v>3.6469999999999998</v>
      </c>
      <c r="AK140" s="7">
        <v>0</v>
      </c>
      <c r="AL140" s="7">
        <v>225.41200000000001</v>
      </c>
      <c r="AM140" s="7">
        <v>7.0179999999999998</v>
      </c>
      <c r="AN140" s="7">
        <v>0</v>
      </c>
      <c r="AO140" s="7">
        <v>0</v>
      </c>
      <c r="AP140" s="7">
        <v>0</v>
      </c>
      <c r="AQ140" s="7">
        <v>0</v>
      </c>
      <c r="AR140" s="7">
        <v>0</v>
      </c>
      <c r="AS140" s="7">
        <v>0</v>
      </c>
      <c r="AT140" s="7">
        <v>0</v>
      </c>
      <c r="AU140" s="7">
        <v>1.7000000000000001E-2</v>
      </c>
      <c r="AV140" s="7">
        <v>0</v>
      </c>
      <c r="AW140" s="7">
        <v>0</v>
      </c>
      <c r="AX140" s="7">
        <v>1.042</v>
      </c>
      <c r="AY140" s="7">
        <v>0</v>
      </c>
      <c r="AZ140" s="7">
        <v>4.0000000000000001E-3</v>
      </c>
      <c r="BA140" s="7">
        <v>0</v>
      </c>
      <c r="BB140" s="7">
        <v>3.2000000000000001E-2</v>
      </c>
      <c r="BC140" s="7">
        <v>0</v>
      </c>
      <c r="BD140" s="7">
        <v>0</v>
      </c>
      <c r="BE140" s="7">
        <v>0.88900000000000001</v>
      </c>
      <c r="BF140" s="21"/>
    </row>
    <row r="141" spans="1:58" ht="15.75" x14ac:dyDescent="0.25">
      <c r="A141" s="5" t="s">
        <v>269</v>
      </c>
      <c r="B141" s="5" t="s">
        <v>270</v>
      </c>
      <c r="C141" s="7">
        <v>6</v>
      </c>
      <c r="D141" s="7">
        <v>6</v>
      </c>
      <c r="E141" s="7">
        <v>1319.9490000000001</v>
      </c>
      <c r="F141" s="7">
        <v>0</v>
      </c>
      <c r="G141" s="7">
        <v>0</v>
      </c>
      <c r="H141" s="7">
        <v>0</v>
      </c>
      <c r="I141" s="7">
        <v>0</v>
      </c>
      <c r="J141" s="7">
        <v>0</v>
      </c>
      <c r="K141" s="7">
        <v>1657.08</v>
      </c>
      <c r="L141" s="7">
        <v>0</v>
      </c>
      <c r="M141" s="7">
        <v>0</v>
      </c>
      <c r="N141" s="7">
        <v>708.54499999999996</v>
      </c>
      <c r="O141" s="7">
        <v>3199.877</v>
      </c>
      <c r="P141" s="7">
        <v>668.54899999999998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611.404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2428.482</v>
      </c>
      <c r="AJ141" s="7">
        <v>0</v>
      </c>
      <c r="AK141" s="7">
        <v>0</v>
      </c>
      <c r="AL141" s="7">
        <v>4988.38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21"/>
    </row>
    <row r="142" spans="1:58" ht="15.75" x14ac:dyDescent="0.25">
      <c r="A142" s="5" t="s">
        <v>271</v>
      </c>
      <c r="B142" s="5" t="s">
        <v>272</v>
      </c>
      <c r="C142" s="7">
        <v>4</v>
      </c>
      <c r="D142" s="7">
        <v>4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0</v>
      </c>
      <c r="AF142" s="7">
        <v>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21"/>
    </row>
    <row r="143" spans="1:58" ht="15.75" x14ac:dyDescent="0.25">
      <c r="A143" s="5" t="s">
        <v>273</v>
      </c>
      <c r="B143" s="5" t="s">
        <v>274</v>
      </c>
      <c r="C143" s="7">
        <v>6</v>
      </c>
      <c r="D143" s="7">
        <v>6</v>
      </c>
      <c r="E143" s="7">
        <v>3300.9209999999998</v>
      </c>
      <c r="F143" s="7">
        <v>994.41099999999994</v>
      </c>
      <c r="G143" s="7">
        <v>5.8849999999999998</v>
      </c>
      <c r="H143" s="7">
        <v>0</v>
      </c>
      <c r="I143" s="7">
        <v>64.850999999999999</v>
      </c>
      <c r="J143" s="7">
        <v>5.0869999999999997</v>
      </c>
      <c r="K143" s="7">
        <v>4775.96</v>
      </c>
      <c r="L143" s="7">
        <v>286.39699999999999</v>
      </c>
      <c r="M143" s="7">
        <v>0</v>
      </c>
      <c r="N143" s="7">
        <v>554.27</v>
      </c>
      <c r="O143" s="7">
        <v>12534.448</v>
      </c>
      <c r="P143" s="7">
        <v>643.54600000000005</v>
      </c>
      <c r="Q143" s="7">
        <v>0</v>
      </c>
      <c r="R143" s="7">
        <v>542.50300000000004</v>
      </c>
      <c r="S143" s="7">
        <v>0.51600000000000001</v>
      </c>
      <c r="T143" s="7">
        <v>648.78499999999997</v>
      </c>
      <c r="U143" s="7">
        <v>0</v>
      </c>
      <c r="V143" s="7">
        <v>300.33699999999999</v>
      </c>
      <c r="W143" s="7">
        <v>0</v>
      </c>
      <c r="X143" s="7">
        <v>11209.298000000001</v>
      </c>
      <c r="Y143" s="7">
        <v>0</v>
      </c>
      <c r="Z143" s="7">
        <v>0</v>
      </c>
      <c r="AA143" s="7">
        <v>88.991</v>
      </c>
      <c r="AB143" s="7">
        <v>26926.058000000001</v>
      </c>
      <c r="AC143" s="7">
        <v>1859.154</v>
      </c>
      <c r="AD143" s="7">
        <v>0</v>
      </c>
      <c r="AE143" s="7">
        <v>0</v>
      </c>
      <c r="AF143" s="7">
        <v>22187.986000000001</v>
      </c>
      <c r="AG143" s="7">
        <v>158.20500000000001</v>
      </c>
      <c r="AH143" s="7">
        <v>0</v>
      </c>
      <c r="AI143" s="7">
        <v>4535.4080000000004</v>
      </c>
      <c r="AJ143" s="7">
        <v>2283.7379999999998</v>
      </c>
      <c r="AK143" s="7">
        <v>0</v>
      </c>
      <c r="AL143" s="7">
        <v>15741.48</v>
      </c>
      <c r="AM143" s="7">
        <v>4545.6440000000002</v>
      </c>
      <c r="AN143" s="7">
        <v>0</v>
      </c>
      <c r="AO143" s="7">
        <v>0</v>
      </c>
      <c r="AP143" s="7">
        <v>25519.662</v>
      </c>
      <c r="AQ143" s="7">
        <v>10245.177</v>
      </c>
      <c r="AR143" s="7">
        <v>0</v>
      </c>
      <c r="AS143" s="7">
        <v>0</v>
      </c>
      <c r="AT143" s="7">
        <v>0</v>
      </c>
      <c r="AU143" s="7">
        <v>6.4189999999999996</v>
      </c>
      <c r="AV143" s="7">
        <v>694.50699999999995</v>
      </c>
      <c r="AW143" s="7">
        <v>0</v>
      </c>
      <c r="AX143" s="7">
        <v>607.97199999999998</v>
      </c>
      <c r="AY143" s="7">
        <v>0</v>
      </c>
      <c r="AZ143" s="7">
        <v>2.6960000000000002</v>
      </c>
      <c r="BA143" s="7">
        <v>0</v>
      </c>
      <c r="BB143" s="7">
        <v>21.824999999999999</v>
      </c>
      <c r="BC143" s="7">
        <v>0</v>
      </c>
      <c r="BD143" s="7">
        <v>0</v>
      </c>
      <c r="BE143" s="7">
        <v>0</v>
      </c>
      <c r="BF143" s="21"/>
    </row>
    <row r="144" spans="1:58" ht="15.75" x14ac:dyDescent="0.25">
      <c r="A144" s="5" t="s">
        <v>275</v>
      </c>
      <c r="B144" s="5" t="s">
        <v>276</v>
      </c>
      <c r="C144" s="7">
        <v>6</v>
      </c>
      <c r="D144" s="7">
        <v>6</v>
      </c>
      <c r="E144" s="7">
        <v>39044.478999999999</v>
      </c>
      <c r="F144" s="7">
        <v>4165.6109999999999</v>
      </c>
      <c r="G144" s="7">
        <v>6158.5230000000001</v>
      </c>
      <c r="H144" s="7">
        <v>565.9</v>
      </c>
      <c r="I144" s="7">
        <v>813.31600000000003</v>
      </c>
      <c r="J144" s="7">
        <v>3730.9180000000001</v>
      </c>
      <c r="K144" s="7">
        <v>29493.065999999999</v>
      </c>
      <c r="L144" s="7">
        <v>4103.3490000000002</v>
      </c>
      <c r="M144" s="7">
        <v>0</v>
      </c>
      <c r="N144" s="7">
        <v>15444.143</v>
      </c>
      <c r="O144" s="7">
        <v>48995.339</v>
      </c>
      <c r="P144" s="7">
        <v>15799.249</v>
      </c>
      <c r="Q144" s="7">
        <v>0</v>
      </c>
      <c r="R144" s="7">
        <v>-16.501000000000001</v>
      </c>
      <c r="S144" s="7">
        <v>93.667000000000002</v>
      </c>
      <c r="T144" s="7">
        <v>-23.677</v>
      </c>
      <c r="U144" s="7">
        <v>-57.317999999999998</v>
      </c>
      <c r="V144" s="7">
        <v>922.66499999999996</v>
      </c>
      <c r="W144" s="7">
        <v>0</v>
      </c>
      <c r="X144" s="7">
        <v>-251.74100000000001</v>
      </c>
      <c r="Y144" s="7">
        <v>0</v>
      </c>
      <c r="Z144" s="7">
        <v>451.27300000000002</v>
      </c>
      <c r="AA144" s="7">
        <v>1298.0350000000001</v>
      </c>
      <c r="AB144" s="7">
        <v>-510.01900000000001</v>
      </c>
      <c r="AC144" s="7">
        <v>10607.404</v>
      </c>
      <c r="AD144" s="7">
        <v>-703.85400000000004</v>
      </c>
      <c r="AE144" s="7">
        <v>5453.5870000000004</v>
      </c>
      <c r="AF144" s="7">
        <v>-436.77499999999998</v>
      </c>
      <c r="AG144" s="7">
        <v>902.09199999999998</v>
      </c>
      <c r="AH144" s="7">
        <v>-37.417999999999999</v>
      </c>
      <c r="AI144" s="7">
        <v>29232.151999999998</v>
      </c>
      <c r="AJ144" s="7">
        <v>1698.4390000000001</v>
      </c>
      <c r="AK144" s="7">
        <v>-99.93</v>
      </c>
      <c r="AL144" s="7">
        <v>87308.301999999996</v>
      </c>
      <c r="AM144" s="7">
        <v>1902.123</v>
      </c>
      <c r="AN144" s="7">
        <v>-4446.9840000000004</v>
      </c>
      <c r="AO144" s="7">
        <v>-225611.54500000001</v>
      </c>
      <c r="AP144" s="7">
        <v>-697.65300000000002</v>
      </c>
      <c r="AQ144" s="7">
        <v>-399.66399999999999</v>
      </c>
      <c r="AR144" s="7">
        <v>-144329.56</v>
      </c>
      <c r="AS144" s="7">
        <v>0</v>
      </c>
      <c r="AT144" s="7">
        <v>-69056.267000000007</v>
      </c>
      <c r="AU144" s="7">
        <v>42.963000000000001</v>
      </c>
      <c r="AV144" s="7">
        <v>-23.1</v>
      </c>
      <c r="AW144" s="7">
        <v>0</v>
      </c>
      <c r="AX144" s="7">
        <v>450.04199999999997</v>
      </c>
      <c r="AY144" s="7">
        <v>0</v>
      </c>
      <c r="AZ144" s="7">
        <v>7.3070000000000004</v>
      </c>
      <c r="BA144" s="7">
        <v>0</v>
      </c>
      <c r="BB144" s="7">
        <v>151.447</v>
      </c>
      <c r="BC144" s="7">
        <v>0</v>
      </c>
      <c r="BD144" s="7">
        <v>0</v>
      </c>
      <c r="BE144" s="7">
        <v>6583.4269999999997</v>
      </c>
      <c r="BF144" s="21"/>
    </row>
    <row r="145" spans="1:58" ht="15.75" x14ac:dyDescent="0.25">
      <c r="A145" s="5" t="s">
        <v>277</v>
      </c>
      <c r="B145" s="5" t="s">
        <v>278</v>
      </c>
      <c r="C145" s="7">
        <v>6</v>
      </c>
      <c r="D145" s="7">
        <v>6</v>
      </c>
      <c r="E145" s="7">
        <v>-11332.778</v>
      </c>
      <c r="F145" s="7">
        <v>-1888.598</v>
      </c>
      <c r="G145" s="7">
        <v>-948.11599999999999</v>
      </c>
      <c r="H145" s="7">
        <v>-298.00400000000002</v>
      </c>
      <c r="I145" s="7">
        <v>-366.11</v>
      </c>
      <c r="J145" s="7">
        <v>-913.351</v>
      </c>
      <c r="K145" s="7">
        <v>-9943.6190000000006</v>
      </c>
      <c r="L145" s="7">
        <v>-1389.9570000000001</v>
      </c>
      <c r="M145" s="7">
        <v>0</v>
      </c>
      <c r="N145" s="7">
        <v>-5492.0050000000001</v>
      </c>
      <c r="O145" s="7">
        <v>-22591.277999999998</v>
      </c>
      <c r="P145" s="7">
        <v>-5206.5209999999997</v>
      </c>
      <c r="Q145" s="7">
        <v>0</v>
      </c>
      <c r="R145" s="7">
        <v>0</v>
      </c>
      <c r="S145" s="7">
        <v>-31.058</v>
      </c>
      <c r="T145" s="7">
        <v>0</v>
      </c>
      <c r="U145" s="7">
        <v>-2.1659999999999999</v>
      </c>
      <c r="V145" s="7">
        <v>-581.53899999999999</v>
      </c>
      <c r="W145" s="7">
        <v>0</v>
      </c>
      <c r="X145" s="7">
        <v>0</v>
      </c>
      <c r="Y145" s="7">
        <v>0</v>
      </c>
      <c r="Z145" s="7">
        <v>-131.90100000000001</v>
      </c>
      <c r="AA145" s="7">
        <v>-497.40800000000002</v>
      </c>
      <c r="AB145" s="7">
        <v>0</v>
      </c>
      <c r="AC145" s="7">
        <v>-4241.9560000000001</v>
      </c>
      <c r="AD145" s="7">
        <v>0</v>
      </c>
      <c r="AE145" s="7">
        <v>-1696.08</v>
      </c>
      <c r="AF145" s="7">
        <v>-0.63</v>
      </c>
      <c r="AG145" s="7">
        <v>-366.38099999999997</v>
      </c>
      <c r="AH145" s="7">
        <v>0</v>
      </c>
      <c r="AI145" s="7">
        <v>-11008.498</v>
      </c>
      <c r="AJ145" s="7">
        <v>-1581.1869999999999</v>
      </c>
      <c r="AK145" s="7">
        <v>0</v>
      </c>
      <c r="AL145" s="7">
        <v>-34585.49</v>
      </c>
      <c r="AM145" s="7">
        <v>-2963.09</v>
      </c>
      <c r="AN145" s="7">
        <v>0</v>
      </c>
      <c r="AO145" s="7">
        <v>0</v>
      </c>
      <c r="AP145" s="7">
        <v>0</v>
      </c>
      <c r="AQ145" s="7">
        <v>0</v>
      </c>
      <c r="AR145" s="7">
        <v>0</v>
      </c>
      <c r="AS145" s="7">
        <v>0</v>
      </c>
      <c r="AT145" s="7">
        <v>0</v>
      </c>
      <c r="AU145" s="7">
        <v>-20.616</v>
      </c>
      <c r="AV145" s="7">
        <v>0</v>
      </c>
      <c r="AW145" s="7">
        <v>0</v>
      </c>
      <c r="AX145" s="7">
        <v>-407.94200000000001</v>
      </c>
      <c r="AY145" s="7">
        <v>0</v>
      </c>
      <c r="AZ145" s="7">
        <v>-2.085</v>
      </c>
      <c r="BA145" s="7">
        <v>0</v>
      </c>
      <c r="BB145" s="7">
        <v>-30.193999999999999</v>
      </c>
      <c r="BC145" s="7">
        <v>0</v>
      </c>
      <c r="BD145" s="7">
        <v>0</v>
      </c>
      <c r="BE145" s="7">
        <v>-1520.633</v>
      </c>
      <c r="BF145" s="21"/>
    </row>
    <row r="146" spans="1:58" ht="15.75" x14ac:dyDescent="0.25">
      <c r="A146" s="5" t="s">
        <v>279</v>
      </c>
      <c r="B146" s="5" t="s">
        <v>280</v>
      </c>
      <c r="C146" s="7">
        <v>6</v>
      </c>
      <c r="D146" s="7">
        <v>6</v>
      </c>
      <c r="E146" s="7">
        <v>-33411.175999999999</v>
      </c>
      <c r="F146" s="7">
        <v>-8829.6200000000008</v>
      </c>
      <c r="G146" s="7">
        <v>-787.7</v>
      </c>
      <c r="H146" s="7">
        <v>-423.56400000000002</v>
      </c>
      <c r="I146" s="7">
        <v>-663.06</v>
      </c>
      <c r="J146" s="7">
        <v>-990.61699999999996</v>
      </c>
      <c r="K146" s="7">
        <v>-44298.101000000002</v>
      </c>
      <c r="L146" s="7">
        <v>-4167.8249999999998</v>
      </c>
      <c r="M146" s="7">
        <v>0</v>
      </c>
      <c r="N146" s="7">
        <v>-7731.5370000000003</v>
      </c>
      <c r="O146" s="7">
        <v>-105391.717</v>
      </c>
      <c r="P146" s="7">
        <v>-8985.5730000000003</v>
      </c>
      <c r="Q146" s="7">
        <v>0</v>
      </c>
      <c r="R146" s="7">
        <v>-1131.788</v>
      </c>
      <c r="S146" s="7">
        <v>-0.93</v>
      </c>
      <c r="T146" s="7">
        <v>-1353.5170000000001</v>
      </c>
      <c r="U146" s="7">
        <v>0</v>
      </c>
      <c r="V146" s="7">
        <v>-2714.2550000000001</v>
      </c>
      <c r="W146" s="7">
        <v>0</v>
      </c>
      <c r="X146" s="7">
        <v>-23385.215</v>
      </c>
      <c r="Y146" s="7">
        <v>0</v>
      </c>
      <c r="Z146" s="7">
        <v>-70.956000000000003</v>
      </c>
      <c r="AA146" s="7">
        <v>-988.1</v>
      </c>
      <c r="AB146" s="7">
        <v>-56174.046000000002</v>
      </c>
      <c r="AC146" s="7">
        <v>-17717.844000000001</v>
      </c>
      <c r="AD146" s="7">
        <v>0</v>
      </c>
      <c r="AE146" s="7">
        <v>-1468.8620000000001</v>
      </c>
      <c r="AF146" s="7">
        <v>-46293.622000000003</v>
      </c>
      <c r="AG146" s="7">
        <v>-1439.7619999999999</v>
      </c>
      <c r="AH146" s="7">
        <v>-6.5389999999999997</v>
      </c>
      <c r="AI146" s="7">
        <v>-41520.400999999998</v>
      </c>
      <c r="AJ146" s="7">
        <v>-19984.207999999999</v>
      </c>
      <c r="AK146" s="7">
        <v>-18.670000000000002</v>
      </c>
      <c r="AL146" s="7">
        <v>-139515.88699999999</v>
      </c>
      <c r="AM146" s="7">
        <v>-38714.527000000002</v>
      </c>
      <c r="AN146" s="7">
        <v>0</v>
      </c>
      <c r="AO146" s="7">
        <v>0</v>
      </c>
      <c r="AP146" s="7">
        <v>-53239.974999999999</v>
      </c>
      <c r="AQ146" s="7">
        <v>-21373.831999999999</v>
      </c>
      <c r="AR146" s="7">
        <v>0</v>
      </c>
      <c r="AS146" s="7">
        <v>0</v>
      </c>
      <c r="AT146" s="7">
        <v>0</v>
      </c>
      <c r="AU146" s="7">
        <v>-102.193</v>
      </c>
      <c r="AV146" s="7">
        <v>-1448.903</v>
      </c>
      <c r="AW146" s="7">
        <v>0</v>
      </c>
      <c r="AX146" s="7">
        <v>-5630.9110000000001</v>
      </c>
      <c r="AY146" s="7">
        <v>0</v>
      </c>
      <c r="AZ146" s="7">
        <v>-25.414999999999999</v>
      </c>
      <c r="BA146" s="7">
        <v>0</v>
      </c>
      <c r="BB146" s="7">
        <v>-215.01900000000001</v>
      </c>
      <c r="BC146" s="7">
        <v>0</v>
      </c>
      <c r="BD146" s="7">
        <v>0</v>
      </c>
      <c r="BE146" s="7">
        <v>-4952.4960000000001</v>
      </c>
      <c r="BF146" s="21"/>
    </row>
    <row r="147" spans="1:58" ht="15.75" x14ac:dyDescent="0.25">
      <c r="A147" s="5" t="s">
        <v>281</v>
      </c>
      <c r="B147" s="5" t="s">
        <v>282</v>
      </c>
      <c r="C147" s="7">
        <v>6</v>
      </c>
      <c r="D147" s="7">
        <v>6</v>
      </c>
      <c r="E147" s="7">
        <v>0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0</v>
      </c>
      <c r="AP147" s="7">
        <v>0</v>
      </c>
      <c r="AQ147" s="7">
        <v>0</v>
      </c>
      <c r="AR147" s="7">
        <v>0</v>
      </c>
      <c r="AS147" s="7">
        <v>0</v>
      </c>
      <c r="AT147" s="7">
        <v>0</v>
      </c>
      <c r="AU147" s="7">
        <v>0</v>
      </c>
      <c r="AV147" s="7">
        <v>0</v>
      </c>
      <c r="AW147" s="7">
        <v>0</v>
      </c>
      <c r="AX147" s="7">
        <v>0</v>
      </c>
      <c r="AY147" s="7">
        <v>0</v>
      </c>
      <c r="AZ147" s="7">
        <v>0</v>
      </c>
      <c r="BA147" s="7">
        <v>0</v>
      </c>
      <c r="BB147" s="7">
        <v>0</v>
      </c>
      <c r="BC147" s="7">
        <v>0</v>
      </c>
      <c r="BD147" s="7">
        <v>0</v>
      </c>
      <c r="BE147" s="7">
        <v>0</v>
      </c>
      <c r="BF147" s="21"/>
    </row>
    <row r="148" spans="1:58" ht="15.75" x14ac:dyDescent="0.25">
      <c r="A148" s="5" t="s">
        <v>283</v>
      </c>
      <c r="B148" s="5" t="s">
        <v>284</v>
      </c>
      <c r="C148" s="7">
        <v>4</v>
      </c>
      <c r="D148" s="7">
        <v>4</v>
      </c>
      <c r="E148" s="7">
        <v>6707.942</v>
      </c>
      <c r="F148" s="7">
        <v>1833.5050000000001</v>
      </c>
      <c r="G148" s="7">
        <v>0</v>
      </c>
      <c r="H148" s="7">
        <v>0</v>
      </c>
      <c r="I148" s="7">
        <v>106.729</v>
      </c>
      <c r="J148" s="7">
        <v>0</v>
      </c>
      <c r="K148" s="7">
        <v>10158.776</v>
      </c>
      <c r="L148" s="7">
        <v>1177.5889999999999</v>
      </c>
      <c r="M148" s="7">
        <v>0</v>
      </c>
      <c r="N148" s="7">
        <v>2881.9430000000002</v>
      </c>
      <c r="O148" s="7">
        <v>24962.598999999998</v>
      </c>
      <c r="P148" s="7">
        <v>1345.819</v>
      </c>
      <c r="Q148" s="7">
        <v>0</v>
      </c>
      <c r="R148" s="7">
        <v>23.524999999999999</v>
      </c>
      <c r="S148" s="7">
        <v>0</v>
      </c>
      <c r="T148" s="7">
        <v>15.817</v>
      </c>
      <c r="U148" s="7">
        <v>0</v>
      </c>
      <c r="V148" s="7">
        <v>542.57899999999995</v>
      </c>
      <c r="W148" s="7">
        <v>0</v>
      </c>
      <c r="X148" s="7">
        <v>225.48699999999999</v>
      </c>
      <c r="Y148" s="7">
        <v>0</v>
      </c>
      <c r="Z148" s="7">
        <v>0</v>
      </c>
      <c r="AA148" s="7">
        <v>179.72900000000001</v>
      </c>
      <c r="AB148" s="7">
        <v>741.10799999999995</v>
      </c>
      <c r="AC148" s="7">
        <v>4032.6570000000002</v>
      </c>
      <c r="AD148" s="7">
        <v>163.20599999999999</v>
      </c>
      <c r="AE148" s="7">
        <v>0</v>
      </c>
      <c r="AF148" s="7">
        <v>601.08900000000006</v>
      </c>
      <c r="AG148" s="7">
        <v>299.37</v>
      </c>
      <c r="AH148" s="7">
        <v>40.164000000000001</v>
      </c>
      <c r="AI148" s="7">
        <v>9837.0370000000003</v>
      </c>
      <c r="AJ148" s="7">
        <v>4792.3519999999999</v>
      </c>
      <c r="AK148" s="7">
        <v>184.90899999999999</v>
      </c>
      <c r="AL148" s="7">
        <v>29968.705000000002</v>
      </c>
      <c r="AM148" s="7">
        <v>9221.2090000000007</v>
      </c>
      <c r="AN148" s="7">
        <v>1090.75</v>
      </c>
      <c r="AO148" s="7">
        <v>50032.142999999996</v>
      </c>
      <c r="AP148" s="7">
        <v>566.22199999999998</v>
      </c>
      <c r="AQ148" s="7">
        <v>202.86799999999999</v>
      </c>
      <c r="AR148" s="7">
        <v>32006.86</v>
      </c>
      <c r="AS148" s="7">
        <v>0</v>
      </c>
      <c r="AT148" s="7">
        <v>15314.078</v>
      </c>
      <c r="AU148" s="7">
        <v>22.34</v>
      </c>
      <c r="AV148" s="7">
        <v>15.584</v>
      </c>
      <c r="AW148" s="7">
        <v>0</v>
      </c>
      <c r="AX148" s="7">
        <v>1369.6179999999999</v>
      </c>
      <c r="AY148" s="7">
        <v>0</v>
      </c>
      <c r="AZ148" s="7">
        <v>5.4669999999999996</v>
      </c>
      <c r="BA148" s="7">
        <v>0</v>
      </c>
      <c r="BB148" s="7">
        <v>43.154000000000003</v>
      </c>
      <c r="BC148" s="7">
        <v>0</v>
      </c>
      <c r="BD148" s="7">
        <v>0</v>
      </c>
      <c r="BE148" s="7">
        <v>1168.6489999999999</v>
      </c>
      <c r="BF148" s="21"/>
    </row>
    <row r="149" spans="1:58" ht="15.75" x14ac:dyDescent="0.25">
      <c r="A149" s="5" t="s">
        <v>285</v>
      </c>
      <c r="B149" s="5" t="s">
        <v>286</v>
      </c>
      <c r="C149" s="7">
        <v>6</v>
      </c>
      <c r="D149" s="7">
        <v>6</v>
      </c>
      <c r="E149" s="7">
        <v>185324.12599999999</v>
      </c>
      <c r="F149" s="7">
        <v>50353.033000000003</v>
      </c>
      <c r="G149" s="7">
        <v>578.37300000000005</v>
      </c>
      <c r="H149" s="7">
        <v>946.87800000000004</v>
      </c>
      <c r="I149" s="7">
        <v>3122.2159999999999</v>
      </c>
      <c r="J149" s="7">
        <v>1402.81</v>
      </c>
      <c r="K149" s="7">
        <v>271780.77</v>
      </c>
      <c r="L149" s="7">
        <v>23088.671999999999</v>
      </c>
      <c r="M149" s="7">
        <v>0</v>
      </c>
      <c r="N149" s="7">
        <v>32809.396999999997</v>
      </c>
      <c r="O149" s="7">
        <v>629319.74</v>
      </c>
      <c r="P149" s="7">
        <v>41221.834000000003</v>
      </c>
      <c r="Q149" s="7">
        <v>0</v>
      </c>
      <c r="R149" s="7">
        <v>1908.146</v>
      </c>
      <c r="S149" s="7">
        <v>0.378</v>
      </c>
      <c r="T149" s="7">
        <v>2347.1480000000001</v>
      </c>
      <c r="U149" s="7">
        <v>672.77599999999995</v>
      </c>
      <c r="V149" s="7">
        <v>15082.085999999999</v>
      </c>
      <c r="W149" s="7">
        <v>0</v>
      </c>
      <c r="X149" s="7">
        <v>31582.518</v>
      </c>
      <c r="Y149" s="7">
        <v>0</v>
      </c>
      <c r="Z149" s="7">
        <v>86.995000000000005</v>
      </c>
      <c r="AA149" s="7">
        <v>5147.29</v>
      </c>
      <c r="AB149" s="7">
        <v>73780.687000000005</v>
      </c>
      <c r="AC149" s="7">
        <v>108244.804</v>
      </c>
      <c r="AD149" s="7">
        <v>21766.567999999999</v>
      </c>
      <c r="AE149" s="7">
        <v>2502.9859999999999</v>
      </c>
      <c r="AF149" s="7">
        <v>59918.735000000001</v>
      </c>
      <c r="AG149" s="7">
        <v>8242.3259999999991</v>
      </c>
      <c r="AH149" s="7">
        <v>4994.6899999999996</v>
      </c>
      <c r="AI149" s="7">
        <v>260321.851</v>
      </c>
      <c r="AJ149" s="7">
        <v>126904.63099999999</v>
      </c>
      <c r="AK149" s="7">
        <v>18392.484</v>
      </c>
      <c r="AL149" s="7">
        <v>816852.39599999995</v>
      </c>
      <c r="AM149" s="7">
        <v>244285.13699999999</v>
      </c>
      <c r="AN149" s="7">
        <v>135574.33900000001</v>
      </c>
      <c r="AO149" s="7">
        <v>888825.09400000004</v>
      </c>
      <c r="AP149" s="7">
        <v>78582.107000000004</v>
      </c>
      <c r="AQ149" s="7">
        <v>38524.696000000004</v>
      </c>
      <c r="AR149" s="7">
        <v>568604.478</v>
      </c>
      <c r="AS149" s="7">
        <v>0</v>
      </c>
      <c r="AT149" s="7">
        <v>272055.86099999998</v>
      </c>
      <c r="AU149" s="7">
        <v>621.33100000000002</v>
      </c>
      <c r="AV149" s="7">
        <v>2355.3780000000002</v>
      </c>
      <c r="AW149" s="7">
        <v>0</v>
      </c>
      <c r="AX149" s="7">
        <v>36231.385999999999</v>
      </c>
      <c r="AY149" s="7">
        <v>0</v>
      </c>
      <c r="AZ149" s="7">
        <v>147.27699999999999</v>
      </c>
      <c r="BA149" s="7">
        <v>0</v>
      </c>
      <c r="BB149" s="7">
        <v>1143.769</v>
      </c>
      <c r="BC149" s="7">
        <v>0</v>
      </c>
      <c r="BD149" s="7">
        <v>0</v>
      </c>
      <c r="BE149" s="7">
        <v>32903.576999999997</v>
      </c>
      <c r="BF149" s="21"/>
    </row>
    <row r="150" spans="1:58" ht="15.75" x14ac:dyDescent="0.25">
      <c r="A150" s="5" t="s">
        <v>287</v>
      </c>
      <c r="B150" s="5" t="s">
        <v>288</v>
      </c>
      <c r="C150" s="7">
        <v>6</v>
      </c>
      <c r="D150" s="7">
        <v>6</v>
      </c>
      <c r="E150" s="7">
        <v>19050.065999999999</v>
      </c>
      <c r="F150" s="7">
        <v>3016.6170000000002</v>
      </c>
      <c r="G150" s="7">
        <v>5402.1530000000002</v>
      </c>
      <c r="H150" s="7">
        <v>0</v>
      </c>
      <c r="I150" s="7">
        <v>651.15</v>
      </c>
      <c r="J150" s="7">
        <v>3322.4850000000001</v>
      </c>
      <c r="K150" s="7">
        <v>13869.218000000001</v>
      </c>
      <c r="L150" s="7">
        <v>3512.5529999999999</v>
      </c>
      <c r="M150" s="7">
        <v>0</v>
      </c>
      <c r="N150" s="7">
        <v>10934.195</v>
      </c>
      <c r="O150" s="7">
        <v>18227.475999999999</v>
      </c>
      <c r="P150" s="7">
        <v>10751.987999999999</v>
      </c>
      <c r="Q150" s="7">
        <v>0</v>
      </c>
      <c r="R150" s="7">
        <v>0</v>
      </c>
      <c r="S150" s="7">
        <v>75.894999999999996</v>
      </c>
      <c r="T150" s="7">
        <v>0</v>
      </c>
      <c r="U150" s="7">
        <v>2.1379999999999999</v>
      </c>
      <c r="V150" s="7">
        <v>652.96699999999998</v>
      </c>
      <c r="W150" s="7">
        <v>0</v>
      </c>
      <c r="X150" s="7">
        <v>0</v>
      </c>
      <c r="Y150" s="7">
        <v>0</v>
      </c>
      <c r="Z150" s="7">
        <v>418.94299999999998</v>
      </c>
      <c r="AA150" s="7">
        <v>1165.951</v>
      </c>
      <c r="AB150" s="7">
        <v>0</v>
      </c>
      <c r="AC150" s="7">
        <v>6284.4080000000004</v>
      </c>
      <c r="AD150" s="7">
        <v>0</v>
      </c>
      <c r="AE150" s="7">
        <v>3405.7979999999998</v>
      </c>
      <c r="AF150" s="7">
        <v>0</v>
      </c>
      <c r="AG150" s="7">
        <v>509.673</v>
      </c>
      <c r="AH150" s="7">
        <v>0</v>
      </c>
      <c r="AI150" s="7">
        <v>16544.311000000002</v>
      </c>
      <c r="AJ150" s="7">
        <v>0</v>
      </c>
      <c r="AK150" s="7">
        <v>0</v>
      </c>
      <c r="AL150" s="7">
        <v>33387.116000000002</v>
      </c>
      <c r="AM150" s="7">
        <v>0</v>
      </c>
      <c r="AN150" s="7">
        <v>0</v>
      </c>
      <c r="AO150" s="7">
        <v>0</v>
      </c>
      <c r="AP150" s="7">
        <v>0</v>
      </c>
      <c r="AQ150" s="7">
        <v>0</v>
      </c>
      <c r="AR150" s="7">
        <v>0</v>
      </c>
      <c r="AS150" s="7">
        <v>0</v>
      </c>
      <c r="AT150" s="7">
        <v>0</v>
      </c>
      <c r="AU150" s="7">
        <v>9.8469999999999995</v>
      </c>
      <c r="AV150" s="7">
        <v>0</v>
      </c>
      <c r="AW150" s="7">
        <v>0</v>
      </c>
      <c r="AX150" s="7">
        <v>0</v>
      </c>
      <c r="AY150" s="7">
        <v>0</v>
      </c>
      <c r="AZ150" s="7">
        <v>6.0019999999999998</v>
      </c>
      <c r="BA150" s="7">
        <v>0</v>
      </c>
      <c r="BB150" s="7">
        <v>178.04300000000001</v>
      </c>
      <c r="BC150" s="7">
        <v>0</v>
      </c>
      <c r="BD150" s="7">
        <v>0</v>
      </c>
      <c r="BE150" s="7">
        <v>0</v>
      </c>
      <c r="BF150" s="21"/>
    </row>
    <row r="151" spans="1:58" ht="15.75" x14ac:dyDescent="0.25">
      <c r="A151" s="5" t="s">
        <v>289</v>
      </c>
      <c r="B151" s="5" t="s">
        <v>290</v>
      </c>
      <c r="C151" s="7">
        <v>6</v>
      </c>
      <c r="D151" s="7">
        <v>6</v>
      </c>
      <c r="E151" s="7">
        <v>-172130.601</v>
      </c>
      <c r="F151" s="7">
        <v>-44654.355000000003</v>
      </c>
      <c r="G151" s="7">
        <v>-5734.1689999999999</v>
      </c>
      <c r="H151" s="7">
        <v>-554.61300000000006</v>
      </c>
      <c r="I151" s="7">
        <v>-3187.3780000000002</v>
      </c>
      <c r="J151" s="7">
        <v>-4138.2030000000004</v>
      </c>
      <c r="K151" s="7">
        <v>-240592.88</v>
      </c>
      <c r="L151" s="7">
        <v>-22457.151999999998</v>
      </c>
      <c r="M151" s="7">
        <v>0</v>
      </c>
      <c r="N151" s="7">
        <v>-36995.498</v>
      </c>
      <c r="O151" s="7">
        <v>-541292.103</v>
      </c>
      <c r="P151" s="7">
        <v>-43830.321000000004</v>
      </c>
      <c r="Q151" s="7">
        <v>0</v>
      </c>
      <c r="R151" s="7">
        <v>-1031.0530000000001</v>
      </c>
      <c r="S151" s="7">
        <v>-76.991</v>
      </c>
      <c r="T151" s="7">
        <v>-1349.153</v>
      </c>
      <c r="U151" s="7">
        <v>-622.09</v>
      </c>
      <c r="V151" s="7">
        <v>-13071.449000000001</v>
      </c>
      <c r="W151" s="7">
        <v>0</v>
      </c>
      <c r="X151" s="7">
        <v>-15239.736000000001</v>
      </c>
      <c r="Y151" s="7">
        <v>0</v>
      </c>
      <c r="Z151" s="7">
        <v>-469.18900000000002</v>
      </c>
      <c r="AA151" s="7">
        <v>-5372.9359999999997</v>
      </c>
      <c r="AB151" s="7">
        <v>-33781.061000000002</v>
      </c>
      <c r="AC151" s="7">
        <v>-96494.032999999996</v>
      </c>
      <c r="AD151" s="7">
        <v>-19258.82</v>
      </c>
      <c r="AE151" s="7">
        <v>-4870.5460000000003</v>
      </c>
      <c r="AF151" s="7">
        <v>-27060.956999999999</v>
      </c>
      <c r="AG151" s="7">
        <v>-7321.1989999999996</v>
      </c>
      <c r="AH151" s="7">
        <v>-4445.3689999999997</v>
      </c>
      <c r="AI151" s="7">
        <v>-234467.149</v>
      </c>
      <c r="AJ151" s="7">
        <v>-106132.038</v>
      </c>
      <c r="AK151" s="7">
        <v>-16213.035</v>
      </c>
      <c r="AL151" s="7">
        <v>-710551.93700000003</v>
      </c>
      <c r="AM151" s="7">
        <v>-204241.61</v>
      </c>
      <c r="AN151" s="7">
        <v>-119591.993</v>
      </c>
      <c r="AO151" s="7">
        <v>-741410.26500000001</v>
      </c>
      <c r="AP151" s="7">
        <v>-40622.982000000004</v>
      </c>
      <c r="AQ151" s="7">
        <v>-22870.38</v>
      </c>
      <c r="AR151" s="7">
        <v>-474299.386</v>
      </c>
      <c r="AS151" s="7">
        <v>0</v>
      </c>
      <c r="AT151" s="7">
        <v>-226934.421</v>
      </c>
      <c r="AU151" s="7">
        <v>-522.798</v>
      </c>
      <c r="AV151" s="7">
        <v>-1305.0050000000001</v>
      </c>
      <c r="AW151" s="7">
        <v>0</v>
      </c>
      <c r="AX151" s="7">
        <v>-30319.433000000001</v>
      </c>
      <c r="AY151" s="7">
        <v>0</v>
      </c>
      <c r="AZ151" s="7">
        <v>-128.45699999999999</v>
      </c>
      <c r="BA151" s="7">
        <v>0</v>
      </c>
      <c r="BB151" s="7">
        <v>-1132.1479999999999</v>
      </c>
      <c r="BC151" s="7">
        <v>0</v>
      </c>
      <c r="BD151" s="7">
        <v>0</v>
      </c>
      <c r="BE151" s="7">
        <v>-27144.415000000001</v>
      </c>
      <c r="BF151" s="21"/>
    </row>
    <row r="152" spans="1:58" ht="15.75" x14ac:dyDescent="0.25">
      <c r="A152" s="5" t="s">
        <v>291</v>
      </c>
      <c r="B152" s="5" t="s">
        <v>292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21"/>
    </row>
    <row r="153" spans="1:58" ht="15.75" x14ac:dyDescent="0.25">
      <c r="A153" s="5" t="s">
        <v>293</v>
      </c>
      <c r="B153" s="5" t="s">
        <v>294</v>
      </c>
      <c r="C153" s="7">
        <v>4</v>
      </c>
      <c r="D153" s="7">
        <v>4</v>
      </c>
      <c r="E153" s="7">
        <v>17763.501</v>
      </c>
      <c r="F153" s="7">
        <v>5351.3</v>
      </c>
      <c r="G153" s="7">
        <v>31.67</v>
      </c>
      <c r="H153" s="7">
        <v>0</v>
      </c>
      <c r="I153" s="7">
        <v>348.988</v>
      </c>
      <c r="J153" s="7">
        <v>27.369</v>
      </c>
      <c r="K153" s="7">
        <v>25701.245999999999</v>
      </c>
      <c r="L153" s="7">
        <v>1541.21</v>
      </c>
      <c r="M153" s="7">
        <v>0</v>
      </c>
      <c r="N153" s="7">
        <v>2982.7370000000001</v>
      </c>
      <c r="O153" s="7">
        <v>67452.600000000006</v>
      </c>
      <c r="P153" s="7">
        <v>3463.1619999999998</v>
      </c>
      <c r="Q153" s="7">
        <v>0</v>
      </c>
      <c r="R153" s="7">
        <v>0</v>
      </c>
      <c r="S153" s="7">
        <v>2.778</v>
      </c>
      <c r="T153" s="7">
        <v>0</v>
      </c>
      <c r="U153" s="7">
        <v>0</v>
      </c>
      <c r="V153" s="7">
        <v>1616.231</v>
      </c>
      <c r="W153" s="7">
        <v>0</v>
      </c>
      <c r="X153" s="7">
        <v>0</v>
      </c>
      <c r="Y153" s="7">
        <v>0</v>
      </c>
      <c r="Z153" s="7">
        <v>0</v>
      </c>
      <c r="AA153" s="7">
        <v>478.89600000000002</v>
      </c>
      <c r="AB153" s="7">
        <v>0</v>
      </c>
      <c r="AC153" s="7">
        <v>10004.808000000001</v>
      </c>
      <c r="AD153" s="7">
        <v>0</v>
      </c>
      <c r="AE153" s="7">
        <v>0</v>
      </c>
      <c r="AF153" s="7">
        <v>0</v>
      </c>
      <c r="AG153" s="7">
        <v>851.36599999999999</v>
      </c>
      <c r="AH153" s="7">
        <v>0</v>
      </c>
      <c r="AI153" s="7">
        <v>24406.745999999999</v>
      </c>
      <c r="AJ153" s="7">
        <v>12289.657999999999</v>
      </c>
      <c r="AK153" s="7">
        <v>0</v>
      </c>
      <c r="AL153" s="7">
        <v>84710.85</v>
      </c>
      <c r="AM153" s="7">
        <v>24461.823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34.542999999999999</v>
      </c>
      <c r="AV153" s="7">
        <v>0</v>
      </c>
      <c r="AW153" s="7">
        <v>0</v>
      </c>
      <c r="AX153" s="7">
        <v>3271.7269999999999</v>
      </c>
      <c r="AY153" s="7">
        <v>0</v>
      </c>
      <c r="AZ153" s="7">
        <v>14.507999999999999</v>
      </c>
      <c r="BA153" s="7">
        <v>0</v>
      </c>
      <c r="BB153" s="7">
        <v>117.44499999999999</v>
      </c>
      <c r="BC153" s="7">
        <v>0</v>
      </c>
      <c r="BD153" s="7">
        <v>0</v>
      </c>
      <c r="BE153" s="7">
        <v>0</v>
      </c>
      <c r="BF153" s="21"/>
    </row>
    <row r="154" spans="1:58" ht="15.75" x14ac:dyDescent="0.25">
      <c r="A154" s="5" t="s">
        <v>295</v>
      </c>
      <c r="B154" s="5" t="s">
        <v>296</v>
      </c>
      <c r="C154" s="7">
        <v>4</v>
      </c>
      <c r="D154" s="7">
        <v>4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0</v>
      </c>
      <c r="W154" s="7">
        <v>0</v>
      </c>
      <c r="X154" s="7">
        <v>0</v>
      </c>
      <c r="Y154" s="7">
        <v>0</v>
      </c>
      <c r="Z154" s="7">
        <v>0</v>
      </c>
      <c r="AA154" s="7">
        <v>0</v>
      </c>
      <c r="AB154" s="7">
        <v>0</v>
      </c>
      <c r="AC154" s="7">
        <v>0</v>
      </c>
      <c r="AD154" s="7">
        <v>0</v>
      </c>
      <c r="AE154" s="7">
        <v>0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7">
        <v>0</v>
      </c>
      <c r="AS154" s="7">
        <v>0</v>
      </c>
      <c r="AT154" s="7">
        <v>0</v>
      </c>
      <c r="AU154" s="7">
        <v>0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0</v>
      </c>
      <c r="BC154" s="7">
        <v>0</v>
      </c>
      <c r="BD154" s="7">
        <v>0</v>
      </c>
      <c r="BE154" s="7">
        <v>0</v>
      </c>
      <c r="BF154" s="21"/>
    </row>
    <row r="155" spans="1:58" ht="15.75" x14ac:dyDescent="0.25">
      <c r="A155" s="5" t="s">
        <v>297</v>
      </c>
      <c r="B155" s="5" t="s">
        <v>298</v>
      </c>
      <c r="C155" s="7">
        <v>4</v>
      </c>
      <c r="D155" s="7">
        <v>4</v>
      </c>
      <c r="E155" s="7">
        <v>0</v>
      </c>
      <c r="F155" s="7">
        <v>0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0</v>
      </c>
      <c r="V155" s="7">
        <v>0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0</v>
      </c>
      <c r="AP155" s="7">
        <v>0</v>
      </c>
      <c r="AQ155" s="7">
        <v>0</v>
      </c>
      <c r="AR155" s="7">
        <v>0</v>
      </c>
      <c r="AS155" s="7">
        <v>0</v>
      </c>
      <c r="AT155" s="7">
        <v>0</v>
      </c>
      <c r="AU155" s="7">
        <v>0</v>
      </c>
      <c r="AV155" s="7">
        <v>0</v>
      </c>
      <c r="AW155" s="7">
        <v>0</v>
      </c>
      <c r="AX155" s="7">
        <v>0</v>
      </c>
      <c r="AY155" s="7">
        <v>0</v>
      </c>
      <c r="AZ155" s="7">
        <v>0</v>
      </c>
      <c r="BA155" s="7">
        <v>0</v>
      </c>
      <c r="BB155" s="7">
        <v>0</v>
      </c>
      <c r="BC155" s="7">
        <v>0</v>
      </c>
      <c r="BD155" s="7">
        <v>0</v>
      </c>
      <c r="BE155" s="7">
        <v>0</v>
      </c>
      <c r="BF155" s="21"/>
    </row>
    <row r="156" spans="1:58" ht="15.75" x14ac:dyDescent="0.25">
      <c r="A156" s="5" t="s">
        <v>299</v>
      </c>
      <c r="B156" s="5" t="s">
        <v>300</v>
      </c>
      <c r="C156" s="7">
        <v>4</v>
      </c>
      <c r="D156" s="7">
        <v>4</v>
      </c>
      <c r="E156" s="7">
        <v>0</v>
      </c>
      <c r="F156" s="7">
        <v>0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0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0</v>
      </c>
      <c r="W156" s="7">
        <v>0</v>
      </c>
      <c r="X156" s="7">
        <v>0</v>
      </c>
      <c r="Y156" s="7">
        <v>0</v>
      </c>
      <c r="Z156" s="7">
        <v>0</v>
      </c>
      <c r="AA156" s="7">
        <v>0</v>
      </c>
      <c r="AB156" s="7">
        <v>0</v>
      </c>
      <c r="AC156" s="7">
        <v>0</v>
      </c>
      <c r="AD156" s="7">
        <v>0</v>
      </c>
      <c r="AE156" s="7">
        <v>0</v>
      </c>
      <c r="AF156" s="7">
        <v>0</v>
      </c>
      <c r="AG156" s="7">
        <v>0</v>
      </c>
      <c r="AH156" s="7">
        <v>0</v>
      </c>
      <c r="AI156" s="7">
        <v>0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0</v>
      </c>
      <c r="AP156" s="7">
        <v>0</v>
      </c>
      <c r="AQ156" s="7">
        <v>0</v>
      </c>
      <c r="AR156" s="7">
        <v>0</v>
      </c>
      <c r="AS156" s="7">
        <v>0</v>
      </c>
      <c r="AT156" s="7">
        <v>0</v>
      </c>
      <c r="AU156" s="7">
        <v>0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0</v>
      </c>
      <c r="BC156" s="7">
        <v>0</v>
      </c>
      <c r="BD156" s="7">
        <v>0</v>
      </c>
      <c r="BE156" s="7">
        <v>0</v>
      </c>
      <c r="BF156" s="21"/>
    </row>
    <row r="157" spans="1:58" ht="15.75" x14ac:dyDescent="0.25">
      <c r="A157" s="5" t="s">
        <v>301</v>
      </c>
      <c r="B157" s="5" t="s">
        <v>302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21"/>
    </row>
    <row r="158" spans="1:58" ht="15.75" x14ac:dyDescent="0.25">
      <c r="A158" s="5" t="s">
        <v>303</v>
      </c>
      <c r="B158" s="5" t="s">
        <v>304</v>
      </c>
      <c r="C158" s="7">
        <v>4</v>
      </c>
      <c r="D158" s="7">
        <v>4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>
        <v>0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21"/>
    </row>
    <row r="159" spans="1:58" ht="15.75" x14ac:dyDescent="0.25">
      <c r="A159" s="5" t="s">
        <v>305</v>
      </c>
      <c r="B159" s="5" t="s">
        <v>306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21"/>
    </row>
    <row r="160" spans="1:58" ht="15.75" x14ac:dyDescent="0.25">
      <c r="A160" s="5" t="s">
        <v>307</v>
      </c>
      <c r="B160" s="5" t="s">
        <v>308</v>
      </c>
      <c r="C160" s="7">
        <v>4</v>
      </c>
      <c r="D160" s="7">
        <v>4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0</v>
      </c>
      <c r="W160" s="7">
        <v>0</v>
      </c>
      <c r="X160" s="7">
        <v>0</v>
      </c>
      <c r="Y160" s="7">
        <v>0</v>
      </c>
      <c r="Z160" s="7">
        <v>0</v>
      </c>
      <c r="AA160" s="7">
        <v>0</v>
      </c>
      <c r="AB160" s="7">
        <v>0</v>
      </c>
      <c r="AC160" s="7">
        <v>0</v>
      </c>
      <c r="AD160" s="7">
        <v>0</v>
      </c>
      <c r="AE160" s="7">
        <v>0</v>
      </c>
      <c r="AF160" s="7">
        <v>0</v>
      </c>
      <c r="AG160" s="7">
        <v>0</v>
      </c>
      <c r="AH160" s="7">
        <v>0</v>
      </c>
      <c r="AI160" s="7">
        <v>0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7">
        <v>0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0</v>
      </c>
      <c r="BC160" s="7">
        <v>0</v>
      </c>
      <c r="BD160" s="7">
        <v>0</v>
      </c>
      <c r="BE160" s="7">
        <v>0</v>
      </c>
      <c r="BF160" s="21"/>
    </row>
    <row r="161" spans="1:58" ht="15.75" x14ac:dyDescent="0.25">
      <c r="A161" s="5" t="s">
        <v>293</v>
      </c>
      <c r="B161" s="5" t="s">
        <v>309</v>
      </c>
      <c r="C161" s="7">
        <v>6</v>
      </c>
      <c r="D161" s="7">
        <v>6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21"/>
    </row>
    <row r="162" spans="1:58" ht="15.75" x14ac:dyDescent="0.25">
      <c r="A162" s="5" t="s">
        <v>310</v>
      </c>
      <c r="B162" s="5" t="s">
        <v>311</v>
      </c>
      <c r="C162" s="7">
        <v>6</v>
      </c>
      <c r="D162" s="7">
        <v>6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21"/>
    </row>
    <row r="163" spans="1:58" ht="15.75" x14ac:dyDescent="0.25">
      <c r="A163" s="5" t="s">
        <v>312</v>
      </c>
      <c r="B163" s="5" t="s">
        <v>313</v>
      </c>
      <c r="C163" s="7">
        <v>6</v>
      </c>
      <c r="D163" s="7">
        <v>6</v>
      </c>
      <c r="E163" s="7">
        <v>418.71199999999999</v>
      </c>
      <c r="F163" s="7">
        <v>122.15300000000001</v>
      </c>
      <c r="G163" s="7">
        <v>53.148000000000003</v>
      </c>
      <c r="H163" s="7">
        <v>2.7090000000000001</v>
      </c>
      <c r="I163" s="7">
        <v>14.688000000000001</v>
      </c>
      <c r="J163" s="7">
        <v>43.664000000000001</v>
      </c>
      <c r="K163" s="7">
        <v>658.61099999999999</v>
      </c>
      <c r="L163" s="7">
        <v>86.251000000000005</v>
      </c>
      <c r="M163" s="7">
        <v>0</v>
      </c>
      <c r="N163" s="7">
        <v>146.483</v>
      </c>
      <c r="O163" s="7">
        <v>1096.1079999999999</v>
      </c>
      <c r="P163" s="7">
        <v>202.251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37.341000000000001</v>
      </c>
      <c r="W163" s="7">
        <v>0</v>
      </c>
      <c r="X163" s="7">
        <v>0</v>
      </c>
      <c r="Y163" s="7">
        <v>0</v>
      </c>
      <c r="Z163" s="7">
        <v>5.1360000000000001</v>
      </c>
      <c r="AA163" s="7">
        <v>21.782</v>
      </c>
      <c r="AB163" s="7">
        <v>0</v>
      </c>
      <c r="AC163" s="7">
        <v>198.16399999999999</v>
      </c>
      <c r="AD163" s="7">
        <v>0</v>
      </c>
      <c r="AE163" s="7">
        <v>52.808999999999997</v>
      </c>
      <c r="AF163" s="7">
        <v>4.7E-2</v>
      </c>
      <c r="AG163" s="7">
        <v>18.695</v>
      </c>
      <c r="AH163" s="7">
        <v>0</v>
      </c>
      <c r="AI163" s="7">
        <v>479.72800000000001</v>
      </c>
      <c r="AJ163" s="7">
        <v>174.523</v>
      </c>
      <c r="AK163" s="7">
        <v>0</v>
      </c>
      <c r="AL163" s="7">
        <v>1593.819</v>
      </c>
      <c r="AM163" s="7">
        <v>335.78800000000001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1.276</v>
      </c>
      <c r="AV163" s="7">
        <v>0</v>
      </c>
      <c r="AW163" s="7">
        <v>0</v>
      </c>
      <c r="AX163" s="7">
        <v>49.863999999999997</v>
      </c>
      <c r="AY163" s="7">
        <v>0</v>
      </c>
      <c r="AZ163" s="7">
        <v>0.22500000000000001</v>
      </c>
      <c r="BA163" s="7">
        <v>0</v>
      </c>
      <c r="BB163" s="7">
        <v>1.5720000000000001</v>
      </c>
      <c r="BC163" s="7">
        <v>0</v>
      </c>
      <c r="BD163" s="7">
        <v>0</v>
      </c>
      <c r="BE163" s="7">
        <v>49.402000000000001</v>
      </c>
      <c r="BF163" s="21"/>
    </row>
    <row r="164" spans="1:58" ht="15.75" x14ac:dyDescent="0.25">
      <c r="A164" s="5" t="s">
        <v>297</v>
      </c>
      <c r="B164" s="5" t="s">
        <v>314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21"/>
    </row>
    <row r="165" spans="1:58" ht="15.75" x14ac:dyDescent="0.25">
      <c r="A165" s="5" t="s">
        <v>299</v>
      </c>
      <c r="B165" s="5" t="s">
        <v>315</v>
      </c>
      <c r="C165" s="7">
        <v>6</v>
      </c>
      <c r="D165" s="7">
        <v>6</v>
      </c>
      <c r="E165" s="7">
        <v>0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0</v>
      </c>
      <c r="V165" s="7">
        <v>0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0</v>
      </c>
      <c r="AP165" s="7">
        <v>0</v>
      </c>
      <c r="AQ165" s="7">
        <v>0</v>
      </c>
      <c r="AR165" s="7">
        <v>0</v>
      </c>
      <c r="AS165" s="7">
        <v>0</v>
      </c>
      <c r="AT165" s="7">
        <v>0</v>
      </c>
      <c r="AU165" s="7">
        <v>0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0</v>
      </c>
      <c r="BC165" s="7">
        <v>0</v>
      </c>
      <c r="BD165" s="7">
        <v>0</v>
      </c>
      <c r="BE165" s="7">
        <v>0</v>
      </c>
      <c r="BF165" s="21"/>
    </row>
    <row r="166" spans="1:58" ht="15.75" x14ac:dyDescent="0.25">
      <c r="A166" s="5" t="s">
        <v>301</v>
      </c>
      <c r="B166" s="5" t="s">
        <v>316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21"/>
    </row>
    <row r="167" spans="1:58" ht="15.75" x14ac:dyDescent="0.25">
      <c r="A167" s="5" t="s">
        <v>317</v>
      </c>
      <c r="B167" s="5" t="s">
        <v>318</v>
      </c>
      <c r="C167" s="7">
        <v>6</v>
      </c>
      <c r="D167" s="7">
        <v>6</v>
      </c>
      <c r="E167" s="7">
        <v>0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0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21"/>
    </row>
    <row r="168" spans="1:58" ht="15.75" x14ac:dyDescent="0.25">
      <c r="A168" s="5" t="s">
        <v>319</v>
      </c>
      <c r="B168" s="5" t="s">
        <v>320</v>
      </c>
      <c r="C168" s="7">
        <v>6</v>
      </c>
      <c r="D168" s="7">
        <v>6</v>
      </c>
      <c r="E168" s="7">
        <v>-367.84100000000001</v>
      </c>
      <c r="F168" s="7">
        <v>-106.53400000000001</v>
      </c>
      <c r="G168" s="7">
        <v>-42.457999999999998</v>
      </c>
      <c r="H168" s="7">
        <v>-2.4990000000000001</v>
      </c>
      <c r="I168" s="7">
        <v>-12.292999999999999</v>
      </c>
      <c r="J168" s="7">
        <v>-35.22</v>
      </c>
      <c r="K168" s="7">
        <v>-573.36500000000001</v>
      </c>
      <c r="L168" s="7">
        <v>-73.049000000000007</v>
      </c>
      <c r="M168" s="7">
        <v>0</v>
      </c>
      <c r="N168" s="7">
        <v>-123.377</v>
      </c>
      <c r="O168" s="7">
        <v>-987.30600000000004</v>
      </c>
      <c r="P168" s="7">
        <v>-169.274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-32.539000000000001</v>
      </c>
      <c r="W168" s="7">
        <v>0</v>
      </c>
      <c r="X168" s="7">
        <v>0</v>
      </c>
      <c r="Y168" s="7">
        <v>0</v>
      </c>
      <c r="Z168" s="7">
        <v>-4.1139999999999999</v>
      </c>
      <c r="AA168" s="7">
        <v>-18.318999999999999</v>
      </c>
      <c r="AB168" s="7">
        <v>0</v>
      </c>
      <c r="AC168" s="7">
        <v>-177.44200000000001</v>
      </c>
      <c r="AD168" s="7">
        <v>0</v>
      </c>
      <c r="AE168" s="7">
        <v>-42.892000000000003</v>
      </c>
      <c r="AF168" s="7">
        <v>-4.3999999999999997E-2</v>
      </c>
      <c r="AG168" s="7">
        <v>-16.41</v>
      </c>
      <c r="AH168" s="7">
        <v>0</v>
      </c>
      <c r="AI168" s="7">
        <v>-428.572</v>
      </c>
      <c r="AJ168" s="7">
        <v>-161.75</v>
      </c>
      <c r="AK168" s="7">
        <v>0</v>
      </c>
      <c r="AL168" s="7">
        <v>-1419.0039999999999</v>
      </c>
      <c r="AM168" s="7">
        <v>-311.21199999999999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-1.133</v>
      </c>
      <c r="AV168" s="7">
        <v>0</v>
      </c>
      <c r="AW168" s="7">
        <v>0</v>
      </c>
      <c r="AX168" s="7">
        <v>-46.213999999999999</v>
      </c>
      <c r="AY168" s="7">
        <v>0</v>
      </c>
      <c r="AZ168" s="7">
        <v>-0.20599999999999999</v>
      </c>
      <c r="BA168" s="7">
        <v>0</v>
      </c>
      <c r="BB168" s="7">
        <v>-1.456</v>
      </c>
      <c r="BC168" s="7">
        <v>0</v>
      </c>
      <c r="BD168" s="7">
        <v>0</v>
      </c>
      <c r="BE168" s="7">
        <v>-45.744</v>
      </c>
      <c r="BF168" s="21"/>
    </row>
    <row r="169" spans="1:58" ht="15.75" x14ac:dyDescent="0.25">
      <c r="A169" s="5" t="s">
        <v>305</v>
      </c>
      <c r="B169" s="5" t="s">
        <v>321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21"/>
    </row>
    <row r="170" spans="1:58" ht="15.75" x14ac:dyDescent="0.25">
      <c r="A170" s="5" t="s">
        <v>307</v>
      </c>
      <c r="B170" s="5" t="s">
        <v>322</v>
      </c>
      <c r="C170" s="7">
        <v>6</v>
      </c>
      <c r="D170" s="7">
        <v>6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0</v>
      </c>
      <c r="AB170" s="7">
        <v>0</v>
      </c>
      <c r="AC170" s="7">
        <v>0</v>
      </c>
      <c r="AD170" s="7">
        <v>0</v>
      </c>
      <c r="AE170" s="7">
        <v>0</v>
      </c>
      <c r="AF170" s="7">
        <v>0</v>
      </c>
      <c r="AG170" s="7">
        <v>0</v>
      </c>
      <c r="AH170" s="7">
        <v>0</v>
      </c>
      <c r="AI170" s="7">
        <v>0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0</v>
      </c>
      <c r="AP170" s="7">
        <v>0</v>
      </c>
      <c r="AQ170" s="7">
        <v>0</v>
      </c>
      <c r="AR170" s="7">
        <v>0</v>
      </c>
      <c r="AS170" s="7">
        <v>0</v>
      </c>
      <c r="AT170" s="7">
        <v>0</v>
      </c>
      <c r="AU170" s="7">
        <v>0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0</v>
      </c>
      <c r="BC170" s="7">
        <v>0</v>
      </c>
      <c r="BD170" s="7">
        <v>0</v>
      </c>
      <c r="BE170" s="7">
        <v>0</v>
      </c>
      <c r="BF170" s="21"/>
    </row>
    <row r="171" spans="1:58" ht="15.75" x14ac:dyDescent="0.25">
      <c r="A171" s="5" t="s">
        <v>323</v>
      </c>
      <c r="B171" s="5" t="s">
        <v>324</v>
      </c>
      <c r="C171" s="7">
        <v>4</v>
      </c>
      <c r="D171" s="7">
        <v>4</v>
      </c>
      <c r="E171" s="7">
        <v>6741.7709999999997</v>
      </c>
      <c r="F171" s="7">
        <v>1906.3710000000001</v>
      </c>
      <c r="G171" s="7">
        <v>4.1050000000000004</v>
      </c>
      <c r="H171" s="7">
        <v>0</v>
      </c>
      <c r="I171" s="7">
        <v>115.977</v>
      </c>
      <c r="J171" s="7">
        <v>3.548</v>
      </c>
      <c r="K171" s="7">
        <v>10064.132</v>
      </c>
      <c r="L171" s="7">
        <v>739.99800000000005</v>
      </c>
      <c r="M171" s="7">
        <v>0</v>
      </c>
      <c r="N171" s="7">
        <v>1075.2139999999999</v>
      </c>
      <c r="O171" s="7">
        <v>24162.651000000002</v>
      </c>
      <c r="P171" s="7">
        <v>1342.634</v>
      </c>
      <c r="Q171" s="7">
        <v>0</v>
      </c>
      <c r="R171" s="7">
        <v>0</v>
      </c>
      <c r="S171" s="7">
        <v>0.36</v>
      </c>
      <c r="T171" s="7">
        <v>0</v>
      </c>
      <c r="U171" s="7">
        <v>0</v>
      </c>
      <c r="V171" s="7">
        <v>568.29399999999998</v>
      </c>
      <c r="W171" s="7">
        <v>0</v>
      </c>
      <c r="X171" s="7">
        <v>0</v>
      </c>
      <c r="Y171" s="7">
        <v>0</v>
      </c>
      <c r="Z171" s="7">
        <v>0</v>
      </c>
      <c r="AA171" s="7">
        <v>181.03100000000001</v>
      </c>
      <c r="AB171" s="7">
        <v>0</v>
      </c>
      <c r="AC171" s="7">
        <v>3930.5320000000002</v>
      </c>
      <c r="AD171" s="7">
        <v>0</v>
      </c>
      <c r="AE171" s="7">
        <v>0</v>
      </c>
      <c r="AF171" s="7">
        <v>0.84299999999999997</v>
      </c>
      <c r="AG171" s="7">
        <v>308.024</v>
      </c>
      <c r="AH171" s="7">
        <v>0</v>
      </c>
      <c r="AI171" s="7">
        <v>9588.1200000000008</v>
      </c>
      <c r="AJ171" s="7">
        <v>4754.5680000000002</v>
      </c>
      <c r="AK171" s="7">
        <v>0</v>
      </c>
      <c r="AL171" s="7">
        <v>30966.775000000001</v>
      </c>
      <c r="AM171" s="7">
        <v>9246.9959999999992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19.068000000000001</v>
      </c>
      <c r="AV171" s="7">
        <v>0</v>
      </c>
      <c r="AW171" s="7">
        <v>0</v>
      </c>
      <c r="AX171" s="7">
        <v>1322.499</v>
      </c>
      <c r="AY171" s="7">
        <v>0</v>
      </c>
      <c r="AZ171" s="7">
        <v>5.452</v>
      </c>
      <c r="BA171" s="7">
        <v>0</v>
      </c>
      <c r="BB171" s="7">
        <v>43.402000000000001</v>
      </c>
      <c r="BC171" s="7">
        <v>0</v>
      </c>
      <c r="BD171" s="7">
        <v>0</v>
      </c>
      <c r="BE171" s="7">
        <v>763.178</v>
      </c>
      <c r="BF171" s="21"/>
    </row>
    <row r="172" spans="1:58" ht="15.75" x14ac:dyDescent="0.25">
      <c r="A172" s="5" t="s">
        <v>325</v>
      </c>
      <c r="B172" s="5" t="s">
        <v>326</v>
      </c>
      <c r="C172" s="7">
        <v>4</v>
      </c>
      <c r="D172" s="7">
        <v>4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21"/>
    </row>
    <row r="173" spans="1:58" ht="15.75" x14ac:dyDescent="0.25">
      <c r="A173" s="5" t="s">
        <v>327</v>
      </c>
      <c r="B173" s="5" t="s">
        <v>328</v>
      </c>
      <c r="C173" s="7">
        <v>4</v>
      </c>
      <c r="D173" s="7">
        <v>4</v>
      </c>
      <c r="E173" s="7">
        <v>0</v>
      </c>
      <c r="F173" s="7">
        <v>0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0</v>
      </c>
      <c r="AP173" s="7">
        <v>0</v>
      </c>
      <c r="AQ173" s="7">
        <v>0</v>
      </c>
      <c r="AR173" s="7">
        <v>0</v>
      </c>
      <c r="AS173" s="7">
        <v>0</v>
      </c>
      <c r="AT173" s="7">
        <v>0</v>
      </c>
      <c r="AU173" s="7">
        <v>0</v>
      </c>
      <c r="AV173" s="7">
        <v>0</v>
      </c>
      <c r="AW173" s="7">
        <v>0</v>
      </c>
      <c r="AX173" s="7">
        <v>0</v>
      </c>
      <c r="AY173" s="7">
        <v>0</v>
      </c>
      <c r="AZ173" s="7">
        <v>0</v>
      </c>
      <c r="BA173" s="7">
        <v>0</v>
      </c>
      <c r="BB173" s="7">
        <v>0</v>
      </c>
      <c r="BC173" s="7">
        <v>0</v>
      </c>
      <c r="BD173" s="7">
        <v>0</v>
      </c>
      <c r="BE173" s="7">
        <v>0</v>
      </c>
      <c r="BF173" s="21"/>
    </row>
    <row r="174" spans="1:58" ht="15.75" x14ac:dyDescent="0.25">
      <c r="A174" s="5" t="s">
        <v>329</v>
      </c>
      <c r="B174" s="5" t="s">
        <v>330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21"/>
    </row>
    <row r="175" spans="1:58" ht="15.75" x14ac:dyDescent="0.25">
      <c r="A175" s="5" t="s">
        <v>331</v>
      </c>
      <c r="B175" s="5" t="s">
        <v>332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21"/>
    </row>
    <row r="176" spans="1:58" ht="15.75" x14ac:dyDescent="0.25">
      <c r="A176" s="5" t="s">
        <v>333</v>
      </c>
      <c r="B176" s="5" t="s">
        <v>334</v>
      </c>
      <c r="C176" s="7">
        <v>4</v>
      </c>
      <c r="D176" s="7">
        <v>4</v>
      </c>
      <c r="E176" s="7">
        <v>-4271.9139999999998</v>
      </c>
      <c r="F176" s="7">
        <v>-1207.9359999999999</v>
      </c>
      <c r="G176" s="7">
        <v>-2.5819999999999999</v>
      </c>
      <c r="H176" s="7">
        <v>0</v>
      </c>
      <c r="I176" s="7">
        <v>-73.396000000000001</v>
      </c>
      <c r="J176" s="7">
        <v>-2.23</v>
      </c>
      <c r="K176" s="7">
        <v>-6373.5929999999998</v>
      </c>
      <c r="L176" s="7">
        <v>-469.197</v>
      </c>
      <c r="M176" s="7">
        <v>0</v>
      </c>
      <c r="N176" s="7">
        <v>-678.96199999999999</v>
      </c>
      <c r="O176" s="7">
        <v>-15309.727000000001</v>
      </c>
      <c r="P176" s="7">
        <v>-849.45500000000004</v>
      </c>
      <c r="Q176" s="7">
        <v>0</v>
      </c>
      <c r="R176" s="7">
        <v>0</v>
      </c>
      <c r="S176" s="7">
        <v>-0.22600000000000001</v>
      </c>
      <c r="T176" s="7">
        <v>0</v>
      </c>
      <c r="U176" s="7">
        <v>0</v>
      </c>
      <c r="V176" s="7">
        <v>-360.10399999999998</v>
      </c>
      <c r="W176" s="7">
        <v>0</v>
      </c>
      <c r="X176" s="7">
        <v>0</v>
      </c>
      <c r="Y176" s="7">
        <v>0</v>
      </c>
      <c r="Z176" s="7">
        <v>0</v>
      </c>
      <c r="AA176" s="7">
        <v>-114.702</v>
      </c>
      <c r="AB176" s="7">
        <v>0</v>
      </c>
      <c r="AC176" s="7">
        <v>-2506.6010000000001</v>
      </c>
      <c r="AD176" s="7">
        <v>0</v>
      </c>
      <c r="AE176" s="7">
        <v>0</v>
      </c>
      <c r="AF176" s="7">
        <v>-0.54</v>
      </c>
      <c r="AG176" s="7">
        <v>-195.34100000000001</v>
      </c>
      <c r="AH176" s="7">
        <v>0</v>
      </c>
      <c r="AI176" s="7">
        <v>-6114.5860000000002</v>
      </c>
      <c r="AJ176" s="7">
        <v>-3017.4140000000002</v>
      </c>
      <c r="AK176" s="7">
        <v>0</v>
      </c>
      <c r="AL176" s="7">
        <v>-19550.347000000002</v>
      </c>
      <c r="AM176" s="7">
        <v>-5870.9870000000001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-12.185</v>
      </c>
      <c r="AV176" s="7">
        <v>0</v>
      </c>
      <c r="AW176" s="7">
        <v>0</v>
      </c>
      <c r="AX176" s="7">
        <v>-841.78099999999995</v>
      </c>
      <c r="AY176" s="7">
        <v>0</v>
      </c>
      <c r="AZ176" s="7">
        <v>-3.476</v>
      </c>
      <c r="BA176" s="7">
        <v>0</v>
      </c>
      <c r="BB176" s="7">
        <v>-27.658000000000001</v>
      </c>
      <c r="BC176" s="7">
        <v>0</v>
      </c>
      <c r="BD176" s="7">
        <v>0</v>
      </c>
      <c r="BE176" s="7">
        <v>-490.173</v>
      </c>
      <c r="BF176" s="21"/>
    </row>
    <row r="177" spans="1:58" ht="15.75" x14ac:dyDescent="0.25">
      <c r="A177" s="5" t="s">
        <v>335</v>
      </c>
      <c r="B177" s="5" t="s">
        <v>336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21"/>
    </row>
    <row r="178" spans="1:58" ht="15.75" x14ac:dyDescent="0.25">
      <c r="A178" s="5" t="s">
        <v>337</v>
      </c>
      <c r="B178" s="5" t="s">
        <v>338</v>
      </c>
      <c r="C178" s="7">
        <v>4</v>
      </c>
      <c r="D178" s="7">
        <v>4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0</v>
      </c>
      <c r="AB178" s="7">
        <v>0</v>
      </c>
      <c r="AC178" s="7">
        <v>0</v>
      </c>
      <c r="AD178" s="7">
        <v>0</v>
      </c>
      <c r="AE178" s="7">
        <v>0</v>
      </c>
      <c r="AF178" s="7">
        <v>0</v>
      </c>
      <c r="AG178" s="7">
        <v>0</v>
      </c>
      <c r="AH178" s="7">
        <v>0</v>
      </c>
      <c r="AI178" s="7">
        <v>0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0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7">
        <v>0</v>
      </c>
      <c r="AV178" s="7">
        <v>0</v>
      </c>
      <c r="AW178" s="7">
        <v>0</v>
      </c>
      <c r="AX178" s="7">
        <v>0</v>
      </c>
      <c r="AY178" s="7">
        <v>0</v>
      </c>
      <c r="AZ178" s="7">
        <v>0</v>
      </c>
      <c r="BA178" s="7">
        <v>0</v>
      </c>
      <c r="BB178" s="7">
        <v>0</v>
      </c>
      <c r="BC178" s="7">
        <v>0</v>
      </c>
      <c r="BD178" s="7">
        <v>0</v>
      </c>
      <c r="BE178" s="7">
        <v>0</v>
      </c>
      <c r="BF178" s="21"/>
    </row>
    <row r="179" spans="1:58" ht="15.75" x14ac:dyDescent="0.25">
      <c r="A179" s="5" t="s">
        <v>339</v>
      </c>
      <c r="B179" s="5" t="s">
        <v>340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21"/>
    </row>
    <row r="180" spans="1:58" ht="15.75" x14ac:dyDescent="0.25">
      <c r="A180" s="5" t="s">
        <v>341</v>
      </c>
      <c r="B180" s="5" t="s">
        <v>342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21"/>
    </row>
    <row r="181" spans="1:58" ht="15.75" x14ac:dyDescent="0.25">
      <c r="A181" s="5" t="s">
        <v>323</v>
      </c>
      <c r="B181" s="5" t="s">
        <v>343</v>
      </c>
      <c r="C181" s="7">
        <v>6</v>
      </c>
      <c r="D181" s="7">
        <v>6</v>
      </c>
      <c r="E181" s="7">
        <v>15.092000000000001</v>
      </c>
      <c r="F181" s="7">
        <v>4.5469999999999997</v>
      </c>
      <c r="G181" s="7">
        <v>2.7E-2</v>
      </c>
      <c r="H181" s="7">
        <v>0</v>
      </c>
      <c r="I181" s="7">
        <v>0.29699999999999999</v>
      </c>
      <c r="J181" s="7">
        <v>2.3E-2</v>
      </c>
      <c r="K181" s="7">
        <v>21.837</v>
      </c>
      <c r="L181" s="7">
        <v>1.3089999999999999</v>
      </c>
      <c r="M181" s="7">
        <v>0</v>
      </c>
      <c r="N181" s="7">
        <v>2.5339999999999998</v>
      </c>
      <c r="O181" s="7">
        <v>57.31</v>
      </c>
      <c r="P181" s="7">
        <v>2.9420000000000002</v>
      </c>
      <c r="Q181" s="7">
        <v>0</v>
      </c>
      <c r="R181" s="7">
        <v>0</v>
      </c>
      <c r="S181" s="7">
        <v>2E-3</v>
      </c>
      <c r="T181" s="7">
        <v>0</v>
      </c>
      <c r="U181" s="7">
        <v>0</v>
      </c>
      <c r="V181" s="7">
        <v>1.373</v>
      </c>
      <c r="W181" s="7">
        <v>0</v>
      </c>
      <c r="X181" s="7">
        <v>0</v>
      </c>
      <c r="Y181" s="7">
        <v>0</v>
      </c>
      <c r="Z181" s="7">
        <v>0</v>
      </c>
      <c r="AA181" s="7">
        <v>0.40699999999999997</v>
      </c>
      <c r="AB181" s="7">
        <v>0</v>
      </c>
      <c r="AC181" s="7">
        <v>8.5</v>
      </c>
      <c r="AD181" s="7">
        <v>0</v>
      </c>
      <c r="AE181" s="7">
        <v>0</v>
      </c>
      <c r="AF181" s="7">
        <v>0</v>
      </c>
      <c r="AG181" s="7">
        <v>0.72299999999999998</v>
      </c>
      <c r="AH181" s="7">
        <v>0</v>
      </c>
      <c r="AI181" s="7">
        <v>20.736999999999998</v>
      </c>
      <c r="AJ181" s="7">
        <v>10.442</v>
      </c>
      <c r="AK181" s="7">
        <v>0</v>
      </c>
      <c r="AL181" s="7">
        <v>71.972999999999999</v>
      </c>
      <c r="AM181" s="7">
        <v>20.783999999999999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2.9000000000000001E-2</v>
      </c>
      <c r="AV181" s="7">
        <v>0</v>
      </c>
      <c r="AW181" s="7">
        <v>0</v>
      </c>
      <c r="AX181" s="7">
        <v>2.78</v>
      </c>
      <c r="AY181" s="7">
        <v>0</v>
      </c>
      <c r="AZ181" s="7">
        <v>1.2E-2</v>
      </c>
      <c r="BA181" s="7">
        <v>0</v>
      </c>
      <c r="BB181" s="7">
        <v>0.1</v>
      </c>
      <c r="BC181" s="7">
        <v>0</v>
      </c>
      <c r="BD181" s="7">
        <v>0</v>
      </c>
      <c r="BE181" s="7">
        <v>0</v>
      </c>
      <c r="BF181" s="21"/>
    </row>
    <row r="182" spans="1:58" ht="15.75" x14ac:dyDescent="0.25">
      <c r="A182" s="5" t="s">
        <v>325</v>
      </c>
      <c r="B182" s="5" t="s">
        <v>344</v>
      </c>
      <c r="C182" s="7">
        <v>6</v>
      </c>
      <c r="D182" s="7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0</v>
      </c>
      <c r="AB182" s="7">
        <v>0</v>
      </c>
      <c r="AC182" s="7">
        <v>0</v>
      </c>
      <c r="AD182" s="7">
        <v>0</v>
      </c>
      <c r="AE182" s="7">
        <v>0</v>
      </c>
      <c r="AF182" s="7">
        <v>0</v>
      </c>
      <c r="AG182" s="7">
        <v>0</v>
      </c>
      <c r="AH182" s="7">
        <v>0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0</v>
      </c>
      <c r="AP182" s="7">
        <v>0</v>
      </c>
      <c r="AQ182" s="7">
        <v>0</v>
      </c>
      <c r="AR182" s="7">
        <v>0</v>
      </c>
      <c r="AS182" s="7">
        <v>0</v>
      </c>
      <c r="AT182" s="7">
        <v>0</v>
      </c>
      <c r="AU182" s="7">
        <v>0</v>
      </c>
      <c r="AV182" s="7">
        <v>0</v>
      </c>
      <c r="AW182" s="7">
        <v>0</v>
      </c>
      <c r="AX182" s="7">
        <v>0</v>
      </c>
      <c r="AY182" s="7">
        <v>0</v>
      </c>
      <c r="AZ182" s="7">
        <v>0</v>
      </c>
      <c r="BA182" s="7">
        <v>0</v>
      </c>
      <c r="BB182" s="7">
        <v>0</v>
      </c>
      <c r="BC182" s="7">
        <v>0</v>
      </c>
      <c r="BD182" s="7">
        <v>0</v>
      </c>
      <c r="BE182" s="7">
        <v>0</v>
      </c>
      <c r="BF182" s="21"/>
    </row>
    <row r="183" spans="1:58" ht="15.75" x14ac:dyDescent="0.25">
      <c r="A183" s="5" t="s">
        <v>327</v>
      </c>
      <c r="B183" s="5" t="s">
        <v>345</v>
      </c>
      <c r="C183" s="7">
        <v>6</v>
      </c>
      <c r="D183" s="7">
        <v>6</v>
      </c>
      <c r="E183" s="7">
        <v>0</v>
      </c>
      <c r="F183" s="7">
        <v>0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0</v>
      </c>
      <c r="AP183" s="7">
        <v>0</v>
      </c>
      <c r="AQ183" s="7">
        <v>0</v>
      </c>
      <c r="AR183" s="7">
        <v>0</v>
      </c>
      <c r="AS183" s="7">
        <v>0</v>
      </c>
      <c r="AT183" s="7">
        <v>0</v>
      </c>
      <c r="AU183" s="7">
        <v>0</v>
      </c>
      <c r="AV183" s="7">
        <v>0</v>
      </c>
      <c r="AW183" s="7">
        <v>0</v>
      </c>
      <c r="AX183" s="7">
        <v>0</v>
      </c>
      <c r="AY183" s="7">
        <v>0</v>
      </c>
      <c r="AZ183" s="7">
        <v>0</v>
      </c>
      <c r="BA183" s="7">
        <v>0</v>
      </c>
      <c r="BB183" s="7">
        <v>0</v>
      </c>
      <c r="BC183" s="7">
        <v>0</v>
      </c>
      <c r="BD183" s="7">
        <v>0</v>
      </c>
      <c r="BE183" s="7">
        <v>0</v>
      </c>
      <c r="BF183" s="21"/>
    </row>
    <row r="184" spans="1:58" ht="15.75" x14ac:dyDescent="0.25">
      <c r="A184" s="5" t="s">
        <v>329</v>
      </c>
      <c r="B184" s="5" t="s">
        <v>346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21"/>
    </row>
    <row r="185" spans="1:58" ht="15.75" x14ac:dyDescent="0.25">
      <c r="A185" s="5" t="s">
        <v>331</v>
      </c>
      <c r="B185" s="5" t="s">
        <v>347</v>
      </c>
      <c r="C185" s="7">
        <v>6</v>
      </c>
      <c r="D185" s="7">
        <v>6</v>
      </c>
      <c r="E185" s="7">
        <v>24.605</v>
      </c>
      <c r="F185" s="7">
        <v>7.4119999999999999</v>
      </c>
      <c r="G185" s="7">
        <v>4.3999999999999997E-2</v>
      </c>
      <c r="H185" s="7">
        <v>0</v>
      </c>
      <c r="I185" s="7">
        <v>0.48299999999999998</v>
      </c>
      <c r="J185" s="7">
        <v>3.7999999999999999E-2</v>
      </c>
      <c r="K185" s="7">
        <v>35.6</v>
      </c>
      <c r="L185" s="7">
        <v>2.1349999999999998</v>
      </c>
      <c r="M185" s="7">
        <v>0</v>
      </c>
      <c r="N185" s="7">
        <v>4.1319999999999997</v>
      </c>
      <c r="O185" s="7">
        <v>93.432000000000002</v>
      </c>
      <c r="P185" s="7">
        <v>4.7969999999999997</v>
      </c>
      <c r="Q185" s="7">
        <v>0</v>
      </c>
      <c r="R185" s="7">
        <v>0</v>
      </c>
      <c r="S185" s="7">
        <v>4.0000000000000001E-3</v>
      </c>
      <c r="T185" s="7">
        <v>0</v>
      </c>
      <c r="U185" s="7">
        <v>0</v>
      </c>
      <c r="V185" s="7">
        <v>2.2389999999999999</v>
      </c>
      <c r="W185" s="7">
        <v>0</v>
      </c>
      <c r="X185" s="7">
        <v>0</v>
      </c>
      <c r="Y185" s="7">
        <v>0</v>
      </c>
      <c r="Z185" s="7">
        <v>0</v>
      </c>
      <c r="AA185" s="7">
        <v>0.66300000000000003</v>
      </c>
      <c r="AB185" s="7">
        <v>0</v>
      </c>
      <c r="AC185" s="7">
        <v>13.858000000000001</v>
      </c>
      <c r="AD185" s="7">
        <v>0</v>
      </c>
      <c r="AE185" s="7">
        <v>0</v>
      </c>
      <c r="AF185" s="7">
        <v>0</v>
      </c>
      <c r="AG185" s="7">
        <v>1.179</v>
      </c>
      <c r="AH185" s="7">
        <v>0</v>
      </c>
      <c r="AI185" s="7">
        <v>33.807000000000002</v>
      </c>
      <c r="AJ185" s="7">
        <v>17.023</v>
      </c>
      <c r="AK185" s="7">
        <v>0</v>
      </c>
      <c r="AL185" s="7">
        <v>117.337</v>
      </c>
      <c r="AM185" s="7">
        <v>33.883000000000003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4.8000000000000001E-2</v>
      </c>
      <c r="AV185" s="7">
        <v>0</v>
      </c>
      <c r="AW185" s="7">
        <v>0</v>
      </c>
      <c r="AX185" s="7">
        <v>4.532</v>
      </c>
      <c r="AY185" s="7">
        <v>0</v>
      </c>
      <c r="AZ185" s="7">
        <v>0.02</v>
      </c>
      <c r="BA185" s="7">
        <v>0</v>
      </c>
      <c r="BB185" s="7">
        <v>0.16300000000000001</v>
      </c>
      <c r="BC185" s="7">
        <v>0</v>
      </c>
      <c r="BD185" s="7">
        <v>0</v>
      </c>
      <c r="BE185" s="7">
        <v>0</v>
      </c>
      <c r="BF185" s="21"/>
    </row>
    <row r="186" spans="1:58" ht="15.75" x14ac:dyDescent="0.25">
      <c r="A186" s="5" t="s">
        <v>333</v>
      </c>
      <c r="B186" s="5" t="s">
        <v>348</v>
      </c>
      <c r="C186" s="7">
        <v>6</v>
      </c>
      <c r="D186" s="7">
        <v>6</v>
      </c>
      <c r="E186" s="7">
        <v>-60.369</v>
      </c>
      <c r="F186" s="7">
        <v>-18.186</v>
      </c>
      <c r="G186" s="7">
        <v>-0.108</v>
      </c>
      <c r="H186" s="7">
        <v>0</v>
      </c>
      <c r="I186" s="7">
        <v>-1.1859999999999999</v>
      </c>
      <c r="J186" s="7">
        <v>-9.2999999999999999E-2</v>
      </c>
      <c r="K186" s="7">
        <v>-87.344999999999999</v>
      </c>
      <c r="L186" s="7">
        <v>-5.2380000000000004</v>
      </c>
      <c r="M186" s="7">
        <v>0</v>
      </c>
      <c r="N186" s="7">
        <v>-10.137</v>
      </c>
      <c r="O186" s="7">
        <v>-229.23699999999999</v>
      </c>
      <c r="P186" s="7">
        <v>-11.77</v>
      </c>
      <c r="Q186" s="7">
        <v>0</v>
      </c>
      <c r="R186" s="7">
        <v>0</v>
      </c>
      <c r="S186" s="7">
        <v>-8.9999999999999993E-3</v>
      </c>
      <c r="T186" s="7">
        <v>0</v>
      </c>
      <c r="U186" s="7">
        <v>0</v>
      </c>
      <c r="V186" s="7">
        <v>-5.4930000000000003</v>
      </c>
      <c r="W186" s="7">
        <v>0</v>
      </c>
      <c r="X186" s="7">
        <v>0</v>
      </c>
      <c r="Y186" s="7">
        <v>0</v>
      </c>
      <c r="Z186" s="7">
        <v>0</v>
      </c>
      <c r="AA186" s="7">
        <v>-1.6279999999999999</v>
      </c>
      <c r="AB186" s="7">
        <v>0</v>
      </c>
      <c r="AC186" s="7">
        <v>-34.000999999999998</v>
      </c>
      <c r="AD186" s="7">
        <v>0</v>
      </c>
      <c r="AE186" s="7">
        <v>0</v>
      </c>
      <c r="AF186" s="7">
        <v>0</v>
      </c>
      <c r="AG186" s="7">
        <v>-2.8929999999999998</v>
      </c>
      <c r="AH186" s="7">
        <v>0</v>
      </c>
      <c r="AI186" s="7">
        <v>-82.945999999999998</v>
      </c>
      <c r="AJ186" s="7">
        <v>-41.765999999999998</v>
      </c>
      <c r="AK186" s="7">
        <v>0</v>
      </c>
      <c r="AL186" s="7">
        <v>-287.88900000000001</v>
      </c>
      <c r="AM186" s="7">
        <v>-83.132999999999996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-0.11700000000000001</v>
      </c>
      <c r="AV186" s="7">
        <v>0</v>
      </c>
      <c r="AW186" s="7">
        <v>0</v>
      </c>
      <c r="AX186" s="7">
        <v>-11.119</v>
      </c>
      <c r="AY186" s="7">
        <v>0</v>
      </c>
      <c r="AZ186" s="7">
        <v>-4.9000000000000002E-2</v>
      </c>
      <c r="BA186" s="7">
        <v>0</v>
      </c>
      <c r="BB186" s="7">
        <v>-0.39900000000000002</v>
      </c>
      <c r="BC186" s="7">
        <v>0</v>
      </c>
      <c r="BD186" s="7">
        <v>0</v>
      </c>
      <c r="BE186" s="7">
        <v>0</v>
      </c>
      <c r="BF186" s="21"/>
    </row>
    <row r="187" spans="1:58" ht="15.75" x14ac:dyDescent="0.25">
      <c r="A187" s="5" t="s">
        <v>335</v>
      </c>
      <c r="B187" s="5" t="s">
        <v>349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21"/>
    </row>
    <row r="188" spans="1:58" ht="15.75" x14ac:dyDescent="0.25">
      <c r="A188" s="5" t="s">
        <v>337</v>
      </c>
      <c r="B188" s="5" t="s">
        <v>350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21"/>
    </row>
    <row r="189" spans="1:58" ht="15.75" x14ac:dyDescent="0.25">
      <c r="A189" s="5" t="s">
        <v>339</v>
      </c>
      <c r="B189" s="5" t="s">
        <v>351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21"/>
    </row>
    <row r="190" spans="1:58" ht="15.75" x14ac:dyDescent="0.25">
      <c r="A190" s="5" t="s">
        <v>341</v>
      </c>
      <c r="B190" s="5" t="s">
        <v>352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21"/>
    </row>
    <row r="191" spans="1:58" ht="15.75" x14ac:dyDescent="0.25">
      <c r="A191" s="5" t="s">
        <v>353</v>
      </c>
      <c r="B191" s="5" t="s">
        <v>354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21"/>
    </row>
    <row r="192" spans="1:58" ht="15.75" x14ac:dyDescent="0.25">
      <c r="A192" s="5" t="s">
        <v>355</v>
      </c>
      <c r="B192" s="5" t="s">
        <v>356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21"/>
    </row>
    <row r="193" spans="1:58" ht="15.75" x14ac:dyDescent="0.25">
      <c r="A193" s="5" t="s">
        <v>357</v>
      </c>
      <c r="B193" s="5" t="s">
        <v>358</v>
      </c>
      <c r="C193" s="7">
        <v>6</v>
      </c>
      <c r="D193" s="7">
        <v>6</v>
      </c>
      <c r="E193" s="7">
        <v>30.841999999999999</v>
      </c>
      <c r="F193" s="7">
        <v>3.319</v>
      </c>
      <c r="G193" s="7">
        <v>13.083</v>
      </c>
      <c r="H193" s="7">
        <v>0</v>
      </c>
      <c r="I193" s="7">
        <v>0.89900000000000002</v>
      </c>
      <c r="J193" s="7">
        <v>8.9190000000000005</v>
      </c>
      <c r="K193" s="7">
        <v>3.2109999999999999</v>
      </c>
      <c r="L193" s="7">
        <v>8.7590000000000003</v>
      </c>
      <c r="M193" s="7">
        <v>0</v>
      </c>
      <c r="N193" s="7">
        <v>19.408000000000001</v>
      </c>
      <c r="O193" s="7">
        <v>12.917</v>
      </c>
      <c r="P193" s="7">
        <v>18.925000000000001</v>
      </c>
      <c r="Q193" s="7">
        <v>0</v>
      </c>
      <c r="R193" s="7">
        <v>0</v>
      </c>
      <c r="S193" s="7">
        <v>8.9999999999999993E-3</v>
      </c>
      <c r="T193" s="7">
        <v>0</v>
      </c>
      <c r="U193" s="7">
        <v>0</v>
      </c>
      <c r="V193" s="7">
        <v>1.304</v>
      </c>
      <c r="W193" s="7">
        <v>0</v>
      </c>
      <c r="X193" s="7">
        <v>0</v>
      </c>
      <c r="Y193" s="7">
        <v>0</v>
      </c>
      <c r="Z193" s="7">
        <v>0.754</v>
      </c>
      <c r="AA193" s="7">
        <v>2.6389999999999998</v>
      </c>
      <c r="AB193" s="7">
        <v>0</v>
      </c>
      <c r="AC193" s="7">
        <v>4.3630000000000004</v>
      </c>
      <c r="AD193" s="7">
        <v>0</v>
      </c>
      <c r="AE193" s="7">
        <v>10.029</v>
      </c>
      <c r="AF193" s="7">
        <v>0</v>
      </c>
      <c r="AG193" s="7">
        <v>0.50700000000000001</v>
      </c>
      <c r="AH193" s="7">
        <v>0</v>
      </c>
      <c r="AI193" s="7">
        <v>10.863</v>
      </c>
      <c r="AJ193" s="7">
        <v>0</v>
      </c>
      <c r="AK193" s="7">
        <v>0</v>
      </c>
      <c r="AL193" s="7">
        <v>42.798999999999999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5.3999999999999999E-2</v>
      </c>
      <c r="AV193" s="7">
        <v>0</v>
      </c>
      <c r="AW193" s="7">
        <v>0</v>
      </c>
      <c r="AX193" s="7">
        <v>0</v>
      </c>
      <c r="AY193" s="7">
        <v>0</v>
      </c>
      <c r="AZ193" s="7">
        <v>5.0000000000000001E-3</v>
      </c>
      <c r="BA193" s="7">
        <v>0</v>
      </c>
      <c r="BB193" s="7">
        <v>0.41</v>
      </c>
      <c r="BC193" s="7">
        <v>0</v>
      </c>
      <c r="BD193" s="7">
        <v>0</v>
      </c>
      <c r="BE193" s="7">
        <v>0</v>
      </c>
      <c r="BF193" s="21"/>
    </row>
    <row r="194" spans="1:58" ht="15.75" x14ac:dyDescent="0.25">
      <c r="A194" s="5" t="s">
        <v>359</v>
      </c>
      <c r="B194" s="5" t="s">
        <v>360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21"/>
    </row>
    <row r="195" spans="1:58" ht="15.75" x14ac:dyDescent="0.25">
      <c r="A195" s="5" t="s">
        <v>361</v>
      </c>
      <c r="B195" s="5" t="s">
        <v>362</v>
      </c>
      <c r="C195" s="7">
        <v>6</v>
      </c>
      <c r="D195" s="7">
        <v>6</v>
      </c>
      <c r="E195" s="7">
        <v>186.345</v>
      </c>
      <c r="F195" s="7">
        <v>0</v>
      </c>
      <c r="G195" s="7">
        <v>45.375</v>
      </c>
      <c r="H195" s="7">
        <v>0</v>
      </c>
      <c r="I195" s="7">
        <v>0</v>
      </c>
      <c r="J195" s="7">
        <v>78.927000000000007</v>
      </c>
      <c r="K195" s="7">
        <v>0</v>
      </c>
      <c r="L195" s="7">
        <v>0</v>
      </c>
      <c r="M195" s="7">
        <v>0</v>
      </c>
      <c r="N195" s="7">
        <v>0</v>
      </c>
      <c r="O195" s="7">
        <v>670.245</v>
      </c>
      <c r="P195" s="7">
        <v>97.186999999999998</v>
      </c>
      <c r="Q195" s="7">
        <v>0</v>
      </c>
      <c r="R195" s="7">
        <v>0</v>
      </c>
      <c r="S195" s="7">
        <v>0</v>
      </c>
      <c r="T195" s="7">
        <v>0</v>
      </c>
      <c r="U195" s="7">
        <v>0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7">
        <v>0</v>
      </c>
      <c r="AK195" s="7">
        <v>0</v>
      </c>
      <c r="AL195" s="7">
        <v>574.55799999999999</v>
      </c>
      <c r="AM195" s="7">
        <v>0</v>
      </c>
      <c r="AN195" s="7">
        <v>0</v>
      </c>
      <c r="AO195" s="7">
        <v>0</v>
      </c>
      <c r="AP195" s="7">
        <v>0</v>
      </c>
      <c r="AQ195" s="7">
        <v>0</v>
      </c>
      <c r="AR195" s="7">
        <v>0</v>
      </c>
      <c r="AS195" s="7">
        <v>0</v>
      </c>
      <c r="AT195" s="7">
        <v>0</v>
      </c>
      <c r="AU195" s="7">
        <v>0</v>
      </c>
      <c r="AV195" s="7">
        <v>0</v>
      </c>
      <c r="AW195" s="7">
        <v>0</v>
      </c>
      <c r="AX195" s="7">
        <v>0</v>
      </c>
      <c r="AY195" s="7">
        <v>0</v>
      </c>
      <c r="AZ195" s="7">
        <v>0</v>
      </c>
      <c r="BA195" s="7">
        <v>0</v>
      </c>
      <c r="BB195" s="7">
        <v>0</v>
      </c>
      <c r="BC195" s="7">
        <v>0</v>
      </c>
      <c r="BD195" s="7">
        <v>0</v>
      </c>
      <c r="BE195" s="7">
        <v>0</v>
      </c>
      <c r="BF195" s="21"/>
    </row>
    <row r="196" spans="1:58" ht="15.75" x14ac:dyDescent="0.25">
      <c r="A196" s="5" t="s">
        <v>363</v>
      </c>
      <c r="B196" s="5" t="s">
        <v>364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21"/>
    </row>
    <row r="197" spans="1:58" ht="15.75" x14ac:dyDescent="0.25">
      <c r="A197" s="5" t="s">
        <v>365</v>
      </c>
      <c r="B197" s="5" t="s">
        <v>366</v>
      </c>
      <c r="C197" s="7">
        <v>6</v>
      </c>
      <c r="D197" s="7">
        <v>6</v>
      </c>
      <c r="E197" s="7">
        <v>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21"/>
    </row>
    <row r="198" spans="1:58" ht="15.75" x14ac:dyDescent="0.25">
      <c r="A198" s="5" t="s">
        <v>367</v>
      </c>
      <c r="B198" s="5" t="s">
        <v>368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21"/>
    </row>
    <row r="199" spans="1:58" ht="15.75" x14ac:dyDescent="0.25">
      <c r="A199" s="5" t="s">
        <v>369</v>
      </c>
      <c r="B199" s="5" t="s">
        <v>370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21"/>
    </row>
    <row r="200" spans="1:58" ht="15.75" x14ac:dyDescent="0.25">
      <c r="A200" s="5" t="s">
        <v>371</v>
      </c>
      <c r="B200" s="5" t="s">
        <v>372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21"/>
    </row>
    <row r="201" spans="1:58" ht="15.75" x14ac:dyDescent="0.25">
      <c r="A201" s="5" t="s">
        <v>373</v>
      </c>
      <c r="B201" s="5" t="s">
        <v>374</v>
      </c>
      <c r="C201" s="7">
        <v>3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21"/>
    </row>
    <row r="202" spans="1:58" ht="15.75" x14ac:dyDescent="0.25">
      <c r="A202" s="5" t="s">
        <v>375</v>
      </c>
      <c r="B202" s="5" t="s">
        <v>376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21"/>
    </row>
    <row r="203" spans="1:58" ht="15.75" x14ac:dyDescent="0.25">
      <c r="A203" s="5" t="s">
        <v>377</v>
      </c>
      <c r="B203" s="5" t="s">
        <v>378</v>
      </c>
      <c r="C203" s="7">
        <v>6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21"/>
    </row>
    <row r="204" spans="1:58" ht="15.75" x14ac:dyDescent="0.25">
      <c r="A204" s="5" t="s">
        <v>379</v>
      </c>
      <c r="B204" s="5" t="s">
        <v>380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21"/>
    </row>
    <row r="205" spans="1:58" ht="15.75" x14ac:dyDescent="0.25">
      <c r="A205" s="5" t="s">
        <v>381</v>
      </c>
      <c r="B205" s="5" t="s">
        <v>382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21"/>
    </row>
    <row r="206" spans="1:58" ht="15.75" x14ac:dyDescent="0.25">
      <c r="A206" s="5" t="s">
        <v>383</v>
      </c>
      <c r="B206" s="5" t="s">
        <v>384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21"/>
    </row>
    <row r="207" spans="1:58" ht="15.75" x14ac:dyDescent="0.25">
      <c r="A207" s="5" t="s">
        <v>385</v>
      </c>
      <c r="B207" s="5" t="s">
        <v>386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21"/>
    </row>
    <row r="208" spans="1:58" ht="15.75" x14ac:dyDescent="0.25">
      <c r="A208" s="5" t="s">
        <v>387</v>
      </c>
      <c r="B208" s="5" t="s">
        <v>388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21"/>
    </row>
    <row r="209" spans="1:58" ht="15.75" x14ac:dyDescent="0.25">
      <c r="A209" s="5" t="s">
        <v>389</v>
      </c>
      <c r="B209" s="5" t="s">
        <v>390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21"/>
    </row>
    <row r="210" spans="1:58" ht="15.75" x14ac:dyDescent="0.25">
      <c r="A210" s="5" t="s">
        <v>391</v>
      </c>
      <c r="B210" s="5" t="s">
        <v>392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21"/>
    </row>
    <row r="211" spans="1:58" ht="15.75" x14ac:dyDescent="0.25">
      <c r="A211" s="5" t="s">
        <v>393</v>
      </c>
      <c r="B211" s="5" t="s">
        <v>394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21"/>
    </row>
    <row r="212" spans="1:58" ht="15.75" x14ac:dyDescent="0.25">
      <c r="A212" s="5" t="s">
        <v>395</v>
      </c>
      <c r="B212" s="5" t="s">
        <v>396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21"/>
    </row>
    <row r="213" spans="1:58" ht="15.75" x14ac:dyDescent="0.25">
      <c r="A213" s="5" t="s">
        <v>353</v>
      </c>
      <c r="B213" s="5" t="s">
        <v>397</v>
      </c>
      <c r="C213" s="7">
        <v>6</v>
      </c>
      <c r="D213" s="7">
        <v>6</v>
      </c>
      <c r="E213" s="7">
        <v>1048.317</v>
      </c>
      <c r="F213" s="7">
        <v>146.542</v>
      </c>
      <c r="G213" s="7">
        <v>275.09399999999999</v>
      </c>
      <c r="H213" s="7">
        <v>1.4339999999999999</v>
      </c>
      <c r="I213" s="7">
        <v>37.484000000000002</v>
      </c>
      <c r="J213" s="7">
        <v>144.16200000000001</v>
      </c>
      <c r="K213" s="7">
        <v>1221.0540000000001</v>
      </c>
      <c r="L213" s="7">
        <v>107.244</v>
      </c>
      <c r="M213" s="7">
        <v>0</v>
      </c>
      <c r="N213" s="7">
        <v>561.12199999999996</v>
      </c>
      <c r="O213" s="7">
        <v>1266.153</v>
      </c>
      <c r="P213" s="7">
        <v>577.67700000000002</v>
      </c>
      <c r="Q213" s="7">
        <v>0</v>
      </c>
      <c r="R213" s="7">
        <v>0</v>
      </c>
      <c r="S213" s="7">
        <v>7.319</v>
      </c>
      <c r="T213" s="7">
        <v>0</v>
      </c>
      <c r="U213" s="7">
        <v>0.20799999999999999</v>
      </c>
      <c r="V213" s="7">
        <v>0</v>
      </c>
      <c r="W213" s="7">
        <v>0</v>
      </c>
      <c r="X213" s="7">
        <v>0</v>
      </c>
      <c r="Y213" s="7">
        <v>0</v>
      </c>
      <c r="Z213" s="7">
        <v>15.579000000000001</v>
      </c>
      <c r="AA213" s="7">
        <v>51.962000000000003</v>
      </c>
      <c r="AB213" s="7">
        <v>0</v>
      </c>
      <c r="AC213" s="7">
        <v>419.21800000000002</v>
      </c>
      <c r="AD213" s="7">
        <v>0</v>
      </c>
      <c r="AE213" s="7">
        <v>144.619</v>
      </c>
      <c r="AF213" s="7">
        <v>0</v>
      </c>
      <c r="AG213" s="7">
        <v>24.52</v>
      </c>
      <c r="AH213" s="7">
        <v>0</v>
      </c>
      <c r="AI213" s="7">
        <v>1286.8030000000001</v>
      </c>
      <c r="AJ213" s="7">
        <v>0</v>
      </c>
      <c r="AK213" s="7">
        <v>0</v>
      </c>
      <c r="AL213" s="7">
        <v>2097.645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21"/>
    </row>
    <row r="214" spans="1:58" ht="15.75" x14ac:dyDescent="0.25">
      <c r="A214" s="5" t="s">
        <v>355</v>
      </c>
      <c r="B214" s="5" t="s">
        <v>398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21"/>
    </row>
    <row r="215" spans="1:58" ht="15.75" x14ac:dyDescent="0.25">
      <c r="A215" s="5" t="s">
        <v>357</v>
      </c>
      <c r="B215" s="5" t="s">
        <v>399</v>
      </c>
      <c r="C215" s="7">
        <v>6</v>
      </c>
      <c r="D215" s="7">
        <v>6</v>
      </c>
      <c r="E215" s="7">
        <v>0</v>
      </c>
      <c r="F215" s="7">
        <v>0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21"/>
    </row>
    <row r="216" spans="1:58" ht="15.75" x14ac:dyDescent="0.25">
      <c r="A216" s="5" t="s">
        <v>359</v>
      </c>
      <c r="B216" s="5" t="s">
        <v>400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21"/>
    </row>
    <row r="217" spans="1:58" ht="15.75" x14ac:dyDescent="0.25">
      <c r="A217" s="5" t="s">
        <v>361</v>
      </c>
      <c r="B217" s="5" t="s">
        <v>401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21"/>
    </row>
    <row r="218" spans="1:58" ht="15.75" x14ac:dyDescent="0.25">
      <c r="A218" s="5" t="s">
        <v>363</v>
      </c>
      <c r="B218" s="5" t="s">
        <v>402</v>
      </c>
      <c r="C218" s="7">
        <v>6</v>
      </c>
      <c r="D218" s="7">
        <v>6</v>
      </c>
      <c r="E218" s="7">
        <v>8.0000000000000002E-3</v>
      </c>
      <c r="F218" s="7">
        <v>0</v>
      </c>
      <c r="G218" s="7">
        <v>0</v>
      </c>
      <c r="H218" s="7">
        <v>0</v>
      </c>
      <c r="I218" s="7">
        <v>1.0999999999999999E-2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5.6000000000000001E-2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0.14299999999999999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21"/>
    </row>
    <row r="219" spans="1:58" ht="15.75" x14ac:dyDescent="0.25">
      <c r="A219" s="5" t="s">
        <v>365</v>
      </c>
      <c r="B219" s="5" t="s">
        <v>403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21"/>
    </row>
    <row r="220" spans="1:58" ht="15.75" x14ac:dyDescent="0.25">
      <c r="A220" s="5" t="s">
        <v>367</v>
      </c>
      <c r="B220" s="5" t="s">
        <v>404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0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21"/>
    </row>
    <row r="221" spans="1:58" ht="15.75" x14ac:dyDescent="0.25">
      <c r="A221" s="5" t="s">
        <v>369</v>
      </c>
      <c r="B221" s="5" t="s">
        <v>405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21"/>
    </row>
    <row r="222" spans="1:58" ht="15.75" x14ac:dyDescent="0.25">
      <c r="A222" s="5" t="s">
        <v>371</v>
      </c>
      <c r="B222" s="5" t="s">
        <v>406</v>
      </c>
      <c r="C222" s="7">
        <v>6</v>
      </c>
      <c r="D222" s="7">
        <v>6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0</v>
      </c>
      <c r="AB222" s="7">
        <v>0</v>
      </c>
      <c r="AC222" s="7">
        <v>0</v>
      </c>
      <c r="AD222" s="7">
        <v>0</v>
      </c>
      <c r="AE222" s="7">
        <v>0</v>
      </c>
      <c r="AF222" s="7">
        <v>0</v>
      </c>
      <c r="AG222" s="7">
        <v>0</v>
      </c>
      <c r="AH222" s="7">
        <v>0</v>
      </c>
      <c r="AI222" s="7">
        <v>0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0</v>
      </c>
      <c r="AP222" s="7">
        <v>0</v>
      </c>
      <c r="AQ222" s="7">
        <v>0</v>
      </c>
      <c r="AR222" s="7">
        <v>0</v>
      </c>
      <c r="AS222" s="7">
        <v>0</v>
      </c>
      <c r="AT222" s="7">
        <v>0</v>
      </c>
      <c r="AU222" s="7">
        <v>0</v>
      </c>
      <c r="AV222" s="7">
        <v>0</v>
      </c>
      <c r="AW222" s="7">
        <v>0</v>
      </c>
      <c r="AX222" s="7">
        <v>0</v>
      </c>
      <c r="AY222" s="7">
        <v>0</v>
      </c>
      <c r="AZ222" s="7">
        <v>0</v>
      </c>
      <c r="BA222" s="7">
        <v>0</v>
      </c>
      <c r="BB222" s="7">
        <v>0</v>
      </c>
      <c r="BC222" s="7">
        <v>0</v>
      </c>
      <c r="BD222" s="7">
        <v>0</v>
      </c>
      <c r="BE222" s="7">
        <v>0</v>
      </c>
      <c r="BF222" s="21"/>
    </row>
    <row r="223" spans="1:58" ht="15.75" x14ac:dyDescent="0.25">
      <c r="A223" s="5" t="s">
        <v>373</v>
      </c>
      <c r="B223" s="5" t="s">
        <v>407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21"/>
    </row>
    <row r="224" spans="1:58" ht="15.75" x14ac:dyDescent="0.25">
      <c r="A224" s="5" t="s">
        <v>375</v>
      </c>
      <c r="B224" s="5" t="s">
        <v>408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21"/>
    </row>
    <row r="225" spans="1:58" ht="15.75" x14ac:dyDescent="0.25">
      <c r="A225" s="5" t="s">
        <v>377</v>
      </c>
      <c r="B225" s="5" t="s">
        <v>409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21"/>
    </row>
    <row r="226" spans="1:58" ht="15.75" x14ac:dyDescent="0.25">
      <c r="A226" s="5" t="s">
        <v>379</v>
      </c>
      <c r="B226" s="5" t="s">
        <v>410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21"/>
    </row>
    <row r="227" spans="1:58" ht="15.75" x14ac:dyDescent="0.25">
      <c r="A227" s="5" t="s">
        <v>381</v>
      </c>
      <c r="B227" s="5" t="s">
        <v>411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21"/>
    </row>
    <row r="228" spans="1:58" ht="15.75" x14ac:dyDescent="0.25">
      <c r="A228" s="5" t="s">
        <v>383</v>
      </c>
      <c r="B228" s="5" t="s">
        <v>412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21"/>
    </row>
    <row r="229" spans="1:58" ht="15.75" x14ac:dyDescent="0.25">
      <c r="A229" s="5" t="s">
        <v>385</v>
      </c>
      <c r="B229" s="5" t="s">
        <v>413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21"/>
    </row>
    <row r="230" spans="1:58" ht="15.75" x14ac:dyDescent="0.25">
      <c r="A230" s="5" t="s">
        <v>387</v>
      </c>
      <c r="B230" s="5" t="s">
        <v>414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21"/>
    </row>
    <row r="231" spans="1:58" ht="15.75" x14ac:dyDescent="0.25">
      <c r="A231" s="5" t="s">
        <v>389</v>
      </c>
      <c r="B231" s="5" t="s">
        <v>415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21"/>
    </row>
    <row r="232" spans="1:58" ht="15.75" x14ac:dyDescent="0.25">
      <c r="A232" s="5" t="s">
        <v>391</v>
      </c>
      <c r="B232" s="5" t="s">
        <v>416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21"/>
    </row>
    <row r="233" spans="1:58" ht="15.75" x14ac:dyDescent="0.25">
      <c r="A233" s="5" t="s">
        <v>393</v>
      </c>
      <c r="B233" s="5" t="s">
        <v>417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21"/>
    </row>
    <row r="234" spans="1:58" ht="15.75" x14ac:dyDescent="0.25">
      <c r="A234" s="5" t="s">
        <v>395</v>
      </c>
      <c r="B234" s="5" t="s">
        <v>418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21"/>
    </row>
    <row r="235" spans="1:58" ht="15.75" x14ac:dyDescent="0.25">
      <c r="A235" s="5" t="s">
        <v>419</v>
      </c>
      <c r="B235" s="5" t="s">
        <v>420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21"/>
    </row>
    <row r="236" spans="1:58" ht="15.75" x14ac:dyDescent="0.25">
      <c r="A236" s="5" t="s">
        <v>421</v>
      </c>
      <c r="B236" s="5" t="s">
        <v>422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21"/>
    </row>
    <row r="237" spans="1:58" ht="15.75" x14ac:dyDescent="0.25">
      <c r="A237" s="5" t="s">
        <v>423</v>
      </c>
      <c r="B237" s="5" t="s">
        <v>424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21"/>
    </row>
    <row r="238" spans="1:58" ht="15.75" x14ac:dyDescent="0.25">
      <c r="A238" s="5" t="s">
        <v>425</v>
      </c>
      <c r="B238" s="5" t="s">
        <v>426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21"/>
    </row>
    <row r="239" spans="1:58" ht="15.75" x14ac:dyDescent="0.25">
      <c r="A239" s="5" t="s">
        <v>427</v>
      </c>
      <c r="B239" s="5" t="s">
        <v>428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21"/>
    </row>
    <row r="240" spans="1:58" ht="15.75" x14ac:dyDescent="0.25">
      <c r="A240" s="5" t="s">
        <v>429</v>
      </c>
      <c r="B240" s="5" t="s">
        <v>430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21"/>
    </row>
    <row r="241" spans="1:58" ht="15.75" x14ac:dyDescent="0.25">
      <c r="A241" s="5" t="s">
        <v>431</v>
      </c>
      <c r="B241" s="5" t="s">
        <v>432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21"/>
    </row>
    <row r="242" spans="1:58" ht="15.75" x14ac:dyDescent="0.25">
      <c r="A242" s="5" t="s">
        <v>433</v>
      </c>
      <c r="B242" s="5" t="s">
        <v>434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21"/>
    </row>
    <row r="243" spans="1:58" ht="15.75" x14ac:dyDescent="0.25">
      <c r="A243" s="5" t="s">
        <v>435</v>
      </c>
      <c r="B243" s="5" t="s">
        <v>436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21"/>
    </row>
    <row r="244" spans="1:58" ht="15.75" x14ac:dyDescent="0.25">
      <c r="A244" s="5" t="s">
        <v>437</v>
      </c>
      <c r="B244" s="5" t="s">
        <v>438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21"/>
    </row>
    <row r="245" spans="1:58" ht="15.75" x14ac:dyDescent="0.25">
      <c r="A245" s="5" t="s">
        <v>439</v>
      </c>
      <c r="B245" s="5" t="s">
        <v>440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21"/>
    </row>
    <row r="246" spans="1:58" ht="15.75" x14ac:dyDescent="0.25">
      <c r="A246" s="5" t="s">
        <v>441</v>
      </c>
      <c r="B246" s="5" t="s">
        <v>442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21"/>
    </row>
    <row r="247" spans="1:58" ht="15.75" x14ac:dyDescent="0.25">
      <c r="A247" s="5" t="s">
        <v>443</v>
      </c>
      <c r="B247" s="5" t="s">
        <v>444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21"/>
    </row>
    <row r="248" spans="1:58" ht="15.75" x14ac:dyDescent="0.25">
      <c r="A248" s="5" t="s">
        <v>445</v>
      </c>
      <c r="B248" s="5" t="s">
        <v>446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21"/>
    </row>
    <row r="249" spans="1:58" ht="15.75" x14ac:dyDescent="0.25">
      <c r="A249" s="5" t="s">
        <v>447</v>
      </c>
      <c r="B249" s="5" t="s">
        <v>448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21"/>
    </row>
    <row r="250" spans="1:58" ht="15.75" x14ac:dyDescent="0.25">
      <c r="A250" s="5" t="s">
        <v>449</v>
      </c>
      <c r="B250" s="5" t="s">
        <v>450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21"/>
    </row>
    <row r="251" spans="1:58" ht="15.75" x14ac:dyDescent="0.25">
      <c r="A251" s="5" t="s">
        <v>451</v>
      </c>
      <c r="B251" s="5" t="s">
        <v>452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21"/>
    </row>
    <row r="252" spans="1:58" ht="15.75" x14ac:dyDescent="0.25">
      <c r="A252" s="5" t="s">
        <v>453</v>
      </c>
      <c r="B252" s="5" t="s">
        <v>454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21"/>
    </row>
    <row r="253" spans="1:58" ht="15.75" x14ac:dyDescent="0.25">
      <c r="A253" s="5" t="s">
        <v>455</v>
      </c>
      <c r="B253" s="5" t="s">
        <v>456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21"/>
    </row>
    <row r="254" spans="1:58" ht="15.75" x14ac:dyDescent="0.25">
      <c r="A254" s="5" t="s">
        <v>457</v>
      </c>
      <c r="B254" s="5" t="s">
        <v>458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21"/>
    </row>
    <row r="255" spans="1:58" ht="15.75" x14ac:dyDescent="0.25">
      <c r="A255" s="5" t="s">
        <v>459</v>
      </c>
      <c r="B255" s="5" t="s">
        <v>460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21"/>
    </row>
    <row r="256" spans="1:58" ht="15.75" x14ac:dyDescent="0.25">
      <c r="A256" s="5" t="s">
        <v>461</v>
      </c>
      <c r="B256" s="5" t="s">
        <v>462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  <c r="N256" s="7">
        <v>0</v>
      </c>
      <c r="O256" s="7">
        <v>514.25199999999995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403.49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21"/>
    </row>
    <row r="257" spans="1:58" ht="15.75" x14ac:dyDescent="0.25">
      <c r="A257" s="5" t="s">
        <v>419</v>
      </c>
      <c r="B257" s="5" t="s">
        <v>463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7.0000000000000001E-3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3.9E-2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4.4999999999999998E-2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21"/>
    </row>
    <row r="258" spans="1:58" ht="15.75" x14ac:dyDescent="0.25">
      <c r="A258" s="5" t="s">
        <v>421</v>
      </c>
      <c r="B258" s="5" t="s">
        <v>464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0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21"/>
    </row>
    <row r="259" spans="1:58" ht="15.75" x14ac:dyDescent="0.25">
      <c r="A259" s="5" t="s">
        <v>423</v>
      </c>
      <c r="B259" s="5" t="s">
        <v>465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21"/>
    </row>
    <row r="260" spans="1:58" ht="15.75" x14ac:dyDescent="0.25">
      <c r="A260" s="5" t="s">
        <v>425</v>
      </c>
      <c r="B260" s="5" t="s">
        <v>466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21"/>
    </row>
    <row r="261" spans="1:58" ht="15.75" x14ac:dyDescent="0.25">
      <c r="A261" s="5" t="s">
        <v>427</v>
      </c>
      <c r="B261" s="5" t="s">
        <v>467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21"/>
    </row>
    <row r="262" spans="1:58" ht="15.75" x14ac:dyDescent="0.25">
      <c r="A262" s="5" t="s">
        <v>429</v>
      </c>
      <c r="B262" s="5" t="s">
        <v>468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21"/>
    </row>
    <row r="263" spans="1:58" ht="15.75" x14ac:dyDescent="0.25">
      <c r="A263" s="5" t="s">
        <v>431</v>
      </c>
      <c r="B263" s="5" t="s">
        <v>469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21"/>
    </row>
    <row r="264" spans="1:58" ht="15.75" x14ac:dyDescent="0.25">
      <c r="A264" s="5" t="s">
        <v>433</v>
      </c>
      <c r="B264" s="5" t="s">
        <v>470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21"/>
    </row>
    <row r="265" spans="1:58" ht="15.75" x14ac:dyDescent="0.25">
      <c r="A265" s="5" t="s">
        <v>435</v>
      </c>
      <c r="B265" s="5" t="s">
        <v>471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21"/>
    </row>
    <row r="266" spans="1:58" ht="15.75" x14ac:dyDescent="0.25">
      <c r="A266" s="5" t="s">
        <v>437</v>
      </c>
      <c r="B266" s="5" t="s">
        <v>472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21"/>
    </row>
    <row r="267" spans="1:58" ht="15.75" x14ac:dyDescent="0.25">
      <c r="A267" s="5" t="s">
        <v>439</v>
      </c>
      <c r="B267" s="5" t="s">
        <v>473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21"/>
    </row>
    <row r="268" spans="1:58" ht="15.75" x14ac:dyDescent="0.25">
      <c r="A268" s="5" t="s">
        <v>441</v>
      </c>
      <c r="B268" s="5" t="s">
        <v>474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21"/>
    </row>
    <row r="269" spans="1:58" ht="15.75" x14ac:dyDescent="0.25">
      <c r="A269" s="5" t="s">
        <v>443</v>
      </c>
      <c r="B269" s="5" t="s">
        <v>475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21"/>
    </row>
    <row r="270" spans="1:58" ht="15.75" x14ac:dyDescent="0.25">
      <c r="A270" s="5" t="s">
        <v>445</v>
      </c>
      <c r="B270" s="5" t="s">
        <v>476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21"/>
    </row>
    <row r="271" spans="1:58" ht="15.75" x14ac:dyDescent="0.25">
      <c r="A271" s="5" t="s">
        <v>447</v>
      </c>
      <c r="B271" s="5" t="s">
        <v>477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21"/>
    </row>
    <row r="272" spans="1:58" ht="15.75" x14ac:dyDescent="0.25">
      <c r="A272" s="5" t="s">
        <v>449</v>
      </c>
      <c r="B272" s="5" t="s">
        <v>478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21"/>
    </row>
    <row r="273" spans="1:58" ht="15.75" x14ac:dyDescent="0.25">
      <c r="A273" s="5" t="s">
        <v>451</v>
      </c>
      <c r="B273" s="5" t="s">
        <v>479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21"/>
    </row>
    <row r="274" spans="1:58" ht="15.75" x14ac:dyDescent="0.25">
      <c r="A274" s="5" t="s">
        <v>453</v>
      </c>
      <c r="B274" s="5" t="s">
        <v>480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21"/>
    </row>
    <row r="275" spans="1:58" ht="15.75" x14ac:dyDescent="0.25">
      <c r="A275" s="5" t="s">
        <v>455</v>
      </c>
      <c r="B275" s="5" t="s">
        <v>481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21"/>
    </row>
    <row r="276" spans="1:58" ht="15.75" x14ac:dyDescent="0.25">
      <c r="A276" s="5" t="s">
        <v>457</v>
      </c>
      <c r="B276" s="5" t="s">
        <v>482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21"/>
    </row>
    <row r="277" spans="1:58" ht="15.75" x14ac:dyDescent="0.25">
      <c r="A277" s="5" t="s">
        <v>459</v>
      </c>
      <c r="B277" s="5" t="s">
        <v>483</v>
      </c>
      <c r="C277" s="7">
        <v>6</v>
      </c>
      <c r="D277" s="7">
        <v>6</v>
      </c>
      <c r="E277" s="7">
        <v>6656.9319999999998</v>
      </c>
      <c r="F277" s="7">
        <v>1499.5060000000001</v>
      </c>
      <c r="G277" s="7">
        <v>498.71199999999999</v>
      </c>
      <c r="H277" s="7">
        <v>822.47500000000002</v>
      </c>
      <c r="I277" s="7">
        <v>248.965</v>
      </c>
      <c r="J277" s="7">
        <v>1215.3130000000001</v>
      </c>
      <c r="K277" s="7">
        <v>2505.953</v>
      </c>
      <c r="L277" s="7">
        <v>1356.2570000000001</v>
      </c>
      <c r="M277" s="7">
        <v>0</v>
      </c>
      <c r="N277" s="7">
        <v>4703.8609999999999</v>
      </c>
      <c r="O277" s="7">
        <v>9734.5259999999998</v>
      </c>
      <c r="P277" s="7">
        <v>4856.5450000000001</v>
      </c>
      <c r="Q277" s="7">
        <v>0</v>
      </c>
      <c r="R277" s="7">
        <v>0</v>
      </c>
      <c r="S277" s="7">
        <v>6.0000000000000001E-3</v>
      </c>
      <c r="T277" s="7">
        <v>0</v>
      </c>
      <c r="U277" s="7">
        <v>0</v>
      </c>
      <c r="V277" s="7">
        <v>597.51300000000003</v>
      </c>
      <c r="W277" s="7">
        <v>0</v>
      </c>
      <c r="X277" s="7">
        <v>0</v>
      </c>
      <c r="Y277" s="7">
        <v>0</v>
      </c>
      <c r="Z277" s="7">
        <v>75.564999999999998</v>
      </c>
      <c r="AA277" s="7">
        <v>335.94900000000001</v>
      </c>
      <c r="AB277" s="7">
        <v>0</v>
      </c>
      <c r="AC277" s="7">
        <v>1329.325</v>
      </c>
      <c r="AD277" s="7">
        <v>0</v>
      </c>
      <c r="AE277" s="7">
        <v>2174.1379999999999</v>
      </c>
      <c r="AF277" s="7">
        <v>0</v>
      </c>
      <c r="AG277" s="7">
        <v>265.51400000000001</v>
      </c>
      <c r="AH277" s="7">
        <v>0</v>
      </c>
      <c r="AI277" s="7">
        <v>7.3540000000000001</v>
      </c>
      <c r="AJ277" s="7">
        <v>28.350999999999999</v>
      </c>
      <c r="AK277" s="7">
        <v>0</v>
      </c>
      <c r="AL277" s="7">
        <v>19467.294999999998</v>
      </c>
      <c r="AM277" s="7">
        <v>48.362000000000002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28.619</v>
      </c>
      <c r="AV277" s="7">
        <v>0</v>
      </c>
      <c r="AW277" s="7">
        <v>0</v>
      </c>
      <c r="AX277" s="7">
        <v>3.9750000000000001</v>
      </c>
      <c r="AY277" s="7">
        <v>0</v>
      </c>
      <c r="AZ277" s="7">
        <v>2.161</v>
      </c>
      <c r="BA277" s="7">
        <v>0</v>
      </c>
      <c r="BB277" s="7">
        <v>0.30099999999999999</v>
      </c>
      <c r="BC277" s="7">
        <v>0</v>
      </c>
      <c r="BD277" s="7">
        <v>0</v>
      </c>
      <c r="BE277" s="7">
        <v>2054.4580000000001</v>
      </c>
      <c r="BF277" s="21"/>
    </row>
    <row r="278" spans="1:58" ht="15.75" x14ac:dyDescent="0.25">
      <c r="A278" s="5" t="s">
        <v>461</v>
      </c>
      <c r="B278" s="5" t="s">
        <v>484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21"/>
    </row>
    <row r="279" spans="1:58" ht="15.75" x14ac:dyDescent="0.25">
      <c r="A279" s="5" t="s">
        <v>485</v>
      </c>
      <c r="B279" s="5" t="s">
        <v>486</v>
      </c>
      <c r="C279" s="7">
        <v>5</v>
      </c>
      <c r="D279" s="7">
        <v>5</v>
      </c>
      <c r="E279" s="7">
        <v>95826.562000000005</v>
      </c>
      <c r="F279" s="7">
        <v>0</v>
      </c>
      <c r="G279" s="7">
        <v>17545.356</v>
      </c>
      <c r="H279" s="7">
        <v>570.94299999999998</v>
      </c>
      <c r="I279" s="7">
        <v>0</v>
      </c>
      <c r="J279" s="7">
        <v>25901.325000000001</v>
      </c>
      <c r="K279" s="7">
        <v>153475.851</v>
      </c>
      <c r="L279" s="7">
        <v>32693.809000000001</v>
      </c>
      <c r="M279" s="7">
        <v>6808.5889999999999</v>
      </c>
      <c r="N279" s="7">
        <v>29309.949000000001</v>
      </c>
      <c r="O279" s="7">
        <v>245214.193</v>
      </c>
      <c r="P279" s="7">
        <v>81260.654999999999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11.532</v>
      </c>
      <c r="Y279" s="7">
        <v>2423.8530000000001</v>
      </c>
      <c r="Z279" s="7">
        <v>224.29599999999999</v>
      </c>
      <c r="AA279" s="7">
        <v>2185.9749999999999</v>
      </c>
      <c r="AB279" s="7">
        <v>0</v>
      </c>
      <c r="AC279" s="7">
        <v>46697.792999999998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99139.955000000002</v>
      </c>
      <c r="AJ279" s="7">
        <v>13627.956</v>
      </c>
      <c r="AK279" s="7">
        <v>1042.287</v>
      </c>
      <c r="AL279" s="7">
        <v>619074.19400000002</v>
      </c>
      <c r="AM279" s="7">
        <v>61860.915999999997</v>
      </c>
      <c r="AN279" s="7">
        <v>147.547</v>
      </c>
      <c r="AO279" s="7">
        <v>97.08</v>
      </c>
      <c r="AP279" s="7">
        <v>386.714</v>
      </c>
      <c r="AQ279" s="7">
        <v>0</v>
      </c>
      <c r="AR279" s="7">
        <v>697.30399999999997</v>
      </c>
      <c r="AS279" s="7">
        <v>557.32899999999995</v>
      </c>
      <c r="AT279" s="7">
        <v>788.96400000000006</v>
      </c>
      <c r="AU279" s="7">
        <v>0</v>
      </c>
      <c r="AV279" s="7">
        <v>0</v>
      </c>
      <c r="AW279" s="7">
        <v>0</v>
      </c>
      <c r="AX279" s="7">
        <v>1260.588</v>
      </c>
      <c r="AY279" s="7">
        <v>0</v>
      </c>
      <c r="AZ279" s="7">
        <v>0</v>
      </c>
      <c r="BA279" s="7">
        <v>0</v>
      </c>
      <c r="BB279" s="7">
        <v>0</v>
      </c>
      <c r="BC279" s="7">
        <v>0</v>
      </c>
      <c r="BD279" s="7">
        <v>0</v>
      </c>
      <c r="BE279" s="7">
        <v>0</v>
      </c>
      <c r="BF279" s="21"/>
    </row>
    <row r="280" spans="1:58" ht="15.75" x14ac:dyDescent="0.25">
      <c r="A280" s="5" t="s">
        <v>487</v>
      </c>
      <c r="B280" s="5" t="s">
        <v>488</v>
      </c>
      <c r="C280" s="7">
        <v>5</v>
      </c>
      <c r="D280" s="7">
        <v>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21"/>
    </row>
    <row r="281" spans="1:58" ht="15.75" x14ac:dyDescent="0.25">
      <c r="A281" s="5" t="s">
        <v>489</v>
      </c>
      <c r="B281" s="5" t="s">
        <v>490</v>
      </c>
      <c r="C281" s="7">
        <v>5</v>
      </c>
      <c r="D281" s="7">
        <v>5</v>
      </c>
      <c r="E281" s="7">
        <v>13098.394</v>
      </c>
      <c r="F281" s="7">
        <v>1909.067</v>
      </c>
      <c r="G281" s="7">
        <v>2808.1729999999998</v>
      </c>
      <c r="H281" s="7">
        <v>0</v>
      </c>
      <c r="I281" s="7">
        <v>488.31700000000001</v>
      </c>
      <c r="J281" s="7">
        <v>1648.4839999999999</v>
      </c>
      <c r="K281" s="7">
        <v>13747.958000000001</v>
      </c>
      <c r="L281" s="7">
        <v>1230.9690000000001</v>
      </c>
      <c r="M281" s="7">
        <v>0</v>
      </c>
      <c r="N281" s="7">
        <v>6366.81</v>
      </c>
      <c r="O281" s="7">
        <v>14752.563</v>
      </c>
      <c r="P281" s="7">
        <v>6356.1180000000004</v>
      </c>
      <c r="Q281" s="7">
        <v>0</v>
      </c>
      <c r="R281" s="7">
        <v>0</v>
      </c>
      <c r="S281" s="7">
        <v>95.347999999999999</v>
      </c>
      <c r="T281" s="7">
        <v>0</v>
      </c>
      <c r="U281" s="7">
        <v>2.7040000000000002</v>
      </c>
      <c r="V281" s="7">
        <v>0</v>
      </c>
      <c r="W281" s="7">
        <v>0</v>
      </c>
      <c r="X281" s="7">
        <v>0</v>
      </c>
      <c r="Y281" s="7">
        <v>0</v>
      </c>
      <c r="Z281" s="7">
        <v>202.94900000000001</v>
      </c>
      <c r="AA281" s="7">
        <v>676.93</v>
      </c>
      <c r="AB281" s="7">
        <v>0</v>
      </c>
      <c r="AC281" s="7">
        <v>5461.3220000000001</v>
      </c>
      <c r="AD281" s="7">
        <v>0</v>
      </c>
      <c r="AE281" s="7">
        <v>1884.0060000000001</v>
      </c>
      <c r="AF281" s="7">
        <v>0</v>
      </c>
      <c r="AG281" s="7">
        <v>319.42899999999997</v>
      </c>
      <c r="AH281" s="7">
        <v>0</v>
      </c>
      <c r="AI281" s="7">
        <v>16763.713</v>
      </c>
      <c r="AJ281" s="7">
        <v>0</v>
      </c>
      <c r="AK281" s="7">
        <v>0</v>
      </c>
      <c r="AL281" s="7">
        <v>27326.883000000002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21"/>
    </row>
    <row r="282" spans="1:58" ht="15.75" x14ac:dyDescent="0.25">
      <c r="A282" s="5" t="s">
        <v>491</v>
      </c>
      <c r="B282" s="5" t="s">
        <v>492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21"/>
    </row>
    <row r="283" spans="1:58" ht="15.75" x14ac:dyDescent="0.25">
      <c r="A283" s="5" t="s">
        <v>493</v>
      </c>
      <c r="B283" s="5" t="s">
        <v>494</v>
      </c>
      <c r="C283" s="7">
        <v>5</v>
      </c>
      <c r="D283" s="7">
        <v>5</v>
      </c>
      <c r="E283" s="7">
        <v>0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0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21"/>
    </row>
    <row r="284" spans="1:58" ht="15.75" x14ac:dyDescent="0.25">
      <c r="A284" s="5" t="s">
        <v>495</v>
      </c>
      <c r="B284" s="5" t="s">
        <v>496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21"/>
    </row>
    <row r="285" spans="1:58" ht="15.75" x14ac:dyDescent="0.25">
      <c r="A285" s="5" t="s">
        <v>497</v>
      </c>
      <c r="B285" s="5" t="s">
        <v>498</v>
      </c>
      <c r="C285" s="7">
        <v>5</v>
      </c>
      <c r="D285" s="7">
        <v>5</v>
      </c>
      <c r="E285" s="7">
        <v>27560.652999999998</v>
      </c>
      <c r="F285" s="7">
        <v>4932.6350000000002</v>
      </c>
      <c r="G285" s="7">
        <v>8362.9410000000007</v>
      </c>
      <c r="H285" s="7">
        <v>0</v>
      </c>
      <c r="I285" s="7">
        <v>1319.9469999999999</v>
      </c>
      <c r="J285" s="7">
        <v>4520.1790000000001</v>
      </c>
      <c r="K285" s="7">
        <v>46218.955000000002</v>
      </c>
      <c r="L285" s="7">
        <v>3042.223</v>
      </c>
      <c r="M285" s="7">
        <v>0</v>
      </c>
      <c r="N285" s="7">
        <v>17188.262999999999</v>
      </c>
      <c r="O285" s="7">
        <v>43735.525999999998</v>
      </c>
      <c r="P285" s="7">
        <v>18629.18</v>
      </c>
      <c r="Q285" s="7">
        <v>0</v>
      </c>
      <c r="R285" s="7">
        <v>0</v>
      </c>
      <c r="S285" s="7">
        <v>281.77199999999999</v>
      </c>
      <c r="T285" s="7">
        <v>0</v>
      </c>
      <c r="U285" s="7">
        <v>5.218</v>
      </c>
      <c r="V285" s="7">
        <v>0</v>
      </c>
      <c r="W285" s="7">
        <v>0</v>
      </c>
      <c r="X285" s="7">
        <v>0</v>
      </c>
      <c r="Y285" s="7">
        <v>0</v>
      </c>
      <c r="Z285" s="7">
        <v>391.60899999999998</v>
      </c>
      <c r="AA285" s="7">
        <v>1306.202</v>
      </c>
      <c r="AB285" s="7">
        <v>0</v>
      </c>
      <c r="AC285" s="7">
        <v>10538.147999999999</v>
      </c>
      <c r="AD285" s="7">
        <v>0</v>
      </c>
      <c r="AE285" s="7">
        <v>3635.3719999999998</v>
      </c>
      <c r="AF285" s="7">
        <v>0</v>
      </c>
      <c r="AG285" s="7">
        <v>616.36900000000003</v>
      </c>
      <c r="AH285" s="7">
        <v>0</v>
      </c>
      <c r="AI285" s="7">
        <v>32354.995999999999</v>
      </c>
      <c r="AJ285" s="7">
        <v>0</v>
      </c>
      <c r="AK285" s="7">
        <v>0</v>
      </c>
      <c r="AL285" s="7">
        <v>60570.906999999999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21"/>
    </row>
    <row r="286" spans="1:58" ht="15.75" x14ac:dyDescent="0.25">
      <c r="A286" s="5" t="s">
        <v>499</v>
      </c>
      <c r="B286" s="5" t="s">
        <v>500</v>
      </c>
      <c r="C286" s="7">
        <v>5</v>
      </c>
      <c r="D286" s="7">
        <v>5</v>
      </c>
      <c r="E286" s="7">
        <v>119784.485</v>
      </c>
      <c r="F286" s="7">
        <v>18479.424999999999</v>
      </c>
      <c r="G286" s="7">
        <v>28945.605</v>
      </c>
      <c r="H286" s="7">
        <v>13453.174999999999</v>
      </c>
      <c r="I286" s="7">
        <v>5049.4250000000002</v>
      </c>
      <c r="J286" s="7">
        <v>16552.313999999998</v>
      </c>
      <c r="K286" s="7">
        <v>140027.76300000001</v>
      </c>
      <c r="L286" s="7">
        <v>11877.528</v>
      </c>
      <c r="M286" s="7">
        <v>0</v>
      </c>
      <c r="N286" s="7">
        <v>64343.578000000001</v>
      </c>
      <c r="O286" s="7">
        <v>149267.91099999999</v>
      </c>
      <c r="P286" s="7">
        <v>66882.941000000006</v>
      </c>
      <c r="Q286" s="7">
        <v>0</v>
      </c>
      <c r="R286" s="7">
        <v>0</v>
      </c>
      <c r="S286" s="7">
        <v>973.65800000000002</v>
      </c>
      <c r="T286" s="7">
        <v>0</v>
      </c>
      <c r="U286" s="7">
        <v>22.678999999999998</v>
      </c>
      <c r="V286" s="7">
        <v>0</v>
      </c>
      <c r="W286" s="7">
        <v>0</v>
      </c>
      <c r="X286" s="7">
        <v>0</v>
      </c>
      <c r="Y286" s="7">
        <v>0</v>
      </c>
      <c r="Z286" s="7">
        <v>1701.913</v>
      </c>
      <c r="AA286" s="7">
        <v>5763.72</v>
      </c>
      <c r="AB286" s="7">
        <v>0</v>
      </c>
      <c r="AC286" s="7">
        <v>47617.396000000001</v>
      </c>
      <c r="AD286" s="7">
        <v>0</v>
      </c>
      <c r="AE286" s="7">
        <v>16075.252</v>
      </c>
      <c r="AF286" s="7">
        <v>0</v>
      </c>
      <c r="AG286" s="7">
        <v>2678.7040000000002</v>
      </c>
      <c r="AH286" s="7">
        <v>0</v>
      </c>
      <c r="AI286" s="7">
        <v>147447.008</v>
      </c>
      <c r="AJ286" s="7">
        <v>0</v>
      </c>
      <c r="AK286" s="7">
        <v>0</v>
      </c>
      <c r="AL286" s="7">
        <v>249596.90299999999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21"/>
    </row>
    <row r="287" spans="1:58" ht="15.75" x14ac:dyDescent="0.25">
      <c r="A287" s="5" t="s">
        <v>501</v>
      </c>
      <c r="B287" s="5" t="s">
        <v>502</v>
      </c>
      <c r="C287" s="7">
        <v>5</v>
      </c>
      <c r="D287" s="7">
        <v>5</v>
      </c>
      <c r="E287" s="7">
        <v>179.279</v>
      </c>
      <c r="F287" s="7">
        <v>0</v>
      </c>
      <c r="G287" s="7">
        <v>79.849000000000004</v>
      </c>
      <c r="H287" s="7">
        <v>0</v>
      </c>
      <c r="I287" s="7">
        <v>0</v>
      </c>
      <c r="J287" s="7">
        <v>44.963000000000001</v>
      </c>
      <c r="K287" s="7">
        <v>907.58199999999999</v>
      </c>
      <c r="L287" s="7">
        <v>111.059</v>
      </c>
      <c r="M287" s="7">
        <v>0</v>
      </c>
      <c r="N287" s="7">
        <v>255.46600000000001</v>
      </c>
      <c r="O287" s="7">
        <v>1461.712</v>
      </c>
      <c r="P287" s="7">
        <v>49.567999999999998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0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32.741</v>
      </c>
      <c r="AF287" s="7">
        <v>0</v>
      </c>
      <c r="AG287" s="7">
        <v>0</v>
      </c>
      <c r="AH287" s="7">
        <v>0</v>
      </c>
      <c r="AI287" s="7">
        <v>78.936999999999998</v>
      </c>
      <c r="AJ287" s="7">
        <v>0</v>
      </c>
      <c r="AK287" s="7">
        <v>0</v>
      </c>
      <c r="AL287" s="7">
        <v>869.11300000000006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21"/>
    </row>
    <row r="288" spans="1:58" ht="15.75" x14ac:dyDescent="0.25">
      <c r="A288" s="5" t="s">
        <v>503</v>
      </c>
      <c r="B288" s="5" t="s">
        <v>504</v>
      </c>
      <c r="C288" s="7">
        <v>5</v>
      </c>
      <c r="D288" s="7">
        <v>5</v>
      </c>
      <c r="E288" s="7">
        <v>35916.521000000001</v>
      </c>
      <c r="F288" s="7">
        <v>4751.2049999999999</v>
      </c>
      <c r="G288" s="7">
        <v>6988.8609999999999</v>
      </c>
      <c r="H288" s="7">
        <v>104.099</v>
      </c>
      <c r="I288" s="7">
        <v>1215.3019999999999</v>
      </c>
      <c r="J288" s="7">
        <v>4102.6760000000004</v>
      </c>
      <c r="K288" s="7">
        <v>38727.525000000001</v>
      </c>
      <c r="L288" s="7">
        <v>3063.5839999999998</v>
      </c>
      <c r="M288" s="7">
        <v>0</v>
      </c>
      <c r="N288" s="7">
        <v>17905.768</v>
      </c>
      <c r="O288" s="7">
        <v>46973.167999999998</v>
      </c>
      <c r="P288" s="7">
        <v>17502.581999999999</v>
      </c>
      <c r="Q288" s="7">
        <v>0</v>
      </c>
      <c r="R288" s="7">
        <v>0</v>
      </c>
      <c r="S288" s="7">
        <v>237.297</v>
      </c>
      <c r="T288" s="7">
        <v>0</v>
      </c>
      <c r="U288" s="7">
        <v>6.73</v>
      </c>
      <c r="V288" s="7">
        <v>0</v>
      </c>
      <c r="W288" s="7">
        <v>0</v>
      </c>
      <c r="X288" s="7">
        <v>0</v>
      </c>
      <c r="Y288" s="7">
        <v>0</v>
      </c>
      <c r="Z288" s="7">
        <v>505.09</v>
      </c>
      <c r="AA288" s="7">
        <v>1684.7139999999999</v>
      </c>
      <c r="AB288" s="7">
        <v>0</v>
      </c>
      <c r="AC288" s="7">
        <v>16714.148000000001</v>
      </c>
      <c r="AD288" s="7">
        <v>0</v>
      </c>
      <c r="AE288" s="7">
        <v>4688.8339999999998</v>
      </c>
      <c r="AF288" s="7">
        <v>0</v>
      </c>
      <c r="AG288" s="7">
        <v>794.98099999999999</v>
      </c>
      <c r="AH288" s="7">
        <v>0</v>
      </c>
      <c r="AI288" s="7">
        <v>49559.705000000002</v>
      </c>
      <c r="AJ288" s="7">
        <v>0</v>
      </c>
      <c r="AK288" s="7">
        <v>0</v>
      </c>
      <c r="AL288" s="7">
        <v>82636.345000000001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0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21"/>
    </row>
    <row r="289" spans="1:58" ht="15.75" x14ac:dyDescent="0.25">
      <c r="A289" s="5" t="s">
        <v>505</v>
      </c>
      <c r="B289" s="5" t="s">
        <v>506</v>
      </c>
      <c r="C289" s="7">
        <v>5</v>
      </c>
      <c r="D289" s="7">
        <v>5</v>
      </c>
      <c r="E289" s="7">
        <v>16187.99</v>
      </c>
      <c r="F289" s="7">
        <v>338.67700000000002</v>
      </c>
      <c r="G289" s="7">
        <v>498.18200000000002</v>
      </c>
      <c r="H289" s="7">
        <v>1851.318</v>
      </c>
      <c r="I289" s="7">
        <v>86.629000000000005</v>
      </c>
      <c r="J289" s="7">
        <v>292.44799999999998</v>
      </c>
      <c r="K289" s="7">
        <v>21025.614000000001</v>
      </c>
      <c r="L289" s="7">
        <v>218.37899999999999</v>
      </c>
      <c r="M289" s="7">
        <v>0</v>
      </c>
      <c r="N289" s="7">
        <v>8635.2839999999997</v>
      </c>
      <c r="O289" s="7">
        <v>42848.161999999997</v>
      </c>
      <c r="P289" s="7">
        <v>7880.2330000000002</v>
      </c>
      <c r="Q289" s="7">
        <v>0</v>
      </c>
      <c r="R289" s="7">
        <v>0</v>
      </c>
      <c r="S289" s="7">
        <v>16.914999999999999</v>
      </c>
      <c r="T289" s="7">
        <v>0</v>
      </c>
      <c r="U289" s="7">
        <v>0.48</v>
      </c>
      <c r="V289" s="7">
        <v>0</v>
      </c>
      <c r="W289" s="7">
        <v>0</v>
      </c>
      <c r="X289" s="7">
        <v>0</v>
      </c>
      <c r="Y289" s="7">
        <v>0</v>
      </c>
      <c r="Z289" s="7">
        <v>36.003999999999998</v>
      </c>
      <c r="AA289" s="7">
        <v>120.09</v>
      </c>
      <c r="AB289" s="7">
        <v>0</v>
      </c>
      <c r="AC289" s="7">
        <v>11148.562</v>
      </c>
      <c r="AD289" s="7">
        <v>0</v>
      </c>
      <c r="AE289" s="7">
        <v>334.23099999999999</v>
      </c>
      <c r="AF289" s="7">
        <v>0</v>
      </c>
      <c r="AG289" s="7">
        <v>56.667999999999999</v>
      </c>
      <c r="AH289" s="7">
        <v>0</v>
      </c>
      <c r="AI289" s="7">
        <v>34105.921000000002</v>
      </c>
      <c r="AJ289" s="7">
        <v>0</v>
      </c>
      <c r="AK289" s="7">
        <v>0</v>
      </c>
      <c r="AL289" s="7">
        <v>60959.285000000003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21"/>
    </row>
    <row r="290" spans="1:58" ht="15.75" x14ac:dyDescent="0.25">
      <c r="A290" s="5" t="s">
        <v>507</v>
      </c>
      <c r="B290" s="5" t="s">
        <v>508</v>
      </c>
      <c r="C290" s="7">
        <v>5</v>
      </c>
      <c r="D290" s="7">
        <v>5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>
        <v>0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21"/>
    </row>
    <row r="291" spans="1:58" ht="15.75" x14ac:dyDescent="0.25">
      <c r="A291" s="5" t="s">
        <v>509</v>
      </c>
      <c r="B291" s="5" t="s">
        <v>510</v>
      </c>
      <c r="C291" s="7">
        <v>5</v>
      </c>
      <c r="D291" s="7">
        <v>5</v>
      </c>
      <c r="E291" s="7">
        <v>0</v>
      </c>
      <c r="F291" s="7">
        <v>0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21"/>
    </row>
    <row r="292" spans="1:58" ht="15.75" x14ac:dyDescent="0.25">
      <c r="A292" s="5" t="s">
        <v>511</v>
      </c>
      <c r="B292" s="5" t="s">
        <v>512</v>
      </c>
      <c r="C292" s="7">
        <v>5</v>
      </c>
      <c r="D292" s="7">
        <v>5</v>
      </c>
      <c r="E292" s="7">
        <v>136976.853</v>
      </c>
      <c r="F292" s="7">
        <v>16752.637999999999</v>
      </c>
      <c r="G292" s="7">
        <v>24689.391</v>
      </c>
      <c r="H292" s="7">
        <v>0</v>
      </c>
      <c r="I292" s="7">
        <v>3872.8670000000002</v>
      </c>
      <c r="J292" s="7">
        <v>15179.155000000001</v>
      </c>
      <c r="K292" s="7">
        <v>114063.143</v>
      </c>
      <c r="L292" s="7">
        <v>11453.217000000001</v>
      </c>
      <c r="M292" s="7">
        <v>0</v>
      </c>
      <c r="N292" s="7">
        <v>56120.754999999997</v>
      </c>
      <c r="O292" s="7">
        <v>129770.43700000001</v>
      </c>
      <c r="P292" s="7">
        <v>53376.010999999999</v>
      </c>
      <c r="Q292" s="7">
        <v>0</v>
      </c>
      <c r="R292" s="7">
        <v>0</v>
      </c>
      <c r="S292" s="7">
        <v>763.40599999999995</v>
      </c>
      <c r="T292" s="7">
        <v>0</v>
      </c>
      <c r="U292" s="7">
        <v>52.670999999999999</v>
      </c>
      <c r="V292" s="7">
        <v>0</v>
      </c>
      <c r="W292" s="7">
        <v>0</v>
      </c>
      <c r="X292" s="7">
        <v>0</v>
      </c>
      <c r="Y292" s="7">
        <v>0</v>
      </c>
      <c r="Z292" s="7">
        <v>2293.241</v>
      </c>
      <c r="AA292" s="7">
        <v>7557.1660000000002</v>
      </c>
      <c r="AB292" s="7">
        <v>0</v>
      </c>
      <c r="AC292" s="7">
        <v>61348.483</v>
      </c>
      <c r="AD292" s="7">
        <v>0</v>
      </c>
      <c r="AE292" s="7">
        <v>22398.148000000001</v>
      </c>
      <c r="AF292" s="7">
        <v>0</v>
      </c>
      <c r="AG292" s="7">
        <v>3829.1030000000001</v>
      </c>
      <c r="AH292" s="7">
        <v>0</v>
      </c>
      <c r="AI292" s="7">
        <v>183849.193</v>
      </c>
      <c r="AJ292" s="7">
        <v>0</v>
      </c>
      <c r="AK292" s="7">
        <v>0</v>
      </c>
      <c r="AL292" s="7">
        <v>289807.11700000003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21"/>
    </row>
    <row r="293" spans="1:58" ht="15.75" x14ac:dyDescent="0.25">
      <c r="A293" s="5" t="s">
        <v>513</v>
      </c>
      <c r="B293" s="5" t="s">
        <v>514</v>
      </c>
      <c r="C293" s="7">
        <v>5</v>
      </c>
      <c r="D293" s="7">
        <v>5</v>
      </c>
      <c r="E293" s="7">
        <v>26014.236000000001</v>
      </c>
      <c r="F293" s="7">
        <v>2588.5239999999999</v>
      </c>
      <c r="G293" s="7">
        <v>3813.53</v>
      </c>
      <c r="H293" s="7">
        <v>0</v>
      </c>
      <c r="I293" s="7">
        <v>610.17499999999995</v>
      </c>
      <c r="J293" s="7">
        <v>2325.0509999999999</v>
      </c>
      <c r="K293" s="7">
        <v>17812.092000000001</v>
      </c>
      <c r="L293" s="7">
        <v>3744.3240000000001</v>
      </c>
      <c r="M293" s="7">
        <v>0</v>
      </c>
      <c r="N293" s="7">
        <v>13921.612999999999</v>
      </c>
      <c r="O293" s="7">
        <v>39734.815000000002</v>
      </c>
      <c r="P293" s="7">
        <v>9918.4439999999995</v>
      </c>
      <c r="Q293" s="7">
        <v>0</v>
      </c>
      <c r="R293" s="7">
        <v>0</v>
      </c>
      <c r="S293" s="7">
        <v>120.048</v>
      </c>
      <c r="T293" s="7">
        <v>0</v>
      </c>
      <c r="U293" s="7">
        <v>7.3129999999999997</v>
      </c>
      <c r="V293" s="7">
        <v>0</v>
      </c>
      <c r="W293" s="7">
        <v>0</v>
      </c>
      <c r="X293" s="7">
        <v>0</v>
      </c>
      <c r="Y293" s="7">
        <v>0</v>
      </c>
      <c r="Z293" s="7">
        <v>339.72399999999999</v>
      </c>
      <c r="AA293" s="7">
        <v>1121.5640000000001</v>
      </c>
      <c r="AB293" s="7">
        <v>0</v>
      </c>
      <c r="AC293" s="7">
        <v>9096.2710000000006</v>
      </c>
      <c r="AD293" s="7">
        <v>0</v>
      </c>
      <c r="AE293" s="7">
        <v>3293.5070000000001</v>
      </c>
      <c r="AF293" s="7">
        <v>0</v>
      </c>
      <c r="AG293" s="7">
        <v>562.38099999999997</v>
      </c>
      <c r="AH293" s="7">
        <v>0</v>
      </c>
      <c r="AI293" s="7">
        <v>29843.797999999999</v>
      </c>
      <c r="AJ293" s="7">
        <v>0</v>
      </c>
      <c r="AK293" s="7">
        <v>0</v>
      </c>
      <c r="AL293" s="7">
        <v>56500.038999999997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21"/>
    </row>
    <row r="294" spans="1:58" ht="15.75" x14ac:dyDescent="0.25">
      <c r="A294" s="5" t="s">
        <v>515</v>
      </c>
      <c r="B294" s="5" t="s">
        <v>516</v>
      </c>
      <c r="C294" s="7">
        <v>5</v>
      </c>
      <c r="D294" s="7">
        <v>5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0</v>
      </c>
      <c r="W294" s="7">
        <v>0</v>
      </c>
      <c r="X294" s="7">
        <v>0</v>
      </c>
      <c r="Y294" s="7">
        <v>0</v>
      </c>
      <c r="Z294" s="7">
        <v>0</v>
      </c>
      <c r="AA294" s="7">
        <v>0</v>
      </c>
      <c r="AB294" s="7">
        <v>0</v>
      </c>
      <c r="AC294" s="7">
        <v>0</v>
      </c>
      <c r="AD294" s="7">
        <v>0</v>
      </c>
      <c r="AE294" s="7">
        <v>0</v>
      </c>
      <c r="AF294" s="7">
        <v>0</v>
      </c>
      <c r="AG294" s="7">
        <v>0</v>
      </c>
      <c r="AH294" s="7">
        <v>0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21"/>
    </row>
    <row r="295" spans="1:58" ht="15.75" x14ac:dyDescent="0.25">
      <c r="A295" s="5" t="s">
        <v>517</v>
      </c>
      <c r="B295" s="5" t="s">
        <v>518</v>
      </c>
      <c r="C295" s="7">
        <v>5</v>
      </c>
      <c r="D295" s="7">
        <v>5</v>
      </c>
      <c r="E295" s="7">
        <v>0</v>
      </c>
      <c r="F295" s="7">
        <v>0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21"/>
    </row>
    <row r="296" spans="1:58" ht="15.75" x14ac:dyDescent="0.25">
      <c r="A296" s="5" t="s">
        <v>519</v>
      </c>
      <c r="B296" s="5" t="s">
        <v>520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21"/>
    </row>
    <row r="297" spans="1:58" ht="15.75" x14ac:dyDescent="0.25">
      <c r="A297" s="5" t="s">
        <v>521</v>
      </c>
      <c r="B297" s="5" t="s">
        <v>522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21"/>
    </row>
    <row r="298" spans="1:58" ht="15.75" x14ac:dyDescent="0.25">
      <c r="A298" s="5" t="s">
        <v>523</v>
      </c>
      <c r="B298" s="5" t="s">
        <v>524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21"/>
    </row>
    <row r="299" spans="1:58" ht="15.75" x14ac:dyDescent="0.25">
      <c r="A299" s="5" t="s">
        <v>525</v>
      </c>
      <c r="B299" s="5" t="s">
        <v>526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21"/>
    </row>
    <row r="300" spans="1:58" ht="15.75" x14ac:dyDescent="0.25">
      <c r="A300" s="5" t="s">
        <v>527</v>
      </c>
      <c r="B300" s="5" t="s">
        <v>528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21"/>
    </row>
    <row r="301" spans="1:58" ht="15.75" x14ac:dyDescent="0.25">
      <c r="A301" s="5" t="s">
        <v>529</v>
      </c>
      <c r="B301" s="5" t="s">
        <v>530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21"/>
    </row>
    <row r="302" spans="1:58" ht="15.75" x14ac:dyDescent="0.25">
      <c r="A302" s="5" t="s">
        <v>531</v>
      </c>
      <c r="B302" s="5" t="s">
        <v>532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21"/>
    </row>
    <row r="303" spans="1:58" ht="15.75" x14ac:dyDescent="0.25">
      <c r="A303" s="5" t="s">
        <v>533</v>
      </c>
      <c r="B303" s="5" t="s">
        <v>534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21"/>
    </row>
    <row r="304" spans="1:58" ht="15.75" x14ac:dyDescent="0.25">
      <c r="A304" s="5" t="s">
        <v>535</v>
      </c>
      <c r="B304" s="5" t="s">
        <v>536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21"/>
    </row>
    <row r="305" spans="1:58" ht="15.75" x14ac:dyDescent="0.25">
      <c r="A305" s="5" t="s">
        <v>537</v>
      </c>
      <c r="B305" s="5" t="s">
        <v>538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21"/>
    </row>
    <row r="306" spans="1:58" ht="15.75" x14ac:dyDescent="0.25">
      <c r="A306" s="5" t="s">
        <v>539</v>
      </c>
      <c r="B306" s="5" t="s">
        <v>540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21"/>
    </row>
    <row r="307" spans="1:58" ht="15.75" x14ac:dyDescent="0.25">
      <c r="A307" s="5" t="s">
        <v>541</v>
      </c>
      <c r="B307" s="5" t="s">
        <v>542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21"/>
    </row>
    <row r="308" spans="1:58" ht="15.75" x14ac:dyDescent="0.25">
      <c r="A308" s="5" t="s">
        <v>543</v>
      </c>
      <c r="B308" s="5" t="s">
        <v>544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21"/>
    </row>
    <row r="309" spans="1:58" ht="15.75" x14ac:dyDescent="0.25">
      <c r="A309" s="5" t="s">
        <v>545</v>
      </c>
      <c r="B309" s="5" t="s">
        <v>546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21"/>
    </row>
    <row r="310" spans="1:58" ht="15.75" x14ac:dyDescent="0.25">
      <c r="A310" s="5" t="s">
        <v>547</v>
      </c>
      <c r="B310" s="5" t="s">
        <v>548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21"/>
    </row>
    <row r="311" spans="1:58" ht="15.75" x14ac:dyDescent="0.25">
      <c r="A311" s="5" t="s">
        <v>549</v>
      </c>
      <c r="B311" s="5" t="s">
        <v>550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21"/>
    </row>
    <row r="312" spans="1:58" ht="15.75" x14ac:dyDescent="0.25">
      <c r="A312" s="5" t="s">
        <v>551</v>
      </c>
      <c r="B312" s="5" t="s">
        <v>552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21"/>
    </row>
    <row r="313" spans="1:58" ht="15.75" x14ac:dyDescent="0.25">
      <c r="A313" s="5" t="s">
        <v>553</v>
      </c>
      <c r="B313" s="5" t="s">
        <v>554</v>
      </c>
      <c r="C313" s="7">
        <v>5</v>
      </c>
      <c r="D313" s="7">
        <v>5</v>
      </c>
      <c r="E313" s="7">
        <v>0</v>
      </c>
      <c r="F313" s="7">
        <v>0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0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7">
        <v>0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0</v>
      </c>
      <c r="BC313" s="7">
        <v>0</v>
      </c>
      <c r="BD313" s="7">
        <v>0</v>
      </c>
      <c r="BE313" s="7">
        <v>0</v>
      </c>
      <c r="BF313" s="21"/>
    </row>
    <row r="314" spans="1:58" ht="15.75" x14ac:dyDescent="0.25">
      <c r="A314" s="5" t="s">
        <v>555</v>
      </c>
      <c r="B314" s="5" t="s">
        <v>556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21"/>
    </row>
    <row r="315" spans="1:58" ht="15.75" x14ac:dyDescent="0.25">
      <c r="A315" s="5" t="s">
        <v>557</v>
      </c>
      <c r="B315" s="5" t="s">
        <v>558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21"/>
    </row>
    <row r="316" spans="1:58" ht="15.75" x14ac:dyDescent="0.25">
      <c r="A316" s="5" t="s">
        <v>559</v>
      </c>
      <c r="B316" s="5" t="s">
        <v>560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21"/>
    </row>
    <row r="317" spans="1:58" ht="15.75" x14ac:dyDescent="0.25">
      <c r="A317" s="5" t="s">
        <v>561</v>
      </c>
      <c r="B317" s="5" t="s">
        <v>562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21"/>
    </row>
    <row r="318" spans="1:58" ht="15.75" x14ac:dyDescent="0.25">
      <c r="A318" s="5" t="s">
        <v>563</v>
      </c>
      <c r="B318" s="5" t="s">
        <v>564</v>
      </c>
      <c r="C318" s="7">
        <v>5</v>
      </c>
      <c r="D318" s="7">
        <v>5</v>
      </c>
      <c r="E318" s="7">
        <v>-15399.22</v>
      </c>
      <c r="F318" s="7">
        <v>-4209.1220000000003</v>
      </c>
      <c r="G318" s="7">
        <v>0</v>
      </c>
      <c r="H318" s="7">
        <v>0</v>
      </c>
      <c r="I318" s="7">
        <v>-245.01499999999999</v>
      </c>
      <c r="J318" s="7">
        <v>0</v>
      </c>
      <c r="K318" s="7">
        <v>-23321.210999999999</v>
      </c>
      <c r="L318" s="7">
        <v>-1873.107</v>
      </c>
      <c r="M318" s="7">
        <v>0</v>
      </c>
      <c r="N318" s="7">
        <v>-2371.6</v>
      </c>
      <c r="O318" s="7">
        <v>-53510.445</v>
      </c>
      <c r="P318" s="7">
        <v>-3089.5610000000001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-1245.5820000000001</v>
      </c>
      <c r="W318" s="7">
        <v>0</v>
      </c>
      <c r="X318" s="7">
        <v>0</v>
      </c>
      <c r="Y318" s="7">
        <v>0</v>
      </c>
      <c r="Z318" s="7">
        <v>0</v>
      </c>
      <c r="AA318" s="7">
        <v>-412.59800000000001</v>
      </c>
      <c r="AB318" s="7">
        <v>0</v>
      </c>
      <c r="AC318" s="7">
        <v>-9257.5810000000001</v>
      </c>
      <c r="AD318" s="7">
        <v>0</v>
      </c>
      <c r="AE318" s="7">
        <v>0</v>
      </c>
      <c r="AF318" s="7">
        <v>-2.964</v>
      </c>
      <c r="AG318" s="7">
        <v>-687.25400000000002</v>
      </c>
      <c r="AH318" s="7">
        <v>0</v>
      </c>
      <c r="AI318" s="7">
        <v>-22582.424999999999</v>
      </c>
      <c r="AJ318" s="7">
        <v>-11001.638000000001</v>
      </c>
      <c r="AK318" s="7">
        <v>0</v>
      </c>
      <c r="AL318" s="7">
        <v>-68798.524999999994</v>
      </c>
      <c r="AM318" s="7">
        <v>-21168.796999999999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-51.284999999999997</v>
      </c>
      <c r="AV318" s="7">
        <v>0</v>
      </c>
      <c r="AW318" s="7">
        <v>0</v>
      </c>
      <c r="AX318" s="7">
        <v>-3144.1729999999998</v>
      </c>
      <c r="AY318" s="7">
        <v>0</v>
      </c>
      <c r="AZ318" s="7">
        <v>-12.55</v>
      </c>
      <c r="BA318" s="7">
        <v>0</v>
      </c>
      <c r="BB318" s="7">
        <v>-99.072999999999993</v>
      </c>
      <c r="BC318" s="7">
        <v>0</v>
      </c>
      <c r="BD318" s="7">
        <v>0</v>
      </c>
      <c r="BE318" s="7">
        <v>-2682.8139999999999</v>
      </c>
      <c r="BF318" s="21"/>
    </row>
    <row r="319" spans="1:58" ht="15.75" x14ac:dyDescent="0.25">
      <c r="A319" s="5" t="s">
        <v>565</v>
      </c>
      <c r="B319" s="5" t="s">
        <v>566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21"/>
    </row>
    <row r="320" spans="1:58" ht="15.75" x14ac:dyDescent="0.25">
      <c r="A320" s="5" t="s">
        <v>567</v>
      </c>
      <c r="B320" s="5" t="s">
        <v>568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21"/>
    </row>
    <row r="321" spans="1:58" ht="15.75" x14ac:dyDescent="0.25">
      <c r="A321" s="5" t="s">
        <v>569</v>
      </c>
      <c r="B321" s="5" t="s">
        <v>570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21"/>
    </row>
    <row r="322" spans="1:58" ht="15.75" x14ac:dyDescent="0.25">
      <c r="A322" s="5" t="s">
        <v>571</v>
      </c>
      <c r="B322" s="5" t="s">
        <v>572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21"/>
    </row>
    <row r="323" spans="1:58" ht="15.75" x14ac:dyDescent="0.25">
      <c r="A323" s="5" t="s">
        <v>573</v>
      </c>
      <c r="B323" s="5" t="s">
        <v>574</v>
      </c>
      <c r="C323" s="7">
        <v>5</v>
      </c>
      <c r="D323" s="7">
        <v>5</v>
      </c>
      <c r="E323" s="7">
        <v>-31675.743999999999</v>
      </c>
      <c r="F323" s="7">
        <v>-8658.0409999999993</v>
      </c>
      <c r="G323" s="7">
        <v>0</v>
      </c>
      <c r="H323" s="7">
        <v>0</v>
      </c>
      <c r="I323" s="7">
        <v>-503.99</v>
      </c>
      <c r="J323" s="7">
        <v>0</v>
      </c>
      <c r="K323" s="7">
        <v>-47971.048000000003</v>
      </c>
      <c r="L323" s="7">
        <v>-3852.9270000000001</v>
      </c>
      <c r="M323" s="7">
        <v>0</v>
      </c>
      <c r="N323" s="7">
        <v>-4878.3119999999999</v>
      </c>
      <c r="O323" s="7">
        <v>-110069.41899999999</v>
      </c>
      <c r="P323" s="7">
        <v>-6355.1360000000004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-2562.127</v>
      </c>
      <c r="W323" s="7">
        <v>0</v>
      </c>
      <c r="X323" s="7">
        <v>0</v>
      </c>
      <c r="Y323" s="7">
        <v>0</v>
      </c>
      <c r="Z323" s="7">
        <v>0</v>
      </c>
      <c r="AA323" s="7">
        <v>-848.702</v>
      </c>
      <c r="AB323" s="7">
        <v>0</v>
      </c>
      <c r="AC323" s="7">
        <v>-19042.572</v>
      </c>
      <c r="AD323" s="7">
        <v>0</v>
      </c>
      <c r="AE323" s="7">
        <v>0</v>
      </c>
      <c r="AF323" s="7">
        <v>-6.0960000000000001</v>
      </c>
      <c r="AG323" s="7">
        <v>-1413.662</v>
      </c>
      <c r="AH323" s="7">
        <v>0</v>
      </c>
      <c r="AI323" s="7">
        <v>-46451.387000000002</v>
      </c>
      <c r="AJ323" s="7">
        <v>-22630.045999999998</v>
      </c>
      <c r="AK323" s="7">
        <v>0</v>
      </c>
      <c r="AL323" s="7">
        <v>-141516.554</v>
      </c>
      <c r="AM323" s="7">
        <v>-43543.595000000001</v>
      </c>
      <c r="AN323" s="7">
        <v>0</v>
      </c>
      <c r="AO323" s="7">
        <v>0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7">
        <v>-105.491</v>
      </c>
      <c r="AV323" s="7">
        <v>0</v>
      </c>
      <c r="AW323" s="7">
        <v>0</v>
      </c>
      <c r="AX323" s="7">
        <v>-6467.473</v>
      </c>
      <c r="AY323" s="7">
        <v>0</v>
      </c>
      <c r="AZ323" s="7">
        <v>-25.814</v>
      </c>
      <c r="BA323" s="7">
        <v>0</v>
      </c>
      <c r="BB323" s="7">
        <v>-203.79</v>
      </c>
      <c r="BC323" s="7">
        <v>0</v>
      </c>
      <c r="BD323" s="7">
        <v>0</v>
      </c>
      <c r="BE323" s="7">
        <v>-5518.47</v>
      </c>
      <c r="BF323" s="21"/>
    </row>
    <row r="324" spans="1:58" ht="15.75" x14ac:dyDescent="0.25">
      <c r="A324" s="5" t="s">
        <v>575</v>
      </c>
      <c r="B324" s="5" t="s">
        <v>576</v>
      </c>
      <c r="C324" s="7">
        <v>6</v>
      </c>
      <c r="D324" s="7">
        <v>6</v>
      </c>
      <c r="E324" s="7">
        <v>1403.857</v>
      </c>
      <c r="F324" s="7">
        <v>0</v>
      </c>
      <c r="G324" s="7">
        <v>0</v>
      </c>
      <c r="H324" s="7">
        <v>0</v>
      </c>
      <c r="I324" s="7">
        <v>100.851</v>
      </c>
      <c r="J324" s="7">
        <v>0</v>
      </c>
      <c r="K324" s="7">
        <v>0</v>
      </c>
      <c r="L324" s="7">
        <v>0</v>
      </c>
      <c r="M324" s="7">
        <v>0</v>
      </c>
      <c r="N324" s="7">
        <v>25.079000000000001</v>
      </c>
      <c r="O324" s="7">
        <v>9486.6029999999992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467.10500000000002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3006.4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21"/>
    </row>
    <row r="325" spans="1:58" ht="15.75" x14ac:dyDescent="0.25">
      <c r="A325" s="5" t="s">
        <v>577</v>
      </c>
      <c r="B325" s="5" t="s">
        <v>578</v>
      </c>
      <c r="C325" s="7">
        <v>6</v>
      </c>
      <c r="D325" s="7">
        <v>6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7">
        <v>0</v>
      </c>
      <c r="AR325" s="7">
        <v>0</v>
      </c>
      <c r="AS325" s="7">
        <v>0</v>
      </c>
      <c r="AT325" s="7">
        <v>0</v>
      </c>
      <c r="AU325" s="7">
        <v>0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0</v>
      </c>
      <c r="BC325" s="7">
        <v>0</v>
      </c>
      <c r="BD325" s="7">
        <v>0</v>
      </c>
      <c r="BE325" s="7">
        <v>0</v>
      </c>
      <c r="BF325" s="21"/>
    </row>
    <row r="326" spans="1:58" ht="15.75" x14ac:dyDescent="0.25">
      <c r="A326" s="5" t="s">
        <v>579</v>
      </c>
      <c r="B326" s="5" t="s">
        <v>580</v>
      </c>
      <c r="C326" s="7">
        <v>6</v>
      </c>
      <c r="D326" s="7">
        <v>6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21"/>
    </row>
    <row r="327" spans="1:58" ht="15.75" x14ac:dyDescent="0.25">
      <c r="A327" s="5" t="s">
        <v>581</v>
      </c>
      <c r="B327" s="5" t="s">
        <v>582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21"/>
    </row>
    <row r="328" spans="1:58" ht="15.75" x14ac:dyDescent="0.25">
      <c r="A328" s="5" t="s">
        <v>583</v>
      </c>
      <c r="B328" s="5" t="s">
        <v>584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21"/>
    </row>
    <row r="329" spans="1:58" ht="15.75" x14ac:dyDescent="0.25">
      <c r="A329" s="5" t="s">
        <v>585</v>
      </c>
      <c r="B329" s="5" t="s">
        <v>586</v>
      </c>
      <c r="C329" s="7">
        <v>6</v>
      </c>
      <c r="D329" s="7">
        <v>6</v>
      </c>
      <c r="E329" s="7">
        <v>91.328999999999994</v>
      </c>
      <c r="F329" s="7">
        <v>6.3129999999999997</v>
      </c>
      <c r="G329" s="7">
        <v>9.3879999999999999</v>
      </c>
      <c r="H329" s="7">
        <v>0</v>
      </c>
      <c r="I329" s="7">
        <v>0.71599999999999997</v>
      </c>
      <c r="J329" s="7">
        <v>7.0049999999999999</v>
      </c>
      <c r="K329" s="7">
        <v>31.126000000000001</v>
      </c>
      <c r="L329" s="7">
        <v>5.4889999999999999</v>
      </c>
      <c r="M329" s="7">
        <v>0</v>
      </c>
      <c r="N329" s="7">
        <v>21.599</v>
      </c>
      <c r="O329" s="7">
        <v>49.465000000000003</v>
      </c>
      <c r="P329" s="7">
        <v>15.787000000000001</v>
      </c>
      <c r="Q329" s="7">
        <v>0</v>
      </c>
      <c r="R329" s="7">
        <v>0</v>
      </c>
      <c r="S329" s="7">
        <v>0.156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1.7869999999999999</v>
      </c>
      <c r="AA329" s="7">
        <v>5.7619999999999996</v>
      </c>
      <c r="AB329" s="7">
        <v>0</v>
      </c>
      <c r="AC329" s="7">
        <v>47.311</v>
      </c>
      <c r="AD329" s="7">
        <v>0</v>
      </c>
      <c r="AE329" s="7">
        <v>19.010999999999999</v>
      </c>
      <c r="AF329" s="7">
        <v>0</v>
      </c>
      <c r="AG329" s="7">
        <v>3.2919999999999998</v>
      </c>
      <c r="AH329" s="7">
        <v>0</v>
      </c>
      <c r="AI329" s="7">
        <v>135.499</v>
      </c>
      <c r="AJ329" s="7">
        <v>0</v>
      </c>
      <c r="AK329" s="7">
        <v>0</v>
      </c>
      <c r="AL329" s="7">
        <v>199.33099999999999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21"/>
    </row>
    <row r="330" spans="1:58" ht="15.75" x14ac:dyDescent="0.25">
      <c r="A330" s="5" t="s">
        <v>587</v>
      </c>
      <c r="B330" s="5" t="s">
        <v>588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21"/>
    </row>
    <row r="331" spans="1:58" ht="15.75" x14ac:dyDescent="0.25">
      <c r="A331" s="5" t="s">
        <v>589</v>
      </c>
      <c r="B331" s="5" t="s">
        <v>590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21"/>
    </row>
    <row r="332" spans="1:58" ht="15.75" x14ac:dyDescent="0.25">
      <c r="A332" s="5" t="s">
        <v>591</v>
      </c>
      <c r="B332" s="5" t="s">
        <v>592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21"/>
    </row>
    <row r="333" spans="1:58" ht="15.75" x14ac:dyDescent="0.25">
      <c r="A333" s="5" t="s">
        <v>593</v>
      </c>
      <c r="B333" s="5" t="s">
        <v>594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21"/>
    </row>
    <row r="334" spans="1:58" ht="15.75" x14ac:dyDescent="0.25">
      <c r="A334" s="5" t="s">
        <v>595</v>
      </c>
      <c r="B334" s="5" t="s">
        <v>596</v>
      </c>
      <c r="C334" s="7">
        <v>6</v>
      </c>
      <c r="D334" s="7">
        <v>6</v>
      </c>
      <c r="E334" s="7">
        <v>12816.584999999999</v>
      </c>
      <c r="F334" s="7">
        <v>2420.6689999999999</v>
      </c>
      <c r="G334" s="7">
        <v>2966.5830000000001</v>
      </c>
      <c r="H334" s="7">
        <v>2720.9050000000002</v>
      </c>
      <c r="I334" s="7">
        <v>461.54</v>
      </c>
      <c r="J334" s="7">
        <v>1901.798</v>
      </c>
      <c r="K334" s="7">
        <v>11680.547</v>
      </c>
      <c r="L334" s="7">
        <v>1878.1849999999999</v>
      </c>
      <c r="M334" s="7">
        <v>5353.3990000000003</v>
      </c>
      <c r="N334" s="7">
        <v>6503.598</v>
      </c>
      <c r="O334" s="7">
        <v>16560.708999999999</v>
      </c>
      <c r="P334" s="7">
        <v>6632.9480000000003</v>
      </c>
      <c r="Q334" s="7">
        <v>0</v>
      </c>
      <c r="R334" s="7">
        <v>0.33200000000000002</v>
      </c>
      <c r="S334" s="7">
        <v>64.013000000000005</v>
      </c>
      <c r="T334" s="7">
        <v>20.388999999999999</v>
      </c>
      <c r="U334" s="7">
        <v>95.65</v>
      </c>
      <c r="V334" s="7">
        <v>335.88</v>
      </c>
      <c r="W334" s="7">
        <v>0</v>
      </c>
      <c r="X334" s="7">
        <v>147.547</v>
      </c>
      <c r="Y334" s="7">
        <v>4205.66</v>
      </c>
      <c r="Z334" s="7">
        <v>223.18600000000001</v>
      </c>
      <c r="AA334" s="7">
        <v>696.11800000000005</v>
      </c>
      <c r="AB334" s="7">
        <v>16.472999999999999</v>
      </c>
      <c r="AC334" s="7">
        <v>4923.4759999999997</v>
      </c>
      <c r="AD334" s="7">
        <v>0</v>
      </c>
      <c r="AE334" s="7">
        <v>1942.72</v>
      </c>
      <c r="AF334" s="7">
        <v>13.692</v>
      </c>
      <c r="AG334" s="7">
        <v>349.50299999999999</v>
      </c>
      <c r="AH334" s="7">
        <v>1.248</v>
      </c>
      <c r="AI334" s="7">
        <v>13532.978999999999</v>
      </c>
      <c r="AJ334" s="7">
        <v>863.60199999999998</v>
      </c>
      <c r="AK334" s="7">
        <v>3.823</v>
      </c>
      <c r="AL334" s="7">
        <v>27919.769</v>
      </c>
      <c r="AM334" s="7">
        <v>1501.15</v>
      </c>
      <c r="AN334" s="7">
        <v>0</v>
      </c>
      <c r="AO334" s="7">
        <v>0</v>
      </c>
      <c r="AP334" s="7">
        <v>517.351</v>
      </c>
      <c r="AQ334" s="7">
        <v>388.798</v>
      </c>
      <c r="AR334" s="7">
        <v>0</v>
      </c>
      <c r="AS334" s="7">
        <v>710.25199999999995</v>
      </c>
      <c r="AT334" s="7">
        <v>0</v>
      </c>
      <c r="AU334" s="7">
        <v>6.9950000000000001</v>
      </c>
      <c r="AV334" s="7">
        <v>14.102</v>
      </c>
      <c r="AW334" s="7">
        <v>7.8470000000000004</v>
      </c>
      <c r="AX334" s="7">
        <v>211.554</v>
      </c>
      <c r="AY334" s="7">
        <v>3.5369999999999999</v>
      </c>
      <c r="AZ334" s="7">
        <v>3.1560000000000001</v>
      </c>
      <c r="BA334" s="7">
        <v>0</v>
      </c>
      <c r="BB334" s="7">
        <v>77.707999999999998</v>
      </c>
      <c r="BC334" s="7">
        <v>16.329999999999998</v>
      </c>
      <c r="BD334" s="7">
        <v>13.622</v>
      </c>
      <c r="BE334" s="7">
        <v>135.62200000000001</v>
      </c>
      <c r="BF334" s="21"/>
    </row>
    <row r="335" spans="1:58" ht="15.75" x14ac:dyDescent="0.25">
      <c r="A335" s="5" t="s">
        <v>597</v>
      </c>
      <c r="B335" s="5" t="s">
        <v>598</v>
      </c>
      <c r="C335" s="7">
        <v>6</v>
      </c>
      <c r="D335" s="7">
        <v>6</v>
      </c>
      <c r="E335" s="7">
        <v>-6283.1379999999999</v>
      </c>
      <c r="F335" s="7">
        <v>-3144.4810000000002</v>
      </c>
      <c r="G335" s="7">
        <v>-1364.346</v>
      </c>
      <c r="H335" s="7">
        <v>-10992.115</v>
      </c>
      <c r="I335" s="7">
        <v>-306.39100000000002</v>
      </c>
      <c r="J335" s="7">
        <v>-869.65300000000002</v>
      </c>
      <c r="K335" s="7">
        <v>-8068.7889999999998</v>
      </c>
      <c r="L335" s="7">
        <v>-950.67100000000005</v>
      </c>
      <c r="M335" s="7">
        <v>-159.726</v>
      </c>
      <c r="N335" s="7">
        <v>-3568.8290000000002</v>
      </c>
      <c r="O335" s="7">
        <v>-19701.832999999999</v>
      </c>
      <c r="P335" s="7">
        <v>-2549.7150000000001</v>
      </c>
      <c r="Q335" s="7">
        <v>-6.9260000000000002</v>
      </c>
      <c r="R335" s="7">
        <v>-3.5270000000000001</v>
      </c>
      <c r="S335" s="7">
        <v>-73.619</v>
      </c>
      <c r="T335" s="7">
        <v>-5.0789999999999997</v>
      </c>
      <c r="U335" s="7">
        <v>-146.90199999999999</v>
      </c>
      <c r="V335" s="7">
        <v>-24.065000000000001</v>
      </c>
      <c r="W335" s="7">
        <v>-1.6020000000000001</v>
      </c>
      <c r="X335" s="7">
        <v>-56.927999999999997</v>
      </c>
      <c r="Y335" s="7">
        <v>-119.708</v>
      </c>
      <c r="Z335" s="7">
        <v>-42.966999999999999</v>
      </c>
      <c r="AA335" s="7">
        <v>-126.148</v>
      </c>
      <c r="AB335" s="7">
        <v>-104.97</v>
      </c>
      <c r="AC335" s="7">
        <v>-1218.4639999999999</v>
      </c>
      <c r="AD335" s="7">
        <v>-37.765999999999998</v>
      </c>
      <c r="AE335" s="7">
        <v>-11.384</v>
      </c>
      <c r="AF335" s="7">
        <v>-1.6719999999999999</v>
      </c>
      <c r="AG335" s="7">
        <v>-2.649</v>
      </c>
      <c r="AH335" s="7">
        <v>-0.29799999999999999</v>
      </c>
      <c r="AI335" s="7">
        <v>-4023.9029999999998</v>
      </c>
      <c r="AJ335" s="7">
        <v>-455.44600000000003</v>
      </c>
      <c r="AK335" s="7">
        <v>-106.845</v>
      </c>
      <c r="AL335" s="7">
        <v>-19202.327000000001</v>
      </c>
      <c r="AM335" s="7">
        <v>-958.06500000000005</v>
      </c>
      <c r="AN335" s="7">
        <v>-262.86900000000003</v>
      </c>
      <c r="AO335" s="7">
        <v>-2846.002</v>
      </c>
      <c r="AP335" s="7">
        <v>-162.083</v>
      </c>
      <c r="AQ335" s="7">
        <v>-94.057000000000002</v>
      </c>
      <c r="AR335" s="7">
        <v>-1756.748</v>
      </c>
      <c r="AS335" s="7">
        <v>-27.035</v>
      </c>
      <c r="AT335" s="7">
        <v>-885.57</v>
      </c>
      <c r="AU335" s="7">
        <v>-4.6059999999999999</v>
      </c>
      <c r="AV335" s="7">
        <v>-4.1529999999999996</v>
      </c>
      <c r="AW335" s="7">
        <v>-12.766</v>
      </c>
      <c r="AX335" s="7">
        <v>-137.994</v>
      </c>
      <c r="AY335" s="7">
        <v>-6.3540000000000001</v>
      </c>
      <c r="AZ335" s="7">
        <v>-3.6219999999999999</v>
      </c>
      <c r="BA335" s="7">
        <v>0</v>
      </c>
      <c r="BB335" s="7">
        <v>-28.696999999999999</v>
      </c>
      <c r="BC335" s="7">
        <v>-0.16600000000000001</v>
      </c>
      <c r="BD335" s="7">
        <v>-28.391999999999999</v>
      </c>
      <c r="BE335" s="7">
        <v>-168.52500000000001</v>
      </c>
      <c r="BF335" s="21"/>
    </row>
    <row r="336" spans="1:58" ht="15.75" x14ac:dyDescent="0.25">
      <c r="A336" s="5" t="s">
        <v>599</v>
      </c>
      <c r="B336" s="5" t="s">
        <v>600</v>
      </c>
      <c r="C336" s="7">
        <v>6</v>
      </c>
      <c r="D336" s="7">
        <v>6</v>
      </c>
      <c r="E336" s="7">
        <v>-1445.9369999999999</v>
      </c>
      <c r="F336" s="7">
        <v>-13.039</v>
      </c>
      <c r="G336" s="7">
        <v>-117.745</v>
      </c>
      <c r="H336" s="7">
        <v>-188.018</v>
      </c>
      <c r="I336" s="7">
        <v>-14.22</v>
      </c>
      <c r="J336" s="7">
        <v>-16.492999999999999</v>
      </c>
      <c r="K336" s="7">
        <v>-217.08</v>
      </c>
      <c r="L336" s="7">
        <v>-44.768000000000001</v>
      </c>
      <c r="M336" s="7">
        <v>-21.181000000000001</v>
      </c>
      <c r="N336" s="7">
        <v>-373.25799999999998</v>
      </c>
      <c r="O336" s="7">
        <v>-1125.1569999999999</v>
      </c>
      <c r="P336" s="7">
        <v>-66.846000000000004</v>
      </c>
      <c r="Q336" s="7">
        <v>0</v>
      </c>
      <c r="R336" s="7">
        <v>0</v>
      </c>
      <c r="S336" s="7">
        <v>0</v>
      </c>
      <c r="T336" s="7">
        <v>0</v>
      </c>
      <c r="U336" s="7">
        <v>-6.7229999999999999</v>
      </c>
      <c r="V336" s="7">
        <v>0</v>
      </c>
      <c r="W336" s="7">
        <v>0</v>
      </c>
      <c r="X336" s="7">
        <v>-1.0429999999999999</v>
      </c>
      <c r="Y336" s="7">
        <v>-23.768999999999998</v>
      </c>
      <c r="Z336" s="7">
        <v>-0.27300000000000002</v>
      </c>
      <c r="AA336" s="7">
        <v>-2.4580000000000002</v>
      </c>
      <c r="AB336" s="7">
        <v>-12.118</v>
      </c>
      <c r="AC336" s="7">
        <v>-60.08</v>
      </c>
      <c r="AD336" s="7">
        <v>-1.151</v>
      </c>
      <c r="AE336" s="7">
        <v>-1.0649999999999999</v>
      </c>
      <c r="AF336" s="7">
        <v>-12.084</v>
      </c>
      <c r="AG336" s="7">
        <v>-8.3070000000000004</v>
      </c>
      <c r="AH336" s="7">
        <v>-0.90400000000000003</v>
      </c>
      <c r="AI336" s="7">
        <v>-567.82000000000005</v>
      </c>
      <c r="AJ336" s="7">
        <v>-79.822000000000003</v>
      </c>
      <c r="AK336" s="7">
        <v>-4.6559999999999997</v>
      </c>
      <c r="AL336" s="7">
        <v>-1243.567</v>
      </c>
      <c r="AM336" s="7">
        <v>-96.094999999999999</v>
      </c>
      <c r="AN336" s="7">
        <v>-10.499000000000001</v>
      </c>
      <c r="AO336" s="7">
        <v>-553.84500000000003</v>
      </c>
      <c r="AP336" s="7">
        <v>-12.318</v>
      </c>
      <c r="AQ336" s="7">
        <v>-3.1190000000000002</v>
      </c>
      <c r="AR336" s="7">
        <v>-261.57799999999997</v>
      </c>
      <c r="AS336" s="7">
        <v>-5.2279999999999998</v>
      </c>
      <c r="AT336" s="7">
        <v>-340.10199999999998</v>
      </c>
      <c r="AU336" s="7">
        <v>0</v>
      </c>
      <c r="AV336" s="7">
        <v>0</v>
      </c>
      <c r="AW336" s="7">
        <v>-0.22900000000000001</v>
      </c>
      <c r="AX336" s="7">
        <v>-15.225</v>
      </c>
      <c r="AY336" s="7">
        <v>-1.0999999999999999E-2</v>
      </c>
      <c r="AZ336" s="7">
        <v>0</v>
      </c>
      <c r="BA336" s="7">
        <v>0</v>
      </c>
      <c r="BB336" s="7">
        <v>-119.185</v>
      </c>
      <c r="BC336" s="7">
        <v>-1.2250000000000001</v>
      </c>
      <c r="BD336" s="7">
        <v>-2.0950000000000002</v>
      </c>
      <c r="BE336" s="7">
        <v>-4.7640000000000002</v>
      </c>
      <c r="BF336" s="21"/>
    </row>
    <row r="337" spans="1:58" ht="15.75" x14ac:dyDescent="0.25">
      <c r="A337" s="5" t="s">
        <v>601</v>
      </c>
      <c r="B337" s="5" t="s">
        <v>602</v>
      </c>
      <c r="C337" s="7">
        <v>6</v>
      </c>
      <c r="D337" s="7">
        <v>6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7">
        <v>0</v>
      </c>
      <c r="AK337" s="7">
        <v>0</v>
      </c>
      <c r="AL337" s="7">
        <v>0</v>
      </c>
      <c r="AM337" s="7">
        <v>0</v>
      </c>
      <c r="AN337" s="7">
        <v>0</v>
      </c>
      <c r="AO337" s="7">
        <v>0</v>
      </c>
      <c r="AP337" s="7">
        <v>0</v>
      </c>
      <c r="AQ337" s="7">
        <v>0</v>
      </c>
      <c r="AR337" s="7">
        <v>0</v>
      </c>
      <c r="AS337" s="7">
        <v>0</v>
      </c>
      <c r="AT337" s="7">
        <v>0</v>
      </c>
      <c r="AU337" s="7">
        <v>0</v>
      </c>
      <c r="AV337" s="7">
        <v>0</v>
      </c>
      <c r="AW337" s="7">
        <v>0</v>
      </c>
      <c r="AX337" s="7">
        <v>0</v>
      </c>
      <c r="AY337" s="7">
        <v>0</v>
      </c>
      <c r="AZ337" s="7">
        <v>0</v>
      </c>
      <c r="BA337" s="7">
        <v>0</v>
      </c>
      <c r="BB337" s="7">
        <v>0</v>
      </c>
      <c r="BC337" s="7">
        <v>0</v>
      </c>
      <c r="BD337" s="7">
        <v>0</v>
      </c>
      <c r="BE337" s="7">
        <v>0</v>
      </c>
      <c r="BF337" s="21"/>
    </row>
    <row r="338" spans="1:58" ht="15.75" x14ac:dyDescent="0.25">
      <c r="A338" s="5" t="s">
        <v>603</v>
      </c>
      <c r="B338" s="5" t="s">
        <v>604</v>
      </c>
      <c r="C338" s="7">
        <v>6</v>
      </c>
      <c r="D338" s="7">
        <v>6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 s="21"/>
    </row>
    <row r="339" spans="1:58" ht="15.75" x14ac:dyDescent="0.25">
      <c r="A339" s="5" t="s">
        <v>605</v>
      </c>
      <c r="B339" s="5" t="s">
        <v>606</v>
      </c>
      <c r="C339" s="5"/>
      <c r="D339" s="5"/>
      <c r="E339">
        <v>5828783.4019999998</v>
      </c>
      <c r="F339">
        <v>875926.60400000005</v>
      </c>
      <c r="G339">
        <v>1101528.0160000001</v>
      </c>
      <c r="H339">
        <v>1063093.3400000001</v>
      </c>
      <c r="I339">
        <v>149705.62299999999</v>
      </c>
      <c r="J339">
        <v>756113.82900000003</v>
      </c>
      <c r="K339">
        <v>4657106.7</v>
      </c>
      <c r="L339">
        <v>894193.87</v>
      </c>
      <c r="M339">
        <v>318918.527</v>
      </c>
      <c r="N339">
        <v>2538364.0720000002</v>
      </c>
      <c r="O339">
        <v>8979110.4110000003</v>
      </c>
      <c r="P339">
        <v>2607817.2910000002</v>
      </c>
      <c r="Q339">
        <v>16860.242999999999</v>
      </c>
      <c r="R339">
        <v>5866.1189999999997</v>
      </c>
      <c r="S339">
        <v>23582.234</v>
      </c>
      <c r="T339">
        <v>10953.936</v>
      </c>
      <c r="U339">
        <v>22621.342000000001</v>
      </c>
      <c r="V339">
        <v>258985.88099999999</v>
      </c>
      <c r="W339">
        <v>2913.808</v>
      </c>
      <c r="X339">
        <v>110050.351</v>
      </c>
      <c r="Y339">
        <v>250578.11600000001</v>
      </c>
      <c r="Z339">
        <v>77614.020999999993</v>
      </c>
      <c r="AA339">
        <v>238426.59400000001</v>
      </c>
      <c r="AB339">
        <v>211330.587</v>
      </c>
      <c r="AC339">
        <v>1712970.8740000001</v>
      </c>
      <c r="AD339">
        <v>80053.479000000007</v>
      </c>
      <c r="AE339">
        <v>804322.15800000005</v>
      </c>
      <c r="AF339">
        <v>179470.717</v>
      </c>
      <c r="AG339">
        <v>135205.932</v>
      </c>
      <c r="AH339">
        <v>46545.517</v>
      </c>
      <c r="AI339">
        <v>4440669.1119999997</v>
      </c>
      <c r="AJ339">
        <v>926469.93400000001</v>
      </c>
      <c r="AK339">
        <v>189442.20300000001</v>
      </c>
      <c r="AL339">
        <v>13808342.92</v>
      </c>
      <c r="AM339">
        <v>1834195.5589999999</v>
      </c>
      <c r="AN339">
        <v>532476.174</v>
      </c>
      <c r="AO339">
        <v>6282871.0559999999</v>
      </c>
      <c r="AP339">
        <v>325213.47600000002</v>
      </c>
      <c r="AQ339">
        <v>197653.27900000001</v>
      </c>
      <c r="AR339">
        <v>3988027.1379999998</v>
      </c>
      <c r="AS339">
        <v>48922.811000000002</v>
      </c>
      <c r="AT339">
        <v>1947505.6910000001</v>
      </c>
      <c r="AU339">
        <v>7936.732</v>
      </c>
      <c r="AV339">
        <v>10670.362999999999</v>
      </c>
      <c r="AW339">
        <v>25470.097000000002</v>
      </c>
      <c r="AX339">
        <v>259573.97700000001</v>
      </c>
      <c r="AY339">
        <v>12521.991</v>
      </c>
      <c r="AZ339">
        <v>3156.9090000000001</v>
      </c>
      <c r="BA339">
        <v>0</v>
      </c>
      <c r="BB339">
        <v>81444.642000000007</v>
      </c>
      <c r="BC339">
        <v>53966.046000000002</v>
      </c>
      <c r="BD339">
        <v>44121.108</v>
      </c>
      <c r="BE339">
        <v>338283.53899999999</v>
      </c>
      <c r="BF339" s="21"/>
    </row>
    <row r="340" spans="1:58" x14ac:dyDescent="0.2">
      <c r="BF340" s="21"/>
    </row>
    <row r="341" spans="1:58" ht="15.75" x14ac:dyDescent="0.25">
      <c r="A341" s="5" t="s">
        <v>607</v>
      </c>
      <c r="E341">
        <f t="shared" ref="E341:BD341" si="0">SUM(E6:E338)-E339</f>
        <v>0</v>
      </c>
      <c r="F341">
        <f t="shared" si="0"/>
        <v>0</v>
      </c>
      <c r="G341">
        <f t="shared" si="0"/>
        <v>0</v>
      </c>
      <c r="H341">
        <f t="shared" si="0"/>
        <v>0</v>
      </c>
      <c r="I341">
        <f t="shared" si="0"/>
        <v>0</v>
      </c>
      <c r="J341">
        <f t="shared" si="0"/>
        <v>0</v>
      </c>
      <c r="K341">
        <f t="shared" si="0"/>
        <v>0</v>
      </c>
      <c r="L341">
        <f t="shared" si="0"/>
        <v>0</v>
      </c>
      <c r="M341">
        <f t="shared" si="0"/>
        <v>0</v>
      </c>
      <c r="N341">
        <f t="shared" si="0"/>
        <v>0</v>
      </c>
      <c r="O341">
        <f t="shared" si="0"/>
        <v>0</v>
      </c>
      <c r="P341">
        <f t="shared" si="0"/>
        <v>0</v>
      </c>
      <c r="Q341">
        <f t="shared" si="0"/>
        <v>0</v>
      </c>
      <c r="R341">
        <f t="shared" si="0"/>
        <v>0</v>
      </c>
      <c r="S341">
        <f t="shared" si="0"/>
        <v>0</v>
      </c>
      <c r="T341">
        <f t="shared" si="0"/>
        <v>0</v>
      </c>
      <c r="U341">
        <f t="shared" si="0"/>
        <v>0</v>
      </c>
      <c r="V341">
        <f t="shared" si="0"/>
        <v>0</v>
      </c>
      <c r="W341">
        <f t="shared" si="0"/>
        <v>0</v>
      </c>
      <c r="X341">
        <f t="shared" si="0"/>
        <v>0</v>
      </c>
      <c r="Y341">
        <f t="shared" si="0"/>
        <v>0</v>
      </c>
      <c r="Z341">
        <f t="shared" si="0"/>
        <v>0</v>
      </c>
      <c r="AA341">
        <f t="shared" si="0"/>
        <v>0</v>
      </c>
      <c r="AB341">
        <f t="shared" si="0"/>
        <v>0</v>
      </c>
      <c r="AC341">
        <f t="shared" si="0"/>
        <v>0</v>
      </c>
      <c r="AD341">
        <f t="shared" si="0"/>
        <v>0</v>
      </c>
      <c r="AE341">
        <f t="shared" si="0"/>
        <v>0</v>
      </c>
      <c r="AF341">
        <f t="shared" si="0"/>
        <v>0</v>
      </c>
      <c r="AG341">
        <f t="shared" si="0"/>
        <v>0</v>
      </c>
      <c r="AH341">
        <f t="shared" si="0"/>
        <v>0</v>
      </c>
      <c r="AI341">
        <f t="shared" si="0"/>
        <v>0</v>
      </c>
      <c r="AJ341">
        <f t="shared" si="0"/>
        <v>0</v>
      </c>
      <c r="AK341">
        <f t="shared" si="0"/>
        <v>0</v>
      </c>
      <c r="AL341">
        <f t="shared" si="0"/>
        <v>0</v>
      </c>
      <c r="AM341">
        <f t="shared" si="0"/>
        <v>0</v>
      </c>
      <c r="AN341">
        <f t="shared" si="0"/>
        <v>0</v>
      </c>
      <c r="AO341">
        <f t="shared" si="0"/>
        <v>0</v>
      </c>
      <c r="AP341">
        <f t="shared" si="0"/>
        <v>0</v>
      </c>
      <c r="AQ341">
        <f t="shared" si="0"/>
        <v>0</v>
      </c>
      <c r="AR341">
        <f t="shared" si="0"/>
        <v>0</v>
      </c>
      <c r="AS341">
        <f>SUM(AS6:AS338)-AS339</f>
        <v>0</v>
      </c>
      <c r="AT341">
        <f>SUM(AT6:AT338)-AT339</f>
        <v>0</v>
      </c>
      <c r="AU341">
        <f>SUM(AU6:AU338)-AU339</f>
        <v>0</v>
      </c>
      <c r="AV341">
        <f>SUM(AV6:AV338)-AV339</f>
        <v>0</v>
      </c>
      <c r="AW341">
        <f t="shared" si="0"/>
        <v>0</v>
      </c>
      <c r="AX341">
        <f t="shared" si="0"/>
        <v>0</v>
      </c>
      <c r="AY341">
        <f t="shared" si="0"/>
        <v>0</v>
      </c>
      <c r="AZ341">
        <f t="shared" si="0"/>
        <v>0</v>
      </c>
      <c r="BA341">
        <f t="shared" si="0"/>
        <v>0</v>
      </c>
      <c r="BB341">
        <f t="shared" si="0"/>
        <v>0</v>
      </c>
      <c r="BC341">
        <f t="shared" si="0"/>
        <v>0</v>
      </c>
      <c r="BD341">
        <f t="shared" si="0"/>
        <v>0</v>
      </c>
      <c r="BE341">
        <f>SUM(BE6:BE338)-BE339</f>
        <v>0</v>
      </c>
      <c r="BF341" s="21"/>
    </row>
    <row r="342" spans="1:58" x14ac:dyDescent="0.2">
      <c r="BF342" s="21"/>
    </row>
    <row r="343" spans="1:58" x14ac:dyDescent="0.2">
      <c r="A343" t="s">
        <v>608</v>
      </c>
      <c r="D343">
        <v>1</v>
      </c>
      <c r="E343" s="16">
        <f t="shared" ref="E343:BD343" si="1">SUMIF($D$5:$D$337,$D$343,E5:E337)</f>
        <v>615811.51899999997</v>
      </c>
      <c r="F343" s="16">
        <f t="shared" si="1"/>
        <v>153711.17199999999</v>
      </c>
      <c r="G343" s="16">
        <f t="shared" si="1"/>
        <v>36189.082999999999</v>
      </c>
      <c r="H343" s="16">
        <f t="shared" si="1"/>
        <v>6719.94</v>
      </c>
      <c r="I343" s="16">
        <f t="shared" si="1"/>
        <v>14652.036</v>
      </c>
      <c r="J343" s="16">
        <f t="shared" si="1"/>
        <v>24824.102999999999</v>
      </c>
      <c r="K343" s="16">
        <f t="shared" si="1"/>
        <v>789952.94299999997</v>
      </c>
      <c r="L343" s="16">
        <f t="shared" si="1"/>
        <v>87074.525000000009</v>
      </c>
      <c r="M343" s="16">
        <f t="shared" si="1"/>
        <v>14463.098</v>
      </c>
      <c r="N343" s="16">
        <f t="shared" si="1"/>
        <v>151152.93600000002</v>
      </c>
      <c r="O343" s="16">
        <f t="shared" si="1"/>
        <v>1791915.3579999998</v>
      </c>
      <c r="P343" s="16">
        <f t="shared" si="1"/>
        <v>165657.28500000003</v>
      </c>
      <c r="Q343" s="16">
        <f>SUMIF($D$5:$D$337,$D$343,Q5:Q337)</f>
        <v>389.71</v>
      </c>
      <c r="R343" s="16">
        <f t="shared" si="1"/>
        <v>4308.7190000000001</v>
      </c>
      <c r="S343" s="16">
        <f t="shared" si="1"/>
        <v>991.94100000000003</v>
      </c>
      <c r="T343" s="16">
        <f t="shared" si="1"/>
        <v>4306.9380000000001</v>
      </c>
      <c r="U343" s="16">
        <f t="shared" si="1"/>
        <v>2150.3339999999998</v>
      </c>
      <c r="V343" s="16">
        <f t="shared" si="1"/>
        <v>45096.999000000003</v>
      </c>
      <c r="W343" s="16">
        <f t="shared" si="1"/>
        <v>91.019000000000005</v>
      </c>
      <c r="X343" s="16">
        <f t="shared" si="1"/>
        <v>60445.926999999996</v>
      </c>
      <c r="Y343" s="16">
        <f t="shared" si="1"/>
        <v>14322.605</v>
      </c>
      <c r="Z343" s="16">
        <f t="shared" si="1"/>
        <v>9311.384</v>
      </c>
      <c r="AA343" s="16">
        <f t="shared" si="1"/>
        <v>24072.223000000002</v>
      </c>
      <c r="AB343" s="16">
        <f t="shared" si="1"/>
        <v>158051.084</v>
      </c>
      <c r="AC343" s="16">
        <f t="shared" si="1"/>
        <v>301575.23499999999</v>
      </c>
      <c r="AD343" s="16">
        <f t="shared" si="1"/>
        <v>43719.499000000003</v>
      </c>
      <c r="AE343" s="16">
        <f t="shared" si="1"/>
        <v>63732.307999999997</v>
      </c>
      <c r="AF343" s="16">
        <f t="shared" si="1"/>
        <v>135784.02100000001</v>
      </c>
      <c r="AG343" s="16">
        <f t="shared" si="1"/>
        <v>25454.346999999998</v>
      </c>
      <c r="AH343" s="16">
        <f t="shared" si="1"/>
        <v>13188.811</v>
      </c>
      <c r="AI343" s="16">
        <f t="shared" si="1"/>
        <v>762507.2429999999</v>
      </c>
      <c r="AJ343" s="16">
        <f t="shared" si="1"/>
        <v>337605.071</v>
      </c>
      <c r="AK343" s="16">
        <f t="shared" si="1"/>
        <v>54883.474999999999</v>
      </c>
      <c r="AL343" s="16">
        <f t="shared" si="1"/>
        <v>2304113.3160000001</v>
      </c>
      <c r="AM343" s="16">
        <f t="shared" si="1"/>
        <v>648703.19999999995</v>
      </c>
      <c r="AN343" s="16">
        <f t="shared" si="1"/>
        <v>285303.92399999994</v>
      </c>
      <c r="AO343" s="16">
        <f t="shared" si="1"/>
        <v>4952856.1949999994</v>
      </c>
      <c r="AP343" s="16">
        <f t="shared" si="1"/>
        <v>147925.24100000001</v>
      </c>
      <c r="AQ343" s="16">
        <f t="shared" si="1"/>
        <v>67253.574999999997</v>
      </c>
      <c r="AR343" s="16">
        <f t="shared" si="1"/>
        <v>3136390.2689999999</v>
      </c>
      <c r="AS343" s="16">
        <f>SUMIF($D$5:$D$337,$D$343,AS5:AS337)</f>
        <v>8884.0280000000002</v>
      </c>
      <c r="AT343" s="16">
        <f>SUMIF($D$5:$D$337,$D$343,AT5:AT337)</f>
        <v>1539834.1199999999</v>
      </c>
      <c r="AU343" s="16">
        <f>SUMIF($D$5:$D$337,$D$343,AU5:AU337)</f>
        <v>1951.0630000000001</v>
      </c>
      <c r="AV343" s="16">
        <f>SUMIF($D$5:$D$337,$D$343,AV5:AV337)</f>
        <v>4878.1240000000007</v>
      </c>
      <c r="AW343" s="16">
        <f t="shared" si="1"/>
        <v>2413.348</v>
      </c>
      <c r="AX343" s="16">
        <f t="shared" si="1"/>
        <v>102024.496</v>
      </c>
      <c r="AY343" s="16">
        <f t="shared" si="1"/>
        <v>2131.0239999999999</v>
      </c>
      <c r="AZ343" s="16">
        <f t="shared" si="1"/>
        <v>569.93100000000004</v>
      </c>
      <c r="BA343" s="16">
        <f t="shared" si="1"/>
        <v>0</v>
      </c>
      <c r="BB343" s="16">
        <f t="shared" si="1"/>
        <v>18501.575999999997</v>
      </c>
      <c r="BC343" s="16">
        <f t="shared" si="1"/>
        <v>5935.7130000000006</v>
      </c>
      <c r="BD343" s="16">
        <f t="shared" si="1"/>
        <v>4088.076</v>
      </c>
      <c r="BE343" s="16">
        <f>SUMIF($D$5:$D$337,$D$343,BE5:BE337)</f>
        <v>86601.05799999999</v>
      </c>
      <c r="BF343" s="21"/>
    </row>
    <row r="344" spans="1:58" x14ac:dyDescent="0.2">
      <c r="A344" t="s">
        <v>609</v>
      </c>
      <c r="D344">
        <v>2</v>
      </c>
      <c r="E344" s="16">
        <f t="shared" ref="E344:BD344" si="2">SUMIF($D$5:$D$337,$D$344,E5:E337)</f>
        <v>1484693.4699999997</v>
      </c>
      <c r="F344" s="16">
        <f t="shared" si="2"/>
        <v>162662.758</v>
      </c>
      <c r="G344" s="16">
        <f t="shared" si="2"/>
        <v>376708.54</v>
      </c>
      <c r="H344" s="16">
        <f t="shared" si="2"/>
        <v>318.767</v>
      </c>
      <c r="I344" s="16">
        <f t="shared" si="2"/>
        <v>54789.179000000004</v>
      </c>
      <c r="J344" s="16">
        <f t="shared" si="2"/>
        <v>264609.28200000001</v>
      </c>
      <c r="K344" s="16">
        <f t="shared" si="2"/>
        <v>794985.30799999996</v>
      </c>
      <c r="L344" s="16">
        <f t="shared" si="2"/>
        <v>178801.73000000004</v>
      </c>
      <c r="M344" s="16">
        <f t="shared" si="2"/>
        <v>224754.541</v>
      </c>
      <c r="N344" s="16">
        <f t="shared" si="2"/>
        <v>637475.70800000022</v>
      </c>
      <c r="O344" s="16">
        <f t="shared" si="2"/>
        <v>708467.451</v>
      </c>
      <c r="P344" s="16">
        <f t="shared" si="2"/>
        <v>637461.35599999991</v>
      </c>
      <c r="Q344" s="16">
        <f>SUMIF($D$5:$D$337,$D$344,Q5:Q337)</f>
        <v>13091.529</v>
      </c>
      <c r="R344" s="16">
        <f t="shared" si="2"/>
        <v>0</v>
      </c>
      <c r="S344" s="16">
        <f t="shared" si="2"/>
        <v>18329.121999999999</v>
      </c>
      <c r="T344" s="16">
        <f t="shared" si="2"/>
        <v>1547.277</v>
      </c>
      <c r="U344" s="16">
        <f t="shared" si="2"/>
        <v>4824.3909999999996</v>
      </c>
      <c r="V344" s="16">
        <f t="shared" si="2"/>
        <v>50516.413</v>
      </c>
      <c r="W344" s="16">
        <f t="shared" si="2"/>
        <v>2824.3910000000001</v>
      </c>
      <c r="X344" s="16">
        <f t="shared" si="2"/>
        <v>4770.4639999999999</v>
      </c>
      <c r="Y344" s="16">
        <f t="shared" si="2"/>
        <v>176568.41700000002</v>
      </c>
      <c r="Z344" s="16">
        <f t="shared" si="2"/>
        <v>20816.034</v>
      </c>
      <c r="AA344" s="16">
        <f t="shared" si="2"/>
        <v>53774.758999999998</v>
      </c>
      <c r="AB344" s="16">
        <f t="shared" si="2"/>
        <v>0</v>
      </c>
      <c r="AC344" s="16">
        <f t="shared" si="2"/>
        <v>285743.516</v>
      </c>
      <c r="AD344" s="16">
        <f t="shared" si="2"/>
        <v>0</v>
      </c>
      <c r="AE344" s="16">
        <f t="shared" si="2"/>
        <v>263268.68200000003</v>
      </c>
      <c r="AF344" s="16">
        <f t="shared" si="2"/>
        <v>10.423</v>
      </c>
      <c r="AG344" s="16">
        <f t="shared" si="2"/>
        <v>20736.629999999997</v>
      </c>
      <c r="AH344" s="16">
        <f t="shared" si="2"/>
        <v>6155.5819999999994</v>
      </c>
      <c r="AI344" s="16">
        <f t="shared" si="2"/>
        <v>731196.10400000005</v>
      </c>
      <c r="AJ344" s="16">
        <f t="shared" si="2"/>
        <v>41003.138999999996</v>
      </c>
      <c r="AK344" s="16">
        <f t="shared" si="2"/>
        <v>17575.670999999998</v>
      </c>
      <c r="AL344" s="16">
        <f t="shared" si="2"/>
        <v>1849547.5989999999</v>
      </c>
      <c r="AM344" s="16">
        <f t="shared" si="2"/>
        <v>79046.081000000006</v>
      </c>
      <c r="AN344" s="16">
        <f t="shared" si="2"/>
        <v>0</v>
      </c>
      <c r="AO344" s="16">
        <f t="shared" si="2"/>
        <v>0</v>
      </c>
      <c r="AP344" s="16">
        <f t="shared" si="2"/>
        <v>36684.616999999998</v>
      </c>
      <c r="AQ344" s="16">
        <f t="shared" si="2"/>
        <v>37411.417000000001</v>
      </c>
      <c r="AR344" s="16">
        <f t="shared" si="2"/>
        <v>0</v>
      </c>
      <c r="AS344" s="16">
        <f>SUMIF($D$5:$D$337,$D$344,AS5:AS337)</f>
        <v>29818.870999999999</v>
      </c>
      <c r="AT344" s="16">
        <f>SUMIF($D$5:$D$337,$D$344,AT5:AT337)</f>
        <v>0</v>
      </c>
      <c r="AU344" s="16">
        <f>SUMIF($D$5:$D$337,$D$344,AU5:AU337)</f>
        <v>1569.8780000000002</v>
      </c>
      <c r="AV344" s="16">
        <f>SUMIF($D$5:$D$337,$D$344,AV5:AV337)</f>
        <v>1701.3310000000001</v>
      </c>
      <c r="AW344" s="16">
        <f t="shared" si="2"/>
        <v>0</v>
      </c>
      <c r="AX344" s="16">
        <f t="shared" si="2"/>
        <v>11671.813</v>
      </c>
      <c r="AY344" s="16">
        <f t="shared" si="2"/>
        <v>0</v>
      </c>
      <c r="AZ344" s="16">
        <f t="shared" si="2"/>
        <v>1082.9669999999999</v>
      </c>
      <c r="BA344" s="16">
        <f t="shared" si="2"/>
        <v>0</v>
      </c>
      <c r="BB344" s="16">
        <f t="shared" si="2"/>
        <v>29056.029000000002</v>
      </c>
      <c r="BC344" s="16">
        <f t="shared" si="2"/>
        <v>0</v>
      </c>
      <c r="BD344" s="16">
        <f t="shared" si="2"/>
        <v>0</v>
      </c>
      <c r="BE344" s="16">
        <f>SUMIF($D$5:$D$337,$D$344,BE5:BE337)</f>
        <v>40799.188000000002</v>
      </c>
      <c r="BF344" s="21"/>
    </row>
    <row r="345" spans="1:58" x14ac:dyDescent="0.2">
      <c r="A345" t="s">
        <v>610</v>
      </c>
      <c r="D345">
        <v>3</v>
      </c>
      <c r="E345" s="16">
        <f t="shared" ref="E345:BD345" si="3">SUMIF($D$5:$D$337,$D$345,E5:E337)</f>
        <v>1450162.6940000001</v>
      </c>
      <c r="F345" s="16">
        <f t="shared" si="3"/>
        <v>227967.24699999994</v>
      </c>
      <c r="G345" s="16">
        <f t="shared" si="3"/>
        <v>523950.69799999992</v>
      </c>
      <c r="H345" s="16">
        <f t="shared" si="3"/>
        <v>103750.99999999999</v>
      </c>
      <c r="I345" s="16">
        <f t="shared" si="3"/>
        <v>43769.161999999989</v>
      </c>
      <c r="J345" s="16">
        <f t="shared" si="3"/>
        <v>348771.25499999995</v>
      </c>
      <c r="K345" s="16">
        <f t="shared" si="3"/>
        <v>399911.48699999991</v>
      </c>
      <c r="L345" s="16">
        <f t="shared" si="3"/>
        <v>397680.74999999994</v>
      </c>
      <c r="M345" s="16">
        <f t="shared" si="3"/>
        <v>63058.551000000007</v>
      </c>
      <c r="N345" s="16">
        <f t="shared" si="3"/>
        <v>927861.69299999997</v>
      </c>
      <c r="O345" s="16">
        <f t="shared" si="3"/>
        <v>1102936.527</v>
      </c>
      <c r="P345" s="16">
        <f t="shared" si="3"/>
        <v>914852.65500000003</v>
      </c>
      <c r="Q345" s="16">
        <f>SUMIF($D$5:$D$337,$D$345,Q5:Q337)</f>
        <v>3385.9300000000003</v>
      </c>
      <c r="R345" s="16">
        <f t="shared" si="3"/>
        <v>0</v>
      </c>
      <c r="S345" s="16">
        <f t="shared" si="3"/>
        <v>178.08000000000004</v>
      </c>
      <c r="T345" s="16">
        <f t="shared" si="3"/>
        <v>3906.8460000000005</v>
      </c>
      <c r="U345" s="16">
        <f t="shared" si="3"/>
        <v>14405.672000000004</v>
      </c>
      <c r="V345" s="16">
        <f t="shared" si="3"/>
        <v>95040.796999999977</v>
      </c>
      <c r="W345" s="16">
        <f t="shared" si="3"/>
        <v>0</v>
      </c>
      <c r="X345" s="16">
        <f t="shared" si="3"/>
        <v>27119.469000000005</v>
      </c>
      <c r="Y345" s="16">
        <f t="shared" si="3"/>
        <v>49539.149000000005</v>
      </c>
      <c r="Z345" s="16">
        <f t="shared" si="3"/>
        <v>37482.133000000009</v>
      </c>
      <c r="AA345" s="16">
        <f t="shared" si="3"/>
        <v>105856.18</v>
      </c>
      <c r="AB345" s="16">
        <f t="shared" si="3"/>
        <v>0</v>
      </c>
      <c r="AC345" s="16">
        <f t="shared" si="3"/>
        <v>287574.32400000002</v>
      </c>
      <c r="AD345" s="16">
        <f t="shared" si="3"/>
        <v>15732.868</v>
      </c>
      <c r="AE345" s="16">
        <f t="shared" si="3"/>
        <v>373108.43300000002</v>
      </c>
      <c r="AF345" s="16">
        <f t="shared" si="3"/>
        <v>0</v>
      </c>
      <c r="AG345" s="16">
        <f t="shared" si="3"/>
        <v>39081.237000000001</v>
      </c>
      <c r="AH345" s="16">
        <f t="shared" si="3"/>
        <v>12338.683000000001</v>
      </c>
      <c r="AI345" s="16">
        <f t="shared" si="3"/>
        <v>510577.82500000001</v>
      </c>
      <c r="AJ345" s="16">
        <f t="shared" si="3"/>
        <v>12216.440999999999</v>
      </c>
      <c r="AK345" s="16">
        <f t="shared" si="3"/>
        <v>50134.101999999999</v>
      </c>
      <c r="AL345" s="16">
        <f t="shared" si="3"/>
        <v>2298458.8939999999</v>
      </c>
      <c r="AM345" s="16">
        <f t="shared" si="3"/>
        <v>24179.436999999998</v>
      </c>
      <c r="AN345" s="16">
        <f t="shared" si="3"/>
        <v>95558.203999999998</v>
      </c>
      <c r="AO345" s="16">
        <f t="shared" si="3"/>
        <v>0</v>
      </c>
      <c r="AP345" s="16">
        <f t="shared" si="3"/>
        <v>96701.837000000014</v>
      </c>
      <c r="AQ345" s="16">
        <f t="shared" si="3"/>
        <v>76789.195999999996</v>
      </c>
      <c r="AR345" s="16">
        <f t="shared" si="3"/>
        <v>0</v>
      </c>
      <c r="AS345" s="16">
        <f>SUMIF($D$5:$D$337,$D$345,AS5:AS337)</f>
        <v>8366.1710000000003</v>
      </c>
      <c r="AT345" s="16">
        <f>SUMIF($D$5:$D$337,$D$345,AT5:AT337)</f>
        <v>0</v>
      </c>
      <c r="AU345" s="16">
        <f>SUMIF($D$5:$D$337,$D$345,AU5:AU337)</f>
        <v>2419.2079999999996</v>
      </c>
      <c r="AV345" s="16">
        <f>SUMIF($D$5:$D$337,$D$345,AV5:AV337)</f>
        <v>2894.2960000000003</v>
      </c>
      <c r="AW345" s="16">
        <f t="shared" si="3"/>
        <v>0</v>
      </c>
      <c r="AX345" s="16">
        <f t="shared" si="3"/>
        <v>3185.5070000000005</v>
      </c>
      <c r="AY345" s="16">
        <f t="shared" si="3"/>
        <v>0</v>
      </c>
      <c r="AZ345" s="16">
        <f t="shared" si="3"/>
        <v>748.42200000000003</v>
      </c>
      <c r="BA345" s="16">
        <f t="shared" si="3"/>
        <v>0</v>
      </c>
      <c r="BB345" s="16">
        <f t="shared" si="3"/>
        <v>24704.868999999999</v>
      </c>
      <c r="BC345" s="16">
        <f t="shared" si="3"/>
        <v>0</v>
      </c>
      <c r="BD345" s="16">
        <f t="shared" si="3"/>
        <v>0</v>
      </c>
      <c r="BE345" s="16">
        <f>SUMIF($D$5:$D$337,$D$345,BE5:BE337)</f>
        <v>135536.505</v>
      </c>
      <c r="BF345" s="21"/>
    </row>
    <row r="346" spans="1:58" x14ac:dyDescent="0.2">
      <c r="A346" t="s">
        <v>611</v>
      </c>
      <c r="B346">
        <v>7</v>
      </c>
      <c r="D346">
        <v>4</v>
      </c>
      <c r="E346" s="16">
        <f t="shared" ref="E346:BD346" si="4">SUMIF($D$5:$D$337,$D$346,E5:E337)</f>
        <v>788973.77700000012</v>
      </c>
      <c r="F346" s="16">
        <f t="shared" si="4"/>
        <v>229756.00700000004</v>
      </c>
      <c r="G346" s="16">
        <f t="shared" si="4"/>
        <v>1597.539</v>
      </c>
      <c r="H346" s="16">
        <f t="shared" si="4"/>
        <v>12498.507</v>
      </c>
      <c r="I346" s="16">
        <f t="shared" si="4"/>
        <v>14393.285</v>
      </c>
      <c r="J346" s="16">
        <f t="shared" si="4"/>
        <v>2450.5879999999997</v>
      </c>
      <c r="K346" s="16">
        <f t="shared" si="4"/>
        <v>1169125.2309999999</v>
      </c>
      <c r="L346" s="16">
        <f t="shared" si="4"/>
        <v>82599.175000000032</v>
      </c>
      <c r="M346" s="16">
        <f t="shared" si="4"/>
        <v>0</v>
      </c>
      <c r="N346" s="16">
        <f t="shared" si="4"/>
        <v>136901.02499999999</v>
      </c>
      <c r="O346" s="16">
        <f t="shared" si="4"/>
        <v>2878133.3830000004</v>
      </c>
      <c r="P346" s="16">
        <f t="shared" si="4"/>
        <v>163613.41000000003</v>
      </c>
      <c r="Q346" s="16">
        <f>SUMIF($D$5:$D$337,$D$346,Q5:Q337)</f>
        <v>0</v>
      </c>
      <c r="R346" s="16">
        <f t="shared" si="4"/>
        <v>1289.288</v>
      </c>
      <c r="S346" s="16">
        <f t="shared" si="4"/>
        <v>66.376000000000005</v>
      </c>
      <c r="T346" s="16">
        <f t="shared" si="4"/>
        <v>907.97900000000004</v>
      </c>
      <c r="U346" s="16">
        <f t="shared" si="4"/>
        <v>95.691000000000003</v>
      </c>
      <c r="V346" s="16">
        <f t="shared" si="4"/>
        <v>67795.108999999982</v>
      </c>
      <c r="W346" s="16">
        <f t="shared" si="4"/>
        <v>0</v>
      </c>
      <c r="X346" s="16">
        <f t="shared" si="4"/>
        <v>13698.258999999998</v>
      </c>
      <c r="Y346" s="16">
        <f t="shared" si="4"/>
        <v>0</v>
      </c>
      <c r="Z346" s="16">
        <f t="shared" si="4"/>
        <v>117.96999999999998</v>
      </c>
      <c r="AA346" s="16">
        <f t="shared" si="4"/>
        <v>21356.206999999999</v>
      </c>
      <c r="AB346" s="16">
        <f t="shared" si="4"/>
        <v>43138.499000000003</v>
      </c>
      <c r="AC346" s="16">
        <f t="shared" si="4"/>
        <v>446055.14699999994</v>
      </c>
      <c r="AD346" s="16">
        <f t="shared" si="4"/>
        <v>18836.134999999998</v>
      </c>
      <c r="AE346" s="16">
        <f t="shared" si="4"/>
        <v>3151.4110000000001</v>
      </c>
      <c r="AF346" s="16">
        <f t="shared" si="4"/>
        <v>35370.185999999994</v>
      </c>
      <c r="AG346" s="16">
        <f t="shared" si="4"/>
        <v>36305.080999999991</v>
      </c>
      <c r="AH346" s="16">
        <f t="shared" si="4"/>
        <v>14357.031000000001</v>
      </c>
      <c r="AI346" s="16">
        <f t="shared" si="4"/>
        <v>1083685.5340000002</v>
      </c>
      <c r="AJ346" s="16">
        <f t="shared" si="4"/>
        <v>542993.72899999993</v>
      </c>
      <c r="AK346" s="16">
        <f t="shared" si="4"/>
        <v>63853.497000000003</v>
      </c>
      <c r="AL346" s="16">
        <f t="shared" si="4"/>
        <v>3649717.5219999999</v>
      </c>
      <c r="AM346" s="16">
        <f t="shared" si="4"/>
        <v>1062676.2680000002</v>
      </c>
      <c r="AN346" s="16">
        <f t="shared" si="4"/>
        <v>140204.505</v>
      </c>
      <c r="AO346" s="16">
        <f t="shared" si="4"/>
        <v>1411514.344</v>
      </c>
      <c r="AP346" s="16">
        <f t="shared" si="4"/>
        <v>33630.957999999999</v>
      </c>
      <c r="AQ346" s="16">
        <f t="shared" si="4"/>
        <v>11781.472</v>
      </c>
      <c r="AR346" s="16">
        <f t="shared" si="4"/>
        <v>902982.35899999994</v>
      </c>
      <c r="AS346" s="16">
        <f>SUMIF($D$5:$D$337,$D$346,AS5:AS337)</f>
        <v>0</v>
      </c>
      <c r="AT346" s="16">
        <f>SUMIF($D$5:$D$337,$D$346,AT5:AT337)</f>
        <v>432043.10600000003</v>
      </c>
      <c r="AU346" s="16">
        <f>SUMIF($D$5:$D$337,$D$346,AU5:AU337)</f>
        <v>2006.3959999999997</v>
      </c>
      <c r="AV346" s="16">
        <f>SUMIF($D$5:$D$337,$D$346,AV5:AV337)</f>
        <v>913.78599999999994</v>
      </c>
      <c r="AW346" s="16">
        <f t="shared" si="4"/>
        <v>23061.897000000001</v>
      </c>
      <c r="AX346" s="16">
        <f t="shared" si="4"/>
        <v>148571.75600000002</v>
      </c>
      <c r="AY346" s="16">
        <f t="shared" si="4"/>
        <v>10393.795</v>
      </c>
      <c r="AZ346" s="16">
        <f t="shared" si="4"/>
        <v>627.49400000000003</v>
      </c>
      <c r="BA346" s="16">
        <f t="shared" si="4"/>
        <v>0</v>
      </c>
      <c r="BB346" s="16">
        <f t="shared" si="4"/>
        <v>8481.6179999999986</v>
      </c>
      <c r="BC346" s="16">
        <f t="shared" si="4"/>
        <v>48015.394</v>
      </c>
      <c r="BD346" s="16">
        <f t="shared" si="4"/>
        <v>40049.897000000004</v>
      </c>
      <c r="BE346" s="16">
        <f>SUMIF($D$5:$D$337,$D$346,BE5:BE337)</f>
        <v>75012.449000000008</v>
      </c>
      <c r="BF346" s="21"/>
    </row>
    <row r="347" spans="1:58" x14ac:dyDescent="0.2">
      <c r="A347" t="s">
        <v>612</v>
      </c>
      <c r="D347">
        <v>5</v>
      </c>
      <c r="E347" s="16">
        <f t="shared" ref="E347:BD347" si="5">SUMIF($D$5:$D$337,$D$347,E5:E337)</f>
        <v>424470.00899999996</v>
      </c>
      <c r="F347" s="16">
        <f t="shared" si="5"/>
        <v>36885.007999999994</v>
      </c>
      <c r="G347" s="16">
        <f t="shared" si="5"/>
        <v>93731.887999999992</v>
      </c>
      <c r="H347" s="16">
        <f t="shared" si="5"/>
        <v>932973.70700000005</v>
      </c>
      <c r="I347" s="16">
        <f t="shared" si="5"/>
        <v>11893.657000000001</v>
      </c>
      <c r="J347" s="16">
        <f t="shared" si="5"/>
        <v>70566.595000000001</v>
      </c>
      <c r="K347" s="16">
        <f t="shared" si="5"/>
        <v>474714.22399999999</v>
      </c>
      <c r="L347" s="16">
        <f t="shared" si="5"/>
        <v>61709.057999999983</v>
      </c>
      <c r="M347" s="16">
        <f t="shared" si="5"/>
        <v>6808.5889999999999</v>
      </c>
      <c r="N347" s="16">
        <f t="shared" si="5"/>
        <v>206797.57400000002</v>
      </c>
      <c r="O347" s="16">
        <f t="shared" si="5"/>
        <v>550178.62300000002</v>
      </c>
      <c r="P347" s="16">
        <f t="shared" si="5"/>
        <v>252411.03500000003</v>
      </c>
      <c r="Q347" s="16">
        <f>SUMIF($D$5:$D$337,$D$347,Q5:Q337)</f>
        <v>0</v>
      </c>
      <c r="R347" s="16">
        <f t="shared" si="5"/>
        <v>0</v>
      </c>
      <c r="S347" s="16">
        <f t="shared" si="5"/>
        <v>2488.4439999999995</v>
      </c>
      <c r="T347" s="16">
        <f t="shared" si="5"/>
        <v>0</v>
      </c>
      <c r="U347" s="16">
        <f t="shared" si="5"/>
        <v>97.795000000000002</v>
      </c>
      <c r="V347" s="16">
        <f t="shared" si="5"/>
        <v>-3807.7089999999998</v>
      </c>
      <c r="W347" s="16">
        <f t="shared" si="5"/>
        <v>0</v>
      </c>
      <c r="X347" s="16">
        <f t="shared" si="5"/>
        <v>11.532</v>
      </c>
      <c r="Y347" s="16">
        <f t="shared" si="5"/>
        <v>2423.8530000000001</v>
      </c>
      <c r="Z347" s="16">
        <f t="shared" si="5"/>
        <v>5694.826</v>
      </c>
      <c r="AA347" s="16">
        <f t="shared" si="5"/>
        <v>19155.060999999998</v>
      </c>
      <c r="AB347" s="16">
        <f t="shared" si="5"/>
        <v>0</v>
      </c>
      <c r="AC347" s="16">
        <f t="shared" si="5"/>
        <v>180321.97000000003</v>
      </c>
      <c r="AD347" s="16">
        <f t="shared" si="5"/>
        <v>0</v>
      </c>
      <c r="AE347" s="16">
        <f t="shared" si="5"/>
        <v>52342.091</v>
      </c>
      <c r="AF347" s="16">
        <f t="shared" si="5"/>
        <v>-9.06</v>
      </c>
      <c r="AG347" s="16">
        <f t="shared" si="5"/>
        <v>6756.7190000000001</v>
      </c>
      <c r="AH347" s="16">
        <f t="shared" si="5"/>
        <v>0</v>
      </c>
      <c r="AI347" s="16">
        <f t="shared" si="5"/>
        <v>524109.41399999987</v>
      </c>
      <c r="AJ347" s="16">
        <f t="shared" si="5"/>
        <v>-20003.727999999999</v>
      </c>
      <c r="AK347" s="16">
        <f t="shared" si="5"/>
        <v>1042.287</v>
      </c>
      <c r="AL347" s="16">
        <f t="shared" si="5"/>
        <v>1237025.7070000004</v>
      </c>
      <c r="AM347" s="16">
        <f t="shared" si="5"/>
        <v>-2851.4760000000024</v>
      </c>
      <c r="AN347" s="16">
        <f t="shared" si="5"/>
        <v>147.547</v>
      </c>
      <c r="AO347" s="16">
        <f t="shared" si="5"/>
        <v>97.08</v>
      </c>
      <c r="AP347" s="16">
        <f t="shared" si="5"/>
        <v>386.714</v>
      </c>
      <c r="AQ347" s="16">
        <f t="shared" si="5"/>
        <v>0</v>
      </c>
      <c r="AR347" s="16">
        <f t="shared" si="5"/>
        <v>697.30399999999997</v>
      </c>
      <c r="AS347" s="16">
        <f>SUMIF($D$5:$D$337,$D$347,AS5:AS337)</f>
        <v>557.32899999999995</v>
      </c>
      <c r="AT347" s="16">
        <f>SUMIF($D$5:$D$337,$D$347,AT5:AT337)</f>
        <v>788.96400000000006</v>
      </c>
      <c r="AU347" s="16">
        <f>SUMIF($D$5:$D$337,$D$347,AU5:AU337)</f>
        <v>-156.77600000000001</v>
      </c>
      <c r="AV347" s="16">
        <f>SUMIF($D$5:$D$337,$D$347,AV5:AV337)</f>
        <v>0</v>
      </c>
      <c r="AW347" s="16">
        <f t="shared" si="5"/>
        <v>0</v>
      </c>
      <c r="AX347" s="16">
        <f t="shared" si="5"/>
        <v>-8351.0579999999991</v>
      </c>
      <c r="AY347" s="16">
        <f t="shared" si="5"/>
        <v>0</v>
      </c>
      <c r="AZ347" s="16">
        <f t="shared" si="5"/>
        <v>-38.364000000000004</v>
      </c>
      <c r="BA347" s="16">
        <f t="shared" si="5"/>
        <v>0</v>
      </c>
      <c r="BB347" s="16">
        <f t="shared" si="5"/>
        <v>-302.863</v>
      </c>
      <c r="BC347" s="16">
        <f t="shared" si="5"/>
        <v>0</v>
      </c>
      <c r="BD347" s="16">
        <f t="shared" si="5"/>
        <v>0</v>
      </c>
      <c r="BE347" s="16">
        <f>SUMIF($D$5:$D$337,$D$347,BE5:BE337)</f>
        <v>-8201.2839999999997</v>
      </c>
      <c r="BF347" s="21"/>
    </row>
    <row r="348" spans="1:58" x14ac:dyDescent="0.2">
      <c r="A348" t="s">
        <v>613</v>
      </c>
      <c r="B348">
        <v>7</v>
      </c>
      <c r="D348">
        <v>6</v>
      </c>
      <c r="E348" s="16">
        <f t="shared" ref="E348:BD348" si="6">SUMIF($D$5:$D$337,$D$348,E5:E337)+SUMIF($D$5:$D$337,$B$348,E5:E337)</f>
        <v>1064671.933</v>
      </c>
      <c r="F348" s="16">
        <f t="shared" si="6"/>
        <v>64944.411999999989</v>
      </c>
      <c r="G348" s="16">
        <f t="shared" si="6"/>
        <v>69350.268000000025</v>
      </c>
      <c r="H348" s="16">
        <f t="shared" si="6"/>
        <v>6831.4189999999999</v>
      </c>
      <c r="I348" s="16">
        <f t="shared" si="6"/>
        <v>10208.304000000006</v>
      </c>
      <c r="J348" s="16">
        <f t="shared" si="6"/>
        <v>44892.005999999994</v>
      </c>
      <c r="K348" s="16">
        <f t="shared" si="6"/>
        <v>1028417.5070000002</v>
      </c>
      <c r="L348" s="16">
        <f t="shared" si="6"/>
        <v>86328.632000000012</v>
      </c>
      <c r="M348" s="16">
        <f t="shared" si="6"/>
        <v>9833.7479999999996</v>
      </c>
      <c r="N348" s="16">
        <f t="shared" si="6"/>
        <v>478175.13599999994</v>
      </c>
      <c r="O348" s="16">
        <f t="shared" si="6"/>
        <v>1947479.0690000004</v>
      </c>
      <c r="P348" s="16">
        <f t="shared" si="6"/>
        <v>473821.54999999993</v>
      </c>
      <c r="Q348" s="16">
        <f>SUMIF($D$5:$D$337,$D$348,Q5:Q337)+SUMIF($D$5:$D$337,$B$348,Q5:Q337)</f>
        <v>-6.9260000000000002</v>
      </c>
      <c r="R348" s="16">
        <f t="shared" si="6"/>
        <v>268.11200000000002</v>
      </c>
      <c r="S348" s="16">
        <f t="shared" si="6"/>
        <v>1528.2709999999997</v>
      </c>
      <c r="T348" s="16">
        <f t="shared" si="6"/>
        <v>284.89600000000002</v>
      </c>
      <c r="U348" s="16">
        <f t="shared" si="6"/>
        <v>1047.4589999999998</v>
      </c>
      <c r="V348" s="16">
        <f t="shared" si="6"/>
        <v>4344.2719999999972</v>
      </c>
      <c r="W348" s="16">
        <f t="shared" si="6"/>
        <v>-1.6020000000000001</v>
      </c>
      <c r="X348" s="16">
        <f t="shared" si="6"/>
        <v>4004.7</v>
      </c>
      <c r="Y348" s="16">
        <f t="shared" si="6"/>
        <v>7724.0919999999996</v>
      </c>
      <c r="Z348" s="16">
        <f t="shared" si="6"/>
        <v>4191.674</v>
      </c>
      <c r="AA348" s="16">
        <f t="shared" si="6"/>
        <v>14212.164000000002</v>
      </c>
      <c r="AB348" s="16">
        <f t="shared" si="6"/>
        <v>10141.004000000006</v>
      </c>
      <c r="AC348" s="16">
        <f t="shared" si="6"/>
        <v>211700.68200000006</v>
      </c>
      <c r="AD348" s="16">
        <f t="shared" si="6"/>
        <v>1764.9770000000001</v>
      </c>
      <c r="AE348" s="16">
        <f t="shared" si="6"/>
        <v>48719.232999999993</v>
      </c>
      <c r="AF348" s="16">
        <f t="shared" si="6"/>
        <v>8315.1469999999936</v>
      </c>
      <c r="AG348" s="16">
        <f t="shared" si="6"/>
        <v>6871.9179999999997</v>
      </c>
      <c r="AH348" s="16">
        <f t="shared" si="6"/>
        <v>505.40999999999957</v>
      </c>
      <c r="AI348" s="16">
        <f t="shared" si="6"/>
        <v>828592.99200000009</v>
      </c>
      <c r="AJ348" s="16">
        <f t="shared" si="6"/>
        <v>12655.281999999999</v>
      </c>
      <c r="AK348" s="16">
        <f t="shared" si="6"/>
        <v>1953.1710000000019</v>
      </c>
      <c r="AL348" s="16">
        <f t="shared" si="6"/>
        <v>2469479.8819999998</v>
      </c>
      <c r="AM348" s="16">
        <f t="shared" si="6"/>
        <v>22442.049000000003</v>
      </c>
      <c r="AN348" s="16">
        <f t="shared" si="6"/>
        <v>11261.994000000008</v>
      </c>
      <c r="AO348" s="16">
        <f t="shared" si="6"/>
        <v>-81596.563000000009</v>
      </c>
      <c r="AP348" s="16">
        <f t="shared" si="6"/>
        <v>9884.1090000000004</v>
      </c>
      <c r="AQ348" s="16">
        <f t="shared" si="6"/>
        <v>4417.6190000000033</v>
      </c>
      <c r="AR348" s="16">
        <f t="shared" si="6"/>
        <v>-52042.793999999994</v>
      </c>
      <c r="AS348" s="16">
        <f>SUMIF($D$5:$D$337,$D$348,AS5:AS337)+SUMIF($D$5:$D$337,$B$348,AS5:AS337)</f>
        <v>1296.4119999999998</v>
      </c>
      <c r="AT348" s="16">
        <f>SUMIF($D$5:$D$337,$D$348,AT5:AT337)+SUMIF($D$5:$D$337,$B$348,AT5:AT337)</f>
        <v>-25160.499000000018</v>
      </c>
      <c r="AU348" s="16">
        <f>SUMIF($D$5:$D$337,$D$348,AU5:AU337)+SUMIF($D$5:$D$337,$B$348,AU5:AU337)</f>
        <v>146.96300000000002</v>
      </c>
      <c r="AV348" s="16">
        <f>SUMIF($D$5:$D$337,$D$348,AV5:AV337)+SUMIF($D$5:$D$337,$B$348,AV5:AV337)</f>
        <v>282.82599999999991</v>
      </c>
      <c r="AW348" s="16">
        <f t="shared" si="6"/>
        <v>-5.1479999999999997</v>
      </c>
      <c r="AX348" s="16">
        <f t="shared" si="6"/>
        <v>2471.4629999999979</v>
      </c>
      <c r="AY348" s="16">
        <f t="shared" si="6"/>
        <v>-2.8280000000000003</v>
      </c>
      <c r="AZ348" s="16">
        <f t="shared" si="6"/>
        <v>166.459</v>
      </c>
      <c r="BA348" s="16">
        <f t="shared" si="6"/>
        <v>0</v>
      </c>
      <c r="BB348" s="16">
        <f t="shared" si="6"/>
        <v>1003.4130000000007</v>
      </c>
      <c r="BC348" s="16">
        <f t="shared" si="6"/>
        <v>14.938999999999998</v>
      </c>
      <c r="BD348" s="16">
        <f t="shared" si="6"/>
        <v>-16.864999999999998</v>
      </c>
      <c r="BE348" s="16">
        <f>SUMIF($D$5:$D$337,$D$348,BE5:BE337)+SUMIF($D$5:$D$337,$B$348,BE5:BE337)</f>
        <v>8535.6229999999996</v>
      </c>
      <c r="BF348" s="21"/>
    </row>
    <row r="349" spans="1:58" x14ac:dyDescent="0.2"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6"/>
      <c r="AP349" s="16"/>
      <c r="AQ349" s="16"/>
      <c r="AR349" s="16"/>
      <c r="AS349" s="16"/>
      <c r="AT349" s="16"/>
      <c r="AU349" s="16"/>
      <c r="AV349" s="16"/>
      <c r="AW349" s="16"/>
      <c r="AX349" s="16"/>
      <c r="AY349" s="16"/>
      <c r="AZ349" s="16"/>
      <c r="BA349" s="16"/>
      <c r="BB349" s="16"/>
      <c r="BC349" s="16"/>
      <c r="BD349" s="16"/>
      <c r="BE349" s="16"/>
      <c r="BF349" s="21"/>
    </row>
    <row r="350" spans="1:58" x14ac:dyDescent="0.2">
      <c r="E350">
        <f t="shared" ref="E350:P350" si="7">SUM(E343:E349)</f>
        <v>5828783.4019999998</v>
      </c>
      <c r="F350">
        <f t="shared" si="7"/>
        <v>875926.60399999993</v>
      </c>
      <c r="G350">
        <f t="shared" si="7"/>
        <v>1101528.0159999998</v>
      </c>
      <c r="H350">
        <f t="shared" si="7"/>
        <v>1063093.3400000001</v>
      </c>
      <c r="I350">
        <f t="shared" si="7"/>
        <v>149705.62299999999</v>
      </c>
      <c r="J350">
        <f t="shared" si="7"/>
        <v>756113.82899999991</v>
      </c>
      <c r="K350">
        <f t="shared" si="7"/>
        <v>4657106.6999999993</v>
      </c>
      <c r="L350">
        <f t="shared" si="7"/>
        <v>894193.87</v>
      </c>
      <c r="M350">
        <f t="shared" si="7"/>
        <v>318918.527</v>
      </c>
      <c r="N350">
        <f t="shared" si="7"/>
        <v>2538364.0720000002</v>
      </c>
      <c r="O350" s="17">
        <f t="shared" si="7"/>
        <v>8979110.4110000003</v>
      </c>
      <c r="P350">
        <f t="shared" si="7"/>
        <v>2607817.2910000002</v>
      </c>
      <c r="Q350">
        <f>SUM(Q343:Q349)</f>
        <v>16860.243000000002</v>
      </c>
      <c r="R350">
        <f t="shared" ref="R350:AR350" si="8">SUM(R343:R349)</f>
        <v>5866.1189999999997</v>
      </c>
      <c r="S350">
        <f t="shared" si="8"/>
        <v>23582.234</v>
      </c>
      <c r="T350">
        <f t="shared" si="8"/>
        <v>10953.936000000002</v>
      </c>
      <c r="U350">
        <f t="shared" si="8"/>
        <v>22621.342000000001</v>
      </c>
      <c r="V350">
        <f t="shared" si="8"/>
        <v>258985.88099999996</v>
      </c>
      <c r="W350">
        <f t="shared" si="8"/>
        <v>2913.808</v>
      </c>
      <c r="X350">
        <f t="shared" si="8"/>
        <v>110050.35100000001</v>
      </c>
      <c r="Y350">
        <f t="shared" si="8"/>
        <v>250578.11600000004</v>
      </c>
      <c r="Z350">
        <f t="shared" si="8"/>
        <v>77614.021000000008</v>
      </c>
      <c r="AA350">
        <f t="shared" si="8"/>
        <v>238426.59399999998</v>
      </c>
      <c r="AB350">
        <f t="shared" si="8"/>
        <v>211330.58700000003</v>
      </c>
      <c r="AC350">
        <f t="shared" si="8"/>
        <v>1712970.8739999998</v>
      </c>
      <c r="AD350">
        <f t="shared" si="8"/>
        <v>80053.479000000007</v>
      </c>
      <c r="AE350">
        <f t="shared" si="8"/>
        <v>804322.15800000005</v>
      </c>
      <c r="AF350">
        <f t="shared" si="8"/>
        <v>179470.717</v>
      </c>
      <c r="AG350">
        <f t="shared" si="8"/>
        <v>135205.932</v>
      </c>
      <c r="AH350">
        <f t="shared" si="8"/>
        <v>46545.517</v>
      </c>
      <c r="AI350">
        <f t="shared" si="8"/>
        <v>4440669.1119999997</v>
      </c>
      <c r="AJ350">
        <f t="shared" si="8"/>
        <v>926469.93399999989</v>
      </c>
      <c r="AK350">
        <f t="shared" si="8"/>
        <v>189442.20300000001</v>
      </c>
      <c r="AL350">
        <f t="shared" si="8"/>
        <v>13808342.92</v>
      </c>
      <c r="AM350">
        <f t="shared" si="8"/>
        <v>1834195.5590000001</v>
      </c>
      <c r="AN350">
        <f t="shared" si="8"/>
        <v>532476.174</v>
      </c>
      <c r="AO350">
        <f t="shared" si="8"/>
        <v>6282871.0559999989</v>
      </c>
      <c r="AP350">
        <f t="shared" si="8"/>
        <v>325213.47599999997</v>
      </c>
      <c r="AQ350">
        <f t="shared" si="8"/>
        <v>197653.27900000001</v>
      </c>
      <c r="AR350">
        <f t="shared" si="8"/>
        <v>3988027.1379999993</v>
      </c>
      <c r="AS350">
        <f>SUM(AS343:AS349)</f>
        <v>48922.810999999994</v>
      </c>
      <c r="AT350">
        <f>SUM(AT343:AT349)</f>
        <v>1947505.6909999996</v>
      </c>
      <c r="AU350">
        <f>SUM(AU343:AU349)</f>
        <v>7936.7319999999991</v>
      </c>
      <c r="AV350">
        <f>SUM(AV343:AV349)</f>
        <v>10670.362999999999</v>
      </c>
      <c r="AW350">
        <f>SUM(AW343:AW349)</f>
        <v>25470.097000000002</v>
      </c>
      <c r="AX350">
        <f t="shared" ref="AX350:BD350" si="9">SUM(AX343:AX349)</f>
        <v>259573.97700000004</v>
      </c>
      <c r="AY350">
        <f t="shared" si="9"/>
        <v>12521.991</v>
      </c>
      <c r="AZ350">
        <f t="shared" si="9"/>
        <v>3156.9089999999997</v>
      </c>
      <c r="BA350">
        <f t="shared" si="9"/>
        <v>0</v>
      </c>
      <c r="BB350">
        <f t="shared" si="9"/>
        <v>81444.641999999993</v>
      </c>
      <c r="BC350">
        <f t="shared" si="9"/>
        <v>53966.046000000002</v>
      </c>
      <c r="BD350">
        <f t="shared" si="9"/>
        <v>44121.108000000007</v>
      </c>
      <c r="BE350">
        <f>SUM(BE343:BE349)</f>
        <v>338283.53900000005</v>
      </c>
      <c r="BF350" s="21"/>
    </row>
    <row r="351" spans="1:58" x14ac:dyDescent="0.2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21"/>
    </row>
    <row r="352" spans="1:58" x14ac:dyDescent="0.2">
      <c r="A352" s="8"/>
      <c r="B352" s="8"/>
      <c r="C352" s="8"/>
      <c r="D352" s="8"/>
      <c r="E352" s="8">
        <f t="shared" ref="E352:AT352" si="10">E350-E338</f>
        <v>5828783.4019999998</v>
      </c>
      <c r="F352" s="8">
        <f t="shared" si="10"/>
        <v>875926.60399999993</v>
      </c>
      <c r="G352" s="8">
        <f t="shared" si="10"/>
        <v>1101528.0159999998</v>
      </c>
      <c r="H352" s="8">
        <f t="shared" si="10"/>
        <v>1063093.3400000001</v>
      </c>
      <c r="I352" s="8">
        <f t="shared" si="10"/>
        <v>149705.62299999999</v>
      </c>
      <c r="J352" s="8">
        <f t="shared" si="10"/>
        <v>756113.82899999991</v>
      </c>
      <c r="K352" s="8">
        <f t="shared" si="10"/>
        <v>4657106.6999999993</v>
      </c>
      <c r="L352" s="8">
        <f t="shared" si="10"/>
        <v>894193.87</v>
      </c>
      <c r="M352" s="8">
        <f t="shared" si="10"/>
        <v>318918.527</v>
      </c>
      <c r="N352" s="8">
        <f t="shared" si="10"/>
        <v>2538364.0720000002</v>
      </c>
      <c r="O352" s="18">
        <f t="shared" si="10"/>
        <v>8979110.4110000003</v>
      </c>
      <c r="P352" s="8">
        <f t="shared" si="10"/>
        <v>2607817.2910000002</v>
      </c>
      <c r="Q352" s="8">
        <f>Q350-Q338</f>
        <v>16860.243000000002</v>
      </c>
      <c r="R352" s="8">
        <f t="shared" si="10"/>
        <v>5866.1189999999997</v>
      </c>
      <c r="S352" s="8">
        <f t="shared" si="10"/>
        <v>23582.234</v>
      </c>
      <c r="T352" s="8">
        <f t="shared" si="10"/>
        <v>10953.936000000002</v>
      </c>
      <c r="U352" s="8">
        <f t="shared" si="10"/>
        <v>22621.342000000001</v>
      </c>
      <c r="V352" s="8">
        <f t="shared" si="10"/>
        <v>258985.88099999996</v>
      </c>
      <c r="W352" s="8">
        <f t="shared" si="10"/>
        <v>2913.808</v>
      </c>
      <c r="X352" s="8">
        <f t="shared" si="10"/>
        <v>110050.35100000001</v>
      </c>
      <c r="Y352" s="8">
        <f t="shared" si="10"/>
        <v>250578.11600000004</v>
      </c>
      <c r="Z352" s="8">
        <f t="shared" si="10"/>
        <v>77614.021000000008</v>
      </c>
      <c r="AA352" s="8">
        <f t="shared" si="10"/>
        <v>238426.59399999998</v>
      </c>
      <c r="AB352" s="8">
        <f t="shared" si="10"/>
        <v>211330.58700000003</v>
      </c>
      <c r="AC352" s="8">
        <f t="shared" si="10"/>
        <v>1712970.8739999998</v>
      </c>
      <c r="AD352" s="8">
        <f t="shared" si="10"/>
        <v>80053.479000000007</v>
      </c>
      <c r="AE352" s="8">
        <f t="shared" si="10"/>
        <v>804322.15800000005</v>
      </c>
      <c r="AF352" s="8">
        <f t="shared" si="10"/>
        <v>179470.717</v>
      </c>
      <c r="AG352" s="8">
        <f t="shared" si="10"/>
        <v>135205.932</v>
      </c>
      <c r="AH352" s="8">
        <f t="shared" si="10"/>
        <v>46545.517</v>
      </c>
      <c r="AI352" s="8">
        <f t="shared" si="10"/>
        <v>4440669.1119999997</v>
      </c>
      <c r="AJ352" s="8">
        <f t="shared" si="10"/>
        <v>926469.93399999989</v>
      </c>
      <c r="AK352" s="8">
        <f t="shared" si="10"/>
        <v>189442.20300000001</v>
      </c>
      <c r="AL352" s="8">
        <f t="shared" si="10"/>
        <v>13808342.92</v>
      </c>
      <c r="AM352" s="8">
        <f t="shared" si="10"/>
        <v>1834195.5590000001</v>
      </c>
      <c r="AN352" s="8">
        <f t="shared" si="10"/>
        <v>532476.174</v>
      </c>
      <c r="AO352" s="8">
        <f t="shared" si="10"/>
        <v>6282871.0559999989</v>
      </c>
      <c r="AP352" s="8">
        <f t="shared" si="10"/>
        <v>325213.47599999997</v>
      </c>
      <c r="AQ352" s="8">
        <f t="shared" si="10"/>
        <v>197653.27900000001</v>
      </c>
      <c r="AR352" s="8">
        <f t="shared" si="10"/>
        <v>3988027.1379999993</v>
      </c>
      <c r="AS352" s="8">
        <f t="shared" si="10"/>
        <v>48922.810999999994</v>
      </c>
      <c r="AT352" s="8">
        <f t="shared" si="10"/>
        <v>1947505.6909999996</v>
      </c>
      <c r="AU352" s="8">
        <f>AU350-AU338</f>
        <v>7936.7319999999991</v>
      </c>
      <c r="AV352" s="8">
        <f>AV350-AV338</f>
        <v>10670.362999999999</v>
      </c>
      <c r="AW352" s="8">
        <f t="shared" ref="AW352:BD352" si="11">AW350-AW338</f>
        <v>25470.097000000002</v>
      </c>
      <c r="AX352" s="8">
        <f t="shared" si="11"/>
        <v>259573.97700000004</v>
      </c>
      <c r="AY352" s="8">
        <f t="shared" si="11"/>
        <v>12521.991</v>
      </c>
      <c r="AZ352" s="8">
        <f t="shared" si="11"/>
        <v>3156.9089999999997</v>
      </c>
      <c r="BA352" s="8">
        <f t="shared" si="11"/>
        <v>0</v>
      </c>
      <c r="BB352" s="8">
        <f t="shared" si="11"/>
        <v>81444.641999999993</v>
      </c>
      <c r="BC352" s="8">
        <f t="shared" si="11"/>
        <v>53966.046000000002</v>
      </c>
      <c r="BD352" s="8">
        <f t="shared" si="11"/>
        <v>44121.108000000007</v>
      </c>
      <c r="BE352" s="8">
        <f>BE350-BE338</f>
        <v>338283.53900000005</v>
      </c>
      <c r="BF352" s="21"/>
    </row>
    <row r="353" spans="1:58" x14ac:dyDescent="0.2">
      <c r="E353" s="19">
        <f t="shared" ref="E353:P353" si="12">E3</f>
        <v>401</v>
      </c>
      <c r="F353" s="19">
        <f t="shared" si="12"/>
        <v>242</v>
      </c>
      <c r="G353" s="19">
        <f t="shared" si="12"/>
        <v>385</v>
      </c>
      <c r="H353" s="19">
        <f t="shared" si="12"/>
        <v>528</v>
      </c>
      <c r="I353" s="19">
        <f t="shared" si="12"/>
        <v>384</v>
      </c>
      <c r="J353" s="19">
        <f t="shared" si="12"/>
        <v>716</v>
      </c>
      <c r="K353" s="19">
        <f t="shared" si="12"/>
        <v>686</v>
      </c>
      <c r="L353" s="19">
        <f t="shared" si="12"/>
        <v>1190</v>
      </c>
      <c r="M353" s="19">
        <f t="shared" si="12"/>
        <v>715</v>
      </c>
      <c r="N353" s="19">
        <f t="shared" si="12"/>
        <v>211</v>
      </c>
      <c r="O353" s="19">
        <f t="shared" si="12"/>
        <v>9916</v>
      </c>
      <c r="P353" s="19">
        <f t="shared" si="12"/>
        <v>1100</v>
      </c>
      <c r="Q353" s="19">
        <f>Q3</f>
        <v>801</v>
      </c>
      <c r="R353" s="19">
        <f t="shared" ref="R353:W353" si="13">R3</f>
        <v>804</v>
      </c>
      <c r="S353" s="19">
        <f t="shared" si="13"/>
        <v>806</v>
      </c>
      <c r="T353" s="19">
        <f t="shared" si="13"/>
        <v>8765</v>
      </c>
      <c r="U353" s="19">
        <f t="shared" si="13"/>
        <v>8766</v>
      </c>
      <c r="V353" s="19">
        <f t="shared" si="13"/>
        <v>9418</v>
      </c>
      <c r="W353" s="19">
        <f t="shared" si="13"/>
        <v>9475</v>
      </c>
      <c r="X353" s="19">
        <f>X3</f>
        <v>9905</v>
      </c>
      <c r="Y353" s="19">
        <f>Y3</f>
        <v>9906</v>
      </c>
      <c r="Z353" s="19">
        <f>Z3</f>
        <v>7905</v>
      </c>
      <c r="AA353" s="19">
        <f t="shared" ref="AA353:AT353" si="14">AA3</f>
        <v>7906</v>
      </c>
      <c r="AB353" s="19">
        <f t="shared" si="14"/>
        <v>7907</v>
      </c>
      <c r="AC353" s="19">
        <f t="shared" si="14"/>
        <v>7908</v>
      </c>
      <c r="AD353" s="19">
        <f t="shared" si="14"/>
        <v>7909</v>
      </c>
      <c r="AE353" s="19">
        <f t="shared" si="14"/>
        <v>11310</v>
      </c>
      <c r="AF353" s="19">
        <f t="shared" si="14"/>
        <v>11311</v>
      </c>
      <c r="AG353" s="19">
        <f t="shared" si="14"/>
        <v>11312</v>
      </c>
      <c r="AH353" s="19">
        <f t="shared" si="14"/>
        <v>11335</v>
      </c>
      <c r="AI353" s="19">
        <f t="shared" si="14"/>
        <v>9529</v>
      </c>
      <c r="AJ353" s="19">
        <f t="shared" si="14"/>
        <v>961</v>
      </c>
      <c r="AK353" s="19">
        <f t="shared" si="14"/>
        <v>9528</v>
      </c>
      <c r="AL353" s="19">
        <f t="shared" si="14"/>
        <v>964</v>
      </c>
      <c r="AM353" s="19">
        <f t="shared" si="14"/>
        <v>968</v>
      </c>
      <c r="AN353" s="19">
        <f t="shared" si="14"/>
        <v>8629</v>
      </c>
      <c r="AO353" s="19">
        <f t="shared" si="14"/>
        <v>13264</v>
      </c>
      <c r="AP353" s="19">
        <f t="shared" si="14"/>
        <v>9917</v>
      </c>
      <c r="AQ353" s="19">
        <f t="shared" si="14"/>
        <v>8624</v>
      </c>
      <c r="AR353" s="19">
        <f t="shared" si="14"/>
        <v>13263</v>
      </c>
      <c r="AS353" s="19">
        <f t="shared" si="14"/>
        <v>13209</v>
      </c>
      <c r="AT353" s="19">
        <f t="shared" si="14"/>
        <v>13250</v>
      </c>
      <c r="AU353" s="19">
        <f>AU3</f>
        <v>14281</v>
      </c>
      <c r="AV353" s="19">
        <f>AV3</f>
        <v>14282</v>
      </c>
      <c r="AW353" s="19">
        <f t="shared" ref="AW353:BD353" si="15">AW3</f>
        <v>2049</v>
      </c>
      <c r="AX353" s="19">
        <f t="shared" si="15"/>
        <v>7975</v>
      </c>
      <c r="AY353" s="19">
        <f t="shared" si="15"/>
        <v>8004</v>
      </c>
      <c r="AZ353" s="19">
        <f t="shared" si="15"/>
        <v>1008</v>
      </c>
      <c r="BA353" s="19">
        <f t="shared" si="15"/>
        <v>9484</v>
      </c>
      <c r="BB353" s="19">
        <f t="shared" si="15"/>
        <v>682</v>
      </c>
      <c r="BC353" s="19">
        <f t="shared" si="15"/>
        <v>11352</v>
      </c>
      <c r="BD353" s="19">
        <f t="shared" si="15"/>
        <v>2058</v>
      </c>
      <c r="BE353" s="19">
        <f>BE3</f>
        <v>12088</v>
      </c>
      <c r="BF353" s="21"/>
    </row>
    <row r="354" spans="1:58" x14ac:dyDescent="0.2">
      <c r="A354" t="s">
        <v>608</v>
      </c>
      <c r="E354" s="20">
        <f t="shared" ref="E354:AR354" si="16">E343/E350</f>
        <v>0.10565009480172137</v>
      </c>
      <c r="F354" s="20">
        <f t="shared" si="16"/>
        <v>0.17548407743076155</v>
      </c>
      <c r="G354" s="20">
        <f t="shared" si="16"/>
        <v>3.2853529346819628E-2</v>
      </c>
      <c r="H354" s="20">
        <f t="shared" si="16"/>
        <v>6.3211194606863016E-3</v>
      </c>
      <c r="I354" s="20">
        <f t="shared" si="16"/>
        <v>9.7872315724573694E-2</v>
      </c>
      <c r="J354" s="20">
        <f t="shared" si="16"/>
        <v>3.2831171773211945E-2</v>
      </c>
      <c r="K354" s="20">
        <f t="shared" si="16"/>
        <v>0.16962311449724785</v>
      </c>
      <c r="L354" s="20">
        <f t="shared" si="16"/>
        <v>9.7377680524694282E-2</v>
      </c>
      <c r="M354" s="20">
        <f t="shared" si="16"/>
        <v>4.5350447764986701E-2</v>
      </c>
      <c r="N354" s="20">
        <f t="shared" si="16"/>
        <v>5.9547382374075773E-2</v>
      </c>
      <c r="O354" s="20">
        <f t="shared" si="16"/>
        <v>0.19956490966018034</v>
      </c>
      <c r="P354" s="20">
        <f t="shared" si="16"/>
        <v>6.3523347886261114E-2</v>
      </c>
      <c r="Q354" s="20">
        <f>Q343/Q350</f>
        <v>2.311413898364335E-2</v>
      </c>
      <c r="R354" s="20">
        <f t="shared" si="16"/>
        <v>0.73450930674948811</v>
      </c>
      <c r="S354" s="20">
        <f t="shared" si="16"/>
        <v>4.2063063236502531E-2</v>
      </c>
      <c r="T354" s="20">
        <f t="shared" si="16"/>
        <v>0.39318633959519206</v>
      </c>
      <c r="U354" s="20">
        <f t="shared" si="16"/>
        <v>9.505775563624827E-2</v>
      </c>
      <c r="V354" s="20">
        <f t="shared" si="16"/>
        <v>0.17412917965207536</v>
      </c>
      <c r="W354" s="20">
        <f t="shared" si="16"/>
        <v>3.1237130243310474E-2</v>
      </c>
      <c r="X354" s="20">
        <f t="shared" si="16"/>
        <v>0.54925701236518543</v>
      </c>
      <c r="Y354" s="20">
        <f t="shared" si="16"/>
        <v>5.7158243619327066E-2</v>
      </c>
      <c r="Z354" s="20">
        <f t="shared" si="16"/>
        <v>0.11997038524778918</v>
      </c>
      <c r="AA354" s="20">
        <f t="shared" si="16"/>
        <v>0.1009628271584503</v>
      </c>
      <c r="AB354" s="20">
        <f t="shared" si="16"/>
        <v>0.74788551077085674</v>
      </c>
      <c r="AC354" s="20">
        <f t="shared" si="16"/>
        <v>0.17605391870778533</v>
      </c>
      <c r="AD354" s="20">
        <f t="shared" si="16"/>
        <v>0.54612865731919036</v>
      </c>
      <c r="AE354" s="20">
        <f t="shared" si="16"/>
        <v>7.9237289891993745E-2</v>
      </c>
      <c r="AF354" s="20">
        <f t="shared" si="16"/>
        <v>0.75658036736990364</v>
      </c>
      <c r="AG354" s="20">
        <f t="shared" si="16"/>
        <v>0.18826353713533811</v>
      </c>
      <c r="AH354" s="20">
        <f t="shared" si="16"/>
        <v>0.2833529811259804</v>
      </c>
      <c r="AI354" s="20">
        <f t="shared" si="16"/>
        <v>0.17170998869055118</v>
      </c>
      <c r="AJ354" s="20">
        <f t="shared" si="16"/>
        <v>0.36439938157777285</v>
      </c>
      <c r="AK354" s="20">
        <f t="shared" si="16"/>
        <v>0.28971092043307795</v>
      </c>
      <c r="AL354" s="20">
        <f t="shared" si="16"/>
        <v>0.16686385392867981</v>
      </c>
      <c r="AM354" s="20">
        <f t="shared" si="16"/>
        <v>0.35367177551867574</v>
      </c>
      <c r="AN354" s="20">
        <f t="shared" si="16"/>
        <v>0.53580599082354419</v>
      </c>
      <c r="AO354" s="20">
        <f t="shared" si="16"/>
        <v>0.78831097293810193</v>
      </c>
      <c r="AP354" s="20">
        <f t="shared" si="16"/>
        <v>0.45485581599945762</v>
      </c>
      <c r="AQ354" s="20">
        <f t="shared" si="16"/>
        <v>0.34026035560988588</v>
      </c>
      <c r="AR354" s="20">
        <f t="shared" si="16"/>
        <v>0.78645158632819723</v>
      </c>
      <c r="AS354" s="20">
        <f>AS343/AS350</f>
        <v>0.18159275434929528</v>
      </c>
      <c r="AT354" s="20">
        <f>AT343/AT350</f>
        <v>0.79066989488966799</v>
      </c>
      <c r="AU354" s="20">
        <f>AU343/AU350</f>
        <v>0.2458269978121978</v>
      </c>
      <c r="AV354" s="20">
        <f>AV343/AV350</f>
        <v>0.45716570279755253</v>
      </c>
      <c r="AW354" s="20">
        <f>AW343/AW350</f>
        <v>9.4752210798411951E-2</v>
      </c>
      <c r="AX354" s="20">
        <f t="shared" ref="AX354:BD354" si="17">AX343/AX350</f>
        <v>0.39304593310599845</v>
      </c>
      <c r="AY354" s="20">
        <f t="shared" si="17"/>
        <v>0.17018252129393799</v>
      </c>
      <c r="AZ354" s="20">
        <f t="shared" si="17"/>
        <v>0.18053450384537537</v>
      </c>
      <c r="BA354" s="20">
        <v>0</v>
      </c>
      <c r="BB354" s="20">
        <f t="shared" si="17"/>
        <v>0.22716750354185361</v>
      </c>
      <c r="BC354" s="20">
        <f t="shared" si="17"/>
        <v>0.1099897702344174</v>
      </c>
      <c r="BD354" s="20">
        <f t="shared" si="17"/>
        <v>9.2655787338794829E-2</v>
      </c>
      <c r="BE354" s="20">
        <f>BE343/BE350</f>
        <v>0.25600139532653993</v>
      </c>
      <c r="BF354" s="21"/>
    </row>
    <row r="355" spans="1:58" x14ac:dyDescent="0.2">
      <c r="A355" t="s">
        <v>609</v>
      </c>
      <c r="E355" s="20">
        <f t="shared" ref="E355:AR355" si="18">E344/E350</f>
        <v>0.25471755726770784</v>
      </c>
      <c r="F355" s="20">
        <f t="shared" si="18"/>
        <v>0.18570363916015961</v>
      </c>
      <c r="G355" s="20">
        <f t="shared" si="18"/>
        <v>0.34198725273275304</v>
      </c>
      <c r="H355" s="20">
        <f t="shared" si="18"/>
        <v>2.998485532794326E-4</v>
      </c>
      <c r="I355" s="20">
        <f t="shared" si="18"/>
        <v>0.36597943285002732</v>
      </c>
      <c r="J355" s="20">
        <f t="shared" si="18"/>
        <v>0.3499595852518127</v>
      </c>
      <c r="K355" s="20">
        <f t="shared" si="18"/>
        <v>0.17070369205841904</v>
      </c>
      <c r="L355" s="20">
        <f t="shared" si="18"/>
        <v>0.19995857274217282</v>
      </c>
      <c r="M355" s="20">
        <f t="shared" si="18"/>
        <v>0.70473968105339957</v>
      </c>
      <c r="N355" s="20">
        <f t="shared" si="18"/>
        <v>0.25113643666478752</v>
      </c>
      <c r="O355" s="20">
        <f t="shared" si="18"/>
        <v>7.8901741773002465E-2</v>
      </c>
      <c r="P355" s="20">
        <f t="shared" si="18"/>
        <v>0.24444249150428685</v>
      </c>
      <c r="Q355" s="20">
        <f>Q344/Q350</f>
        <v>0.77647332840932359</v>
      </c>
      <c r="R355" s="20">
        <f t="shared" si="18"/>
        <v>0</v>
      </c>
      <c r="S355" s="20">
        <f t="shared" si="18"/>
        <v>0.77724281762279179</v>
      </c>
      <c r="T355" s="20">
        <f t="shared" si="18"/>
        <v>0.14125306191308767</v>
      </c>
      <c r="U355" s="20">
        <f t="shared" si="18"/>
        <v>0.21326723233307729</v>
      </c>
      <c r="V355" s="20">
        <f t="shared" si="18"/>
        <v>0.19505469875402207</v>
      </c>
      <c r="W355" s="20">
        <f t="shared" si="18"/>
        <v>0.96931266576246622</v>
      </c>
      <c r="X355" s="20">
        <f t="shared" si="18"/>
        <v>4.3348012583803566E-2</v>
      </c>
      <c r="Y355" s="20">
        <f t="shared" si="18"/>
        <v>0.70464420364625935</v>
      </c>
      <c r="Z355" s="20">
        <f t="shared" si="18"/>
        <v>0.2681994017549999</v>
      </c>
      <c r="AA355" s="20">
        <f t="shared" si="18"/>
        <v>0.22554010480894596</v>
      </c>
      <c r="AB355" s="20">
        <f t="shared" si="18"/>
        <v>0</v>
      </c>
      <c r="AC355" s="20">
        <f t="shared" si="18"/>
        <v>0.16681166057000921</v>
      </c>
      <c r="AD355" s="20">
        <f t="shared" si="18"/>
        <v>0</v>
      </c>
      <c r="AE355" s="20">
        <f t="shared" si="18"/>
        <v>0.32731745530253065</v>
      </c>
      <c r="AF355" s="20">
        <f t="shared" si="18"/>
        <v>5.8076326735798354E-5</v>
      </c>
      <c r="AG355" s="20">
        <f t="shared" si="18"/>
        <v>0.15337071157499213</v>
      </c>
      <c r="AH355" s="20">
        <f t="shared" si="18"/>
        <v>0.13224865458041854</v>
      </c>
      <c r="AI355" s="20">
        <f t="shared" si="18"/>
        <v>0.16465899294862843</v>
      </c>
      <c r="AJ355" s="20">
        <f t="shared" si="18"/>
        <v>4.4257387633693031E-2</v>
      </c>
      <c r="AK355" s="20">
        <f t="shared" si="18"/>
        <v>9.2775900626535665E-2</v>
      </c>
      <c r="AL355" s="20">
        <f t="shared" si="18"/>
        <v>0.13394421109872032</v>
      </c>
      <c r="AM355" s="20">
        <f t="shared" si="18"/>
        <v>4.3095776026791696E-2</v>
      </c>
      <c r="AN355" s="20">
        <f t="shared" si="18"/>
        <v>0</v>
      </c>
      <c r="AO355" s="20">
        <f t="shared" si="18"/>
        <v>0</v>
      </c>
      <c r="AP355" s="20">
        <f t="shared" si="18"/>
        <v>0.11280165093773667</v>
      </c>
      <c r="AQ355" s="20">
        <f t="shared" si="18"/>
        <v>0.18927799826685396</v>
      </c>
      <c r="AR355" s="20">
        <f t="shared" si="18"/>
        <v>0</v>
      </c>
      <c r="AS355" s="20">
        <f>AS344/AS350</f>
        <v>0.60950853784750847</v>
      </c>
      <c r="AT355" s="20">
        <f>AT344/AT350</f>
        <v>0</v>
      </c>
      <c r="AU355" s="20">
        <f>AU344/AU350</f>
        <v>0.19779904373739726</v>
      </c>
      <c r="AV355" s="20">
        <f>AV344/AV350</f>
        <v>0.15944452873815074</v>
      </c>
      <c r="AW355" s="20">
        <f>AW344/AW350</f>
        <v>0</v>
      </c>
      <c r="AX355" s="20">
        <f t="shared" ref="AX355:BD355" si="19">AX344/AX350</f>
        <v>4.4965266298632081E-2</v>
      </c>
      <c r="AY355" s="20">
        <f t="shared" si="19"/>
        <v>0</v>
      </c>
      <c r="AZ355" s="20">
        <f t="shared" si="19"/>
        <v>0.34304663200618074</v>
      </c>
      <c r="BA355" s="20">
        <v>0</v>
      </c>
      <c r="BB355" s="20">
        <f t="shared" si="19"/>
        <v>0.3567580173045638</v>
      </c>
      <c r="BC355" s="20">
        <f t="shared" si="19"/>
        <v>0</v>
      </c>
      <c r="BD355" s="20">
        <f t="shared" si="19"/>
        <v>0</v>
      </c>
      <c r="BE355" s="20">
        <f>BE344/BE350</f>
        <v>0.12060648330866609</v>
      </c>
      <c r="BF355" s="21"/>
    </row>
    <row r="356" spans="1:58" x14ac:dyDescent="0.2">
      <c r="A356" t="s">
        <v>610</v>
      </c>
      <c r="E356" s="20">
        <f t="shared" ref="E356:AR356" si="20">E345/E350</f>
        <v>0.2487933748751778</v>
      </c>
      <c r="F356" s="20">
        <f t="shared" si="20"/>
        <v>0.26025838918348454</v>
      </c>
      <c r="G356" s="20">
        <f t="shared" si="20"/>
        <v>0.47565807713419067</v>
      </c>
      <c r="H356" s="20">
        <f t="shared" si="20"/>
        <v>9.7593500115427279E-2</v>
      </c>
      <c r="I356" s="20">
        <f t="shared" si="20"/>
        <v>0.29236818980406631</v>
      </c>
      <c r="J356" s="20">
        <f t="shared" si="20"/>
        <v>0.4612681869094607</v>
      </c>
      <c r="K356" s="20">
        <f t="shared" si="20"/>
        <v>8.5871231380633808E-2</v>
      </c>
      <c r="L356" s="20">
        <f t="shared" si="20"/>
        <v>0.44473660952294375</v>
      </c>
      <c r="M356" s="20">
        <f t="shared" si="20"/>
        <v>0.19772620798540189</v>
      </c>
      <c r="N356" s="20">
        <f t="shared" si="20"/>
        <v>0.3655353080493805</v>
      </c>
      <c r="O356" s="20">
        <f t="shared" si="20"/>
        <v>0.12283360784257985</v>
      </c>
      <c r="P356" s="20">
        <f t="shared" si="20"/>
        <v>0.35081163782344132</v>
      </c>
      <c r="Q356" s="20">
        <f>Q345/Q350</f>
        <v>0.20082332146695631</v>
      </c>
      <c r="R356" s="20">
        <f t="shared" si="20"/>
        <v>0</v>
      </c>
      <c r="S356" s="20">
        <f t="shared" si="20"/>
        <v>7.5514474158809566E-3</v>
      </c>
      <c r="T356" s="20">
        <f t="shared" si="20"/>
        <v>0.35666138637289829</v>
      </c>
      <c r="U356" s="20">
        <f t="shared" si="20"/>
        <v>0.63681774494192267</v>
      </c>
      <c r="V356" s="20">
        <f t="shared" si="20"/>
        <v>0.366972889151436</v>
      </c>
      <c r="W356" s="20">
        <f t="shared" si="20"/>
        <v>0</v>
      </c>
      <c r="X356" s="20">
        <f t="shared" si="20"/>
        <v>0.24642782829470486</v>
      </c>
      <c r="Y356" s="20">
        <f t="shared" si="20"/>
        <v>0.19769942320102685</v>
      </c>
      <c r="Z356" s="20">
        <f t="shared" si="20"/>
        <v>0.48292992061318413</v>
      </c>
      <c r="AA356" s="20">
        <f t="shared" si="20"/>
        <v>0.4439780740230681</v>
      </c>
      <c r="AB356" s="20">
        <f t="shared" si="20"/>
        <v>0</v>
      </c>
      <c r="AC356" s="20">
        <f t="shared" si="20"/>
        <v>0.16788045165559543</v>
      </c>
      <c r="AD356" s="20">
        <f t="shared" si="20"/>
        <v>0.19652947250424929</v>
      </c>
      <c r="AE356" s="20">
        <f t="shared" si="20"/>
        <v>0.46387934149142263</v>
      </c>
      <c r="AF356" s="20">
        <f t="shared" si="20"/>
        <v>0</v>
      </c>
      <c r="AG356" s="20">
        <f t="shared" si="20"/>
        <v>0.28904972157582554</v>
      </c>
      <c r="AH356" s="20">
        <f t="shared" si="20"/>
        <v>0.26508853688315465</v>
      </c>
      <c r="AI356" s="20">
        <f t="shared" si="20"/>
        <v>0.11497767839091363</v>
      </c>
      <c r="AJ356" s="20">
        <f t="shared" si="20"/>
        <v>1.3186009120939266E-2</v>
      </c>
      <c r="AK356" s="20">
        <f t="shared" si="20"/>
        <v>0.26464061970394209</v>
      </c>
      <c r="AL356" s="20">
        <f t="shared" si="20"/>
        <v>0.16645436076699055</v>
      </c>
      <c r="AM356" s="20">
        <f t="shared" si="20"/>
        <v>1.3182583984219535E-2</v>
      </c>
      <c r="AN356" s="20">
        <f t="shared" si="20"/>
        <v>0.17946005599116252</v>
      </c>
      <c r="AO356" s="20">
        <f t="shared" si="20"/>
        <v>0</v>
      </c>
      <c r="AP356" s="20">
        <f t="shared" si="20"/>
        <v>0.2973488005152653</v>
      </c>
      <c r="AQ356" s="20">
        <f t="shared" si="20"/>
        <v>0.38850453879897429</v>
      </c>
      <c r="AR356" s="20">
        <f t="shared" si="20"/>
        <v>0</v>
      </c>
      <c r="AS356" s="20">
        <f>AS345/AS350</f>
        <v>0.17100756945466608</v>
      </c>
      <c r="AT356" s="20">
        <f>AT345/AT350</f>
        <v>0</v>
      </c>
      <c r="AU356" s="20">
        <f>AU345/AU350</f>
        <v>0.30481160255883655</v>
      </c>
      <c r="AV356" s="20">
        <f>AV345/AV350</f>
        <v>0.27124625469630231</v>
      </c>
      <c r="AW356" s="20">
        <f>AW345/AW350</f>
        <v>0</v>
      </c>
      <c r="AX356" s="20">
        <f t="shared" ref="AX356:BD356" si="21">AX345/AX350</f>
        <v>1.2272058381260614E-2</v>
      </c>
      <c r="AY356" s="20">
        <f t="shared" si="21"/>
        <v>0</v>
      </c>
      <c r="AZ356" s="20">
        <f t="shared" si="21"/>
        <v>0.23707430274360144</v>
      </c>
      <c r="BA356" s="20">
        <v>0</v>
      </c>
      <c r="BB356" s="20">
        <f t="shared" si="21"/>
        <v>0.30333326285601453</v>
      </c>
      <c r="BC356" s="20">
        <f t="shared" si="21"/>
        <v>0</v>
      </c>
      <c r="BD356" s="20">
        <f t="shared" si="21"/>
        <v>0</v>
      </c>
      <c r="BE356" s="20">
        <f>BE345/BE350</f>
        <v>0.400659474595363</v>
      </c>
      <c r="BF356" s="21"/>
    </row>
    <row r="357" spans="1:58" x14ac:dyDescent="0.2">
      <c r="A357" t="s">
        <v>611</v>
      </c>
      <c r="E357" s="20">
        <f t="shared" ref="E357:AR357" si="22">E346/E350</f>
        <v>0.13535822530809494</v>
      </c>
      <c r="F357" s="20">
        <f t="shared" si="22"/>
        <v>0.26230052375484197</v>
      </c>
      <c r="G357" s="20">
        <f t="shared" si="22"/>
        <v>1.450293571107864E-3</v>
      </c>
      <c r="H357" s="20">
        <f t="shared" si="22"/>
        <v>1.1756735302283052E-2</v>
      </c>
      <c r="I357" s="20">
        <f t="shared" si="22"/>
        <v>9.6143917052467692E-2</v>
      </c>
      <c r="J357" s="20">
        <f t="shared" si="22"/>
        <v>3.2410305247835905E-3</v>
      </c>
      <c r="K357" s="20">
        <f t="shared" si="22"/>
        <v>0.25104110906456151</v>
      </c>
      <c r="L357" s="20">
        <f t="shared" si="22"/>
        <v>9.2372781531146073E-2</v>
      </c>
      <c r="M357" s="20">
        <f t="shared" si="22"/>
        <v>0</v>
      </c>
      <c r="N357" s="20">
        <f t="shared" si="22"/>
        <v>5.3932777614573796E-2</v>
      </c>
      <c r="O357" s="20">
        <f t="shared" si="22"/>
        <v>0.32053658450107686</v>
      </c>
      <c r="P357" s="20">
        <f t="shared" si="22"/>
        <v>6.2739598577191899E-2</v>
      </c>
      <c r="Q357" s="20">
        <f>Q346/Q350</f>
        <v>0</v>
      </c>
      <c r="R357" s="20">
        <f t="shared" si="22"/>
        <v>0.21978551747756908</v>
      </c>
      <c r="S357" s="20">
        <f t="shared" si="22"/>
        <v>2.8146612403218457E-3</v>
      </c>
      <c r="T357" s="20">
        <f t="shared" si="22"/>
        <v>8.2890661402440169E-2</v>
      </c>
      <c r="U357" s="20">
        <f t="shared" si="22"/>
        <v>4.2301203880830765E-3</v>
      </c>
      <c r="V357" s="20">
        <f t="shared" si="22"/>
        <v>0.26177144768752852</v>
      </c>
      <c r="W357" s="20">
        <f t="shared" si="22"/>
        <v>0</v>
      </c>
      <c r="X357" s="20">
        <f t="shared" si="22"/>
        <v>0.12447265161380537</v>
      </c>
      <c r="Y357" s="20">
        <f t="shared" si="22"/>
        <v>0</v>
      </c>
      <c r="Z357" s="20">
        <f t="shared" si="22"/>
        <v>1.5199573283286015E-3</v>
      </c>
      <c r="AA357" s="20">
        <f t="shared" si="22"/>
        <v>8.9571413329840213E-2</v>
      </c>
      <c r="AB357" s="20">
        <f t="shared" si="22"/>
        <v>0.20412804228854953</v>
      </c>
      <c r="AC357" s="20">
        <f t="shared" si="22"/>
        <v>0.26039855888407826</v>
      </c>
      <c r="AD357" s="20">
        <f t="shared" si="22"/>
        <v>0.23529439613736208</v>
      </c>
      <c r="AE357" s="20">
        <f t="shared" si="22"/>
        <v>3.9180954654241913E-3</v>
      </c>
      <c r="AF357" s="20">
        <f t="shared" si="22"/>
        <v>0.19708054099990024</v>
      </c>
      <c r="AG357" s="20">
        <f t="shared" si="22"/>
        <v>0.2685169242426434</v>
      </c>
      <c r="AH357" s="20">
        <f t="shared" si="22"/>
        <v>0.30845142401146819</v>
      </c>
      <c r="AI357" s="20">
        <f t="shared" si="22"/>
        <v>0.24403654194174518</v>
      </c>
      <c r="AJ357" s="20">
        <f t="shared" si="22"/>
        <v>0.58608888326860697</v>
      </c>
      <c r="AK357" s="20">
        <f t="shared" si="22"/>
        <v>0.33706057039465487</v>
      </c>
      <c r="AL357" s="20">
        <f t="shared" si="22"/>
        <v>0.26431249159620379</v>
      </c>
      <c r="AM357" s="20">
        <f t="shared" si="22"/>
        <v>0.57936912058568568</v>
      </c>
      <c r="AN357" s="20">
        <f t="shared" si="22"/>
        <v>0.26330662637310792</v>
      </c>
      <c r="AO357" s="20">
        <f t="shared" si="22"/>
        <v>0.22466072141525742</v>
      </c>
      <c r="AP357" s="20">
        <f t="shared" si="22"/>
        <v>0.10341194471289376</v>
      </c>
      <c r="AQ357" s="20">
        <f t="shared" si="22"/>
        <v>5.9606762203019151E-2</v>
      </c>
      <c r="AR357" s="20">
        <f t="shared" si="22"/>
        <v>0.22642332355161623</v>
      </c>
      <c r="AS357" s="20">
        <f>AS346/AS350</f>
        <v>0</v>
      </c>
      <c r="AT357" s="20">
        <f>AT346/AT350</f>
        <v>0.22184433555013428</v>
      </c>
      <c r="AU357" s="20">
        <f>AU346/AU350</f>
        <v>0.2527987589854363</v>
      </c>
      <c r="AV357" s="20">
        <f>AV346/AV350</f>
        <v>8.5637761339515811E-2</v>
      </c>
      <c r="AW357" s="20">
        <f>AW346/AW350</f>
        <v>0.90544990857317897</v>
      </c>
      <c r="AX357" s="20">
        <f t="shared" ref="AX357:BD357" si="23">AX346/AX350</f>
        <v>0.57236768383758285</v>
      </c>
      <c r="AY357" s="20">
        <f t="shared" si="23"/>
        <v>0.83004332138555281</v>
      </c>
      <c r="AZ357" s="20">
        <f t="shared" si="23"/>
        <v>0.19876847891402638</v>
      </c>
      <c r="BA357" s="20">
        <v>0</v>
      </c>
      <c r="BB357" s="20">
        <f t="shared" si="23"/>
        <v>0.10413966826694382</v>
      </c>
      <c r="BC357" s="20">
        <f t="shared" si="23"/>
        <v>0.88973340755778174</v>
      </c>
      <c r="BD357" s="20">
        <f t="shared" si="23"/>
        <v>0.90772645600831237</v>
      </c>
      <c r="BE357" s="20">
        <f>BE346/BE350</f>
        <v>0.22174430722152283</v>
      </c>
      <c r="BF357" s="21"/>
    </row>
    <row r="358" spans="1:58" x14ac:dyDescent="0.2">
      <c r="A358" t="s">
        <v>612</v>
      </c>
      <c r="E358" s="20">
        <f t="shared" ref="E358:AR358" si="24">E347/E350</f>
        <v>7.2823088408869988E-2</v>
      </c>
      <c r="F358" s="20">
        <f t="shared" si="24"/>
        <v>4.2109701693682083E-2</v>
      </c>
      <c r="G358" s="20">
        <f t="shared" si="24"/>
        <v>8.50926046714367E-2</v>
      </c>
      <c r="H358" s="20">
        <f t="shared" si="24"/>
        <v>0.87760281425523745</v>
      </c>
      <c r="I358" s="20">
        <f t="shared" si="24"/>
        <v>7.9446962389649198E-2</v>
      </c>
      <c r="J358" s="20">
        <f t="shared" si="24"/>
        <v>9.3328004717660062E-2</v>
      </c>
      <c r="K358" s="20">
        <f t="shared" si="24"/>
        <v>0.10193329347596869</v>
      </c>
      <c r="L358" s="20">
        <f t="shared" si="24"/>
        <v>6.9010826477707773E-2</v>
      </c>
      <c r="M358" s="20">
        <f t="shared" si="24"/>
        <v>2.1348991744214344E-2</v>
      </c>
      <c r="N358" s="20">
        <f t="shared" si="24"/>
        <v>8.146883903736564E-2</v>
      </c>
      <c r="O358" s="20">
        <f t="shared" si="24"/>
        <v>6.1273177165300813E-2</v>
      </c>
      <c r="P358" s="20">
        <f t="shared" si="24"/>
        <v>9.6790153156477404E-2</v>
      </c>
      <c r="Q358" s="20">
        <f>Q347/Q350</f>
        <v>0</v>
      </c>
      <c r="R358" s="20">
        <f t="shared" si="24"/>
        <v>0</v>
      </c>
      <c r="S358" s="20">
        <f t="shared" si="24"/>
        <v>0.10552197896094151</v>
      </c>
      <c r="T358" s="20">
        <f t="shared" si="24"/>
        <v>0</v>
      </c>
      <c r="U358" s="20">
        <f t="shared" si="24"/>
        <v>4.3231299009581304E-3</v>
      </c>
      <c r="V358" s="20">
        <f t="shared" si="24"/>
        <v>-1.4702380629004252E-2</v>
      </c>
      <c r="W358" s="20">
        <f t="shared" si="24"/>
        <v>0</v>
      </c>
      <c r="X358" s="20">
        <f t="shared" si="24"/>
        <v>1.0478839817603125E-4</v>
      </c>
      <c r="Y358" s="20">
        <f t="shared" si="24"/>
        <v>9.6730434352854649E-3</v>
      </c>
      <c r="Z358" s="20">
        <f t="shared" si="24"/>
        <v>7.3373675614616066E-2</v>
      </c>
      <c r="AA358" s="20">
        <f t="shared" si="24"/>
        <v>8.033944820769448E-2</v>
      </c>
      <c r="AB358" s="20">
        <f t="shared" si="24"/>
        <v>0</v>
      </c>
      <c r="AC358" s="20">
        <f t="shared" si="24"/>
        <v>0.10526855578047618</v>
      </c>
      <c r="AD358" s="20">
        <f t="shared" si="24"/>
        <v>0</v>
      </c>
      <c r="AE358" s="20">
        <f t="shared" si="24"/>
        <v>6.507602765806185E-2</v>
      </c>
      <c r="AF358" s="20">
        <f t="shared" si="24"/>
        <v>-5.0481773023729548E-5</v>
      </c>
      <c r="AG358" s="20">
        <f t="shared" si="24"/>
        <v>4.9973539622507099E-2</v>
      </c>
      <c r="AH358" s="20">
        <f t="shared" si="24"/>
        <v>0</v>
      </c>
      <c r="AI358" s="20">
        <f t="shared" si="24"/>
        <v>0.11802487435591663</v>
      </c>
      <c r="AJ358" s="20">
        <f t="shared" si="24"/>
        <v>-2.1591340707231198E-2</v>
      </c>
      <c r="AK358" s="20">
        <f t="shared" si="24"/>
        <v>5.5018733075016023E-3</v>
      </c>
      <c r="AL358" s="20">
        <f t="shared" si="24"/>
        <v>8.9585384297509923E-2</v>
      </c>
      <c r="AM358" s="20">
        <f t="shared" si="24"/>
        <v>-1.5546194003188088E-3</v>
      </c>
      <c r="AN358" s="20">
        <f t="shared" si="24"/>
        <v>2.7709596636337006E-4</v>
      </c>
      <c r="AO358" s="20">
        <f t="shared" si="24"/>
        <v>1.5451534678129484E-5</v>
      </c>
      <c r="AP358" s="20">
        <f t="shared" si="24"/>
        <v>1.1891081659851021E-3</v>
      </c>
      <c r="AQ358" s="20">
        <f t="shared" si="24"/>
        <v>0</v>
      </c>
      <c r="AR358" s="20">
        <f t="shared" si="24"/>
        <v>1.7484936181996465E-4</v>
      </c>
      <c r="AS358" s="20">
        <f>AS347/AS350</f>
        <v>1.1392006890200975E-2</v>
      </c>
      <c r="AT358" s="20">
        <f>AT347/AT350</f>
        <v>4.0511511912187794E-4</v>
      </c>
      <c r="AU358" s="20">
        <f>AU347/AU350</f>
        <v>-1.9753218327140193E-2</v>
      </c>
      <c r="AV358" s="20">
        <f>AV347/AV350</f>
        <v>0</v>
      </c>
      <c r="AW358" s="20">
        <f>AW347/AW350</f>
        <v>0</v>
      </c>
      <c r="AX358" s="20">
        <f t="shared" ref="AX358:BD358" si="25">AX347/AX350</f>
        <v>-3.2172169554577489E-2</v>
      </c>
      <c r="AY358" s="20">
        <f t="shared" si="25"/>
        <v>0</v>
      </c>
      <c r="AZ358" s="20">
        <f t="shared" si="25"/>
        <v>-1.2152393369590321E-2</v>
      </c>
      <c r="BA358" s="20">
        <v>0</v>
      </c>
      <c r="BB358" s="20">
        <f t="shared" si="25"/>
        <v>-3.7186362732124236E-3</v>
      </c>
      <c r="BC358" s="20">
        <f t="shared" si="25"/>
        <v>0</v>
      </c>
      <c r="BD358" s="20">
        <f t="shared" si="25"/>
        <v>0</v>
      </c>
      <c r="BE358" s="20">
        <f>BE347/BE350</f>
        <v>-2.4243816368493171E-2</v>
      </c>
      <c r="BF358" s="21"/>
    </row>
    <row r="359" spans="1:58" x14ac:dyDescent="0.2">
      <c r="A359" t="s">
        <v>613</v>
      </c>
      <c r="E359" s="20">
        <f t="shared" ref="E359:P359" si="26">E348/E350</f>
        <v>0.18265765933842809</v>
      </c>
      <c r="F359" s="20">
        <f t="shared" si="26"/>
        <v>7.4143668777070265E-2</v>
      </c>
      <c r="G359" s="20">
        <f t="shared" si="26"/>
        <v>6.2958242543692172E-2</v>
      </c>
      <c r="H359" s="20">
        <f t="shared" si="26"/>
        <v>6.4259823130864493E-3</v>
      </c>
      <c r="I359" s="20">
        <f t="shared" si="26"/>
        <v>6.8189182179215851E-2</v>
      </c>
      <c r="J359" s="20">
        <f t="shared" si="26"/>
        <v>5.9372020823071074E-2</v>
      </c>
      <c r="K359" s="20">
        <f t="shared" si="26"/>
        <v>0.22082755952316926</v>
      </c>
      <c r="L359" s="20">
        <f t="shared" si="26"/>
        <v>9.6543529201335285E-2</v>
      </c>
      <c r="M359" s="20">
        <f t="shared" si="26"/>
        <v>3.0834671451997517E-2</v>
      </c>
      <c r="N359" s="20">
        <f t="shared" si="26"/>
        <v>0.18837925625981675</v>
      </c>
      <c r="O359" s="20">
        <f t="shared" si="26"/>
        <v>0.21688997905785973</v>
      </c>
      <c r="P359" s="20">
        <f t="shared" si="26"/>
        <v>0.1816927710523413</v>
      </c>
      <c r="Q359" s="20">
        <f>Q348/Q350</f>
        <v>-4.1078885992331185E-4</v>
      </c>
      <c r="R359" s="20">
        <f t="shared" ref="R359:AR359" si="27">R348/R350</f>
        <v>4.5705175772942898E-2</v>
      </c>
      <c r="S359" s="20">
        <f t="shared" si="27"/>
        <v>6.4806031523561319E-2</v>
      </c>
      <c r="T359" s="20">
        <f t="shared" si="27"/>
        <v>2.6008550716381761E-2</v>
      </c>
      <c r="U359" s="20">
        <f t="shared" si="27"/>
        <v>4.6304016799710634E-2</v>
      </c>
      <c r="V359" s="20">
        <f t="shared" si="27"/>
        <v>1.6774165383942292E-2</v>
      </c>
      <c r="W359" s="20">
        <f t="shared" si="27"/>
        <v>-5.4979600577663326E-4</v>
      </c>
      <c r="X359" s="20">
        <f t="shared" si="27"/>
        <v>3.6389706744324693E-2</v>
      </c>
      <c r="Y359" s="20">
        <f t="shared" si="27"/>
        <v>3.0825086098101234E-2</v>
      </c>
      <c r="Z359" s="20">
        <f t="shared" si="27"/>
        <v>5.4006659441082169E-2</v>
      </c>
      <c r="AA359" s="20">
        <f t="shared" si="27"/>
        <v>5.9608132472001023E-2</v>
      </c>
      <c r="AB359" s="20">
        <f t="shared" si="27"/>
        <v>4.7986446940593626E-2</v>
      </c>
      <c r="AC359" s="20">
        <f t="shared" si="27"/>
        <v>0.12358685440205569</v>
      </c>
      <c r="AD359" s="20">
        <f t="shared" si="27"/>
        <v>2.2047474039198222E-2</v>
      </c>
      <c r="AE359" s="20">
        <f t="shared" si="27"/>
        <v>6.0571790190566889E-2</v>
      </c>
      <c r="AF359" s="20">
        <f t="shared" si="27"/>
        <v>4.6331497076484034E-2</v>
      </c>
      <c r="AG359" s="20">
        <f t="shared" si="27"/>
        <v>5.0825565848693674E-2</v>
      </c>
      <c r="AH359" s="20">
        <f t="shared" si="27"/>
        <v>1.0858403398978242E-2</v>
      </c>
      <c r="AI359" s="20">
        <f t="shared" si="27"/>
        <v>0.18659192367224503</v>
      </c>
      <c r="AJ359" s="20">
        <f t="shared" si="27"/>
        <v>1.3659679106219113E-2</v>
      </c>
      <c r="AK359" s="20">
        <f t="shared" si="27"/>
        <v>1.0310115534287794E-2</v>
      </c>
      <c r="AL359" s="20">
        <f t="shared" si="27"/>
        <v>0.17883969831189561</v>
      </c>
      <c r="AM359" s="20">
        <f t="shared" si="27"/>
        <v>1.2235363284946217E-2</v>
      </c>
      <c r="AN359" s="20">
        <f t="shared" si="27"/>
        <v>2.1150230845821859E-2</v>
      </c>
      <c r="AO359" s="20">
        <f t="shared" si="27"/>
        <v>-1.2987145888037468E-2</v>
      </c>
      <c r="AP359" s="20">
        <f t="shared" si="27"/>
        <v>3.0392679668661705E-2</v>
      </c>
      <c r="AQ359" s="20">
        <f t="shared" si="27"/>
        <v>2.2350345121266636E-2</v>
      </c>
      <c r="AR359" s="20">
        <f t="shared" si="27"/>
        <v>-1.3049759241633326E-2</v>
      </c>
      <c r="AS359" s="20">
        <f>AS348/AS350</f>
        <v>2.6499131458329325E-2</v>
      </c>
      <c r="AT359" s="20">
        <f>AT348/AT350</f>
        <v>-1.2919345558923977E-2</v>
      </c>
      <c r="AU359" s="20">
        <f>AU348/AU350</f>
        <v>1.8516815233272338E-2</v>
      </c>
      <c r="AV359" s="20">
        <f>AV348/AV350</f>
        <v>2.6505752428478763E-2</v>
      </c>
      <c r="AW359" s="20">
        <f>AW348/AW350</f>
        <v>-2.0211937159092874E-4</v>
      </c>
      <c r="AX359" s="20">
        <f t="shared" ref="AX359:BD359" si="28">AX348/AX350</f>
        <v>9.5212279311034237E-3</v>
      </c>
      <c r="AY359" s="20">
        <f t="shared" si="28"/>
        <v>-2.2584267949082539E-4</v>
      </c>
      <c r="AZ359" s="20">
        <f t="shared" si="28"/>
        <v>5.27284758604065E-2</v>
      </c>
      <c r="BA359" s="20">
        <v>0</v>
      </c>
      <c r="BB359" s="20">
        <f t="shared" si="28"/>
        <v>1.2320184303836719E-2</v>
      </c>
      <c r="BC359" s="20">
        <f t="shared" si="28"/>
        <v>2.7682220780080865E-4</v>
      </c>
      <c r="BD359" s="20">
        <f t="shared" si="28"/>
        <v>-3.8224334710723937E-4</v>
      </c>
      <c r="BE359" s="20">
        <f>BE348/BE350</f>
        <v>2.5232155916401235E-2</v>
      </c>
      <c r="BF359" s="21"/>
    </row>
    <row r="360" spans="1:58" x14ac:dyDescent="0.2">
      <c r="A360" s="21" t="s">
        <v>709</v>
      </c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  <c r="AH360" s="21"/>
      <c r="AI360" s="21"/>
      <c r="AJ360" s="21"/>
      <c r="AK360" s="21"/>
      <c r="AL360" s="21"/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21"/>
      <c r="BA360" s="21"/>
      <c r="BB360" s="21"/>
      <c r="BC360" s="21"/>
      <c r="BD360" s="21"/>
      <c r="BE360" s="21"/>
    </row>
  </sheetData>
  <mergeCells count="3">
    <mergeCell ref="A1:BE1"/>
    <mergeCell ref="BF2:BF359"/>
    <mergeCell ref="A360:BE360"/>
  </mergeCells>
  <conditionalFormatting sqref="A17:A33">
    <cfRule type="cellIs" dxfId="3" priority="7" stopIfTrue="1" operator="lessThan">
      <formula>0</formula>
    </cfRule>
  </conditionalFormatting>
  <conditionalFormatting sqref="B23:B33">
    <cfRule type="cellIs" dxfId="2" priority="16" stopIfTrue="1" operator="lessThan">
      <formula>0</formula>
    </cfRule>
  </conditionalFormatting>
  <conditionalFormatting sqref="C16:D24">
    <cfRule type="cellIs" dxfId="1" priority="8" stopIfTrue="1" operator="lessThan">
      <formula>0</formula>
    </cfRule>
  </conditionalFormatting>
  <conditionalFormatting sqref="E15:BE23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Hishtalmut xmlns="e7c93c0b-31f4-4d6d-a404-57fd37393f5c">
      <Value>6</Value>
      <Value>7</Value>
      <Value>13</Value>
      <Value>9</Value>
      <Value>1</Value>
      <Value>2</Value>
      <Value>3</Value>
      <Value>11</Value>
      <Value>12</Value>
      <Value>4</Value>
      <Value>5</Value>
    </Kupa_Hishtalmut>
    <Category xmlns="e7c93c0b-31f4-4d6d-a404-57fd37393f5c">1</Category>
    <KupotIsHidden xmlns="7c67d0cd-db71-4ceb-ba14-b5862b768686">false</KupotIsHidden>
    <Kupa_kgl xmlns="e7c93c0b-31f4-4d6d-a404-57fd37393f5c">
      <Value>8</Value>
      <Value>9</Value>
      <Value>1</Value>
      <Value>2</Value>
      <Value>3</Value>
      <Value>4</Value>
      <Value>5</Value>
      <Value>6</Value>
      <Value>7</Value>
    </Kupa_kgl>
    <kupa_tagmulim xmlns="e7c93c0b-31f4-4d6d-a404-57fd37393f5c"/>
    <Kupa_hly xmlns="e7c93c0b-31f4-4d6d-a404-57fd37393f5c">
      <Value>1</Value>
      <Value>2</Value>
      <Value>3</Value>
      <Value>4</Value>
      <Value>5</Value>
    </Kupa_hly>
    <kupa_ktp xmlns="e7c93c0b-31f4-4d6d-a404-57fd37393f5c">
      <Value>17</Value>
      <Value>14</Value>
      <Value>15</Value>
      <Value>16</Value>
      <Value>6</Value>
      <Value>1</Value>
      <Value>2</Value>
      <Value>3</Value>
      <Value>4</Value>
      <Value>8</Value>
      <Value>9</Value>
      <Value>5</Value>
      <Value>10</Value>
      <Value>11</Value>
      <Value>12</Value>
      <Value>13</Value>
    </kupa_ktp>
  </documentManagement>
</p:properties>
</file>

<file path=customXml/itemProps1.xml><?xml version="1.0" encoding="utf-8"?>
<ds:datastoreItem xmlns:ds="http://schemas.openxmlformats.org/officeDocument/2006/customXml" ds:itemID="{727B2118-5BDB-48B5-9D3F-526A0747556F}"/>
</file>

<file path=customXml/itemProps2.xml><?xml version="1.0" encoding="utf-8"?>
<ds:datastoreItem xmlns:ds="http://schemas.openxmlformats.org/officeDocument/2006/customXml" ds:itemID="{44C231D4-26F5-465B-A496-6E3A5FCAE966}"/>
</file>

<file path=customXml/itemProps3.xml><?xml version="1.0" encoding="utf-8"?>
<ds:datastoreItem xmlns:ds="http://schemas.openxmlformats.org/officeDocument/2006/customXml" ds:itemID="{0577D65B-5843-450A-A99B-BE17CB11C7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12/2023</dc:title>
  <dc:creator>פרידמן אמיר</dc:creator>
  <cp:lastModifiedBy>סילבי כהן</cp:lastModifiedBy>
  <dcterms:created xsi:type="dcterms:W3CDTF">2024-01-22T10:32:25Z</dcterms:created>
  <dcterms:modified xsi:type="dcterms:W3CDTF">2024-01-23T07:19:53Z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