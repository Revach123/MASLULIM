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ilvi\Downloads\"/>
    </mc:Choice>
  </mc:AlternateContent>
  <xr:revisionPtr revIDLastSave="0" documentId="13_ncr:1_{0EF2622D-8874-429C-945C-01371D876F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53" i="1" l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J350" i="1" l="1"/>
  <c r="J356" i="1" s="1"/>
  <c r="AD350" i="1"/>
  <c r="AD358" i="1" s="1"/>
  <c r="AX350" i="1"/>
  <c r="AX354" i="1" s="1"/>
  <c r="AD352" i="1"/>
  <c r="AD355" i="1"/>
  <c r="AZ350" i="1"/>
  <c r="AZ354" i="1" s="1"/>
  <c r="Y350" i="1"/>
  <c r="Y352" i="1" s="1"/>
  <c r="AU350" i="1"/>
  <c r="AU355" i="1" s="1"/>
  <c r="AB350" i="1"/>
  <c r="AB352" i="1" s="1"/>
  <c r="AV350" i="1"/>
  <c r="AH350" i="1"/>
  <c r="AH356" i="1" s="1"/>
  <c r="AA350" i="1"/>
  <c r="AA352" i="1" s="1"/>
  <c r="I350" i="1"/>
  <c r="I358" i="1" s="1"/>
  <c r="AC350" i="1"/>
  <c r="AC356" i="1" s="1"/>
  <c r="AW350" i="1"/>
  <c r="AW356" i="1" s="1"/>
  <c r="AG350" i="1"/>
  <c r="AG354" i="1" s="1"/>
  <c r="I354" i="1"/>
  <c r="AI350" i="1"/>
  <c r="AI354" i="1" s="1"/>
  <c r="AG355" i="1"/>
  <c r="AZ355" i="1"/>
  <c r="AZ357" i="1"/>
  <c r="AJ350" i="1"/>
  <c r="AJ352" i="1" s="1"/>
  <c r="K350" i="1"/>
  <c r="BC350" i="1"/>
  <c r="BC357" i="1" s="1"/>
  <c r="AK350" i="1"/>
  <c r="AK352" i="1" s="1"/>
  <c r="AN350" i="1"/>
  <c r="AN352" i="1" s="1"/>
  <c r="AF350" i="1"/>
  <c r="AF358" i="1" s="1"/>
  <c r="P350" i="1"/>
  <c r="P352" i="1" s="1"/>
  <c r="AE350" i="1"/>
  <c r="AL354" i="1"/>
  <c r="AL350" i="1"/>
  <c r="AL352" i="1" s="1"/>
  <c r="AI357" i="1"/>
  <c r="AK356" i="1"/>
  <c r="BC358" i="1"/>
  <c r="U350" i="1"/>
  <c r="U352" i="1" s="1"/>
  <c r="BD350" i="1"/>
  <c r="BD352" i="1" s="1"/>
  <c r="BB350" i="1"/>
  <c r="BB357" i="1" s="1"/>
  <c r="AY350" i="1"/>
  <c r="BE350" i="1"/>
  <c r="BE352" i="1" s="1"/>
  <c r="AM350" i="1"/>
  <c r="AM352" i="1" s="1"/>
  <c r="BF350" i="1"/>
  <c r="BF352" i="1" s="1"/>
  <c r="T350" i="1"/>
  <c r="T352" i="1" s="1"/>
  <c r="BG350" i="1"/>
  <c r="BG352" i="1" s="1"/>
  <c r="E350" i="1"/>
  <c r="E352" i="1" s="1"/>
  <c r="AO350" i="1"/>
  <c r="AO352" i="1" s="1"/>
  <c r="BH350" i="1"/>
  <c r="BH352" i="1" s="1"/>
  <c r="N350" i="1"/>
  <c r="N359" i="1" s="1"/>
  <c r="L350" i="1"/>
  <c r="Q350" i="1"/>
  <c r="Q352" i="1" s="1"/>
  <c r="BA350" i="1"/>
  <c r="BA357" i="1" s="1"/>
  <c r="O350" i="1"/>
  <c r="O356" i="1" s="1"/>
  <c r="M350" i="1"/>
  <c r="M358" i="1" s="1"/>
  <c r="AZ358" i="1"/>
  <c r="N357" i="1"/>
  <c r="P356" i="1"/>
  <c r="S350" i="1"/>
  <c r="S352" i="1" s="1"/>
  <c r="AL356" i="1"/>
  <c r="R350" i="1"/>
  <c r="R352" i="1" s="1"/>
  <c r="BC356" i="1"/>
  <c r="AI356" i="1"/>
  <c r="AL359" i="1"/>
  <c r="U358" i="1"/>
  <c r="Y355" i="1"/>
  <c r="W357" i="1"/>
  <c r="J358" i="1"/>
  <c r="J357" i="1"/>
  <c r="J359" i="1"/>
  <c r="AC357" i="1"/>
  <c r="AC358" i="1"/>
  <c r="AC359" i="1"/>
  <c r="AC354" i="1"/>
  <c r="AN356" i="1"/>
  <c r="AL358" i="1"/>
  <c r="S358" i="1"/>
  <c r="T359" i="1"/>
  <c r="J354" i="1"/>
  <c r="I359" i="1"/>
  <c r="AW357" i="1"/>
  <c r="AC352" i="1"/>
  <c r="AC355" i="1"/>
  <c r="AD356" i="1"/>
  <c r="AD359" i="1"/>
  <c r="F350" i="1"/>
  <c r="F355" i="1" s="1"/>
  <c r="V350" i="1"/>
  <c r="V358" i="1" s="1"/>
  <c r="AP350" i="1"/>
  <c r="AP358" i="1" s="1"/>
  <c r="G350" i="1"/>
  <c r="G356" i="1" s="1"/>
  <c r="W350" i="1"/>
  <c r="W354" i="1" s="1"/>
  <c r="AQ350" i="1"/>
  <c r="AQ354" i="1" s="1"/>
  <c r="H350" i="1"/>
  <c r="H355" i="1" s="1"/>
  <c r="X350" i="1"/>
  <c r="X355" i="1" s="1"/>
  <c r="AR350" i="1"/>
  <c r="AR355" i="1" s="1"/>
  <c r="AS350" i="1"/>
  <c r="AS354" i="1" s="1"/>
  <c r="Z350" i="1"/>
  <c r="Z354" i="1" s="1"/>
  <c r="AT350" i="1"/>
  <c r="AT354" i="1" s="1"/>
  <c r="S359" i="1" l="1"/>
  <c r="AM355" i="1"/>
  <c r="AI355" i="1"/>
  <c r="BH358" i="1"/>
  <c r="AX358" i="1"/>
  <c r="AM356" i="1"/>
  <c r="AM358" i="1"/>
  <c r="AI358" i="1"/>
  <c r="AZ356" i="1"/>
  <c r="J355" i="1"/>
  <c r="J352" i="1"/>
  <c r="AN359" i="1"/>
  <c r="AI359" i="1"/>
  <c r="I357" i="1"/>
  <c r="BF359" i="1"/>
  <c r="G354" i="1"/>
  <c r="U355" i="1"/>
  <c r="S355" i="1"/>
  <c r="AL355" i="1"/>
  <c r="AK354" i="1"/>
  <c r="AZ352" i="1"/>
  <c r="AB356" i="1"/>
  <c r="AK359" i="1"/>
  <c r="AK358" i="1"/>
  <c r="BE354" i="1"/>
  <c r="BD354" i="1"/>
  <c r="P354" i="1"/>
  <c r="AL357" i="1"/>
  <c r="AI352" i="1"/>
  <c r="BF358" i="1"/>
  <c r="AS355" i="1"/>
  <c r="V355" i="1"/>
  <c r="BA358" i="1"/>
  <c r="AX356" i="1"/>
  <c r="T355" i="1"/>
  <c r="BC359" i="1"/>
  <c r="AD357" i="1"/>
  <c r="AA354" i="1"/>
  <c r="AW358" i="1"/>
  <c r="AO358" i="1"/>
  <c r="AO357" i="1"/>
  <c r="AO355" i="1"/>
  <c r="T357" i="1"/>
  <c r="AG357" i="1"/>
  <c r="AG359" i="1"/>
  <c r="AX352" i="1"/>
  <c r="AX357" i="1"/>
  <c r="AK355" i="1"/>
  <c r="AG356" i="1"/>
  <c r="F354" i="1"/>
  <c r="AG352" i="1"/>
  <c r="AD354" i="1"/>
  <c r="AU357" i="1"/>
  <c r="AW359" i="1"/>
  <c r="V357" i="1"/>
  <c r="AP354" i="1"/>
  <c r="F358" i="1"/>
  <c r="AO356" i="1"/>
  <c r="AG358" i="1"/>
  <c r="Q354" i="1"/>
  <c r="AX355" i="1"/>
  <c r="BD359" i="1"/>
  <c r="R356" i="1"/>
  <c r="AX359" i="1"/>
  <c r="AV357" i="1"/>
  <c r="AV354" i="1"/>
  <c r="AV355" i="1"/>
  <c r="AB354" i="1"/>
  <c r="AA358" i="1"/>
  <c r="F357" i="1"/>
  <c r="AH352" i="1"/>
  <c r="AV359" i="1"/>
  <c r="R359" i="1"/>
  <c r="W356" i="1"/>
  <c r="BD355" i="1"/>
  <c r="O359" i="1"/>
  <c r="P358" i="1"/>
  <c r="AH355" i="1"/>
  <c r="AA357" i="1"/>
  <c r="AQ356" i="1"/>
  <c r="P355" i="1"/>
  <c r="AB357" i="1"/>
  <c r="AV356" i="1"/>
  <c r="AV352" i="1"/>
  <c r="AA356" i="1"/>
  <c r="BF355" i="1"/>
  <c r="AH354" i="1"/>
  <c r="Y359" i="1"/>
  <c r="AU356" i="1"/>
  <c r="AN357" i="1"/>
  <c r="AB359" i="1"/>
  <c r="AN358" i="1"/>
  <c r="AJ357" i="1"/>
  <c r="BD356" i="1"/>
  <c r="AP357" i="1"/>
  <c r="AU352" i="1"/>
  <c r="BH356" i="1"/>
  <c r="AB358" i="1"/>
  <c r="BH357" i="1"/>
  <c r="AN355" i="1"/>
  <c r="AB355" i="1"/>
  <c r="AU359" i="1"/>
  <c r="U356" i="1"/>
  <c r="V356" i="1"/>
  <c r="BD358" i="1"/>
  <c r="O358" i="1"/>
  <c r="AU354" i="1"/>
  <c r="AU358" i="1"/>
  <c r="Y356" i="1"/>
  <c r="AP355" i="1"/>
  <c r="H354" i="1"/>
  <c r="AH357" i="1"/>
  <c r="P357" i="1"/>
  <c r="AH358" i="1"/>
  <c r="AV358" i="1"/>
  <c r="P359" i="1"/>
  <c r="AA355" i="1"/>
  <c r="AP356" i="1"/>
  <c r="F356" i="1"/>
  <c r="Y354" i="1"/>
  <c r="AO359" i="1"/>
  <c r="Y357" i="1"/>
  <c r="AH359" i="1"/>
  <c r="BH359" i="1"/>
  <c r="BD357" i="1"/>
  <c r="BE355" i="1"/>
  <c r="AW355" i="1"/>
  <c r="AW352" i="1"/>
  <c r="AW354" i="1"/>
  <c r="BF357" i="1"/>
  <c r="U359" i="1"/>
  <c r="AZ359" i="1"/>
  <c r="Y358" i="1"/>
  <c r="BG359" i="1"/>
  <c r="S357" i="1"/>
  <c r="BG357" i="1"/>
  <c r="I352" i="1"/>
  <c r="I355" i="1"/>
  <c r="I356" i="1"/>
  <c r="AA359" i="1"/>
  <c r="AY357" i="1"/>
  <c r="AY356" i="1"/>
  <c r="AY358" i="1"/>
  <c r="AY354" i="1"/>
  <c r="AY355" i="1"/>
  <c r="AY352" i="1"/>
  <c r="E358" i="1"/>
  <c r="AT352" i="1"/>
  <c r="AT355" i="1"/>
  <c r="AT356" i="1"/>
  <c r="AT357" i="1"/>
  <c r="AT358" i="1"/>
  <c r="AT359" i="1"/>
  <c r="BB354" i="1"/>
  <c r="BB355" i="1"/>
  <c r="BB352" i="1"/>
  <c r="Z352" i="1"/>
  <c r="Z357" i="1"/>
  <c r="Z355" i="1"/>
  <c r="Z356" i="1"/>
  <c r="Z358" i="1"/>
  <c r="Z359" i="1"/>
  <c r="E356" i="1"/>
  <c r="O354" i="1"/>
  <c r="O352" i="1"/>
  <c r="BB356" i="1"/>
  <c r="Q359" i="1"/>
  <c r="O355" i="1"/>
  <c r="T354" i="1"/>
  <c r="AJ356" i="1"/>
  <c r="AN354" i="1"/>
  <c r="E354" i="1"/>
  <c r="K357" i="1"/>
  <c r="K356" i="1"/>
  <c r="K358" i="1"/>
  <c r="K354" i="1"/>
  <c r="K355" i="1"/>
  <c r="K352" i="1"/>
  <c r="L356" i="1"/>
  <c r="L355" i="1"/>
  <c r="L357" i="1"/>
  <c r="L354" i="1"/>
  <c r="L352" i="1"/>
  <c r="M354" i="1"/>
  <c r="M356" i="1"/>
  <c r="M355" i="1"/>
  <c r="M352" i="1"/>
  <c r="N356" i="1"/>
  <c r="AY359" i="1"/>
  <c r="M357" i="1"/>
  <c r="BG354" i="1"/>
  <c r="BE359" i="1"/>
  <c r="AS352" i="1"/>
  <c r="AS356" i="1"/>
  <c r="AS357" i="1"/>
  <c r="AS359" i="1"/>
  <c r="AS358" i="1"/>
  <c r="AM359" i="1"/>
  <c r="BE357" i="1"/>
  <c r="M359" i="1"/>
  <c r="BB359" i="1"/>
  <c r="R354" i="1"/>
  <c r="L358" i="1"/>
  <c r="AJ354" i="1"/>
  <c r="AR352" i="1"/>
  <c r="AR357" i="1"/>
  <c r="AR358" i="1"/>
  <c r="AR359" i="1"/>
  <c r="BE358" i="1"/>
  <c r="H352" i="1"/>
  <c r="H358" i="1"/>
  <c r="H359" i="1"/>
  <c r="H357" i="1"/>
  <c r="Q358" i="1"/>
  <c r="T356" i="1"/>
  <c r="R358" i="1"/>
  <c r="BF356" i="1"/>
  <c r="AE357" i="1"/>
  <c r="AE356" i="1"/>
  <c r="AE358" i="1"/>
  <c r="AE354" i="1"/>
  <c r="AE355" i="1"/>
  <c r="AE352" i="1"/>
  <c r="L359" i="1"/>
  <c r="K359" i="1"/>
  <c r="Q357" i="1"/>
  <c r="N355" i="1"/>
  <c r="N354" i="1"/>
  <c r="N352" i="1"/>
  <c r="AJ359" i="1"/>
  <c r="X352" i="1"/>
  <c r="X359" i="1"/>
  <c r="X358" i="1"/>
  <c r="X357" i="1"/>
  <c r="AF359" i="1"/>
  <c r="Q356" i="1"/>
  <c r="AJ355" i="1"/>
  <c r="AQ352" i="1"/>
  <c r="AQ359" i="1"/>
  <c r="AQ358" i="1"/>
  <c r="T358" i="1"/>
  <c r="U357" i="1"/>
  <c r="R357" i="1"/>
  <c r="W352" i="1"/>
  <c r="W359" i="1"/>
  <c r="W358" i="1"/>
  <c r="E359" i="1"/>
  <c r="E357" i="1"/>
  <c r="AM357" i="1"/>
  <c r="BE356" i="1"/>
  <c r="BA355" i="1"/>
  <c r="BA354" i="1"/>
  <c r="BA356" i="1"/>
  <c r="BA352" i="1"/>
  <c r="S356" i="1"/>
  <c r="BF354" i="1"/>
  <c r="BG355" i="1"/>
  <c r="AE359" i="1"/>
  <c r="R355" i="1"/>
  <c r="BG356" i="1"/>
  <c r="BH354" i="1"/>
  <c r="U354" i="1"/>
  <c r="H356" i="1"/>
  <c r="E355" i="1"/>
  <c r="S354" i="1"/>
  <c r="BA359" i="1"/>
  <c r="AJ358" i="1"/>
  <c r="BC354" i="1"/>
  <c r="BC352" i="1"/>
  <c r="AF357" i="1"/>
  <c r="AF356" i="1"/>
  <c r="AF355" i="1"/>
  <c r="AF352" i="1"/>
  <c r="AF354" i="1"/>
  <c r="N358" i="1"/>
  <c r="BG358" i="1"/>
  <c r="G352" i="1"/>
  <c r="G358" i="1"/>
  <c r="G359" i="1"/>
  <c r="AP352" i="1"/>
  <c r="AP359" i="1"/>
  <c r="AQ357" i="1"/>
  <c r="AR356" i="1"/>
  <c r="AQ355" i="1"/>
  <c r="BH355" i="1"/>
  <c r="AM354" i="1"/>
  <c r="V352" i="1"/>
  <c r="V359" i="1"/>
  <c r="G357" i="1"/>
  <c r="W355" i="1"/>
  <c r="G355" i="1"/>
  <c r="F352" i="1"/>
  <c r="F359" i="1"/>
  <c r="X356" i="1"/>
  <c r="AR354" i="1"/>
  <c r="X354" i="1"/>
  <c r="V354" i="1"/>
  <c r="BB358" i="1"/>
  <c r="Q355" i="1"/>
  <c r="AO354" i="1"/>
  <c r="O357" i="1"/>
  <c r="AK357" i="1"/>
  <c r="BC355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<sst xmlns="http://schemas.openxmlformats.org/spreadsheetml/2006/main" count="765" uniqueCount="697">
  <si>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</si>
  <si>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</si>
  <si>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</si>
  <si>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</si>
  <si>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</si>
  <si>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</si>
  <si>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</si>
  <si>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</si>
  <si>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</si>
  <si>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</si>
  <si>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</si>
  <si>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</si>
  <si>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</si>
  <si>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</si>
  <si>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</si>
  <si>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</si>
  <si>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</si>
  <si>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</si>
  <si>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</si>
  <si>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</si>
  <si>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</si>
  <si>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</si>
  <si>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</si>
  <si>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</si>
  <si>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</si>
  <si>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</si>
  <si>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</si>
  <si>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</si>
  <si>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</si>
  <si>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</si>
  <si>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</si>
  <si>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</si>
  <si>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</si>
  <si>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</si>
  <si>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</si>
  <si>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</si>
  <si>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</si>
  <si>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</si>
  <si>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</si>
  <si>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</si>
  <si>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</si>
  <si>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</si>
  <si>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</si>
  <si>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</si>
  <si>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</si>
  <si>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</si>
  <si>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</si>
  <si>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</si>
  <si>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</si>
  <si>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</si>
  <si>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</si>
  <si>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</si>
  <si>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</si>
  <si>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</si>
  <si>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</si>
  <si>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</si>
  <si>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</si>
  <si>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</si>
  <si>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</si>
  <si>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</si>
  <si>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</si>
  <si>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</si>
  <si>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</si>
  <si>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</si>
  <si>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</si>
  <si>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</si>
  <si>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</si>
  <si>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</si>
  <si>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</si>
  <si>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</si>
  <si>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</si>
  <si>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</si>
  <si>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</si>
  <si>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</si>
  <si>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</si>
  <si>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</si>
  <si>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</si>
  <si>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</si>
  <si>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</si>
  <si>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</si>
  <si>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</si>
  <si>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</si>
  <si>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</si>
  <si>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</si>
  <si>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</si>
  <si>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</si>
  <si>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</si>
  <si>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</si>
  <si>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</si>
  <si>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</si>
  <si>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</si>
  <si>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</si>
  <si>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</si>
  <si>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</si>
  <si>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</si>
  <si>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</si>
  <si>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</si>
  <si>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</si>
  <si>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</si>
  <si>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</si>
  <si>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</si>
  <si>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</si>
  <si>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</si>
  <si>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</si>
  <si>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</si>
  <si>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</si>
  <si>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</si>
  <si>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</si>
  <si>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</si>
  <si>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</si>
  <si>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</si>
  <si>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</si>
  <si>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</si>
  <si>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</si>
  <si>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</si>
  <si>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</si>
  <si>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</si>
  <si>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</si>
  <si>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</si>
  <si>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</si>
  <si>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</si>
  <si>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</si>
  <si>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</si>
  <si>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</si>
  <si>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</si>
  <si>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</si>
  <si>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</si>
  <si>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</si>
  <si>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</si>
  <si>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</si>
  <si>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</si>
  <si>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</si>
  <si>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</si>
  <si>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</si>
  <si>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</si>
  <si>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</si>
  <si>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</si>
  <si>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</si>
  <si>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</si>
  <si>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</si>
  <si>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</si>
  <si>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</si>
  <si>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</si>
  <si>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</si>
  <si>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</si>
  <si>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</si>
  <si>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</si>
  <si>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</si>
  <si>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</si>
  <si>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</si>
  <si>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</si>
  <si>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</si>
  <si>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</si>
  <si>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</si>
  <si>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</si>
  <si>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</si>
  <si>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</si>
  <si>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</si>
  <si>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</si>
  <si>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</si>
  <si>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</si>
  <si>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</si>
  <si>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</si>
  <si>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</si>
  <si>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</si>
  <si>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</si>
  <si>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</si>
  <si>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</si>
  <si>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</si>
  <si>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</si>
  <si>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</si>
  <si>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</si>
  <si>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</si>
  <si>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</si>
  <si>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</si>
  <si>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</si>
  <si>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</si>
  <si>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</si>
  <si>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</si>
  <si>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</si>
  <si>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</si>
  <si>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</si>
  <si>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</si>
  <si>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</si>
  <si>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</si>
  <si>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</si>
  <si>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</si>
  <si>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</si>
  <si>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</si>
  <si>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</si>
  <si>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</si>
  <si>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</si>
  <si>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</si>
  <si>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</si>
  <si>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</si>
  <si>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</si>
  <si>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</si>
  <si>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</si>
  <si>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</si>
  <si>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</si>
  <si>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</si>
  <si>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</si>
  <si>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</si>
  <si>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</si>
  <si>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</si>
  <si>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</si>
  <si>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</si>
  <si>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</si>
  <si>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</si>
  <si>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</si>
  <si>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</si>
  <si>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</si>
  <si>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</si>
  <si>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</si>
  <si>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</si>
  <si>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</si>
  <si>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</si>
  <si>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</si>
  <si>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</si>
  <si>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</si>
  <si>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</si>
  <si>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</si>
  <si>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</si>
  <si>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</si>
  <si>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</si>
  <si>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</si>
  <si>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</si>
  <si>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</si>
  <si>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</si>
  <si>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</si>
  <si>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</si>
  <si>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</si>
  <si>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</si>
  <si>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</si>
  <si>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</si>
  <si>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</si>
  <si>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</si>
  <si>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</si>
  <si>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</si>
  <si>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</si>
  <si>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</si>
  <si>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</si>
  <si>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</si>
  <si>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</si>
  <si>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</si>
  <si>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</si>
  <si>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</si>
  <si>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</si>
  <si>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</si>
  <si>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</si>
  <si>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</si>
  <si>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</si>
  <si>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</si>
  <si>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</si>
  <si>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</si>
  <si>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</si>
  <si>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</si>
  <si>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</si>
  <si>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</si>
  <si>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</si>
  <si>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</si>
  <si>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</si>
  <si>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</si>
  <si>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</si>
  <si>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</si>
  <si>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</si>
  <si>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</si>
  <si>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</si>
  <si>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</si>
  <si>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</si>
  <si>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</si>
  <si>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</si>
  <si>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</si>
  <si>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</si>
  <si>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</si>
  <si>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</si>
  <si>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</si>
  <si>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</si>
  <si>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</si>
  <si>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</si>
  <si>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</si>
  <si>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</si>
  <si>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</si>
  <si>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</si>
  <si>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</si>
  <si>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</si>
  <si>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</si>
  <si>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</si>
  <si>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</si>
  <si>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</si>
  <si>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</si>
  <si>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</si>
  <si>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</si>
  <si>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</si>
  <si>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</si>
  <si>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</si>
  <si>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</si>
  <si>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</si>
  <si>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</si>
  <si>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</si>
  <si>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</si>
  <si>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</si>
  <si>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</si>
  <si>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</si>
  <si>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</si>
  <si>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</si>
  <si>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</si>
  <si>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</si>
  <si>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</si>
  <si>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</si>
  <si>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</si>
  <si>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</si>
  <si>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</si>
  <si>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</si>
  <si>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</si>
  <si>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</si>
  <si>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</si>
  <si>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</si>
  <si>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</si>
  <si>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</si>
  <si>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</si>
  <si>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</si>
  <si>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</si>
  <si>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</si>
  <si>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</si>
  <si>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</si>
  <si>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</si>
  <si>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</si>
  <si>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</si>
  <si>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</si>
  <si>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</si>
  <si>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</si>
  <si>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</si>
  <si>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</si>
  <si>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</si>
  <si>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</si>
  <si>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</si>
  <si>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</si>
  <si>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</si>
  <si>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</si>
  <si>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</si>
  <si>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</si>
  <si>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</si>
  <si>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</si>
  <si>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</si>
  <si>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</si>
  <si>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</si>
  <si>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</si>
  <si>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</si>
  <si>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</si>
  <si>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</si>
  <si>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</si>
  <si>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</si>
  <si>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</si>
  <si>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</si>
  <si>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</si>
  <si>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</si>
  <si>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</si>
  <si>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</si>
  <si>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</si>
  <si>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</si>
  <si>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</si>
  <si>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</si>
  <si>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</si>
  <si>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</si>
  <si>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</si>
  <si>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</si>
  <si>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</si>
  <si>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</si>
  <si>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</si>
  <si>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</si>
  <si>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</si>
  <si>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</si>
  <si>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</si>
  <si>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</si>
  <si>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</si>
  <si>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</si>
  <si>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</si>
  <si>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</si>
  <si>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</si>
  <si>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</si>
  <si>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</si>
  <si>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</si>
  <si>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</si>
  <si>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</si>
  <si>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</si>
  <si>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</si>
  <si>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</si>
  <si>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</si>
  <si>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</si>
  <si>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</si>
  <si>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</si>
  <si>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</si>
  <si>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</si>
  <si>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</si>
  <si>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</si>
  <si>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</si>
  <si>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</si>
  <si>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</si>
  <si>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</si>
  <si>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</si>
  <si>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</si>
  <si>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</si>
  <si>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</si>
  <si>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</si>
  <si>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</si>
  <si>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</si>
  <si>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</si>
  <si>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</si>
  <si>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</si>
  <si>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</si>
  <si>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</si>
  <si>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</si>
  <si>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</si>
  <si>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</si>
  <si>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</si>
  <si>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</si>
  <si>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</si>
  <si>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</si>
  <si>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</si>
  <si>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</si>
  <si>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</si>
  <si>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</si>
  <si>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</si>
  <si>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</si>
  <si>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</si>
  <si>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</si>
  <si>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</si>
  <si>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</si>
  <si>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</si>
  <si>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</si>
  <si>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</si>
  <si>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</si>
  <si>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</si>
  <si>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</si>
  <si>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</si>
  <si>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</si>
  <si>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</si>
  <si>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</si>
  <si>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</si>
  <si>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</si>
  <si>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</si>
  <si>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</si>
  <si>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</si>
  <si>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</si>
  <si>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</si>
  <si>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</si>
  <si>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</si>
  <si>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</si>
  <si>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</si>
  <si>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</si>
  <si>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</si>
  <si>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</si>
  <si>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</si>
  <si>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</si>
  <si>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</si>
  <si>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</si>
  <si>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</si>
  <si>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</si>
  <si>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</si>
  <si>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</si>
  <si>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</si>
  <si>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</si>
  <si>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</si>
  <si>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</si>
  <si>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</si>
  <si>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</si>
  <si>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</si>
  <si>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</si>
  <si>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</si>
  <si>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</si>
  <si>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</si>
  <si>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</si>
  <si>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</si>
  <si>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</si>
  <si>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</si>
  <si>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</si>
  <si>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</si>
  <si>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</si>
  <si>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</si>
  <si>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</si>
  <si>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</si>
  <si>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</si>
  <si>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</si>
  <si>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</si>
  <si>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</si>
  <si>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</si>
  <si>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</si>
  <si>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</si>
  <si>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</si>
  <si>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</si>
  <si>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</si>
  <si>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</si>
  <si>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</si>
  <si>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</si>
  <si>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</si>
  <si>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</si>
  <si>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</si>
  <si>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</si>
  <si>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</si>
  <si>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</si>
  <si>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</si>
  <si>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</si>
  <si>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</si>
  <si>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</si>
  <si>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</si>
  <si>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</si>
  <si>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</si>
  <si>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</si>
  <si>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</si>
  <si>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</si>
  <si>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</si>
  <si>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</si>
  <si>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</si>
  <si>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</si>
  <si>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</si>
  <si>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</si>
  <si>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</si>
  <si>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</si>
  <si>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</si>
  <si>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</si>
  <si>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</si>
  <si>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</si>
  <si>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</si>
  <si>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</si>
  <si>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</si>
  <si>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</si>
  <si>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</si>
  <si>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</si>
  <si>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</si>
  <si>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</si>
  <si>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</si>
  <si>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</si>
  <si>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</si>
  <si>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</si>
  <si>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</si>
  <si>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</si>
  <si>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</si>
  <si>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</si>
  <si>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</si>
  <si>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</si>
  <si>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</si>
  <si>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</si>
  <si>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</si>
  <si>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</si>
  <si>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</si>
  <si>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</si>
  <si>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</si>
  <si>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</si>
  <si>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</si>
  <si>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</si>
  <si>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</si>
  <si>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</si>
  <si>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</si>
  <si>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</si>
  <si>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</si>
  <si>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</si>
  <si>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</si>
  <si>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</si>
  <si>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</si>
  <si>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</si>
  <si>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</si>
  <si>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</si>
  <si>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</si>
  <si>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</si>
  <si>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</si>
  <si>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</si>
  <si>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</si>
  <si>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</si>
  <si>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</si>
  <si>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</si>
  <si>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</si>
  <si>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</si>
  <si>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</si>
  <si>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</si>
  <si>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</si>
  <si>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</si>
  <si>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</si>
  <si>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</si>
  <si>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</si>
  <si>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</si>
  <si>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</si>
  <si>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</si>
  <si>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</si>
  <si>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</si>
  <si>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</si>
  <si>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</si>
  <si>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</si>
  <si>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</si>
  <si>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</si>
  <si>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</si>
  <si>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</si>
  <si>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</si>
  <si>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</si>
  <si>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</si>
  <si>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</si>
  <si>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</si>
  <si>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</si>
  <si>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</si>
  <si>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</si>
  <si>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</si>
  <si>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</si>
  <si>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</si>
  <si>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</si>
  <si>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</si>
  <si>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</si>
  <si>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</si>
  <si>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</si>
  <si>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</si>
  <si>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</si>
  <si>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</si>
  <si>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</si>
  <si>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</si>
  <si>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</si>
  <si>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</si>
  <si>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</si>
  <si>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</si>
  <si>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</si>
  <si>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</si>
  <si>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</si>
  <si>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</si>
  <si>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</si>
  <si>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</si>
  <si>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</si>
  <si>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</si>
  <si>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</si>
  <si>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</si>
  <si>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</si>
  <si>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</si>
  <si>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</si>
  <si>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</si>
  <si>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</si>
  <si>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</si>
  <si>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</si>
  <si>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</si>
  <si>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</si>
  <si>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</si>
  <si>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</si>
  <si>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</si>
  <si>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</si>
  <si>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</si>
  <si>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</si>
  <si>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</si>
  <si>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</si>
  <si>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</si>
  <si>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</si>
  <si>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</si>
  <si>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</si>
  <si>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</si>
  <si>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</si>
  <si>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</si>
  <si>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</si>
  <si>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</si>
  <si>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</si>
  <si>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</si>
  <si>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</si>
  <si>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</si>
  <si>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</si>
  <si>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</si>
  <si>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</si>
  <si>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</si>
  <si>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</si>
  <si>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</si>
  <si>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</si>
  <si>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</si>
  <si>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</si>
  <si>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</si>
  <si>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</si>
  <si>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</si>
  <si>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</si>
  <si>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</si>
  <si>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</si>
  <si>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</si>
  <si>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</si>
  <si>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</si>
  <si>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</si>
  <si>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</si>
  <si>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</si>
  <si>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</si>
  <si>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</si>
  <si>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</si>
  <si>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</si>
  <si>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</si>
  <si>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</si>
  <si>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</si>
  <si>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</si>
  <si>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</si>
  <si>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</si>
  <si>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</si>
  <si>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</si>
  <si>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</si>
  <si>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</si>
  <si>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</si>
  <si>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</si>
  <si>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תחילת מידע טבלה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</si>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</sst>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0</xdr:rowOff>
    </xdr:from>
    <xdr:to>
      <xdr:col>3</xdr:col>
      <xdr:colOff>257175</xdr:colOff>
      <xdr:row>4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28008602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38100</xdr:colOff>
      <xdr:row>0</xdr:row>
      <xdr:rowOff>135874</xdr:rowOff>
    </xdr:from>
    <xdr:to>
      <xdr:col>1</xdr:col>
      <xdr:colOff>426720</xdr:colOff>
      <xdr:row>2</xdr:row>
      <xdr:rowOff>151114</xdr:rowOff>
    </xdr:to>
    <xdr:pic>
      <xdr:nvPicPr>
        <xdr:cNvPr id="6" name="Picture 5" descr="קֹבֶץ זֵה הֻנְגַּש עַל יְדֵי חברת אֵיְי טוּ זי - סֶמֶל הַנגישוּת">
          <a:extLst>
            <a:ext uri="{FF2B5EF4-FFF2-40B4-BE49-F238E27FC236}">
              <a16:creationId xmlns:a16="http://schemas.microsoft.com/office/drawing/2014/main" id="{EFCAE02D-1A18-2974-4C0E-D078E665F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357760" y="135874"/>
          <a:ext cx="388620" cy="3886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22"/>
      <sheetName val="גיליון124"/>
      <sheetName val="גיליון126"/>
      <sheetName val="גיליון128"/>
      <sheetName val="גיליון130"/>
      <sheetName val="גיליון132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60"/>
  <sheetViews>
    <sheetView rightToLeft="1" tabSelected="1" workbookViewId="0">
      <selection activeCell="B2" sqref="B2"/>
    </sheetView>
  </sheetViews>
  <sheetFormatPr defaultRowHeight="13.8" x14ac:dyDescent="0.25"/>
  <sheetData>
    <row r="1" spans="1:61" x14ac:dyDescent="0.25">
      <c r="A1" s="21" t="s">
        <v>694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</row>
    <row r="2" spans="1:61" ht="15.6" x14ac:dyDescent="0.3">
      <c r="A2" s="1"/>
      <c r="B2" s="2"/>
      <c r="C2" s="2"/>
      <c r="D2" s="2"/>
      <c r="E2">
        <v>6</v>
      </c>
      <c r="F2">
        <v>10</v>
      </c>
      <c r="G2">
        <v>30</v>
      </c>
      <c r="H2">
        <v>50</v>
      </c>
      <c r="I2">
        <v>93</v>
      </c>
      <c r="J2">
        <v>99</v>
      </c>
      <c r="K2">
        <v>102</v>
      </c>
      <c r="L2">
        <v>122</v>
      </c>
      <c r="M2">
        <v>142</v>
      </c>
      <c r="N2">
        <v>164</v>
      </c>
      <c r="O2">
        <v>167</v>
      </c>
      <c r="P2">
        <v>169</v>
      </c>
      <c r="Q2">
        <v>425</v>
      </c>
      <c r="R2">
        <v>426</v>
      </c>
      <c r="S2">
        <v>499</v>
      </c>
      <c r="T2">
        <v>519</v>
      </c>
      <c r="U2">
        <v>526</v>
      </c>
      <c r="V2">
        <v>570</v>
      </c>
      <c r="W2">
        <v>571</v>
      </c>
      <c r="X2">
        <v>572</v>
      </c>
      <c r="Y2">
        <v>573</v>
      </c>
      <c r="Z2">
        <v>574</v>
      </c>
      <c r="AA2">
        <v>628</v>
      </c>
      <c r="AB2">
        <v>629</v>
      </c>
      <c r="AC2">
        <v>631</v>
      </c>
      <c r="AD2">
        <v>632</v>
      </c>
      <c r="AE2">
        <v>658</v>
      </c>
      <c r="AF2">
        <v>660</v>
      </c>
      <c r="AG2">
        <v>662</v>
      </c>
      <c r="AH2">
        <v>664</v>
      </c>
      <c r="AI2">
        <v>666</v>
      </c>
      <c r="AJ2">
        <v>726</v>
      </c>
      <c r="AK2">
        <v>737</v>
      </c>
      <c r="AL2">
        <v>827</v>
      </c>
      <c r="AM2">
        <v>575</v>
      </c>
      <c r="AN2">
        <v>576</v>
      </c>
      <c r="AO2">
        <v>359</v>
      </c>
      <c r="AP2" s="9">
        <v>828</v>
      </c>
      <c r="AQ2" s="9">
        <v>844</v>
      </c>
      <c r="AR2" s="9">
        <v>839</v>
      </c>
      <c r="AS2" s="9">
        <v>857</v>
      </c>
      <c r="AT2" s="9">
        <v>851</v>
      </c>
      <c r="AU2" s="9">
        <v>849</v>
      </c>
      <c r="AV2" s="9">
        <v>846</v>
      </c>
      <c r="AW2" s="9">
        <v>834</v>
      </c>
      <c r="AX2" s="9">
        <v>506</v>
      </c>
      <c r="AY2" s="9">
        <v>521</v>
      </c>
      <c r="AZ2" s="9">
        <v>522</v>
      </c>
      <c r="BA2" s="9">
        <v>528</v>
      </c>
      <c r="BB2" s="9">
        <v>548</v>
      </c>
      <c r="BC2" s="9">
        <v>551</v>
      </c>
      <c r="BD2" s="9">
        <v>555</v>
      </c>
      <c r="BE2" s="9">
        <v>558</v>
      </c>
      <c r="BF2" s="9">
        <v>578</v>
      </c>
      <c r="BG2" s="9">
        <v>580</v>
      </c>
      <c r="BH2" s="9">
        <v>577</v>
      </c>
      <c r="BI2" s="21" t="s">
        <v>695</v>
      </c>
    </row>
    <row r="3" spans="1:61" x14ac:dyDescent="0.25">
      <c r="E3" s="10">
        <v>401</v>
      </c>
      <c r="F3" s="10">
        <v>242</v>
      </c>
      <c r="G3" s="10">
        <v>385</v>
      </c>
      <c r="H3" s="10">
        <v>528</v>
      </c>
      <c r="I3" s="10">
        <v>384</v>
      </c>
      <c r="J3" s="10">
        <v>716</v>
      </c>
      <c r="K3" s="10">
        <v>715</v>
      </c>
      <c r="L3" s="10">
        <v>9916</v>
      </c>
      <c r="M3" s="10">
        <v>1100</v>
      </c>
      <c r="N3" s="10">
        <v>801</v>
      </c>
      <c r="O3" s="10">
        <v>804</v>
      </c>
      <c r="P3" s="10">
        <v>806</v>
      </c>
      <c r="Q3" s="10">
        <v>8765</v>
      </c>
      <c r="R3" s="10">
        <v>8766</v>
      </c>
      <c r="S3" s="10">
        <v>9418</v>
      </c>
      <c r="T3" s="10">
        <v>9475</v>
      </c>
      <c r="U3" s="10">
        <v>9906</v>
      </c>
      <c r="V3" s="10">
        <v>7905</v>
      </c>
      <c r="W3" s="10">
        <v>7906</v>
      </c>
      <c r="X3" s="10">
        <v>7907</v>
      </c>
      <c r="Y3" s="10">
        <v>7908</v>
      </c>
      <c r="Z3" s="10">
        <v>7909</v>
      </c>
      <c r="AA3" s="10">
        <v>11310</v>
      </c>
      <c r="AB3" s="10">
        <v>11311</v>
      </c>
      <c r="AC3" s="10">
        <v>11312</v>
      </c>
      <c r="AD3" s="10">
        <v>11335</v>
      </c>
      <c r="AE3" s="10">
        <v>9529</v>
      </c>
      <c r="AF3" s="10">
        <v>961</v>
      </c>
      <c r="AG3" s="10">
        <v>9528</v>
      </c>
      <c r="AH3" s="10">
        <v>964</v>
      </c>
      <c r="AI3" s="10">
        <v>968</v>
      </c>
      <c r="AJ3" s="10">
        <v>8629</v>
      </c>
      <c r="AK3" s="10">
        <v>13264</v>
      </c>
      <c r="AL3" s="10">
        <v>13263</v>
      </c>
      <c r="AM3" s="10">
        <v>13209</v>
      </c>
      <c r="AN3" s="10">
        <v>13250</v>
      </c>
      <c r="AO3" s="10">
        <v>14281</v>
      </c>
      <c r="AP3" s="11">
        <v>2049</v>
      </c>
      <c r="AQ3" s="12">
        <v>7975</v>
      </c>
      <c r="AR3" s="12">
        <v>8004</v>
      </c>
      <c r="AS3" s="11">
        <v>1008</v>
      </c>
      <c r="AT3" s="11">
        <v>9484</v>
      </c>
      <c r="AU3" s="11">
        <v>682</v>
      </c>
      <c r="AV3" s="11">
        <v>11352</v>
      </c>
      <c r="AW3" s="11">
        <v>2058</v>
      </c>
      <c r="AX3" s="11">
        <v>15007</v>
      </c>
      <c r="AY3" s="11">
        <v>15208</v>
      </c>
      <c r="AZ3" s="11">
        <v>15209</v>
      </c>
      <c r="BA3" s="11">
        <v>15210</v>
      </c>
      <c r="BB3" s="11">
        <v>15211</v>
      </c>
      <c r="BC3" s="11">
        <v>15212</v>
      </c>
      <c r="BD3" s="11">
        <v>15232</v>
      </c>
      <c r="BE3" s="11">
        <v>15214</v>
      </c>
      <c r="BF3" s="11">
        <v>15233</v>
      </c>
      <c r="BG3" s="11">
        <v>15234</v>
      </c>
      <c r="BH3" s="11">
        <v>15215</v>
      </c>
      <c r="BI3" s="21"/>
    </row>
    <row r="4" spans="1:61" ht="15.6" x14ac:dyDescent="0.3">
      <c r="A4" s="3">
        <v>46023</v>
      </c>
      <c r="B4" s="2"/>
      <c r="C4" s="2"/>
      <c r="D4" s="2"/>
      <c r="E4" t="s">
        <v>614</v>
      </c>
      <c r="F4" t="s">
        <v>615</v>
      </c>
      <c r="G4" t="s">
        <v>616</v>
      </c>
      <c r="H4" t="s">
        <v>617</v>
      </c>
      <c r="I4" t="s">
        <v>618</v>
      </c>
      <c r="J4" t="s">
        <v>619</v>
      </c>
      <c r="K4" t="s">
        <v>620</v>
      </c>
      <c r="L4" t="s">
        <v>621</v>
      </c>
      <c r="M4" t="s">
        <v>622</v>
      </c>
      <c r="N4" t="s">
        <v>623</v>
      </c>
      <c r="O4" t="s">
        <v>624</v>
      </c>
      <c r="P4" t="s">
        <v>625</v>
      </c>
      <c r="Q4" t="s">
        <v>626</v>
      </c>
      <c r="R4" t="s">
        <v>627</v>
      </c>
      <c r="S4" t="s">
        <v>628</v>
      </c>
      <c r="T4" t="s">
        <v>629</v>
      </c>
      <c r="U4" t="s">
        <v>630</v>
      </c>
      <c r="V4" t="s">
        <v>631</v>
      </c>
      <c r="W4" t="s">
        <v>632</v>
      </c>
      <c r="X4" t="s">
        <v>633</v>
      </c>
      <c r="Y4" t="s">
        <v>634</v>
      </c>
      <c r="Z4" t="s">
        <v>635</v>
      </c>
      <c r="AA4" t="s">
        <v>636</v>
      </c>
      <c r="AB4" t="s">
        <v>637</v>
      </c>
      <c r="AC4" t="s">
        <v>638</v>
      </c>
      <c r="AD4" t="s">
        <v>639</v>
      </c>
      <c r="AE4" t="s">
        <v>640</v>
      </c>
      <c r="AF4" t="s">
        <v>641</v>
      </c>
      <c r="AG4" t="s">
        <v>642</v>
      </c>
      <c r="AH4" t="s">
        <v>643</v>
      </c>
      <c r="AI4" t="s">
        <v>644</v>
      </c>
      <c r="AJ4" t="s">
        <v>645</v>
      </c>
      <c r="AK4" t="s">
        <v>646</v>
      </c>
      <c r="AL4" t="s">
        <v>647</v>
      </c>
      <c r="AM4" t="s">
        <v>648</v>
      </c>
      <c r="AN4" t="s">
        <v>649</v>
      </c>
      <c r="AO4" t="s">
        <v>650</v>
      </c>
      <c r="AP4" s="13" t="s">
        <v>651</v>
      </c>
      <c r="AQ4" s="14" t="s">
        <v>652</v>
      </c>
      <c r="AR4" s="13" t="s">
        <v>653</v>
      </c>
      <c r="AS4" s="13" t="s">
        <v>654</v>
      </c>
      <c r="AT4" s="13" t="s">
        <v>655</v>
      </c>
      <c r="AU4" s="13" t="s">
        <v>656</v>
      </c>
      <c r="AV4" s="13" t="s">
        <v>657</v>
      </c>
      <c r="AW4" s="13" t="s">
        <v>658</v>
      </c>
      <c r="AX4" s="13" t="s">
        <v>659</v>
      </c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21"/>
    </row>
    <row r="5" spans="1:61" ht="15.6" x14ac:dyDescent="0.3">
      <c r="A5" s="4"/>
      <c r="B5" s="5"/>
      <c r="C5" s="5"/>
      <c r="D5" s="6" t="s">
        <v>0</v>
      </c>
      <c r="E5" s="15" t="s">
        <v>660</v>
      </c>
      <c r="F5" s="15" t="s">
        <v>661</v>
      </c>
      <c r="G5" s="15" t="s">
        <v>662</v>
      </c>
      <c r="H5" s="15" t="s">
        <v>663</v>
      </c>
      <c r="I5" s="15" t="s">
        <v>664</v>
      </c>
      <c r="J5" s="15" t="s">
        <v>665</v>
      </c>
      <c r="K5" s="15" t="s">
        <v>666</v>
      </c>
      <c r="L5" s="15" t="s">
        <v>667</v>
      </c>
      <c r="M5" s="15" t="s">
        <v>668</v>
      </c>
      <c r="N5" s="15" t="s">
        <v>669</v>
      </c>
      <c r="O5" s="15" t="s">
        <v>670</v>
      </c>
      <c r="P5" s="15" t="s">
        <v>671</v>
      </c>
      <c r="Q5" s="15" t="s">
        <v>672</v>
      </c>
      <c r="R5" s="15" t="s">
        <v>673</v>
      </c>
      <c r="S5" s="15" t="s">
        <v>674</v>
      </c>
      <c r="T5" s="15" t="s">
        <v>675</v>
      </c>
      <c r="U5" s="15" t="s">
        <v>676</v>
      </c>
      <c r="V5" s="15" t="s">
        <v>677</v>
      </c>
      <c r="W5" s="15" t="s">
        <v>678</v>
      </c>
      <c r="X5" s="15" t="s">
        <v>679</v>
      </c>
      <c r="Y5" s="15" t="s">
        <v>680</v>
      </c>
      <c r="Z5" s="15" t="s">
        <v>681</v>
      </c>
      <c r="AA5" s="15" t="s">
        <v>682</v>
      </c>
      <c r="AB5" s="15" t="s">
        <v>683</v>
      </c>
      <c r="AC5" s="15" t="s">
        <v>684</v>
      </c>
      <c r="AD5" s="15" t="s">
        <v>685</v>
      </c>
      <c r="AE5" s="15" t="s">
        <v>686</v>
      </c>
      <c r="AF5" s="15" t="s">
        <v>687</v>
      </c>
      <c r="AG5" s="15" t="s">
        <v>688</v>
      </c>
      <c r="AH5" s="15" t="s">
        <v>689</v>
      </c>
      <c r="AI5" s="15" t="s">
        <v>690</v>
      </c>
      <c r="AJ5" s="15" t="s">
        <v>691</v>
      </c>
      <c r="AK5" s="15" t="s">
        <v>692</v>
      </c>
      <c r="AL5" s="15" t="s">
        <v>693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21"/>
    </row>
    <row r="6" spans="1:61" ht="15.6" x14ac:dyDescent="0.3">
      <c r="A6" s="5" t="s">
        <v>1</v>
      </c>
      <c r="B6" s="5" t="s">
        <v>2</v>
      </c>
      <c r="C6" s="7">
        <v>1</v>
      </c>
      <c r="D6" s="7">
        <v>1</v>
      </c>
      <c r="E6" s="7">
        <v>258949.40400000001</v>
      </c>
      <c r="F6" s="7">
        <v>30457.558000000001</v>
      </c>
      <c r="G6" s="7">
        <v>27667.114000000001</v>
      </c>
      <c r="H6" s="7">
        <v>14.237</v>
      </c>
      <c r="I6" s="7">
        <v>4026.26</v>
      </c>
      <c r="J6" s="7">
        <v>17325.674999999999</v>
      </c>
      <c r="K6" s="7">
        <v>6174.6869999999999</v>
      </c>
      <c r="L6" s="7">
        <v>286957.005</v>
      </c>
      <c r="M6" s="7">
        <v>56159.006000000001</v>
      </c>
      <c r="N6" s="7">
        <v>-1.704</v>
      </c>
      <c r="O6" s="7">
        <v>2896.5039999999999</v>
      </c>
      <c r="P6" s="7">
        <v>118.315</v>
      </c>
      <c r="Q6" s="7">
        <v>1478.4849999999999</v>
      </c>
      <c r="R6" s="7">
        <v>459.86200000000002</v>
      </c>
      <c r="S6" s="7">
        <v>9093.1509999999998</v>
      </c>
      <c r="T6" s="7">
        <v>0.77300000000000002</v>
      </c>
      <c r="U6" s="7">
        <v>4846.9780000000001</v>
      </c>
      <c r="V6" s="7">
        <v>3032.7330000000002</v>
      </c>
      <c r="W6" s="7">
        <v>6607.527</v>
      </c>
      <c r="X6" s="7">
        <v>8081.634</v>
      </c>
      <c r="Y6" s="7">
        <v>87079.702000000005</v>
      </c>
      <c r="Z6" s="7">
        <v>5607.3630000000003</v>
      </c>
      <c r="AA6" s="7">
        <v>37067.987000000001</v>
      </c>
      <c r="AB6" s="7">
        <v>92102.259000000005</v>
      </c>
      <c r="AC6" s="7">
        <v>5656.2849999999999</v>
      </c>
      <c r="AD6" s="7">
        <v>3935.4169999999999</v>
      </c>
      <c r="AE6" s="7">
        <v>239843.06</v>
      </c>
      <c r="AF6" s="7">
        <v>113714.37</v>
      </c>
      <c r="AG6" s="7">
        <v>27289.535</v>
      </c>
      <c r="AH6" s="7">
        <v>612714.29299999995</v>
      </c>
      <c r="AI6" s="7">
        <v>169760.565</v>
      </c>
      <c r="AJ6" s="7">
        <v>27322.775000000001</v>
      </c>
      <c r="AK6" s="7">
        <v>66635.922999999995</v>
      </c>
      <c r="AL6" s="7">
        <v>34899.798000000003</v>
      </c>
      <c r="AM6" s="7">
        <v>1342.14</v>
      </c>
      <c r="AN6" s="7">
        <v>18162.366999999998</v>
      </c>
      <c r="AO6" s="7">
        <v>6561.4979999999996</v>
      </c>
      <c r="AP6" s="7">
        <v>3059.8339999999998</v>
      </c>
      <c r="AQ6" s="7">
        <v>55415.415000000001</v>
      </c>
      <c r="AR6" s="7">
        <v>926.91600000000005</v>
      </c>
      <c r="AS6" s="7">
        <v>168.53200000000001</v>
      </c>
      <c r="AT6" s="7">
        <v>0</v>
      </c>
      <c r="AU6" s="7">
        <v>8290.4989999999998</v>
      </c>
      <c r="AV6" s="7">
        <v>2295.9749999999999</v>
      </c>
      <c r="AW6" s="7">
        <v>7040.6490000000003</v>
      </c>
      <c r="AX6" s="7">
        <v>10185.103999999999</v>
      </c>
      <c r="AY6" s="7">
        <v>5298.66</v>
      </c>
      <c r="AZ6" s="7">
        <v>36332.364999999998</v>
      </c>
      <c r="BA6" s="7">
        <v>8067.6379999999999</v>
      </c>
      <c r="BB6" s="7">
        <v>4600.6729999999998</v>
      </c>
      <c r="BC6" s="7">
        <v>854.52200000000005</v>
      </c>
      <c r="BD6" s="7">
        <v>40625.766000000003</v>
      </c>
      <c r="BE6" s="7">
        <v>1179.0229999999999</v>
      </c>
      <c r="BF6" s="7">
        <v>12624.25</v>
      </c>
      <c r="BG6" s="7">
        <v>18748.753000000001</v>
      </c>
      <c r="BH6" s="7">
        <v>467.42500000000001</v>
      </c>
      <c r="BI6" s="21"/>
    </row>
    <row r="7" spans="1:61" ht="15.6" x14ac:dyDescent="0.3">
      <c r="A7" s="5" t="s">
        <v>3</v>
      </c>
      <c r="B7" s="5" t="s">
        <v>4</v>
      </c>
      <c r="C7" s="7">
        <v>1</v>
      </c>
      <c r="D7" s="7">
        <v>1</v>
      </c>
      <c r="E7" s="7">
        <v>133047.28599999999</v>
      </c>
      <c r="F7" s="7">
        <v>17876.689999999999</v>
      </c>
      <c r="G7" s="7">
        <v>12364.063</v>
      </c>
      <c r="H7" s="7">
        <v>2005.749</v>
      </c>
      <c r="I7" s="7">
        <v>3788.8739999999998</v>
      </c>
      <c r="J7" s="7">
        <v>8077.232</v>
      </c>
      <c r="K7" s="7">
        <v>0</v>
      </c>
      <c r="L7" s="7">
        <v>192376.33499999999</v>
      </c>
      <c r="M7" s="7">
        <v>33109.944000000003</v>
      </c>
      <c r="N7" s="7">
        <v>0</v>
      </c>
      <c r="O7" s="7">
        <v>125.792</v>
      </c>
      <c r="P7" s="7">
        <v>369.93</v>
      </c>
      <c r="Q7" s="7">
        <v>51.765000000000001</v>
      </c>
      <c r="R7" s="7">
        <v>246.119</v>
      </c>
      <c r="S7" s="7">
        <v>4400.2060000000001</v>
      </c>
      <c r="T7" s="7">
        <v>0</v>
      </c>
      <c r="U7" s="7">
        <v>0</v>
      </c>
      <c r="V7" s="7">
        <v>1353.0050000000001</v>
      </c>
      <c r="W7" s="7">
        <v>4156.3630000000003</v>
      </c>
      <c r="X7" s="7">
        <v>833.57100000000003</v>
      </c>
      <c r="Y7" s="7">
        <v>43460.493000000002</v>
      </c>
      <c r="Z7" s="7">
        <v>1818.9469999999999</v>
      </c>
      <c r="AA7" s="7">
        <v>22928.868999999999</v>
      </c>
      <c r="AB7" s="7">
        <v>3091.6759999999999</v>
      </c>
      <c r="AC7" s="7">
        <v>3223.4090000000001</v>
      </c>
      <c r="AD7" s="7">
        <v>424.92399999999998</v>
      </c>
      <c r="AE7" s="7">
        <v>95528.214000000007</v>
      </c>
      <c r="AF7" s="7">
        <v>45789.934000000001</v>
      </c>
      <c r="AG7" s="7">
        <v>2414.4209999999998</v>
      </c>
      <c r="AH7" s="7">
        <v>307612.05200000003</v>
      </c>
      <c r="AI7" s="7">
        <v>61092.010999999999</v>
      </c>
      <c r="AJ7" s="7">
        <v>8481.2960000000003</v>
      </c>
      <c r="AK7" s="7">
        <v>59989.81</v>
      </c>
      <c r="AL7" s="7">
        <v>30000.258000000002</v>
      </c>
      <c r="AM7" s="7">
        <v>0</v>
      </c>
      <c r="AN7" s="7">
        <v>19838.069</v>
      </c>
      <c r="AO7" s="7">
        <v>2391.4389999999999</v>
      </c>
      <c r="AP7" s="7">
        <v>7413.6809999999996</v>
      </c>
      <c r="AQ7" s="7">
        <v>14457.786</v>
      </c>
      <c r="AR7" s="7">
        <v>1828.9090000000001</v>
      </c>
      <c r="AS7" s="7">
        <v>47.582000000000001</v>
      </c>
      <c r="AT7" s="7">
        <v>0</v>
      </c>
      <c r="AU7" s="7">
        <v>3613.3690000000001</v>
      </c>
      <c r="AV7" s="7">
        <v>5648.7470000000003</v>
      </c>
      <c r="AW7" s="7">
        <v>10043.003000000001</v>
      </c>
      <c r="AX7" s="7">
        <v>1017.455</v>
      </c>
      <c r="AY7" s="7">
        <v>635.80399999999997</v>
      </c>
      <c r="AZ7" s="7">
        <v>1726.0360000000001</v>
      </c>
      <c r="BA7" s="7">
        <v>763.99300000000005</v>
      </c>
      <c r="BB7" s="7">
        <v>889.80399999999997</v>
      </c>
      <c r="BC7" s="7">
        <v>456.96</v>
      </c>
      <c r="BD7" s="7">
        <v>2134.0230000000001</v>
      </c>
      <c r="BE7" s="7">
        <v>285.38400000000001</v>
      </c>
      <c r="BF7" s="7">
        <v>747.91600000000005</v>
      </c>
      <c r="BG7" s="7">
        <v>6530.71</v>
      </c>
      <c r="BH7" s="7">
        <v>116.782</v>
      </c>
      <c r="BI7" s="21"/>
    </row>
    <row r="8" spans="1:61" ht="15.6" x14ac:dyDescent="0.3">
      <c r="A8" s="5" t="s">
        <v>5</v>
      </c>
      <c r="B8" s="5" t="s">
        <v>6</v>
      </c>
      <c r="C8" s="7">
        <v>1</v>
      </c>
      <c r="D8" s="7">
        <v>1</v>
      </c>
      <c r="E8" s="7">
        <v>142469.45699999999</v>
      </c>
      <c r="F8" s="7">
        <v>5579.8850000000002</v>
      </c>
      <c r="G8" s="7">
        <v>15352.155000000001</v>
      </c>
      <c r="H8" s="7">
        <v>4576.473</v>
      </c>
      <c r="I8" s="7">
        <v>413.51100000000002</v>
      </c>
      <c r="J8" s="7">
        <v>7317.018</v>
      </c>
      <c r="K8" s="7">
        <v>2157.0439999999999</v>
      </c>
      <c r="L8" s="7">
        <v>152864.04500000001</v>
      </c>
      <c r="M8" s="7">
        <v>9987.0619999999999</v>
      </c>
      <c r="N8" s="7">
        <v>0</v>
      </c>
      <c r="O8" s="7">
        <v>894.88800000000003</v>
      </c>
      <c r="P8" s="7">
        <v>362.233</v>
      </c>
      <c r="Q8" s="7">
        <v>442.36200000000002</v>
      </c>
      <c r="R8" s="7">
        <v>321.27100000000002</v>
      </c>
      <c r="S8" s="7">
        <v>3660.6559999999999</v>
      </c>
      <c r="T8" s="7">
        <v>23.821999999999999</v>
      </c>
      <c r="U8" s="7">
        <v>757.529</v>
      </c>
      <c r="V8" s="7">
        <v>1061.067</v>
      </c>
      <c r="W8" s="7">
        <v>5692.8829999999998</v>
      </c>
      <c r="X8" s="7">
        <v>640.57000000000005</v>
      </c>
      <c r="Y8" s="7">
        <v>47224.56</v>
      </c>
      <c r="Z8" s="7">
        <v>3209.7559999999999</v>
      </c>
      <c r="AA8" s="7">
        <v>35366.169000000002</v>
      </c>
      <c r="AB8" s="7">
        <v>28478.991000000002</v>
      </c>
      <c r="AC8" s="7">
        <v>1664.672</v>
      </c>
      <c r="AD8" s="7">
        <v>2807.3820000000001</v>
      </c>
      <c r="AE8" s="7">
        <v>201063.30799999999</v>
      </c>
      <c r="AF8" s="7">
        <v>49200.949000000001</v>
      </c>
      <c r="AG8" s="7">
        <v>16803.235000000001</v>
      </c>
      <c r="AH8" s="7">
        <v>322548.65700000001</v>
      </c>
      <c r="AI8" s="7">
        <v>75416.320999999996</v>
      </c>
      <c r="AJ8" s="7">
        <v>14428.352000000001</v>
      </c>
      <c r="AK8" s="7">
        <v>74635.202999999994</v>
      </c>
      <c r="AL8" s="7">
        <v>61422.565999999999</v>
      </c>
      <c r="AM8" s="7">
        <v>725.85599999999999</v>
      </c>
      <c r="AN8" s="7">
        <v>16693.600999999999</v>
      </c>
      <c r="AO8" s="7">
        <v>4864.7910000000002</v>
      </c>
      <c r="AP8" s="7">
        <v>0</v>
      </c>
      <c r="AQ8" s="7">
        <v>4928.0219999999999</v>
      </c>
      <c r="AR8" s="7">
        <v>0</v>
      </c>
      <c r="AS8" s="7">
        <v>13.484</v>
      </c>
      <c r="AT8" s="7">
        <v>0</v>
      </c>
      <c r="AU8" s="7">
        <v>209.91499999999999</v>
      </c>
      <c r="AV8" s="7">
        <v>0</v>
      </c>
      <c r="AW8" s="7">
        <v>0</v>
      </c>
      <c r="AX8" s="7">
        <v>4400.143</v>
      </c>
      <c r="AY8" s="7">
        <v>299.38600000000002</v>
      </c>
      <c r="AZ8" s="7">
        <v>2260.6190000000001</v>
      </c>
      <c r="BA8" s="7">
        <v>0</v>
      </c>
      <c r="BB8" s="7">
        <v>261.54700000000003</v>
      </c>
      <c r="BC8" s="7">
        <v>143.364</v>
      </c>
      <c r="BD8" s="7">
        <v>2811.0189999999998</v>
      </c>
      <c r="BE8" s="7">
        <v>77.83</v>
      </c>
      <c r="BF8" s="7">
        <v>979.56799999999998</v>
      </c>
      <c r="BG8" s="7">
        <v>9481.0020000000004</v>
      </c>
      <c r="BH8" s="7">
        <v>45.088999999999999</v>
      </c>
      <c r="BI8" s="21"/>
    </row>
    <row r="9" spans="1:61" ht="15.6" x14ac:dyDescent="0.3">
      <c r="A9" s="5" t="s">
        <v>7</v>
      </c>
      <c r="B9" s="5" t="s">
        <v>8</v>
      </c>
      <c r="C9" s="7">
        <v>1</v>
      </c>
      <c r="D9" s="7">
        <v>1</v>
      </c>
      <c r="E9" s="7">
        <v>666341.86100000003</v>
      </c>
      <c r="F9" s="7">
        <v>102397.74099999999</v>
      </c>
      <c r="G9" s="7">
        <v>0</v>
      </c>
      <c r="H9" s="7">
        <v>0</v>
      </c>
      <c r="I9" s="7">
        <v>3242.0340000000001</v>
      </c>
      <c r="J9" s="7">
        <v>0</v>
      </c>
      <c r="K9" s="7">
        <v>0</v>
      </c>
      <c r="L9" s="7">
        <v>1416357.2549999999</v>
      </c>
      <c r="M9" s="7">
        <v>32061.601999999999</v>
      </c>
      <c r="N9" s="7">
        <v>0</v>
      </c>
      <c r="O9" s="7">
        <v>7940.5680000000002</v>
      </c>
      <c r="P9" s="7">
        <v>0</v>
      </c>
      <c r="Q9" s="7">
        <v>4175.0069999999996</v>
      </c>
      <c r="R9" s="7">
        <v>1309.6279999999999</v>
      </c>
      <c r="S9" s="7">
        <v>32606.249</v>
      </c>
      <c r="T9" s="7">
        <v>0</v>
      </c>
      <c r="U9" s="7">
        <v>0</v>
      </c>
      <c r="V9" s="7">
        <v>0</v>
      </c>
      <c r="W9" s="7">
        <v>9370.1669999999995</v>
      </c>
      <c r="X9" s="7">
        <v>29941.927</v>
      </c>
      <c r="Y9" s="7">
        <v>341111.59</v>
      </c>
      <c r="Z9" s="7">
        <v>42577.860999999997</v>
      </c>
      <c r="AA9" s="7">
        <v>553.875</v>
      </c>
      <c r="AB9" s="7">
        <v>246659.91899999999</v>
      </c>
      <c r="AC9" s="7">
        <v>20996.99</v>
      </c>
      <c r="AD9" s="7">
        <v>12686.418</v>
      </c>
      <c r="AE9" s="7">
        <v>884328.995</v>
      </c>
      <c r="AF9" s="7">
        <v>736990.34199999995</v>
      </c>
      <c r="AG9" s="7">
        <v>75031.782999999996</v>
      </c>
      <c r="AH9" s="7">
        <v>2616979.5669999998</v>
      </c>
      <c r="AI9" s="7">
        <v>1079768.253</v>
      </c>
      <c r="AJ9" s="7">
        <v>212653.845</v>
      </c>
      <c r="AK9" s="7">
        <v>6923692.2060000002</v>
      </c>
      <c r="AL9" s="7">
        <v>3626205.338</v>
      </c>
      <c r="AM9" s="7">
        <v>0</v>
      </c>
      <c r="AN9" s="7">
        <v>2430611.0520000001</v>
      </c>
      <c r="AO9" s="7">
        <v>28445.957999999999</v>
      </c>
      <c r="AP9" s="7">
        <v>0</v>
      </c>
      <c r="AQ9" s="7">
        <v>295052.158</v>
      </c>
      <c r="AR9" s="7">
        <v>0</v>
      </c>
      <c r="AS9" s="7">
        <v>330.06700000000001</v>
      </c>
      <c r="AT9" s="7">
        <v>0</v>
      </c>
      <c r="AU9" s="7">
        <v>2172.058</v>
      </c>
      <c r="AV9" s="7">
        <v>0</v>
      </c>
      <c r="AW9" s="7">
        <v>0</v>
      </c>
      <c r="AX9" s="7">
        <v>37735.334999999999</v>
      </c>
      <c r="AY9" s="7">
        <v>0</v>
      </c>
      <c r="AZ9" s="7">
        <v>0</v>
      </c>
      <c r="BA9" s="7">
        <v>29155.177</v>
      </c>
      <c r="BB9" s="7">
        <v>11305.293</v>
      </c>
      <c r="BC9" s="7">
        <v>0</v>
      </c>
      <c r="BD9" s="7">
        <v>0</v>
      </c>
      <c r="BE9" s="7">
        <v>3502.864</v>
      </c>
      <c r="BF9" s="7">
        <v>0</v>
      </c>
      <c r="BG9" s="7">
        <v>130312.428</v>
      </c>
      <c r="BH9" s="7">
        <v>0</v>
      </c>
      <c r="BI9" s="21"/>
    </row>
    <row r="10" spans="1:61" ht="15.6" x14ac:dyDescent="0.3">
      <c r="A10" s="5" t="s">
        <v>9</v>
      </c>
      <c r="B10" s="5" t="s">
        <v>10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21"/>
    </row>
    <row r="11" spans="1:61" ht="15.6" x14ac:dyDescent="0.3">
      <c r="A11" s="5" t="s">
        <v>11</v>
      </c>
      <c r="B11" s="5" t="s">
        <v>12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21"/>
    </row>
    <row r="12" spans="1:61" ht="15.6" x14ac:dyDescent="0.3">
      <c r="A12" s="5" t="s">
        <v>13</v>
      </c>
      <c r="B12" s="5" t="s">
        <v>14</v>
      </c>
      <c r="C12" s="7">
        <v>1</v>
      </c>
      <c r="D12" s="7">
        <v>1</v>
      </c>
      <c r="E12" s="7">
        <v>51540.682000000001</v>
      </c>
      <c r="F12" s="7">
        <v>7217.8959999999997</v>
      </c>
      <c r="G12" s="7">
        <v>4275.3950000000004</v>
      </c>
      <c r="H12" s="7">
        <v>9.875</v>
      </c>
      <c r="I12" s="7">
        <v>533.404</v>
      </c>
      <c r="J12" s="7">
        <v>1843.09</v>
      </c>
      <c r="K12" s="7">
        <v>0</v>
      </c>
      <c r="L12" s="7">
        <v>78082.86</v>
      </c>
      <c r="M12" s="7">
        <v>10080.945</v>
      </c>
      <c r="N12" s="7">
        <v>0</v>
      </c>
      <c r="O12" s="7">
        <v>68.260000000000005</v>
      </c>
      <c r="P12" s="7">
        <v>35.552999999999997</v>
      </c>
      <c r="Q12" s="7">
        <v>40.372999999999998</v>
      </c>
      <c r="R12" s="7">
        <v>41.225999999999999</v>
      </c>
      <c r="S12" s="7">
        <v>2132.16</v>
      </c>
      <c r="T12" s="7">
        <v>0</v>
      </c>
      <c r="U12" s="7">
        <v>0</v>
      </c>
      <c r="V12" s="7">
        <v>356.53199999999998</v>
      </c>
      <c r="W12" s="7">
        <v>985.83299999999997</v>
      </c>
      <c r="X12" s="7">
        <v>2121.866</v>
      </c>
      <c r="Y12" s="7">
        <v>21607.279999999999</v>
      </c>
      <c r="Z12" s="7">
        <v>1226.3499999999999</v>
      </c>
      <c r="AA12" s="7">
        <v>5612.0469999999996</v>
      </c>
      <c r="AB12" s="7">
        <v>1377.35</v>
      </c>
      <c r="AC12" s="7">
        <v>1396.117</v>
      </c>
      <c r="AD12" s="7">
        <v>234.83500000000001</v>
      </c>
      <c r="AE12" s="7">
        <v>53559.872000000003</v>
      </c>
      <c r="AF12" s="7">
        <v>38018.767</v>
      </c>
      <c r="AG12" s="7">
        <v>978.25900000000001</v>
      </c>
      <c r="AH12" s="7">
        <v>159746.82399999999</v>
      </c>
      <c r="AI12" s="7">
        <v>57687.927000000003</v>
      </c>
      <c r="AJ12" s="7">
        <v>6387.7839999999997</v>
      </c>
      <c r="AK12" s="7">
        <v>181440.617</v>
      </c>
      <c r="AL12" s="7">
        <v>95027.467000000004</v>
      </c>
      <c r="AM12" s="7">
        <v>0</v>
      </c>
      <c r="AN12" s="7">
        <v>63696.01</v>
      </c>
      <c r="AO12" s="7">
        <v>1766.79</v>
      </c>
      <c r="AP12" s="7">
        <v>0</v>
      </c>
      <c r="AQ12" s="7">
        <v>14034.175999999999</v>
      </c>
      <c r="AR12" s="7">
        <v>0</v>
      </c>
      <c r="AS12" s="7">
        <v>18.786999999999999</v>
      </c>
      <c r="AT12" s="7">
        <v>0</v>
      </c>
      <c r="AU12" s="7">
        <v>143.45599999999999</v>
      </c>
      <c r="AV12" s="7">
        <v>0</v>
      </c>
      <c r="AW12" s="7">
        <v>0</v>
      </c>
      <c r="AX12" s="7">
        <v>2674.1289999999999</v>
      </c>
      <c r="AY12" s="7">
        <v>53.472000000000001</v>
      </c>
      <c r="AZ12" s="7">
        <v>0</v>
      </c>
      <c r="BA12" s="7">
        <v>2066.0929999999998</v>
      </c>
      <c r="BB12" s="7">
        <v>699.7</v>
      </c>
      <c r="BC12" s="7">
        <v>32.883000000000003</v>
      </c>
      <c r="BD12" s="7">
        <v>0</v>
      </c>
      <c r="BE12" s="7">
        <v>216.13499999999999</v>
      </c>
      <c r="BF12" s="7">
        <v>0</v>
      </c>
      <c r="BG12" s="7">
        <v>3754.53</v>
      </c>
      <c r="BH12" s="7">
        <v>10.627000000000001</v>
      </c>
      <c r="BI12" s="21"/>
    </row>
    <row r="13" spans="1:61" ht="15.6" x14ac:dyDescent="0.3">
      <c r="A13" s="5" t="s">
        <v>3</v>
      </c>
      <c r="B13" s="5" t="s">
        <v>15</v>
      </c>
      <c r="C13" s="7">
        <v>1</v>
      </c>
      <c r="D13" s="7">
        <v>1</v>
      </c>
      <c r="E13" s="7">
        <v>28.08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125.05800000000001</v>
      </c>
      <c r="M13" s="7">
        <v>2.9780000000000002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8.5830000000000002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21"/>
    </row>
    <row r="14" spans="1:61" ht="15.6" x14ac:dyDescent="0.3">
      <c r="A14" s="5" t="s">
        <v>16</v>
      </c>
      <c r="B14" s="5" t="s">
        <v>17</v>
      </c>
      <c r="C14" s="7">
        <v>1</v>
      </c>
      <c r="D14" s="7">
        <v>1</v>
      </c>
      <c r="E14" s="7">
        <v>6130.0420000000004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4545.8689999999997</v>
      </c>
      <c r="M14" s="7">
        <v>12356.312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7108.4440000000004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21"/>
    </row>
    <row r="15" spans="1:61" ht="15.6" x14ac:dyDescent="0.3">
      <c r="A15" s="5" t="s">
        <v>18</v>
      </c>
      <c r="B15" s="5" t="s">
        <v>19</v>
      </c>
      <c r="C15" s="7">
        <v>2</v>
      </c>
      <c r="D15" s="7">
        <v>2</v>
      </c>
      <c r="E15" s="7">
        <v>1235962.0449999999</v>
      </c>
      <c r="F15" s="7">
        <v>95699.706999999995</v>
      </c>
      <c r="G15" s="7">
        <v>216766.66399999999</v>
      </c>
      <c r="H15" s="7">
        <v>0</v>
      </c>
      <c r="I15" s="7">
        <v>29306.797999999999</v>
      </c>
      <c r="J15" s="7">
        <v>139339.84</v>
      </c>
      <c r="K15" s="7">
        <v>0</v>
      </c>
      <c r="L15" s="7">
        <v>378343.56300000002</v>
      </c>
      <c r="M15" s="7">
        <v>394652.91800000001</v>
      </c>
      <c r="N15" s="7">
        <v>0</v>
      </c>
      <c r="O15" s="7">
        <v>0</v>
      </c>
      <c r="P15" s="7">
        <v>15595.618</v>
      </c>
      <c r="Q15" s="7">
        <v>939.25099999999998</v>
      </c>
      <c r="R15" s="7">
        <v>1370.54</v>
      </c>
      <c r="S15" s="7">
        <v>29230.237000000001</v>
      </c>
      <c r="T15" s="7">
        <v>0</v>
      </c>
      <c r="U15" s="7">
        <v>0</v>
      </c>
      <c r="V15" s="7">
        <v>21849.57</v>
      </c>
      <c r="W15" s="7">
        <v>32768.472000000002</v>
      </c>
      <c r="X15" s="7">
        <v>0</v>
      </c>
      <c r="Y15" s="7">
        <v>259611.46799999999</v>
      </c>
      <c r="Z15" s="7">
        <v>0</v>
      </c>
      <c r="AA15" s="7">
        <v>311658.31300000002</v>
      </c>
      <c r="AB15" s="7">
        <v>0</v>
      </c>
      <c r="AC15" s="7">
        <v>12984.643</v>
      </c>
      <c r="AD15" s="7">
        <v>7195.18</v>
      </c>
      <c r="AE15" s="7">
        <v>671848.95999999996</v>
      </c>
      <c r="AF15" s="7">
        <v>0</v>
      </c>
      <c r="AG15" s="7">
        <v>28991.866000000002</v>
      </c>
      <c r="AH15" s="7">
        <v>1402905.3459999999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17555.924999999999</v>
      </c>
      <c r="AP15" s="7">
        <v>0</v>
      </c>
      <c r="AQ15" s="7">
        <v>0</v>
      </c>
      <c r="AR15" s="7">
        <v>0</v>
      </c>
      <c r="AS15" s="7">
        <v>851.59299999999996</v>
      </c>
      <c r="AT15" s="7">
        <v>0</v>
      </c>
      <c r="AU15" s="7">
        <v>17859.05</v>
      </c>
      <c r="AV15" s="7">
        <v>0</v>
      </c>
      <c r="AW15" s="7">
        <v>0</v>
      </c>
      <c r="AX15" s="7">
        <v>0</v>
      </c>
      <c r="AY15" s="7">
        <v>14747.744000000001</v>
      </c>
      <c r="AZ15" s="7">
        <v>0</v>
      </c>
      <c r="BA15" s="7">
        <v>0</v>
      </c>
      <c r="BB15" s="7">
        <v>7371.7479999999996</v>
      </c>
      <c r="BC15" s="7">
        <v>7740.835</v>
      </c>
      <c r="BD15" s="7">
        <v>0</v>
      </c>
      <c r="BE15" s="7">
        <v>2074.6999999999998</v>
      </c>
      <c r="BF15" s="7">
        <v>0</v>
      </c>
      <c r="BG15" s="7">
        <v>0</v>
      </c>
      <c r="BH15" s="7">
        <v>2199.7640000000001</v>
      </c>
      <c r="BI15" s="21"/>
    </row>
    <row r="16" spans="1:61" ht="15.6" x14ac:dyDescent="0.3">
      <c r="A16" s="5" t="s">
        <v>20</v>
      </c>
      <c r="B16" s="5" t="s">
        <v>21</v>
      </c>
      <c r="C16" s="7">
        <v>2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21"/>
    </row>
    <row r="17" spans="1:61" ht="15.6" x14ac:dyDescent="0.3">
      <c r="A17" s="5" t="s">
        <v>22</v>
      </c>
      <c r="B17" s="5" t="s">
        <v>23</v>
      </c>
      <c r="C17" s="7">
        <v>2</v>
      </c>
      <c r="D17" s="7">
        <v>2</v>
      </c>
      <c r="E17" s="7">
        <v>709579.66799999995</v>
      </c>
      <c r="F17" s="7">
        <v>55528.805999999997</v>
      </c>
      <c r="G17" s="7">
        <v>123200.003</v>
      </c>
      <c r="H17" s="7">
        <v>0</v>
      </c>
      <c r="I17" s="7">
        <v>16692.626</v>
      </c>
      <c r="J17" s="7">
        <v>79194.228000000003</v>
      </c>
      <c r="K17" s="7">
        <v>75723.951000000001</v>
      </c>
      <c r="L17" s="7">
        <v>230767.614</v>
      </c>
      <c r="M17" s="7">
        <v>224658.39199999999</v>
      </c>
      <c r="N17" s="7">
        <v>12401.245999999999</v>
      </c>
      <c r="O17" s="7">
        <v>0</v>
      </c>
      <c r="P17" s="7">
        <v>0</v>
      </c>
      <c r="Q17" s="7">
        <v>1485.385</v>
      </c>
      <c r="R17" s="7">
        <v>2167.4499999999998</v>
      </c>
      <c r="S17" s="7">
        <v>16975.331999999999</v>
      </c>
      <c r="T17" s="7">
        <v>0</v>
      </c>
      <c r="U17" s="7">
        <v>59441.633999999998</v>
      </c>
      <c r="V17" s="7">
        <v>12418.271000000001</v>
      </c>
      <c r="W17" s="7">
        <v>18728.159</v>
      </c>
      <c r="X17" s="7">
        <v>0</v>
      </c>
      <c r="Y17" s="7">
        <v>151285.26300000001</v>
      </c>
      <c r="Z17" s="7">
        <v>0</v>
      </c>
      <c r="AA17" s="7">
        <v>177131.965</v>
      </c>
      <c r="AB17" s="7">
        <v>0</v>
      </c>
      <c r="AC17" s="7">
        <v>7613.1270000000004</v>
      </c>
      <c r="AD17" s="7">
        <v>4089.4029999999998</v>
      </c>
      <c r="AE17" s="7">
        <v>391349.49900000001</v>
      </c>
      <c r="AF17" s="7">
        <v>8187.5450000000001</v>
      </c>
      <c r="AG17" s="7">
        <v>16477.616999999998</v>
      </c>
      <c r="AH17" s="7">
        <v>826758.53399999999</v>
      </c>
      <c r="AI17" s="7">
        <v>11995.621999999999</v>
      </c>
      <c r="AJ17" s="7">
        <v>0</v>
      </c>
      <c r="AK17" s="7">
        <v>0</v>
      </c>
      <c r="AL17" s="7">
        <v>0</v>
      </c>
      <c r="AM17" s="7">
        <v>16459.076000000001</v>
      </c>
      <c r="AN17" s="7">
        <v>0</v>
      </c>
      <c r="AO17" s="7">
        <v>10293.983</v>
      </c>
      <c r="AP17" s="7">
        <v>0</v>
      </c>
      <c r="AQ17" s="7">
        <v>3277.8649999999998</v>
      </c>
      <c r="AR17" s="7">
        <v>0</v>
      </c>
      <c r="AS17" s="7">
        <v>487.673</v>
      </c>
      <c r="AT17" s="7">
        <v>0</v>
      </c>
      <c r="AU17" s="7">
        <v>12158.416999999999</v>
      </c>
      <c r="AV17" s="7">
        <v>0</v>
      </c>
      <c r="AW17" s="7">
        <v>0</v>
      </c>
      <c r="AX17" s="7">
        <v>0</v>
      </c>
      <c r="AY17" s="7">
        <v>8381.9259999999995</v>
      </c>
      <c r="AZ17" s="7">
        <v>0</v>
      </c>
      <c r="BA17" s="7">
        <v>0</v>
      </c>
      <c r="BB17" s="7">
        <v>4315.3509999999997</v>
      </c>
      <c r="BC17" s="7">
        <v>4399.5280000000002</v>
      </c>
      <c r="BD17" s="7">
        <v>0</v>
      </c>
      <c r="BE17" s="7">
        <v>1218.077</v>
      </c>
      <c r="BF17" s="7">
        <v>0</v>
      </c>
      <c r="BG17" s="7">
        <v>0</v>
      </c>
      <c r="BH17" s="7">
        <v>1250.242</v>
      </c>
      <c r="BI17" s="21"/>
    </row>
    <row r="18" spans="1:61" ht="15.6" x14ac:dyDescent="0.3">
      <c r="A18" s="5" t="s">
        <v>24</v>
      </c>
      <c r="B18" s="5" t="s">
        <v>25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20146.556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15814.602999999999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111.16500000000001</v>
      </c>
      <c r="AI18" s="7">
        <v>0</v>
      </c>
      <c r="AJ18" s="7">
        <v>0</v>
      </c>
      <c r="AK18" s="7">
        <v>0</v>
      </c>
      <c r="AL18" s="7">
        <v>0</v>
      </c>
      <c r="AM18" s="7">
        <v>4378.9799999999996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20.614999999999998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21"/>
    </row>
    <row r="19" spans="1:61" ht="15.6" x14ac:dyDescent="0.3">
      <c r="A19" s="5" t="s">
        <v>26</v>
      </c>
      <c r="B19" s="5" t="s">
        <v>27</v>
      </c>
      <c r="C19" s="7">
        <v>2</v>
      </c>
      <c r="D19" s="7">
        <v>2</v>
      </c>
      <c r="E19" s="7">
        <v>174578.63099999999</v>
      </c>
      <c r="F19" s="7">
        <v>28031.143</v>
      </c>
      <c r="G19" s="7">
        <v>0</v>
      </c>
      <c r="H19" s="7">
        <v>0</v>
      </c>
      <c r="I19" s="7">
        <v>881.66</v>
      </c>
      <c r="J19" s="7">
        <v>0</v>
      </c>
      <c r="K19" s="7">
        <v>71675.153000000006</v>
      </c>
      <c r="L19" s="7">
        <v>386811.71600000001</v>
      </c>
      <c r="M19" s="7">
        <v>8893.6880000000001</v>
      </c>
      <c r="N19" s="7">
        <v>0</v>
      </c>
      <c r="O19" s="7">
        <v>0</v>
      </c>
      <c r="P19" s="7">
        <v>0.108</v>
      </c>
      <c r="Q19" s="7">
        <v>0</v>
      </c>
      <c r="R19" s="7">
        <v>0</v>
      </c>
      <c r="S19" s="7">
        <v>8930.2479999999996</v>
      </c>
      <c r="T19" s="7">
        <v>986.88099999999997</v>
      </c>
      <c r="U19" s="7">
        <v>56263.417000000001</v>
      </c>
      <c r="V19" s="7">
        <v>0</v>
      </c>
      <c r="W19" s="7">
        <v>2577.9349999999999</v>
      </c>
      <c r="X19" s="7">
        <v>22894.5</v>
      </c>
      <c r="Y19" s="7">
        <v>91533.437000000005</v>
      </c>
      <c r="Z19" s="7">
        <v>0</v>
      </c>
      <c r="AA19" s="7">
        <v>0</v>
      </c>
      <c r="AB19" s="7">
        <v>0</v>
      </c>
      <c r="AC19" s="7">
        <v>5749.7209999999995</v>
      </c>
      <c r="AD19" s="7">
        <v>0</v>
      </c>
      <c r="AE19" s="7">
        <v>233055.679</v>
      </c>
      <c r="AF19" s="7">
        <v>201160.79800000001</v>
      </c>
      <c r="AG19" s="7">
        <v>0</v>
      </c>
      <c r="AH19" s="7">
        <v>711007.77399999998</v>
      </c>
      <c r="AI19" s="7">
        <v>295161.31300000002</v>
      </c>
      <c r="AJ19" s="7">
        <v>0</v>
      </c>
      <c r="AK19" s="7">
        <v>0</v>
      </c>
      <c r="AL19" s="7">
        <v>0</v>
      </c>
      <c r="AM19" s="7">
        <v>15579.044</v>
      </c>
      <c r="AN19" s="7">
        <v>0</v>
      </c>
      <c r="AO19" s="7">
        <v>7760.6390000000001</v>
      </c>
      <c r="AP19" s="7">
        <v>0</v>
      </c>
      <c r="AQ19" s="7">
        <v>80513.542000000001</v>
      </c>
      <c r="AR19" s="7">
        <v>0</v>
      </c>
      <c r="AS19" s="7">
        <v>90.278000000000006</v>
      </c>
      <c r="AT19" s="7">
        <v>0</v>
      </c>
      <c r="AU19" s="7">
        <v>643.74</v>
      </c>
      <c r="AV19" s="7">
        <v>0</v>
      </c>
      <c r="AW19" s="7">
        <v>0</v>
      </c>
      <c r="AX19" s="7">
        <v>28853.575000000001</v>
      </c>
      <c r="AY19" s="7">
        <v>47.926000000000002</v>
      </c>
      <c r="AZ19" s="7">
        <v>1869.0150000000001</v>
      </c>
      <c r="BA19" s="7">
        <v>22292.927</v>
      </c>
      <c r="BB19" s="7">
        <v>3083.09</v>
      </c>
      <c r="BC19" s="7">
        <v>0</v>
      </c>
      <c r="BD19" s="7">
        <v>2324.0700000000002</v>
      </c>
      <c r="BE19" s="7">
        <v>954.19799999999998</v>
      </c>
      <c r="BF19" s="7">
        <v>809.87900000000002</v>
      </c>
      <c r="BG19" s="7">
        <v>0</v>
      </c>
      <c r="BH19" s="7">
        <v>0</v>
      </c>
      <c r="BI19" s="21"/>
    </row>
    <row r="20" spans="1:61" ht="15.6" x14ac:dyDescent="0.3">
      <c r="A20" s="5" t="s">
        <v>28</v>
      </c>
      <c r="B20" s="5" t="s">
        <v>29</v>
      </c>
      <c r="C20" s="7">
        <v>6</v>
      </c>
      <c r="D20" s="7">
        <v>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21"/>
    </row>
    <row r="21" spans="1:61" ht="15.6" x14ac:dyDescent="0.3">
      <c r="A21" s="5" t="s">
        <v>30</v>
      </c>
      <c r="B21" s="5" t="s">
        <v>31</v>
      </c>
      <c r="C21" s="7">
        <v>5</v>
      </c>
      <c r="D21" s="7">
        <v>5</v>
      </c>
      <c r="E21" s="7">
        <v>0</v>
      </c>
      <c r="F21" s="7">
        <v>0</v>
      </c>
      <c r="G21" s="7">
        <v>0</v>
      </c>
      <c r="H21" s="7">
        <v>966332.95799999998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21"/>
    </row>
    <row r="22" spans="1:61" ht="15.6" x14ac:dyDescent="0.3">
      <c r="A22" s="5" t="s">
        <v>32</v>
      </c>
      <c r="B22" s="5" t="s">
        <v>33</v>
      </c>
      <c r="C22" s="7">
        <v>2</v>
      </c>
      <c r="D22" s="7">
        <v>2</v>
      </c>
      <c r="E22" s="7">
        <v>31463.56</v>
      </c>
      <c r="F22" s="7">
        <v>1949.579</v>
      </c>
      <c r="G22" s="7">
        <v>6001.6040000000003</v>
      </c>
      <c r="H22" s="7">
        <v>0</v>
      </c>
      <c r="I22" s="7">
        <v>597.03300000000002</v>
      </c>
      <c r="J22" s="7">
        <v>4055.2489999999998</v>
      </c>
      <c r="K22" s="7">
        <v>0</v>
      </c>
      <c r="L22" s="7">
        <v>11576.585999999999</v>
      </c>
      <c r="M22" s="7">
        <v>10187.103999999999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595.47400000000005</v>
      </c>
      <c r="T22" s="7">
        <v>0</v>
      </c>
      <c r="U22" s="7">
        <v>0</v>
      </c>
      <c r="V22" s="7">
        <v>445.11599999999999</v>
      </c>
      <c r="W22" s="7">
        <v>667.55399999999997</v>
      </c>
      <c r="X22" s="7">
        <v>0</v>
      </c>
      <c r="Y22" s="7">
        <v>5288.7629999999999</v>
      </c>
      <c r="Z22" s="7">
        <v>0</v>
      </c>
      <c r="AA22" s="7">
        <v>6349.0529999999999</v>
      </c>
      <c r="AB22" s="7">
        <v>0</v>
      </c>
      <c r="AC22" s="7">
        <v>264.52100000000002</v>
      </c>
      <c r="AD22" s="7">
        <v>146.57900000000001</v>
      </c>
      <c r="AE22" s="7">
        <v>14407.558000000001</v>
      </c>
      <c r="AF22" s="7">
        <v>0</v>
      </c>
      <c r="AG22" s="7">
        <v>590.61800000000005</v>
      </c>
      <c r="AH22" s="7">
        <v>32218.151999999998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357.64600000000002</v>
      </c>
      <c r="AP22" s="7">
        <v>0</v>
      </c>
      <c r="AQ22" s="7">
        <v>0</v>
      </c>
      <c r="AR22" s="7">
        <v>0</v>
      </c>
      <c r="AS22" s="7">
        <v>17.349</v>
      </c>
      <c r="AT22" s="7">
        <v>0</v>
      </c>
      <c r="AU22" s="7">
        <v>289.53399999999999</v>
      </c>
      <c r="AV22" s="7">
        <v>0</v>
      </c>
      <c r="AW22" s="7">
        <v>0</v>
      </c>
      <c r="AX22" s="7">
        <v>0</v>
      </c>
      <c r="AY22" s="7">
        <v>300.43900000000002</v>
      </c>
      <c r="AZ22" s="7">
        <v>0</v>
      </c>
      <c r="BA22" s="7">
        <v>0</v>
      </c>
      <c r="BB22" s="7">
        <v>150.17599999999999</v>
      </c>
      <c r="BC22" s="7">
        <v>157.69499999999999</v>
      </c>
      <c r="BD22" s="7">
        <v>0</v>
      </c>
      <c r="BE22" s="7">
        <v>42.265000000000001</v>
      </c>
      <c r="BF22" s="7">
        <v>0</v>
      </c>
      <c r="BG22" s="7">
        <v>7553.7039999999997</v>
      </c>
      <c r="BH22" s="7">
        <v>44.813000000000002</v>
      </c>
      <c r="BI22" s="21"/>
    </row>
    <row r="23" spans="1:61" ht="15.6" x14ac:dyDescent="0.3">
      <c r="A23" s="5" t="s">
        <v>34</v>
      </c>
      <c r="B23" s="5" t="s">
        <v>35</v>
      </c>
      <c r="C23" s="7">
        <v>2</v>
      </c>
      <c r="D23" s="7">
        <v>2</v>
      </c>
      <c r="E23" s="7">
        <v>59423.152999999998</v>
      </c>
      <c r="F23" s="7">
        <v>8098.518</v>
      </c>
      <c r="G23" s="7">
        <v>7851.7479999999996</v>
      </c>
      <c r="H23" s="7">
        <v>0</v>
      </c>
      <c r="I23" s="7">
        <v>1334.22</v>
      </c>
      <c r="J23" s="7">
        <v>5436.6620000000003</v>
      </c>
      <c r="K23" s="7">
        <v>0</v>
      </c>
      <c r="L23" s="7">
        <v>56001.209000000003</v>
      </c>
      <c r="M23" s="7">
        <v>16856.062999999998</v>
      </c>
      <c r="N23" s="7">
        <v>0</v>
      </c>
      <c r="O23" s="7">
        <v>128.898</v>
      </c>
      <c r="P23" s="7">
        <v>0</v>
      </c>
      <c r="Q23" s="7">
        <v>38.875999999999998</v>
      </c>
      <c r="R23" s="7">
        <v>0</v>
      </c>
      <c r="S23" s="7">
        <v>2569.268</v>
      </c>
      <c r="T23" s="7">
        <v>0</v>
      </c>
      <c r="U23" s="7">
        <v>0</v>
      </c>
      <c r="V23" s="7">
        <v>1103.501</v>
      </c>
      <c r="W23" s="7">
        <v>2267.73</v>
      </c>
      <c r="X23" s="7">
        <v>1218.1379999999999</v>
      </c>
      <c r="Y23" s="7">
        <v>25612.858</v>
      </c>
      <c r="Z23" s="7">
        <v>346.22199999999998</v>
      </c>
      <c r="AA23" s="7">
        <v>7214.7139999999999</v>
      </c>
      <c r="AB23" s="7">
        <v>2928.3789999999999</v>
      </c>
      <c r="AC23" s="7">
        <v>1560.8979999999999</v>
      </c>
      <c r="AD23" s="7">
        <v>161.82</v>
      </c>
      <c r="AE23" s="7">
        <v>78575.331000000006</v>
      </c>
      <c r="AF23" s="7">
        <v>7599.3720000000003</v>
      </c>
      <c r="AG23" s="7">
        <v>1263.5170000000001</v>
      </c>
      <c r="AH23" s="7">
        <v>144614.288</v>
      </c>
      <c r="AI23" s="7">
        <v>11133.887000000001</v>
      </c>
      <c r="AJ23" s="7">
        <v>1652.6279999999999</v>
      </c>
      <c r="AK23" s="7">
        <v>1041567.061</v>
      </c>
      <c r="AL23" s="7">
        <v>545508.946</v>
      </c>
      <c r="AM23" s="7">
        <v>0</v>
      </c>
      <c r="AN23" s="7">
        <v>365649.473</v>
      </c>
      <c r="AO23" s="7">
        <v>1064.92</v>
      </c>
      <c r="AP23" s="7">
        <v>0</v>
      </c>
      <c r="AQ23" s="7">
        <v>3042.3910000000001</v>
      </c>
      <c r="AR23" s="7">
        <v>0</v>
      </c>
      <c r="AS23" s="7">
        <v>8.3510000000000009</v>
      </c>
      <c r="AT23" s="7">
        <v>0</v>
      </c>
      <c r="AU23" s="7">
        <v>140.833</v>
      </c>
      <c r="AV23" s="7">
        <v>0</v>
      </c>
      <c r="AW23" s="7">
        <v>0</v>
      </c>
      <c r="AX23" s="7">
        <v>1535.2</v>
      </c>
      <c r="AY23" s="7">
        <v>31.748000000000001</v>
      </c>
      <c r="AZ23" s="7">
        <v>0</v>
      </c>
      <c r="BA23" s="7">
        <v>1186.1310000000001</v>
      </c>
      <c r="BB23" s="7">
        <v>432.02199999999999</v>
      </c>
      <c r="BC23" s="7">
        <v>16.664000000000001</v>
      </c>
      <c r="BD23" s="7">
        <v>0</v>
      </c>
      <c r="BE23" s="7">
        <v>156.08199999999999</v>
      </c>
      <c r="BF23" s="7">
        <v>0</v>
      </c>
      <c r="BG23" s="7">
        <v>8207.58</v>
      </c>
      <c r="BH23" s="7">
        <v>4.7359999999999998</v>
      </c>
      <c r="BI23" s="21"/>
    </row>
    <row r="24" spans="1:61" ht="15.6" x14ac:dyDescent="0.3">
      <c r="A24" s="5" t="s">
        <v>36</v>
      </c>
      <c r="B24" s="5" t="s">
        <v>37</v>
      </c>
      <c r="C24" s="7">
        <v>6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21"/>
    </row>
    <row r="25" spans="1:61" ht="15.6" x14ac:dyDescent="0.3">
      <c r="A25" s="5" t="s">
        <v>38</v>
      </c>
      <c r="B25" s="5" t="s">
        <v>39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21"/>
    </row>
    <row r="26" spans="1:61" ht="15.6" x14ac:dyDescent="0.3">
      <c r="A26" s="5" t="s">
        <v>40</v>
      </c>
      <c r="B26" s="5" t="s">
        <v>41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21"/>
    </row>
    <row r="27" spans="1:61" ht="15.6" x14ac:dyDescent="0.3">
      <c r="A27" s="5" t="s">
        <v>42</v>
      </c>
      <c r="B27" s="5" t="s">
        <v>43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21"/>
    </row>
    <row r="28" spans="1:61" ht="15.6" x14ac:dyDescent="0.3">
      <c r="A28" s="5" t="s">
        <v>44</v>
      </c>
      <c r="B28" s="5" t="s">
        <v>45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21"/>
    </row>
    <row r="29" spans="1:61" ht="15.6" x14ac:dyDescent="0.3">
      <c r="A29" s="5" t="s">
        <v>46</v>
      </c>
      <c r="B29" s="5" t="s">
        <v>47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21"/>
    </row>
    <row r="30" spans="1:61" ht="15.6" x14ac:dyDescent="0.3">
      <c r="A30" s="5" t="s">
        <v>48</v>
      </c>
      <c r="B30" s="5" t="s">
        <v>49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21"/>
    </row>
    <row r="31" spans="1:61" ht="15.6" x14ac:dyDescent="0.3">
      <c r="A31" s="5" t="s">
        <v>50</v>
      </c>
      <c r="B31" s="5" t="s">
        <v>51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21"/>
    </row>
    <row r="32" spans="1:61" ht="15.6" x14ac:dyDescent="0.3">
      <c r="A32" s="5" t="s">
        <v>52</v>
      </c>
      <c r="B32" s="5" t="s">
        <v>53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21"/>
    </row>
    <row r="33" spans="1:61" ht="15.6" x14ac:dyDescent="0.3">
      <c r="A33" s="5" t="s">
        <v>54</v>
      </c>
      <c r="B33" s="5" t="s">
        <v>55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21"/>
    </row>
    <row r="34" spans="1:61" ht="15.6" x14ac:dyDescent="0.3">
      <c r="A34" s="5" t="s">
        <v>56</v>
      </c>
      <c r="B34" s="5" t="s">
        <v>57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21"/>
    </row>
    <row r="35" spans="1:61" ht="15.6" x14ac:dyDescent="0.3">
      <c r="A35" s="5" t="s">
        <v>58</v>
      </c>
      <c r="B35" s="5" t="s">
        <v>59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21"/>
    </row>
    <row r="36" spans="1:61" ht="15.6" x14ac:dyDescent="0.3">
      <c r="A36" s="5" t="s">
        <v>60</v>
      </c>
      <c r="B36" s="5" t="s">
        <v>61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21"/>
    </row>
    <row r="37" spans="1:61" ht="15.6" x14ac:dyDescent="0.3">
      <c r="A37" s="5" t="s">
        <v>62</v>
      </c>
      <c r="B37" s="5" t="s">
        <v>63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21"/>
    </row>
    <row r="38" spans="1:61" ht="15.6" x14ac:dyDescent="0.3">
      <c r="A38" s="5" t="s">
        <v>64</v>
      </c>
      <c r="B38" s="5" t="s">
        <v>65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21"/>
    </row>
    <row r="39" spans="1:61" ht="15.6" x14ac:dyDescent="0.3">
      <c r="A39" s="5" t="s">
        <v>66</v>
      </c>
      <c r="B39" s="5" t="s">
        <v>67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21"/>
    </row>
    <row r="40" spans="1:61" ht="15.6" x14ac:dyDescent="0.3">
      <c r="A40" s="5" t="s">
        <v>68</v>
      </c>
      <c r="B40" s="5" t="s">
        <v>69</v>
      </c>
      <c r="C40" s="7">
        <v>6</v>
      </c>
      <c r="D40" s="7">
        <v>6</v>
      </c>
      <c r="E40" s="7">
        <v>5961.2539999999999</v>
      </c>
      <c r="F40" s="7">
        <v>859.07600000000002</v>
      </c>
      <c r="G40" s="7">
        <v>1299.136</v>
      </c>
      <c r="H40" s="7">
        <v>0</v>
      </c>
      <c r="I40" s="7">
        <v>124.84099999999999</v>
      </c>
      <c r="J40" s="7">
        <v>755.87099999999998</v>
      </c>
      <c r="K40" s="7">
        <v>2222.502</v>
      </c>
      <c r="L40" s="7">
        <v>2184.605</v>
      </c>
      <c r="M40" s="7">
        <v>2767.672</v>
      </c>
      <c r="N40" s="7">
        <v>0</v>
      </c>
      <c r="O40" s="7">
        <v>0</v>
      </c>
      <c r="P40" s="7">
        <v>0.11</v>
      </c>
      <c r="Q40" s="7">
        <v>0</v>
      </c>
      <c r="R40" s="7">
        <v>0</v>
      </c>
      <c r="S40" s="7">
        <v>384.35199999999998</v>
      </c>
      <c r="T40" s="7">
        <v>0</v>
      </c>
      <c r="U40" s="7">
        <v>1744.615</v>
      </c>
      <c r="V40" s="7">
        <v>201.52600000000001</v>
      </c>
      <c r="W40" s="7">
        <v>250.61099999999999</v>
      </c>
      <c r="X40" s="7">
        <v>0</v>
      </c>
      <c r="Y40" s="7">
        <v>982.88199999999995</v>
      </c>
      <c r="Z40" s="7">
        <v>0</v>
      </c>
      <c r="AA40" s="7">
        <v>2058.0990000000002</v>
      </c>
      <c r="AB40" s="7">
        <v>0</v>
      </c>
      <c r="AC40" s="7">
        <v>132.749</v>
      </c>
      <c r="AD40" s="7">
        <v>0</v>
      </c>
      <c r="AE40" s="7">
        <v>958.61699999999996</v>
      </c>
      <c r="AF40" s="7">
        <v>0</v>
      </c>
      <c r="AG40" s="7">
        <v>0</v>
      </c>
      <c r="AH40" s="7">
        <v>5201.2510000000002</v>
      </c>
      <c r="AI40" s="7">
        <v>0</v>
      </c>
      <c r="AJ40" s="7">
        <v>0</v>
      </c>
      <c r="AK40" s="7">
        <v>0</v>
      </c>
      <c r="AL40" s="7">
        <v>0</v>
      </c>
      <c r="AM40" s="7">
        <v>483.07499999999999</v>
      </c>
      <c r="AN40" s="7">
        <v>0</v>
      </c>
      <c r="AO40" s="7">
        <v>152.43600000000001</v>
      </c>
      <c r="AP40" s="7">
        <v>0</v>
      </c>
      <c r="AQ40" s="7">
        <v>0</v>
      </c>
      <c r="AR40" s="7">
        <v>0</v>
      </c>
      <c r="AS40" s="7">
        <v>3.27</v>
      </c>
      <c r="AT40" s="7">
        <v>0</v>
      </c>
      <c r="AU40" s="7">
        <v>92.084999999999994</v>
      </c>
      <c r="AV40" s="7">
        <v>0</v>
      </c>
      <c r="AW40" s="7">
        <v>0</v>
      </c>
      <c r="AX40" s="7">
        <v>0</v>
      </c>
      <c r="AY40" s="7">
        <v>139.91</v>
      </c>
      <c r="AZ40" s="7">
        <v>0</v>
      </c>
      <c r="BA40" s="7">
        <v>0</v>
      </c>
      <c r="BB40" s="7">
        <v>60.765000000000001</v>
      </c>
      <c r="BC40" s="7">
        <v>92.307000000000002</v>
      </c>
      <c r="BD40" s="7">
        <v>0</v>
      </c>
      <c r="BE40" s="7">
        <v>18.303999999999998</v>
      </c>
      <c r="BF40" s="7">
        <v>0</v>
      </c>
      <c r="BG40" s="7">
        <v>0</v>
      </c>
      <c r="BH40" s="7">
        <v>31.254000000000001</v>
      </c>
      <c r="BI40" s="21"/>
    </row>
    <row r="41" spans="1:61" ht="15.6" x14ac:dyDescent="0.3">
      <c r="A41" s="5" t="s">
        <v>70</v>
      </c>
      <c r="B41" s="5" t="s">
        <v>71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21"/>
    </row>
    <row r="42" spans="1:61" ht="15.6" x14ac:dyDescent="0.3">
      <c r="A42" s="5" t="s">
        <v>72</v>
      </c>
      <c r="B42" s="5" t="s">
        <v>73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21"/>
    </row>
    <row r="43" spans="1:61" ht="15.6" x14ac:dyDescent="0.3">
      <c r="A43" s="5" t="s">
        <v>74</v>
      </c>
      <c r="B43" s="5" t="s">
        <v>75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21"/>
    </row>
    <row r="44" spans="1:61" ht="15.6" x14ac:dyDescent="0.3">
      <c r="A44" s="5" t="s">
        <v>76</v>
      </c>
      <c r="B44" s="5" t="s">
        <v>77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21"/>
    </row>
    <row r="45" spans="1:61" ht="15.6" x14ac:dyDescent="0.3">
      <c r="A45" s="5" t="s">
        <v>78</v>
      </c>
      <c r="B45" s="5" t="s">
        <v>79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21"/>
    </row>
    <row r="46" spans="1:61" ht="15.6" x14ac:dyDescent="0.3">
      <c r="A46" s="5" t="s">
        <v>80</v>
      </c>
      <c r="B46" s="5" t="s">
        <v>81</v>
      </c>
      <c r="C46" s="7">
        <v>6</v>
      </c>
      <c r="D46" s="7">
        <v>6</v>
      </c>
      <c r="E46" s="7">
        <v>1487.326</v>
      </c>
      <c r="F46" s="7">
        <v>214.33799999999999</v>
      </c>
      <c r="G46" s="7">
        <v>324.13299999999998</v>
      </c>
      <c r="H46" s="7">
        <v>0</v>
      </c>
      <c r="I46" s="7">
        <v>31.148</v>
      </c>
      <c r="J46" s="7">
        <v>188.589</v>
      </c>
      <c r="K46" s="7">
        <v>8667.7330000000002</v>
      </c>
      <c r="L46" s="7">
        <v>545.05700000000002</v>
      </c>
      <c r="M46" s="7">
        <v>690.53099999999995</v>
      </c>
      <c r="N46" s="7">
        <v>0</v>
      </c>
      <c r="O46" s="7">
        <v>0</v>
      </c>
      <c r="P46" s="7">
        <v>2.7E-2</v>
      </c>
      <c r="Q46" s="7">
        <v>0</v>
      </c>
      <c r="R46" s="7">
        <v>0</v>
      </c>
      <c r="S46" s="7">
        <v>95.894999999999996</v>
      </c>
      <c r="T46" s="7">
        <v>0</v>
      </c>
      <c r="U46" s="7">
        <v>6803.98</v>
      </c>
      <c r="V46" s="7">
        <v>50.280999999999999</v>
      </c>
      <c r="W46" s="7">
        <v>62.527000000000001</v>
      </c>
      <c r="X46" s="7">
        <v>0</v>
      </c>
      <c r="Y46" s="7">
        <v>245.22800000000001</v>
      </c>
      <c r="Z46" s="7">
        <v>0</v>
      </c>
      <c r="AA46" s="7">
        <v>513.49300000000005</v>
      </c>
      <c r="AB46" s="7">
        <v>0</v>
      </c>
      <c r="AC46" s="7">
        <v>33.121000000000002</v>
      </c>
      <c r="AD46" s="7">
        <v>0</v>
      </c>
      <c r="AE46" s="7">
        <v>239.17400000000001</v>
      </c>
      <c r="AF46" s="7">
        <v>0</v>
      </c>
      <c r="AG46" s="7">
        <v>0</v>
      </c>
      <c r="AH46" s="7">
        <v>1342.4739999999999</v>
      </c>
      <c r="AI46" s="7">
        <v>0</v>
      </c>
      <c r="AJ46" s="7">
        <v>0</v>
      </c>
      <c r="AK46" s="7">
        <v>0</v>
      </c>
      <c r="AL46" s="7">
        <v>0</v>
      </c>
      <c r="AM46" s="7">
        <v>1883.9860000000001</v>
      </c>
      <c r="AN46" s="7">
        <v>0</v>
      </c>
      <c r="AO46" s="7">
        <v>38.033000000000001</v>
      </c>
      <c r="AP46" s="7">
        <v>0</v>
      </c>
      <c r="AQ46" s="7">
        <v>0</v>
      </c>
      <c r="AR46" s="7">
        <v>0</v>
      </c>
      <c r="AS46" s="7">
        <v>0.81599999999999995</v>
      </c>
      <c r="AT46" s="7">
        <v>0</v>
      </c>
      <c r="AU46" s="7">
        <v>28.431999999999999</v>
      </c>
      <c r="AV46" s="7">
        <v>0</v>
      </c>
      <c r="AW46" s="7">
        <v>0</v>
      </c>
      <c r="AX46" s="7">
        <v>0</v>
      </c>
      <c r="AY46" s="7">
        <v>34.906999999999996</v>
      </c>
      <c r="AZ46" s="7">
        <v>0</v>
      </c>
      <c r="BA46" s="7">
        <v>0</v>
      </c>
      <c r="BB46" s="7">
        <v>15.161</v>
      </c>
      <c r="BC46" s="7">
        <v>23.03</v>
      </c>
      <c r="BD46" s="7">
        <v>0</v>
      </c>
      <c r="BE46" s="7">
        <v>4.5670000000000002</v>
      </c>
      <c r="BF46" s="7">
        <v>0</v>
      </c>
      <c r="BG46" s="7">
        <v>0</v>
      </c>
      <c r="BH46" s="7">
        <v>7.798</v>
      </c>
      <c r="BI46" s="21"/>
    </row>
    <row r="47" spans="1:61" ht="15.6" x14ac:dyDescent="0.3">
      <c r="A47" s="5" t="s">
        <v>82</v>
      </c>
      <c r="B47" s="5" t="s">
        <v>83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21"/>
    </row>
    <row r="48" spans="1:61" ht="15.6" x14ac:dyDescent="0.3">
      <c r="A48" s="5" t="s">
        <v>84</v>
      </c>
      <c r="B48" s="5" t="s">
        <v>85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21"/>
    </row>
    <row r="49" spans="1:61" ht="15.6" x14ac:dyDescent="0.3">
      <c r="A49" s="5" t="s">
        <v>86</v>
      </c>
      <c r="B49" s="5" t="s">
        <v>87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21"/>
    </row>
    <row r="50" spans="1:61" ht="15.6" x14ac:dyDescent="0.3">
      <c r="A50" s="5" t="s">
        <v>88</v>
      </c>
      <c r="B50" s="5" t="s">
        <v>89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21"/>
    </row>
    <row r="51" spans="1:61" ht="15.6" x14ac:dyDescent="0.3">
      <c r="A51" s="5" t="s">
        <v>90</v>
      </c>
      <c r="B51" s="5" t="s">
        <v>91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21"/>
    </row>
    <row r="52" spans="1:61" ht="15.6" x14ac:dyDescent="0.3">
      <c r="A52" s="5" t="s">
        <v>92</v>
      </c>
      <c r="B52" s="5" t="s">
        <v>93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21"/>
    </row>
    <row r="53" spans="1:61" ht="15.6" x14ac:dyDescent="0.3">
      <c r="A53" s="5" t="s">
        <v>94</v>
      </c>
      <c r="B53" s="5" t="s">
        <v>95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21"/>
    </row>
    <row r="54" spans="1:61" ht="15.6" x14ac:dyDescent="0.3">
      <c r="A54" s="5" t="s">
        <v>96</v>
      </c>
      <c r="B54" s="5" t="s">
        <v>97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21"/>
    </row>
    <row r="55" spans="1:61" ht="15.6" x14ac:dyDescent="0.3">
      <c r="A55" s="5" t="s">
        <v>98</v>
      </c>
      <c r="B55" s="5" t="s">
        <v>99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21"/>
    </row>
    <row r="56" spans="1:61" ht="15.6" x14ac:dyDescent="0.3">
      <c r="A56" s="5" t="s">
        <v>100</v>
      </c>
      <c r="B56" s="5" t="s">
        <v>101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21"/>
    </row>
    <row r="57" spans="1:61" ht="15.6" x14ac:dyDescent="0.3">
      <c r="A57" s="5" t="s">
        <v>102</v>
      </c>
      <c r="B57" s="5" t="s">
        <v>103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21"/>
    </row>
    <row r="58" spans="1:61" ht="15.6" x14ac:dyDescent="0.3">
      <c r="A58" s="5" t="s">
        <v>104</v>
      </c>
      <c r="B58" s="5" t="s">
        <v>105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21"/>
    </row>
    <row r="59" spans="1:61" ht="15.6" x14ac:dyDescent="0.3">
      <c r="A59" s="5" t="s">
        <v>106</v>
      </c>
      <c r="B59" s="5" t="s">
        <v>107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21"/>
    </row>
    <row r="60" spans="1:61" ht="15.6" x14ac:dyDescent="0.3">
      <c r="A60" s="5" t="s">
        <v>108</v>
      </c>
      <c r="B60" s="5" t="s">
        <v>109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21"/>
    </row>
    <row r="61" spans="1:61" ht="15.6" x14ac:dyDescent="0.3">
      <c r="A61" s="5" t="s">
        <v>110</v>
      </c>
      <c r="B61" s="5" t="s">
        <v>111</v>
      </c>
      <c r="C61" s="7">
        <v>3</v>
      </c>
      <c r="D61" s="7">
        <v>3</v>
      </c>
      <c r="E61" s="7">
        <v>989961.92099999997</v>
      </c>
      <c r="F61" s="7">
        <v>105435.91800000001</v>
      </c>
      <c r="G61" s="7">
        <v>226382.65900000001</v>
      </c>
      <c r="H61" s="7">
        <v>0</v>
      </c>
      <c r="I61" s="7">
        <v>20190.363000000001</v>
      </c>
      <c r="J61" s="7">
        <v>157856.68599999999</v>
      </c>
      <c r="K61" s="7">
        <v>0</v>
      </c>
      <c r="L61" s="7">
        <v>396276.29100000003</v>
      </c>
      <c r="M61" s="7">
        <v>482984.59899999999</v>
      </c>
      <c r="N61" s="7">
        <v>0</v>
      </c>
      <c r="O61" s="7">
        <v>0</v>
      </c>
      <c r="P61" s="7">
        <v>31.420999999999999</v>
      </c>
      <c r="Q61" s="7">
        <v>1802.809</v>
      </c>
      <c r="R61" s="7">
        <v>5065.28</v>
      </c>
      <c r="S61" s="7">
        <v>41996.642</v>
      </c>
      <c r="T61" s="7">
        <v>0</v>
      </c>
      <c r="U61" s="7">
        <v>0</v>
      </c>
      <c r="V61" s="7">
        <v>28194.074000000001</v>
      </c>
      <c r="W61" s="7">
        <v>50725.455000000002</v>
      </c>
      <c r="X61" s="7">
        <v>0</v>
      </c>
      <c r="Y61" s="7">
        <v>207739.06200000001</v>
      </c>
      <c r="Z61" s="7">
        <v>0</v>
      </c>
      <c r="AA61" s="7">
        <v>306996.88299999997</v>
      </c>
      <c r="AB61" s="7">
        <v>0</v>
      </c>
      <c r="AC61" s="7">
        <v>18624.892</v>
      </c>
      <c r="AD61" s="7">
        <v>188.245</v>
      </c>
      <c r="AE61" s="7">
        <v>514351.76500000001</v>
      </c>
      <c r="AF61" s="7">
        <v>0</v>
      </c>
      <c r="AG61" s="7">
        <v>4.7569999999999997</v>
      </c>
      <c r="AH61" s="7">
        <v>1183665.162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22062.302</v>
      </c>
      <c r="AP61" s="7">
        <v>0</v>
      </c>
      <c r="AQ61" s="7">
        <v>0</v>
      </c>
      <c r="AR61" s="7">
        <v>0</v>
      </c>
      <c r="AS61" s="7">
        <v>259.798</v>
      </c>
      <c r="AT61" s="7">
        <v>0</v>
      </c>
      <c r="AU61" s="7">
        <v>9719.3029999999999</v>
      </c>
      <c r="AV61" s="7">
        <v>0</v>
      </c>
      <c r="AW61" s="7">
        <v>0</v>
      </c>
      <c r="AX61" s="7">
        <v>0</v>
      </c>
      <c r="AY61" s="7">
        <v>19763.353999999999</v>
      </c>
      <c r="AZ61" s="7">
        <v>0</v>
      </c>
      <c r="BA61" s="7">
        <v>0</v>
      </c>
      <c r="BB61" s="7">
        <v>8980.7890000000007</v>
      </c>
      <c r="BC61" s="7">
        <v>13275.058999999999</v>
      </c>
      <c r="BD61" s="7">
        <v>0</v>
      </c>
      <c r="BE61" s="7">
        <v>2749.768</v>
      </c>
      <c r="BF61" s="7">
        <v>0</v>
      </c>
      <c r="BG61" s="7">
        <v>0</v>
      </c>
      <c r="BH61" s="7">
        <v>4529.5169999999998</v>
      </c>
      <c r="BI61" s="21"/>
    </row>
    <row r="62" spans="1:61" ht="15.6" x14ac:dyDescent="0.3">
      <c r="A62" s="5" t="s">
        <v>112</v>
      </c>
      <c r="B62" s="5" t="s">
        <v>113</v>
      </c>
      <c r="C62" s="7">
        <v>3</v>
      </c>
      <c r="D62" s="7">
        <v>3</v>
      </c>
      <c r="E62" s="7">
        <v>5295.0389999999998</v>
      </c>
      <c r="F62" s="7">
        <v>752.76099999999997</v>
      </c>
      <c r="G62" s="7">
        <v>1156.894</v>
      </c>
      <c r="H62" s="7">
        <v>0</v>
      </c>
      <c r="I62" s="7">
        <v>110.739</v>
      </c>
      <c r="J62" s="7">
        <v>680.34799999999996</v>
      </c>
      <c r="K62" s="7">
        <v>0</v>
      </c>
      <c r="L62" s="7">
        <v>1949.73</v>
      </c>
      <c r="M62" s="7">
        <v>2464.8330000000001</v>
      </c>
      <c r="N62" s="7">
        <v>0</v>
      </c>
      <c r="O62" s="7">
        <v>0</v>
      </c>
      <c r="P62" s="7">
        <v>0.10100000000000001</v>
      </c>
      <c r="Q62" s="7">
        <v>43.84</v>
      </c>
      <c r="R62" s="7">
        <v>123.17400000000001</v>
      </c>
      <c r="S62" s="7">
        <v>335.35399999999998</v>
      </c>
      <c r="T62" s="7">
        <v>0</v>
      </c>
      <c r="U62" s="7">
        <v>0</v>
      </c>
      <c r="V62" s="7">
        <v>177.54499999999999</v>
      </c>
      <c r="W62" s="7">
        <v>225.125</v>
      </c>
      <c r="X62" s="7">
        <v>0</v>
      </c>
      <c r="Y62" s="7">
        <v>885.36199999999997</v>
      </c>
      <c r="Z62" s="7">
        <v>0</v>
      </c>
      <c r="AA62" s="7">
        <v>1818.461</v>
      </c>
      <c r="AB62" s="7">
        <v>0</v>
      </c>
      <c r="AC62" s="7">
        <v>116.96599999999999</v>
      </c>
      <c r="AD62" s="7">
        <v>0</v>
      </c>
      <c r="AE62" s="7">
        <v>949.81200000000001</v>
      </c>
      <c r="AF62" s="7">
        <v>0</v>
      </c>
      <c r="AG62" s="7">
        <v>0</v>
      </c>
      <c r="AH62" s="7">
        <v>4698.2129999999997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134.5</v>
      </c>
      <c r="AP62" s="7">
        <v>0</v>
      </c>
      <c r="AQ62" s="7">
        <v>0</v>
      </c>
      <c r="AR62" s="7">
        <v>0</v>
      </c>
      <c r="AS62" s="7">
        <v>2.8260000000000001</v>
      </c>
      <c r="AT62" s="7">
        <v>0</v>
      </c>
      <c r="AU62" s="7">
        <v>78.894999999999996</v>
      </c>
      <c r="AV62" s="7">
        <v>0</v>
      </c>
      <c r="AW62" s="7">
        <v>0</v>
      </c>
      <c r="AX62" s="7">
        <v>0</v>
      </c>
      <c r="AY62" s="7">
        <v>123.313</v>
      </c>
      <c r="AZ62" s="7">
        <v>0</v>
      </c>
      <c r="BA62" s="7">
        <v>0</v>
      </c>
      <c r="BB62" s="7">
        <v>53.667000000000002</v>
      </c>
      <c r="BC62" s="7">
        <v>81.421999999999997</v>
      </c>
      <c r="BD62" s="7">
        <v>0</v>
      </c>
      <c r="BE62" s="7">
        <v>16.178000000000001</v>
      </c>
      <c r="BF62" s="7">
        <v>0</v>
      </c>
      <c r="BG62" s="7">
        <v>0</v>
      </c>
      <c r="BH62" s="7">
        <v>27.577999999999999</v>
      </c>
      <c r="BI62" s="21"/>
    </row>
    <row r="63" spans="1:61" ht="15.6" x14ac:dyDescent="0.3">
      <c r="A63" s="5" t="s">
        <v>114</v>
      </c>
      <c r="B63" s="5" t="s">
        <v>115</v>
      </c>
      <c r="C63" s="7">
        <v>3</v>
      </c>
      <c r="D63" s="7">
        <v>3</v>
      </c>
      <c r="E63" s="7">
        <v>231363.80799999999</v>
      </c>
      <c r="F63" s="7">
        <v>28775.008999999998</v>
      </c>
      <c r="G63" s="7">
        <v>51726.394</v>
      </c>
      <c r="H63" s="7">
        <v>0</v>
      </c>
      <c r="I63" s="7">
        <v>4778.8130000000001</v>
      </c>
      <c r="J63" s="7">
        <v>33302.597999999998</v>
      </c>
      <c r="K63" s="7">
        <v>9320.0400000000009</v>
      </c>
      <c r="L63" s="7">
        <v>88895.323999999993</v>
      </c>
      <c r="M63" s="7">
        <v>110283.511</v>
      </c>
      <c r="N63" s="7">
        <v>0</v>
      </c>
      <c r="O63" s="7">
        <v>0</v>
      </c>
      <c r="P63" s="7">
        <v>5.8769999999999998</v>
      </c>
      <c r="Q63" s="7">
        <v>661.20699999999999</v>
      </c>
      <c r="R63" s="7">
        <v>1857.7660000000001</v>
      </c>
      <c r="S63" s="7">
        <v>12239.089</v>
      </c>
      <c r="T63" s="7">
        <v>0</v>
      </c>
      <c r="U63" s="7">
        <v>7316.0259999999998</v>
      </c>
      <c r="V63" s="7">
        <v>7174.6850000000004</v>
      </c>
      <c r="W63" s="7">
        <v>10843.772999999999</v>
      </c>
      <c r="X63" s="7">
        <v>0</v>
      </c>
      <c r="Y63" s="7">
        <v>43607.781000000003</v>
      </c>
      <c r="Z63" s="7">
        <v>0</v>
      </c>
      <c r="AA63" s="7">
        <v>75610.417000000001</v>
      </c>
      <c r="AB63" s="7">
        <v>0</v>
      </c>
      <c r="AC63" s="7">
        <v>4732.5810000000001</v>
      </c>
      <c r="AD63" s="7">
        <v>0</v>
      </c>
      <c r="AE63" s="7">
        <v>80773.553</v>
      </c>
      <c r="AF63" s="7">
        <v>0</v>
      </c>
      <c r="AG63" s="7">
        <v>0</v>
      </c>
      <c r="AH63" s="7">
        <v>240937.351</v>
      </c>
      <c r="AI63" s="7">
        <v>0</v>
      </c>
      <c r="AJ63" s="7">
        <v>0</v>
      </c>
      <c r="AK63" s="7">
        <v>0</v>
      </c>
      <c r="AL63" s="7">
        <v>0</v>
      </c>
      <c r="AM63" s="7">
        <v>2025.769</v>
      </c>
      <c r="AN63" s="7">
        <v>0</v>
      </c>
      <c r="AO63" s="7">
        <v>5517.2920000000004</v>
      </c>
      <c r="AP63" s="7">
        <v>0</v>
      </c>
      <c r="AQ63" s="7">
        <v>0</v>
      </c>
      <c r="AR63" s="7">
        <v>0</v>
      </c>
      <c r="AS63" s="7">
        <v>92.159000000000006</v>
      </c>
      <c r="AT63" s="7">
        <v>0</v>
      </c>
      <c r="AU63" s="7">
        <v>2936.0140000000001</v>
      </c>
      <c r="AV63" s="7">
        <v>0</v>
      </c>
      <c r="AW63" s="7">
        <v>0</v>
      </c>
      <c r="AX63" s="7">
        <v>0</v>
      </c>
      <c r="AY63" s="7">
        <v>5004.2969999999996</v>
      </c>
      <c r="AZ63" s="7">
        <v>0</v>
      </c>
      <c r="BA63" s="7">
        <v>0</v>
      </c>
      <c r="BB63" s="7">
        <v>2222.172</v>
      </c>
      <c r="BC63" s="7">
        <v>3330.5790000000002</v>
      </c>
      <c r="BD63" s="7">
        <v>0</v>
      </c>
      <c r="BE63" s="7">
        <v>674.83900000000006</v>
      </c>
      <c r="BF63" s="7">
        <v>0</v>
      </c>
      <c r="BG63" s="7">
        <v>0</v>
      </c>
      <c r="BH63" s="7">
        <v>1131.9469999999999</v>
      </c>
      <c r="BI63" s="21"/>
    </row>
    <row r="64" spans="1:61" ht="15.6" x14ac:dyDescent="0.3">
      <c r="A64" s="5" t="s">
        <v>116</v>
      </c>
      <c r="B64" s="5" t="s">
        <v>117</v>
      </c>
      <c r="C64" s="7">
        <v>3</v>
      </c>
      <c r="D64" s="7">
        <v>3</v>
      </c>
      <c r="E64" s="7">
        <v>7431.442</v>
      </c>
      <c r="F64" s="7">
        <v>1070.9449999999999</v>
      </c>
      <c r="G64" s="7">
        <v>1619.5340000000001</v>
      </c>
      <c r="H64" s="7">
        <v>0</v>
      </c>
      <c r="I64" s="7">
        <v>155.63</v>
      </c>
      <c r="J64" s="7">
        <v>942.28599999999994</v>
      </c>
      <c r="K64" s="7">
        <v>0</v>
      </c>
      <c r="L64" s="7">
        <v>2723.3809999999999</v>
      </c>
      <c r="M64" s="7">
        <v>3450.2460000000001</v>
      </c>
      <c r="N64" s="7">
        <v>0</v>
      </c>
      <c r="O64" s="7">
        <v>0</v>
      </c>
      <c r="P64" s="7">
        <v>0.13700000000000001</v>
      </c>
      <c r="Q64" s="7">
        <v>0</v>
      </c>
      <c r="R64" s="7">
        <v>0</v>
      </c>
      <c r="S64" s="7">
        <v>479.14299999999997</v>
      </c>
      <c r="T64" s="7">
        <v>0</v>
      </c>
      <c r="U64" s="7">
        <v>0</v>
      </c>
      <c r="V64" s="7">
        <v>251.22800000000001</v>
      </c>
      <c r="W64" s="7">
        <v>312.41800000000001</v>
      </c>
      <c r="X64" s="7">
        <v>0</v>
      </c>
      <c r="Y64" s="7">
        <v>1225.2840000000001</v>
      </c>
      <c r="Z64" s="7">
        <v>0</v>
      </c>
      <c r="AA64" s="7">
        <v>2565.6750000000002</v>
      </c>
      <c r="AB64" s="7">
        <v>0</v>
      </c>
      <c r="AC64" s="7">
        <v>165.488</v>
      </c>
      <c r="AD64" s="7">
        <v>0</v>
      </c>
      <c r="AE64" s="7">
        <v>1195.0340000000001</v>
      </c>
      <c r="AF64" s="7">
        <v>0</v>
      </c>
      <c r="AG64" s="7">
        <v>0</v>
      </c>
      <c r="AH64" s="7">
        <v>6468.7169999999996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190.03100000000001</v>
      </c>
      <c r="AP64" s="7">
        <v>0</v>
      </c>
      <c r="AQ64" s="7">
        <v>0</v>
      </c>
      <c r="AR64" s="7">
        <v>0</v>
      </c>
      <c r="AS64" s="7">
        <v>4.0759999999999996</v>
      </c>
      <c r="AT64" s="7">
        <v>0</v>
      </c>
      <c r="AU64" s="7">
        <v>112.932</v>
      </c>
      <c r="AV64" s="7">
        <v>0</v>
      </c>
      <c r="AW64" s="7">
        <v>0</v>
      </c>
      <c r="AX64" s="7">
        <v>0</v>
      </c>
      <c r="AY64" s="7">
        <v>174.416</v>
      </c>
      <c r="AZ64" s="7">
        <v>0</v>
      </c>
      <c r="BA64" s="7">
        <v>0</v>
      </c>
      <c r="BB64" s="7">
        <v>75.751000000000005</v>
      </c>
      <c r="BC64" s="7">
        <v>115.072</v>
      </c>
      <c r="BD64" s="7">
        <v>0</v>
      </c>
      <c r="BE64" s="7">
        <v>22.818000000000001</v>
      </c>
      <c r="BF64" s="7">
        <v>0</v>
      </c>
      <c r="BG64" s="7">
        <v>0</v>
      </c>
      <c r="BH64" s="7">
        <v>38.960999999999999</v>
      </c>
      <c r="BI64" s="21"/>
    </row>
    <row r="65" spans="1:61" ht="15.6" x14ac:dyDescent="0.3">
      <c r="A65" s="5" t="s">
        <v>118</v>
      </c>
      <c r="B65" s="5" t="s">
        <v>119</v>
      </c>
      <c r="C65" s="7">
        <v>3</v>
      </c>
      <c r="D65" s="7">
        <v>3</v>
      </c>
      <c r="E65" s="7">
        <v>205592.092</v>
      </c>
      <c r="F65" s="7">
        <v>29657.035</v>
      </c>
      <c r="G65" s="7">
        <v>45085.417999999998</v>
      </c>
      <c r="H65" s="7">
        <v>3176.4859999999999</v>
      </c>
      <c r="I65" s="7">
        <v>4273.5820000000003</v>
      </c>
      <c r="J65" s="7">
        <v>26400.767</v>
      </c>
      <c r="K65" s="7">
        <v>0</v>
      </c>
      <c r="L65" s="7">
        <v>78493.785000000003</v>
      </c>
      <c r="M65" s="7">
        <v>95814.212</v>
      </c>
      <c r="N65" s="7">
        <v>0</v>
      </c>
      <c r="O65" s="7">
        <v>0</v>
      </c>
      <c r="P65" s="7">
        <v>3.7549999999999999</v>
      </c>
      <c r="Q65" s="7">
        <v>585.66999999999996</v>
      </c>
      <c r="R65" s="7">
        <v>1645.5329999999999</v>
      </c>
      <c r="S65" s="7">
        <v>13157.213</v>
      </c>
      <c r="T65" s="7">
        <v>0</v>
      </c>
      <c r="U65" s="7">
        <v>0</v>
      </c>
      <c r="V65" s="7">
        <v>6898.6869999999999</v>
      </c>
      <c r="W65" s="7">
        <v>8578.9549999999999</v>
      </c>
      <c r="X65" s="7">
        <v>0</v>
      </c>
      <c r="Y65" s="7">
        <v>33793.482000000004</v>
      </c>
      <c r="Z65" s="7">
        <v>0</v>
      </c>
      <c r="AA65" s="7">
        <v>70548.906000000003</v>
      </c>
      <c r="AB65" s="7">
        <v>0</v>
      </c>
      <c r="AC65" s="7">
        <v>4544.2740000000003</v>
      </c>
      <c r="AD65" s="7">
        <v>0</v>
      </c>
      <c r="AE65" s="7">
        <v>33722.559999999998</v>
      </c>
      <c r="AF65" s="7">
        <v>0</v>
      </c>
      <c r="AG65" s="7">
        <v>0</v>
      </c>
      <c r="AH65" s="7">
        <v>180755.96400000001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5218.232</v>
      </c>
      <c r="AP65" s="7">
        <v>0</v>
      </c>
      <c r="AQ65" s="7">
        <v>0</v>
      </c>
      <c r="AR65" s="7">
        <v>0</v>
      </c>
      <c r="AS65" s="7">
        <v>111.92400000000001</v>
      </c>
      <c r="AT65" s="7">
        <v>0</v>
      </c>
      <c r="AU65" s="7">
        <v>3130.02</v>
      </c>
      <c r="AV65" s="7">
        <v>0</v>
      </c>
      <c r="AW65" s="7">
        <v>0</v>
      </c>
      <c r="AX65" s="7">
        <v>0</v>
      </c>
      <c r="AY65" s="7">
        <v>4789.4340000000002</v>
      </c>
      <c r="AZ65" s="7">
        <v>0</v>
      </c>
      <c r="BA65" s="7">
        <v>0</v>
      </c>
      <c r="BB65" s="7">
        <v>2080.116</v>
      </c>
      <c r="BC65" s="7">
        <v>3159.8670000000002</v>
      </c>
      <c r="BD65" s="7">
        <v>0</v>
      </c>
      <c r="BE65" s="7">
        <v>626.58799999999997</v>
      </c>
      <c r="BF65" s="7">
        <v>0</v>
      </c>
      <c r="BG65" s="7">
        <v>0</v>
      </c>
      <c r="BH65" s="7">
        <v>1069.876</v>
      </c>
      <c r="BI65" s="21"/>
    </row>
    <row r="66" spans="1:61" ht="15.6" x14ac:dyDescent="0.3">
      <c r="A66" s="5" t="s">
        <v>120</v>
      </c>
      <c r="B66" s="5" t="s">
        <v>121</v>
      </c>
      <c r="C66" s="7">
        <v>3</v>
      </c>
      <c r="D66" s="7">
        <v>3</v>
      </c>
      <c r="E66" s="7">
        <v>17095.381000000001</v>
      </c>
      <c r="F66" s="7">
        <v>2463.614</v>
      </c>
      <c r="G66" s="7">
        <v>3725.5970000000002</v>
      </c>
      <c r="H66" s="7">
        <v>0</v>
      </c>
      <c r="I66" s="7">
        <v>358.01299999999998</v>
      </c>
      <c r="J66" s="7">
        <v>2167.6469999999999</v>
      </c>
      <c r="K66" s="7">
        <v>0</v>
      </c>
      <c r="L66" s="7">
        <v>6264.9009999999998</v>
      </c>
      <c r="M66" s="7">
        <v>7936.9889999999996</v>
      </c>
      <c r="N66" s="7">
        <v>0</v>
      </c>
      <c r="O66" s="7">
        <v>0</v>
      </c>
      <c r="P66" s="7">
        <v>0.315</v>
      </c>
      <c r="Q66" s="7">
        <v>56.7</v>
      </c>
      <c r="R66" s="7">
        <v>159.309</v>
      </c>
      <c r="S66" s="7">
        <v>1102.2260000000001</v>
      </c>
      <c r="T66" s="7">
        <v>0</v>
      </c>
      <c r="U66" s="7">
        <v>0</v>
      </c>
      <c r="V66" s="7">
        <v>577.92700000000002</v>
      </c>
      <c r="W66" s="7">
        <v>718.68899999999996</v>
      </c>
      <c r="X66" s="7">
        <v>0</v>
      </c>
      <c r="Y66" s="7">
        <v>2818.6579999999999</v>
      </c>
      <c r="Z66" s="7">
        <v>0</v>
      </c>
      <c r="AA66" s="7">
        <v>5902.1120000000001</v>
      </c>
      <c r="AB66" s="7">
        <v>0</v>
      </c>
      <c r="AC66" s="7">
        <v>380.69</v>
      </c>
      <c r="AD66" s="7">
        <v>0</v>
      </c>
      <c r="AE66" s="7">
        <v>2749.0720000000001</v>
      </c>
      <c r="AF66" s="7">
        <v>0</v>
      </c>
      <c r="AG66" s="7">
        <v>0</v>
      </c>
      <c r="AH66" s="7">
        <v>14880.717000000001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437.15</v>
      </c>
      <c r="AP66" s="7">
        <v>0</v>
      </c>
      <c r="AQ66" s="7">
        <v>0</v>
      </c>
      <c r="AR66" s="7">
        <v>0</v>
      </c>
      <c r="AS66" s="7">
        <v>9.3759999999999994</v>
      </c>
      <c r="AT66" s="7">
        <v>0</v>
      </c>
      <c r="AU66" s="7">
        <v>268.05500000000001</v>
      </c>
      <c r="AV66" s="7">
        <v>0</v>
      </c>
      <c r="AW66" s="7">
        <v>0</v>
      </c>
      <c r="AX66" s="7">
        <v>0</v>
      </c>
      <c r="AY66" s="7">
        <v>401.22800000000001</v>
      </c>
      <c r="AZ66" s="7">
        <v>0</v>
      </c>
      <c r="BA66" s="7">
        <v>0</v>
      </c>
      <c r="BB66" s="7">
        <v>174.25899999999999</v>
      </c>
      <c r="BC66" s="7">
        <v>264.71300000000002</v>
      </c>
      <c r="BD66" s="7">
        <v>0</v>
      </c>
      <c r="BE66" s="7">
        <v>52.491</v>
      </c>
      <c r="BF66" s="7">
        <v>0</v>
      </c>
      <c r="BG66" s="7">
        <v>0</v>
      </c>
      <c r="BH66" s="7">
        <v>89.626999999999995</v>
      </c>
      <c r="BI66" s="21"/>
    </row>
    <row r="67" spans="1:61" ht="15.6" x14ac:dyDescent="0.3">
      <c r="A67" s="5" t="s">
        <v>122</v>
      </c>
      <c r="B67" s="5" t="s">
        <v>123</v>
      </c>
      <c r="C67" s="7">
        <v>3</v>
      </c>
      <c r="D67" s="7">
        <v>3</v>
      </c>
      <c r="E67" s="7">
        <v>178427.04</v>
      </c>
      <c r="F67" s="7">
        <v>25723.669000000002</v>
      </c>
      <c r="G67" s="7">
        <v>38849.773999999998</v>
      </c>
      <c r="H67" s="7">
        <v>0</v>
      </c>
      <c r="I67" s="7">
        <v>3733.9769999999999</v>
      </c>
      <c r="J67" s="7">
        <v>22603.79</v>
      </c>
      <c r="K67" s="7">
        <v>6395.8670000000002</v>
      </c>
      <c r="L67" s="7">
        <v>65735.547000000006</v>
      </c>
      <c r="M67" s="7">
        <v>82783.320000000007</v>
      </c>
      <c r="N67" s="7">
        <v>0</v>
      </c>
      <c r="O67" s="7">
        <v>0</v>
      </c>
      <c r="P67" s="7">
        <v>3.2869999999999999</v>
      </c>
      <c r="Q67" s="7">
        <v>875.68100000000004</v>
      </c>
      <c r="R67" s="7">
        <v>2460.3649999999998</v>
      </c>
      <c r="S67" s="7">
        <v>11504.768</v>
      </c>
      <c r="T67" s="7">
        <v>0</v>
      </c>
      <c r="U67" s="7">
        <v>5020.6149999999998</v>
      </c>
      <c r="V67" s="7">
        <v>6026.509</v>
      </c>
      <c r="W67" s="7">
        <v>7498.2449999999999</v>
      </c>
      <c r="X67" s="7">
        <v>0</v>
      </c>
      <c r="Y67" s="7">
        <v>29471.791000000001</v>
      </c>
      <c r="Z67" s="7">
        <v>0</v>
      </c>
      <c r="AA67" s="7">
        <v>61546.029000000002</v>
      </c>
      <c r="AB67" s="7">
        <v>0</v>
      </c>
      <c r="AC67" s="7">
        <v>3976.7640000000001</v>
      </c>
      <c r="AD67" s="7">
        <v>0</v>
      </c>
      <c r="AE67" s="7">
        <v>28878.02</v>
      </c>
      <c r="AF67" s="7">
        <v>204.17500000000001</v>
      </c>
      <c r="AG67" s="7">
        <v>0</v>
      </c>
      <c r="AH67" s="7">
        <v>155818.08499999999</v>
      </c>
      <c r="AI67" s="7">
        <v>327.24799999999999</v>
      </c>
      <c r="AJ67" s="7">
        <v>0</v>
      </c>
      <c r="AK67" s="7">
        <v>0</v>
      </c>
      <c r="AL67" s="7">
        <v>0</v>
      </c>
      <c r="AM67" s="7">
        <v>1390.182</v>
      </c>
      <c r="AN67" s="7">
        <v>0</v>
      </c>
      <c r="AO67" s="7">
        <v>4566.1540000000005</v>
      </c>
      <c r="AP67" s="7">
        <v>0</v>
      </c>
      <c r="AQ67" s="7">
        <v>80.415999999999997</v>
      </c>
      <c r="AR67" s="7">
        <v>0</v>
      </c>
      <c r="AS67" s="7">
        <v>97.876999999999995</v>
      </c>
      <c r="AT67" s="7">
        <v>0</v>
      </c>
      <c r="AU67" s="7">
        <v>2778.2350000000001</v>
      </c>
      <c r="AV67" s="7">
        <v>0</v>
      </c>
      <c r="AW67" s="7">
        <v>0</v>
      </c>
      <c r="AX67" s="7">
        <v>0</v>
      </c>
      <c r="AY67" s="7">
        <v>4186.9880000000003</v>
      </c>
      <c r="AZ67" s="7">
        <v>119.568</v>
      </c>
      <c r="BA67" s="7">
        <v>0</v>
      </c>
      <c r="BB67" s="7">
        <v>1820.0940000000001</v>
      </c>
      <c r="BC67" s="7">
        <v>2760.375</v>
      </c>
      <c r="BD67" s="7">
        <v>148.68</v>
      </c>
      <c r="BE67" s="7">
        <v>548.21900000000005</v>
      </c>
      <c r="BF67" s="7">
        <v>51.811</v>
      </c>
      <c r="BG67" s="7">
        <v>0</v>
      </c>
      <c r="BH67" s="7">
        <v>934.61599999999999</v>
      </c>
      <c r="BI67" s="21"/>
    </row>
    <row r="68" spans="1:61" ht="15.6" x14ac:dyDescent="0.3">
      <c r="A68" s="5" t="s">
        <v>124</v>
      </c>
      <c r="B68" s="5" t="s">
        <v>125</v>
      </c>
      <c r="C68" s="7">
        <v>3</v>
      </c>
      <c r="D68" s="7">
        <v>3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21"/>
    </row>
    <row r="69" spans="1:61" ht="15.6" x14ac:dyDescent="0.3">
      <c r="A69" s="5" t="s">
        <v>126</v>
      </c>
      <c r="B69" s="5" t="s">
        <v>127</v>
      </c>
      <c r="C69" s="7">
        <v>3</v>
      </c>
      <c r="D69" s="7">
        <v>3</v>
      </c>
      <c r="E69" s="7">
        <v>44411.110999999997</v>
      </c>
      <c r="F69" s="7">
        <v>6400.0820000000003</v>
      </c>
      <c r="G69" s="7">
        <v>9678.5149999999994</v>
      </c>
      <c r="H69" s="7">
        <v>23529.373</v>
      </c>
      <c r="I69" s="7">
        <v>930.06100000000004</v>
      </c>
      <c r="J69" s="7">
        <v>5631.2070000000003</v>
      </c>
      <c r="K69" s="7">
        <v>0</v>
      </c>
      <c r="L69" s="7">
        <v>16275.226000000001</v>
      </c>
      <c r="M69" s="7">
        <v>20619.048999999999</v>
      </c>
      <c r="N69" s="7">
        <v>0</v>
      </c>
      <c r="O69" s="7">
        <v>0</v>
      </c>
      <c r="P69" s="7">
        <v>0.81699999999999995</v>
      </c>
      <c r="Q69" s="7">
        <v>0</v>
      </c>
      <c r="R69" s="7">
        <v>0</v>
      </c>
      <c r="S69" s="7">
        <v>2863.41</v>
      </c>
      <c r="T69" s="7">
        <v>0</v>
      </c>
      <c r="U69" s="7">
        <v>0</v>
      </c>
      <c r="V69" s="7">
        <v>1501.364</v>
      </c>
      <c r="W69" s="7">
        <v>1867.0419999999999</v>
      </c>
      <c r="X69" s="7">
        <v>0</v>
      </c>
      <c r="Y69" s="7">
        <v>7322.4309999999996</v>
      </c>
      <c r="Z69" s="7">
        <v>0</v>
      </c>
      <c r="AA69" s="7">
        <v>15332.757</v>
      </c>
      <c r="AB69" s="7">
        <v>0</v>
      </c>
      <c r="AC69" s="7">
        <v>988.97199999999998</v>
      </c>
      <c r="AD69" s="7">
        <v>0</v>
      </c>
      <c r="AE69" s="7">
        <v>7141.6570000000002</v>
      </c>
      <c r="AF69" s="7">
        <v>0</v>
      </c>
      <c r="AG69" s="7">
        <v>0</v>
      </c>
      <c r="AH69" s="7">
        <v>38657.760999999999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1135.646</v>
      </c>
      <c r="AP69" s="7">
        <v>0</v>
      </c>
      <c r="AQ69" s="7">
        <v>0</v>
      </c>
      <c r="AR69" s="7">
        <v>0</v>
      </c>
      <c r="AS69" s="7">
        <v>24.358000000000001</v>
      </c>
      <c r="AT69" s="7">
        <v>0</v>
      </c>
      <c r="AU69" s="7">
        <v>674.89200000000005</v>
      </c>
      <c r="AV69" s="7">
        <v>0</v>
      </c>
      <c r="AW69" s="7">
        <v>0</v>
      </c>
      <c r="AX69" s="7">
        <v>0</v>
      </c>
      <c r="AY69" s="7">
        <v>1042.326</v>
      </c>
      <c r="AZ69" s="7">
        <v>0</v>
      </c>
      <c r="BA69" s="7">
        <v>0</v>
      </c>
      <c r="BB69" s="7">
        <v>452.69600000000003</v>
      </c>
      <c r="BC69" s="7">
        <v>687.68299999999999</v>
      </c>
      <c r="BD69" s="7">
        <v>0</v>
      </c>
      <c r="BE69" s="7">
        <v>136.364</v>
      </c>
      <c r="BF69" s="7">
        <v>0</v>
      </c>
      <c r="BG69" s="7">
        <v>0</v>
      </c>
      <c r="BH69" s="7">
        <v>232.83799999999999</v>
      </c>
      <c r="BI69" s="21"/>
    </row>
    <row r="70" spans="1:61" ht="15.6" x14ac:dyDescent="0.3">
      <c r="A70" s="5" t="s">
        <v>128</v>
      </c>
      <c r="B70" s="5" t="s">
        <v>129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21"/>
    </row>
    <row r="71" spans="1:61" ht="15.6" x14ac:dyDescent="0.3">
      <c r="A71" s="5" t="s">
        <v>130</v>
      </c>
      <c r="B71" s="5" t="s">
        <v>131</v>
      </c>
      <c r="C71" s="7">
        <v>3</v>
      </c>
      <c r="D71" s="7">
        <v>3</v>
      </c>
      <c r="E71" s="7">
        <v>88614.672999999995</v>
      </c>
      <c r="F71" s="7">
        <v>12770.254000000001</v>
      </c>
      <c r="G71" s="7">
        <v>19311.798999999999</v>
      </c>
      <c r="H71" s="7">
        <v>28460.573</v>
      </c>
      <c r="I71" s="7">
        <v>1855.7760000000001</v>
      </c>
      <c r="J71" s="7">
        <v>11236.097</v>
      </c>
      <c r="K71" s="7">
        <v>12662.522000000001</v>
      </c>
      <c r="L71" s="7">
        <v>32474.393</v>
      </c>
      <c r="M71" s="7">
        <v>41141.737999999998</v>
      </c>
      <c r="N71" s="7">
        <v>0</v>
      </c>
      <c r="O71" s="7">
        <v>0</v>
      </c>
      <c r="P71" s="7">
        <v>1.631</v>
      </c>
      <c r="Q71" s="7">
        <v>2.0579999999999998</v>
      </c>
      <c r="R71" s="7">
        <v>5.7809999999999997</v>
      </c>
      <c r="S71" s="7">
        <v>5713.4380000000001</v>
      </c>
      <c r="T71" s="7">
        <v>0</v>
      </c>
      <c r="U71" s="7">
        <v>9939.8009999999995</v>
      </c>
      <c r="V71" s="7">
        <v>2995.712</v>
      </c>
      <c r="W71" s="7">
        <v>3725.3580000000002</v>
      </c>
      <c r="X71" s="7">
        <v>0</v>
      </c>
      <c r="Y71" s="7">
        <v>14610.641</v>
      </c>
      <c r="Z71" s="7">
        <v>0</v>
      </c>
      <c r="AA71" s="7">
        <v>30593.859</v>
      </c>
      <c r="AB71" s="7">
        <v>0</v>
      </c>
      <c r="AC71" s="7">
        <v>1973.3219999999999</v>
      </c>
      <c r="AD71" s="7">
        <v>0</v>
      </c>
      <c r="AE71" s="7">
        <v>14249.938</v>
      </c>
      <c r="AF71" s="7">
        <v>8.4870000000000001</v>
      </c>
      <c r="AG71" s="7">
        <v>0</v>
      </c>
      <c r="AH71" s="7">
        <v>77204.73</v>
      </c>
      <c r="AI71" s="7">
        <v>29.454999999999998</v>
      </c>
      <c r="AJ71" s="7">
        <v>0</v>
      </c>
      <c r="AK71" s="7">
        <v>0</v>
      </c>
      <c r="AL71" s="7">
        <v>0</v>
      </c>
      <c r="AM71" s="7">
        <v>2752.2779999999998</v>
      </c>
      <c r="AN71" s="7">
        <v>0</v>
      </c>
      <c r="AO71" s="7">
        <v>2265.9850000000001</v>
      </c>
      <c r="AP71" s="7">
        <v>0</v>
      </c>
      <c r="AQ71" s="7">
        <v>0</v>
      </c>
      <c r="AR71" s="7">
        <v>0</v>
      </c>
      <c r="AS71" s="7">
        <v>48.601999999999997</v>
      </c>
      <c r="AT71" s="7">
        <v>0</v>
      </c>
      <c r="AU71" s="7">
        <v>1355.146</v>
      </c>
      <c r="AV71" s="7">
        <v>0</v>
      </c>
      <c r="AW71" s="7">
        <v>0</v>
      </c>
      <c r="AX71" s="7">
        <v>0</v>
      </c>
      <c r="AY71" s="7">
        <v>2079.7820000000002</v>
      </c>
      <c r="AZ71" s="7">
        <v>0</v>
      </c>
      <c r="BA71" s="7">
        <v>0</v>
      </c>
      <c r="BB71" s="7">
        <v>903.27700000000004</v>
      </c>
      <c r="BC71" s="7">
        <v>1372.152</v>
      </c>
      <c r="BD71" s="7">
        <v>0</v>
      </c>
      <c r="BE71" s="7">
        <v>272.09199999999998</v>
      </c>
      <c r="BF71" s="7">
        <v>0</v>
      </c>
      <c r="BG71" s="7">
        <v>0</v>
      </c>
      <c r="BH71" s="7">
        <v>464.58699999999999</v>
      </c>
      <c r="BI71" s="21"/>
    </row>
    <row r="72" spans="1:61" ht="15.6" x14ac:dyDescent="0.3">
      <c r="A72" s="5" t="s">
        <v>132</v>
      </c>
      <c r="B72" s="5" t="s">
        <v>133</v>
      </c>
      <c r="C72" s="7">
        <v>3</v>
      </c>
      <c r="D72" s="7">
        <v>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21"/>
    </row>
    <row r="73" spans="1:61" ht="15.6" x14ac:dyDescent="0.3">
      <c r="A73" s="5" t="s">
        <v>134</v>
      </c>
      <c r="B73" s="5" t="s">
        <v>135</v>
      </c>
      <c r="C73" s="7">
        <v>6</v>
      </c>
      <c r="D73" s="7">
        <v>6</v>
      </c>
      <c r="E73" s="7">
        <v>68951.633000000002</v>
      </c>
      <c r="F73" s="7">
        <v>6498.3389999999999</v>
      </c>
      <c r="G73" s="7">
        <v>16057.267</v>
      </c>
      <c r="H73" s="7">
        <v>1779.0889999999999</v>
      </c>
      <c r="I73" s="7">
        <v>1330.836</v>
      </c>
      <c r="J73" s="7">
        <v>12183.361999999999</v>
      </c>
      <c r="K73" s="7">
        <v>0</v>
      </c>
      <c r="L73" s="7">
        <v>31439.213</v>
      </c>
      <c r="M73" s="7">
        <v>33493.874000000003</v>
      </c>
      <c r="N73" s="7">
        <v>0</v>
      </c>
      <c r="O73" s="7">
        <v>0</v>
      </c>
      <c r="P73" s="7">
        <v>30.917999999999999</v>
      </c>
      <c r="Q73" s="7">
        <v>0</v>
      </c>
      <c r="R73" s="7">
        <v>126.84</v>
      </c>
      <c r="S73" s="7">
        <v>2003.5830000000001</v>
      </c>
      <c r="T73" s="7">
        <v>0</v>
      </c>
      <c r="U73" s="7">
        <v>0</v>
      </c>
      <c r="V73" s="7">
        <v>1634.06</v>
      </c>
      <c r="W73" s="7">
        <v>3440.404</v>
      </c>
      <c r="X73" s="7">
        <v>0</v>
      </c>
      <c r="Y73" s="7">
        <v>15299.878000000001</v>
      </c>
      <c r="Z73" s="7">
        <v>0</v>
      </c>
      <c r="AA73" s="7">
        <v>18004.969000000001</v>
      </c>
      <c r="AB73" s="7">
        <v>0</v>
      </c>
      <c r="AC73" s="7">
        <v>1139.1780000000001</v>
      </c>
      <c r="AD73" s="7">
        <v>0</v>
      </c>
      <c r="AE73" s="7">
        <v>49995.987000000001</v>
      </c>
      <c r="AF73" s="7">
        <v>0</v>
      </c>
      <c r="AG73" s="7">
        <v>0</v>
      </c>
      <c r="AH73" s="7">
        <v>97823.103000000003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1224.145</v>
      </c>
      <c r="AP73" s="7">
        <v>0</v>
      </c>
      <c r="AQ73" s="7">
        <v>0</v>
      </c>
      <c r="AR73" s="7">
        <v>0</v>
      </c>
      <c r="AS73" s="7">
        <v>9.3010000000000002</v>
      </c>
      <c r="AT73" s="7">
        <v>0</v>
      </c>
      <c r="AU73" s="7">
        <v>430.37299999999999</v>
      </c>
      <c r="AV73" s="7">
        <v>0</v>
      </c>
      <c r="AW73" s="7">
        <v>0</v>
      </c>
      <c r="AX73" s="7">
        <v>0</v>
      </c>
      <c r="AY73" s="7">
        <v>1084.94</v>
      </c>
      <c r="AZ73" s="7">
        <v>0</v>
      </c>
      <c r="BA73" s="7">
        <v>0</v>
      </c>
      <c r="BB73" s="7">
        <v>502.76900000000001</v>
      </c>
      <c r="BC73" s="7">
        <v>734.55</v>
      </c>
      <c r="BD73" s="7">
        <v>0</v>
      </c>
      <c r="BE73" s="7">
        <v>154.98400000000001</v>
      </c>
      <c r="BF73" s="7">
        <v>0</v>
      </c>
      <c r="BG73" s="7">
        <v>0</v>
      </c>
      <c r="BH73" s="7">
        <v>251.471</v>
      </c>
      <c r="BI73" s="21"/>
    </row>
    <row r="74" spans="1:61" ht="15.6" x14ac:dyDescent="0.3">
      <c r="A74" s="5" t="s">
        <v>136</v>
      </c>
      <c r="B74" s="5" t="s">
        <v>137</v>
      </c>
      <c r="C74" s="7">
        <v>6</v>
      </c>
      <c r="D74" s="7">
        <v>6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21"/>
    </row>
    <row r="75" spans="1:61" ht="15.6" x14ac:dyDescent="0.3">
      <c r="A75" s="5" t="s">
        <v>138</v>
      </c>
      <c r="B75" s="5" t="s">
        <v>139</v>
      </c>
      <c r="C75" s="7">
        <v>6</v>
      </c>
      <c r="D75" s="7">
        <v>6</v>
      </c>
      <c r="E75" s="7">
        <v>9969.4359999999997</v>
      </c>
      <c r="F75" s="7">
        <v>1763.4860000000001</v>
      </c>
      <c r="G75" s="7">
        <v>1209.6189999999999</v>
      </c>
      <c r="H75" s="7">
        <v>0</v>
      </c>
      <c r="I75" s="7">
        <v>134.58600000000001</v>
      </c>
      <c r="J75" s="7">
        <v>1339.4269999999999</v>
      </c>
      <c r="K75" s="7">
        <v>0</v>
      </c>
      <c r="L75" s="7">
        <v>17322.280999999999</v>
      </c>
      <c r="M75" s="7">
        <v>3811.5650000000001</v>
      </c>
      <c r="N75" s="7">
        <v>0</v>
      </c>
      <c r="O75" s="7">
        <v>0</v>
      </c>
      <c r="P75" s="7">
        <v>7.5039999999999996</v>
      </c>
      <c r="Q75" s="7">
        <v>0</v>
      </c>
      <c r="R75" s="7">
        <v>247.69800000000001</v>
      </c>
      <c r="S75" s="7">
        <v>287.65100000000001</v>
      </c>
      <c r="T75" s="7">
        <v>0</v>
      </c>
      <c r="U75" s="7">
        <v>0</v>
      </c>
      <c r="V75" s="7">
        <v>174.78899999999999</v>
      </c>
      <c r="W75" s="7">
        <v>259.58100000000002</v>
      </c>
      <c r="X75" s="7">
        <v>0</v>
      </c>
      <c r="Y75" s="7">
        <v>1303.5550000000001</v>
      </c>
      <c r="Z75" s="7">
        <v>0</v>
      </c>
      <c r="AA75" s="7">
        <v>1734.1489999999999</v>
      </c>
      <c r="AB75" s="7">
        <v>0</v>
      </c>
      <c r="AC75" s="7">
        <v>130.233</v>
      </c>
      <c r="AD75" s="7">
        <v>0</v>
      </c>
      <c r="AE75" s="7">
        <v>4166.0519999999997</v>
      </c>
      <c r="AF75" s="7">
        <v>0</v>
      </c>
      <c r="AG75" s="7">
        <v>0</v>
      </c>
      <c r="AH75" s="7">
        <v>17302.547999999999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114.084</v>
      </c>
      <c r="AP75" s="7">
        <v>0</v>
      </c>
      <c r="AQ75" s="7">
        <v>0</v>
      </c>
      <c r="AR75" s="7">
        <v>0</v>
      </c>
      <c r="AS75" s="7">
        <v>2.4470000000000001</v>
      </c>
      <c r="AT75" s="7">
        <v>0</v>
      </c>
      <c r="AU75" s="7">
        <v>67.798000000000002</v>
      </c>
      <c r="AV75" s="7">
        <v>0</v>
      </c>
      <c r="AW75" s="7">
        <v>0</v>
      </c>
      <c r="AX75" s="7">
        <v>0</v>
      </c>
      <c r="AY75" s="7">
        <v>104.709</v>
      </c>
      <c r="AZ75" s="7">
        <v>0</v>
      </c>
      <c r="BA75" s="7">
        <v>0</v>
      </c>
      <c r="BB75" s="7">
        <v>45.476999999999997</v>
      </c>
      <c r="BC75" s="7">
        <v>69.082999999999998</v>
      </c>
      <c r="BD75" s="7">
        <v>0</v>
      </c>
      <c r="BE75" s="7">
        <v>13.699</v>
      </c>
      <c r="BF75" s="7">
        <v>0</v>
      </c>
      <c r="BG75" s="7">
        <v>0</v>
      </c>
      <c r="BH75" s="7">
        <v>23.39</v>
      </c>
      <c r="BI75" s="21"/>
    </row>
    <row r="76" spans="1:61" ht="15.6" x14ac:dyDescent="0.3">
      <c r="A76" s="5" t="s">
        <v>140</v>
      </c>
      <c r="B76" s="5" t="s">
        <v>141</v>
      </c>
      <c r="C76" s="7">
        <v>6</v>
      </c>
      <c r="D76" s="7">
        <v>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21"/>
    </row>
    <row r="77" spans="1:61" ht="15.6" x14ac:dyDescent="0.3">
      <c r="A77" s="5" t="s">
        <v>142</v>
      </c>
      <c r="B77" s="5" t="s">
        <v>143</v>
      </c>
      <c r="C77" s="7">
        <v>6</v>
      </c>
      <c r="D77" s="7">
        <v>6</v>
      </c>
      <c r="E77" s="7">
        <v>8860.3770000000004</v>
      </c>
      <c r="F77" s="7">
        <v>1153.184</v>
      </c>
      <c r="G77" s="7">
        <v>1723.181</v>
      </c>
      <c r="H77" s="7">
        <v>5317.375</v>
      </c>
      <c r="I77" s="7">
        <v>186.46899999999999</v>
      </c>
      <c r="J77" s="7">
        <v>1009.477</v>
      </c>
      <c r="K77" s="7">
        <v>0</v>
      </c>
      <c r="L77" s="7">
        <v>4013.3330000000001</v>
      </c>
      <c r="M77" s="7">
        <v>3824.0920000000001</v>
      </c>
      <c r="N77" s="7">
        <v>0</v>
      </c>
      <c r="O77" s="7">
        <v>0</v>
      </c>
      <c r="P77" s="7">
        <v>8.5690000000000008</v>
      </c>
      <c r="Q77" s="7">
        <v>0</v>
      </c>
      <c r="R77" s="7">
        <v>0</v>
      </c>
      <c r="S77" s="7">
        <v>429.89800000000002</v>
      </c>
      <c r="T77" s="7">
        <v>0</v>
      </c>
      <c r="U77" s="7">
        <v>0</v>
      </c>
      <c r="V77" s="7">
        <v>252.68100000000001</v>
      </c>
      <c r="W77" s="7">
        <v>362.27100000000002</v>
      </c>
      <c r="X77" s="7">
        <v>0</v>
      </c>
      <c r="Y77" s="7">
        <v>1745.701</v>
      </c>
      <c r="Z77" s="7">
        <v>0</v>
      </c>
      <c r="AA77" s="7">
        <v>2522.5990000000002</v>
      </c>
      <c r="AB77" s="7">
        <v>0</v>
      </c>
      <c r="AC77" s="7">
        <v>183.625</v>
      </c>
      <c r="AD77" s="7">
        <v>0</v>
      </c>
      <c r="AE77" s="7">
        <v>3170.3580000000002</v>
      </c>
      <c r="AF77" s="7">
        <v>0</v>
      </c>
      <c r="AG77" s="7">
        <v>0</v>
      </c>
      <c r="AH77" s="7">
        <v>10404.841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170.5</v>
      </c>
      <c r="AP77" s="7">
        <v>0</v>
      </c>
      <c r="AQ77" s="7">
        <v>0</v>
      </c>
      <c r="AR77" s="7">
        <v>0</v>
      </c>
      <c r="AS77" s="7">
        <v>3.657</v>
      </c>
      <c r="AT77" s="7">
        <v>0</v>
      </c>
      <c r="AU77" s="7">
        <v>101.325</v>
      </c>
      <c r="AV77" s="7">
        <v>0</v>
      </c>
      <c r="AW77" s="7">
        <v>0</v>
      </c>
      <c r="AX77" s="7">
        <v>0</v>
      </c>
      <c r="AY77" s="7">
        <v>156.49</v>
      </c>
      <c r="AZ77" s="7">
        <v>0</v>
      </c>
      <c r="BA77" s="7">
        <v>0</v>
      </c>
      <c r="BB77" s="7">
        <v>67.965999999999994</v>
      </c>
      <c r="BC77" s="7">
        <v>103.245</v>
      </c>
      <c r="BD77" s="7">
        <v>0</v>
      </c>
      <c r="BE77" s="7">
        <v>20.472999999999999</v>
      </c>
      <c r="BF77" s="7">
        <v>0</v>
      </c>
      <c r="BG77" s="7">
        <v>0</v>
      </c>
      <c r="BH77" s="7">
        <v>34.957000000000001</v>
      </c>
      <c r="BI77" s="21"/>
    </row>
    <row r="78" spans="1:61" ht="15.6" x14ac:dyDescent="0.3">
      <c r="A78" s="5" t="s">
        <v>144</v>
      </c>
      <c r="B78" s="5" t="s">
        <v>145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21"/>
    </row>
    <row r="79" spans="1:61" ht="15.6" x14ac:dyDescent="0.3">
      <c r="A79" s="5" t="s">
        <v>146</v>
      </c>
      <c r="B79" s="5" t="s">
        <v>147</v>
      </c>
      <c r="C79" s="7">
        <v>6</v>
      </c>
      <c r="D79" s="7">
        <v>6</v>
      </c>
      <c r="E79" s="7">
        <v>6087.634</v>
      </c>
      <c r="F79" s="7">
        <v>880.94200000000001</v>
      </c>
      <c r="G79" s="7">
        <v>1349.1990000000001</v>
      </c>
      <c r="H79" s="7">
        <v>0</v>
      </c>
      <c r="I79" s="7">
        <v>91.83</v>
      </c>
      <c r="J79" s="7">
        <v>982.05</v>
      </c>
      <c r="K79" s="7">
        <v>0</v>
      </c>
      <c r="L79" s="7">
        <v>7793.9390000000003</v>
      </c>
      <c r="M79" s="7">
        <v>2266.076</v>
      </c>
      <c r="N79" s="7">
        <v>0</v>
      </c>
      <c r="O79" s="7">
        <v>0</v>
      </c>
      <c r="P79" s="7">
        <v>9.4540000000000006</v>
      </c>
      <c r="Q79" s="7">
        <v>0</v>
      </c>
      <c r="R79" s="7">
        <v>102.459</v>
      </c>
      <c r="S79" s="7">
        <v>121.91</v>
      </c>
      <c r="T79" s="7">
        <v>0</v>
      </c>
      <c r="U79" s="7">
        <v>0</v>
      </c>
      <c r="V79" s="7">
        <v>94.337999999999994</v>
      </c>
      <c r="W79" s="7">
        <v>170.899</v>
      </c>
      <c r="X79" s="7">
        <v>0</v>
      </c>
      <c r="Y79" s="7">
        <v>1193.7619999999999</v>
      </c>
      <c r="Z79" s="7">
        <v>0</v>
      </c>
      <c r="AA79" s="7">
        <v>979.99</v>
      </c>
      <c r="AB79" s="7">
        <v>0</v>
      </c>
      <c r="AC79" s="7">
        <v>81.302000000000007</v>
      </c>
      <c r="AD79" s="7">
        <v>0</v>
      </c>
      <c r="AE79" s="7">
        <v>3674.3519999999999</v>
      </c>
      <c r="AF79" s="7">
        <v>0</v>
      </c>
      <c r="AG79" s="7">
        <v>0</v>
      </c>
      <c r="AH79" s="7">
        <v>11015.382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48.35</v>
      </c>
      <c r="AP79" s="7">
        <v>0</v>
      </c>
      <c r="AQ79" s="7">
        <v>0</v>
      </c>
      <c r="AR79" s="7">
        <v>0</v>
      </c>
      <c r="AS79" s="7">
        <v>1.0369999999999999</v>
      </c>
      <c r="AT79" s="7">
        <v>0</v>
      </c>
      <c r="AU79" s="7">
        <v>28.734000000000002</v>
      </c>
      <c r="AV79" s="7">
        <v>0</v>
      </c>
      <c r="AW79" s="7">
        <v>0</v>
      </c>
      <c r="AX79" s="7">
        <v>0</v>
      </c>
      <c r="AY79" s="7">
        <v>44.377000000000002</v>
      </c>
      <c r="AZ79" s="7">
        <v>0</v>
      </c>
      <c r="BA79" s="7">
        <v>0</v>
      </c>
      <c r="BB79" s="7">
        <v>19.274000000000001</v>
      </c>
      <c r="BC79" s="7">
        <v>29.277999999999999</v>
      </c>
      <c r="BD79" s="7">
        <v>0</v>
      </c>
      <c r="BE79" s="7">
        <v>5.806</v>
      </c>
      <c r="BF79" s="7">
        <v>0</v>
      </c>
      <c r="BG79" s="7">
        <v>0</v>
      </c>
      <c r="BH79" s="7">
        <v>9.9130000000000003</v>
      </c>
      <c r="BI79" s="21"/>
    </row>
    <row r="80" spans="1:61" ht="15.6" x14ac:dyDescent="0.3">
      <c r="A80" s="5" t="s">
        <v>148</v>
      </c>
      <c r="B80" s="5" t="s">
        <v>149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21"/>
    </row>
    <row r="81" spans="1:61" ht="15.6" x14ac:dyDescent="0.3">
      <c r="A81" s="5" t="s">
        <v>150</v>
      </c>
      <c r="B81" s="5" t="s">
        <v>151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21"/>
    </row>
    <row r="82" spans="1:61" ht="15.6" x14ac:dyDescent="0.3">
      <c r="A82" s="5" t="s">
        <v>152</v>
      </c>
      <c r="B82" s="5" t="s">
        <v>153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21"/>
    </row>
    <row r="83" spans="1:61" ht="15.6" x14ac:dyDescent="0.3">
      <c r="A83" s="5" t="s">
        <v>154</v>
      </c>
      <c r="B83" s="5" t="s">
        <v>155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21"/>
    </row>
    <row r="84" spans="1:61" ht="15.6" x14ac:dyDescent="0.3">
      <c r="A84" s="5" t="s">
        <v>156</v>
      </c>
      <c r="B84" s="5" t="s">
        <v>157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21"/>
    </row>
    <row r="85" spans="1:61" ht="15.6" x14ac:dyDescent="0.3">
      <c r="A85" s="5" t="s">
        <v>158</v>
      </c>
      <c r="B85" s="5" t="s">
        <v>159</v>
      </c>
      <c r="C85" s="7">
        <v>6</v>
      </c>
      <c r="D85" s="7">
        <v>6</v>
      </c>
      <c r="E85" s="7">
        <v>18911.791000000001</v>
      </c>
      <c r="F85" s="7">
        <v>3125.6849999999999</v>
      </c>
      <c r="G85" s="7">
        <v>3703.6729999999998</v>
      </c>
      <c r="H85" s="7">
        <v>2107.098</v>
      </c>
      <c r="I85" s="7">
        <v>537.447</v>
      </c>
      <c r="J85" s="7">
        <v>2377.4720000000002</v>
      </c>
      <c r="K85" s="7">
        <v>0</v>
      </c>
      <c r="L85" s="7">
        <v>16840.7</v>
      </c>
      <c r="M85" s="7">
        <v>8097.24</v>
      </c>
      <c r="N85" s="7">
        <v>0</v>
      </c>
      <c r="O85" s="7">
        <v>0</v>
      </c>
      <c r="P85" s="7">
        <v>66.754999999999995</v>
      </c>
      <c r="Q85" s="7">
        <v>0</v>
      </c>
      <c r="R85" s="7">
        <v>107.98099999999999</v>
      </c>
      <c r="S85" s="7">
        <v>990.54499999999996</v>
      </c>
      <c r="T85" s="7">
        <v>0</v>
      </c>
      <c r="U85" s="7">
        <v>0</v>
      </c>
      <c r="V85" s="7">
        <v>519.35799999999995</v>
      </c>
      <c r="W85" s="7">
        <v>645.81799999999998</v>
      </c>
      <c r="X85" s="7">
        <v>0</v>
      </c>
      <c r="Y85" s="7">
        <v>2532.8330000000001</v>
      </c>
      <c r="Z85" s="7">
        <v>0</v>
      </c>
      <c r="AA85" s="7">
        <v>5304.3090000000002</v>
      </c>
      <c r="AB85" s="7">
        <v>0</v>
      </c>
      <c r="AC85" s="7">
        <v>342.13799999999998</v>
      </c>
      <c r="AD85" s="7">
        <v>0</v>
      </c>
      <c r="AE85" s="7">
        <v>3355.82</v>
      </c>
      <c r="AF85" s="7">
        <v>6.0000000000000001E-3</v>
      </c>
      <c r="AG85" s="7">
        <v>0</v>
      </c>
      <c r="AH85" s="7">
        <v>24421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392.93799999999999</v>
      </c>
      <c r="AP85" s="7">
        <v>0</v>
      </c>
      <c r="AQ85" s="7">
        <v>1E-3</v>
      </c>
      <c r="AR85" s="7">
        <v>0</v>
      </c>
      <c r="AS85" s="7">
        <v>8.4260000000000002</v>
      </c>
      <c r="AT85" s="7">
        <v>0</v>
      </c>
      <c r="AU85" s="7">
        <v>233.43299999999999</v>
      </c>
      <c r="AV85" s="7">
        <v>0</v>
      </c>
      <c r="AW85" s="7">
        <v>0</v>
      </c>
      <c r="AX85" s="7">
        <v>0</v>
      </c>
      <c r="AY85" s="7">
        <v>360.52199999999999</v>
      </c>
      <c r="AZ85" s="7">
        <v>0</v>
      </c>
      <c r="BA85" s="7">
        <v>0</v>
      </c>
      <c r="BB85" s="7">
        <v>156.63300000000001</v>
      </c>
      <c r="BC85" s="7">
        <v>237.857</v>
      </c>
      <c r="BD85" s="7">
        <v>0</v>
      </c>
      <c r="BE85" s="7">
        <v>47.182000000000002</v>
      </c>
      <c r="BF85" s="7">
        <v>0</v>
      </c>
      <c r="BG85" s="7">
        <v>0</v>
      </c>
      <c r="BH85" s="7">
        <v>80.534000000000006</v>
      </c>
      <c r="BI85" s="21"/>
    </row>
    <row r="86" spans="1:61" ht="15.6" x14ac:dyDescent="0.3">
      <c r="A86" s="5" t="s">
        <v>160</v>
      </c>
      <c r="B86" s="5" t="s">
        <v>161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21"/>
    </row>
    <row r="87" spans="1:61" ht="15.6" x14ac:dyDescent="0.3">
      <c r="A87" s="5" t="s">
        <v>162</v>
      </c>
      <c r="B87" s="5" t="s">
        <v>163</v>
      </c>
      <c r="C87" s="7">
        <v>6</v>
      </c>
      <c r="D87" s="7">
        <v>6</v>
      </c>
      <c r="E87" s="7">
        <v>32598.313999999998</v>
      </c>
      <c r="F87" s="7">
        <v>4652.26</v>
      </c>
      <c r="G87" s="7">
        <v>7029.86</v>
      </c>
      <c r="H87" s="7">
        <v>2953.4540000000002</v>
      </c>
      <c r="I87" s="7">
        <v>681.09500000000003</v>
      </c>
      <c r="J87" s="7">
        <v>4091.9850000000001</v>
      </c>
      <c r="K87" s="7">
        <v>0</v>
      </c>
      <c r="L87" s="7">
        <v>12358.326999999999</v>
      </c>
      <c r="M87" s="7">
        <v>15027.996999999999</v>
      </c>
      <c r="N87" s="7">
        <v>0</v>
      </c>
      <c r="O87" s="7">
        <v>0</v>
      </c>
      <c r="P87" s="7">
        <v>2.835</v>
      </c>
      <c r="Q87" s="7">
        <v>0</v>
      </c>
      <c r="R87" s="7">
        <v>0</v>
      </c>
      <c r="S87" s="7">
        <v>2058.5320000000002</v>
      </c>
      <c r="T87" s="7">
        <v>0</v>
      </c>
      <c r="U87" s="7">
        <v>0</v>
      </c>
      <c r="V87" s="7">
        <v>1086.6030000000001</v>
      </c>
      <c r="W87" s="7">
        <v>1364.048</v>
      </c>
      <c r="X87" s="7">
        <v>0</v>
      </c>
      <c r="Y87" s="7">
        <v>5545.5370000000003</v>
      </c>
      <c r="Z87" s="7">
        <v>0</v>
      </c>
      <c r="AA87" s="7">
        <v>11081.576999999999</v>
      </c>
      <c r="AB87" s="7">
        <v>0</v>
      </c>
      <c r="AC87" s="7">
        <v>720.33500000000004</v>
      </c>
      <c r="AD87" s="7">
        <v>0</v>
      </c>
      <c r="AE87" s="7">
        <v>5910.9319999999998</v>
      </c>
      <c r="AF87" s="7">
        <v>0</v>
      </c>
      <c r="AG87" s="7">
        <v>0</v>
      </c>
      <c r="AH87" s="7">
        <v>29474.761999999999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816.42600000000004</v>
      </c>
      <c r="AP87" s="7">
        <v>0</v>
      </c>
      <c r="AQ87" s="7">
        <v>0</v>
      </c>
      <c r="AR87" s="7">
        <v>0</v>
      </c>
      <c r="AS87" s="7">
        <v>17.510999999999999</v>
      </c>
      <c r="AT87" s="7">
        <v>0</v>
      </c>
      <c r="AU87" s="7">
        <v>485.18599999999998</v>
      </c>
      <c r="AV87" s="7">
        <v>0</v>
      </c>
      <c r="AW87" s="7">
        <v>0</v>
      </c>
      <c r="AX87" s="7">
        <v>0</v>
      </c>
      <c r="AY87" s="7">
        <v>749.33799999999997</v>
      </c>
      <c r="AZ87" s="7">
        <v>0</v>
      </c>
      <c r="BA87" s="7">
        <v>0</v>
      </c>
      <c r="BB87" s="7">
        <v>325.44799999999998</v>
      </c>
      <c r="BC87" s="7">
        <v>494.38200000000001</v>
      </c>
      <c r="BD87" s="7">
        <v>0</v>
      </c>
      <c r="BE87" s="7">
        <v>98.034000000000006</v>
      </c>
      <c r="BF87" s="7">
        <v>0</v>
      </c>
      <c r="BG87" s="7">
        <v>0</v>
      </c>
      <c r="BH87" s="7">
        <v>167.38900000000001</v>
      </c>
      <c r="BI87" s="21"/>
    </row>
    <row r="88" spans="1:61" ht="15.6" x14ac:dyDescent="0.3">
      <c r="A88" s="5" t="s">
        <v>164</v>
      </c>
      <c r="B88" s="5" t="s">
        <v>165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21"/>
    </row>
    <row r="89" spans="1:61" ht="15.6" x14ac:dyDescent="0.3">
      <c r="A89" s="5" t="s">
        <v>166</v>
      </c>
      <c r="B89" s="5" t="s">
        <v>167</v>
      </c>
      <c r="C89" s="7">
        <v>3</v>
      </c>
      <c r="D89" s="7">
        <v>3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21"/>
    </row>
    <row r="90" spans="1:61" ht="15.6" x14ac:dyDescent="0.3">
      <c r="A90" s="5" t="s">
        <v>168</v>
      </c>
      <c r="B90" s="5" t="s">
        <v>169</v>
      </c>
      <c r="C90" s="7">
        <v>3</v>
      </c>
      <c r="D90" s="7">
        <v>3</v>
      </c>
      <c r="E90" s="7">
        <v>66719.663</v>
      </c>
      <c r="F90" s="7">
        <v>8686.0849999999991</v>
      </c>
      <c r="G90" s="7">
        <v>15661.395</v>
      </c>
      <c r="H90" s="7">
        <v>0</v>
      </c>
      <c r="I90" s="7">
        <v>1342.0309999999999</v>
      </c>
      <c r="J90" s="7">
        <v>10319.218000000001</v>
      </c>
      <c r="K90" s="7">
        <v>0</v>
      </c>
      <c r="L90" s="7">
        <v>25313.362000000001</v>
      </c>
      <c r="M90" s="7">
        <v>32181.887999999999</v>
      </c>
      <c r="N90" s="7">
        <v>0</v>
      </c>
      <c r="O90" s="7">
        <v>0</v>
      </c>
      <c r="P90" s="7">
        <v>1.4890000000000001</v>
      </c>
      <c r="Q90" s="7">
        <v>0</v>
      </c>
      <c r="R90" s="7">
        <v>120.68300000000001</v>
      </c>
      <c r="S90" s="7">
        <v>3675.4659999999999</v>
      </c>
      <c r="T90" s="7">
        <v>0</v>
      </c>
      <c r="U90" s="7">
        <v>0</v>
      </c>
      <c r="V90" s="7">
        <v>2066.8589999999999</v>
      </c>
      <c r="W90" s="7">
        <v>2924.7330000000002</v>
      </c>
      <c r="X90" s="7">
        <v>0</v>
      </c>
      <c r="Y90" s="7">
        <v>11669.695</v>
      </c>
      <c r="Z90" s="7">
        <v>0</v>
      </c>
      <c r="AA90" s="7">
        <v>21539.282999999999</v>
      </c>
      <c r="AB90" s="7">
        <v>0</v>
      </c>
      <c r="AC90" s="7">
        <v>1362.672</v>
      </c>
      <c r="AD90" s="7">
        <v>0</v>
      </c>
      <c r="AE90" s="7">
        <v>22197.163</v>
      </c>
      <c r="AF90" s="7">
        <v>0</v>
      </c>
      <c r="AG90" s="7">
        <v>0</v>
      </c>
      <c r="AH90" s="7">
        <v>67598.532999999996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1580.047</v>
      </c>
      <c r="AP90" s="7">
        <v>0</v>
      </c>
      <c r="AQ90" s="7">
        <v>0</v>
      </c>
      <c r="AR90" s="7">
        <v>0</v>
      </c>
      <c r="AS90" s="7">
        <v>29.061</v>
      </c>
      <c r="AT90" s="7">
        <v>0</v>
      </c>
      <c r="AU90" s="7">
        <v>854.36599999999999</v>
      </c>
      <c r="AV90" s="7">
        <v>0</v>
      </c>
      <c r="AW90" s="7">
        <v>0</v>
      </c>
      <c r="AX90" s="7">
        <v>0</v>
      </c>
      <c r="AY90" s="7">
        <v>1439.212</v>
      </c>
      <c r="AZ90" s="7">
        <v>0</v>
      </c>
      <c r="BA90" s="7">
        <v>0</v>
      </c>
      <c r="BB90" s="7">
        <v>634.05899999999997</v>
      </c>
      <c r="BC90" s="7">
        <v>954.87199999999996</v>
      </c>
      <c r="BD90" s="7">
        <v>0</v>
      </c>
      <c r="BE90" s="7">
        <v>192.00299999999999</v>
      </c>
      <c r="BF90" s="7">
        <v>0</v>
      </c>
      <c r="BG90" s="7">
        <v>0</v>
      </c>
      <c r="BH90" s="7">
        <v>324.09100000000001</v>
      </c>
      <c r="BI90" s="21"/>
    </row>
    <row r="91" spans="1:61" ht="15.6" x14ac:dyDescent="0.3">
      <c r="A91" s="5" t="s">
        <v>170</v>
      </c>
      <c r="B91" s="5" t="s">
        <v>171</v>
      </c>
      <c r="C91" s="7">
        <v>3</v>
      </c>
      <c r="D91" s="7">
        <v>3</v>
      </c>
      <c r="E91" s="7">
        <v>61084.866999999998</v>
      </c>
      <c r="F91" s="7">
        <v>8802.9349999999995</v>
      </c>
      <c r="G91" s="7">
        <v>13312.227000000001</v>
      </c>
      <c r="H91" s="7">
        <v>0</v>
      </c>
      <c r="I91" s="7">
        <v>1279.2449999999999</v>
      </c>
      <c r="J91" s="7">
        <v>7745.393</v>
      </c>
      <c r="K91" s="7">
        <v>0</v>
      </c>
      <c r="L91" s="7">
        <v>22385.615000000002</v>
      </c>
      <c r="M91" s="7">
        <v>28360.287</v>
      </c>
      <c r="N91" s="7">
        <v>0</v>
      </c>
      <c r="O91" s="7">
        <v>0</v>
      </c>
      <c r="P91" s="7">
        <v>1.1240000000000001</v>
      </c>
      <c r="Q91" s="7">
        <v>0</v>
      </c>
      <c r="R91" s="7">
        <v>0</v>
      </c>
      <c r="S91" s="7">
        <v>3938.451</v>
      </c>
      <c r="T91" s="7">
        <v>0</v>
      </c>
      <c r="U91" s="7">
        <v>0</v>
      </c>
      <c r="V91" s="7">
        <v>2065.038</v>
      </c>
      <c r="W91" s="7">
        <v>2568.0059999999999</v>
      </c>
      <c r="X91" s="7">
        <v>0</v>
      </c>
      <c r="Y91" s="7">
        <v>10071.572</v>
      </c>
      <c r="Z91" s="7">
        <v>0</v>
      </c>
      <c r="AA91" s="7">
        <v>21089.304</v>
      </c>
      <c r="AB91" s="7">
        <v>0</v>
      </c>
      <c r="AC91" s="7">
        <v>1360.2729999999999</v>
      </c>
      <c r="AD91" s="7">
        <v>0</v>
      </c>
      <c r="AE91" s="7">
        <v>9822.9279999999999</v>
      </c>
      <c r="AF91" s="7">
        <v>0</v>
      </c>
      <c r="AG91" s="7">
        <v>0</v>
      </c>
      <c r="AH91" s="7">
        <v>53171.472999999998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1562.0139999999999</v>
      </c>
      <c r="AP91" s="7">
        <v>0</v>
      </c>
      <c r="AQ91" s="7">
        <v>0</v>
      </c>
      <c r="AR91" s="7">
        <v>0</v>
      </c>
      <c r="AS91" s="7">
        <v>33.503</v>
      </c>
      <c r="AT91" s="7">
        <v>0</v>
      </c>
      <c r="AU91" s="7">
        <v>928.27300000000002</v>
      </c>
      <c r="AV91" s="7">
        <v>0</v>
      </c>
      <c r="AW91" s="7">
        <v>0</v>
      </c>
      <c r="AX91" s="7">
        <v>0</v>
      </c>
      <c r="AY91" s="7">
        <v>1433.6590000000001</v>
      </c>
      <c r="AZ91" s="7">
        <v>0</v>
      </c>
      <c r="BA91" s="7">
        <v>0</v>
      </c>
      <c r="BB91" s="7">
        <v>622.65700000000004</v>
      </c>
      <c r="BC91" s="7">
        <v>945.86800000000005</v>
      </c>
      <c r="BD91" s="7">
        <v>0</v>
      </c>
      <c r="BE91" s="7">
        <v>187.56100000000001</v>
      </c>
      <c r="BF91" s="7">
        <v>0</v>
      </c>
      <c r="BG91" s="7">
        <v>0</v>
      </c>
      <c r="BH91" s="7">
        <v>320.25400000000002</v>
      </c>
      <c r="BI91" s="21"/>
    </row>
    <row r="92" spans="1:61" ht="15.6" x14ac:dyDescent="0.3">
      <c r="A92" s="5" t="s">
        <v>172</v>
      </c>
      <c r="B92" s="5" t="s">
        <v>173</v>
      </c>
      <c r="C92" s="7">
        <v>3</v>
      </c>
      <c r="D92" s="7">
        <v>3</v>
      </c>
      <c r="E92" s="7">
        <v>7654.7160000000003</v>
      </c>
      <c r="F92" s="7">
        <v>1732.0540000000001</v>
      </c>
      <c r="G92" s="7">
        <v>4774.51</v>
      </c>
      <c r="H92" s="7">
        <v>0</v>
      </c>
      <c r="I92" s="7">
        <v>30.177</v>
      </c>
      <c r="J92" s="7">
        <v>1361.61</v>
      </c>
      <c r="K92" s="7">
        <v>0</v>
      </c>
      <c r="L92" s="7">
        <v>11856.076999999999</v>
      </c>
      <c r="M92" s="7">
        <v>3006.261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715.01700000000005</v>
      </c>
      <c r="T92" s="7">
        <v>0</v>
      </c>
      <c r="U92" s="7">
        <v>0</v>
      </c>
      <c r="V92" s="7">
        <v>423.43799999999999</v>
      </c>
      <c r="W92" s="7">
        <v>144.11099999999999</v>
      </c>
      <c r="X92" s="7">
        <v>0</v>
      </c>
      <c r="Y92" s="7">
        <v>4364.3329999999996</v>
      </c>
      <c r="Z92" s="7">
        <v>0</v>
      </c>
      <c r="AA92" s="7">
        <v>3274.998</v>
      </c>
      <c r="AB92" s="7">
        <v>0</v>
      </c>
      <c r="AC92" s="7">
        <v>862.93</v>
      </c>
      <c r="AD92" s="7">
        <v>0</v>
      </c>
      <c r="AE92" s="7">
        <v>38068.39</v>
      </c>
      <c r="AF92" s="7">
        <v>0</v>
      </c>
      <c r="AG92" s="7">
        <v>0</v>
      </c>
      <c r="AH92" s="7">
        <v>39282.930999999997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862.55100000000004</v>
      </c>
      <c r="AP92" s="7">
        <v>0</v>
      </c>
      <c r="AQ92" s="7">
        <v>0</v>
      </c>
      <c r="AR92" s="7">
        <v>0</v>
      </c>
      <c r="AS92" s="7">
        <v>2.0659999999999998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337.5</v>
      </c>
      <c r="BC92" s="7">
        <v>0</v>
      </c>
      <c r="BD92" s="7">
        <v>0</v>
      </c>
      <c r="BE92" s="7">
        <v>100.892</v>
      </c>
      <c r="BF92" s="7">
        <v>0</v>
      </c>
      <c r="BG92" s="7">
        <v>0</v>
      </c>
      <c r="BH92" s="7">
        <v>0</v>
      </c>
      <c r="BI92" s="21"/>
    </row>
    <row r="93" spans="1:61" ht="15.6" x14ac:dyDescent="0.3">
      <c r="A93" s="5" t="s">
        <v>174</v>
      </c>
      <c r="B93" s="5" t="s">
        <v>175</v>
      </c>
      <c r="C93" s="7">
        <v>3</v>
      </c>
      <c r="D93" s="7">
        <v>3</v>
      </c>
      <c r="E93" s="7">
        <v>48294.243000000002</v>
      </c>
      <c r="F93" s="7">
        <v>16772.280999999999</v>
      </c>
      <c r="G93" s="7">
        <v>20163.403999999999</v>
      </c>
      <c r="H93" s="7">
        <v>0</v>
      </c>
      <c r="I93" s="7">
        <v>778.649</v>
      </c>
      <c r="J93" s="7">
        <v>11827.767</v>
      </c>
      <c r="K93" s="7">
        <v>0</v>
      </c>
      <c r="L93" s="7">
        <v>79016.588000000003</v>
      </c>
      <c r="M93" s="7">
        <v>14736.727999999999</v>
      </c>
      <c r="N93" s="7">
        <v>0</v>
      </c>
      <c r="O93" s="7">
        <v>0</v>
      </c>
      <c r="P93" s="7">
        <v>0.23699999999999999</v>
      </c>
      <c r="Q93" s="7">
        <v>0</v>
      </c>
      <c r="R93" s="7">
        <v>0</v>
      </c>
      <c r="S93" s="7">
        <v>6779.4040000000005</v>
      </c>
      <c r="T93" s="7">
        <v>0</v>
      </c>
      <c r="U93" s="7">
        <v>0</v>
      </c>
      <c r="V93" s="7">
        <v>3020.864</v>
      </c>
      <c r="W93" s="7">
        <v>721.97799999999995</v>
      </c>
      <c r="X93" s="7">
        <v>0</v>
      </c>
      <c r="Y93" s="7">
        <v>20823.736000000001</v>
      </c>
      <c r="Z93" s="7">
        <v>0</v>
      </c>
      <c r="AA93" s="7">
        <v>34965.945</v>
      </c>
      <c r="AB93" s="7">
        <v>0</v>
      </c>
      <c r="AC93" s="7">
        <v>5146.8149999999996</v>
      </c>
      <c r="AD93" s="7">
        <v>0</v>
      </c>
      <c r="AE93" s="7">
        <v>166919.18</v>
      </c>
      <c r="AF93" s="7">
        <v>6416.2079999999996</v>
      </c>
      <c r="AG93" s="7">
        <v>0</v>
      </c>
      <c r="AH93" s="7">
        <v>208919.27</v>
      </c>
      <c r="AI93" s="7">
        <v>10038.26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7175.0889999999999</v>
      </c>
      <c r="AP93" s="7">
        <v>0</v>
      </c>
      <c r="AQ93" s="7">
        <v>2489.2750000000001</v>
      </c>
      <c r="AR93" s="7">
        <v>0</v>
      </c>
      <c r="AS93" s="7">
        <v>23.488</v>
      </c>
      <c r="AT93" s="7">
        <v>0</v>
      </c>
      <c r="AU93" s="7">
        <v>25.263000000000002</v>
      </c>
      <c r="AV93" s="7">
        <v>0</v>
      </c>
      <c r="AW93" s="7">
        <v>0</v>
      </c>
      <c r="AX93" s="7">
        <v>0</v>
      </c>
      <c r="AY93" s="7">
        <v>94.048000000000002</v>
      </c>
      <c r="AZ93" s="7">
        <v>3667.6889999999999</v>
      </c>
      <c r="BA93" s="7">
        <v>0</v>
      </c>
      <c r="BB93" s="7">
        <v>2794.2689999999998</v>
      </c>
      <c r="BC93" s="7">
        <v>0</v>
      </c>
      <c r="BD93" s="7">
        <v>4560.6729999999998</v>
      </c>
      <c r="BE93" s="7">
        <v>838.03099999999995</v>
      </c>
      <c r="BF93" s="7">
        <v>1589.278</v>
      </c>
      <c r="BG93" s="7">
        <v>0</v>
      </c>
      <c r="BH93" s="7">
        <v>0</v>
      </c>
      <c r="BI93" s="21"/>
    </row>
    <row r="94" spans="1:61" ht="15.6" x14ac:dyDescent="0.3">
      <c r="A94" s="5" t="s">
        <v>176</v>
      </c>
      <c r="B94" s="5" t="s">
        <v>177</v>
      </c>
      <c r="C94" s="7">
        <v>3</v>
      </c>
      <c r="D94" s="7">
        <v>3</v>
      </c>
      <c r="E94" s="7">
        <v>67009.001000000004</v>
      </c>
      <c r="F94" s="7">
        <v>30789.544000000002</v>
      </c>
      <c r="G94" s="7">
        <v>2565.0160000000001</v>
      </c>
      <c r="H94" s="7">
        <v>888.73900000000003</v>
      </c>
      <c r="I94" s="7">
        <v>1923.7260000000001</v>
      </c>
      <c r="J94" s="7">
        <v>17710.577000000001</v>
      </c>
      <c r="K94" s="7">
        <v>0</v>
      </c>
      <c r="L94" s="7">
        <v>131115.75</v>
      </c>
      <c r="M94" s="7">
        <v>9213.2810000000009</v>
      </c>
      <c r="N94" s="7">
        <v>0</v>
      </c>
      <c r="O94" s="7">
        <v>0</v>
      </c>
      <c r="P94" s="7">
        <v>1.4890000000000001</v>
      </c>
      <c r="Q94" s="7">
        <v>0</v>
      </c>
      <c r="R94" s="7">
        <v>0</v>
      </c>
      <c r="S94" s="7">
        <v>11982.352999999999</v>
      </c>
      <c r="T94" s="7">
        <v>0</v>
      </c>
      <c r="U94" s="7">
        <v>0</v>
      </c>
      <c r="V94" s="7">
        <v>3641.7330000000002</v>
      </c>
      <c r="W94" s="7">
        <v>905.94299999999998</v>
      </c>
      <c r="X94" s="7">
        <v>0</v>
      </c>
      <c r="Y94" s="7">
        <v>17786.696</v>
      </c>
      <c r="Z94" s="7">
        <v>0</v>
      </c>
      <c r="AA94" s="7">
        <v>60380.741999999998</v>
      </c>
      <c r="AB94" s="7">
        <v>0</v>
      </c>
      <c r="AC94" s="7">
        <v>5348.7969999999996</v>
      </c>
      <c r="AD94" s="7">
        <v>0</v>
      </c>
      <c r="AE94" s="7">
        <v>58884.593999999997</v>
      </c>
      <c r="AF94" s="7">
        <v>40356.438000000002</v>
      </c>
      <c r="AG94" s="7">
        <v>0</v>
      </c>
      <c r="AH94" s="7">
        <v>206589.43400000001</v>
      </c>
      <c r="AI94" s="7">
        <v>64004.053999999996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11034.198</v>
      </c>
      <c r="AP94" s="7">
        <v>0</v>
      </c>
      <c r="AQ94" s="7">
        <v>15790.188</v>
      </c>
      <c r="AR94" s="7">
        <v>0</v>
      </c>
      <c r="AS94" s="7">
        <v>53.375999999999998</v>
      </c>
      <c r="AT94" s="7">
        <v>0</v>
      </c>
      <c r="AU94" s="7">
        <v>166.43299999999999</v>
      </c>
      <c r="AV94" s="7">
        <v>0</v>
      </c>
      <c r="AW94" s="7">
        <v>0</v>
      </c>
      <c r="AX94" s="7">
        <v>0</v>
      </c>
      <c r="AY94" s="7">
        <v>630.5</v>
      </c>
      <c r="AZ94" s="7">
        <v>23385.378000000001</v>
      </c>
      <c r="BA94" s="7">
        <v>0</v>
      </c>
      <c r="BB94" s="7">
        <v>4278.241</v>
      </c>
      <c r="BC94" s="7">
        <v>20.966999999999999</v>
      </c>
      <c r="BD94" s="7">
        <v>29079.085999999999</v>
      </c>
      <c r="BE94" s="7">
        <v>1282.538</v>
      </c>
      <c r="BF94" s="7">
        <v>10133.317999999999</v>
      </c>
      <c r="BG94" s="7">
        <v>0</v>
      </c>
      <c r="BH94" s="7">
        <v>7.19</v>
      </c>
      <c r="BI94" s="21"/>
    </row>
    <row r="95" spans="1:61" ht="15.6" x14ac:dyDescent="0.3">
      <c r="A95" s="5" t="s">
        <v>178</v>
      </c>
      <c r="B95" s="5" t="s">
        <v>179</v>
      </c>
      <c r="C95" s="7">
        <v>6</v>
      </c>
      <c r="D95" s="7">
        <v>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21"/>
    </row>
    <row r="96" spans="1:61" ht="15.6" x14ac:dyDescent="0.3">
      <c r="A96" s="5" t="s">
        <v>180</v>
      </c>
      <c r="B96" s="5" t="s">
        <v>181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21"/>
    </row>
    <row r="97" spans="1:61" ht="15.6" x14ac:dyDescent="0.3">
      <c r="A97" s="5" t="s">
        <v>182</v>
      </c>
      <c r="B97" s="5" t="s">
        <v>183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21"/>
    </row>
    <row r="98" spans="1:61" ht="15.6" x14ac:dyDescent="0.3">
      <c r="A98" s="5" t="s">
        <v>184</v>
      </c>
      <c r="B98" s="5" t="s">
        <v>185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21"/>
    </row>
    <row r="99" spans="1:61" ht="15.6" x14ac:dyDescent="0.3">
      <c r="A99" s="5" t="s">
        <v>186</v>
      </c>
      <c r="B99" s="5" t="s">
        <v>187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21"/>
    </row>
    <row r="100" spans="1:61" ht="15.6" x14ac:dyDescent="0.3">
      <c r="A100" s="5" t="s">
        <v>188</v>
      </c>
      <c r="B100" s="5" t="s">
        <v>189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21"/>
    </row>
    <row r="101" spans="1:61" ht="15.6" x14ac:dyDescent="0.3">
      <c r="A101" s="5" t="s">
        <v>190</v>
      </c>
      <c r="B101" s="5" t="s">
        <v>191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21"/>
    </row>
    <row r="102" spans="1:61" ht="15.6" x14ac:dyDescent="0.3">
      <c r="A102" s="5" t="s">
        <v>192</v>
      </c>
      <c r="B102" s="5" t="s">
        <v>193</v>
      </c>
      <c r="C102" s="7">
        <v>6</v>
      </c>
      <c r="D102" s="7">
        <v>6</v>
      </c>
      <c r="E102" s="7">
        <v>25980.582999999999</v>
      </c>
      <c r="F102" s="7">
        <v>0</v>
      </c>
      <c r="G102" s="7">
        <v>0</v>
      </c>
      <c r="H102" s="7">
        <v>1575.874</v>
      </c>
      <c r="I102" s="7">
        <v>0</v>
      </c>
      <c r="J102" s="7">
        <v>0</v>
      </c>
      <c r="K102" s="7">
        <v>0</v>
      </c>
      <c r="L102" s="7">
        <v>20863.023000000001</v>
      </c>
      <c r="M102" s="7">
        <v>19337.095000000001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12968.522000000001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21"/>
    </row>
    <row r="103" spans="1:61" ht="15.6" x14ac:dyDescent="0.3">
      <c r="A103" s="5" t="s">
        <v>194</v>
      </c>
      <c r="B103" s="5" t="s">
        <v>195</v>
      </c>
      <c r="C103" s="7">
        <v>4</v>
      </c>
      <c r="D103" s="7">
        <v>4</v>
      </c>
      <c r="E103" s="7">
        <v>442085.505</v>
      </c>
      <c r="F103" s="7">
        <v>97682.089000000007</v>
      </c>
      <c r="G103" s="7">
        <v>0</v>
      </c>
      <c r="H103" s="7">
        <v>16046.31</v>
      </c>
      <c r="I103" s="7">
        <v>1886.5329999999999</v>
      </c>
      <c r="J103" s="7">
        <v>0</v>
      </c>
      <c r="K103" s="7">
        <v>0</v>
      </c>
      <c r="L103" s="7">
        <v>1126200.425</v>
      </c>
      <c r="M103" s="7">
        <v>49192.817999999999</v>
      </c>
      <c r="N103" s="7">
        <v>0</v>
      </c>
      <c r="O103" s="7">
        <v>398.58600000000001</v>
      </c>
      <c r="P103" s="7">
        <v>18.957999999999998</v>
      </c>
      <c r="Q103" s="7">
        <v>350.50700000000001</v>
      </c>
      <c r="R103" s="7">
        <v>0</v>
      </c>
      <c r="S103" s="7">
        <v>30004.293000000001</v>
      </c>
      <c r="T103" s="7">
        <v>0</v>
      </c>
      <c r="U103" s="7">
        <v>0</v>
      </c>
      <c r="V103" s="7">
        <v>0</v>
      </c>
      <c r="W103" s="7">
        <v>10654.182000000001</v>
      </c>
      <c r="X103" s="7">
        <v>0</v>
      </c>
      <c r="Y103" s="7">
        <v>216992.83100000001</v>
      </c>
      <c r="Z103" s="7">
        <v>0</v>
      </c>
      <c r="AA103" s="7">
        <v>0</v>
      </c>
      <c r="AB103" s="7">
        <v>24114.52</v>
      </c>
      <c r="AC103" s="7">
        <v>19152.577000000001</v>
      </c>
      <c r="AD103" s="7">
        <v>0</v>
      </c>
      <c r="AE103" s="7">
        <v>580722.9</v>
      </c>
      <c r="AF103" s="7">
        <v>558046.20600000001</v>
      </c>
      <c r="AG103" s="7">
        <v>0</v>
      </c>
      <c r="AH103" s="7">
        <v>1682776.088</v>
      </c>
      <c r="AI103" s="7">
        <v>894423.52899999998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20898.577000000001</v>
      </c>
      <c r="AP103" s="7">
        <v>0</v>
      </c>
      <c r="AQ103" s="7">
        <v>219789.17300000001</v>
      </c>
      <c r="AR103" s="7">
        <v>0</v>
      </c>
      <c r="AS103" s="7">
        <v>282.52300000000002</v>
      </c>
      <c r="AT103" s="7">
        <v>0</v>
      </c>
      <c r="AU103" s="7">
        <v>2111.0050000000001</v>
      </c>
      <c r="AV103" s="7">
        <v>0</v>
      </c>
      <c r="AW103" s="7">
        <v>0</v>
      </c>
      <c r="AX103" s="7">
        <v>0</v>
      </c>
      <c r="AY103" s="7">
        <v>8379.9</v>
      </c>
      <c r="AZ103" s="7">
        <v>326800.16200000001</v>
      </c>
      <c r="BA103" s="7">
        <v>0</v>
      </c>
      <c r="BB103" s="7">
        <v>8091.5860000000002</v>
      </c>
      <c r="BC103" s="7">
        <v>0</v>
      </c>
      <c r="BD103" s="7">
        <v>406367.18800000002</v>
      </c>
      <c r="BE103" s="7">
        <v>2319.0039999999999</v>
      </c>
      <c r="BF103" s="7">
        <v>141608.576</v>
      </c>
      <c r="BG103" s="7">
        <v>0</v>
      </c>
      <c r="BH103" s="7">
        <v>0</v>
      </c>
      <c r="BI103" s="21"/>
    </row>
    <row r="104" spans="1:61" ht="15.6" x14ac:dyDescent="0.3">
      <c r="A104" s="5" t="s">
        <v>196</v>
      </c>
      <c r="B104" s="5" t="s">
        <v>197</v>
      </c>
      <c r="C104" s="7">
        <v>4</v>
      </c>
      <c r="D104" s="7">
        <v>4</v>
      </c>
      <c r="E104" s="7">
        <v>217798.484</v>
      </c>
      <c r="F104" s="7">
        <v>45638.055</v>
      </c>
      <c r="G104" s="7">
        <v>189.42699999999999</v>
      </c>
      <c r="H104" s="7">
        <v>12966.669</v>
      </c>
      <c r="I104" s="7">
        <v>953.20100000000002</v>
      </c>
      <c r="J104" s="7">
        <v>110.214</v>
      </c>
      <c r="K104" s="7">
        <v>0</v>
      </c>
      <c r="L104" s="7">
        <v>550866.14599999995</v>
      </c>
      <c r="M104" s="7">
        <v>24784.356</v>
      </c>
      <c r="N104" s="7">
        <v>0</v>
      </c>
      <c r="O104" s="7">
        <v>97.027000000000001</v>
      </c>
      <c r="P104" s="7">
        <v>9.4120000000000008</v>
      </c>
      <c r="Q104" s="7">
        <v>85.322999999999993</v>
      </c>
      <c r="R104" s="7">
        <v>0</v>
      </c>
      <c r="S104" s="7">
        <v>14926.683000000001</v>
      </c>
      <c r="T104" s="7">
        <v>0</v>
      </c>
      <c r="U104" s="7">
        <v>0</v>
      </c>
      <c r="V104" s="7">
        <v>29.385000000000002</v>
      </c>
      <c r="W104" s="7">
        <v>5316.9359999999997</v>
      </c>
      <c r="X104" s="7">
        <v>0</v>
      </c>
      <c r="Y104" s="7">
        <v>107688.671</v>
      </c>
      <c r="Z104" s="7">
        <v>0</v>
      </c>
      <c r="AA104" s="7">
        <v>300.09199999999998</v>
      </c>
      <c r="AB104" s="7">
        <v>5870.16</v>
      </c>
      <c r="AC104" s="7">
        <v>9511.7009999999991</v>
      </c>
      <c r="AD104" s="7">
        <v>0</v>
      </c>
      <c r="AE104" s="7">
        <v>287114.78399999999</v>
      </c>
      <c r="AF104" s="7">
        <v>276577.24</v>
      </c>
      <c r="AG104" s="7">
        <v>0</v>
      </c>
      <c r="AH104" s="7">
        <v>826634.04299999995</v>
      </c>
      <c r="AI104" s="7">
        <v>443291.592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10379.919</v>
      </c>
      <c r="AP104" s="7">
        <v>0</v>
      </c>
      <c r="AQ104" s="7">
        <v>108931.272</v>
      </c>
      <c r="AR104" s="7">
        <v>0</v>
      </c>
      <c r="AS104" s="7">
        <v>140.5</v>
      </c>
      <c r="AT104" s="7">
        <v>0</v>
      </c>
      <c r="AU104" s="7">
        <v>1059.4590000000001</v>
      </c>
      <c r="AV104" s="7">
        <v>0</v>
      </c>
      <c r="AW104" s="7">
        <v>0</v>
      </c>
      <c r="AX104" s="7">
        <v>0</v>
      </c>
      <c r="AY104" s="7">
        <v>4173.6220000000003</v>
      </c>
      <c r="AZ104" s="7">
        <v>161967.74799999999</v>
      </c>
      <c r="BA104" s="7">
        <v>0</v>
      </c>
      <c r="BB104" s="7">
        <v>4019.1880000000001</v>
      </c>
      <c r="BC104" s="7">
        <v>13.459</v>
      </c>
      <c r="BD104" s="7">
        <v>201402.52600000001</v>
      </c>
      <c r="BE104" s="7">
        <v>1152.0070000000001</v>
      </c>
      <c r="BF104" s="7">
        <v>70183.630999999994</v>
      </c>
      <c r="BG104" s="7">
        <v>0</v>
      </c>
      <c r="BH104" s="7">
        <v>4.5570000000000004</v>
      </c>
      <c r="BI104" s="21"/>
    </row>
    <row r="105" spans="1:61" ht="15.6" x14ac:dyDescent="0.3">
      <c r="A105" s="5" t="s">
        <v>198</v>
      </c>
      <c r="B105" s="5" t="s">
        <v>199</v>
      </c>
      <c r="C105" s="7">
        <v>4</v>
      </c>
      <c r="D105" s="7">
        <v>4</v>
      </c>
      <c r="E105" s="7">
        <v>101392.061</v>
      </c>
      <c r="F105" s="7">
        <v>21212.574000000001</v>
      </c>
      <c r="G105" s="7">
        <v>184.87899999999999</v>
      </c>
      <c r="H105" s="7">
        <v>9052.7790000000005</v>
      </c>
      <c r="I105" s="7">
        <v>445.726</v>
      </c>
      <c r="J105" s="7">
        <v>107.56699999999999</v>
      </c>
      <c r="K105" s="7">
        <v>0</v>
      </c>
      <c r="L105" s="7">
        <v>254002.451</v>
      </c>
      <c r="M105" s="7">
        <v>12299.657999999999</v>
      </c>
      <c r="N105" s="7">
        <v>0</v>
      </c>
      <c r="O105" s="7">
        <v>157.947</v>
      </c>
      <c r="P105" s="7">
        <v>4.3159999999999998</v>
      </c>
      <c r="Q105" s="7">
        <v>138.89500000000001</v>
      </c>
      <c r="R105" s="7">
        <v>0</v>
      </c>
      <c r="S105" s="7">
        <v>6861.1670000000004</v>
      </c>
      <c r="T105" s="7">
        <v>0</v>
      </c>
      <c r="U105" s="7">
        <v>0</v>
      </c>
      <c r="V105" s="7">
        <v>28.678999999999998</v>
      </c>
      <c r="W105" s="7">
        <v>2452.5639999999999</v>
      </c>
      <c r="X105" s="7">
        <v>0</v>
      </c>
      <c r="Y105" s="7">
        <v>49364.669000000002</v>
      </c>
      <c r="Z105" s="7">
        <v>0</v>
      </c>
      <c r="AA105" s="7">
        <v>292.88600000000002</v>
      </c>
      <c r="AB105" s="7">
        <v>9555.8259999999991</v>
      </c>
      <c r="AC105" s="7">
        <v>4363.6509999999998</v>
      </c>
      <c r="AD105" s="7">
        <v>0</v>
      </c>
      <c r="AE105" s="7">
        <v>132438.44200000001</v>
      </c>
      <c r="AF105" s="7">
        <v>126595.29700000001</v>
      </c>
      <c r="AG105" s="7">
        <v>0</v>
      </c>
      <c r="AH105" s="7">
        <v>381017.299</v>
      </c>
      <c r="AI105" s="7">
        <v>202908.83900000001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4762.5330000000004</v>
      </c>
      <c r="AP105" s="7">
        <v>0</v>
      </c>
      <c r="AQ105" s="7">
        <v>49859.146000000001</v>
      </c>
      <c r="AR105" s="7">
        <v>0</v>
      </c>
      <c r="AS105" s="7">
        <v>64.555999999999997</v>
      </c>
      <c r="AT105" s="7">
        <v>0</v>
      </c>
      <c r="AU105" s="7">
        <v>491.77300000000002</v>
      </c>
      <c r="AV105" s="7">
        <v>0</v>
      </c>
      <c r="AW105" s="7">
        <v>0</v>
      </c>
      <c r="AX105" s="7">
        <v>0</v>
      </c>
      <c r="AY105" s="7">
        <v>1920.89</v>
      </c>
      <c r="AZ105" s="7">
        <v>74134.576000000001</v>
      </c>
      <c r="BA105" s="7">
        <v>0</v>
      </c>
      <c r="BB105" s="7">
        <v>1844.223</v>
      </c>
      <c r="BC105" s="7">
        <v>13.135999999999999</v>
      </c>
      <c r="BD105" s="7">
        <v>92184.345000000001</v>
      </c>
      <c r="BE105" s="7">
        <v>528.67100000000005</v>
      </c>
      <c r="BF105" s="7">
        <v>32123.887999999999</v>
      </c>
      <c r="BG105" s="7">
        <v>0</v>
      </c>
      <c r="BH105" s="7">
        <v>4.4480000000000004</v>
      </c>
      <c r="BI105" s="21"/>
    </row>
    <row r="106" spans="1:61" ht="15.6" x14ac:dyDescent="0.3">
      <c r="A106" s="5" t="s">
        <v>200</v>
      </c>
      <c r="B106" s="5" t="s">
        <v>201</v>
      </c>
      <c r="C106" s="7">
        <v>4</v>
      </c>
      <c r="D106" s="7">
        <v>4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21"/>
    </row>
    <row r="107" spans="1:61" ht="15.6" x14ac:dyDescent="0.3">
      <c r="A107" s="5" t="s">
        <v>202</v>
      </c>
      <c r="B107" s="5" t="s">
        <v>203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21"/>
    </row>
    <row r="108" spans="1:61" ht="15.6" x14ac:dyDescent="0.3">
      <c r="A108" s="5" t="s">
        <v>204</v>
      </c>
      <c r="B108" s="5" t="s">
        <v>205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21"/>
    </row>
    <row r="109" spans="1:61" ht="15.6" x14ac:dyDescent="0.3">
      <c r="A109" s="5" t="s">
        <v>206</v>
      </c>
      <c r="B109" s="5" t="s">
        <v>207</v>
      </c>
      <c r="C109" s="7">
        <v>6</v>
      </c>
      <c r="D109" s="7">
        <v>6</v>
      </c>
      <c r="E109" s="7">
        <v>108492.145</v>
      </c>
      <c r="F109" s="7">
        <v>429.35199999999998</v>
      </c>
      <c r="G109" s="7">
        <v>0</v>
      </c>
      <c r="H109" s="7">
        <v>10617.605</v>
      </c>
      <c r="I109" s="7">
        <v>2.1999999999999999E-2</v>
      </c>
      <c r="J109" s="7">
        <v>0</v>
      </c>
      <c r="K109" s="7">
        <v>0</v>
      </c>
      <c r="L109" s="7">
        <v>155786.815</v>
      </c>
      <c r="M109" s="7">
        <v>24772.991000000002</v>
      </c>
      <c r="N109" s="7">
        <v>0</v>
      </c>
      <c r="O109" s="7">
        <v>0</v>
      </c>
      <c r="P109" s="7">
        <v>0</v>
      </c>
      <c r="Q109" s="7">
        <v>0</v>
      </c>
      <c r="R109" s="7">
        <v>2E-3</v>
      </c>
      <c r="S109" s="7">
        <v>0.34499999999999997</v>
      </c>
      <c r="T109" s="7">
        <v>0</v>
      </c>
      <c r="U109" s="7">
        <v>0</v>
      </c>
      <c r="V109" s="7">
        <v>0</v>
      </c>
      <c r="W109" s="7">
        <v>0.122</v>
      </c>
      <c r="X109" s="7">
        <v>0</v>
      </c>
      <c r="Y109" s="7">
        <v>40010.824000000001</v>
      </c>
      <c r="Z109" s="7">
        <v>0</v>
      </c>
      <c r="AA109" s="7">
        <v>0</v>
      </c>
      <c r="AB109" s="7">
        <v>0</v>
      </c>
      <c r="AC109" s="7">
        <v>0.22</v>
      </c>
      <c r="AD109" s="7">
        <v>0</v>
      </c>
      <c r="AE109" s="7">
        <v>132202.546</v>
      </c>
      <c r="AF109" s="7">
        <v>6577.0439999999999</v>
      </c>
      <c r="AG109" s="7">
        <v>0</v>
      </c>
      <c r="AH109" s="7">
        <v>372360.97399999999</v>
      </c>
      <c r="AI109" s="7">
        <v>10099.985000000001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0.24</v>
      </c>
      <c r="AP109" s="7">
        <v>0</v>
      </c>
      <c r="AQ109" s="7">
        <v>2.5259999999999998</v>
      </c>
      <c r="AR109" s="7">
        <v>0</v>
      </c>
      <c r="AS109" s="7">
        <v>8.0000000000000002E-3</v>
      </c>
      <c r="AT109" s="7">
        <v>0</v>
      </c>
      <c r="AU109" s="7">
        <v>2.4E-2</v>
      </c>
      <c r="AV109" s="7">
        <v>0</v>
      </c>
      <c r="AW109" s="7">
        <v>0</v>
      </c>
      <c r="AX109" s="7">
        <v>0</v>
      </c>
      <c r="AY109" s="7">
        <v>9.6000000000000002E-2</v>
      </c>
      <c r="AZ109" s="7">
        <v>3.7549999999999999</v>
      </c>
      <c r="BA109" s="7">
        <v>0</v>
      </c>
      <c r="BB109" s="7">
        <v>9.2999999999999999E-2</v>
      </c>
      <c r="BC109" s="7">
        <v>0</v>
      </c>
      <c r="BD109" s="7">
        <v>4.67</v>
      </c>
      <c r="BE109" s="7">
        <v>2.7E-2</v>
      </c>
      <c r="BF109" s="7">
        <v>1.627</v>
      </c>
      <c r="BG109" s="7">
        <v>0</v>
      </c>
      <c r="BH109" s="7">
        <v>0</v>
      </c>
      <c r="BI109" s="21"/>
    </row>
    <row r="110" spans="1:61" ht="15.6" x14ac:dyDescent="0.3">
      <c r="A110" s="5" t="s">
        <v>208</v>
      </c>
      <c r="B110" s="5" t="s">
        <v>209</v>
      </c>
      <c r="C110" s="7">
        <v>4</v>
      </c>
      <c r="D110" s="7">
        <v>4</v>
      </c>
      <c r="E110" s="7">
        <v>120875.77899999999</v>
      </c>
      <c r="F110" s="7">
        <v>25412.485000000001</v>
      </c>
      <c r="G110" s="7">
        <v>0</v>
      </c>
      <c r="H110" s="7">
        <v>0</v>
      </c>
      <c r="I110" s="7">
        <v>521.25900000000001</v>
      </c>
      <c r="J110" s="7">
        <v>0</v>
      </c>
      <c r="K110" s="7">
        <v>0</v>
      </c>
      <c r="L110" s="7">
        <v>307751.63299999997</v>
      </c>
      <c r="M110" s="7">
        <v>13605.312</v>
      </c>
      <c r="N110" s="7">
        <v>0</v>
      </c>
      <c r="O110" s="7">
        <v>0</v>
      </c>
      <c r="P110" s="7">
        <v>5.2380000000000004</v>
      </c>
      <c r="Q110" s="7">
        <v>0</v>
      </c>
      <c r="R110" s="7">
        <v>0</v>
      </c>
      <c r="S110" s="7">
        <v>8290.3420000000006</v>
      </c>
      <c r="T110" s="7">
        <v>0</v>
      </c>
      <c r="U110" s="7">
        <v>0</v>
      </c>
      <c r="V110" s="7">
        <v>0</v>
      </c>
      <c r="W110" s="7">
        <v>2943.806</v>
      </c>
      <c r="X110" s="7">
        <v>0</v>
      </c>
      <c r="Y110" s="7">
        <v>59995.472999999998</v>
      </c>
      <c r="Z110" s="7">
        <v>0</v>
      </c>
      <c r="AA110" s="7">
        <v>0</v>
      </c>
      <c r="AB110" s="7">
        <v>6.5359999999999996</v>
      </c>
      <c r="AC110" s="7">
        <v>5291.9570000000003</v>
      </c>
      <c r="AD110" s="7">
        <v>0</v>
      </c>
      <c r="AE110" s="7">
        <v>159718.12</v>
      </c>
      <c r="AF110" s="7">
        <v>154256.42199999999</v>
      </c>
      <c r="AG110" s="7">
        <v>0</v>
      </c>
      <c r="AH110" s="7">
        <v>461792.92499999999</v>
      </c>
      <c r="AI110" s="7">
        <v>247199.22500000001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5774.3860000000004</v>
      </c>
      <c r="AP110" s="7">
        <v>0</v>
      </c>
      <c r="AQ110" s="7">
        <v>60735.428</v>
      </c>
      <c r="AR110" s="7">
        <v>0</v>
      </c>
      <c r="AS110" s="7">
        <v>78.063000000000002</v>
      </c>
      <c r="AT110" s="7">
        <v>0</v>
      </c>
      <c r="AU110" s="7">
        <v>773.56100000000004</v>
      </c>
      <c r="AV110" s="7">
        <v>0</v>
      </c>
      <c r="AW110" s="7">
        <v>0</v>
      </c>
      <c r="AX110" s="7">
        <v>0</v>
      </c>
      <c r="AY110" s="7">
        <v>2315.41</v>
      </c>
      <c r="AZ110" s="7">
        <v>90296.585000000006</v>
      </c>
      <c r="BA110" s="7">
        <v>0</v>
      </c>
      <c r="BB110" s="7">
        <v>2235.7469999999998</v>
      </c>
      <c r="BC110" s="7">
        <v>0</v>
      </c>
      <c r="BD110" s="7">
        <v>112281.367</v>
      </c>
      <c r="BE110" s="7">
        <v>640.75300000000004</v>
      </c>
      <c r="BF110" s="7">
        <v>39127.186000000002</v>
      </c>
      <c r="BG110" s="7">
        <v>0</v>
      </c>
      <c r="BH110" s="7">
        <v>0</v>
      </c>
      <c r="BI110" s="21"/>
    </row>
    <row r="111" spans="1:61" ht="15.6" x14ac:dyDescent="0.3">
      <c r="A111" s="5" t="s">
        <v>210</v>
      </c>
      <c r="B111" s="5" t="s">
        <v>211</v>
      </c>
      <c r="C111" s="7">
        <v>4</v>
      </c>
      <c r="D111" s="7">
        <v>4</v>
      </c>
      <c r="E111" s="7">
        <v>210940.41699999999</v>
      </c>
      <c r="F111" s="7">
        <v>37511.417999999998</v>
      </c>
      <c r="G111" s="7">
        <v>14.531000000000001</v>
      </c>
      <c r="H111" s="7">
        <v>0</v>
      </c>
      <c r="I111" s="7">
        <v>1299.71</v>
      </c>
      <c r="J111" s="7">
        <v>156.745</v>
      </c>
      <c r="K111" s="7">
        <v>0</v>
      </c>
      <c r="L111" s="7">
        <v>468713.71899999998</v>
      </c>
      <c r="M111" s="7">
        <v>15764.253000000001</v>
      </c>
      <c r="N111" s="7">
        <v>0</v>
      </c>
      <c r="O111" s="7">
        <v>0</v>
      </c>
      <c r="P111" s="7">
        <v>0.30199999999999999</v>
      </c>
      <c r="Q111" s="7">
        <v>0</v>
      </c>
      <c r="R111" s="7">
        <v>0</v>
      </c>
      <c r="S111" s="7">
        <v>11884.252</v>
      </c>
      <c r="T111" s="7">
        <v>0</v>
      </c>
      <c r="U111" s="7">
        <v>0</v>
      </c>
      <c r="V111" s="7">
        <v>32.238999999999997</v>
      </c>
      <c r="W111" s="7">
        <v>3487.01</v>
      </c>
      <c r="X111" s="7">
        <v>65441.512999999999</v>
      </c>
      <c r="Y111" s="7">
        <v>110311.192</v>
      </c>
      <c r="Z111" s="7">
        <v>0</v>
      </c>
      <c r="AA111" s="7">
        <v>540.65300000000002</v>
      </c>
      <c r="AB111" s="7">
        <v>0</v>
      </c>
      <c r="AC111" s="7">
        <v>7476.4750000000004</v>
      </c>
      <c r="AD111" s="7">
        <v>0</v>
      </c>
      <c r="AE111" s="7">
        <v>281169.27299999999</v>
      </c>
      <c r="AF111" s="7">
        <v>249961.46299999999</v>
      </c>
      <c r="AG111" s="7">
        <v>0</v>
      </c>
      <c r="AH111" s="7">
        <v>967038.42099999997</v>
      </c>
      <c r="AI111" s="7">
        <v>369037.15299999999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9459.3230000000003</v>
      </c>
      <c r="AP111" s="7">
        <v>87761.267000000007</v>
      </c>
      <c r="AQ111" s="7">
        <v>98125.78</v>
      </c>
      <c r="AR111" s="7">
        <v>25226.683000000001</v>
      </c>
      <c r="AS111" s="7">
        <v>109.70099999999999</v>
      </c>
      <c r="AT111" s="7">
        <v>0</v>
      </c>
      <c r="AU111" s="7">
        <v>723.98400000000004</v>
      </c>
      <c r="AV111" s="7">
        <v>69384.588000000003</v>
      </c>
      <c r="AW111" s="7">
        <v>130971.004</v>
      </c>
      <c r="AX111" s="7">
        <v>82474.899999999994</v>
      </c>
      <c r="AY111" s="7">
        <v>133.03899999999999</v>
      </c>
      <c r="AZ111" s="7">
        <v>5188.2550000000001</v>
      </c>
      <c r="BA111" s="7">
        <v>63721.981</v>
      </c>
      <c r="BB111" s="7">
        <v>3755.1909999999998</v>
      </c>
      <c r="BC111" s="7">
        <v>0</v>
      </c>
      <c r="BD111" s="7">
        <v>6451.4549999999999</v>
      </c>
      <c r="BE111" s="7">
        <v>1160.268</v>
      </c>
      <c r="BF111" s="7">
        <v>2248.1669999999999</v>
      </c>
      <c r="BG111" s="7">
        <v>0</v>
      </c>
      <c r="BH111" s="7">
        <v>0</v>
      </c>
      <c r="BI111" s="21"/>
    </row>
    <row r="112" spans="1:61" ht="15.6" x14ac:dyDescent="0.3">
      <c r="A112" s="5" t="s">
        <v>212</v>
      </c>
      <c r="B112" s="5" t="s">
        <v>213</v>
      </c>
      <c r="C112" s="7">
        <v>4</v>
      </c>
      <c r="D112" s="7">
        <v>4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21"/>
    </row>
    <row r="113" spans="1:61" ht="15.6" x14ac:dyDescent="0.3">
      <c r="A113" s="5" t="s">
        <v>214</v>
      </c>
      <c r="B113" s="5" t="s">
        <v>215</v>
      </c>
      <c r="C113" s="7">
        <v>6</v>
      </c>
      <c r="D113" s="7">
        <v>6</v>
      </c>
      <c r="E113" s="7">
        <v>0.61699999999999999</v>
      </c>
      <c r="F113" s="7">
        <v>35.798000000000002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-0.19400000000000001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299.959</v>
      </c>
      <c r="AF113" s="7">
        <v>20.059000000000001</v>
      </c>
      <c r="AG113" s="7">
        <v>0</v>
      </c>
      <c r="AH113" s="7">
        <v>250.47900000000001</v>
      </c>
      <c r="AI113" s="7">
        <v>10.492000000000001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21"/>
    </row>
    <row r="114" spans="1:61" ht="15.6" x14ac:dyDescent="0.3">
      <c r="A114" s="5" t="s">
        <v>216</v>
      </c>
      <c r="B114" s="5" t="s">
        <v>217</v>
      </c>
      <c r="C114" s="7">
        <v>6</v>
      </c>
      <c r="D114" s="7">
        <v>6</v>
      </c>
      <c r="E114" s="7">
        <v>83332.269</v>
      </c>
      <c r="F114" s="7">
        <v>895.08299999999997</v>
      </c>
      <c r="G114" s="7">
        <v>0</v>
      </c>
      <c r="H114" s="7">
        <v>0</v>
      </c>
      <c r="I114" s="7">
        <v>83.914000000000001</v>
      </c>
      <c r="J114" s="7">
        <v>0</v>
      </c>
      <c r="K114" s="7">
        <v>0</v>
      </c>
      <c r="L114" s="7">
        <v>171487.022</v>
      </c>
      <c r="M114" s="7">
        <v>35911.307999999997</v>
      </c>
      <c r="N114" s="7">
        <v>0</v>
      </c>
      <c r="O114" s="7">
        <v>0</v>
      </c>
      <c r="P114" s="7">
        <v>27.971</v>
      </c>
      <c r="Q114" s="7">
        <v>0</v>
      </c>
      <c r="R114" s="7">
        <v>27.971</v>
      </c>
      <c r="S114" s="7">
        <v>0</v>
      </c>
      <c r="T114" s="7">
        <v>0</v>
      </c>
      <c r="U114" s="7">
        <v>0</v>
      </c>
      <c r="V114" s="7">
        <v>0</v>
      </c>
      <c r="W114" s="7">
        <v>279.71300000000002</v>
      </c>
      <c r="X114" s="7">
        <v>0</v>
      </c>
      <c r="Y114" s="7">
        <v>20574.440999999999</v>
      </c>
      <c r="Z114" s="7">
        <v>0</v>
      </c>
      <c r="AA114" s="7">
        <v>2629.306</v>
      </c>
      <c r="AB114" s="7">
        <v>0</v>
      </c>
      <c r="AC114" s="7">
        <v>223.77099999999999</v>
      </c>
      <c r="AD114" s="7">
        <v>0</v>
      </c>
      <c r="AE114" s="7">
        <v>56427.57</v>
      </c>
      <c r="AF114" s="7">
        <v>7.0000000000000001E-3</v>
      </c>
      <c r="AG114" s="7">
        <v>0</v>
      </c>
      <c r="AH114" s="7">
        <v>263432.00099999999</v>
      </c>
      <c r="AI114" s="7">
        <v>1.0999999999999999E-2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21"/>
    </row>
    <row r="115" spans="1:61" ht="15.6" x14ac:dyDescent="0.3">
      <c r="A115" s="5" t="s">
        <v>218</v>
      </c>
      <c r="B115" s="5" t="s">
        <v>219</v>
      </c>
      <c r="C115" s="7">
        <v>4</v>
      </c>
      <c r="D115" s="7">
        <v>4</v>
      </c>
      <c r="E115" s="7">
        <v>46746.866999999998</v>
      </c>
      <c r="F115" s="7">
        <v>9825.4709999999995</v>
      </c>
      <c r="G115" s="7">
        <v>0</v>
      </c>
      <c r="H115" s="7">
        <v>25577.458999999999</v>
      </c>
      <c r="I115" s="7">
        <v>201.851</v>
      </c>
      <c r="J115" s="7">
        <v>0</v>
      </c>
      <c r="K115" s="7">
        <v>0</v>
      </c>
      <c r="L115" s="7">
        <v>118854.211</v>
      </c>
      <c r="M115" s="7">
        <v>5263.4179999999997</v>
      </c>
      <c r="N115" s="7">
        <v>0</v>
      </c>
      <c r="O115" s="7">
        <v>0</v>
      </c>
      <c r="P115" s="7">
        <v>2.028</v>
      </c>
      <c r="Q115" s="7">
        <v>0</v>
      </c>
      <c r="R115" s="7">
        <v>0</v>
      </c>
      <c r="S115" s="7">
        <v>3210.3290000000002</v>
      </c>
      <c r="T115" s="7">
        <v>0</v>
      </c>
      <c r="U115" s="7">
        <v>0</v>
      </c>
      <c r="V115" s="7">
        <v>0</v>
      </c>
      <c r="W115" s="7">
        <v>1139.951</v>
      </c>
      <c r="X115" s="7">
        <v>0</v>
      </c>
      <c r="Y115" s="7">
        <v>23217.293000000001</v>
      </c>
      <c r="Z115" s="7">
        <v>0</v>
      </c>
      <c r="AA115" s="7">
        <v>0</v>
      </c>
      <c r="AB115" s="7">
        <v>0</v>
      </c>
      <c r="AC115" s="7">
        <v>2049.2429999999999</v>
      </c>
      <c r="AD115" s="7">
        <v>14756.574000000001</v>
      </c>
      <c r="AE115" s="7">
        <v>61777.944000000003</v>
      </c>
      <c r="AF115" s="7">
        <v>59708.525999999998</v>
      </c>
      <c r="AG115" s="7">
        <v>68441.604999999996</v>
      </c>
      <c r="AH115" s="7">
        <v>178293.5</v>
      </c>
      <c r="AI115" s="7">
        <v>95699.441999999995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2236.0569999999998</v>
      </c>
      <c r="AP115" s="7">
        <v>0</v>
      </c>
      <c r="AQ115" s="7">
        <v>23516.489000000001</v>
      </c>
      <c r="AR115" s="7">
        <v>0</v>
      </c>
      <c r="AS115" s="7">
        <v>30.228999999999999</v>
      </c>
      <c r="AT115" s="7">
        <v>0</v>
      </c>
      <c r="AU115" s="7">
        <v>3284.6779999999999</v>
      </c>
      <c r="AV115" s="7">
        <v>0</v>
      </c>
      <c r="AW115" s="7">
        <v>0</v>
      </c>
      <c r="AX115" s="7">
        <v>0</v>
      </c>
      <c r="AY115" s="7">
        <v>896.61300000000006</v>
      </c>
      <c r="AZ115" s="7">
        <v>60441.203999999998</v>
      </c>
      <c r="BA115" s="7">
        <v>0</v>
      </c>
      <c r="BB115" s="7">
        <v>865.76499999999999</v>
      </c>
      <c r="BC115" s="7">
        <v>0</v>
      </c>
      <c r="BD115" s="7">
        <v>43479.527999999998</v>
      </c>
      <c r="BE115" s="7">
        <v>248.12299999999999</v>
      </c>
      <c r="BF115" s="7">
        <v>15151.504000000001</v>
      </c>
      <c r="BG115" s="7">
        <v>0</v>
      </c>
      <c r="BH115" s="7">
        <v>0</v>
      </c>
      <c r="BI115" s="21"/>
    </row>
    <row r="116" spans="1:61" ht="15.6" x14ac:dyDescent="0.3">
      <c r="A116" s="5" t="s">
        <v>220</v>
      </c>
      <c r="B116" s="5" t="s">
        <v>221</v>
      </c>
      <c r="C116" s="7">
        <v>4</v>
      </c>
      <c r="D116" s="7">
        <v>4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268.18799999999999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639997.88199999998</v>
      </c>
      <c r="AL116" s="7">
        <v>335191.63900000002</v>
      </c>
      <c r="AM116" s="7">
        <v>0</v>
      </c>
      <c r="AN116" s="7">
        <v>224675.777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736.35299999999995</v>
      </c>
      <c r="AV116" s="7">
        <v>0</v>
      </c>
      <c r="AW116" s="7">
        <v>0</v>
      </c>
      <c r="AX116" s="7">
        <v>337.99299999999999</v>
      </c>
      <c r="AY116" s="7">
        <v>0</v>
      </c>
      <c r="AZ116" s="7">
        <v>0</v>
      </c>
      <c r="BA116" s="7">
        <v>261.14100000000002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21"/>
    </row>
    <row r="117" spans="1:61" ht="15.6" x14ac:dyDescent="0.3">
      <c r="A117" s="5" t="s">
        <v>222</v>
      </c>
      <c r="B117" s="5" t="s">
        <v>223</v>
      </c>
      <c r="C117" s="7">
        <v>4</v>
      </c>
      <c r="D117" s="7">
        <v>3</v>
      </c>
      <c r="E117" s="7">
        <v>24717.573</v>
      </c>
      <c r="F117" s="7">
        <v>3561.3969999999999</v>
      </c>
      <c r="G117" s="7">
        <v>5386.8879999999999</v>
      </c>
      <c r="H117" s="7">
        <v>0</v>
      </c>
      <c r="I117" s="7">
        <v>517.62800000000004</v>
      </c>
      <c r="J117" s="7">
        <v>3134.6860000000001</v>
      </c>
      <c r="K117" s="7">
        <v>11775.710999999999</v>
      </c>
      <c r="L117" s="7">
        <v>9058.7710000000006</v>
      </c>
      <c r="M117" s="7">
        <v>11476.205</v>
      </c>
      <c r="N117" s="7">
        <v>2963.2170000000001</v>
      </c>
      <c r="O117" s="7">
        <v>0</v>
      </c>
      <c r="P117" s="7">
        <v>0.45500000000000002</v>
      </c>
      <c r="Q117" s="7">
        <v>0</v>
      </c>
      <c r="R117" s="7">
        <v>0</v>
      </c>
      <c r="S117" s="7">
        <v>1593.2860000000001</v>
      </c>
      <c r="T117" s="7">
        <v>0</v>
      </c>
      <c r="U117" s="7">
        <v>9243.6740000000009</v>
      </c>
      <c r="V117" s="7">
        <v>835.51099999999997</v>
      </c>
      <c r="W117" s="7">
        <v>1039.2850000000001</v>
      </c>
      <c r="X117" s="7">
        <v>0</v>
      </c>
      <c r="Y117" s="7">
        <v>4076.1709999999998</v>
      </c>
      <c r="Z117" s="7">
        <v>0</v>
      </c>
      <c r="AA117" s="7">
        <v>8533.0339999999997</v>
      </c>
      <c r="AB117" s="7">
        <v>0</v>
      </c>
      <c r="AC117" s="7">
        <v>550.36500000000001</v>
      </c>
      <c r="AD117" s="7">
        <v>11855.82</v>
      </c>
      <c r="AE117" s="7">
        <v>3980.991</v>
      </c>
      <c r="AF117" s="7">
        <v>0</v>
      </c>
      <c r="AG117" s="7">
        <v>49251.303</v>
      </c>
      <c r="AH117" s="7">
        <v>21586.079000000002</v>
      </c>
      <c r="AI117" s="7">
        <v>0</v>
      </c>
      <c r="AJ117" s="7">
        <v>0</v>
      </c>
      <c r="AK117" s="7">
        <v>0</v>
      </c>
      <c r="AL117" s="7">
        <v>0</v>
      </c>
      <c r="AM117" s="7">
        <v>2559.5250000000001</v>
      </c>
      <c r="AN117" s="7">
        <v>0</v>
      </c>
      <c r="AO117" s="7">
        <v>632.00099999999998</v>
      </c>
      <c r="AP117" s="7">
        <v>0</v>
      </c>
      <c r="AQ117" s="7">
        <v>0</v>
      </c>
      <c r="AR117" s="7">
        <v>0</v>
      </c>
      <c r="AS117" s="7">
        <v>59.624000000000002</v>
      </c>
      <c r="AT117" s="7">
        <v>0</v>
      </c>
      <c r="AU117" s="7">
        <v>2674.2179999999998</v>
      </c>
      <c r="AV117" s="7">
        <v>0</v>
      </c>
      <c r="AW117" s="7">
        <v>0</v>
      </c>
      <c r="AX117" s="7">
        <v>0</v>
      </c>
      <c r="AY117" s="7">
        <v>580.05899999999997</v>
      </c>
      <c r="AZ117" s="7">
        <v>0</v>
      </c>
      <c r="BA117" s="7">
        <v>0</v>
      </c>
      <c r="BB117" s="7">
        <v>251.935</v>
      </c>
      <c r="BC117" s="7">
        <v>382.70299999999997</v>
      </c>
      <c r="BD117" s="7">
        <v>0</v>
      </c>
      <c r="BE117" s="7">
        <v>75.89</v>
      </c>
      <c r="BF117" s="7">
        <v>0</v>
      </c>
      <c r="BG117" s="7">
        <v>0</v>
      </c>
      <c r="BH117" s="7">
        <v>129.577</v>
      </c>
      <c r="BI117" s="21"/>
    </row>
    <row r="118" spans="1:61" ht="15.6" x14ac:dyDescent="0.3">
      <c r="A118" s="5" t="s">
        <v>224</v>
      </c>
      <c r="B118" s="5" t="s">
        <v>225</v>
      </c>
      <c r="C118" s="7">
        <v>4</v>
      </c>
      <c r="D118" s="7">
        <v>3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21"/>
    </row>
    <row r="119" spans="1:61" ht="15.6" x14ac:dyDescent="0.3">
      <c r="A119" s="5" t="s">
        <v>226</v>
      </c>
      <c r="B119" s="5" t="s">
        <v>227</v>
      </c>
      <c r="C119" s="7">
        <v>4</v>
      </c>
      <c r="D119" s="7">
        <v>4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21"/>
    </row>
    <row r="120" spans="1:61" ht="15.6" x14ac:dyDescent="0.3">
      <c r="A120" s="5" t="s">
        <v>228</v>
      </c>
      <c r="B120" s="5" t="s">
        <v>229</v>
      </c>
      <c r="C120" s="7">
        <v>4</v>
      </c>
      <c r="D120" s="7">
        <v>6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21"/>
    </row>
    <row r="121" spans="1:61" ht="15.6" x14ac:dyDescent="0.3">
      <c r="A121" s="5" t="s">
        <v>230</v>
      </c>
      <c r="B121" s="5" t="s">
        <v>231</v>
      </c>
      <c r="C121" s="7">
        <v>4</v>
      </c>
      <c r="D121" s="7">
        <v>4</v>
      </c>
      <c r="E121" s="7">
        <v>477182.728</v>
      </c>
      <c r="F121" s="7">
        <v>76403.917000000001</v>
      </c>
      <c r="G121" s="7">
        <v>0</v>
      </c>
      <c r="H121" s="7">
        <v>0</v>
      </c>
      <c r="I121" s="7">
        <v>2423.7359999999999</v>
      </c>
      <c r="J121" s="7">
        <v>0</v>
      </c>
      <c r="K121" s="7">
        <v>0</v>
      </c>
      <c r="L121" s="7">
        <v>1055033.298</v>
      </c>
      <c r="M121" s="7">
        <v>24070.04</v>
      </c>
      <c r="N121" s="7">
        <v>0</v>
      </c>
      <c r="O121" s="7">
        <v>2596.067</v>
      </c>
      <c r="P121" s="7">
        <v>0</v>
      </c>
      <c r="Q121" s="7">
        <v>600.39</v>
      </c>
      <c r="R121" s="7">
        <v>0</v>
      </c>
      <c r="S121" s="7">
        <v>24325.492999999999</v>
      </c>
      <c r="T121" s="7">
        <v>0</v>
      </c>
      <c r="U121" s="7">
        <v>0</v>
      </c>
      <c r="V121" s="7">
        <v>0</v>
      </c>
      <c r="W121" s="7">
        <v>6993.0439999999999</v>
      </c>
      <c r="X121" s="7">
        <v>82136.087</v>
      </c>
      <c r="Y121" s="7">
        <v>250382.34299999999</v>
      </c>
      <c r="Z121" s="7">
        <v>33447.072999999997</v>
      </c>
      <c r="AA121" s="7">
        <v>0</v>
      </c>
      <c r="AB121" s="7">
        <v>53334.896000000001</v>
      </c>
      <c r="AC121" s="7">
        <v>15658.558000000001</v>
      </c>
      <c r="AD121" s="7">
        <v>7645.8029999999999</v>
      </c>
      <c r="AE121" s="7">
        <v>650629.72</v>
      </c>
      <c r="AF121" s="7">
        <v>549240.55299999996</v>
      </c>
      <c r="AG121" s="7">
        <v>33198.025999999998</v>
      </c>
      <c r="AH121" s="7">
        <v>1948453.703</v>
      </c>
      <c r="AI121" s="7">
        <v>804758.90700000001</v>
      </c>
      <c r="AJ121" s="7">
        <v>180117.74100000001</v>
      </c>
      <c r="AK121" s="7">
        <v>1627010.1</v>
      </c>
      <c r="AL121" s="7">
        <v>852128.10400000005</v>
      </c>
      <c r="AM121" s="7">
        <v>0</v>
      </c>
      <c r="AN121" s="7">
        <v>571173.38800000004</v>
      </c>
      <c r="AO121" s="7">
        <v>21188.919000000002</v>
      </c>
      <c r="AP121" s="7">
        <v>0</v>
      </c>
      <c r="AQ121" s="7">
        <v>219812.82800000001</v>
      </c>
      <c r="AR121" s="7">
        <v>0</v>
      </c>
      <c r="AS121" s="7">
        <v>245.86199999999999</v>
      </c>
      <c r="AT121" s="7">
        <v>0</v>
      </c>
      <c r="AU121" s="7">
        <v>1617.93</v>
      </c>
      <c r="AV121" s="7">
        <v>0</v>
      </c>
      <c r="AW121" s="7">
        <v>0</v>
      </c>
      <c r="AX121" s="7">
        <v>103514.806</v>
      </c>
      <c r="AY121" s="7">
        <v>0</v>
      </c>
      <c r="AZ121" s="7">
        <v>0</v>
      </c>
      <c r="BA121" s="7">
        <v>79977.89</v>
      </c>
      <c r="BB121" s="7">
        <v>8421.1239999999998</v>
      </c>
      <c r="BC121" s="7">
        <v>0</v>
      </c>
      <c r="BD121" s="7">
        <v>0</v>
      </c>
      <c r="BE121" s="7">
        <v>2609.2249999999999</v>
      </c>
      <c r="BF121" s="7">
        <v>0</v>
      </c>
      <c r="BG121" s="7">
        <v>75479.323000000004</v>
      </c>
      <c r="BH121" s="7">
        <v>0</v>
      </c>
      <c r="BI121" s="21"/>
    </row>
    <row r="122" spans="1:61" ht="15.6" x14ac:dyDescent="0.3">
      <c r="A122" s="5" t="s">
        <v>232</v>
      </c>
      <c r="B122" s="5" t="s">
        <v>233</v>
      </c>
      <c r="C122" s="7">
        <v>4</v>
      </c>
      <c r="D122" s="7">
        <v>3</v>
      </c>
      <c r="E122" s="7">
        <v>2699.1260000000002</v>
      </c>
      <c r="F122" s="7">
        <v>1054.2280000000001</v>
      </c>
      <c r="G122" s="7">
        <v>1166.866</v>
      </c>
      <c r="H122" s="7">
        <v>1.772</v>
      </c>
      <c r="I122" s="7">
        <v>54.545999999999999</v>
      </c>
      <c r="J122" s="7">
        <v>787.79</v>
      </c>
      <c r="K122" s="7">
        <v>0</v>
      </c>
      <c r="L122" s="7">
        <v>4131.4040000000005</v>
      </c>
      <c r="M122" s="7">
        <v>778.31600000000003</v>
      </c>
      <c r="N122" s="7">
        <v>0</v>
      </c>
      <c r="O122" s="7">
        <v>0</v>
      </c>
      <c r="P122" s="7">
        <v>2E-3</v>
      </c>
      <c r="Q122" s="7">
        <v>222.83199999999999</v>
      </c>
      <c r="R122" s="7">
        <v>361.10300000000001</v>
      </c>
      <c r="S122" s="7">
        <v>431.029</v>
      </c>
      <c r="T122" s="7">
        <v>0</v>
      </c>
      <c r="U122" s="7">
        <v>0</v>
      </c>
      <c r="V122" s="7">
        <v>195.77199999999999</v>
      </c>
      <c r="W122" s="7">
        <v>34.756</v>
      </c>
      <c r="X122" s="7">
        <v>0</v>
      </c>
      <c r="Y122" s="7">
        <v>1063.42</v>
      </c>
      <c r="Z122" s="7">
        <v>5680.6819999999998</v>
      </c>
      <c r="AA122" s="7">
        <v>2382.7750000000001</v>
      </c>
      <c r="AB122" s="7">
        <v>0</v>
      </c>
      <c r="AC122" s="7">
        <v>307.29700000000003</v>
      </c>
      <c r="AD122" s="7">
        <v>1855.318</v>
      </c>
      <c r="AE122" s="7">
        <v>9279.1</v>
      </c>
      <c r="AF122" s="7">
        <v>11.473000000000001</v>
      </c>
      <c r="AG122" s="7">
        <v>7188.5219999999999</v>
      </c>
      <c r="AH122" s="7">
        <v>11421.412</v>
      </c>
      <c r="AI122" s="7">
        <v>8.9999999999999993E-3</v>
      </c>
      <c r="AJ122" s="7">
        <v>28074.898000000001</v>
      </c>
      <c r="AK122" s="7">
        <v>0</v>
      </c>
      <c r="AL122" s="7">
        <v>0</v>
      </c>
      <c r="AM122" s="7">
        <v>0</v>
      </c>
      <c r="AN122" s="7">
        <v>0</v>
      </c>
      <c r="AO122" s="7">
        <v>457.71300000000002</v>
      </c>
      <c r="AP122" s="7">
        <v>0</v>
      </c>
      <c r="AQ122" s="7">
        <v>1.69</v>
      </c>
      <c r="AR122" s="7">
        <v>0</v>
      </c>
      <c r="AS122" s="7">
        <v>1.373</v>
      </c>
      <c r="AT122" s="7">
        <v>0</v>
      </c>
      <c r="AU122" s="7">
        <v>43.23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178.178</v>
      </c>
      <c r="BC122" s="7">
        <v>0</v>
      </c>
      <c r="BD122" s="7">
        <v>0</v>
      </c>
      <c r="BE122" s="7">
        <v>53.551000000000002</v>
      </c>
      <c r="BF122" s="7">
        <v>0</v>
      </c>
      <c r="BG122" s="7">
        <v>16750.253000000001</v>
      </c>
      <c r="BH122" s="7">
        <v>0</v>
      </c>
      <c r="BI122" s="21"/>
    </row>
    <row r="123" spans="1:61" ht="15.6" x14ac:dyDescent="0.3">
      <c r="A123" s="5" t="s">
        <v>234</v>
      </c>
      <c r="B123" s="5" t="s">
        <v>235</v>
      </c>
      <c r="C123" s="7">
        <v>4</v>
      </c>
      <c r="D123" s="7">
        <v>4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21"/>
    </row>
    <row r="124" spans="1:61" ht="15.6" x14ac:dyDescent="0.3">
      <c r="A124" s="5" t="s">
        <v>228</v>
      </c>
      <c r="B124" s="5" t="s">
        <v>236</v>
      </c>
      <c r="C124" s="7">
        <v>4</v>
      </c>
      <c r="D124" s="7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21"/>
    </row>
    <row r="125" spans="1:61" ht="15.6" x14ac:dyDescent="0.3">
      <c r="A125" s="5" t="s">
        <v>237</v>
      </c>
      <c r="B125" s="5" t="s">
        <v>238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90.122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21"/>
    </row>
    <row r="126" spans="1:61" ht="15.6" x14ac:dyDescent="0.3">
      <c r="A126" s="5" t="s">
        <v>239</v>
      </c>
      <c r="B126" s="5" t="s">
        <v>240</v>
      </c>
      <c r="C126" s="7">
        <v>4</v>
      </c>
      <c r="D126" s="7">
        <v>3</v>
      </c>
      <c r="E126" s="7">
        <v>2328.1030000000001</v>
      </c>
      <c r="F126" s="7">
        <v>1676.787</v>
      </c>
      <c r="G126" s="7">
        <v>112.349</v>
      </c>
      <c r="H126" s="7">
        <v>0</v>
      </c>
      <c r="I126" s="7">
        <v>123.026</v>
      </c>
      <c r="J126" s="7">
        <v>1211.94</v>
      </c>
      <c r="K126" s="7">
        <v>0</v>
      </c>
      <c r="L126" s="7">
        <v>3478.4229999999998</v>
      </c>
      <c r="M126" s="7">
        <v>184.94300000000001</v>
      </c>
      <c r="N126" s="7">
        <v>0</v>
      </c>
      <c r="O126" s="7">
        <v>0</v>
      </c>
      <c r="P126" s="7">
        <v>5.0000000000000001E-3</v>
      </c>
      <c r="Q126" s="7">
        <v>0</v>
      </c>
      <c r="R126" s="7">
        <v>0</v>
      </c>
      <c r="S126" s="7">
        <v>681.38400000000001</v>
      </c>
      <c r="T126" s="7">
        <v>0</v>
      </c>
      <c r="U126" s="7">
        <v>0</v>
      </c>
      <c r="V126" s="7">
        <v>249.26900000000001</v>
      </c>
      <c r="W126" s="7">
        <v>2.1880000000000002</v>
      </c>
      <c r="X126" s="7">
        <v>0</v>
      </c>
      <c r="Y126" s="7">
        <v>94.397000000000006</v>
      </c>
      <c r="Z126" s="7">
        <v>0</v>
      </c>
      <c r="AA126" s="7">
        <v>4180.2960000000003</v>
      </c>
      <c r="AB126" s="7">
        <v>0</v>
      </c>
      <c r="AC126" s="7">
        <v>270.28199999999998</v>
      </c>
      <c r="AD126" s="7">
        <v>0</v>
      </c>
      <c r="AE126" s="7">
        <v>831.94799999999998</v>
      </c>
      <c r="AF126" s="7">
        <v>29.75</v>
      </c>
      <c r="AG126" s="7">
        <v>0</v>
      </c>
      <c r="AH126" s="7">
        <v>5646.0010000000002</v>
      </c>
      <c r="AI126" s="7">
        <v>2.1999999999999999E-2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660.55399999999997</v>
      </c>
      <c r="AP126" s="7">
        <v>0</v>
      </c>
      <c r="AQ126" s="7">
        <v>4.3819999999999997</v>
      </c>
      <c r="AR126" s="7">
        <v>0</v>
      </c>
      <c r="AS126" s="7">
        <v>2.2989999999999999</v>
      </c>
      <c r="AT126" s="7">
        <v>0</v>
      </c>
      <c r="AU126" s="7">
        <v>0.30499999999999999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256.084</v>
      </c>
      <c r="BC126" s="7">
        <v>0</v>
      </c>
      <c r="BD126" s="7">
        <v>0</v>
      </c>
      <c r="BE126" s="7">
        <v>77.298000000000002</v>
      </c>
      <c r="BF126" s="7">
        <v>0</v>
      </c>
      <c r="BG126" s="7">
        <v>0</v>
      </c>
      <c r="BH126" s="7">
        <v>0</v>
      </c>
      <c r="BI126" s="21"/>
    </row>
    <row r="127" spans="1:61" ht="15.6" x14ac:dyDescent="0.3">
      <c r="A127" s="5" t="s">
        <v>241</v>
      </c>
      <c r="B127" s="5" t="s">
        <v>242</v>
      </c>
      <c r="C127" s="7">
        <v>2</v>
      </c>
      <c r="D127" s="7">
        <v>2</v>
      </c>
      <c r="E127" s="7">
        <v>79924.471999999994</v>
      </c>
      <c r="F127" s="7">
        <v>10663.223</v>
      </c>
      <c r="G127" s="7">
        <v>10545.214</v>
      </c>
      <c r="H127" s="7">
        <v>0</v>
      </c>
      <c r="I127" s="7">
        <v>2025.4760000000001</v>
      </c>
      <c r="J127" s="7">
        <v>7991.6030000000001</v>
      </c>
      <c r="K127" s="7">
        <v>0</v>
      </c>
      <c r="L127" s="7">
        <v>62768.813999999998</v>
      </c>
      <c r="M127" s="7">
        <v>24774.163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3329.3910000000001</v>
      </c>
      <c r="T127" s="7">
        <v>0</v>
      </c>
      <c r="U127" s="7">
        <v>0</v>
      </c>
      <c r="V127" s="7">
        <v>1595.556</v>
      </c>
      <c r="W127" s="7">
        <v>3406.4</v>
      </c>
      <c r="X127" s="7">
        <v>0</v>
      </c>
      <c r="Y127" s="7">
        <v>34041.557999999997</v>
      </c>
      <c r="Z127" s="7">
        <v>0</v>
      </c>
      <c r="AA127" s="7">
        <v>9664.2890000000007</v>
      </c>
      <c r="AB127" s="7">
        <v>0</v>
      </c>
      <c r="AC127" s="7">
        <v>1875.7739999999999</v>
      </c>
      <c r="AD127" s="7">
        <v>0</v>
      </c>
      <c r="AE127" s="7">
        <v>99244.159</v>
      </c>
      <c r="AF127" s="7">
        <v>0</v>
      </c>
      <c r="AG127" s="7">
        <v>0</v>
      </c>
      <c r="AH127" s="7">
        <v>175442.16899999999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917.67700000000002</v>
      </c>
      <c r="AP127" s="7">
        <v>0</v>
      </c>
      <c r="AQ127" s="7">
        <v>0</v>
      </c>
      <c r="AR127" s="7">
        <v>0</v>
      </c>
      <c r="AS127" s="7">
        <v>4.43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379.55200000000002</v>
      </c>
      <c r="BC127" s="7">
        <v>0</v>
      </c>
      <c r="BD127" s="7">
        <v>0</v>
      </c>
      <c r="BE127" s="7">
        <v>156.125</v>
      </c>
      <c r="BF127" s="7">
        <v>0</v>
      </c>
      <c r="BG127" s="7">
        <v>0</v>
      </c>
      <c r="BH127" s="7">
        <v>0</v>
      </c>
      <c r="BI127" s="21"/>
    </row>
    <row r="128" spans="1:61" ht="15.6" x14ac:dyDescent="0.3">
      <c r="A128" s="5" t="s">
        <v>243</v>
      </c>
      <c r="B128" s="5" t="s">
        <v>244</v>
      </c>
      <c r="C128" s="7">
        <v>4</v>
      </c>
      <c r="D128" s="7">
        <v>4</v>
      </c>
      <c r="E128" s="7">
        <v>31537.404999999999</v>
      </c>
      <c r="F128" s="7">
        <v>5041.067</v>
      </c>
      <c r="G128" s="7">
        <v>0</v>
      </c>
      <c r="H128" s="7">
        <v>0</v>
      </c>
      <c r="I128" s="7">
        <v>159.60599999999999</v>
      </c>
      <c r="J128" s="7">
        <v>0</v>
      </c>
      <c r="K128" s="7">
        <v>0</v>
      </c>
      <c r="L128" s="7">
        <v>69727.373999999996</v>
      </c>
      <c r="M128" s="7">
        <v>1578.4010000000001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1605.2139999999999</v>
      </c>
      <c r="T128" s="7">
        <v>0</v>
      </c>
      <c r="U128" s="7">
        <v>0</v>
      </c>
      <c r="V128" s="7">
        <v>0</v>
      </c>
      <c r="W128" s="7">
        <v>461.29599999999999</v>
      </c>
      <c r="X128" s="7">
        <v>0</v>
      </c>
      <c r="Y128" s="7">
        <v>16548.060000000001</v>
      </c>
      <c r="Z128" s="7">
        <v>0</v>
      </c>
      <c r="AA128" s="7">
        <v>0</v>
      </c>
      <c r="AB128" s="7">
        <v>0</v>
      </c>
      <c r="AC128" s="7">
        <v>1033.6869999999999</v>
      </c>
      <c r="AD128" s="7">
        <v>0</v>
      </c>
      <c r="AE128" s="7">
        <v>42107.353999999999</v>
      </c>
      <c r="AF128" s="7">
        <v>36282.192000000003</v>
      </c>
      <c r="AG128" s="7">
        <v>0</v>
      </c>
      <c r="AH128" s="7">
        <v>128488.622</v>
      </c>
      <c r="AI128" s="7">
        <v>53157.264999999999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1400.402</v>
      </c>
      <c r="AP128" s="7">
        <v>0</v>
      </c>
      <c r="AQ128" s="7">
        <v>14525.493</v>
      </c>
      <c r="AR128" s="7">
        <v>0</v>
      </c>
      <c r="AS128" s="7">
        <v>16.248999999999999</v>
      </c>
      <c r="AT128" s="7">
        <v>0</v>
      </c>
      <c r="AU128" s="7">
        <v>106.931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556.56200000000001</v>
      </c>
      <c r="BC128" s="7">
        <v>0</v>
      </c>
      <c r="BD128" s="7">
        <v>0</v>
      </c>
      <c r="BE128" s="7">
        <v>172.447</v>
      </c>
      <c r="BF128" s="7">
        <v>0</v>
      </c>
      <c r="BG128" s="7">
        <v>0</v>
      </c>
      <c r="BH128" s="7">
        <v>0</v>
      </c>
      <c r="BI128" s="21"/>
    </row>
    <row r="129" spans="1:61" ht="15.6" x14ac:dyDescent="0.3">
      <c r="A129" s="5" t="s">
        <v>245</v>
      </c>
      <c r="B129" s="5" t="s">
        <v>246</v>
      </c>
      <c r="C129" s="7">
        <v>4</v>
      </c>
      <c r="D129" s="7">
        <v>6</v>
      </c>
      <c r="E129" s="7">
        <v>20.431000000000001</v>
      </c>
      <c r="F129" s="7">
        <v>14.715</v>
      </c>
      <c r="G129" s="7">
        <v>0.98599999999999999</v>
      </c>
      <c r="H129" s="7">
        <v>0</v>
      </c>
      <c r="I129" s="7">
        <v>1.08</v>
      </c>
      <c r="J129" s="7">
        <v>10.635999999999999</v>
      </c>
      <c r="K129" s="7">
        <v>0</v>
      </c>
      <c r="L129" s="7">
        <v>30.526</v>
      </c>
      <c r="M129" s="7">
        <v>1.623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5.98</v>
      </c>
      <c r="T129" s="7">
        <v>0</v>
      </c>
      <c r="U129" s="7">
        <v>0</v>
      </c>
      <c r="V129" s="7">
        <v>2.1880000000000002</v>
      </c>
      <c r="W129" s="7">
        <v>1.9E-2</v>
      </c>
      <c r="X129" s="7">
        <v>0</v>
      </c>
      <c r="Y129" s="7">
        <v>0.82799999999999996</v>
      </c>
      <c r="Z129" s="7">
        <v>0</v>
      </c>
      <c r="AA129" s="7">
        <v>36.686</v>
      </c>
      <c r="AB129" s="7">
        <v>0</v>
      </c>
      <c r="AC129" s="7">
        <v>2.3719999999999999</v>
      </c>
      <c r="AD129" s="7">
        <v>0</v>
      </c>
      <c r="AE129" s="7">
        <v>7.3010000000000002</v>
      </c>
      <c r="AF129" s="7">
        <v>0.26100000000000001</v>
      </c>
      <c r="AG129" s="7">
        <v>0</v>
      </c>
      <c r="AH129" s="7">
        <v>49.548000000000002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5.7969999999999997</v>
      </c>
      <c r="AP129" s="7">
        <v>0</v>
      </c>
      <c r="AQ129" s="7">
        <v>3.7999999999999999E-2</v>
      </c>
      <c r="AR129" s="7">
        <v>0</v>
      </c>
      <c r="AS129" s="7">
        <v>0.02</v>
      </c>
      <c r="AT129" s="7">
        <v>0</v>
      </c>
      <c r="AU129" s="7">
        <v>3.0000000000000001E-3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2.2469999999999999</v>
      </c>
      <c r="BC129" s="7">
        <v>0</v>
      </c>
      <c r="BD129" s="7">
        <v>0</v>
      </c>
      <c r="BE129" s="7">
        <v>0.67800000000000005</v>
      </c>
      <c r="BF129" s="7">
        <v>0</v>
      </c>
      <c r="BG129" s="7">
        <v>0</v>
      </c>
      <c r="BH129" s="7">
        <v>0</v>
      </c>
      <c r="BI129" s="21"/>
    </row>
    <row r="130" spans="1:61" ht="15.6" x14ac:dyDescent="0.3">
      <c r="A130" s="5" t="s">
        <v>247</v>
      </c>
      <c r="B130" s="5" t="s">
        <v>248</v>
      </c>
      <c r="C130" s="7">
        <v>6</v>
      </c>
      <c r="D130" s="7">
        <v>6</v>
      </c>
      <c r="E130" s="7">
        <v>52283.163999999997</v>
      </c>
      <c r="F130" s="7">
        <v>309.76799999999997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74511.676999999996</v>
      </c>
      <c r="M130" s="7">
        <v>11675.547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5919.8329999999996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27560.103999999999</v>
      </c>
      <c r="AF130" s="7">
        <v>171.46100000000001</v>
      </c>
      <c r="AG130" s="7">
        <v>0</v>
      </c>
      <c r="AH130" s="7">
        <v>140059.44699999999</v>
      </c>
      <c r="AI130" s="7">
        <v>312.68700000000001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21"/>
    </row>
    <row r="131" spans="1:61" ht="15.6" x14ac:dyDescent="0.3">
      <c r="A131" s="5" t="s">
        <v>249</v>
      </c>
      <c r="B131" s="5" t="s">
        <v>250</v>
      </c>
      <c r="C131" s="7">
        <v>6</v>
      </c>
      <c r="D131" s="7">
        <v>6</v>
      </c>
      <c r="E131" s="7">
        <v>7275.6959999999999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17485.511999999999</v>
      </c>
      <c r="M131" s="7">
        <v>590.26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1091.086</v>
      </c>
      <c r="AF131" s="7">
        <v>0</v>
      </c>
      <c r="AG131" s="7">
        <v>0</v>
      </c>
      <c r="AH131" s="7">
        <v>7416.0320000000002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21"/>
    </row>
    <row r="132" spans="1:61" ht="15.6" x14ac:dyDescent="0.3">
      <c r="A132" s="5" t="s">
        <v>251</v>
      </c>
      <c r="B132" s="5" t="s">
        <v>252</v>
      </c>
      <c r="C132" s="7">
        <v>6</v>
      </c>
      <c r="D132" s="7">
        <v>6</v>
      </c>
      <c r="E132" s="7">
        <v>14566.056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83950.014999999999</v>
      </c>
      <c r="M132" s="7">
        <v>2143.259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248.47200000000001</v>
      </c>
      <c r="AB132" s="7">
        <v>0</v>
      </c>
      <c r="AC132" s="7">
        <v>0</v>
      </c>
      <c r="AD132" s="7">
        <v>0</v>
      </c>
      <c r="AE132" s="7">
        <v>19665.208999999999</v>
      </c>
      <c r="AF132" s="7">
        <v>0</v>
      </c>
      <c r="AG132" s="7">
        <v>0</v>
      </c>
      <c r="AH132" s="7">
        <v>114703.84699999999</v>
      </c>
      <c r="AI132" s="7">
        <v>22342.286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21"/>
    </row>
    <row r="133" spans="1:61" ht="15.6" x14ac:dyDescent="0.3">
      <c r="A133" s="5" t="s">
        <v>253</v>
      </c>
      <c r="B133" s="5" t="s">
        <v>254</v>
      </c>
      <c r="C133" s="7">
        <v>6</v>
      </c>
      <c r="D133" s="7">
        <v>6</v>
      </c>
      <c r="E133" s="7">
        <v>277459.43300000002</v>
      </c>
      <c r="F133" s="7">
        <v>14971.450999999999</v>
      </c>
      <c r="G133" s="7">
        <v>12474.281000000001</v>
      </c>
      <c r="H133" s="7">
        <v>3523.3139999999999</v>
      </c>
      <c r="I133" s="7">
        <v>2159.143</v>
      </c>
      <c r="J133" s="7">
        <v>8041.3270000000002</v>
      </c>
      <c r="K133" s="7">
        <v>0</v>
      </c>
      <c r="L133" s="7">
        <v>327230.81199999998</v>
      </c>
      <c r="M133" s="7">
        <v>70503.597999999998</v>
      </c>
      <c r="N133" s="7">
        <v>0</v>
      </c>
      <c r="O133" s="7">
        <v>0</v>
      </c>
      <c r="P133" s="7">
        <v>308.00900000000001</v>
      </c>
      <c r="Q133" s="7">
        <v>0</v>
      </c>
      <c r="R133" s="7">
        <v>87.593999999999994</v>
      </c>
      <c r="S133" s="7">
        <v>3339.1</v>
      </c>
      <c r="T133" s="7">
        <v>0</v>
      </c>
      <c r="U133" s="7">
        <v>0</v>
      </c>
      <c r="V133" s="7">
        <v>1399.2249999999999</v>
      </c>
      <c r="W133" s="7">
        <v>4030.6959999999999</v>
      </c>
      <c r="X133" s="7">
        <v>0</v>
      </c>
      <c r="Y133" s="7">
        <v>53923.28</v>
      </c>
      <c r="Z133" s="7">
        <v>0</v>
      </c>
      <c r="AA133" s="7">
        <v>12283.8</v>
      </c>
      <c r="AB133" s="7">
        <v>0</v>
      </c>
      <c r="AC133" s="7">
        <v>2081.4659999999999</v>
      </c>
      <c r="AD133" s="7">
        <v>0</v>
      </c>
      <c r="AE133" s="7">
        <v>194122.486</v>
      </c>
      <c r="AF133" s="7">
        <v>10239.433999999999</v>
      </c>
      <c r="AG133" s="7">
        <v>0</v>
      </c>
      <c r="AH133" s="7">
        <v>616818.67599999998</v>
      </c>
      <c r="AI133" s="7">
        <v>11196.735000000001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33.393999999999998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21"/>
    </row>
    <row r="134" spans="1:61" ht="15.6" x14ac:dyDescent="0.3">
      <c r="A134" s="5" t="s">
        <v>255</v>
      </c>
      <c r="B134" s="5" t="s">
        <v>256</v>
      </c>
      <c r="C134" s="7">
        <v>6</v>
      </c>
      <c r="D134" s="7">
        <v>6</v>
      </c>
      <c r="E134" s="7">
        <v>15811.251</v>
      </c>
      <c r="F134" s="7">
        <v>27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11726.465</v>
      </c>
      <c r="M134" s="7">
        <v>1513.4349999999999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1576.4580000000001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7650.6149999999998</v>
      </c>
      <c r="AF134" s="7">
        <v>875.46</v>
      </c>
      <c r="AG134" s="7">
        <v>0</v>
      </c>
      <c r="AH134" s="7">
        <v>29141.52</v>
      </c>
      <c r="AI134" s="7">
        <v>2890.174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21"/>
    </row>
    <row r="135" spans="1:61" ht="15.6" x14ac:dyDescent="0.3">
      <c r="A135" s="5" t="s">
        <v>257</v>
      </c>
      <c r="B135" s="5" t="s">
        <v>258</v>
      </c>
      <c r="C135" s="7">
        <v>6</v>
      </c>
      <c r="D135" s="7">
        <v>6</v>
      </c>
      <c r="E135" s="7">
        <v>137131.07399999999</v>
      </c>
      <c r="F135" s="7">
        <v>6241.6239999999998</v>
      </c>
      <c r="G135" s="7">
        <v>6286.3239999999996</v>
      </c>
      <c r="H135" s="7">
        <v>0</v>
      </c>
      <c r="I135" s="7">
        <v>1100.682</v>
      </c>
      <c r="J135" s="7">
        <v>3828.1930000000002</v>
      </c>
      <c r="K135" s="7">
        <v>0</v>
      </c>
      <c r="L135" s="7">
        <v>123516.167</v>
      </c>
      <c r="M135" s="7">
        <v>42012.555999999997</v>
      </c>
      <c r="N135" s="7">
        <v>0</v>
      </c>
      <c r="O135" s="7">
        <v>0</v>
      </c>
      <c r="P135" s="7">
        <v>184.55199999999999</v>
      </c>
      <c r="Q135" s="7">
        <v>0</v>
      </c>
      <c r="R135" s="7">
        <v>1.5569999999999999</v>
      </c>
      <c r="S135" s="7">
        <v>0</v>
      </c>
      <c r="T135" s="7">
        <v>0</v>
      </c>
      <c r="U135" s="7">
        <v>0</v>
      </c>
      <c r="V135" s="7">
        <v>686.45299999999997</v>
      </c>
      <c r="W135" s="7">
        <v>2023.94</v>
      </c>
      <c r="X135" s="7">
        <v>0</v>
      </c>
      <c r="Y135" s="7">
        <v>25547.977999999999</v>
      </c>
      <c r="Z135" s="7">
        <v>0</v>
      </c>
      <c r="AA135" s="7">
        <v>6405.96</v>
      </c>
      <c r="AB135" s="7">
        <v>0</v>
      </c>
      <c r="AC135" s="7">
        <v>946.85</v>
      </c>
      <c r="AD135" s="7">
        <v>0</v>
      </c>
      <c r="AE135" s="7">
        <v>101569.75599999999</v>
      </c>
      <c r="AF135" s="7">
        <v>1340.0239999999999</v>
      </c>
      <c r="AG135" s="7">
        <v>0</v>
      </c>
      <c r="AH135" s="7">
        <v>301478.25900000002</v>
      </c>
      <c r="AI135" s="7">
        <v>1772.2660000000001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21"/>
    </row>
    <row r="136" spans="1:61" ht="15.6" x14ac:dyDescent="0.3">
      <c r="A136" s="5" t="s">
        <v>259</v>
      </c>
      <c r="B136" s="5" t="s">
        <v>260</v>
      </c>
      <c r="C136" s="7">
        <v>6</v>
      </c>
      <c r="D136" s="7">
        <v>6</v>
      </c>
      <c r="E136" s="7">
        <v>24373.115000000002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47330.644</v>
      </c>
      <c r="M136" s="7">
        <v>4064.0810000000001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6777.0569999999998</v>
      </c>
      <c r="AF136" s="7">
        <v>0</v>
      </c>
      <c r="AG136" s="7">
        <v>0</v>
      </c>
      <c r="AH136" s="7">
        <v>85868.335000000006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21"/>
    </row>
    <row r="137" spans="1:61" ht="15.6" x14ac:dyDescent="0.3">
      <c r="A137" s="5" t="s">
        <v>261</v>
      </c>
      <c r="B137" s="5" t="s">
        <v>262</v>
      </c>
      <c r="C137" s="7">
        <v>6</v>
      </c>
      <c r="D137" s="7">
        <v>6</v>
      </c>
      <c r="E137" s="7">
        <v>953008.10699999996</v>
      </c>
      <c r="F137" s="7">
        <v>14715.851000000001</v>
      </c>
      <c r="G137" s="7">
        <v>16772.829000000002</v>
      </c>
      <c r="H137" s="7">
        <v>2103.3829999999998</v>
      </c>
      <c r="I137" s="7">
        <v>3257.877</v>
      </c>
      <c r="J137" s="7">
        <v>9737.5069999999996</v>
      </c>
      <c r="K137" s="7">
        <v>0</v>
      </c>
      <c r="L137" s="7">
        <v>916355.34100000001</v>
      </c>
      <c r="M137" s="7">
        <v>256113.266</v>
      </c>
      <c r="N137" s="7">
        <v>0</v>
      </c>
      <c r="O137" s="7">
        <v>0</v>
      </c>
      <c r="P137" s="7">
        <v>492.65600000000001</v>
      </c>
      <c r="Q137" s="7">
        <v>0</v>
      </c>
      <c r="R137" s="7">
        <v>5.3810000000000002</v>
      </c>
      <c r="S137" s="7">
        <v>0</v>
      </c>
      <c r="T137" s="7">
        <v>0</v>
      </c>
      <c r="U137" s="7">
        <v>0</v>
      </c>
      <c r="V137" s="7">
        <v>1381.759</v>
      </c>
      <c r="W137" s="7">
        <v>4098.6930000000002</v>
      </c>
      <c r="X137" s="7">
        <v>0</v>
      </c>
      <c r="Y137" s="7">
        <v>166423.821</v>
      </c>
      <c r="Z137" s="7">
        <v>0</v>
      </c>
      <c r="AA137" s="7">
        <v>31947.034</v>
      </c>
      <c r="AB137" s="7">
        <v>0</v>
      </c>
      <c r="AC137" s="7">
        <v>1995.819</v>
      </c>
      <c r="AD137" s="7">
        <v>0</v>
      </c>
      <c r="AE137" s="7">
        <v>579251.21200000006</v>
      </c>
      <c r="AF137" s="7">
        <v>18429.737000000001</v>
      </c>
      <c r="AG137" s="7">
        <v>0</v>
      </c>
      <c r="AH137" s="7">
        <v>2102570.1379999998</v>
      </c>
      <c r="AI137" s="7">
        <v>54097.466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85.245999999999995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21"/>
    </row>
    <row r="138" spans="1:61" ht="15.6" x14ac:dyDescent="0.3">
      <c r="A138" s="5" t="s">
        <v>263</v>
      </c>
      <c r="B138" s="5" t="s">
        <v>264</v>
      </c>
      <c r="C138" s="7">
        <v>4</v>
      </c>
      <c r="D138" s="7">
        <v>4</v>
      </c>
      <c r="E138" s="7">
        <v>2633.373</v>
      </c>
      <c r="F138" s="7">
        <v>431.23</v>
      </c>
      <c r="G138" s="7">
        <v>403.25599999999997</v>
      </c>
      <c r="H138" s="7">
        <v>604.053</v>
      </c>
      <c r="I138" s="7">
        <v>42.131999999999998</v>
      </c>
      <c r="J138" s="7">
        <v>234.625</v>
      </c>
      <c r="K138" s="7">
        <v>0</v>
      </c>
      <c r="L138" s="7">
        <v>2668.8380000000002</v>
      </c>
      <c r="M138" s="7">
        <v>947.25400000000002</v>
      </c>
      <c r="N138" s="7">
        <v>0</v>
      </c>
      <c r="O138" s="7">
        <v>0</v>
      </c>
      <c r="P138" s="7">
        <v>6.8000000000000005E-2</v>
      </c>
      <c r="Q138" s="7">
        <v>0</v>
      </c>
      <c r="R138" s="7">
        <v>0</v>
      </c>
      <c r="S138" s="7">
        <v>173.07499999999999</v>
      </c>
      <c r="T138" s="7">
        <v>0</v>
      </c>
      <c r="U138" s="7">
        <v>0</v>
      </c>
      <c r="V138" s="7">
        <v>62.554000000000002</v>
      </c>
      <c r="W138" s="7">
        <v>96.884</v>
      </c>
      <c r="X138" s="7">
        <v>0</v>
      </c>
      <c r="Y138" s="7">
        <v>693.96400000000006</v>
      </c>
      <c r="Z138" s="7">
        <v>0</v>
      </c>
      <c r="AA138" s="7">
        <v>638.84100000000001</v>
      </c>
      <c r="AB138" s="7">
        <v>0</v>
      </c>
      <c r="AC138" s="7">
        <v>75.528999999999996</v>
      </c>
      <c r="AD138" s="7">
        <v>0</v>
      </c>
      <c r="AE138" s="7">
        <v>1332.297</v>
      </c>
      <c r="AF138" s="7">
        <v>1000.403</v>
      </c>
      <c r="AG138" s="7">
        <v>0</v>
      </c>
      <c r="AH138" s="7">
        <v>4596.9769999999999</v>
      </c>
      <c r="AI138" s="7">
        <v>1604.03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84.769000000000005</v>
      </c>
      <c r="AP138" s="7">
        <v>0</v>
      </c>
      <c r="AQ138" s="7">
        <v>393.88600000000002</v>
      </c>
      <c r="AR138" s="7">
        <v>0</v>
      </c>
      <c r="AS138" s="7">
        <v>1.5209999999999999</v>
      </c>
      <c r="AT138" s="7">
        <v>0</v>
      </c>
      <c r="AU138" s="7">
        <v>31.902999999999999</v>
      </c>
      <c r="AV138" s="7">
        <v>0</v>
      </c>
      <c r="AW138" s="7">
        <v>0</v>
      </c>
      <c r="AX138" s="7">
        <v>0</v>
      </c>
      <c r="AY138" s="7">
        <v>58.445999999999998</v>
      </c>
      <c r="AZ138" s="7">
        <v>585.66099999999994</v>
      </c>
      <c r="BA138" s="7">
        <v>0</v>
      </c>
      <c r="BB138" s="7">
        <v>33.363</v>
      </c>
      <c r="BC138" s="7">
        <v>28.652000000000001</v>
      </c>
      <c r="BD138" s="7">
        <v>728.25300000000004</v>
      </c>
      <c r="BE138" s="7">
        <v>9.8379999999999992</v>
      </c>
      <c r="BF138" s="7">
        <v>253.77799999999999</v>
      </c>
      <c r="BG138" s="7">
        <v>0</v>
      </c>
      <c r="BH138" s="7">
        <v>9.7010000000000005</v>
      </c>
      <c r="BI138" s="21"/>
    </row>
    <row r="139" spans="1:61" ht="15.6" x14ac:dyDescent="0.3">
      <c r="A139" s="5" t="s">
        <v>265</v>
      </c>
      <c r="B139" s="5" t="s">
        <v>266</v>
      </c>
      <c r="C139" s="7">
        <v>6</v>
      </c>
      <c r="D139" s="7">
        <v>6</v>
      </c>
      <c r="E139" s="7">
        <v>3860.3939999999998</v>
      </c>
      <c r="F139" s="7">
        <v>0</v>
      </c>
      <c r="G139" s="7">
        <v>0</v>
      </c>
      <c r="H139" s="7">
        <v>1.0999999999999999E-2</v>
      </c>
      <c r="I139" s="7">
        <v>0</v>
      </c>
      <c r="J139" s="7">
        <v>0</v>
      </c>
      <c r="K139" s="7">
        <v>0</v>
      </c>
      <c r="L139" s="7">
        <v>6244.1989999999996</v>
      </c>
      <c r="M139" s="7">
        <v>1210.671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1041.604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4425.6980000000003</v>
      </c>
      <c r="AF139" s="7">
        <v>6.0000000000000001E-3</v>
      </c>
      <c r="AG139" s="7">
        <v>0</v>
      </c>
      <c r="AH139" s="7">
        <v>14339.314</v>
      </c>
      <c r="AI139" s="7">
        <v>8.9999999999999993E-3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21"/>
    </row>
    <row r="140" spans="1:61" ht="15.6" x14ac:dyDescent="0.3">
      <c r="A140" s="5" t="s">
        <v>267</v>
      </c>
      <c r="B140" s="5" t="s">
        <v>268</v>
      </c>
      <c r="C140" s="7">
        <v>4</v>
      </c>
      <c r="D140" s="7">
        <v>4</v>
      </c>
      <c r="E140" s="7">
        <v>1.1220000000000001</v>
      </c>
      <c r="F140" s="7">
        <v>0.17899999999999999</v>
      </c>
      <c r="G140" s="7">
        <v>0</v>
      </c>
      <c r="H140" s="7">
        <v>0</v>
      </c>
      <c r="I140" s="7">
        <v>6.0000000000000001E-3</v>
      </c>
      <c r="J140" s="7">
        <v>0</v>
      </c>
      <c r="K140" s="7">
        <v>0</v>
      </c>
      <c r="L140" s="7">
        <v>2.4809999999999999</v>
      </c>
      <c r="M140" s="7">
        <v>5.6000000000000001E-2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5.7000000000000002E-2</v>
      </c>
      <c r="T140" s="7">
        <v>0</v>
      </c>
      <c r="U140" s="7">
        <v>0</v>
      </c>
      <c r="V140" s="7">
        <v>0</v>
      </c>
      <c r="W140" s="7">
        <v>1.6E-2</v>
      </c>
      <c r="X140" s="7">
        <v>0</v>
      </c>
      <c r="Y140" s="7">
        <v>0.58899999999999997</v>
      </c>
      <c r="Z140" s="7">
        <v>0</v>
      </c>
      <c r="AA140" s="7">
        <v>0</v>
      </c>
      <c r="AB140" s="7">
        <v>0</v>
      </c>
      <c r="AC140" s="7">
        <v>3.6999999999999998E-2</v>
      </c>
      <c r="AD140" s="7">
        <v>0</v>
      </c>
      <c r="AE140" s="7">
        <v>1.498</v>
      </c>
      <c r="AF140" s="7">
        <v>1.2909999999999999</v>
      </c>
      <c r="AG140" s="7">
        <v>0</v>
      </c>
      <c r="AH140" s="7">
        <v>4.5730000000000004</v>
      </c>
      <c r="AI140" s="7">
        <v>1.8919999999999999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0.05</v>
      </c>
      <c r="AP140" s="7">
        <v>0</v>
      </c>
      <c r="AQ140" s="7">
        <v>0.51700000000000002</v>
      </c>
      <c r="AR140" s="7">
        <v>0</v>
      </c>
      <c r="AS140" s="7">
        <v>1E-3</v>
      </c>
      <c r="AT140" s="7">
        <v>0</v>
      </c>
      <c r="AU140" s="7">
        <v>4.0000000000000001E-3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0.02</v>
      </c>
      <c r="BC140" s="7">
        <v>0</v>
      </c>
      <c r="BD140" s="7">
        <v>0</v>
      </c>
      <c r="BE140" s="7">
        <v>6.0000000000000001E-3</v>
      </c>
      <c r="BF140" s="7">
        <v>0</v>
      </c>
      <c r="BG140" s="7">
        <v>0</v>
      </c>
      <c r="BH140" s="7">
        <v>0</v>
      </c>
      <c r="BI140" s="21"/>
    </row>
    <row r="141" spans="1:61" ht="15.6" x14ac:dyDescent="0.3">
      <c r="A141" s="5" t="s">
        <v>269</v>
      </c>
      <c r="B141" s="5" t="s">
        <v>270</v>
      </c>
      <c r="C141" s="7">
        <v>6</v>
      </c>
      <c r="D141" s="7">
        <v>6</v>
      </c>
      <c r="E141" s="7">
        <v>1414.354</v>
      </c>
      <c r="F141" s="7">
        <v>11.962</v>
      </c>
      <c r="G141" s="7">
        <v>16.800999999999998</v>
      </c>
      <c r="H141" s="7">
        <v>0</v>
      </c>
      <c r="I141" s="7">
        <v>2.9129999999999998</v>
      </c>
      <c r="J141" s="7">
        <v>10.202999999999999</v>
      </c>
      <c r="K141" s="7">
        <v>0</v>
      </c>
      <c r="L141" s="7">
        <v>2113.5889999999999</v>
      </c>
      <c r="M141" s="7">
        <v>466.49900000000002</v>
      </c>
      <c r="N141" s="7">
        <v>0</v>
      </c>
      <c r="O141" s="7">
        <v>0</v>
      </c>
      <c r="P141" s="7">
        <v>0.52500000000000002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1.696</v>
      </c>
      <c r="W141" s="7">
        <v>5.0979999999999999</v>
      </c>
      <c r="X141" s="7">
        <v>0</v>
      </c>
      <c r="Y141" s="7">
        <v>425.39299999999997</v>
      </c>
      <c r="Z141" s="7">
        <v>0</v>
      </c>
      <c r="AA141" s="7">
        <v>13.723000000000001</v>
      </c>
      <c r="AB141" s="7">
        <v>0</v>
      </c>
      <c r="AC141" s="7">
        <v>2.1859999999999999</v>
      </c>
      <c r="AD141" s="7">
        <v>0</v>
      </c>
      <c r="AE141" s="7">
        <v>1660.4639999999999</v>
      </c>
      <c r="AF141" s="7">
        <v>0</v>
      </c>
      <c r="AG141" s="7">
        <v>0</v>
      </c>
      <c r="AH141" s="7">
        <v>4472.866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21"/>
    </row>
    <row r="142" spans="1:61" ht="15.6" x14ac:dyDescent="0.3">
      <c r="A142" s="5" t="s">
        <v>271</v>
      </c>
      <c r="B142" s="5" t="s">
        <v>272</v>
      </c>
      <c r="C142" s="7">
        <v>4</v>
      </c>
      <c r="D142" s="7">
        <v>4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21"/>
    </row>
    <row r="143" spans="1:61" ht="15.6" x14ac:dyDescent="0.3">
      <c r="A143" s="5" t="s">
        <v>273</v>
      </c>
      <c r="B143" s="5" t="s">
        <v>274</v>
      </c>
      <c r="C143" s="7">
        <v>6</v>
      </c>
      <c r="D143" s="7">
        <v>6</v>
      </c>
      <c r="E143" s="7">
        <v>7505.5360000000001</v>
      </c>
      <c r="F143" s="7">
        <v>1253.9860000000001</v>
      </c>
      <c r="G143" s="7">
        <v>0</v>
      </c>
      <c r="H143" s="7">
        <v>0</v>
      </c>
      <c r="I143" s="7">
        <v>25.760999999999999</v>
      </c>
      <c r="J143" s="7">
        <v>0</v>
      </c>
      <c r="K143" s="7">
        <v>0</v>
      </c>
      <c r="L143" s="7">
        <v>15169.967000000001</v>
      </c>
      <c r="M143" s="7">
        <v>671.74900000000002</v>
      </c>
      <c r="N143" s="7">
        <v>0</v>
      </c>
      <c r="O143" s="7">
        <v>381.00299999999999</v>
      </c>
      <c r="P143" s="7">
        <v>0.25900000000000001</v>
      </c>
      <c r="Q143" s="7">
        <v>335.04500000000002</v>
      </c>
      <c r="R143" s="7">
        <v>0</v>
      </c>
      <c r="S143" s="7">
        <v>409.72199999999998</v>
      </c>
      <c r="T143" s="7">
        <v>0</v>
      </c>
      <c r="U143" s="7">
        <v>0</v>
      </c>
      <c r="V143" s="7">
        <v>0</v>
      </c>
      <c r="W143" s="7">
        <v>145.48699999999999</v>
      </c>
      <c r="X143" s="7">
        <v>0</v>
      </c>
      <c r="Y143" s="7">
        <v>2963.1309999999999</v>
      </c>
      <c r="Z143" s="7">
        <v>0</v>
      </c>
      <c r="AA143" s="7">
        <v>0</v>
      </c>
      <c r="AB143" s="7">
        <v>23050.758999999998</v>
      </c>
      <c r="AC143" s="7">
        <v>261.53699999999998</v>
      </c>
      <c r="AD143" s="7">
        <v>0</v>
      </c>
      <c r="AE143" s="7">
        <v>11072.888000000001</v>
      </c>
      <c r="AF143" s="7">
        <v>7620.3620000000001</v>
      </c>
      <c r="AG143" s="7">
        <v>0</v>
      </c>
      <c r="AH143" s="7">
        <v>22754.892</v>
      </c>
      <c r="AI143" s="7">
        <v>12213.74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285.37900000000002</v>
      </c>
      <c r="AP143" s="7">
        <v>0</v>
      </c>
      <c r="AQ143" s="7">
        <v>3001.3159999999998</v>
      </c>
      <c r="AR143" s="7">
        <v>0</v>
      </c>
      <c r="AS143" s="7">
        <v>3.8580000000000001</v>
      </c>
      <c r="AT143" s="7">
        <v>0</v>
      </c>
      <c r="AU143" s="7">
        <v>28.827000000000002</v>
      </c>
      <c r="AV143" s="7">
        <v>0</v>
      </c>
      <c r="AW143" s="7">
        <v>0</v>
      </c>
      <c r="AX143" s="7">
        <v>0</v>
      </c>
      <c r="AY143" s="7">
        <v>114.431</v>
      </c>
      <c r="AZ143" s="7">
        <v>4462.5969999999998</v>
      </c>
      <c r="BA143" s="7">
        <v>0</v>
      </c>
      <c r="BB143" s="7">
        <v>110.494</v>
      </c>
      <c r="BC143" s="7">
        <v>0</v>
      </c>
      <c r="BD143" s="7">
        <v>5549.12</v>
      </c>
      <c r="BE143" s="7">
        <v>31.667000000000002</v>
      </c>
      <c r="BF143" s="7">
        <v>1933.7260000000001</v>
      </c>
      <c r="BG143" s="7">
        <v>0</v>
      </c>
      <c r="BH143" s="7">
        <v>0</v>
      </c>
      <c r="BI143" s="21"/>
    </row>
    <row r="144" spans="1:61" ht="15.6" x14ac:dyDescent="0.3">
      <c r="A144" s="5" t="s">
        <v>275</v>
      </c>
      <c r="B144" s="5" t="s">
        <v>276</v>
      </c>
      <c r="C144" s="7">
        <v>6</v>
      </c>
      <c r="D144" s="7">
        <v>6</v>
      </c>
      <c r="E144" s="7">
        <v>109267.592</v>
      </c>
      <c r="F144" s="7">
        <v>8214.9449999999997</v>
      </c>
      <c r="G144" s="7">
        <v>3720.3850000000002</v>
      </c>
      <c r="H144" s="7">
        <v>-1392.7139999999999</v>
      </c>
      <c r="I144" s="7">
        <v>792.68399999999997</v>
      </c>
      <c r="J144" s="7">
        <v>5143.0640000000003</v>
      </c>
      <c r="K144" s="7">
        <v>0</v>
      </c>
      <c r="L144" s="7">
        <v>113266.53</v>
      </c>
      <c r="M144" s="7">
        <v>22202.350999999999</v>
      </c>
      <c r="N144" s="7">
        <v>0</v>
      </c>
      <c r="O144" s="7">
        <v>-102.717</v>
      </c>
      <c r="P144" s="7">
        <v>71.225999999999999</v>
      </c>
      <c r="Q144" s="7">
        <v>-59.764000000000003</v>
      </c>
      <c r="R144" s="7">
        <v>-57.613</v>
      </c>
      <c r="S144" s="7">
        <v>2185.701</v>
      </c>
      <c r="T144" s="7">
        <v>0</v>
      </c>
      <c r="U144" s="7">
        <v>0</v>
      </c>
      <c r="V144" s="7">
        <v>1070.232</v>
      </c>
      <c r="W144" s="7">
        <v>1493.348</v>
      </c>
      <c r="X144" s="7">
        <v>-1911.702</v>
      </c>
      <c r="Y144" s="7">
        <v>23416.151999999998</v>
      </c>
      <c r="Z144" s="7">
        <v>-1851.44</v>
      </c>
      <c r="AA144" s="7">
        <v>11893.692999999999</v>
      </c>
      <c r="AB144" s="7">
        <v>-2062.5569999999998</v>
      </c>
      <c r="AC144" s="7">
        <v>1832.973</v>
      </c>
      <c r="AD144" s="7">
        <v>-263.97699999999998</v>
      </c>
      <c r="AE144" s="7">
        <v>87024.146999999997</v>
      </c>
      <c r="AF144" s="7">
        <v>10854.968999999999</v>
      </c>
      <c r="AG144" s="7">
        <v>-1052.1320000000001</v>
      </c>
      <c r="AH144" s="7">
        <v>282553.946</v>
      </c>
      <c r="AI144" s="7">
        <v>14970.974</v>
      </c>
      <c r="AJ144" s="7">
        <v>-9662.9110000000001</v>
      </c>
      <c r="AK144" s="7">
        <v>-259775.73199999999</v>
      </c>
      <c r="AL144" s="7">
        <v>-136054.59599999999</v>
      </c>
      <c r="AM144" s="7">
        <v>0</v>
      </c>
      <c r="AN144" s="7">
        <v>-91196.106</v>
      </c>
      <c r="AO144" s="7">
        <v>1918.0530000000001</v>
      </c>
      <c r="AP144" s="7">
        <v>0</v>
      </c>
      <c r="AQ144" s="7">
        <v>3690.085</v>
      </c>
      <c r="AR144" s="7">
        <v>0</v>
      </c>
      <c r="AS144" s="7">
        <v>6.891</v>
      </c>
      <c r="AT144" s="7">
        <v>0</v>
      </c>
      <c r="AU144" s="7">
        <v>161.77600000000001</v>
      </c>
      <c r="AV144" s="7">
        <v>0</v>
      </c>
      <c r="AW144" s="7">
        <v>0</v>
      </c>
      <c r="AX144" s="7">
        <v>-2409.288</v>
      </c>
      <c r="AY144" s="7">
        <v>-24.044</v>
      </c>
      <c r="AZ144" s="7">
        <v>-341.66</v>
      </c>
      <c r="BA144" s="7">
        <v>-1894.502</v>
      </c>
      <c r="BB144" s="7">
        <v>693.71699999999998</v>
      </c>
      <c r="BC144" s="7">
        <v>8.4890000000000008</v>
      </c>
      <c r="BD144" s="7">
        <v>-215.13800000000001</v>
      </c>
      <c r="BE144" s="7">
        <v>214.065</v>
      </c>
      <c r="BF144" s="7">
        <v>-187.33</v>
      </c>
      <c r="BG144" s="7">
        <v>-5673.4629999999997</v>
      </c>
      <c r="BH144" s="7">
        <v>-6.4820000000000002</v>
      </c>
      <c r="BI144" s="21"/>
    </row>
    <row r="145" spans="1:61" ht="15.6" x14ac:dyDescent="0.3">
      <c r="A145" s="5" t="s">
        <v>277</v>
      </c>
      <c r="B145" s="5" t="s">
        <v>278</v>
      </c>
      <c r="C145" s="7">
        <v>6</v>
      </c>
      <c r="D145" s="7">
        <v>6</v>
      </c>
      <c r="E145" s="7">
        <v>-6483.3490000000002</v>
      </c>
      <c r="F145" s="7">
        <v>-217.03299999999999</v>
      </c>
      <c r="G145" s="7">
        <v>-179.191</v>
      </c>
      <c r="H145" s="7">
        <v>0</v>
      </c>
      <c r="I145" s="7">
        <v>-175.39699999999999</v>
      </c>
      <c r="J145" s="7">
        <v>-305.76400000000001</v>
      </c>
      <c r="K145" s="7">
        <v>0</v>
      </c>
      <c r="L145" s="7">
        <v>-4183.0219999999999</v>
      </c>
      <c r="M145" s="7">
        <v>-2045.9269999999999</v>
      </c>
      <c r="N145" s="7">
        <v>0</v>
      </c>
      <c r="O145" s="7">
        <v>0</v>
      </c>
      <c r="P145" s="7">
        <v>-10.3</v>
      </c>
      <c r="Q145" s="7">
        <v>0</v>
      </c>
      <c r="R145" s="7">
        <v>-0.47</v>
      </c>
      <c r="S145" s="7">
        <v>-160.84800000000001</v>
      </c>
      <c r="T145" s="7">
        <v>0</v>
      </c>
      <c r="U145" s="7">
        <v>0</v>
      </c>
      <c r="V145" s="7">
        <v>-122.242</v>
      </c>
      <c r="W145" s="7">
        <v>-160.14500000000001</v>
      </c>
      <c r="X145" s="7">
        <v>0</v>
      </c>
      <c r="Y145" s="7">
        <v>-275.40899999999999</v>
      </c>
      <c r="Z145" s="7">
        <v>0</v>
      </c>
      <c r="AA145" s="7">
        <v>-1439.9770000000001</v>
      </c>
      <c r="AB145" s="7">
        <v>0</v>
      </c>
      <c r="AC145" s="7">
        <v>-63.433999999999997</v>
      </c>
      <c r="AD145" s="7">
        <v>0</v>
      </c>
      <c r="AE145" s="7">
        <v>-2584.683</v>
      </c>
      <c r="AF145" s="7">
        <v>2418.0309999999999</v>
      </c>
      <c r="AG145" s="7">
        <v>0</v>
      </c>
      <c r="AH145" s="7">
        <v>-9006.3119999999999</v>
      </c>
      <c r="AI145" s="7">
        <v>3389.1709999999998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-38.744</v>
      </c>
      <c r="AP145" s="7">
        <v>0</v>
      </c>
      <c r="AQ145" s="7">
        <v>1097.836</v>
      </c>
      <c r="AR145" s="7">
        <v>0</v>
      </c>
      <c r="AS145" s="7">
        <v>1.2250000000000001</v>
      </c>
      <c r="AT145" s="7">
        <v>0</v>
      </c>
      <c r="AU145" s="7">
        <v>5.9260000000000002</v>
      </c>
      <c r="AV145" s="7">
        <v>0</v>
      </c>
      <c r="AW145" s="7">
        <v>0</v>
      </c>
      <c r="AX145" s="7">
        <v>0</v>
      </c>
      <c r="AY145" s="7">
        <v>-3.996</v>
      </c>
      <c r="AZ145" s="7">
        <v>-20.100999999999999</v>
      </c>
      <c r="BA145" s="7">
        <v>0</v>
      </c>
      <c r="BB145" s="7">
        <v>-18.396000000000001</v>
      </c>
      <c r="BC145" s="7">
        <v>1.6910000000000001</v>
      </c>
      <c r="BD145" s="7">
        <v>-22.901</v>
      </c>
      <c r="BE145" s="7">
        <v>-6.3079999999999998</v>
      </c>
      <c r="BF145" s="7">
        <v>-8.032</v>
      </c>
      <c r="BG145" s="7">
        <v>0</v>
      </c>
      <c r="BH145" s="7">
        <v>0.90200000000000002</v>
      </c>
      <c r="BI145" s="21"/>
    </row>
    <row r="146" spans="1:61" ht="15.6" x14ac:dyDescent="0.3">
      <c r="A146" s="5" t="s">
        <v>279</v>
      </c>
      <c r="B146" s="5" t="s">
        <v>280</v>
      </c>
      <c r="C146" s="7">
        <v>6</v>
      </c>
      <c r="D146" s="7">
        <v>6</v>
      </c>
      <c r="E146" s="7">
        <v>-307.649</v>
      </c>
      <c r="F146" s="7">
        <v>-23.821000000000002</v>
      </c>
      <c r="G146" s="7">
        <v>-53.956000000000003</v>
      </c>
      <c r="H146" s="7">
        <v>0</v>
      </c>
      <c r="I146" s="7">
        <v>-7.2949999999999999</v>
      </c>
      <c r="J146" s="7">
        <v>-34.683999999999997</v>
      </c>
      <c r="K146" s="7">
        <v>0</v>
      </c>
      <c r="L146" s="7">
        <v>-94.174999999999997</v>
      </c>
      <c r="M146" s="7">
        <v>-98.234999999999999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-7.2759999999999998</v>
      </c>
      <c r="T146" s="7">
        <v>0</v>
      </c>
      <c r="U146" s="7">
        <v>0</v>
      </c>
      <c r="V146" s="7">
        <v>-5.4390000000000001</v>
      </c>
      <c r="W146" s="7">
        <v>-8.157</v>
      </c>
      <c r="X146" s="7">
        <v>0</v>
      </c>
      <c r="Y146" s="7">
        <v>-64.620999999999995</v>
      </c>
      <c r="Z146" s="7">
        <v>0</v>
      </c>
      <c r="AA146" s="7">
        <v>-77.575999999999993</v>
      </c>
      <c r="AB146" s="7">
        <v>0</v>
      </c>
      <c r="AC146" s="7">
        <v>-3.2320000000000002</v>
      </c>
      <c r="AD146" s="7">
        <v>-1.7909999999999999</v>
      </c>
      <c r="AE146" s="7">
        <v>-167.233</v>
      </c>
      <c r="AF146" s="7">
        <v>0</v>
      </c>
      <c r="AG146" s="7">
        <v>-7.2160000000000002</v>
      </c>
      <c r="AH146" s="7">
        <v>-349.20299999999997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-4.37</v>
      </c>
      <c r="AP146" s="7">
        <v>0</v>
      </c>
      <c r="AQ146" s="7">
        <v>0</v>
      </c>
      <c r="AR146" s="7">
        <v>0</v>
      </c>
      <c r="AS146" s="7">
        <v>-0.21199999999999999</v>
      </c>
      <c r="AT146" s="7">
        <v>0</v>
      </c>
      <c r="AU146" s="7">
        <v>-3.5379999999999998</v>
      </c>
      <c r="AV146" s="7">
        <v>0</v>
      </c>
      <c r="AW146" s="7">
        <v>0</v>
      </c>
      <c r="AX146" s="7">
        <v>0</v>
      </c>
      <c r="AY146" s="7">
        <v>-3.6709999999999998</v>
      </c>
      <c r="AZ146" s="7">
        <v>0</v>
      </c>
      <c r="BA146" s="7">
        <v>0</v>
      </c>
      <c r="BB146" s="7">
        <v>-1.835</v>
      </c>
      <c r="BC146" s="7">
        <v>-1.927</v>
      </c>
      <c r="BD146" s="7">
        <v>0</v>
      </c>
      <c r="BE146" s="7">
        <v>-0.51600000000000001</v>
      </c>
      <c r="BF146" s="7">
        <v>0</v>
      </c>
      <c r="BG146" s="7">
        <v>0</v>
      </c>
      <c r="BH146" s="7">
        <v>-0.54800000000000004</v>
      </c>
      <c r="BI146" s="21"/>
    </row>
    <row r="147" spans="1:61" ht="15.6" x14ac:dyDescent="0.3">
      <c r="A147" s="5" t="s">
        <v>281</v>
      </c>
      <c r="B147" s="5" t="s">
        <v>282</v>
      </c>
      <c r="C147" s="7">
        <v>6</v>
      </c>
      <c r="D147" s="7">
        <v>6</v>
      </c>
      <c r="E147" s="7">
        <v>-201.55500000000001</v>
      </c>
      <c r="F147" s="7">
        <v>-15.606</v>
      </c>
      <c r="G147" s="7">
        <v>216.46600000000001</v>
      </c>
      <c r="H147" s="7">
        <v>0</v>
      </c>
      <c r="I147" s="7">
        <v>-4.7789999999999999</v>
      </c>
      <c r="J147" s="7">
        <v>170.488</v>
      </c>
      <c r="K147" s="7">
        <v>0</v>
      </c>
      <c r="L147" s="7">
        <v>41.317</v>
      </c>
      <c r="M147" s="7">
        <v>119.696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-4.7670000000000003</v>
      </c>
      <c r="T147" s="7">
        <v>0</v>
      </c>
      <c r="U147" s="7">
        <v>0</v>
      </c>
      <c r="V147" s="7">
        <v>-3.5630000000000002</v>
      </c>
      <c r="W147" s="7">
        <v>-5.3440000000000003</v>
      </c>
      <c r="X147" s="7">
        <v>0</v>
      </c>
      <c r="Y147" s="7">
        <v>-42.335999999999999</v>
      </c>
      <c r="Z147" s="7">
        <v>0</v>
      </c>
      <c r="AA147" s="7">
        <v>-50.823999999999998</v>
      </c>
      <c r="AB147" s="7">
        <v>0</v>
      </c>
      <c r="AC147" s="7">
        <v>-2.117</v>
      </c>
      <c r="AD147" s="7">
        <v>-1.173</v>
      </c>
      <c r="AE147" s="7">
        <v>4.9000000000000004</v>
      </c>
      <c r="AF147" s="7">
        <v>0</v>
      </c>
      <c r="AG147" s="7">
        <v>-4.7279999999999998</v>
      </c>
      <c r="AH147" s="7">
        <v>-228.779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-2.863</v>
      </c>
      <c r="AP147" s="7">
        <v>0</v>
      </c>
      <c r="AQ147" s="7">
        <v>0</v>
      </c>
      <c r="AR147" s="7">
        <v>0</v>
      </c>
      <c r="AS147" s="7">
        <v>-0.13900000000000001</v>
      </c>
      <c r="AT147" s="7">
        <v>0</v>
      </c>
      <c r="AU147" s="7">
        <v>-2.3180000000000001</v>
      </c>
      <c r="AV147" s="7">
        <v>0</v>
      </c>
      <c r="AW147" s="7">
        <v>0</v>
      </c>
      <c r="AX147" s="7">
        <v>0</v>
      </c>
      <c r="AY147" s="7">
        <v>-2.4049999999999998</v>
      </c>
      <c r="AZ147" s="7">
        <v>0</v>
      </c>
      <c r="BA147" s="7">
        <v>0</v>
      </c>
      <c r="BB147" s="7">
        <v>-1.202</v>
      </c>
      <c r="BC147" s="7">
        <v>-1.262</v>
      </c>
      <c r="BD147" s="7">
        <v>0</v>
      </c>
      <c r="BE147" s="7">
        <v>-0.33800000000000002</v>
      </c>
      <c r="BF147" s="7">
        <v>0</v>
      </c>
      <c r="BG147" s="7">
        <v>0</v>
      </c>
      <c r="BH147" s="7">
        <v>-0.35899999999999999</v>
      </c>
      <c r="BI147" s="21"/>
    </row>
    <row r="148" spans="1:61" ht="15.6" x14ac:dyDescent="0.3">
      <c r="A148" s="5" t="s">
        <v>283</v>
      </c>
      <c r="B148" s="5" t="s">
        <v>284</v>
      </c>
      <c r="C148" s="7">
        <v>4</v>
      </c>
      <c r="D148" s="7">
        <v>4</v>
      </c>
      <c r="E148" s="7">
        <v>11888.037</v>
      </c>
      <c r="F148" s="7">
        <v>1721.87</v>
      </c>
      <c r="G148" s="7">
        <v>-20.718</v>
      </c>
      <c r="H148" s="7">
        <v>0</v>
      </c>
      <c r="I148" s="7">
        <v>52.743000000000002</v>
      </c>
      <c r="J148" s="7">
        <v>-13.718</v>
      </c>
      <c r="K148" s="7">
        <v>0</v>
      </c>
      <c r="L148" s="7">
        <v>24902.214</v>
      </c>
      <c r="M148" s="7">
        <v>3087.377</v>
      </c>
      <c r="N148" s="7">
        <v>0</v>
      </c>
      <c r="O148" s="7">
        <v>67.37</v>
      </c>
      <c r="P148" s="7">
        <v>0</v>
      </c>
      <c r="Q148" s="7">
        <v>22.414000000000001</v>
      </c>
      <c r="R148" s="7">
        <v>0</v>
      </c>
      <c r="S148" s="7">
        <v>547.74</v>
      </c>
      <c r="T148" s="7">
        <v>0</v>
      </c>
      <c r="U148" s="7">
        <v>0</v>
      </c>
      <c r="V148" s="7">
        <v>-2.2639999999999998</v>
      </c>
      <c r="W148" s="7">
        <v>155.13300000000001</v>
      </c>
      <c r="X148" s="7">
        <v>551.54300000000001</v>
      </c>
      <c r="Y148" s="7">
        <v>5577.9709999999995</v>
      </c>
      <c r="Z148" s="7">
        <v>33.281999999999996</v>
      </c>
      <c r="AA148" s="7">
        <v>-27.975999999999999</v>
      </c>
      <c r="AB148" s="7">
        <v>1595.3009999999999</v>
      </c>
      <c r="AC148" s="7">
        <v>352.161</v>
      </c>
      <c r="AD148" s="7">
        <v>104.494</v>
      </c>
      <c r="AE148" s="7">
        <v>14188.364</v>
      </c>
      <c r="AF148" s="7">
        <v>12349.696</v>
      </c>
      <c r="AG148" s="7">
        <v>850.52800000000002</v>
      </c>
      <c r="AH148" s="7">
        <v>45045.186999999998</v>
      </c>
      <c r="AI148" s="7">
        <v>18105.355</v>
      </c>
      <c r="AJ148" s="7">
        <v>0.314</v>
      </c>
      <c r="AK148" s="7">
        <v>-556.61199999999997</v>
      </c>
      <c r="AL148" s="7">
        <v>-291.51900000000001</v>
      </c>
      <c r="AM148" s="7">
        <v>0</v>
      </c>
      <c r="AN148" s="7">
        <v>-195.40199999999999</v>
      </c>
      <c r="AO148" s="7">
        <v>473.03699999999998</v>
      </c>
      <c r="AP148" s="7">
        <v>0</v>
      </c>
      <c r="AQ148" s="7">
        <v>4930.3519999999999</v>
      </c>
      <c r="AR148" s="7">
        <v>0</v>
      </c>
      <c r="AS148" s="7">
        <v>5.4390000000000001</v>
      </c>
      <c r="AT148" s="7">
        <v>0</v>
      </c>
      <c r="AU148" s="7">
        <v>35.119</v>
      </c>
      <c r="AV148" s="7">
        <v>0</v>
      </c>
      <c r="AW148" s="7">
        <v>0</v>
      </c>
      <c r="AX148" s="7">
        <v>695.101</v>
      </c>
      <c r="AY148" s="7">
        <v>-1.173</v>
      </c>
      <c r="AZ148" s="7">
        <v>0</v>
      </c>
      <c r="BA148" s="7">
        <v>537.05100000000004</v>
      </c>
      <c r="BB148" s="7">
        <v>187.96299999999999</v>
      </c>
      <c r="BC148" s="7">
        <v>-0.61599999999999999</v>
      </c>
      <c r="BD148" s="7">
        <v>0</v>
      </c>
      <c r="BE148" s="7">
        <v>58.243000000000002</v>
      </c>
      <c r="BF148" s="7">
        <v>0</v>
      </c>
      <c r="BG148" s="7">
        <v>97.286000000000001</v>
      </c>
      <c r="BH148" s="7">
        <v>-0.17499999999999999</v>
      </c>
      <c r="BI148" s="21"/>
    </row>
    <row r="149" spans="1:61" ht="15.6" x14ac:dyDescent="0.3">
      <c r="A149" s="5" t="s">
        <v>285</v>
      </c>
      <c r="B149" s="5" t="s">
        <v>286</v>
      </c>
      <c r="C149" s="7">
        <v>6</v>
      </c>
      <c r="D149" s="7">
        <v>6</v>
      </c>
      <c r="E149" s="7">
        <v>8308.1489999999994</v>
      </c>
      <c r="F149" s="7">
        <v>1345.48</v>
      </c>
      <c r="G149" s="7">
        <v>0</v>
      </c>
      <c r="H149" s="7">
        <v>0</v>
      </c>
      <c r="I149" s="7">
        <v>42.598999999999997</v>
      </c>
      <c r="J149" s="7">
        <v>0</v>
      </c>
      <c r="K149" s="7">
        <v>0</v>
      </c>
      <c r="L149" s="7">
        <v>18610.433000000001</v>
      </c>
      <c r="M149" s="7">
        <v>421.28100000000001</v>
      </c>
      <c r="N149" s="7">
        <v>0</v>
      </c>
      <c r="O149" s="7">
        <v>48.223999999999997</v>
      </c>
      <c r="P149" s="7">
        <v>0</v>
      </c>
      <c r="Q149" s="7">
        <v>-2.827</v>
      </c>
      <c r="R149" s="7">
        <v>0</v>
      </c>
      <c r="S149" s="7">
        <v>428.43799999999999</v>
      </c>
      <c r="T149" s="7">
        <v>0</v>
      </c>
      <c r="U149" s="7">
        <v>0</v>
      </c>
      <c r="V149" s="7">
        <v>0</v>
      </c>
      <c r="W149" s="7">
        <v>123.122</v>
      </c>
      <c r="X149" s="7">
        <v>965.40099999999995</v>
      </c>
      <c r="Y149" s="7">
        <v>4416.7420000000002</v>
      </c>
      <c r="Z149" s="7">
        <v>324.95</v>
      </c>
      <c r="AA149" s="7">
        <v>0</v>
      </c>
      <c r="AB149" s="7">
        <v>19.641999999999999</v>
      </c>
      <c r="AC149" s="7">
        <v>275.89499999999998</v>
      </c>
      <c r="AD149" s="7">
        <v>61.698</v>
      </c>
      <c r="AE149" s="7">
        <v>11221.78</v>
      </c>
      <c r="AF149" s="7">
        <v>9683.8590000000004</v>
      </c>
      <c r="AG149" s="7">
        <v>514.38</v>
      </c>
      <c r="AH149" s="7">
        <v>34294.116000000002</v>
      </c>
      <c r="AI149" s="7">
        <v>14187.882</v>
      </c>
      <c r="AJ149" s="7">
        <v>1682.8810000000001</v>
      </c>
      <c r="AK149" s="7">
        <v>54919.777999999998</v>
      </c>
      <c r="AL149" s="7">
        <v>28763.611000000001</v>
      </c>
      <c r="AM149" s="7">
        <v>0</v>
      </c>
      <c r="AN149" s="7">
        <v>19279.975999999999</v>
      </c>
      <c r="AO149" s="7">
        <v>373.77300000000002</v>
      </c>
      <c r="AP149" s="7">
        <v>0</v>
      </c>
      <c r="AQ149" s="7">
        <v>3876.9110000000001</v>
      </c>
      <c r="AR149" s="7">
        <v>0</v>
      </c>
      <c r="AS149" s="7">
        <v>4.3369999999999997</v>
      </c>
      <c r="AT149" s="7">
        <v>0</v>
      </c>
      <c r="AU149" s="7">
        <v>28.541</v>
      </c>
      <c r="AV149" s="7">
        <v>0</v>
      </c>
      <c r="AW149" s="7">
        <v>0</v>
      </c>
      <c r="AX149" s="7">
        <v>1216.6790000000001</v>
      </c>
      <c r="AY149" s="7">
        <v>0</v>
      </c>
      <c r="AZ149" s="7">
        <v>0</v>
      </c>
      <c r="BA149" s="7">
        <v>940.03399999999999</v>
      </c>
      <c r="BB149" s="7">
        <v>148.54900000000001</v>
      </c>
      <c r="BC149" s="7">
        <v>0</v>
      </c>
      <c r="BD149" s="7">
        <v>0</v>
      </c>
      <c r="BE149" s="7">
        <v>46.027000000000001</v>
      </c>
      <c r="BF149" s="7">
        <v>0</v>
      </c>
      <c r="BG149" s="7">
        <v>1030.749</v>
      </c>
      <c r="BH149" s="7">
        <v>0</v>
      </c>
      <c r="BI149" s="21"/>
    </row>
    <row r="150" spans="1:61" ht="15.6" x14ac:dyDescent="0.3">
      <c r="A150" s="5" t="s">
        <v>287</v>
      </c>
      <c r="B150" s="5" t="s">
        <v>288</v>
      </c>
      <c r="C150" s="7">
        <v>6</v>
      </c>
      <c r="D150" s="7">
        <v>6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21"/>
    </row>
    <row r="151" spans="1:61" ht="15.6" x14ac:dyDescent="0.3">
      <c r="A151" s="5" t="s">
        <v>289</v>
      </c>
      <c r="B151" s="5" t="s">
        <v>290</v>
      </c>
      <c r="C151" s="7">
        <v>6</v>
      </c>
      <c r="D151" s="7">
        <v>6</v>
      </c>
      <c r="E151" s="7">
        <v>21.766999999999999</v>
      </c>
      <c r="F151" s="7">
        <v>12.287000000000001</v>
      </c>
      <c r="G151" s="7">
        <v>5.0010000000000003</v>
      </c>
      <c r="H151" s="7">
        <v>0</v>
      </c>
      <c r="I151" s="7">
        <v>0.81499999999999995</v>
      </c>
      <c r="J151" s="7">
        <v>8.9789999999999992</v>
      </c>
      <c r="K151" s="7">
        <v>0</v>
      </c>
      <c r="L151" s="7">
        <v>32.898000000000003</v>
      </c>
      <c r="M151" s="7">
        <v>3.8780000000000001</v>
      </c>
      <c r="N151" s="7">
        <v>0</v>
      </c>
      <c r="O151" s="7">
        <v>0</v>
      </c>
      <c r="P151" s="7">
        <v>0</v>
      </c>
      <c r="Q151" s="7">
        <v>6.0720000000000001</v>
      </c>
      <c r="R151" s="7">
        <v>9.8390000000000004</v>
      </c>
      <c r="S151" s="7">
        <v>5.0030000000000001</v>
      </c>
      <c r="T151" s="7">
        <v>0</v>
      </c>
      <c r="U151" s="7">
        <v>0</v>
      </c>
      <c r="V151" s="7">
        <v>1.9750000000000001</v>
      </c>
      <c r="W151" s="7">
        <v>0.14299999999999999</v>
      </c>
      <c r="X151" s="7">
        <v>0</v>
      </c>
      <c r="Y151" s="7">
        <v>4.5179999999999998</v>
      </c>
      <c r="Z151" s="7">
        <v>154.78700000000001</v>
      </c>
      <c r="AA151" s="7">
        <v>29.696000000000002</v>
      </c>
      <c r="AB151" s="7">
        <v>0</v>
      </c>
      <c r="AC151" s="7">
        <v>2.504</v>
      </c>
      <c r="AD151" s="7">
        <v>34.716000000000001</v>
      </c>
      <c r="AE151" s="7">
        <v>39.463000000000001</v>
      </c>
      <c r="AF151" s="7">
        <v>0.19</v>
      </c>
      <c r="AG151" s="7">
        <v>126.99</v>
      </c>
      <c r="AH151" s="7">
        <v>71.367999999999995</v>
      </c>
      <c r="AI151" s="7">
        <v>0</v>
      </c>
      <c r="AJ151" s="7">
        <v>764.98199999999997</v>
      </c>
      <c r="AK151" s="7">
        <v>0</v>
      </c>
      <c r="AL151" s="7">
        <v>0</v>
      </c>
      <c r="AM151" s="7">
        <v>0</v>
      </c>
      <c r="AN151" s="7">
        <v>0</v>
      </c>
      <c r="AO151" s="7">
        <v>5.0019999999999998</v>
      </c>
      <c r="AP151" s="7">
        <v>0</v>
      </c>
      <c r="AQ151" s="7">
        <v>2.8000000000000001E-2</v>
      </c>
      <c r="AR151" s="7">
        <v>0</v>
      </c>
      <c r="AS151" s="7">
        <v>1.7000000000000001E-2</v>
      </c>
      <c r="AT151" s="7">
        <v>0</v>
      </c>
      <c r="AU151" s="7">
        <v>2E-3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1.9419999999999999</v>
      </c>
      <c r="BC151" s="7">
        <v>0</v>
      </c>
      <c r="BD151" s="7">
        <v>0</v>
      </c>
      <c r="BE151" s="7">
        <v>0.58499999999999996</v>
      </c>
      <c r="BF151" s="7">
        <v>0</v>
      </c>
      <c r="BG151" s="7">
        <v>456.40899999999999</v>
      </c>
      <c r="BH151" s="7">
        <v>0</v>
      </c>
      <c r="BI151" s="21"/>
    </row>
    <row r="152" spans="1:61" ht="15.6" x14ac:dyDescent="0.3">
      <c r="A152" s="5" t="s">
        <v>291</v>
      </c>
      <c r="B152" s="5" t="s">
        <v>292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21"/>
    </row>
    <row r="153" spans="1:61" ht="15.6" x14ac:dyDescent="0.3">
      <c r="A153" s="5" t="s">
        <v>293</v>
      </c>
      <c r="B153" s="5" t="s">
        <v>294</v>
      </c>
      <c r="C153" s="7">
        <v>4</v>
      </c>
      <c r="D153" s="7">
        <v>4</v>
      </c>
      <c r="E153" s="7">
        <v>8401.1149999999998</v>
      </c>
      <c r="F153" s="7">
        <v>1765.7850000000001</v>
      </c>
      <c r="G153" s="7">
        <v>0</v>
      </c>
      <c r="H153" s="7">
        <v>0</v>
      </c>
      <c r="I153" s="7">
        <v>36.276000000000003</v>
      </c>
      <c r="J153" s="7">
        <v>0</v>
      </c>
      <c r="K153" s="7">
        <v>0</v>
      </c>
      <c r="L153" s="7">
        <v>21359.888999999999</v>
      </c>
      <c r="M153" s="7">
        <v>945.91499999999996</v>
      </c>
      <c r="N153" s="7">
        <v>0</v>
      </c>
      <c r="O153" s="7">
        <v>0</v>
      </c>
      <c r="P153" s="7">
        <v>0.36499999999999999</v>
      </c>
      <c r="Q153" s="7">
        <v>0</v>
      </c>
      <c r="R153" s="7">
        <v>0</v>
      </c>
      <c r="S153" s="7">
        <v>576.94399999999996</v>
      </c>
      <c r="T153" s="7">
        <v>0</v>
      </c>
      <c r="U153" s="7">
        <v>0</v>
      </c>
      <c r="V153" s="7">
        <v>0</v>
      </c>
      <c r="W153" s="7">
        <v>204.86600000000001</v>
      </c>
      <c r="X153" s="7">
        <v>0</v>
      </c>
      <c r="Y153" s="7">
        <v>4172.4970000000003</v>
      </c>
      <c r="Z153" s="7">
        <v>0</v>
      </c>
      <c r="AA153" s="7">
        <v>0</v>
      </c>
      <c r="AB153" s="7">
        <v>0</v>
      </c>
      <c r="AC153" s="7">
        <v>368.28</v>
      </c>
      <c r="AD153" s="7">
        <v>0</v>
      </c>
      <c r="AE153" s="7">
        <v>11102.424999999999</v>
      </c>
      <c r="AF153" s="7">
        <v>10730.52</v>
      </c>
      <c r="AG153" s="7">
        <v>0</v>
      </c>
      <c r="AH153" s="7">
        <v>32042.022000000001</v>
      </c>
      <c r="AI153" s="7">
        <v>17198.628000000001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401.85300000000001</v>
      </c>
      <c r="AP153" s="7">
        <v>0</v>
      </c>
      <c r="AQ153" s="7">
        <v>4226.2669999999998</v>
      </c>
      <c r="AR153" s="7">
        <v>0</v>
      </c>
      <c r="AS153" s="7">
        <v>5.4329999999999998</v>
      </c>
      <c r="AT153" s="7">
        <v>0</v>
      </c>
      <c r="AU153" s="7">
        <v>40.591999999999999</v>
      </c>
      <c r="AV153" s="7">
        <v>0</v>
      </c>
      <c r="AW153" s="7">
        <v>0</v>
      </c>
      <c r="AX153" s="7">
        <v>0</v>
      </c>
      <c r="AY153" s="7">
        <v>161.13499999999999</v>
      </c>
      <c r="AZ153" s="7">
        <v>6283.9520000000002</v>
      </c>
      <c r="BA153" s="7">
        <v>0</v>
      </c>
      <c r="BB153" s="7">
        <v>155.59100000000001</v>
      </c>
      <c r="BC153" s="7">
        <v>0</v>
      </c>
      <c r="BD153" s="7">
        <v>7813.9250000000002</v>
      </c>
      <c r="BE153" s="7">
        <v>44.591000000000001</v>
      </c>
      <c r="BF153" s="7">
        <v>2722.953</v>
      </c>
      <c r="BG153" s="7">
        <v>0</v>
      </c>
      <c r="BH153" s="7">
        <v>0</v>
      </c>
      <c r="BI153" s="21"/>
    </row>
    <row r="154" spans="1:61" ht="15.6" x14ac:dyDescent="0.3">
      <c r="A154" s="5" t="s">
        <v>295</v>
      </c>
      <c r="B154" s="5" t="s">
        <v>296</v>
      </c>
      <c r="C154" s="7">
        <v>4</v>
      </c>
      <c r="D154" s="7">
        <v>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21"/>
    </row>
    <row r="155" spans="1:61" ht="15.6" x14ac:dyDescent="0.3">
      <c r="A155" s="5" t="s">
        <v>297</v>
      </c>
      <c r="B155" s="5" t="s">
        <v>298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21"/>
    </row>
    <row r="156" spans="1:61" ht="15.6" x14ac:dyDescent="0.3">
      <c r="A156" s="5" t="s">
        <v>299</v>
      </c>
      <c r="B156" s="5" t="s">
        <v>300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21"/>
    </row>
    <row r="157" spans="1:61" ht="15.6" x14ac:dyDescent="0.3">
      <c r="A157" s="5" t="s">
        <v>301</v>
      </c>
      <c r="B157" s="5" t="s">
        <v>302</v>
      </c>
      <c r="C157" s="7">
        <v>4</v>
      </c>
      <c r="D157" s="7">
        <v>4</v>
      </c>
      <c r="E157" s="7">
        <v>-0.67</v>
      </c>
      <c r="F157" s="7">
        <v>-0.14099999999999999</v>
      </c>
      <c r="G157" s="7">
        <v>0</v>
      </c>
      <c r="H157" s="7">
        <v>0</v>
      </c>
      <c r="I157" s="7">
        <v>-3.0000000000000001E-3</v>
      </c>
      <c r="J157" s="7">
        <v>0</v>
      </c>
      <c r="K157" s="7">
        <v>0</v>
      </c>
      <c r="L157" s="7">
        <v>-1.702</v>
      </c>
      <c r="M157" s="7">
        <v>-7.4999999999999997E-2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-4.5999999999999999E-2</v>
      </c>
      <c r="T157" s="7">
        <v>0</v>
      </c>
      <c r="U157" s="7">
        <v>0</v>
      </c>
      <c r="V157" s="7">
        <v>0</v>
      </c>
      <c r="W157" s="7">
        <v>-1.6E-2</v>
      </c>
      <c r="X157" s="7">
        <v>0</v>
      </c>
      <c r="Y157" s="7">
        <v>-0.33300000000000002</v>
      </c>
      <c r="Z157" s="7">
        <v>0</v>
      </c>
      <c r="AA157" s="7">
        <v>0</v>
      </c>
      <c r="AB157" s="7">
        <v>0</v>
      </c>
      <c r="AC157" s="7">
        <v>-2.9000000000000001E-2</v>
      </c>
      <c r="AD157" s="7">
        <v>0</v>
      </c>
      <c r="AE157" s="7">
        <v>-0.88500000000000001</v>
      </c>
      <c r="AF157" s="7">
        <v>-0.85499999999999998</v>
      </c>
      <c r="AG157" s="7">
        <v>0</v>
      </c>
      <c r="AH157" s="7">
        <v>-2.5539999999999998</v>
      </c>
      <c r="AI157" s="7">
        <v>-1.371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-3.2000000000000001E-2</v>
      </c>
      <c r="AP157" s="7">
        <v>0</v>
      </c>
      <c r="AQ157" s="7">
        <v>-0.33700000000000002</v>
      </c>
      <c r="AR157" s="7">
        <v>0</v>
      </c>
      <c r="AS157" s="7">
        <v>0</v>
      </c>
      <c r="AT157" s="7">
        <v>0</v>
      </c>
      <c r="AU157" s="7">
        <v>-3.0000000000000001E-3</v>
      </c>
      <c r="AV157" s="7">
        <v>0</v>
      </c>
      <c r="AW157" s="7">
        <v>0</v>
      </c>
      <c r="AX157" s="7">
        <v>0</v>
      </c>
      <c r="AY157" s="7">
        <v>-1.2999999999999999E-2</v>
      </c>
      <c r="AZ157" s="7">
        <v>-0.501</v>
      </c>
      <c r="BA157" s="7">
        <v>0</v>
      </c>
      <c r="BB157" s="7">
        <v>-1.2E-2</v>
      </c>
      <c r="BC157" s="7">
        <v>0</v>
      </c>
      <c r="BD157" s="7">
        <v>-0.623</v>
      </c>
      <c r="BE157" s="7">
        <v>-4.0000000000000001E-3</v>
      </c>
      <c r="BF157" s="7">
        <v>-0.217</v>
      </c>
      <c r="BG157" s="7">
        <v>0</v>
      </c>
      <c r="BH157" s="7">
        <v>0</v>
      </c>
      <c r="BI157" s="21"/>
    </row>
    <row r="158" spans="1:61" ht="15.6" x14ac:dyDescent="0.3">
      <c r="A158" s="5" t="s">
        <v>303</v>
      </c>
      <c r="B158" s="5" t="s">
        <v>304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21"/>
    </row>
    <row r="159" spans="1:61" ht="15.6" x14ac:dyDescent="0.3">
      <c r="A159" s="5" t="s">
        <v>305</v>
      </c>
      <c r="B159" s="5" t="s">
        <v>306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21"/>
    </row>
    <row r="160" spans="1:61" ht="15.6" x14ac:dyDescent="0.3">
      <c r="A160" s="5" t="s">
        <v>307</v>
      </c>
      <c r="B160" s="5" t="s">
        <v>308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21"/>
    </row>
    <row r="161" spans="1:61" ht="15.6" x14ac:dyDescent="0.3">
      <c r="A161" s="5" t="s">
        <v>293</v>
      </c>
      <c r="B161" s="5" t="s">
        <v>309</v>
      </c>
      <c r="C161" s="7">
        <v>6</v>
      </c>
      <c r="D161" s="7">
        <v>6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21"/>
    </row>
    <row r="162" spans="1:61" ht="15.6" x14ac:dyDescent="0.3">
      <c r="A162" s="5" t="s">
        <v>310</v>
      </c>
      <c r="B162" s="5" t="s">
        <v>311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21"/>
    </row>
    <row r="163" spans="1:61" ht="15.6" x14ac:dyDescent="0.3">
      <c r="A163" s="5" t="s">
        <v>312</v>
      </c>
      <c r="B163" s="5" t="s">
        <v>313</v>
      </c>
      <c r="C163" s="7">
        <v>6</v>
      </c>
      <c r="D163" s="7">
        <v>6</v>
      </c>
      <c r="E163" s="7">
        <v>8.82</v>
      </c>
      <c r="F163" s="7">
        <v>1.198</v>
      </c>
      <c r="G163" s="7">
        <v>1.0549999999999999</v>
      </c>
      <c r="H163" s="7">
        <v>0</v>
      </c>
      <c r="I163" s="7">
        <v>0.20699999999999999</v>
      </c>
      <c r="J163" s="7">
        <v>0.8</v>
      </c>
      <c r="K163" s="7">
        <v>0</v>
      </c>
      <c r="L163" s="7">
        <v>8.0990000000000002</v>
      </c>
      <c r="M163" s="7">
        <v>2.52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0.375</v>
      </c>
      <c r="T163" s="7">
        <v>0</v>
      </c>
      <c r="U163" s="7">
        <v>0</v>
      </c>
      <c r="V163" s="7">
        <v>0.16</v>
      </c>
      <c r="W163" s="7">
        <v>0.35299999999999998</v>
      </c>
      <c r="X163" s="7">
        <v>0</v>
      </c>
      <c r="Y163" s="7">
        <v>3.8380000000000001</v>
      </c>
      <c r="Z163" s="7">
        <v>0</v>
      </c>
      <c r="AA163" s="7">
        <v>0.96699999999999997</v>
      </c>
      <c r="AB163" s="7">
        <v>0</v>
      </c>
      <c r="AC163" s="7">
        <v>0.215</v>
      </c>
      <c r="AD163" s="7">
        <v>0</v>
      </c>
      <c r="AE163" s="7">
        <v>11.029</v>
      </c>
      <c r="AF163" s="7">
        <v>0.94599999999999995</v>
      </c>
      <c r="AG163" s="7">
        <v>0</v>
      </c>
      <c r="AH163" s="7">
        <v>20.905000000000001</v>
      </c>
      <c r="AI163" s="7">
        <v>1.385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0.128</v>
      </c>
      <c r="AP163" s="7">
        <v>0</v>
      </c>
      <c r="AQ163" s="7">
        <v>0.379</v>
      </c>
      <c r="AR163" s="7">
        <v>0</v>
      </c>
      <c r="AS163" s="7">
        <v>1E-3</v>
      </c>
      <c r="AT163" s="7">
        <v>0</v>
      </c>
      <c r="AU163" s="7">
        <v>3.0000000000000001E-3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5.1999999999999998E-2</v>
      </c>
      <c r="BC163" s="7">
        <v>0</v>
      </c>
      <c r="BD163" s="7">
        <v>0</v>
      </c>
      <c r="BE163" s="7">
        <v>0.02</v>
      </c>
      <c r="BF163" s="7">
        <v>0</v>
      </c>
      <c r="BG163" s="7">
        <v>0</v>
      </c>
      <c r="BH163" s="7">
        <v>0</v>
      </c>
      <c r="BI163" s="21"/>
    </row>
    <row r="164" spans="1:61" ht="15.6" x14ac:dyDescent="0.3">
      <c r="A164" s="5" t="s">
        <v>297</v>
      </c>
      <c r="B164" s="5" t="s">
        <v>314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21"/>
    </row>
    <row r="165" spans="1:61" ht="15.6" x14ac:dyDescent="0.3">
      <c r="A165" s="5" t="s">
        <v>299</v>
      </c>
      <c r="B165" s="5" t="s">
        <v>315</v>
      </c>
      <c r="C165" s="7">
        <v>6</v>
      </c>
      <c r="D165" s="7">
        <v>6</v>
      </c>
      <c r="E165" s="7">
        <v>1354.502</v>
      </c>
      <c r="F165" s="7">
        <v>118.794</v>
      </c>
      <c r="G165" s="7">
        <v>166.846</v>
      </c>
      <c r="H165" s="7">
        <v>3506.7359999999999</v>
      </c>
      <c r="I165" s="7">
        <v>28.931000000000001</v>
      </c>
      <c r="J165" s="7">
        <v>101.32899999999999</v>
      </c>
      <c r="K165" s="7">
        <v>0</v>
      </c>
      <c r="L165" s="7">
        <v>969.74300000000005</v>
      </c>
      <c r="M165" s="7">
        <v>449.98399999999998</v>
      </c>
      <c r="N165" s="7">
        <v>0</v>
      </c>
      <c r="O165" s="7">
        <v>0</v>
      </c>
      <c r="P165" s="7">
        <v>5.2169999999999996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16.847999999999999</v>
      </c>
      <c r="W165" s="7">
        <v>50.631</v>
      </c>
      <c r="X165" s="7">
        <v>0</v>
      </c>
      <c r="Y165" s="7">
        <v>399.267</v>
      </c>
      <c r="Z165" s="7">
        <v>0</v>
      </c>
      <c r="AA165" s="7">
        <v>136.279</v>
      </c>
      <c r="AB165" s="7">
        <v>0</v>
      </c>
      <c r="AC165" s="7">
        <v>21.71</v>
      </c>
      <c r="AD165" s="7">
        <v>0</v>
      </c>
      <c r="AE165" s="7">
        <v>1296.086</v>
      </c>
      <c r="AF165" s="7">
        <v>0</v>
      </c>
      <c r="AG165" s="7">
        <v>0</v>
      </c>
      <c r="AH165" s="7">
        <v>2842.145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21"/>
    </row>
    <row r="166" spans="1:61" ht="15.6" x14ac:dyDescent="0.3">
      <c r="A166" s="5" t="s">
        <v>301</v>
      </c>
      <c r="B166" s="5" t="s">
        <v>316</v>
      </c>
      <c r="C166" s="7">
        <v>6</v>
      </c>
      <c r="D166" s="7">
        <v>6</v>
      </c>
      <c r="E166" s="7">
        <v>564.00099999999998</v>
      </c>
      <c r="F166" s="7">
        <v>113.798</v>
      </c>
      <c r="G166" s="7">
        <v>15.653</v>
      </c>
      <c r="H166" s="7">
        <v>0</v>
      </c>
      <c r="I166" s="7">
        <v>3.629</v>
      </c>
      <c r="J166" s="7">
        <v>9.1080000000000005</v>
      </c>
      <c r="K166" s="7">
        <v>0</v>
      </c>
      <c r="L166" s="7">
        <v>1277.675</v>
      </c>
      <c r="M166" s="7">
        <v>88.763999999999996</v>
      </c>
      <c r="N166" s="7">
        <v>0</v>
      </c>
      <c r="O166" s="7">
        <v>0</v>
      </c>
      <c r="P166" s="7">
        <v>2.3E-2</v>
      </c>
      <c r="Q166" s="7">
        <v>0</v>
      </c>
      <c r="R166" s="7">
        <v>0</v>
      </c>
      <c r="S166" s="7">
        <v>38.430999999999997</v>
      </c>
      <c r="T166" s="7">
        <v>0</v>
      </c>
      <c r="U166" s="7">
        <v>0</v>
      </c>
      <c r="V166" s="7">
        <v>2.4279999999999999</v>
      </c>
      <c r="W166" s="7">
        <v>15.022</v>
      </c>
      <c r="X166" s="7">
        <v>0</v>
      </c>
      <c r="Y166" s="7">
        <v>256.28500000000003</v>
      </c>
      <c r="Z166" s="7">
        <v>0</v>
      </c>
      <c r="AA166" s="7">
        <v>24.797999999999998</v>
      </c>
      <c r="AB166" s="7">
        <v>0</v>
      </c>
      <c r="AC166" s="7">
        <v>23.175000000000001</v>
      </c>
      <c r="AD166" s="7">
        <v>0</v>
      </c>
      <c r="AE166" s="7">
        <v>661.97699999999998</v>
      </c>
      <c r="AF166" s="7">
        <v>628.63900000000001</v>
      </c>
      <c r="AG166" s="7">
        <v>0</v>
      </c>
      <c r="AH166" s="7">
        <v>1939.6790000000001</v>
      </c>
      <c r="AI166" s="7">
        <v>1007.568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25.379000000000001</v>
      </c>
      <c r="AP166" s="7">
        <v>0</v>
      </c>
      <c r="AQ166" s="7">
        <v>247.59299999999999</v>
      </c>
      <c r="AR166" s="7">
        <v>0</v>
      </c>
      <c r="AS166" s="7">
        <v>0.35799999999999998</v>
      </c>
      <c r="AT166" s="7">
        <v>0</v>
      </c>
      <c r="AU166" s="7">
        <v>3.47</v>
      </c>
      <c r="AV166" s="7">
        <v>0</v>
      </c>
      <c r="AW166" s="7">
        <v>0</v>
      </c>
      <c r="AX166" s="7">
        <v>0</v>
      </c>
      <c r="AY166" s="7">
        <v>11.125999999999999</v>
      </c>
      <c r="AZ166" s="7">
        <v>368.14</v>
      </c>
      <c r="BA166" s="7">
        <v>0</v>
      </c>
      <c r="BB166" s="7">
        <v>9.8469999999999995</v>
      </c>
      <c r="BC166" s="7">
        <v>1.1120000000000001</v>
      </c>
      <c r="BD166" s="7">
        <v>457.77300000000002</v>
      </c>
      <c r="BE166" s="7">
        <v>2.8330000000000002</v>
      </c>
      <c r="BF166" s="7">
        <v>159.52199999999999</v>
      </c>
      <c r="BG166" s="7">
        <v>0</v>
      </c>
      <c r="BH166" s="7">
        <v>0.377</v>
      </c>
      <c r="BI166" s="21"/>
    </row>
    <row r="167" spans="1:61" ht="15.6" x14ac:dyDescent="0.3">
      <c r="A167" s="5" t="s">
        <v>317</v>
      </c>
      <c r="B167" s="5" t="s">
        <v>318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21"/>
    </row>
    <row r="168" spans="1:61" ht="15.6" x14ac:dyDescent="0.3">
      <c r="A168" s="5" t="s">
        <v>319</v>
      </c>
      <c r="B168" s="5" t="s">
        <v>320</v>
      </c>
      <c r="C168" s="7">
        <v>6</v>
      </c>
      <c r="D168" s="7">
        <v>6</v>
      </c>
      <c r="E168" s="7">
        <v>-295.91199999999998</v>
      </c>
      <c r="F168" s="7">
        <v>-40.078000000000003</v>
      </c>
      <c r="G168" s="7">
        <v>-36.052999999999997</v>
      </c>
      <c r="H168" s="7">
        <v>0</v>
      </c>
      <c r="I168" s="7">
        <v>-7.04</v>
      </c>
      <c r="J168" s="7">
        <v>-27.323</v>
      </c>
      <c r="K168" s="7">
        <v>0</v>
      </c>
      <c r="L168" s="7">
        <v>-264.69299999999998</v>
      </c>
      <c r="M168" s="7">
        <v>-85.834999999999994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-12.536</v>
      </c>
      <c r="T168" s="7">
        <v>0</v>
      </c>
      <c r="U168" s="7">
        <v>0</v>
      </c>
      <c r="V168" s="7">
        <v>-5.4550000000000001</v>
      </c>
      <c r="W168" s="7">
        <v>-11.978</v>
      </c>
      <c r="X168" s="7">
        <v>0</v>
      </c>
      <c r="Y168" s="7">
        <v>-128.274</v>
      </c>
      <c r="Z168" s="7">
        <v>0</v>
      </c>
      <c r="AA168" s="7">
        <v>-33.042000000000002</v>
      </c>
      <c r="AB168" s="7">
        <v>0</v>
      </c>
      <c r="AC168" s="7">
        <v>-7.1559999999999997</v>
      </c>
      <c r="AD168" s="7">
        <v>0</v>
      </c>
      <c r="AE168" s="7">
        <v>-369.55799999999999</v>
      </c>
      <c r="AF168" s="7">
        <v>-26.064</v>
      </c>
      <c r="AG168" s="7">
        <v>0</v>
      </c>
      <c r="AH168" s="7">
        <v>-692.12800000000004</v>
      </c>
      <c r="AI168" s="7">
        <v>-38.186999999999998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-4.1429999999999998</v>
      </c>
      <c r="AP168" s="7">
        <v>0</v>
      </c>
      <c r="AQ168" s="7">
        <v>-10.435</v>
      </c>
      <c r="AR168" s="7">
        <v>0</v>
      </c>
      <c r="AS168" s="7">
        <v>-2.7E-2</v>
      </c>
      <c r="AT168" s="7">
        <v>0</v>
      </c>
      <c r="AU168" s="7">
        <v>-7.6999999999999999E-2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-1.6970000000000001</v>
      </c>
      <c r="BC168" s="7">
        <v>0</v>
      </c>
      <c r="BD168" s="7">
        <v>0</v>
      </c>
      <c r="BE168" s="7">
        <v>-0.65800000000000003</v>
      </c>
      <c r="BF168" s="7">
        <v>0</v>
      </c>
      <c r="BG168" s="7">
        <v>0</v>
      </c>
      <c r="BH168" s="7">
        <v>0</v>
      </c>
      <c r="BI168" s="21"/>
    </row>
    <row r="169" spans="1:61" ht="15.6" x14ac:dyDescent="0.3">
      <c r="A169" s="5" t="s">
        <v>305</v>
      </c>
      <c r="B169" s="5" t="s">
        <v>321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21"/>
    </row>
    <row r="170" spans="1:61" ht="15.6" x14ac:dyDescent="0.3">
      <c r="A170" s="5" t="s">
        <v>307</v>
      </c>
      <c r="B170" s="5" t="s">
        <v>322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21"/>
    </row>
    <row r="171" spans="1:61" ht="15.6" x14ac:dyDescent="0.3">
      <c r="A171" s="5" t="s">
        <v>323</v>
      </c>
      <c r="B171" s="5" t="s">
        <v>324</v>
      </c>
      <c r="C171" s="7">
        <v>4</v>
      </c>
      <c r="D171" s="7">
        <v>4</v>
      </c>
      <c r="E171" s="7">
        <v>7077.9440000000004</v>
      </c>
      <c r="F171" s="7">
        <v>748.66600000000005</v>
      </c>
      <c r="G171" s="7">
        <v>5.8090000000000002</v>
      </c>
      <c r="H171" s="7">
        <v>0</v>
      </c>
      <c r="I171" s="7">
        <v>19.646999999999998</v>
      </c>
      <c r="J171" s="7">
        <v>3.77</v>
      </c>
      <c r="K171" s="7">
        <v>0</v>
      </c>
      <c r="L171" s="7">
        <v>14098.817999999999</v>
      </c>
      <c r="M171" s="7">
        <v>2386.415</v>
      </c>
      <c r="N171" s="7">
        <v>0</v>
      </c>
      <c r="O171" s="7">
        <v>0</v>
      </c>
      <c r="P171" s="7">
        <v>0.127</v>
      </c>
      <c r="Q171" s="7">
        <v>0</v>
      </c>
      <c r="R171" s="7">
        <v>0</v>
      </c>
      <c r="S171" s="7">
        <v>241.886</v>
      </c>
      <c r="T171" s="7">
        <v>0</v>
      </c>
      <c r="U171" s="7">
        <v>0</v>
      </c>
      <c r="V171" s="7">
        <v>0.60099999999999998</v>
      </c>
      <c r="W171" s="7">
        <v>84.945999999999998</v>
      </c>
      <c r="X171" s="7">
        <v>0</v>
      </c>
      <c r="Y171" s="7">
        <v>2299.4850000000001</v>
      </c>
      <c r="Z171" s="7">
        <v>0</v>
      </c>
      <c r="AA171" s="7">
        <v>8.1920000000000002</v>
      </c>
      <c r="AB171" s="7">
        <v>0</v>
      </c>
      <c r="AC171" s="7">
        <v>151.834</v>
      </c>
      <c r="AD171" s="7">
        <v>0.183</v>
      </c>
      <c r="AE171" s="7">
        <v>4502.0309999999999</v>
      </c>
      <c r="AF171" s="7">
        <v>4386.3680000000004</v>
      </c>
      <c r="AG171" s="7">
        <v>0.73599999999999999</v>
      </c>
      <c r="AH171" s="7">
        <v>23200.183000000001</v>
      </c>
      <c r="AI171" s="7">
        <v>6969.4409999999998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160.898</v>
      </c>
      <c r="AP171" s="7">
        <v>0</v>
      </c>
      <c r="AQ171" s="7">
        <v>1698.981</v>
      </c>
      <c r="AR171" s="7">
        <v>0</v>
      </c>
      <c r="AS171" s="7">
        <v>2.1520000000000001</v>
      </c>
      <c r="AT171" s="7">
        <v>0</v>
      </c>
      <c r="AU171" s="7">
        <v>16.064</v>
      </c>
      <c r="AV171" s="7">
        <v>0</v>
      </c>
      <c r="AW171" s="7">
        <v>0</v>
      </c>
      <c r="AX171" s="7">
        <v>0</v>
      </c>
      <c r="AY171" s="7">
        <v>56.558</v>
      </c>
      <c r="AZ171" s="7">
        <v>2191.0479999999998</v>
      </c>
      <c r="BA171" s="7">
        <v>0</v>
      </c>
      <c r="BB171" s="7">
        <v>62.52</v>
      </c>
      <c r="BC171" s="7">
        <v>0.19600000000000001</v>
      </c>
      <c r="BD171" s="7">
        <v>2724.509</v>
      </c>
      <c r="BE171" s="7">
        <v>18.106000000000002</v>
      </c>
      <c r="BF171" s="7">
        <v>949.42200000000003</v>
      </c>
      <c r="BG171" s="7">
        <v>0</v>
      </c>
      <c r="BH171" s="7">
        <v>5.6000000000000001E-2</v>
      </c>
      <c r="BI171" s="21"/>
    </row>
    <row r="172" spans="1:61" ht="15.6" x14ac:dyDescent="0.3">
      <c r="A172" s="5" t="s">
        <v>325</v>
      </c>
      <c r="B172" s="5" t="s">
        <v>326</v>
      </c>
      <c r="C172" s="7">
        <v>4</v>
      </c>
      <c r="D172" s="7">
        <v>4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21"/>
    </row>
    <row r="173" spans="1:61" ht="15.6" x14ac:dyDescent="0.3">
      <c r="A173" s="5" t="s">
        <v>327</v>
      </c>
      <c r="B173" s="5" t="s">
        <v>328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21"/>
    </row>
    <row r="174" spans="1:61" ht="15.6" x14ac:dyDescent="0.3">
      <c r="A174" s="5" t="s">
        <v>329</v>
      </c>
      <c r="B174" s="5" t="s">
        <v>330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21"/>
    </row>
    <row r="175" spans="1:61" ht="15.6" x14ac:dyDescent="0.3">
      <c r="A175" s="5" t="s">
        <v>331</v>
      </c>
      <c r="B175" s="5" t="s">
        <v>332</v>
      </c>
      <c r="C175" s="7">
        <v>4</v>
      </c>
      <c r="D175" s="7">
        <v>4</v>
      </c>
      <c r="E175" s="7">
        <v>70.61</v>
      </c>
      <c r="F175" s="7">
        <v>14.840999999999999</v>
      </c>
      <c r="G175" s="7">
        <v>0</v>
      </c>
      <c r="H175" s="7">
        <v>0</v>
      </c>
      <c r="I175" s="7">
        <v>0.30499999999999999</v>
      </c>
      <c r="J175" s="7">
        <v>0</v>
      </c>
      <c r="K175" s="7">
        <v>0</v>
      </c>
      <c r="L175" s="7">
        <v>179.52699999999999</v>
      </c>
      <c r="M175" s="7">
        <v>7.95</v>
      </c>
      <c r="N175" s="7">
        <v>0</v>
      </c>
      <c r="O175" s="7">
        <v>0</v>
      </c>
      <c r="P175" s="7">
        <v>3.0000000000000001E-3</v>
      </c>
      <c r="Q175" s="7">
        <v>0</v>
      </c>
      <c r="R175" s="7">
        <v>0</v>
      </c>
      <c r="S175" s="7">
        <v>4.8490000000000002</v>
      </c>
      <c r="T175" s="7">
        <v>0</v>
      </c>
      <c r="U175" s="7">
        <v>0</v>
      </c>
      <c r="V175" s="7">
        <v>0</v>
      </c>
      <c r="W175" s="7">
        <v>1.722</v>
      </c>
      <c r="X175" s="7">
        <v>0</v>
      </c>
      <c r="Y175" s="7">
        <v>35.069000000000003</v>
      </c>
      <c r="Z175" s="7">
        <v>0</v>
      </c>
      <c r="AA175" s="7">
        <v>0</v>
      </c>
      <c r="AB175" s="7">
        <v>0</v>
      </c>
      <c r="AC175" s="7">
        <v>3.0950000000000002</v>
      </c>
      <c r="AD175" s="7">
        <v>0</v>
      </c>
      <c r="AE175" s="7">
        <v>93.314999999999998</v>
      </c>
      <c r="AF175" s="7">
        <v>90.188999999999993</v>
      </c>
      <c r="AG175" s="7">
        <v>0</v>
      </c>
      <c r="AH175" s="7">
        <v>269.30900000000003</v>
      </c>
      <c r="AI175" s="7">
        <v>144.55199999999999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3.3780000000000001</v>
      </c>
      <c r="AP175" s="7">
        <v>0</v>
      </c>
      <c r="AQ175" s="7">
        <v>35.521000000000001</v>
      </c>
      <c r="AR175" s="7">
        <v>0</v>
      </c>
      <c r="AS175" s="7">
        <v>4.5999999999999999E-2</v>
      </c>
      <c r="AT175" s="7">
        <v>0</v>
      </c>
      <c r="AU175" s="7">
        <v>0.34100000000000003</v>
      </c>
      <c r="AV175" s="7">
        <v>0</v>
      </c>
      <c r="AW175" s="7">
        <v>0</v>
      </c>
      <c r="AX175" s="7">
        <v>0</v>
      </c>
      <c r="AY175" s="7">
        <v>1.3540000000000001</v>
      </c>
      <c r="AZ175" s="7">
        <v>52.816000000000003</v>
      </c>
      <c r="BA175" s="7">
        <v>0</v>
      </c>
      <c r="BB175" s="7">
        <v>1.3080000000000001</v>
      </c>
      <c r="BC175" s="7">
        <v>0</v>
      </c>
      <c r="BD175" s="7">
        <v>65.674999999999997</v>
      </c>
      <c r="BE175" s="7">
        <v>0.375</v>
      </c>
      <c r="BF175" s="7">
        <v>22.885999999999999</v>
      </c>
      <c r="BG175" s="7">
        <v>0</v>
      </c>
      <c r="BH175" s="7">
        <v>0</v>
      </c>
      <c r="BI175" s="21"/>
    </row>
    <row r="176" spans="1:61" ht="15.6" x14ac:dyDescent="0.3">
      <c r="A176" s="5" t="s">
        <v>333</v>
      </c>
      <c r="B176" s="5" t="s">
        <v>334</v>
      </c>
      <c r="C176" s="7">
        <v>4</v>
      </c>
      <c r="D176" s="7">
        <v>4</v>
      </c>
      <c r="E176" s="7">
        <v>-4054.3240000000001</v>
      </c>
      <c r="F176" s="7">
        <v>-512.928</v>
      </c>
      <c r="G176" s="7">
        <v>-7.2619999999999996</v>
      </c>
      <c r="H176" s="7">
        <v>0</v>
      </c>
      <c r="I176" s="7">
        <v>-14.321999999999999</v>
      </c>
      <c r="J176" s="7">
        <v>-4.7119999999999997</v>
      </c>
      <c r="K176" s="7">
        <v>0</v>
      </c>
      <c r="L176" s="7">
        <v>-8360.8619999999992</v>
      </c>
      <c r="M176" s="7">
        <v>-1253.252</v>
      </c>
      <c r="N176" s="7">
        <v>0</v>
      </c>
      <c r="O176" s="7">
        <v>0</v>
      </c>
      <c r="P176" s="7">
        <v>-8.5999999999999993E-2</v>
      </c>
      <c r="Q176" s="7">
        <v>0</v>
      </c>
      <c r="R176" s="7">
        <v>0</v>
      </c>
      <c r="S176" s="7">
        <v>-165.35300000000001</v>
      </c>
      <c r="T176" s="7">
        <v>0</v>
      </c>
      <c r="U176" s="7">
        <v>0</v>
      </c>
      <c r="V176" s="7">
        <v>-0.751</v>
      </c>
      <c r="W176" s="7">
        <v>-58.533999999999999</v>
      </c>
      <c r="X176" s="7">
        <v>0</v>
      </c>
      <c r="Y176" s="7">
        <v>-1424.326</v>
      </c>
      <c r="Z176" s="7">
        <v>0</v>
      </c>
      <c r="AA176" s="7">
        <v>-10.241</v>
      </c>
      <c r="AB176" s="7">
        <v>0</v>
      </c>
      <c r="AC176" s="7">
        <v>-103.229</v>
      </c>
      <c r="AD176" s="7">
        <v>-0.22800000000000001</v>
      </c>
      <c r="AE176" s="7">
        <v>-3009.7649999999999</v>
      </c>
      <c r="AF176" s="7">
        <v>-2948.2669999999998</v>
      </c>
      <c r="AG176" s="7">
        <v>-0.92</v>
      </c>
      <c r="AH176" s="7">
        <v>-14331.177</v>
      </c>
      <c r="AI176" s="7">
        <v>-4690.8029999999999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-107.51300000000001</v>
      </c>
      <c r="AP176" s="7">
        <v>0</v>
      </c>
      <c r="AQ176" s="7">
        <v>-1135.4849999999999</v>
      </c>
      <c r="AR176" s="7">
        <v>0</v>
      </c>
      <c r="AS176" s="7">
        <v>-1.4490000000000001</v>
      </c>
      <c r="AT176" s="7">
        <v>0</v>
      </c>
      <c r="AU176" s="7">
        <v>-10.942</v>
      </c>
      <c r="AV176" s="7">
        <v>0</v>
      </c>
      <c r="AW176" s="7">
        <v>0</v>
      </c>
      <c r="AX176" s="7">
        <v>0</v>
      </c>
      <c r="AY176" s="7">
        <v>-38.326999999999998</v>
      </c>
      <c r="AZ176" s="7">
        <v>-1476.43</v>
      </c>
      <c r="BA176" s="7">
        <v>0</v>
      </c>
      <c r="BB176" s="7">
        <v>-41.774999999999999</v>
      </c>
      <c r="BC176" s="7">
        <v>-0.246</v>
      </c>
      <c r="BD176" s="7">
        <v>-1835.9010000000001</v>
      </c>
      <c r="BE176" s="7">
        <v>-12.087999999999999</v>
      </c>
      <c r="BF176" s="7">
        <v>-639.76400000000001</v>
      </c>
      <c r="BG176" s="7">
        <v>0</v>
      </c>
      <c r="BH176" s="7">
        <v>-7.0000000000000007E-2</v>
      </c>
      <c r="BI176" s="21"/>
    </row>
    <row r="177" spans="1:61" ht="15.6" x14ac:dyDescent="0.3">
      <c r="A177" s="5" t="s">
        <v>335</v>
      </c>
      <c r="B177" s="5" t="s">
        <v>336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21"/>
    </row>
    <row r="178" spans="1:61" ht="15.6" x14ac:dyDescent="0.3">
      <c r="A178" s="5" t="s">
        <v>337</v>
      </c>
      <c r="B178" s="5" t="s">
        <v>338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21"/>
    </row>
    <row r="179" spans="1:61" ht="15.6" x14ac:dyDescent="0.3">
      <c r="A179" s="5" t="s">
        <v>339</v>
      </c>
      <c r="B179" s="5" t="s">
        <v>340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21"/>
    </row>
    <row r="180" spans="1:61" ht="15.6" x14ac:dyDescent="0.3">
      <c r="A180" s="5" t="s">
        <v>341</v>
      </c>
      <c r="B180" s="5" t="s">
        <v>342</v>
      </c>
      <c r="C180" s="7">
        <v>4</v>
      </c>
      <c r="D180" s="7">
        <v>4</v>
      </c>
      <c r="E180" s="7">
        <v>-99.209000000000003</v>
      </c>
      <c r="F180" s="7">
        <v>-20.852</v>
      </c>
      <c r="G180" s="7">
        <v>0</v>
      </c>
      <c r="H180" s="7">
        <v>0</v>
      </c>
      <c r="I180" s="7">
        <v>-0.42799999999999999</v>
      </c>
      <c r="J180" s="7">
        <v>0</v>
      </c>
      <c r="K180" s="7">
        <v>0</v>
      </c>
      <c r="L180" s="7">
        <v>-252.239</v>
      </c>
      <c r="M180" s="7">
        <v>-11.17</v>
      </c>
      <c r="N180" s="7">
        <v>0</v>
      </c>
      <c r="O180" s="7">
        <v>0</v>
      </c>
      <c r="P180" s="7">
        <v>-4.0000000000000001E-3</v>
      </c>
      <c r="Q180" s="7">
        <v>0</v>
      </c>
      <c r="R180" s="7">
        <v>0</v>
      </c>
      <c r="S180" s="7">
        <v>-6.8129999999999997</v>
      </c>
      <c r="T180" s="7">
        <v>0</v>
      </c>
      <c r="U180" s="7">
        <v>0</v>
      </c>
      <c r="V180" s="7">
        <v>0</v>
      </c>
      <c r="W180" s="7">
        <v>-2.419</v>
      </c>
      <c r="X180" s="7">
        <v>0</v>
      </c>
      <c r="Y180" s="7">
        <v>-49.273000000000003</v>
      </c>
      <c r="Z180" s="7">
        <v>0</v>
      </c>
      <c r="AA180" s="7">
        <v>0</v>
      </c>
      <c r="AB180" s="7">
        <v>0</v>
      </c>
      <c r="AC180" s="7">
        <v>-4.3490000000000002</v>
      </c>
      <c r="AD180" s="7">
        <v>0</v>
      </c>
      <c r="AE180" s="7">
        <v>-131.108</v>
      </c>
      <c r="AF180" s="7">
        <v>-126.717</v>
      </c>
      <c r="AG180" s="7">
        <v>0</v>
      </c>
      <c r="AH180" s="7">
        <v>-378.38400000000001</v>
      </c>
      <c r="AI180" s="7">
        <v>-203.09800000000001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-4.7450000000000001</v>
      </c>
      <c r="AP180" s="7">
        <v>0</v>
      </c>
      <c r="AQ180" s="7">
        <v>-49.908000000000001</v>
      </c>
      <c r="AR180" s="7">
        <v>0</v>
      </c>
      <c r="AS180" s="7">
        <v>-6.4000000000000001E-2</v>
      </c>
      <c r="AT180" s="7">
        <v>0</v>
      </c>
      <c r="AU180" s="7">
        <v>-0.47899999999999998</v>
      </c>
      <c r="AV180" s="7">
        <v>0</v>
      </c>
      <c r="AW180" s="7">
        <v>0</v>
      </c>
      <c r="AX180" s="7">
        <v>0</v>
      </c>
      <c r="AY180" s="7">
        <v>-1.903</v>
      </c>
      <c r="AZ180" s="7">
        <v>-74.206999999999994</v>
      </c>
      <c r="BA180" s="7">
        <v>0</v>
      </c>
      <c r="BB180" s="7">
        <v>-1.837</v>
      </c>
      <c r="BC180" s="7">
        <v>0</v>
      </c>
      <c r="BD180" s="7">
        <v>-92.274000000000001</v>
      </c>
      <c r="BE180" s="7">
        <v>-0.52700000000000002</v>
      </c>
      <c r="BF180" s="7">
        <v>-32.155000000000001</v>
      </c>
      <c r="BG180" s="7">
        <v>0</v>
      </c>
      <c r="BH180" s="7">
        <v>0</v>
      </c>
      <c r="BI180" s="21"/>
    </row>
    <row r="181" spans="1:61" ht="15.6" x14ac:dyDescent="0.3">
      <c r="A181" s="5" t="s">
        <v>323</v>
      </c>
      <c r="B181" s="5" t="s">
        <v>343</v>
      </c>
      <c r="C181" s="7">
        <v>6</v>
      </c>
      <c r="D181" s="7">
        <v>6</v>
      </c>
      <c r="E181" s="7">
        <v>20.94</v>
      </c>
      <c r="F181" s="7">
        <v>4.4009999999999998</v>
      </c>
      <c r="G181" s="7">
        <v>0</v>
      </c>
      <c r="H181" s="7">
        <v>0</v>
      </c>
      <c r="I181" s="7">
        <v>0.09</v>
      </c>
      <c r="J181" s="7">
        <v>0</v>
      </c>
      <c r="K181" s="7">
        <v>0</v>
      </c>
      <c r="L181" s="7">
        <v>53.24</v>
      </c>
      <c r="M181" s="7">
        <v>2.3580000000000001</v>
      </c>
      <c r="N181" s="7">
        <v>0</v>
      </c>
      <c r="O181" s="7">
        <v>0</v>
      </c>
      <c r="P181" s="7">
        <v>1E-3</v>
      </c>
      <c r="Q181" s="7">
        <v>0</v>
      </c>
      <c r="R181" s="7">
        <v>0</v>
      </c>
      <c r="S181" s="7">
        <v>1.4379999999999999</v>
      </c>
      <c r="T181" s="7">
        <v>0</v>
      </c>
      <c r="U181" s="7">
        <v>0</v>
      </c>
      <c r="V181" s="7">
        <v>0</v>
      </c>
      <c r="W181" s="7">
        <v>0.51100000000000001</v>
      </c>
      <c r="X181" s="7">
        <v>0</v>
      </c>
      <c r="Y181" s="7">
        <v>10.4</v>
      </c>
      <c r="Z181" s="7">
        <v>0</v>
      </c>
      <c r="AA181" s="7">
        <v>0</v>
      </c>
      <c r="AB181" s="7">
        <v>0</v>
      </c>
      <c r="AC181" s="7">
        <v>0.91800000000000004</v>
      </c>
      <c r="AD181" s="7">
        <v>0</v>
      </c>
      <c r="AE181" s="7">
        <v>27.672999999999998</v>
      </c>
      <c r="AF181" s="7">
        <v>26.745999999999999</v>
      </c>
      <c r="AG181" s="7">
        <v>0</v>
      </c>
      <c r="AH181" s="7">
        <v>79.864999999999995</v>
      </c>
      <c r="AI181" s="7">
        <v>42.868000000000002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1.002</v>
      </c>
      <c r="AP181" s="7">
        <v>0</v>
      </c>
      <c r="AQ181" s="7">
        <v>10.534000000000001</v>
      </c>
      <c r="AR181" s="7">
        <v>0</v>
      </c>
      <c r="AS181" s="7">
        <v>1.4E-2</v>
      </c>
      <c r="AT181" s="7">
        <v>0</v>
      </c>
      <c r="AU181" s="7">
        <v>0.10100000000000001</v>
      </c>
      <c r="AV181" s="7">
        <v>0</v>
      </c>
      <c r="AW181" s="7">
        <v>0</v>
      </c>
      <c r="AX181" s="7">
        <v>0</v>
      </c>
      <c r="AY181" s="7">
        <v>0.40200000000000002</v>
      </c>
      <c r="AZ181" s="7">
        <v>15.663</v>
      </c>
      <c r="BA181" s="7">
        <v>0</v>
      </c>
      <c r="BB181" s="7">
        <v>0.38800000000000001</v>
      </c>
      <c r="BC181" s="7">
        <v>0</v>
      </c>
      <c r="BD181" s="7">
        <v>19.475999999999999</v>
      </c>
      <c r="BE181" s="7">
        <v>0.111</v>
      </c>
      <c r="BF181" s="7">
        <v>6.7869999999999999</v>
      </c>
      <c r="BG181" s="7">
        <v>0</v>
      </c>
      <c r="BH181" s="7">
        <v>0</v>
      </c>
      <c r="BI181" s="21"/>
    </row>
    <row r="182" spans="1:61" ht="15.6" x14ac:dyDescent="0.3">
      <c r="A182" s="5" t="s">
        <v>325</v>
      </c>
      <c r="B182" s="5" t="s">
        <v>344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21"/>
    </row>
    <row r="183" spans="1:61" ht="15.6" x14ac:dyDescent="0.3">
      <c r="A183" s="5" t="s">
        <v>327</v>
      </c>
      <c r="B183" s="5" t="s">
        <v>345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21"/>
    </row>
    <row r="184" spans="1:61" ht="15.6" x14ac:dyDescent="0.3">
      <c r="A184" s="5" t="s">
        <v>329</v>
      </c>
      <c r="B184" s="5" t="s">
        <v>346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21"/>
    </row>
    <row r="185" spans="1:61" ht="15.6" x14ac:dyDescent="0.3">
      <c r="A185" s="5" t="s">
        <v>331</v>
      </c>
      <c r="B185" s="5" t="s">
        <v>347</v>
      </c>
      <c r="C185" s="7">
        <v>6</v>
      </c>
      <c r="D185" s="7">
        <v>6</v>
      </c>
      <c r="E185" s="7">
        <v>98.858000000000004</v>
      </c>
      <c r="F185" s="7">
        <v>8.67</v>
      </c>
      <c r="G185" s="7">
        <v>12.177</v>
      </c>
      <c r="H185" s="7">
        <v>0</v>
      </c>
      <c r="I185" s="7">
        <v>2.1120000000000001</v>
      </c>
      <c r="J185" s="7">
        <v>7.3959999999999999</v>
      </c>
      <c r="K185" s="7">
        <v>0</v>
      </c>
      <c r="L185" s="7">
        <v>70.777000000000001</v>
      </c>
      <c r="M185" s="7">
        <v>32.841999999999999</v>
      </c>
      <c r="N185" s="7">
        <v>0</v>
      </c>
      <c r="O185" s="7">
        <v>0</v>
      </c>
      <c r="P185" s="7">
        <v>0.38100000000000001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1.23</v>
      </c>
      <c r="W185" s="7">
        <v>3.6949999999999998</v>
      </c>
      <c r="X185" s="7">
        <v>0</v>
      </c>
      <c r="Y185" s="7">
        <v>29.14</v>
      </c>
      <c r="Z185" s="7">
        <v>0</v>
      </c>
      <c r="AA185" s="7">
        <v>9.9459999999999997</v>
      </c>
      <c r="AB185" s="7">
        <v>0</v>
      </c>
      <c r="AC185" s="7">
        <v>1.585</v>
      </c>
      <c r="AD185" s="7">
        <v>0</v>
      </c>
      <c r="AE185" s="7">
        <v>94.594999999999999</v>
      </c>
      <c r="AF185" s="7">
        <v>0</v>
      </c>
      <c r="AG185" s="7">
        <v>0</v>
      </c>
      <c r="AH185" s="7">
        <v>207.43299999999999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21"/>
    </row>
    <row r="186" spans="1:61" ht="15.6" x14ac:dyDescent="0.3">
      <c r="A186" s="5" t="s">
        <v>333</v>
      </c>
      <c r="B186" s="5" t="s">
        <v>348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21"/>
    </row>
    <row r="187" spans="1:61" ht="15.6" x14ac:dyDescent="0.3">
      <c r="A187" s="5" t="s">
        <v>335</v>
      </c>
      <c r="B187" s="5" t="s">
        <v>349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21"/>
    </row>
    <row r="188" spans="1:61" ht="15.6" x14ac:dyDescent="0.3">
      <c r="A188" s="5" t="s">
        <v>337</v>
      </c>
      <c r="B188" s="5" t="s">
        <v>350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21"/>
    </row>
    <row r="189" spans="1:61" ht="15.6" x14ac:dyDescent="0.3">
      <c r="A189" s="5" t="s">
        <v>339</v>
      </c>
      <c r="B189" s="5" t="s">
        <v>351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21"/>
    </row>
    <row r="190" spans="1:61" ht="15.6" x14ac:dyDescent="0.3">
      <c r="A190" s="5" t="s">
        <v>341</v>
      </c>
      <c r="B190" s="5" t="s">
        <v>352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21"/>
    </row>
    <row r="191" spans="1:61" ht="15.6" x14ac:dyDescent="0.3">
      <c r="A191" s="5" t="s">
        <v>353</v>
      </c>
      <c r="B191" s="5" t="s">
        <v>354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21"/>
    </row>
    <row r="192" spans="1:61" ht="15.6" x14ac:dyDescent="0.3">
      <c r="A192" s="5" t="s">
        <v>355</v>
      </c>
      <c r="B192" s="5" t="s">
        <v>356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21"/>
    </row>
    <row r="193" spans="1:61" ht="15.6" x14ac:dyDescent="0.3">
      <c r="A193" s="5" t="s">
        <v>357</v>
      </c>
      <c r="B193" s="5" t="s">
        <v>358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21"/>
    </row>
    <row r="194" spans="1:61" ht="15.6" x14ac:dyDescent="0.3">
      <c r="A194" s="5" t="s">
        <v>359</v>
      </c>
      <c r="B194" s="5" t="s">
        <v>360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21"/>
    </row>
    <row r="195" spans="1:61" ht="15.6" x14ac:dyDescent="0.3">
      <c r="A195" s="5" t="s">
        <v>361</v>
      </c>
      <c r="B195" s="5" t="s">
        <v>362</v>
      </c>
      <c r="C195" s="7">
        <v>6</v>
      </c>
      <c r="D195" s="7">
        <v>6</v>
      </c>
      <c r="E195" s="7">
        <v>151.46799999999999</v>
      </c>
      <c r="F195" s="7">
        <v>0</v>
      </c>
      <c r="G195" s="7">
        <v>36.881999999999998</v>
      </c>
      <c r="H195" s="7">
        <v>0</v>
      </c>
      <c r="I195" s="7">
        <v>0</v>
      </c>
      <c r="J195" s="7">
        <v>64.153999999999996</v>
      </c>
      <c r="K195" s="7">
        <v>0</v>
      </c>
      <c r="L195" s="7">
        <v>544.79700000000003</v>
      </c>
      <c r="M195" s="7">
        <v>78.997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467.02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21"/>
    </row>
    <row r="196" spans="1:61" ht="15.6" x14ac:dyDescent="0.3">
      <c r="A196" s="5" t="s">
        <v>363</v>
      </c>
      <c r="B196" s="5" t="s">
        <v>364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21"/>
    </row>
    <row r="197" spans="1:61" ht="15.6" x14ac:dyDescent="0.3">
      <c r="A197" s="5" t="s">
        <v>365</v>
      </c>
      <c r="B197" s="5" t="s">
        <v>366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21"/>
    </row>
    <row r="198" spans="1:61" ht="15.6" x14ac:dyDescent="0.3">
      <c r="A198" s="5" t="s">
        <v>367</v>
      </c>
      <c r="B198" s="5" t="s">
        <v>368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21"/>
    </row>
    <row r="199" spans="1:61" ht="15.6" x14ac:dyDescent="0.3">
      <c r="A199" s="5" t="s">
        <v>369</v>
      </c>
      <c r="B199" s="5" t="s">
        <v>370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21"/>
    </row>
    <row r="200" spans="1:61" ht="15.6" x14ac:dyDescent="0.3">
      <c r="A200" s="5" t="s">
        <v>371</v>
      </c>
      <c r="B200" s="5" t="s">
        <v>372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21"/>
    </row>
    <row r="201" spans="1:61" ht="15.6" x14ac:dyDescent="0.3">
      <c r="A201" s="5" t="s">
        <v>373</v>
      </c>
      <c r="B201" s="5" t="s">
        <v>374</v>
      </c>
      <c r="C201" s="7">
        <v>3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21"/>
    </row>
    <row r="202" spans="1:61" ht="15.6" x14ac:dyDescent="0.3">
      <c r="A202" s="5" t="s">
        <v>375</v>
      </c>
      <c r="B202" s="5" t="s">
        <v>376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21"/>
    </row>
    <row r="203" spans="1:61" ht="15.6" x14ac:dyDescent="0.3">
      <c r="A203" s="5" t="s">
        <v>377</v>
      </c>
      <c r="B203" s="5" t="s">
        <v>378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21"/>
    </row>
    <row r="204" spans="1:61" ht="15.6" x14ac:dyDescent="0.3">
      <c r="A204" s="5" t="s">
        <v>379</v>
      </c>
      <c r="B204" s="5" t="s">
        <v>380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21"/>
    </row>
    <row r="205" spans="1:61" ht="15.6" x14ac:dyDescent="0.3">
      <c r="A205" s="5" t="s">
        <v>381</v>
      </c>
      <c r="B205" s="5" t="s">
        <v>382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21"/>
    </row>
    <row r="206" spans="1:61" ht="15.6" x14ac:dyDescent="0.3">
      <c r="A206" s="5" t="s">
        <v>383</v>
      </c>
      <c r="B206" s="5" t="s">
        <v>384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21"/>
    </row>
    <row r="207" spans="1:61" ht="15.6" x14ac:dyDescent="0.3">
      <c r="A207" s="5" t="s">
        <v>385</v>
      </c>
      <c r="B207" s="5" t="s">
        <v>386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21"/>
    </row>
    <row r="208" spans="1:61" ht="15.6" x14ac:dyDescent="0.3">
      <c r="A208" s="5" t="s">
        <v>387</v>
      </c>
      <c r="B208" s="5" t="s">
        <v>388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21"/>
    </row>
    <row r="209" spans="1:61" ht="15.6" x14ac:dyDescent="0.3">
      <c r="A209" s="5" t="s">
        <v>389</v>
      </c>
      <c r="B209" s="5" t="s">
        <v>390</v>
      </c>
      <c r="C209" s="7">
        <v>6</v>
      </c>
      <c r="D209" s="7">
        <v>6</v>
      </c>
      <c r="E209" s="7">
        <v>28.312000000000001</v>
      </c>
      <c r="F209" s="7">
        <v>2.4620000000000002</v>
      </c>
      <c r="G209" s="7">
        <v>6.633</v>
      </c>
      <c r="H209" s="7">
        <v>0</v>
      </c>
      <c r="I209" s="7">
        <v>0.56899999999999995</v>
      </c>
      <c r="J209" s="7">
        <v>4.9950000000000001</v>
      </c>
      <c r="K209" s="7">
        <v>0</v>
      </c>
      <c r="L209" s="7">
        <v>11.831</v>
      </c>
      <c r="M209" s="7">
        <v>14.16</v>
      </c>
      <c r="N209" s="7">
        <v>0</v>
      </c>
      <c r="O209" s="7">
        <v>0</v>
      </c>
      <c r="P209" s="7">
        <v>1E-3</v>
      </c>
      <c r="Q209" s="7">
        <v>37.953000000000003</v>
      </c>
      <c r="R209" s="7">
        <v>106.634</v>
      </c>
      <c r="S209" s="7">
        <v>0.876</v>
      </c>
      <c r="T209" s="7">
        <v>0</v>
      </c>
      <c r="U209" s="7">
        <v>0</v>
      </c>
      <c r="V209" s="7">
        <v>0.72799999999999998</v>
      </c>
      <c r="W209" s="7">
        <v>1.5860000000000001</v>
      </c>
      <c r="X209" s="7">
        <v>0</v>
      </c>
      <c r="Y209" s="7">
        <v>6.6029999999999998</v>
      </c>
      <c r="Z209" s="7">
        <v>0</v>
      </c>
      <c r="AA209" s="7">
        <v>8.2620000000000005</v>
      </c>
      <c r="AB209" s="7">
        <v>0</v>
      </c>
      <c r="AC209" s="7">
        <v>0.48199999999999998</v>
      </c>
      <c r="AD209" s="7">
        <v>0</v>
      </c>
      <c r="AE209" s="7">
        <v>19.992000000000001</v>
      </c>
      <c r="AF209" s="7">
        <v>0</v>
      </c>
      <c r="AG209" s="7">
        <v>0</v>
      </c>
      <c r="AH209" s="7">
        <v>38.64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0.58299999999999996</v>
      </c>
      <c r="AP209" s="7">
        <v>0</v>
      </c>
      <c r="AQ209" s="7">
        <v>0</v>
      </c>
      <c r="AR209" s="7">
        <v>0</v>
      </c>
      <c r="AS209" s="7">
        <v>3.0000000000000001E-3</v>
      </c>
      <c r="AT209" s="7">
        <v>0</v>
      </c>
      <c r="AU209" s="7">
        <v>0.184</v>
      </c>
      <c r="AV209" s="7">
        <v>0</v>
      </c>
      <c r="AW209" s="7">
        <v>0</v>
      </c>
      <c r="AX209" s="7">
        <v>0</v>
      </c>
      <c r="AY209" s="7">
        <v>0.51400000000000001</v>
      </c>
      <c r="AZ209" s="7">
        <v>0</v>
      </c>
      <c r="BA209" s="7">
        <v>0</v>
      </c>
      <c r="BB209" s="7">
        <v>0.24</v>
      </c>
      <c r="BC209" s="7">
        <v>0.34899999999999998</v>
      </c>
      <c r="BD209" s="7">
        <v>0</v>
      </c>
      <c r="BE209" s="7">
        <v>7.3999999999999996E-2</v>
      </c>
      <c r="BF209" s="7">
        <v>0</v>
      </c>
      <c r="BG209" s="7">
        <v>0</v>
      </c>
      <c r="BH209" s="7">
        <v>0.12</v>
      </c>
      <c r="BI209" s="21"/>
    </row>
    <row r="210" spans="1:61" ht="15.6" x14ac:dyDescent="0.3">
      <c r="A210" s="5" t="s">
        <v>391</v>
      </c>
      <c r="B210" s="5" t="s">
        <v>392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21"/>
    </row>
    <row r="211" spans="1:61" ht="15.6" x14ac:dyDescent="0.3">
      <c r="A211" s="5" t="s">
        <v>393</v>
      </c>
      <c r="B211" s="5" t="s">
        <v>394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21"/>
    </row>
    <row r="212" spans="1:61" ht="15.6" x14ac:dyDescent="0.3">
      <c r="A212" s="5" t="s">
        <v>395</v>
      </c>
      <c r="B212" s="5" t="s">
        <v>396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21"/>
    </row>
    <row r="213" spans="1:61" ht="15.6" x14ac:dyDescent="0.3">
      <c r="A213" s="5" t="s">
        <v>353</v>
      </c>
      <c r="B213" s="5" t="s">
        <v>397</v>
      </c>
      <c r="C213" s="7">
        <v>6</v>
      </c>
      <c r="D213" s="7">
        <v>6</v>
      </c>
      <c r="E213" s="7">
        <v>1148.2190000000001</v>
      </c>
      <c r="F213" s="7">
        <v>100.702</v>
      </c>
      <c r="G213" s="7">
        <v>141.43700000000001</v>
      </c>
      <c r="H213" s="7">
        <v>4.0000000000000001E-3</v>
      </c>
      <c r="I213" s="7">
        <v>24.524999999999999</v>
      </c>
      <c r="J213" s="7">
        <v>85.897999999999996</v>
      </c>
      <c r="K213" s="7">
        <v>0</v>
      </c>
      <c r="L213" s="7">
        <v>822.05700000000002</v>
      </c>
      <c r="M213" s="7">
        <v>381.45400000000001</v>
      </c>
      <c r="N213" s="7">
        <v>0</v>
      </c>
      <c r="O213" s="7">
        <v>0</v>
      </c>
      <c r="P213" s="7">
        <v>4.423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14.282</v>
      </c>
      <c r="W213" s="7">
        <v>42.92</v>
      </c>
      <c r="X213" s="7">
        <v>0</v>
      </c>
      <c r="Y213" s="7">
        <v>338.46100000000001</v>
      </c>
      <c r="Z213" s="7">
        <v>0</v>
      </c>
      <c r="AA213" s="7">
        <v>115.52500000000001</v>
      </c>
      <c r="AB213" s="7">
        <v>0</v>
      </c>
      <c r="AC213" s="7">
        <v>18.404</v>
      </c>
      <c r="AD213" s="7">
        <v>0</v>
      </c>
      <c r="AE213" s="7">
        <v>1098.6990000000001</v>
      </c>
      <c r="AF213" s="7">
        <v>0</v>
      </c>
      <c r="AG213" s="7">
        <v>0</v>
      </c>
      <c r="AH213" s="7">
        <v>2409.3020000000001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21"/>
    </row>
    <row r="214" spans="1:61" ht="15.6" x14ac:dyDescent="0.3">
      <c r="A214" s="5" t="s">
        <v>355</v>
      </c>
      <c r="B214" s="5" t="s">
        <v>398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21"/>
    </row>
    <row r="215" spans="1:61" ht="15.6" x14ac:dyDescent="0.3">
      <c r="A215" s="5" t="s">
        <v>357</v>
      </c>
      <c r="B215" s="5" t="s">
        <v>399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21"/>
    </row>
    <row r="216" spans="1:61" ht="15.6" x14ac:dyDescent="0.3">
      <c r="A216" s="5" t="s">
        <v>359</v>
      </c>
      <c r="B216" s="5" t="s">
        <v>400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21"/>
    </row>
    <row r="217" spans="1:61" ht="15.6" x14ac:dyDescent="0.3">
      <c r="A217" s="5" t="s">
        <v>361</v>
      </c>
      <c r="B217" s="5" t="s">
        <v>401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21"/>
    </row>
    <row r="218" spans="1:61" ht="15.6" x14ac:dyDescent="0.3">
      <c r="A218" s="5" t="s">
        <v>363</v>
      </c>
      <c r="B218" s="5" t="s">
        <v>402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-1E-3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-1E-3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21"/>
    </row>
    <row r="219" spans="1:61" ht="15.6" x14ac:dyDescent="0.3">
      <c r="A219" s="5" t="s">
        <v>365</v>
      </c>
      <c r="B219" s="5" t="s">
        <v>403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21"/>
    </row>
    <row r="220" spans="1:61" ht="15.6" x14ac:dyDescent="0.3">
      <c r="A220" s="5" t="s">
        <v>367</v>
      </c>
      <c r="B220" s="5" t="s">
        <v>404</v>
      </c>
      <c r="C220" s="7">
        <v>6</v>
      </c>
      <c r="D220" s="7">
        <v>6</v>
      </c>
      <c r="E220" s="7">
        <v>58899.03</v>
      </c>
      <c r="F220" s="7">
        <v>12379.669</v>
      </c>
      <c r="G220" s="7">
        <v>0</v>
      </c>
      <c r="H220" s="7">
        <v>0</v>
      </c>
      <c r="I220" s="7">
        <v>254.32300000000001</v>
      </c>
      <c r="J220" s="7">
        <v>0</v>
      </c>
      <c r="K220" s="7">
        <v>0</v>
      </c>
      <c r="L220" s="7">
        <v>149751.16399999999</v>
      </c>
      <c r="M220" s="7">
        <v>6631.6790000000001</v>
      </c>
      <c r="N220" s="7">
        <v>0</v>
      </c>
      <c r="O220" s="7">
        <v>0</v>
      </c>
      <c r="P220" s="7">
        <v>2.556</v>
      </c>
      <c r="Q220" s="7">
        <v>0</v>
      </c>
      <c r="R220" s="7">
        <v>0</v>
      </c>
      <c r="S220" s="7">
        <v>4044.8760000000002</v>
      </c>
      <c r="T220" s="7">
        <v>0</v>
      </c>
      <c r="U220" s="7">
        <v>0</v>
      </c>
      <c r="V220" s="7">
        <v>0</v>
      </c>
      <c r="W220" s="7">
        <v>1436.289</v>
      </c>
      <c r="X220" s="7">
        <v>0</v>
      </c>
      <c r="Y220" s="7">
        <v>29252.784</v>
      </c>
      <c r="Z220" s="7">
        <v>0</v>
      </c>
      <c r="AA220" s="7">
        <v>0</v>
      </c>
      <c r="AB220" s="7">
        <v>0</v>
      </c>
      <c r="AC220" s="7">
        <v>2581.9569999999999</v>
      </c>
      <c r="AD220" s="7">
        <v>0</v>
      </c>
      <c r="AE220" s="7">
        <v>77837.535999999993</v>
      </c>
      <c r="AF220" s="7">
        <v>75230.159</v>
      </c>
      <c r="AG220" s="7">
        <v>0</v>
      </c>
      <c r="AH220" s="7">
        <v>224642.09599999999</v>
      </c>
      <c r="AI220" s="7">
        <v>120577.156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2817.335</v>
      </c>
      <c r="AP220" s="7">
        <v>0</v>
      </c>
      <c r="AQ220" s="7">
        <v>29629.758999999998</v>
      </c>
      <c r="AR220" s="7">
        <v>0</v>
      </c>
      <c r="AS220" s="7">
        <v>38.087000000000003</v>
      </c>
      <c r="AT220" s="7">
        <v>0</v>
      </c>
      <c r="AU220" s="7">
        <v>284.58499999999998</v>
      </c>
      <c r="AV220" s="7">
        <v>0</v>
      </c>
      <c r="AW220" s="7">
        <v>0</v>
      </c>
      <c r="AX220" s="7">
        <v>0</v>
      </c>
      <c r="AY220" s="7">
        <v>1129.694</v>
      </c>
      <c r="AZ220" s="7">
        <v>44055.900999999998</v>
      </c>
      <c r="BA220" s="7">
        <v>0</v>
      </c>
      <c r="BB220" s="7">
        <v>1090.826</v>
      </c>
      <c r="BC220" s="7">
        <v>0</v>
      </c>
      <c r="BD220" s="7">
        <v>54782.324000000001</v>
      </c>
      <c r="BE220" s="7">
        <v>312.625</v>
      </c>
      <c r="BF220" s="7">
        <v>19090.239000000001</v>
      </c>
      <c r="BG220" s="7">
        <v>0</v>
      </c>
      <c r="BH220" s="7">
        <v>0</v>
      </c>
      <c r="BI220" s="21"/>
    </row>
    <row r="221" spans="1:61" ht="15.6" x14ac:dyDescent="0.3">
      <c r="A221" s="5" t="s">
        <v>369</v>
      </c>
      <c r="B221" s="5" t="s">
        <v>405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21"/>
    </row>
    <row r="222" spans="1:61" ht="15.6" x14ac:dyDescent="0.3">
      <c r="A222" s="5" t="s">
        <v>371</v>
      </c>
      <c r="B222" s="5" t="s">
        <v>406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21"/>
    </row>
    <row r="223" spans="1:61" ht="15.6" x14ac:dyDescent="0.3">
      <c r="A223" s="5" t="s">
        <v>373</v>
      </c>
      <c r="B223" s="5" t="s">
        <v>407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21"/>
    </row>
    <row r="224" spans="1:61" ht="15.6" x14ac:dyDescent="0.3">
      <c r="A224" s="5" t="s">
        <v>375</v>
      </c>
      <c r="B224" s="5" t="s">
        <v>408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21"/>
    </row>
    <row r="225" spans="1:61" ht="15.6" x14ac:dyDescent="0.3">
      <c r="A225" s="5" t="s">
        <v>377</v>
      </c>
      <c r="B225" s="5" t="s">
        <v>409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21"/>
    </row>
    <row r="226" spans="1:61" ht="15.6" x14ac:dyDescent="0.3">
      <c r="A226" s="5" t="s">
        <v>379</v>
      </c>
      <c r="B226" s="5" t="s">
        <v>410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21"/>
    </row>
    <row r="227" spans="1:61" ht="15.6" x14ac:dyDescent="0.3">
      <c r="A227" s="5" t="s">
        <v>381</v>
      </c>
      <c r="B227" s="5" t="s">
        <v>411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21"/>
    </row>
    <row r="228" spans="1:61" ht="15.6" x14ac:dyDescent="0.3">
      <c r="A228" s="5" t="s">
        <v>383</v>
      </c>
      <c r="B228" s="5" t="s">
        <v>412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21"/>
    </row>
    <row r="229" spans="1:61" ht="15.6" x14ac:dyDescent="0.3">
      <c r="A229" s="5" t="s">
        <v>385</v>
      </c>
      <c r="B229" s="5" t="s">
        <v>413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21"/>
    </row>
    <row r="230" spans="1:61" ht="15.6" x14ac:dyDescent="0.3">
      <c r="A230" s="5" t="s">
        <v>387</v>
      </c>
      <c r="B230" s="5" t="s">
        <v>414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21"/>
    </row>
    <row r="231" spans="1:61" ht="15.6" x14ac:dyDescent="0.3">
      <c r="A231" s="5" t="s">
        <v>389</v>
      </c>
      <c r="B231" s="5" t="s">
        <v>415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21"/>
    </row>
    <row r="232" spans="1:61" ht="15.6" x14ac:dyDescent="0.3">
      <c r="A232" s="5" t="s">
        <v>391</v>
      </c>
      <c r="B232" s="5" t="s">
        <v>416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21"/>
    </row>
    <row r="233" spans="1:61" ht="15.6" x14ac:dyDescent="0.3">
      <c r="A233" s="5" t="s">
        <v>393</v>
      </c>
      <c r="B233" s="5" t="s">
        <v>417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21"/>
    </row>
    <row r="234" spans="1:61" ht="15.6" x14ac:dyDescent="0.3">
      <c r="A234" s="5" t="s">
        <v>395</v>
      </c>
      <c r="B234" s="5" t="s">
        <v>418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21"/>
    </row>
    <row r="235" spans="1:61" ht="15.6" x14ac:dyDescent="0.3">
      <c r="A235" s="5" t="s">
        <v>419</v>
      </c>
      <c r="B235" s="5" t="s">
        <v>420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21"/>
    </row>
    <row r="236" spans="1:61" ht="15.6" x14ac:dyDescent="0.3">
      <c r="A236" s="5" t="s">
        <v>421</v>
      </c>
      <c r="B236" s="5" t="s">
        <v>422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21"/>
    </row>
    <row r="237" spans="1:61" ht="15.6" x14ac:dyDescent="0.3">
      <c r="A237" s="5" t="s">
        <v>423</v>
      </c>
      <c r="B237" s="5" t="s">
        <v>424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21"/>
    </row>
    <row r="238" spans="1:61" ht="15.6" x14ac:dyDescent="0.3">
      <c r="A238" s="5" t="s">
        <v>425</v>
      </c>
      <c r="B238" s="5" t="s">
        <v>426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21"/>
    </row>
    <row r="239" spans="1:61" ht="15.6" x14ac:dyDescent="0.3">
      <c r="A239" s="5" t="s">
        <v>427</v>
      </c>
      <c r="B239" s="5" t="s">
        <v>428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21"/>
    </row>
    <row r="240" spans="1:61" ht="15.6" x14ac:dyDescent="0.3">
      <c r="A240" s="5" t="s">
        <v>429</v>
      </c>
      <c r="B240" s="5" t="s">
        <v>430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21"/>
    </row>
    <row r="241" spans="1:61" ht="15.6" x14ac:dyDescent="0.3">
      <c r="A241" s="5" t="s">
        <v>431</v>
      </c>
      <c r="B241" s="5" t="s">
        <v>432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21"/>
    </row>
    <row r="242" spans="1:61" ht="15.6" x14ac:dyDescent="0.3">
      <c r="A242" s="5" t="s">
        <v>433</v>
      </c>
      <c r="B242" s="5" t="s">
        <v>434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21"/>
    </row>
    <row r="243" spans="1:61" ht="15.6" x14ac:dyDescent="0.3">
      <c r="A243" s="5" t="s">
        <v>435</v>
      </c>
      <c r="B243" s="5" t="s">
        <v>436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21"/>
    </row>
    <row r="244" spans="1:61" ht="15.6" x14ac:dyDescent="0.3">
      <c r="A244" s="5" t="s">
        <v>437</v>
      </c>
      <c r="B244" s="5" t="s">
        <v>438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21"/>
    </row>
    <row r="245" spans="1:61" ht="15.6" x14ac:dyDescent="0.3">
      <c r="A245" s="5" t="s">
        <v>439</v>
      </c>
      <c r="B245" s="5" t="s">
        <v>440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21"/>
    </row>
    <row r="246" spans="1:61" ht="15.6" x14ac:dyDescent="0.3">
      <c r="A246" s="5" t="s">
        <v>441</v>
      </c>
      <c r="B246" s="5" t="s">
        <v>442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21"/>
    </row>
    <row r="247" spans="1:61" ht="15.6" x14ac:dyDescent="0.3">
      <c r="A247" s="5" t="s">
        <v>443</v>
      </c>
      <c r="B247" s="5" t="s">
        <v>444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21"/>
    </row>
    <row r="248" spans="1:61" ht="15.6" x14ac:dyDescent="0.3">
      <c r="A248" s="5" t="s">
        <v>445</v>
      </c>
      <c r="B248" s="5" t="s">
        <v>446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21"/>
    </row>
    <row r="249" spans="1:61" ht="15.6" x14ac:dyDescent="0.3">
      <c r="A249" s="5" t="s">
        <v>447</v>
      </c>
      <c r="B249" s="5" t="s">
        <v>448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21"/>
    </row>
    <row r="250" spans="1:61" ht="15.6" x14ac:dyDescent="0.3">
      <c r="A250" s="5" t="s">
        <v>449</v>
      </c>
      <c r="B250" s="5" t="s">
        <v>450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21"/>
    </row>
    <row r="251" spans="1:61" ht="15.6" x14ac:dyDescent="0.3">
      <c r="A251" s="5" t="s">
        <v>451</v>
      </c>
      <c r="B251" s="5" t="s">
        <v>452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21"/>
    </row>
    <row r="252" spans="1:61" ht="15.6" x14ac:dyDescent="0.3">
      <c r="A252" s="5" t="s">
        <v>453</v>
      </c>
      <c r="B252" s="5" t="s">
        <v>454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21"/>
    </row>
    <row r="253" spans="1:61" ht="15.6" x14ac:dyDescent="0.3">
      <c r="A253" s="5" t="s">
        <v>455</v>
      </c>
      <c r="B253" s="5" t="s">
        <v>456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180.51599999999999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21"/>
    </row>
    <row r="254" spans="1:61" ht="15.6" x14ac:dyDescent="0.3">
      <c r="A254" s="5" t="s">
        <v>457</v>
      </c>
      <c r="B254" s="5" t="s">
        <v>458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7531.9970000000003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21"/>
    </row>
    <row r="255" spans="1:61" ht="15.6" x14ac:dyDescent="0.3">
      <c r="A255" s="5" t="s">
        <v>459</v>
      </c>
      <c r="B255" s="5" t="s">
        <v>460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21"/>
    </row>
    <row r="256" spans="1:61" ht="15.6" x14ac:dyDescent="0.3">
      <c r="A256" s="5" t="s">
        <v>461</v>
      </c>
      <c r="B256" s="5" t="s">
        <v>462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437.54700000000003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343.30599999999998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21"/>
    </row>
    <row r="257" spans="1:61" ht="15.6" x14ac:dyDescent="0.3">
      <c r="A257" s="5" t="s">
        <v>419</v>
      </c>
      <c r="B257" s="5" t="s">
        <v>463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6.0000000000000001E-3</v>
      </c>
      <c r="J257" s="7">
        <v>0</v>
      </c>
      <c r="K257" s="7">
        <v>0</v>
      </c>
      <c r="L257" s="7">
        <v>3.3000000000000002E-2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3.7999999999999999E-2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21"/>
    </row>
    <row r="258" spans="1:61" ht="15.6" x14ac:dyDescent="0.3">
      <c r="A258" s="5" t="s">
        <v>421</v>
      </c>
      <c r="B258" s="5" t="s">
        <v>464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21"/>
    </row>
    <row r="259" spans="1:61" ht="15.6" x14ac:dyDescent="0.3">
      <c r="A259" s="5" t="s">
        <v>423</v>
      </c>
      <c r="B259" s="5" t="s">
        <v>465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21"/>
    </row>
    <row r="260" spans="1:61" ht="15.6" x14ac:dyDescent="0.3">
      <c r="A260" s="5" t="s">
        <v>425</v>
      </c>
      <c r="B260" s="5" t="s">
        <v>466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21"/>
    </row>
    <row r="261" spans="1:61" ht="15.6" x14ac:dyDescent="0.3">
      <c r="A261" s="5" t="s">
        <v>427</v>
      </c>
      <c r="B261" s="5" t="s">
        <v>467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21"/>
    </row>
    <row r="262" spans="1:61" ht="15.6" x14ac:dyDescent="0.3">
      <c r="A262" s="5" t="s">
        <v>429</v>
      </c>
      <c r="B262" s="5" t="s">
        <v>468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21"/>
    </row>
    <row r="263" spans="1:61" ht="15.6" x14ac:dyDescent="0.3">
      <c r="A263" s="5" t="s">
        <v>431</v>
      </c>
      <c r="B263" s="5" t="s">
        <v>469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21"/>
    </row>
    <row r="264" spans="1:61" ht="15.6" x14ac:dyDescent="0.3">
      <c r="A264" s="5" t="s">
        <v>433</v>
      </c>
      <c r="B264" s="5" t="s">
        <v>470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21"/>
    </row>
    <row r="265" spans="1:61" ht="15.6" x14ac:dyDescent="0.3">
      <c r="A265" s="5" t="s">
        <v>435</v>
      </c>
      <c r="B265" s="5" t="s">
        <v>471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21"/>
    </row>
    <row r="266" spans="1:61" ht="15.6" x14ac:dyDescent="0.3">
      <c r="A266" s="5" t="s">
        <v>437</v>
      </c>
      <c r="B266" s="5" t="s">
        <v>472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21"/>
    </row>
    <row r="267" spans="1:61" ht="15.6" x14ac:dyDescent="0.3">
      <c r="A267" s="5" t="s">
        <v>439</v>
      </c>
      <c r="B267" s="5" t="s">
        <v>473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21"/>
    </row>
    <row r="268" spans="1:61" ht="15.6" x14ac:dyDescent="0.3">
      <c r="A268" s="5" t="s">
        <v>441</v>
      </c>
      <c r="B268" s="5" t="s">
        <v>474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21"/>
    </row>
    <row r="269" spans="1:61" ht="15.6" x14ac:dyDescent="0.3">
      <c r="A269" s="5" t="s">
        <v>443</v>
      </c>
      <c r="B269" s="5" t="s">
        <v>475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21"/>
    </row>
    <row r="270" spans="1:61" ht="15.6" x14ac:dyDescent="0.3">
      <c r="A270" s="5" t="s">
        <v>445</v>
      </c>
      <c r="B270" s="5" t="s">
        <v>476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21"/>
    </row>
    <row r="271" spans="1:61" ht="15.6" x14ac:dyDescent="0.3">
      <c r="A271" s="5" t="s">
        <v>447</v>
      </c>
      <c r="B271" s="5" t="s">
        <v>477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21"/>
    </row>
    <row r="272" spans="1:61" ht="15.6" x14ac:dyDescent="0.3">
      <c r="A272" s="5" t="s">
        <v>449</v>
      </c>
      <c r="B272" s="5" t="s">
        <v>478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21"/>
    </row>
    <row r="273" spans="1:61" ht="15.6" x14ac:dyDescent="0.3">
      <c r="A273" s="5" t="s">
        <v>451</v>
      </c>
      <c r="B273" s="5" t="s">
        <v>479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21"/>
    </row>
    <row r="274" spans="1:61" ht="15.6" x14ac:dyDescent="0.3">
      <c r="A274" s="5" t="s">
        <v>453</v>
      </c>
      <c r="B274" s="5" t="s">
        <v>480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21"/>
    </row>
    <row r="275" spans="1:61" ht="15.6" x14ac:dyDescent="0.3">
      <c r="A275" s="5" t="s">
        <v>455</v>
      </c>
      <c r="B275" s="5" t="s">
        <v>481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21"/>
    </row>
    <row r="276" spans="1:61" ht="15.6" x14ac:dyDescent="0.3">
      <c r="A276" s="5" t="s">
        <v>457</v>
      </c>
      <c r="B276" s="5" t="s">
        <v>482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21"/>
    </row>
    <row r="277" spans="1:61" ht="15.6" x14ac:dyDescent="0.3">
      <c r="A277" s="5" t="s">
        <v>459</v>
      </c>
      <c r="B277" s="5" t="s">
        <v>483</v>
      </c>
      <c r="C277" s="7">
        <v>6</v>
      </c>
      <c r="D277" s="7">
        <v>6</v>
      </c>
      <c r="E277" s="7">
        <v>2858.3029999999999</v>
      </c>
      <c r="F277" s="7">
        <v>2058.6570000000002</v>
      </c>
      <c r="G277" s="7">
        <v>137.935</v>
      </c>
      <c r="H277" s="7">
        <v>0</v>
      </c>
      <c r="I277" s="7">
        <v>151.04400000000001</v>
      </c>
      <c r="J277" s="7">
        <v>1487.9469999999999</v>
      </c>
      <c r="K277" s="7">
        <v>0</v>
      </c>
      <c r="L277" s="7">
        <v>4270.5969999999998</v>
      </c>
      <c r="M277" s="7">
        <v>227.06100000000001</v>
      </c>
      <c r="N277" s="7">
        <v>0</v>
      </c>
      <c r="O277" s="7">
        <v>0</v>
      </c>
      <c r="P277" s="7">
        <v>6.0000000000000001E-3</v>
      </c>
      <c r="Q277" s="7">
        <v>0</v>
      </c>
      <c r="R277" s="7">
        <v>0</v>
      </c>
      <c r="S277" s="7">
        <v>836.56200000000001</v>
      </c>
      <c r="T277" s="7">
        <v>0</v>
      </c>
      <c r="U277" s="7">
        <v>0</v>
      </c>
      <c r="V277" s="7">
        <v>306.03800000000001</v>
      </c>
      <c r="W277" s="7">
        <v>2.6869999999999998</v>
      </c>
      <c r="X277" s="7">
        <v>0</v>
      </c>
      <c r="Y277" s="7">
        <v>115.895</v>
      </c>
      <c r="Z277" s="7">
        <v>0</v>
      </c>
      <c r="AA277" s="7">
        <v>5132.3140000000003</v>
      </c>
      <c r="AB277" s="7">
        <v>0</v>
      </c>
      <c r="AC277" s="7">
        <v>331.83600000000001</v>
      </c>
      <c r="AD277" s="7">
        <v>0</v>
      </c>
      <c r="AE277" s="7">
        <v>1021.415</v>
      </c>
      <c r="AF277" s="7">
        <v>36.524999999999999</v>
      </c>
      <c r="AG277" s="7">
        <v>0</v>
      </c>
      <c r="AH277" s="7">
        <v>6931.8180000000002</v>
      </c>
      <c r="AI277" s="7">
        <v>2.7E-2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810.98800000000006</v>
      </c>
      <c r="AP277" s="7">
        <v>0</v>
      </c>
      <c r="AQ277" s="7">
        <v>5.38</v>
      </c>
      <c r="AR277" s="7">
        <v>0</v>
      </c>
      <c r="AS277" s="7">
        <v>2.823</v>
      </c>
      <c r="AT277" s="7">
        <v>0</v>
      </c>
      <c r="AU277" s="7">
        <v>0.375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314.404</v>
      </c>
      <c r="BC277" s="7">
        <v>0</v>
      </c>
      <c r="BD277" s="7">
        <v>0</v>
      </c>
      <c r="BE277" s="7">
        <v>94.902000000000001</v>
      </c>
      <c r="BF277" s="7">
        <v>0</v>
      </c>
      <c r="BG277" s="7">
        <v>0</v>
      </c>
      <c r="BH277" s="7">
        <v>0</v>
      </c>
      <c r="BI277" s="21"/>
    </row>
    <row r="278" spans="1:61" ht="15.6" x14ac:dyDescent="0.3">
      <c r="A278" s="5" t="s">
        <v>461</v>
      </c>
      <c r="B278" s="5" t="s">
        <v>484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21"/>
    </row>
    <row r="279" spans="1:61" ht="15.6" x14ac:dyDescent="0.3">
      <c r="A279" s="5" t="s">
        <v>485</v>
      </c>
      <c r="B279" s="5" t="s">
        <v>486</v>
      </c>
      <c r="C279" s="7">
        <v>5</v>
      </c>
      <c r="D279" s="7">
        <v>5</v>
      </c>
      <c r="E279" s="7">
        <v>162977.84700000001</v>
      </c>
      <c r="F279" s="7">
        <v>0</v>
      </c>
      <c r="G279" s="7">
        <v>12691.906999999999</v>
      </c>
      <c r="H279" s="7">
        <v>62.024999999999999</v>
      </c>
      <c r="I279" s="7">
        <v>0</v>
      </c>
      <c r="J279" s="7">
        <v>37366.019999999997</v>
      </c>
      <c r="K279" s="7">
        <v>21357.878000000001</v>
      </c>
      <c r="L279" s="7">
        <v>98386.087</v>
      </c>
      <c r="M279" s="7">
        <v>224792.242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2829.8420000000001</v>
      </c>
      <c r="V279" s="7">
        <v>5231.1019999999999</v>
      </c>
      <c r="W279" s="7">
        <v>15797.796</v>
      </c>
      <c r="X279" s="7">
        <v>0</v>
      </c>
      <c r="Y279" s="7">
        <v>32169.387999999999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70584.260999999999</v>
      </c>
      <c r="AF279" s="7">
        <v>7225.7020000000002</v>
      </c>
      <c r="AG279" s="7">
        <v>13716.579</v>
      </c>
      <c r="AH279" s="7">
        <v>455180.45600000001</v>
      </c>
      <c r="AI279" s="7">
        <v>119694.811</v>
      </c>
      <c r="AJ279" s="7">
        <v>6.7089999999999996</v>
      </c>
      <c r="AK279" s="7">
        <v>258.00700000000001</v>
      </c>
      <c r="AL279" s="7">
        <v>111.334</v>
      </c>
      <c r="AM279" s="7">
        <v>727.721</v>
      </c>
      <c r="AN279" s="7">
        <v>106.881</v>
      </c>
      <c r="AO279" s="7">
        <v>0</v>
      </c>
      <c r="AP279" s="7">
        <v>0</v>
      </c>
      <c r="AQ279" s="7">
        <v>15679.938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21"/>
    </row>
    <row r="280" spans="1:61" ht="15.6" x14ac:dyDescent="0.3">
      <c r="A280" s="5" t="s">
        <v>487</v>
      </c>
      <c r="B280" s="5" t="s">
        <v>488</v>
      </c>
      <c r="C280" s="7">
        <v>5</v>
      </c>
      <c r="D280" s="7">
        <v>5</v>
      </c>
      <c r="E280" s="7">
        <v>13706.26</v>
      </c>
      <c r="F280" s="7">
        <v>1202.079</v>
      </c>
      <c r="G280" s="7">
        <v>1688.3230000000001</v>
      </c>
      <c r="H280" s="7">
        <v>0</v>
      </c>
      <c r="I280" s="7">
        <v>292.75200000000001</v>
      </c>
      <c r="J280" s="7">
        <v>1025.357</v>
      </c>
      <c r="K280" s="7">
        <v>0</v>
      </c>
      <c r="L280" s="7">
        <v>9812.8709999999992</v>
      </c>
      <c r="M280" s="7">
        <v>4553.4110000000001</v>
      </c>
      <c r="N280" s="7">
        <v>0</v>
      </c>
      <c r="O280" s="7">
        <v>0</v>
      </c>
      <c r="P280" s="7">
        <v>52.795000000000002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170.48400000000001</v>
      </c>
      <c r="W280" s="7">
        <v>512.33299999999997</v>
      </c>
      <c r="X280" s="7">
        <v>0</v>
      </c>
      <c r="Y280" s="7">
        <v>4040.2040000000002</v>
      </c>
      <c r="Z280" s="7">
        <v>0</v>
      </c>
      <c r="AA280" s="7">
        <v>1379.0170000000001</v>
      </c>
      <c r="AB280" s="7">
        <v>0</v>
      </c>
      <c r="AC280" s="7">
        <v>219.68899999999999</v>
      </c>
      <c r="AD280" s="7">
        <v>0</v>
      </c>
      <c r="AE280" s="7">
        <v>13115.15</v>
      </c>
      <c r="AF280" s="7">
        <v>0</v>
      </c>
      <c r="AG280" s="7">
        <v>0</v>
      </c>
      <c r="AH280" s="7">
        <v>28759.787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21"/>
    </row>
    <row r="281" spans="1:61" ht="15.6" x14ac:dyDescent="0.3">
      <c r="A281" s="5" t="s">
        <v>489</v>
      </c>
      <c r="B281" s="5" t="s">
        <v>490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2459.6979999999999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21"/>
    </row>
    <row r="282" spans="1:61" ht="15.6" x14ac:dyDescent="0.3">
      <c r="A282" s="5" t="s">
        <v>491</v>
      </c>
      <c r="B282" s="5" t="s">
        <v>492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21"/>
    </row>
    <row r="283" spans="1:61" ht="15.6" x14ac:dyDescent="0.3">
      <c r="A283" s="5" t="s">
        <v>493</v>
      </c>
      <c r="B283" s="5" t="s">
        <v>494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21"/>
    </row>
    <row r="284" spans="1:61" ht="15.6" x14ac:dyDescent="0.3">
      <c r="A284" s="5" t="s">
        <v>495</v>
      </c>
      <c r="B284" s="5" t="s">
        <v>496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21"/>
    </row>
    <row r="285" spans="1:61" ht="15.6" x14ac:dyDescent="0.3">
      <c r="A285" s="5" t="s">
        <v>497</v>
      </c>
      <c r="B285" s="5" t="s">
        <v>498</v>
      </c>
      <c r="C285" s="7">
        <v>5</v>
      </c>
      <c r="D285" s="7">
        <v>5</v>
      </c>
      <c r="E285" s="7">
        <v>53069.031000000003</v>
      </c>
      <c r="F285" s="7">
        <v>5084.5249999999996</v>
      </c>
      <c r="G285" s="7">
        <v>8056.1570000000002</v>
      </c>
      <c r="H285" s="7">
        <v>0</v>
      </c>
      <c r="I285" s="7">
        <v>1294.806</v>
      </c>
      <c r="J285" s="7">
        <v>4547.6369999999997</v>
      </c>
      <c r="K285" s="7">
        <v>0</v>
      </c>
      <c r="L285" s="7">
        <v>47997.413</v>
      </c>
      <c r="M285" s="7">
        <v>21198.218000000001</v>
      </c>
      <c r="N285" s="7">
        <v>0</v>
      </c>
      <c r="O285" s="7">
        <v>0</v>
      </c>
      <c r="P285" s="7">
        <v>256.31799999999998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584.95000000000005</v>
      </c>
      <c r="W285" s="7">
        <v>1757.875</v>
      </c>
      <c r="X285" s="7">
        <v>0</v>
      </c>
      <c r="Y285" s="7">
        <v>14017.707</v>
      </c>
      <c r="Z285" s="7">
        <v>0</v>
      </c>
      <c r="AA285" s="7">
        <v>4731.5720000000001</v>
      </c>
      <c r="AB285" s="7">
        <v>0</v>
      </c>
      <c r="AC285" s="7">
        <v>753.779</v>
      </c>
      <c r="AD285" s="7">
        <v>0</v>
      </c>
      <c r="AE285" s="7">
        <v>45622.42</v>
      </c>
      <c r="AF285" s="7">
        <v>0</v>
      </c>
      <c r="AG285" s="7">
        <v>0</v>
      </c>
      <c r="AH285" s="7">
        <v>122197.126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21"/>
    </row>
    <row r="286" spans="1:61" ht="15.6" x14ac:dyDescent="0.3">
      <c r="A286" s="5" t="s">
        <v>499</v>
      </c>
      <c r="B286" s="5" t="s">
        <v>500</v>
      </c>
      <c r="C286" s="7">
        <v>5</v>
      </c>
      <c r="D286" s="7">
        <v>5</v>
      </c>
      <c r="E286" s="7">
        <v>207157.86799999999</v>
      </c>
      <c r="F286" s="7">
        <v>19214.947</v>
      </c>
      <c r="G286" s="7">
        <v>28880.114000000001</v>
      </c>
      <c r="H286" s="7">
        <v>0</v>
      </c>
      <c r="I286" s="7">
        <v>5026.1279999999997</v>
      </c>
      <c r="J286" s="7">
        <v>17000.236000000001</v>
      </c>
      <c r="K286" s="7">
        <v>0</v>
      </c>
      <c r="L286" s="7">
        <v>154588.62100000001</v>
      </c>
      <c r="M286" s="7">
        <v>76881.027000000002</v>
      </c>
      <c r="N286" s="7">
        <v>0</v>
      </c>
      <c r="O286" s="7">
        <v>0</v>
      </c>
      <c r="P286" s="7">
        <v>908.33299999999997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2381.0880000000002</v>
      </c>
      <c r="W286" s="7">
        <v>7241.06</v>
      </c>
      <c r="X286" s="7">
        <v>0</v>
      </c>
      <c r="Y286" s="7">
        <v>56770.074000000001</v>
      </c>
      <c r="Z286" s="7">
        <v>0</v>
      </c>
      <c r="AA286" s="7">
        <v>19531.447</v>
      </c>
      <c r="AB286" s="7">
        <v>0</v>
      </c>
      <c r="AC286" s="7">
        <v>3068.32</v>
      </c>
      <c r="AD286" s="7">
        <v>0</v>
      </c>
      <c r="AE286" s="7">
        <v>184181.424</v>
      </c>
      <c r="AF286" s="7">
        <v>0</v>
      </c>
      <c r="AG286" s="7">
        <v>0</v>
      </c>
      <c r="AH286" s="7">
        <v>433428.71799999999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3.0000000000000001E-3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21"/>
    </row>
    <row r="287" spans="1:61" ht="15.6" x14ac:dyDescent="0.3">
      <c r="A287" s="5" t="s">
        <v>501</v>
      </c>
      <c r="B287" s="5" t="s">
        <v>502</v>
      </c>
      <c r="C287" s="7">
        <v>5</v>
      </c>
      <c r="D287" s="7">
        <v>5</v>
      </c>
      <c r="E287" s="7">
        <v>1043.646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3130.0189999999998</v>
      </c>
      <c r="M287" s="7">
        <v>153.85599999999999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1071.759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2257.88</v>
      </c>
      <c r="AF287" s="7">
        <v>0</v>
      </c>
      <c r="AG287" s="7">
        <v>0</v>
      </c>
      <c r="AH287" s="7">
        <v>6522.9309999999996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21"/>
    </row>
    <row r="288" spans="1:61" ht="15.6" x14ac:dyDescent="0.3">
      <c r="A288" s="5" t="s">
        <v>503</v>
      </c>
      <c r="B288" s="5" t="s">
        <v>504</v>
      </c>
      <c r="C288" s="7">
        <v>5</v>
      </c>
      <c r="D288" s="7">
        <v>5</v>
      </c>
      <c r="E288" s="7">
        <v>37572.326000000001</v>
      </c>
      <c r="F288" s="7">
        <v>3202.951</v>
      </c>
      <c r="G288" s="7">
        <v>4498.5529999999999</v>
      </c>
      <c r="H288" s="7">
        <v>0</v>
      </c>
      <c r="I288" s="7">
        <v>780.04200000000003</v>
      </c>
      <c r="J288" s="7">
        <v>2732.0749999999998</v>
      </c>
      <c r="K288" s="7">
        <v>0</v>
      </c>
      <c r="L288" s="7">
        <v>27337.8</v>
      </c>
      <c r="M288" s="7">
        <v>12840.13</v>
      </c>
      <c r="N288" s="7">
        <v>0</v>
      </c>
      <c r="O288" s="7">
        <v>0</v>
      </c>
      <c r="P288" s="7">
        <v>140.673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454.25599999999997</v>
      </c>
      <c r="W288" s="7">
        <v>1365.116</v>
      </c>
      <c r="X288" s="7">
        <v>0</v>
      </c>
      <c r="Y288" s="7">
        <v>10765.164000000001</v>
      </c>
      <c r="Z288" s="7">
        <v>0</v>
      </c>
      <c r="AA288" s="7">
        <v>3674.4059999999999</v>
      </c>
      <c r="AB288" s="7">
        <v>0</v>
      </c>
      <c r="AC288" s="7">
        <v>585.36300000000006</v>
      </c>
      <c r="AD288" s="7">
        <v>0</v>
      </c>
      <c r="AE288" s="7">
        <v>34945.447999999997</v>
      </c>
      <c r="AF288" s="7">
        <v>0</v>
      </c>
      <c r="AG288" s="7">
        <v>0</v>
      </c>
      <c r="AH288" s="7">
        <v>77457.456000000006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21"/>
    </row>
    <row r="289" spans="1:61" ht="15.6" x14ac:dyDescent="0.3">
      <c r="A289" s="5" t="s">
        <v>505</v>
      </c>
      <c r="B289" s="5" t="s">
        <v>506</v>
      </c>
      <c r="C289" s="7">
        <v>5</v>
      </c>
      <c r="D289" s="7">
        <v>5</v>
      </c>
      <c r="E289" s="7">
        <v>44659.273000000001</v>
      </c>
      <c r="F289" s="7">
        <v>736.154</v>
      </c>
      <c r="G289" s="7">
        <v>1033.93</v>
      </c>
      <c r="H289" s="7">
        <v>10009.217000000001</v>
      </c>
      <c r="I289" s="7">
        <v>179.28200000000001</v>
      </c>
      <c r="J289" s="7">
        <v>627.92899999999997</v>
      </c>
      <c r="K289" s="7">
        <v>0</v>
      </c>
      <c r="L289" s="7">
        <v>61810.538999999997</v>
      </c>
      <c r="M289" s="7">
        <v>10435.187</v>
      </c>
      <c r="N289" s="7">
        <v>0</v>
      </c>
      <c r="O289" s="7">
        <v>0</v>
      </c>
      <c r="P289" s="7">
        <v>32.332000000000001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104.404</v>
      </c>
      <c r="W289" s="7">
        <v>313.75299999999999</v>
      </c>
      <c r="X289" s="7">
        <v>0</v>
      </c>
      <c r="Y289" s="7">
        <v>20335.597000000002</v>
      </c>
      <c r="Z289" s="7">
        <v>0</v>
      </c>
      <c r="AA289" s="7">
        <v>901.69600000000003</v>
      </c>
      <c r="AB289" s="7">
        <v>0</v>
      </c>
      <c r="AC289" s="7">
        <v>134.53800000000001</v>
      </c>
      <c r="AD289" s="7">
        <v>0</v>
      </c>
      <c r="AE289" s="7">
        <v>61697.338000000003</v>
      </c>
      <c r="AF289" s="7">
        <v>0</v>
      </c>
      <c r="AG289" s="7">
        <v>0</v>
      </c>
      <c r="AH289" s="7">
        <v>141126.736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21"/>
    </row>
    <row r="290" spans="1:61" ht="15.6" x14ac:dyDescent="0.3">
      <c r="A290" s="5" t="s">
        <v>507</v>
      </c>
      <c r="B290" s="5" t="s">
        <v>508</v>
      </c>
      <c r="C290" s="7">
        <v>5</v>
      </c>
      <c r="D290" s="7">
        <v>5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21"/>
    </row>
    <row r="291" spans="1:61" ht="15.6" x14ac:dyDescent="0.3">
      <c r="A291" s="5" t="s">
        <v>509</v>
      </c>
      <c r="B291" s="5" t="s">
        <v>510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21"/>
    </row>
    <row r="292" spans="1:61" ht="15.6" x14ac:dyDescent="0.3">
      <c r="A292" s="5" t="s">
        <v>511</v>
      </c>
      <c r="B292" s="5" t="s">
        <v>512</v>
      </c>
      <c r="C292" s="7">
        <v>5</v>
      </c>
      <c r="D292" s="7">
        <v>5</v>
      </c>
      <c r="E292" s="7">
        <v>289900.696</v>
      </c>
      <c r="F292" s="7">
        <v>18049.509999999998</v>
      </c>
      <c r="G292" s="7">
        <v>19415.857</v>
      </c>
      <c r="H292" s="7">
        <v>0</v>
      </c>
      <c r="I292" s="7">
        <v>3652.723</v>
      </c>
      <c r="J292" s="7">
        <v>12070.205</v>
      </c>
      <c r="K292" s="7">
        <v>0</v>
      </c>
      <c r="L292" s="7">
        <v>165884.45699999999</v>
      </c>
      <c r="M292" s="7">
        <v>53235.466999999997</v>
      </c>
      <c r="N292" s="7">
        <v>0</v>
      </c>
      <c r="O292" s="7">
        <v>0</v>
      </c>
      <c r="P292" s="7">
        <v>283.95499999999998</v>
      </c>
      <c r="Q292" s="7">
        <v>0</v>
      </c>
      <c r="R292" s="7">
        <v>41.832999999999998</v>
      </c>
      <c r="S292" s="7">
        <v>0</v>
      </c>
      <c r="T292" s="7">
        <v>0</v>
      </c>
      <c r="U292" s="7">
        <v>0</v>
      </c>
      <c r="V292" s="7">
        <v>3349.2310000000002</v>
      </c>
      <c r="W292" s="7">
        <v>9017.7240000000002</v>
      </c>
      <c r="X292" s="7">
        <v>0</v>
      </c>
      <c r="Y292" s="7">
        <v>71378.425000000003</v>
      </c>
      <c r="Z292" s="7">
        <v>0</v>
      </c>
      <c r="AA292" s="7">
        <v>32896.468999999997</v>
      </c>
      <c r="AB292" s="7">
        <v>0</v>
      </c>
      <c r="AC292" s="7">
        <v>5989.4340000000002</v>
      </c>
      <c r="AD292" s="7">
        <v>0</v>
      </c>
      <c r="AE292" s="7">
        <v>202327.753</v>
      </c>
      <c r="AF292" s="7">
        <v>0</v>
      </c>
      <c r="AG292" s="7">
        <v>0</v>
      </c>
      <c r="AH292" s="7">
        <v>596581.40599999996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21"/>
    </row>
    <row r="293" spans="1:61" ht="15.6" x14ac:dyDescent="0.3">
      <c r="A293" s="5" t="s">
        <v>513</v>
      </c>
      <c r="B293" s="5" t="s">
        <v>514</v>
      </c>
      <c r="C293" s="7">
        <v>5</v>
      </c>
      <c r="D293" s="7">
        <v>5</v>
      </c>
      <c r="E293" s="7">
        <v>25949.415000000001</v>
      </c>
      <c r="F293" s="7">
        <v>912.44600000000003</v>
      </c>
      <c r="G293" s="7">
        <v>1094.143</v>
      </c>
      <c r="H293" s="7">
        <v>0</v>
      </c>
      <c r="I293" s="7">
        <v>198.755</v>
      </c>
      <c r="J293" s="7">
        <v>673.29200000000003</v>
      </c>
      <c r="K293" s="7">
        <v>0</v>
      </c>
      <c r="L293" s="7">
        <v>27890.341</v>
      </c>
      <c r="M293" s="7">
        <v>6941.0290000000005</v>
      </c>
      <c r="N293" s="7">
        <v>0</v>
      </c>
      <c r="O293" s="7">
        <v>0</v>
      </c>
      <c r="P293" s="7">
        <v>24.01</v>
      </c>
      <c r="Q293" s="7">
        <v>0</v>
      </c>
      <c r="R293" s="7">
        <v>1.321</v>
      </c>
      <c r="S293" s="7">
        <v>0</v>
      </c>
      <c r="T293" s="7">
        <v>0</v>
      </c>
      <c r="U293" s="7">
        <v>0</v>
      </c>
      <c r="V293" s="7">
        <v>154.33099999999999</v>
      </c>
      <c r="W293" s="7">
        <v>430.72399999999999</v>
      </c>
      <c r="X293" s="7">
        <v>0</v>
      </c>
      <c r="Y293" s="7">
        <v>3529.366</v>
      </c>
      <c r="Z293" s="7">
        <v>0</v>
      </c>
      <c r="AA293" s="7">
        <v>1431.6579999999999</v>
      </c>
      <c r="AB293" s="7">
        <v>0</v>
      </c>
      <c r="AC293" s="7">
        <v>251.71700000000001</v>
      </c>
      <c r="AD293" s="7">
        <v>0</v>
      </c>
      <c r="AE293" s="7">
        <v>14974.468999999999</v>
      </c>
      <c r="AF293" s="7">
        <v>0</v>
      </c>
      <c r="AG293" s="7">
        <v>0</v>
      </c>
      <c r="AH293" s="7">
        <v>52873.415000000001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21"/>
    </row>
    <row r="294" spans="1:61" ht="15.6" x14ac:dyDescent="0.3">
      <c r="A294" s="5" t="s">
        <v>515</v>
      </c>
      <c r="B294" s="5" t="s">
        <v>516</v>
      </c>
      <c r="C294" s="7">
        <v>5</v>
      </c>
      <c r="D294" s="7">
        <v>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21"/>
    </row>
    <row r="295" spans="1:61" ht="15.6" x14ac:dyDescent="0.3">
      <c r="A295" s="5" t="s">
        <v>517</v>
      </c>
      <c r="B295" s="5" t="s">
        <v>518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21"/>
    </row>
    <row r="296" spans="1:61" ht="15.6" x14ac:dyDescent="0.3">
      <c r="A296" s="5" t="s">
        <v>519</v>
      </c>
      <c r="B296" s="5" t="s">
        <v>520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21"/>
    </row>
    <row r="297" spans="1:61" ht="15.6" x14ac:dyDescent="0.3">
      <c r="A297" s="5" t="s">
        <v>521</v>
      </c>
      <c r="B297" s="5" t="s">
        <v>522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21"/>
    </row>
    <row r="298" spans="1:61" ht="15.6" x14ac:dyDescent="0.3">
      <c r="A298" s="5" t="s">
        <v>523</v>
      </c>
      <c r="B298" s="5" t="s">
        <v>524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21"/>
    </row>
    <row r="299" spans="1:61" ht="15.6" x14ac:dyDescent="0.3">
      <c r="A299" s="5" t="s">
        <v>525</v>
      </c>
      <c r="B299" s="5" t="s">
        <v>526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21"/>
    </row>
    <row r="300" spans="1:61" ht="15.6" x14ac:dyDescent="0.3">
      <c r="A300" s="5" t="s">
        <v>527</v>
      </c>
      <c r="B300" s="5" t="s">
        <v>528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21"/>
    </row>
    <row r="301" spans="1:61" ht="15.6" x14ac:dyDescent="0.3">
      <c r="A301" s="5" t="s">
        <v>529</v>
      </c>
      <c r="B301" s="5" t="s">
        <v>530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21"/>
    </row>
    <row r="302" spans="1:61" ht="15.6" x14ac:dyDescent="0.3">
      <c r="A302" s="5" t="s">
        <v>531</v>
      </c>
      <c r="B302" s="5" t="s">
        <v>532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21"/>
    </row>
    <row r="303" spans="1:61" ht="15.6" x14ac:dyDescent="0.3">
      <c r="A303" s="5" t="s">
        <v>533</v>
      </c>
      <c r="B303" s="5" t="s">
        <v>534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21"/>
    </row>
    <row r="304" spans="1:61" ht="15.6" x14ac:dyDescent="0.3">
      <c r="A304" s="5" t="s">
        <v>535</v>
      </c>
      <c r="B304" s="5" t="s">
        <v>536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21"/>
    </row>
    <row r="305" spans="1:61" ht="15.6" x14ac:dyDescent="0.3">
      <c r="A305" s="5" t="s">
        <v>537</v>
      </c>
      <c r="B305" s="5" t="s">
        <v>538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21"/>
    </row>
    <row r="306" spans="1:61" ht="15.6" x14ac:dyDescent="0.3">
      <c r="A306" s="5" t="s">
        <v>539</v>
      </c>
      <c r="B306" s="5" t="s">
        <v>540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21"/>
    </row>
    <row r="307" spans="1:61" ht="15.6" x14ac:dyDescent="0.3">
      <c r="A307" s="5" t="s">
        <v>541</v>
      </c>
      <c r="B307" s="5" t="s">
        <v>542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21"/>
    </row>
    <row r="308" spans="1:61" ht="15.6" x14ac:dyDescent="0.3">
      <c r="A308" s="5" t="s">
        <v>543</v>
      </c>
      <c r="B308" s="5" t="s">
        <v>544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21"/>
    </row>
    <row r="309" spans="1:61" ht="15.6" x14ac:dyDescent="0.3">
      <c r="A309" s="5" t="s">
        <v>545</v>
      </c>
      <c r="B309" s="5" t="s">
        <v>546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21"/>
    </row>
    <row r="310" spans="1:61" ht="15.6" x14ac:dyDescent="0.3">
      <c r="A310" s="5" t="s">
        <v>547</v>
      </c>
      <c r="B310" s="5" t="s">
        <v>548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21"/>
    </row>
    <row r="311" spans="1:61" ht="15.6" x14ac:dyDescent="0.3">
      <c r="A311" s="5" t="s">
        <v>549</v>
      </c>
      <c r="B311" s="5" t="s">
        <v>550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21"/>
    </row>
    <row r="312" spans="1:61" ht="15.6" x14ac:dyDescent="0.3">
      <c r="A312" s="5" t="s">
        <v>551</v>
      </c>
      <c r="B312" s="5" t="s">
        <v>552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21"/>
    </row>
    <row r="313" spans="1:61" ht="15.6" x14ac:dyDescent="0.3">
      <c r="A313" s="5" t="s">
        <v>553</v>
      </c>
      <c r="B313" s="5" t="s">
        <v>554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21"/>
    </row>
    <row r="314" spans="1:61" ht="15.6" x14ac:dyDescent="0.3">
      <c r="A314" s="5" t="s">
        <v>555</v>
      </c>
      <c r="B314" s="5" t="s">
        <v>556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21"/>
    </row>
    <row r="315" spans="1:61" ht="15.6" x14ac:dyDescent="0.3">
      <c r="A315" s="5" t="s">
        <v>557</v>
      </c>
      <c r="B315" s="5" t="s">
        <v>558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21"/>
    </row>
    <row r="316" spans="1:61" ht="15.6" x14ac:dyDescent="0.3">
      <c r="A316" s="5" t="s">
        <v>559</v>
      </c>
      <c r="B316" s="5" t="s">
        <v>560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21"/>
    </row>
    <row r="317" spans="1:61" ht="15.6" x14ac:dyDescent="0.3">
      <c r="A317" s="5" t="s">
        <v>561</v>
      </c>
      <c r="B317" s="5" t="s">
        <v>562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21"/>
    </row>
    <row r="318" spans="1:61" ht="15.6" x14ac:dyDescent="0.3">
      <c r="A318" s="5" t="s">
        <v>563</v>
      </c>
      <c r="B318" s="5" t="s">
        <v>564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21"/>
    </row>
    <row r="319" spans="1:61" ht="15.6" x14ac:dyDescent="0.3">
      <c r="A319" s="5" t="s">
        <v>565</v>
      </c>
      <c r="B319" s="5" t="s">
        <v>566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21"/>
    </row>
    <row r="320" spans="1:61" ht="15.6" x14ac:dyDescent="0.3">
      <c r="A320" s="5" t="s">
        <v>567</v>
      </c>
      <c r="B320" s="5" t="s">
        <v>568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21"/>
    </row>
    <row r="321" spans="1:61" ht="15.6" x14ac:dyDescent="0.3">
      <c r="A321" s="5" t="s">
        <v>569</v>
      </c>
      <c r="B321" s="5" t="s">
        <v>570</v>
      </c>
      <c r="C321" s="7">
        <v>5</v>
      </c>
      <c r="D321" s="7">
        <v>5</v>
      </c>
      <c r="E321" s="7">
        <v>-93465.095000000001</v>
      </c>
      <c r="F321" s="7">
        <v>-14939.84</v>
      </c>
      <c r="G321" s="7">
        <v>0</v>
      </c>
      <c r="H321" s="7">
        <v>0</v>
      </c>
      <c r="I321" s="7">
        <v>-473.01299999999998</v>
      </c>
      <c r="J321" s="7">
        <v>0</v>
      </c>
      <c r="K321" s="7">
        <v>0</v>
      </c>
      <c r="L321" s="7">
        <v>-206645.905</v>
      </c>
      <c r="M321" s="7">
        <v>-4677.7910000000002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-4757.2550000000001</v>
      </c>
      <c r="T321" s="7">
        <v>0</v>
      </c>
      <c r="U321" s="7">
        <v>0</v>
      </c>
      <c r="V321" s="7">
        <v>0</v>
      </c>
      <c r="W321" s="7">
        <v>-1367.1079999999999</v>
      </c>
      <c r="X321" s="7">
        <v>0</v>
      </c>
      <c r="Y321" s="7">
        <v>-49042.271999999997</v>
      </c>
      <c r="Z321" s="7">
        <v>0</v>
      </c>
      <c r="AA321" s="7">
        <v>0</v>
      </c>
      <c r="AB321" s="7">
        <v>0</v>
      </c>
      <c r="AC321" s="7">
        <v>-3063.4630000000002</v>
      </c>
      <c r="AD321" s="7">
        <v>0</v>
      </c>
      <c r="AE321" s="7">
        <v>-124790.477</v>
      </c>
      <c r="AF321" s="7">
        <v>-107526.87300000001</v>
      </c>
      <c r="AG321" s="7">
        <v>0</v>
      </c>
      <c r="AH321" s="7">
        <v>-380792.30599999998</v>
      </c>
      <c r="AI321" s="7">
        <v>-157538.288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-4150.268</v>
      </c>
      <c r="AP321" s="7">
        <v>0</v>
      </c>
      <c r="AQ321" s="7">
        <v>-43048.137000000002</v>
      </c>
      <c r="AR321" s="7">
        <v>0</v>
      </c>
      <c r="AS321" s="7">
        <v>-48.156999999999996</v>
      </c>
      <c r="AT321" s="7">
        <v>0</v>
      </c>
      <c r="AU321" s="7">
        <v>-316.90300000000002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-1649.443</v>
      </c>
      <c r="BC321" s="7">
        <v>0</v>
      </c>
      <c r="BD321" s="7">
        <v>0</v>
      </c>
      <c r="BE321" s="7">
        <v>-511.06799999999998</v>
      </c>
      <c r="BF321" s="7">
        <v>0</v>
      </c>
      <c r="BG321" s="7">
        <v>0</v>
      </c>
      <c r="BH321" s="7">
        <v>0</v>
      </c>
      <c r="BI321" s="21"/>
    </row>
    <row r="322" spans="1:61" ht="15.6" x14ac:dyDescent="0.3">
      <c r="A322" s="5" t="s">
        <v>571</v>
      </c>
      <c r="B322" s="5" t="s">
        <v>572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21"/>
    </row>
    <row r="323" spans="1:61" ht="15.6" x14ac:dyDescent="0.3">
      <c r="A323" s="5" t="s">
        <v>573</v>
      </c>
      <c r="B323" s="5" t="s">
        <v>574</v>
      </c>
      <c r="C323" s="7">
        <v>5</v>
      </c>
      <c r="D323" s="7">
        <v>5</v>
      </c>
      <c r="E323" s="7">
        <v>-55622</v>
      </c>
      <c r="F323" s="7">
        <v>-8890.8459999999995</v>
      </c>
      <c r="G323" s="7">
        <v>0</v>
      </c>
      <c r="H323" s="7">
        <v>0</v>
      </c>
      <c r="I323" s="7">
        <v>-281.495</v>
      </c>
      <c r="J323" s="7">
        <v>0</v>
      </c>
      <c r="K323" s="7">
        <v>0</v>
      </c>
      <c r="L323" s="7">
        <v>-122977.016</v>
      </c>
      <c r="M323" s="7">
        <v>-2783.799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-2831.0889999999999</v>
      </c>
      <c r="T323" s="7">
        <v>0</v>
      </c>
      <c r="U323" s="7">
        <v>0</v>
      </c>
      <c r="V323" s="7">
        <v>0</v>
      </c>
      <c r="W323" s="7">
        <v>-813.58</v>
      </c>
      <c r="X323" s="7">
        <v>0</v>
      </c>
      <c r="Y323" s="7">
        <v>-29185.54</v>
      </c>
      <c r="Z323" s="7">
        <v>0</v>
      </c>
      <c r="AA323" s="7">
        <v>0</v>
      </c>
      <c r="AB323" s="7">
        <v>0</v>
      </c>
      <c r="AC323" s="7">
        <v>-1823.097</v>
      </c>
      <c r="AD323" s="7">
        <v>0</v>
      </c>
      <c r="AE323" s="7">
        <v>-74264.043000000005</v>
      </c>
      <c r="AF323" s="7">
        <v>-63990.302000000003</v>
      </c>
      <c r="AG323" s="7">
        <v>0</v>
      </c>
      <c r="AH323" s="7">
        <v>-226613.25599999999</v>
      </c>
      <c r="AI323" s="7">
        <v>-93752.589000000007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-2469.8649999999998</v>
      </c>
      <c r="AP323" s="7">
        <v>0</v>
      </c>
      <c r="AQ323" s="7">
        <v>-25618.370999999999</v>
      </c>
      <c r="AR323" s="7">
        <v>0</v>
      </c>
      <c r="AS323" s="7">
        <v>-28.658999999999999</v>
      </c>
      <c r="AT323" s="7">
        <v>0</v>
      </c>
      <c r="AU323" s="7">
        <v>-188.59200000000001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-981.6</v>
      </c>
      <c r="BC323" s="7">
        <v>0</v>
      </c>
      <c r="BD323" s="7">
        <v>0</v>
      </c>
      <c r="BE323" s="7">
        <v>-304.142</v>
      </c>
      <c r="BF323" s="7">
        <v>0</v>
      </c>
      <c r="BG323" s="7">
        <v>0</v>
      </c>
      <c r="BH323" s="7">
        <v>0</v>
      </c>
      <c r="BI323" s="21"/>
    </row>
    <row r="324" spans="1:61" ht="15.6" x14ac:dyDescent="0.3">
      <c r="A324" s="5" t="s">
        <v>575</v>
      </c>
      <c r="B324" s="5" t="s">
        <v>576</v>
      </c>
      <c r="C324" s="7">
        <v>6</v>
      </c>
      <c r="D324" s="7">
        <v>6</v>
      </c>
      <c r="E324" s="7">
        <v>53.506999999999998</v>
      </c>
      <c r="F324" s="7">
        <v>0</v>
      </c>
      <c r="G324" s="7">
        <v>0</v>
      </c>
      <c r="H324" s="7">
        <v>0</v>
      </c>
      <c r="I324" s="7">
        <v>75.468999999999994</v>
      </c>
      <c r="J324" s="7">
        <v>0</v>
      </c>
      <c r="K324" s="7">
        <v>0</v>
      </c>
      <c r="L324" s="7">
        <v>14619.804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21"/>
    </row>
    <row r="325" spans="1:61" ht="15.6" x14ac:dyDescent="0.3">
      <c r="A325" s="5" t="s">
        <v>577</v>
      </c>
      <c r="B325" s="5" t="s">
        <v>578</v>
      </c>
      <c r="C325" s="7">
        <v>6</v>
      </c>
      <c r="D325" s="7">
        <v>6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21"/>
    </row>
    <row r="326" spans="1:61" ht="15.6" x14ac:dyDescent="0.3">
      <c r="A326" s="5" t="s">
        <v>579</v>
      </c>
      <c r="B326" s="5" t="s">
        <v>580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21"/>
    </row>
    <row r="327" spans="1:61" ht="15.6" x14ac:dyDescent="0.3">
      <c r="A327" s="5" t="s">
        <v>581</v>
      </c>
      <c r="B327" s="5" t="s">
        <v>582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21"/>
    </row>
    <row r="328" spans="1:61" ht="15.6" x14ac:dyDescent="0.3">
      <c r="A328" s="5" t="s">
        <v>583</v>
      </c>
      <c r="B328" s="5" t="s">
        <v>584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21"/>
    </row>
    <row r="329" spans="1:61" ht="15.6" x14ac:dyDescent="0.3">
      <c r="A329" s="5" t="s">
        <v>585</v>
      </c>
      <c r="B329" s="5" t="s">
        <v>586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21"/>
    </row>
    <row r="330" spans="1:61" ht="15.6" x14ac:dyDescent="0.3">
      <c r="A330" s="5" t="s">
        <v>587</v>
      </c>
      <c r="B330" s="5" t="s">
        <v>588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21"/>
    </row>
    <row r="331" spans="1:61" ht="15.6" x14ac:dyDescent="0.3">
      <c r="A331" s="5" t="s">
        <v>589</v>
      </c>
      <c r="B331" s="5" t="s">
        <v>590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21"/>
    </row>
    <row r="332" spans="1:61" ht="15.6" x14ac:dyDescent="0.3">
      <c r="A332" s="5" t="s">
        <v>591</v>
      </c>
      <c r="B332" s="5" t="s">
        <v>592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21"/>
    </row>
    <row r="333" spans="1:61" ht="15.6" x14ac:dyDescent="0.3">
      <c r="A333" s="5" t="s">
        <v>593</v>
      </c>
      <c r="B333" s="5" t="s">
        <v>594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21"/>
    </row>
    <row r="334" spans="1:61" ht="15.6" x14ac:dyDescent="0.3">
      <c r="A334" s="5" t="s">
        <v>595</v>
      </c>
      <c r="B334" s="5" t="s">
        <v>596</v>
      </c>
      <c r="C334" s="7">
        <v>6</v>
      </c>
      <c r="D334" s="7">
        <v>6</v>
      </c>
      <c r="E334" s="7">
        <v>29979.628000000001</v>
      </c>
      <c r="F334" s="7">
        <v>1781.393</v>
      </c>
      <c r="G334" s="7">
        <v>1716.48</v>
      </c>
      <c r="H334" s="7">
        <v>1681.4259999999999</v>
      </c>
      <c r="I334" s="7">
        <v>340.90499999999997</v>
      </c>
      <c r="J334" s="7">
        <v>1109.4190000000001</v>
      </c>
      <c r="K334" s="7">
        <v>0</v>
      </c>
      <c r="L334" s="7">
        <v>16374.234</v>
      </c>
      <c r="M334" s="7">
        <v>4538.018</v>
      </c>
      <c r="N334" s="7">
        <v>95.597999999999999</v>
      </c>
      <c r="O334" s="7">
        <v>0</v>
      </c>
      <c r="P334" s="7">
        <v>16.294</v>
      </c>
      <c r="Q334" s="7">
        <v>0</v>
      </c>
      <c r="R334" s="7">
        <v>7.6360000000000001</v>
      </c>
      <c r="S334" s="7">
        <v>3.17</v>
      </c>
      <c r="T334" s="7">
        <v>0</v>
      </c>
      <c r="U334" s="7">
        <v>0</v>
      </c>
      <c r="V334" s="7">
        <v>332.21600000000001</v>
      </c>
      <c r="W334" s="7">
        <v>878.80399999999997</v>
      </c>
      <c r="X334" s="7">
        <v>0</v>
      </c>
      <c r="Y334" s="7">
        <v>7246.1059999999998</v>
      </c>
      <c r="Z334" s="7">
        <v>0</v>
      </c>
      <c r="AA334" s="7">
        <v>4077.2910000000002</v>
      </c>
      <c r="AB334" s="7">
        <v>0</v>
      </c>
      <c r="AC334" s="7">
        <v>621.22</v>
      </c>
      <c r="AD334" s="7">
        <v>5.3109999999999999</v>
      </c>
      <c r="AE334" s="7">
        <v>19281.990000000002</v>
      </c>
      <c r="AF334" s="7">
        <v>258.53100000000001</v>
      </c>
      <c r="AG334" s="7">
        <v>23.149000000000001</v>
      </c>
      <c r="AH334" s="7">
        <v>60708.76</v>
      </c>
      <c r="AI334" s="7">
        <v>111.89700000000001</v>
      </c>
      <c r="AJ334" s="7">
        <v>0</v>
      </c>
      <c r="AK334" s="7">
        <v>0</v>
      </c>
      <c r="AL334" s="7">
        <v>11.792999999999999</v>
      </c>
      <c r="AM334" s="7">
        <v>0</v>
      </c>
      <c r="AN334" s="7">
        <v>0</v>
      </c>
      <c r="AO334" s="7">
        <v>2.4409999999999998</v>
      </c>
      <c r="AP334" s="7">
        <v>23.515000000000001</v>
      </c>
      <c r="AQ334" s="7">
        <v>25.672000000000001</v>
      </c>
      <c r="AR334" s="7">
        <v>6.6449999999999996</v>
      </c>
      <c r="AS334" s="7">
        <v>0</v>
      </c>
      <c r="AT334" s="7">
        <v>0</v>
      </c>
      <c r="AU334" s="7">
        <v>2.0510000000000002</v>
      </c>
      <c r="AV334" s="7">
        <v>18.574999999999999</v>
      </c>
      <c r="AW334" s="7">
        <v>34.369</v>
      </c>
      <c r="AX334" s="7">
        <v>0</v>
      </c>
      <c r="AY334" s="7">
        <v>5.9130000000000003</v>
      </c>
      <c r="AZ334" s="7">
        <v>38.170999999999999</v>
      </c>
      <c r="BA334" s="7">
        <v>0</v>
      </c>
      <c r="BB334" s="7">
        <v>0</v>
      </c>
      <c r="BC334" s="7">
        <v>0</v>
      </c>
      <c r="BD334" s="7">
        <v>47.463999999999999</v>
      </c>
      <c r="BE334" s="7">
        <v>0.21299999999999999</v>
      </c>
      <c r="BF334" s="7">
        <v>16.54</v>
      </c>
      <c r="BG334" s="7">
        <v>0</v>
      </c>
      <c r="BH334" s="7">
        <v>0</v>
      </c>
      <c r="BI334" s="21"/>
    </row>
    <row r="335" spans="1:61" ht="15.6" x14ac:dyDescent="0.3">
      <c r="A335" s="5" t="s">
        <v>597</v>
      </c>
      <c r="B335" s="5" t="s">
        <v>598</v>
      </c>
      <c r="C335" s="7">
        <v>6</v>
      </c>
      <c r="D335" s="7">
        <v>6</v>
      </c>
      <c r="E335" s="7">
        <v>-5535.1930000000002</v>
      </c>
      <c r="F335" s="7">
        <v>-1247.588</v>
      </c>
      <c r="G335" s="7">
        <v>-398.75799999999998</v>
      </c>
      <c r="H335" s="7">
        <v>-9557.3430000000008</v>
      </c>
      <c r="I335" s="7">
        <v>-225.97900000000001</v>
      </c>
      <c r="J335" s="7">
        <v>-437.81900000000002</v>
      </c>
      <c r="K335" s="7">
        <v>0</v>
      </c>
      <c r="L335" s="7">
        <v>-10319.896000000001</v>
      </c>
      <c r="M335" s="7">
        <v>-1394.7929999999999</v>
      </c>
      <c r="N335" s="7">
        <v>-0.33300000000000002</v>
      </c>
      <c r="O335" s="7">
        <v>-8.6999999999999994E-2</v>
      </c>
      <c r="P335" s="7">
        <v>-58.637999999999998</v>
      </c>
      <c r="Q335" s="7">
        <v>0</v>
      </c>
      <c r="R335" s="7">
        <v>-123.401</v>
      </c>
      <c r="S335" s="7">
        <v>-18.382000000000001</v>
      </c>
      <c r="T335" s="7">
        <v>0</v>
      </c>
      <c r="U335" s="7">
        <v>0</v>
      </c>
      <c r="V335" s="7">
        <v>-11.685</v>
      </c>
      <c r="W335" s="7">
        <v>-31.43</v>
      </c>
      <c r="X335" s="7">
        <v>-9.452</v>
      </c>
      <c r="Y335" s="7">
        <v>-489.76900000000001</v>
      </c>
      <c r="Z335" s="7">
        <v>-0.71199999999999997</v>
      </c>
      <c r="AA335" s="7">
        <v>-134.499</v>
      </c>
      <c r="AB335" s="7">
        <v>-18.62</v>
      </c>
      <c r="AC335" s="7">
        <v>-21.675000000000001</v>
      </c>
      <c r="AD335" s="7">
        <v>0</v>
      </c>
      <c r="AE335" s="7">
        <v>-290.04599999999999</v>
      </c>
      <c r="AF335" s="7">
        <v>-51.222999999999999</v>
      </c>
      <c r="AG335" s="7">
        <v>0</v>
      </c>
      <c r="AH335" s="7">
        <v>-11896.361999999999</v>
      </c>
      <c r="AI335" s="7">
        <v>-417.16800000000001</v>
      </c>
      <c r="AJ335" s="7">
        <v>-2.4689999999999999</v>
      </c>
      <c r="AK335" s="7">
        <v>-16.013000000000002</v>
      </c>
      <c r="AL335" s="7">
        <v>-0.37</v>
      </c>
      <c r="AM335" s="7">
        <v>0</v>
      </c>
      <c r="AN335" s="7">
        <v>-47.283000000000001</v>
      </c>
      <c r="AO335" s="7">
        <v>-0.85399999999999998</v>
      </c>
      <c r="AP335" s="7">
        <v>0</v>
      </c>
      <c r="AQ335" s="7">
        <v>-8.5470000000000006</v>
      </c>
      <c r="AR335" s="7">
        <v>0</v>
      </c>
      <c r="AS335" s="7">
        <v>-1.4430000000000001</v>
      </c>
      <c r="AT335" s="7">
        <v>0</v>
      </c>
      <c r="AU335" s="7">
        <v>-6.3E-2</v>
      </c>
      <c r="AV335" s="7">
        <v>0</v>
      </c>
      <c r="AW335" s="7">
        <v>0</v>
      </c>
      <c r="AX335" s="7">
        <v>-77.269000000000005</v>
      </c>
      <c r="AY335" s="7">
        <v>0</v>
      </c>
      <c r="AZ335" s="7">
        <v>0</v>
      </c>
      <c r="BA335" s="7">
        <v>0</v>
      </c>
      <c r="BB335" s="7">
        <v>-4.3289999999999997</v>
      </c>
      <c r="BC335" s="7">
        <v>0</v>
      </c>
      <c r="BD335" s="7">
        <v>0</v>
      </c>
      <c r="BE335" s="7">
        <v>-0.107</v>
      </c>
      <c r="BF335" s="7">
        <v>0</v>
      </c>
      <c r="BG335" s="7">
        <v>-75.771000000000001</v>
      </c>
      <c r="BH335" s="7">
        <v>0</v>
      </c>
      <c r="BI335" s="21"/>
    </row>
    <row r="336" spans="1:61" ht="15.6" x14ac:dyDescent="0.3">
      <c r="A336" s="5" t="s">
        <v>599</v>
      </c>
      <c r="B336" s="5" t="s">
        <v>600</v>
      </c>
      <c r="C336" s="7">
        <v>6</v>
      </c>
      <c r="D336" s="7">
        <v>6</v>
      </c>
      <c r="E336" s="7">
        <v>-2589.6219999999998</v>
      </c>
      <c r="F336" s="7">
        <v>-12.438000000000001</v>
      </c>
      <c r="G336" s="7">
        <v>-260.66199999999998</v>
      </c>
      <c r="H336" s="7">
        <v>-99.977999999999994</v>
      </c>
      <c r="I336" s="7">
        <v>33.408000000000001</v>
      </c>
      <c r="J336" s="7">
        <v>-22.146999999999998</v>
      </c>
      <c r="K336" s="7">
        <v>-26.651</v>
      </c>
      <c r="L336" s="7">
        <v>-2068.9290000000001</v>
      </c>
      <c r="M336" s="7">
        <v>-166.01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-14.509</v>
      </c>
      <c r="V336" s="7">
        <v>-31.747</v>
      </c>
      <c r="W336" s="7">
        <v>-33.231999999999999</v>
      </c>
      <c r="X336" s="7">
        <v>-16.753</v>
      </c>
      <c r="Y336" s="7">
        <v>-612.35199999999998</v>
      </c>
      <c r="Z336" s="7">
        <v>-4.1230000000000002</v>
      </c>
      <c r="AA336" s="7">
        <v>-102.03</v>
      </c>
      <c r="AB336" s="7">
        <v>-84.168999999999997</v>
      </c>
      <c r="AC336" s="7">
        <v>-42.578000000000003</v>
      </c>
      <c r="AD336" s="7">
        <v>-8.9009999999999998</v>
      </c>
      <c r="AE336" s="7">
        <v>-745.67100000000005</v>
      </c>
      <c r="AF336" s="7">
        <v>-331.88600000000002</v>
      </c>
      <c r="AG336" s="7">
        <v>-11.115</v>
      </c>
      <c r="AH336" s="7">
        <v>-1944.2860000000001</v>
      </c>
      <c r="AI336" s="7">
        <v>-389.20699999999999</v>
      </c>
      <c r="AJ336" s="7">
        <v>-1.71</v>
      </c>
      <c r="AK336" s="7">
        <v>-867.63099999999997</v>
      </c>
      <c r="AL336" s="7">
        <v>-281.95400000000001</v>
      </c>
      <c r="AM336" s="7">
        <v>-28.734999999999999</v>
      </c>
      <c r="AN336" s="7">
        <v>-931.48299999999995</v>
      </c>
      <c r="AO336" s="7">
        <v>0</v>
      </c>
      <c r="AP336" s="7">
        <v>-37.109000000000002</v>
      </c>
      <c r="AQ336" s="7">
        <v>-409.29399999999998</v>
      </c>
      <c r="AR336" s="7">
        <v>-5.1219999999999999</v>
      </c>
      <c r="AS336" s="7">
        <v>0</v>
      </c>
      <c r="AT336" s="7">
        <v>0</v>
      </c>
      <c r="AU336" s="7">
        <v>0</v>
      </c>
      <c r="AV336" s="7">
        <v>-16.527000000000001</v>
      </c>
      <c r="AW336" s="7">
        <v>-25.95</v>
      </c>
      <c r="AX336" s="7">
        <v>-6.8159999999999998</v>
      </c>
      <c r="AY336" s="7">
        <v>-0.105</v>
      </c>
      <c r="AZ336" s="7">
        <v>-58.65</v>
      </c>
      <c r="BA336" s="7">
        <v>-6.2119999999999997</v>
      </c>
      <c r="BB336" s="7">
        <v>-1.2110000000000001</v>
      </c>
      <c r="BC336" s="7">
        <v>-0.32300000000000001</v>
      </c>
      <c r="BD336" s="7">
        <v>-25.960999999999999</v>
      </c>
      <c r="BE336" s="7">
        <v>-9.4939999999999998</v>
      </c>
      <c r="BF336" s="7">
        <v>-104.297</v>
      </c>
      <c r="BG336" s="7">
        <v>-22.867000000000001</v>
      </c>
      <c r="BH336" s="7">
        <v>-18.135000000000002</v>
      </c>
      <c r="BI336" s="21"/>
    </row>
    <row r="337" spans="1:61" ht="15.6" x14ac:dyDescent="0.3">
      <c r="A337" s="5" t="s">
        <v>601</v>
      </c>
      <c r="B337" s="5" t="s">
        <v>602</v>
      </c>
      <c r="C337" s="7">
        <v>6</v>
      </c>
      <c r="D337" s="7">
        <v>6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21"/>
    </row>
    <row r="338" spans="1:61" ht="15.6" x14ac:dyDescent="0.3">
      <c r="A338" s="5" t="s">
        <v>603</v>
      </c>
      <c r="B338" s="5" t="s">
        <v>604</v>
      </c>
      <c r="C338" s="7">
        <v>6</v>
      </c>
      <c r="D338" s="7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 s="21"/>
    </row>
    <row r="339" spans="1:61" ht="15.6" x14ac:dyDescent="0.3">
      <c r="A339" s="5" t="s">
        <v>605</v>
      </c>
      <c r="B339" s="5" t="s">
        <v>606</v>
      </c>
      <c r="C339" s="5"/>
      <c r="D339" s="5"/>
      <c r="E339">
        <v>10022256.457</v>
      </c>
      <c r="F339">
        <v>1079712.7879999999</v>
      </c>
      <c r="G339">
        <v>1036327.724</v>
      </c>
      <c r="H339">
        <v>1129889.7790000001</v>
      </c>
      <c r="I339">
        <v>135056.30600000001</v>
      </c>
      <c r="J339">
        <v>714060.18500000006</v>
      </c>
      <c r="K339">
        <v>248252.99299999999</v>
      </c>
      <c r="L339">
        <v>10876515.039999999</v>
      </c>
      <c r="M339">
        <v>2917518.0269999998</v>
      </c>
      <c r="N339">
        <v>15458.023999999999</v>
      </c>
      <c r="O339">
        <v>15698.33</v>
      </c>
      <c r="P339">
        <v>19444.376</v>
      </c>
      <c r="Q339">
        <v>14416.308999999999</v>
      </c>
      <c r="R339">
        <v>18498.473999999998</v>
      </c>
      <c r="S339">
        <v>345070.38699999999</v>
      </c>
      <c r="T339">
        <v>1011.476</v>
      </c>
      <c r="U339">
        <v>180008.20499999999</v>
      </c>
      <c r="V339">
        <v>131142.818</v>
      </c>
      <c r="W339">
        <v>269190.91499999998</v>
      </c>
      <c r="X339">
        <v>213157.03099999999</v>
      </c>
      <c r="Y339">
        <v>2912077.9279999998</v>
      </c>
      <c r="Z339">
        <v>92570.998000000007</v>
      </c>
      <c r="AA339">
        <v>1522452.4580000001</v>
      </c>
      <c r="AB339">
        <v>490020.86800000002</v>
      </c>
      <c r="AC339">
        <v>199046.579</v>
      </c>
      <c r="AD339">
        <v>67914.05</v>
      </c>
      <c r="AE339">
        <v>8021956.5889999997</v>
      </c>
      <c r="AF339">
        <v>3263550.9449999998</v>
      </c>
      <c r="AG339">
        <v>342081.315</v>
      </c>
      <c r="AH339">
        <v>22687835.881000001</v>
      </c>
      <c r="AI339">
        <v>5122803.676</v>
      </c>
      <c r="AJ339">
        <v>471907.11499999999</v>
      </c>
      <c r="AK339">
        <v>10408930.598999999</v>
      </c>
      <c r="AL339">
        <v>5472642.415</v>
      </c>
      <c r="AM339">
        <v>50278.896999999997</v>
      </c>
      <c r="AN339">
        <v>3637516.32</v>
      </c>
      <c r="AO339">
        <v>227116.44099999999</v>
      </c>
      <c r="AP339">
        <v>98221.187999999995</v>
      </c>
      <c r="AQ339">
        <v>1282655.9210000001</v>
      </c>
      <c r="AR339">
        <v>27984.030999999999</v>
      </c>
      <c r="AS339">
        <v>3933.538</v>
      </c>
      <c r="AT339">
        <v>0</v>
      </c>
      <c r="AU339">
        <v>83862.331000000006</v>
      </c>
      <c r="AV339">
        <v>77331.357999999993</v>
      </c>
      <c r="AW339">
        <v>148063.07500000001</v>
      </c>
      <c r="AX339">
        <v>272147.04700000002</v>
      </c>
      <c r="AY339">
        <v>93498.42</v>
      </c>
      <c r="AZ339">
        <v>844275.35499999998</v>
      </c>
      <c r="BA339">
        <v>207069.342</v>
      </c>
      <c r="BB339">
        <v>90697.805999999997</v>
      </c>
      <c r="BC339">
        <v>43000.224999999999</v>
      </c>
      <c r="BD339">
        <v>1013850.117</v>
      </c>
      <c r="BE339">
        <v>26953.087</v>
      </c>
      <c r="BF339">
        <v>351564.65700000001</v>
      </c>
      <c r="BG339">
        <v>272630.62599999999</v>
      </c>
      <c r="BH339">
        <v>14041.235000000001</v>
      </c>
      <c r="BI339" s="21"/>
    </row>
    <row r="340" spans="1:61" x14ac:dyDescent="0.25">
      <c r="BI340" s="21"/>
    </row>
    <row r="341" spans="1:61" ht="15.6" x14ac:dyDescent="0.3">
      <c r="A341" s="5" t="s">
        <v>607</v>
      </c>
      <c r="E341">
        <f t="shared" ref="E341:AW341" si="0">SUM(E6:E338)-E339</f>
        <v>0</v>
      </c>
      <c r="F341">
        <f t="shared" si="0"/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>SUM(AM6:AM338)-AM339</f>
        <v>0</v>
      </c>
      <c r="AN341">
        <f>SUM(AN6:AN338)-AN339</f>
        <v>0</v>
      </c>
      <c r="AO341">
        <f>SUM(AO6:AO338)-AO339</f>
        <v>0</v>
      </c>
      <c r="AP341">
        <f t="shared" si="0"/>
        <v>0</v>
      </c>
      <c r="AQ341">
        <f t="shared" si="0"/>
        <v>0</v>
      </c>
      <c r="AR341">
        <f t="shared" si="0"/>
        <v>0</v>
      </c>
      <c r="AS341">
        <f t="shared" si="0"/>
        <v>0</v>
      </c>
      <c r="AT341">
        <f t="shared" si="0"/>
        <v>0</v>
      </c>
      <c r="AU341">
        <f t="shared" si="0"/>
        <v>0</v>
      </c>
      <c r="AV341">
        <f t="shared" si="0"/>
        <v>0</v>
      </c>
      <c r="AW341">
        <f t="shared" si="0"/>
        <v>0</v>
      </c>
      <c r="AX341">
        <f>SUM(AX6:AX338)-AX339</f>
        <v>0</v>
      </c>
      <c r="AY341">
        <f t="shared" ref="AY341:BH341" si="1">SUM(AY6:AY338)-AY339</f>
        <v>0</v>
      </c>
      <c r="AZ341">
        <f t="shared" si="1"/>
        <v>0</v>
      </c>
      <c r="BA341">
        <f t="shared" si="1"/>
        <v>0</v>
      </c>
      <c r="BB341">
        <f t="shared" si="1"/>
        <v>0</v>
      </c>
      <c r="BC341">
        <f t="shared" si="1"/>
        <v>0</v>
      </c>
      <c r="BD341">
        <f t="shared" si="1"/>
        <v>0</v>
      </c>
      <c r="BE341">
        <f t="shared" si="1"/>
        <v>0</v>
      </c>
      <c r="BF341">
        <f t="shared" si="1"/>
        <v>0</v>
      </c>
      <c r="BG341">
        <f t="shared" si="1"/>
        <v>0</v>
      </c>
      <c r="BH341">
        <f t="shared" si="1"/>
        <v>0</v>
      </c>
      <c r="BI341" s="21"/>
    </row>
    <row r="342" spans="1:61" x14ac:dyDescent="0.25">
      <c r="BI342" s="21"/>
    </row>
    <row r="343" spans="1:61" x14ac:dyDescent="0.25">
      <c r="A343" t="s">
        <v>608</v>
      </c>
      <c r="D343">
        <v>1</v>
      </c>
      <c r="E343" s="16">
        <f t="shared" ref="E343:AW343" si="2">SUMIF($D$5:$D$337,$D$343,E5:E337)</f>
        <v>1258506.8119999999</v>
      </c>
      <c r="F343" s="16">
        <f t="shared" si="2"/>
        <v>163529.77000000002</v>
      </c>
      <c r="G343" s="16">
        <f t="shared" si="2"/>
        <v>59658.726999999999</v>
      </c>
      <c r="H343" s="16">
        <f t="shared" si="2"/>
        <v>6606.3339999999998</v>
      </c>
      <c r="I343" s="16">
        <f t="shared" si="2"/>
        <v>12004.083000000001</v>
      </c>
      <c r="J343" s="16">
        <f t="shared" si="2"/>
        <v>34563.014999999999</v>
      </c>
      <c r="K343" s="16">
        <f t="shared" si="2"/>
        <v>8331.7309999999998</v>
      </c>
      <c r="L343" s="16">
        <f t="shared" si="2"/>
        <v>2131308.4270000001</v>
      </c>
      <c r="M343" s="16">
        <f t="shared" si="2"/>
        <v>153757.84900000002</v>
      </c>
      <c r="N343" s="16">
        <f>SUMIF($D$5:$D$337,$D$343,N5:N337)</f>
        <v>-1.704</v>
      </c>
      <c r="O343" s="16">
        <f t="shared" si="2"/>
        <v>11926.012000000001</v>
      </c>
      <c r="P343" s="16">
        <f t="shared" si="2"/>
        <v>886.03100000000006</v>
      </c>
      <c r="Q343" s="16">
        <f t="shared" si="2"/>
        <v>6187.9919999999993</v>
      </c>
      <c r="R343" s="16">
        <f t="shared" si="2"/>
        <v>2378.1060000000002</v>
      </c>
      <c r="S343" s="16">
        <f t="shared" si="2"/>
        <v>51892.422000000006</v>
      </c>
      <c r="T343" s="16">
        <f t="shared" si="2"/>
        <v>24.594999999999999</v>
      </c>
      <c r="U343" s="16">
        <f t="shared" si="2"/>
        <v>5604.5069999999996</v>
      </c>
      <c r="V343" s="16">
        <f t="shared" si="2"/>
        <v>5803.3370000000004</v>
      </c>
      <c r="W343" s="16">
        <f t="shared" si="2"/>
        <v>26812.773000000001</v>
      </c>
      <c r="X343" s="16">
        <f t="shared" si="2"/>
        <v>41619.567999999999</v>
      </c>
      <c r="Y343" s="16">
        <f t="shared" si="2"/>
        <v>540483.625</v>
      </c>
      <c r="Z343" s="16">
        <f t="shared" si="2"/>
        <v>54440.276999999995</v>
      </c>
      <c r="AA343" s="16">
        <f t="shared" si="2"/>
        <v>101528.947</v>
      </c>
      <c r="AB343" s="16">
        <f t="shared" si="2"/>
        <v>371710.19499999995</v>
      </c>
      <c r="AC343" s="16">
        <f t="shared" si="2"/>
        <v>32937.472999999998</v>
      </c>
      <c r="AD343" s="16">
        <f t="shared" si="2"/>
        <v>20088.975999999999</v>
      </c>
      <c r="AE343" s="16">
        <f t="shared" si="2"/>
        <v>1474332.0320000001</v>
      </c>
      <c r="AF343" s="16">
        <f t="shared" si="2"/>
        <v>983714.36199999996</v>
      </c>
      <c r="AG343" s="16">
        <f t="shared" si="2"/>
        <v>122517.23299999999</v>
      </c>
      <c r="AH343" s="16">
        <f t="shared" si="2"/>
        <v>4026709.8369999998</v>
      </c>
      <c r="AI343" s="16">
        <f t="shared" si="2"/>
        <v>1443725.0769999998</v>
      </c>
      <c r="AJ343" s="16">
        <f t="shared" si="2"/>
        <v>269274.05199999997</v>
      </c>
      <c r="AK343" s="16">
        <f t="shared" si="2"/>
        <v>7306393.7589999996</v>
      </c>
      <c r="AL343" s="16">
        <f t="shared" si="2"/>
        <v>3847555.4270000001</v>
      </c>
      <c r="AM343" s="16">
        <f>SUMIF($D$5:$D$337,$D$343,AM5:AM337)</f>
        <v>2067.9960000000001</v>
      </c>
      <c r="AN343" s="16">
        <f>SUMIF($D$5:$D$337,$D$343,AN5:AN337)</f>
        <v>2549001.0989999999</v>
      </c>
      <c r="AO343" s="16">
        <f>SUMIF($D$5:$D$337,$D$343,AO5:AO337)</f>
        <v>44030.476000000002</v>
      </c>
      <c r="AP343" s="16">
        <f t="shared" si="2"/>
        <v>10473.514999999999</v>
      </c>
      <c r="AQ343" s="16">
        <f t="shared" si="2"/>
        <v>383887.55699999997</v>
      </c>
      <c r="AR343" s="16">
        <f t="shared" si="2"/>
        <v>2755.8250000000003</v>
      </c>
      <c r="AS343" s="16">
        <f t="shared" si="2"/>
        <v>578.452</v>
      </c>
      <c r="AT343" s="16">
        <f t="shared" si="2"/>
        <v>0</v>
      </c>
      <c r="AU343" s="16">
        <f t="shared" si="2"/>
        <v>14429.297</v>
      </c>
      <c r="AV343" s="16">
        <f t="shared" si="2"/>
        <v>7944.7219999999998</v>
      </c>
      <c r="AW343" s="16">
        <f t="shared" si="2"/>
        <v>17083.652000000002</v>
      </c>
      <c r="AX343" s="16">
        <f>SUMIF($D$5:$D$337,$D$343,AX5:AX337)</f>
        <v>56012.165999999997</v>
      </c>
      <c r="AY343" s="16">
        <f t="shared" ref="AY343:BH343" si="3">SUMIF($D$5:$D$337,$D$343,AY5:AY337)</f>
        <v>6287.3220000000001</v>
      </c>
      <c r="AZ343" s="16">
        <f t="shared" si="3"/>
        <v>40319.019999999997</v>
      </c>
      <c r="BA343" s="16">
        <f t="shared" si="3"/>
        <v>40052.900999999998</v>
      </c>
      <c r="BB343" s="16">
        <f t="shared" si="3"/>
        <v>17757.017</v>
      </c>
      <c r="BC343" s="16">
        <f t="shared" si="3"/>
        <v>1487.729</v>
      </c>
      <c r="BD343" s="16">
        <f t="shared" si="3"/>
        <v>45570.808000000005</v>
      </c>
      <c r="BE343" s="16">
        <f t="shared" si="3"/>
        <v>5261.2359999999999</v>
      </c>
      <c r="BF343" s="16">
        <f t="shared" si="3"/>
        <v>14351.733999999999</v>
      </c>
      <c r="BG343" s="16">
        <f t="shared" si="3"/>
        <v>168827.42299999998</v>
      </c>
      <c r="BH343" s="16">
        <f t="shared" si="3"/>
        <v>639.923</v>
      </c>
      <c r="BI343" s="21"/>
    </row>
    <row r="344" spans="1:61" x14ac:dyDescent="0.25">
      <c r="A344" t="s">
        <v>609</v>
      </c>
      <c r="D344">
        <v>2</v>
      </c>
      <c r="E344" s="16">
        <f t="shared" ref="E344:AW344" si="4">SUMIF($D$5:$D$337,$D$344,E5:E337)</f>
        <v>2290931.5290000001</v>
      </c>
      <c r="F344" s="16">
        <f t="shared" si="4"/>
        <v>199970.976</v>
      </c>
      <c r="G344" s="16">
        <f t="shared" si="4"/>
        <v>364365.23300000001</v>
      </c>
      <c r="H344" s="16">
        <f t="shared" si="4"/>
        <v>0</v>
      </c>
      <c r="I344" s="16">
        <f t="shared" si="4"/>
        <v>50837.813000000009</v>
      </c>
      <c r="J344" s="16">
        <f t="shared" si="4"/>
        <v>236017.58200000002</v>
      </c>
      <c r="K344" s="16">
        <f t="shared" si="4"/>
        <v>167545.66</v>
      </c>
      <c r="L344" s="16">
        <f t="shared" si="4"/>
        <v>1126269.5020000001</v>
      </c>
      <c r="M344" s="16">
        <f t="shared" si="4"/>
        <v>680022.32799999998</v>
      </c>
      <c r="N344" s="16">
        <f>SUMIF($D$5:$D$337,$D$344,N5:N337)</f>
        <v>12401.245999999999</v>
      </c>
      <c r="O344" s="16">
        <f t="shared" si="4"/>
        <v>128.898</v>
      </c>
      <c r="P344" s="16">
        <f t="shared" si="4"/>
        <v>15595.726000000001</v>
      </c>
      <c r="Q344" s="16">
        <f t="shared" si="4"/>
        <v>2463.5120000000002</v>
      </c>
      <c r="R344" s="16">
        <f t="shared" si="4"/>
        <v>3537.99</v>
      </c>
      <c r="S344" s="16">
        <f t="shared" si="4"/>
        <v>61629.950000000012</v>
      </c>
      <c r="T344" s="16">
        <f t="shared" si="4"/>
        <v>986.88099999999997</v>
      </c>
      <c r="U344" s="16">
        <f t="shared" si="4"/>
        <v>131519.65399999998</v>
      </c>
      <c r="V344" s="16">
        <f t="shared" si="4"/>
        <v>37412.013999999996</v>
      </c>
      <c r="W344" s="16">
        <f t="shared" si="4"/>
        <v>60416.25</v>
      </c>
      <c r="X344" s="16">
        <f t="shared" si="4"/>
        <v>24112.637999999999</v>
      </c>
      <c r="Y344" s="16">
        <f t="shared" si="4"/>
        <v>567373.34699999995</v>
      </c>
      <c r="Z344" s="16">
        <f t="shared" si="4"/>
        <v>346.22199999999998</v>
      </c>
      <c r="AA344" s="16">
        <f t="shared" si="4"/>
        <v>512018.33400000003</v>
      </c>
      <c r="AB344" s="16">
        <f t="shared" si="4"/>
        <v>2928.3789999999999</v>
      </c>
      <c r="AC344" s="16">
        <f t="shared" si="4"/>
        <v>30048.684000000005</v>
      </c>
      <c r="AD344" s="16">
        <f t="shared" si="4"/>
        <v>11592.982</v>
      </c>
      <c r="AE344" s="16">
        <f t="shared" si="4"/>
        <v>1488481.186</v>
      </c>
      <c r="AF344" s="16">
        <f t="shared" si="4"/>
        <v>216947.71500000003</v>
      </c>
      <c r="AG344" s="16">
        <f t="shared" si="4"/>
        <v>47323.618000000002</v>
      </c>
      <c r="AH344" s="16">
        <f t="shared" si="4"/>
        <v>3293057.4280000003</v>
      </c>
      <c r="AI344" s="16">
        <f t="shared" si="4"/>
        <v>318290.82199999999</v>
      </c>
      <c r="AJ344" s="16">
        <f t="shared" si="4"/>
        <v>1652.6279999999999</v>
      </c>
      <c r="AK344" s="16">
        <f t="shared" si="4"/>
        <v>1041567.061</v>
      </c>
      <c r="AL344" s="16">
        <f t="shared" si="4"/>
        <v>545508.946</v>
      </c>
      <c r="AM344" s="16">
        <f>SUMIF($D$5:$D$337,$D$344,AM5:AM337)</f>
        <v>36417.1</v>
      </c>
      <c r="AN344" s="16">
        <f>SUMIF($D$5:$D$337,$D$344,AN5:AN337)</f>
        <v>365649.473</v>
      </c>
      <c r="AO344" s="16">
        <f>SUMIF($D$5:$D$337,$D$344,AO5:AO337)</f>
        <v>37950.79</v>
      </c>
      <c r="AP344" s="16">
        <f t="shared" si="4"/>
        <v>0</v>
      </c>
      <c r="AQ344" s="16">
        <f t="shared" si="4"/>
        <v>86833.79800000001</v>
      </c>
      <c r="AR344" s="16">
        <f t="shared" si="4"/>
        <v>0</v>
      </c>
      <c r="AS344" s="16">
        <f t="shared" si="4"/>
        <v>1459.6740000000002</v>
      </c>
      <c r="AT344" s="16">
        <f t="shared" si="4"/>
        <v>0</v>
      </c>
      <c r="AU344" s="16">
        <f t="shared" si="4"/>
        <v>31112.188999999998</v>
      </c>
      <c r="AV344" s="16">
        <f t="shared" si="4"/>
        <v>0</v>
      </c>
      <c r="AW344" s="16">
        <f t="shared" si="4"/>
        <v>0</v>
      </c>
      <c r="AX344" s="16">
        <f>SUMIF($D$5:$D$337,$D$344,AX5:AX337)</f>
        <v>30388.775000000001</v>
      </c>
      <c r="AY344" s="16">
        <f t="shared" ref="AY344:BH344" si="5">SUMIF($D$5:$D$337,$D$344,AY5:AY337)</f>
        <v>23509.782999999996</v>
      </c>
      <c r="AZ344" s="16">
        <f t="shared" si="5"/>
        <v>1869.0150000000001</v>
      </c>
      <c r="BA344" s="16">
        <f t="shared" si="5"/>
        <v>23479.058000000001</v>
      </c>
      <c r="BB344" s="16">
        <f t="shared" si="5"/>
        <v>15731.938999999998</v>
      </c>
      <c r="BC344" s="16">
        <f t="shared" si="5"/>
        <v>12314.722000000002</v>
      </c>
      <c r="BD344" s="16">
        <f t="shared" si="5"/>
        <v>2324.0700000000002</v>
      </c>
      <c r="BE344" s="16">
        <f t="shared" si="5"/>
        <v>4601.447000000001</v>
      </c>
      <c r="BF344" s="16">
        <f t="shared" si="5"/>
        <v>809.87900000000002</v>
      </c>
      <c r="BG344" s="16">
        <f t="shared" si="5"/>
        <v>15761.284</v>
      </c>
      <c r="BH344" s="16">
        <f t="shared" si="5"/>
        <v>3499.5550000000003</v>
      </c>
      <c r="BI344" s="21"/>
    </row>
    <row r="345" spans="1:61" x14ac:dyDescent="0.25">
      <c r="A345" t="s">
        <v>610</v>
      </c>
      <c r="D345">
        <v>3</v>
      </c>
      <c r="E345" s="16">
        <f t="shared" ref="E345:AW345" si="6">SUMIF($D$5:$D$337,$D$345,E5:E337)</f>
        <v>2048699.7989999999</v>
      </c>
      <c r="F345" s="16">
        <f t="shared" si="6"/>
        <v>286124.598</v>
      </c>
      <c r="G345" s="16">
        <f t="shared" si="6"/>
        <v>460679.239</v>
      </c>
      <c r="H345" s="16">
        <f t="shared" si="6"/>
        <v>56056.942999999999</v>
      </c>
      <c r="I345" s="16">
        <f t="shared" si="6"/>
        <v>42435.982000000004</v>
      </c>
      <c r="J345" s="16">
        <f t="shared" si="6"/>
        <v>314920.40699999989</v>
      </c>
      <c r="K345" s="16">
        <f t="shared" si="6"/>
        <v>40154.14</v>
      </c>
      <c r="L345" s="16">
        <f t="shared" si="6"/>
        <v>975444.56799999985</v>
      </c>
      <c r="M345" s="16">
        <f t="shared" si="6"/>
        <v>947416.40599999996</v>
      </c>
      <c r="N345" s="16">
        <f>SUMIF($D$5:$D$337,$D$345,N5:N337)</f>
        <v>2963.2170000000001</v>
      </c>
      <c r="O345" s="16">
        <f t="shared" si="6"/>
        <v>0</v>
      </c>
      <c r="P345" s="16">
        <f t="shared" si="6"/>
        <v>52.142000000000003</v>
      </c>
      <c r="Q345" s="16">
        <f t="shared" si="6"/>
        <v>4250.7969999999996</v>
      </c>
      <c r="R345" s="16">
        <f t="shared" si="6"/>
        <v>11798.993999999999</v>
      </c>
      <c r="S345" s="16">
        <f t="shared" si="6"/>
        <v>119187.67299999998</v>
      </c>
      <c r="T345" s="16">
        <f t="shared" si="6"/>
        <v>0</v>
      </c>
      <c r="U345" s="16">
        <f t="shared" si="6"/>
        <v>31520.116000000002</v>
      </c>
      <c r="V345" s="16">
        <f t="shared" si="6"/>
        <v>66296.214999999997</v>
      </c>
      <c r="W345" s="16">
        <f t="shared" si="6"/>
        <v>92836.06</v>
      </c>
      <c r="X345" s="16">
        <f t="shared" si="6"/>
        <v>0</v>
      </c>
      <c r="Y345" s="16">
        <f t="shared" si="6"/>
        <v>411424.51199999993</v>
      </c>
      <c r="Z345" s="16">
        <f t="shared" si="6"/>
        <v>5680.6819999999998</v>
      </c>
      <c r="AA345" s="16">
        <f t="shared" si="6"/>
        <v>727261.47600000002</v>
      </c>
      <c r="AB345" s="16">
        <f t="shared" si="6"/>
        <v>0</v>
      </c>
      <c r="AC345" s="16">
        <f t="shared" si="6"/>
        <v>50713.38</v>
      </c>
      <c r="AD345" s="16">
        <f t="shared" si="6"/>
        <v>13899.383</v>
      </c>
      <c r="AE345" s="16">
        <f t="shared" si="6"/>
        <v>993995.70499999996</v>
      </c>
      <c r="AF345" s="16">
        <f t="shared" si="6"/>
        <v>47026.531000000003</v>
      </c>
      <c r="AG345" s="16">
        <f t="shared" si="6"/>
        <v>56444.581999999995</v>
      </c>
      <c r="AH345" s="16">
        <f t="shared" si="6"/>
        <v>2517301.8329999996</v>
      </c>
      <c r="AI345" s="16">
        <f t="shared" si="6"/>
        <v>74399.047999999995</v>
      </c>
      <c r="AJ345" s="16">
        <f t="shared" si="6"/>
        <v>28074.898000000001</v>
      </c>
      <c r="AK345" s="16">
        <f t="shared" si="6"/>
        <v>0</v>
      </c>
      <c r="AL345" s="16">
        <f t="shared" si="6"/>
        <v>0</v>
      </c>
      <c r="AM345" s="16">
        <f>SUMIF($D$5:$D$337,$D$345,AM5:AM337)</f>
        <v>8727.753999999999</v>
      </c>
      <c r="AN345" s="16">
        <f>SUMIF($D$5:$D$337,$D$345,AN5:AN337)</f>
        <v>0</v>
      </c>
      <c r="AO345" s="16">
        <f>SUMIF($D$5:$D$337,$D$345,AO5:AO337)</f>
        <v>65491.459000000003</v>
      </c>
      <c r="AP345" s="16">
        <f t="shared" si="6"/>
        <v>0</v>
      </c>
      <c r="AQ345" s="16">
        <f t="shared" si="6"/>
        <v>18365.951000000001</v>
      </c>
      <c r="AR345" s="16">
        <f t="shared" si="6"/>
        <v>0</v>
      </c>
      <c r="AS345" s="16">
        <f t="shared" si="6"/>
        <v>855.78600000000006</v>
      </c>
      <c r="AT345" s="16">
        <f t="shared" si="6"/>
        <v>0</v>
      </c>
      <c r="AU345" s="16">
        <f t="shared" si="6"/>
        <v>25745.58</v>
      </c>
      <c r="AV345" s="16">
        <f t="shared" si="6"/>
        <v>0</v>
      </c>
      <c r="AW345" s="16">
        <f t="shared" si="6"/>
        <v>0</v>
      </c>
      <c r="AX345" s="16">
        <f>SUMIF($D$5:$D$337,$D$345,AX5:AX337)</f>
        <v>0</v>
      </c>
      <c r="AY345" s="16">
        <f t="shared" ref="AY345:BH345" si="7">SUMIF($D$5:$D$337,$D$345,AY5:AY337)</f>
        <v>41742.616000000002</v>
      </c>
      <c r="AZ345" s="16">
        <f t="shared" si="7"/>
        <v>27172.635000000002</v>
      </c>
      <c r="BA345" s="16">
        <f t="shared" si="7"/>
        <v>0</v>
      </c>
      <c r="BB345" s="16">
        <f t="shared" si="7"/>
        <v>26115.744000000006</v>
      </c>
      <c r="BC345" s="16">
        <f t="shared" si="7"/>
        <v>27351.332000000006</v>
      </c>
      <c r="BD345" s="16">
        <f t="shared" si="7"/>
        <v>33788.438999999998</v>
      </c>
      <c r="BE345" s="16">
        <f t="shared" si="7"/>
        <v>7907.1209999999983</v>
      </c>
      <c r="BF345" s="16">
        <f t="shared" si="7"/>
        <v>11774.406999999999</v>
      </c>
      <c r="BG345" s="16">
        <f t="shared" si="7"/>
        <v>16750.253000000001</v>
      </c>
      <c r="BH345" s="16">
        <f t="shared" si="7"/>
        <v>9300.6590000000015</v>
      </c>
      <c r="BI345" s="21"/>
    </row>
    <row r="346" spans="1:61" x14ac:dyDescent="0.25">
      <c r="A346" t="s">
        <v>611</v>
      </c>
      <c r="B346">
        <v>7</v>
      </c>
      <c r="D346">
        <v>4</v>
      </c>
      <c r="E346" s="16">
        <f t="shared" ref="E346:AW346" si="8">SUMIF($D$5:$D$337,$D$346,E5:E337)</f>
        <v>1674477.2439999999</v>
      </c>
      <c r="F346" s="16">
        <f t="shared" si="8"/>
        <v>322875.72599999991</v>
      </c>
      <c r="G346" s="16">
        <f t="shared" si="8"/>
        <v>769.92200000000003</v>
      </c>
      <c r="H346" s="16">
        <f t="shared" si="8"/>
        <v>64247.270000000004</v>
      </c>
      <c r="I346" s="16">
        <f t="shared" si="8"/>
        <v>8027.9780000000001</v>
      </c>
      <c r="J346" s="16">
        <f t="shared" si="8"/>
        <v>594.4910000000001</v>
      </c>
      <c r="K346" s="16">
        <f t="shared" si="8"/>
        <v>0</v>
      </c>
      <c r="L346" s="16">
        <f t="shared" si="8"/>
        <v>4005746.2209999994</v>
      </c>
      <c r="M346" s="16">
        <f t="shared" si="8"/>
        <v>152668.72600000002</v>
      </c>
      <c r="N346" s="16">
        <f>SUMIF($D$5:$D$337,$D$346,N5:N337)</f>
        <v>0</v>
      </c>
      <c r="O346" s="16">
        <f t="shared" si="8"/>
        <v>3316.9969999999998</v>
      </c>
      <c r="P346" s="16">
        <f t="shared" si="8"/>
        <v>40.727000000000004</v>
      </c>
      <c r="Q346" s="16">
        <f t="shared" si="8"/>
        <v>1197.529</v>
      </c>
      <c r="R346" s="16">
        <f t="shared" si="8"/>
        <v>90.122</v>
      </c>
      <c r="S346" s="16">
        <f t="shared" si="8"/>
        <v>102480.11199999999</v>
      </c>
      <c r="T346" s="16">
        <f t="shared" si="8"/>
        <v>0</v>
      </c>
      <c r="U346" s="16">
        <f t="shared" si="8"/>
        <v>0</v>
      </c>
      <c r="V346" s="16">
        <f t="shared" si="8"/>
        <v>150.44299999999998</v>
      </c>
      <c r="W346" s="16">
        <f t="shared" si="8"/>
        <v>33931.38700000001</v>
      </c>
      <c r="X346" s="16">
        <f t="shared" si="8"/>
        <v>148397.33100000001</v>
      </c>
      <c r="Y346" s="16">
        <f t="shared" si="8"/>
        <v>845806.17500000005</v>
      </c>
      <c r="Z346" s="16">
        <f t="shared" si="8"/>
        <v>33480.354999999996</v>
      </c>
      <c r="AA346" s="16">
        <f t="shared" si="8"/>
        <v>1742.4470000000001</v>
      </c>
      <c r="AB346" s="16">
        <f t="shared" si="8"/>
        <v>94477.239000000001</v>
      </c>
      <c r="AC346" s="16">
        <f t="shared" si="8"/>
        <v>65381.177999999993</v>
      </c>
      <c r="AD346" s="16">
        <f t="shared" si="8"/>
        <v>22506.826000000001</v>
      </c>
      <c r="AE346" s="16">
        <f t="shared" si="8"/>
        <v>2223756.7089999998</v>
      </c>
      <c r="AF346" s="16">
        <f t="shared" si="8"/>
        <v>2036150.527</v>
      </c>
      <c r="AG346" s="16">
        <f t="shared" si="8"/>
        <v>102489.97500000001</v>
      </c>
      <c r="AH346" s="16">
        <f t="shared" si="8"/>
        <v>6664940.7370000007</v>
      </c>
      <c r="AI346" s="16">
        <f t="shared" si="8"/>
        <v>3149604.5780000002</v>
      </c>
      <c r="AJ346" s="16">
        <f t="shared" si="8"/>
        <v>180118.05500000002</v>
      </c>
      <c r="AK346" s="16">
        <f t="shared" si="8"/>
        <v>2266451.3699999996</v>
      </c>
      <c r="AL346" s="16">
        <f t="shared" si="8"/>
        <v>1187028.2239999999</v>
      </c>
      <c r="AM346" s="16">
        <f>SUMIF($D$5:$D$337,$D$346,AM5:AM337)</f>
        <v>0</v>
      </c>
      <c r="AN346" s="16">
        <f>SUMIF($D$5:$D$337,$D$346,AN5:AN337)</f>
        <v>795653.76300000004</v>
      </c>
      <c r="AO346" s="16">
        <f>SUMIF($D$5:$D$337,$D$346,AO5:AO337)</f>
        <v>77111.811000000002</v>
      </c>
      <c r="AP346" s="16">
        <f t="shared" si="8"/>
        <v>87761.267000000007</v>
      </c>
      <c r="AQ346" s="16">
        <f t="shared" si="8"/>
        <v>805395.40299999982</v>
      </c>
      <c r="AR346" s="16">
        <f t="shared" si="8"/>
        <v>25226.683000000001</v>
      </c>
      <c r="AS346" s="16">
        <f t="shared" si="8"/>
        <v>980.76200000000017</v>
      </c>
      <c r="AT346" s="16">
        <f t="shared" si="8"/>
        <v>0</v>
      </c>
      <c r="AU346" s="16">
        <f t="shared" si="8"/>
        <v>11018.273000000003</v>
      </c>
      <c r="AV346" s="16">
        <f t="shared" si="8"/>
        <v>69384.588000000003</v>
      </c>
      <c r="AW346" s="16">
        <f t="shared" si="8"/>
        <v>130971.004</v>
      </c>
      <c r="AX346" s="16">
        <f>SUMIF($D$5:$D$337,$D$346,AX5:AX337)</f>
        <v>187022.8</v>
      </c>
      <c r="AY346" s="16">
        <f t="shared" ref="AY346:BH346" si="9">SUMIF($D$5:$D$337,$D$346,AY5:AY337)</f>
        <v>18055.551000000003</v>
      </c>
      <c r="AZ346" s="16">
        <f t="shared" si="9"/>
        <v>726390.86899999983</v>
      </c>
      <c r="BA346" s="16">
        <f t="shared" si="9"/>
        <v>144498.06299999999</v>
      </c>
      <c r="BB346" s="16">
        <f t="shared" si="9"/>
        <v>30186.527000000006</v>
      </c>
      <c r="BC346" s="16">
        <f t="shared" si="9"/>
        <v>54.580999999999996</v>
      </c>
      <c r="BD346" s="16">
        <f t="shared" si="9"/>
        <v>871569.97300000011</v>
      </c>
      <c r="BE346" s="16">
        <f t="shared" si="9"/>
        <v>8949.0379999999986</v>
      </c>
      <c r="BF346" s="16">
        <f t="shared" si="9"/>
        <v>303719.85499999998</v>
      </c>
      <c r="BG346" s="16">
        <f t="shared" si="9"/>
        <v>75576.608999999997</v>
      </c>
      <c r="BH346" s="16">
        <f t="shared" si="9"/>
        <v>18.517000000000003</v>
      </c>
      <c r="BI346" s="21"/>
    </row>
    <row r="347" spans="1:61" x14ac:dyDescent="0.25">
      <c r="A347" t="s">
        <v>612</v>
      </c>
      <c r="D347">
        <v>5</v>
      </c>
      <c r="E347" s="16">
        <f t="shared" ref="E347:AW347" si="10">SUMIF($D$5:$D$337,$D$347,E5:E337)</f>
        <v>686949.26700000011</v>
      </c>
      <c r="F347" s="16">
        <f t="shared" si="10"/>
        <v>24571.925999999999</v>
      </c>
      <c r="G347" s="16">
        <f t="shared" si="10"/>
        <v>77358.983999999997</v>
      </c>
      <c r="H347" s="16">
        <f t="shared" si="10"/>
        <v>978863.89799999993</v>
      </c>
      <c r="I347" s="16">
        <f t="shared" si="10"/>
        <v>10669.979999999998</v>
      </c>
      <c r="J347" s="16">
        <f t="shared" si="10"/>
        <v>76042.750999999989</v>
      </c>
      <c r="K347" s="16">
        <f t="shared" si="10"/>
        <v>21357.878000000001</v>
      </c>
      <c r="L347" s="16">
        <f t="shared" si="10"/>
        <v>267215.2269999999</v>
      </c>
      <c r="M347" s="16">
        <f t="shared" si="10"/>
        <v>403568.97699999996</v>
      </c>
      <c r="N347" s="16">
        <f>SUMIF($D$5:$D$337,$D$347,N5:N337)</f>
        <v>0</v>
      </c>
      <c r="O347" s="16">
        <f t="shared" si="10"/>
        <v>0</v>
      </c>
      <c r="P347" s="16">
        <f t="shared" si="10"/>
        <v>1698.4159999999999</v>
      </c>
      <c r="Q347" s="16">
        <f t="shared" si="10"/>
        <v>0</v>
      </c>
      <c r="R347" s="16">
        <f t="shared" si="10"/>
        <v>43.153999999999996</v>
      </c>
      <c r="S347" s="16">
        <f t="shared" si="10"/>
        <v>-7588.3440000000001</v>
      </c>
      <c r="T347" s="16">
        <f t="shared" si="10"/>
        <v>0</v>
      </c>
      <c r="U347" s="16">
        <f t="shared" si="10"/>
        <v>2829.8420000000001</v>
      </c>
      <c r="V347" s="16">
        <f t="shared" si="10"/>
        <v>12429.846</v>
      </c>
      <c r="W347" s="16">
        <f t="shared" si="10"/>
        <v>34255.692999999999</v>
      </c>
      <c r="X347" s="16">
        <f t="shared" si="10"/>
        <v>0</v>
      </c>
      <c r="Y347" s="16">
        <f t="shared" si="10"/>
        <v>135849.87200000003</v>
      </c>
      <c r="Z347" s="16">
        <f t="shared" si="10"/>
        <v>0</v>
      </c>
      <c r="AA347" s="16">
        <f t="shared" si="10"/>
        <v>64546.264999999999</v>
      </c>
      <c r="AB347" s="16">
        <f t="shared" si="10"/>
        <v>0</v>
      </c>
      <c r="AC347" s="16">
        <f t="shared" si="10"/>
        <v>6116.2800000000007</v>
      </c>
      <c r="AD347" s="16">
        <f t="shared" si="10"/>
        <v>0</v>
      </c>
      <c r="AE347" s="16">
        <f t="shared" si="10"/>
        <v>430651.62300000002</v>
      </c>
      <c r="AF347" s="16">
        <f t="shared" si="10"/>
        <v>-164291.473</v>
      </c>
      <c r="AG347" s="16">
        <f t="shared" si="10"/>
        <v>13716.579</v>
      </c>
      <c r="AH347" s="16">
        <f t="shared" si="10"/>
        <v>1306722.469</v>
      </c>
      <c r="AI347" s="16">
        <f t="shared" si="10"/>
        <v>-131596.06599999999</v>
      </c>
      <c r="AJ347" s="16">
        <f t="shared" si="10"/>
        <v>6.7089999999999996</v>
      </c>
      <c r="AK347" s="16">
        <f t="shared" si="10"/>
        <v>258.00700000000001</v>
      </c>
      <c r="AL347" s="16">
        <f t="shared" si="10"/>
        <v>111.334</v>
      </c>
      <c r="AM347" s="16">
        <f>SUMIF($D$5:$D$337,$D$347,AM5:AM337)</f>
        <v>727.721</v>
      </c>
      <c r="AN347" s="16">
        <f>SUMIF($D$5:$D$337,$D$347,AN5:AN337)</f>
        <v>106.881</v>
      </c>
      <c r="AO347" s="16">
        <f>SUMIF($D$5:$D$337,$D$347,AO5:AO337)</f>
        <v>-6620.1329999999998</v>
      </c>
      <c r="AP347" s="16">
        <f t="shared" si="10"/>
        <v>0</v>
      </c>
      <c r="AQ347" s="16">
        <f t="shared" si="10"/>
        <v>-52986.57</v>
      </c>
      <c r="AR347" s="16">
        <f t="shared" si="10"/>
        <v>0</v>
      </c>
      <c r="AS347" s="16">
        <f t="shared" si="10"/>
        <v>-76.816000000000003</v>
      </c>
      <c r="AT347" s="16">
        <f t="shared" si="10"/>
        <v>0</v>
      </c>
      <c r="AU347" s="16">
        <f t="shared" si="10"/>
        <v>-505.49200000000008</v>
      </c>
      <c r="AV347" s="16">
        <f t="shared" si="10"/>
        <v>0</v>
      </c>
      <c r="AW347" s="16">
        <f t="shared" si="10"/>
        <v>0</v>
      </c>
      <c r="AX347" s="16">
        <f>SUMIF($D$5:$D$337,$D$347,AX5:AX337)</f>
        <v>0</v>
      </c>
      <c r="AY347" s="16">
        <f t="shared" ref="AY347:BH347" si="11">SUMIF($D$5:$D$337,$D$347,AY5:AY337)</f>
        <v>0</v>
      </c>
      <c r="AZ347" s="16">
        <f t="shared" si="11"/>
        <v>0</v>
      </c>
      <c r="BA347" s="16">
        <f t="shared" si="11"/>
        <v>0</v>
      </c>
      <c r="BB347" s="16">
        <f t="shared" si="11"/>
        <v>-2631.0430000000001</v>
      </c>
      <c r="BC347" s="16">
        <f t="shared" si="11"/>
        <v>0</v>
      </c>
      <c r="BD347" s="16">
        <f t="shared" si="11"/>
        <v>0</v>
      </c>
      <c r="BE347" s="16">
        <f t="shared" si="11"/>
        <v>-815.21</v>
      </c>
      <c r="BF347" s="16">
        <f t="shared" si="11"/>
        <v>0</v>
      </c>
      <c r="BG347" s="16">
        <f t="shared" si="11"/>
        <v>0</v>
      </c>
      <c r="BH347" s="16">
        <f t="shared" si="11"/>
        <v>0</v>
      </c>
      <c r="BI347" s="21"/>
    </row>
    <row r="348" spans="1:61" x14ac:dyDescent="0.25">
      <c r="A348" t="s">
        <v>613</v>
      </c>
      <c r="B348">
        <v>7</v>
      </c>
      <c r="D348">
        <v>6</v>
      </c>
      <c r="E348" s="16">
        <f t="shared" ref="E348:AW348" si="12">SUMIF($D$5:$D$337,$D$348,E5:E337)+SUMIF($D$5:$D$337,$B$348,E5:E337)</f>
        <v>2062691.8060000006</v>
      </c>
      <c r="F348" s="16">
        <f t="shared" si="12"/>
        <v>82639.792000000001</v>
      </c>
      <c r="G348" s="16">
        <f t="shared" si="12"/>
        <v>73495.618999999992</v>
      </c>
      <c r="H348" s="16">
        <f t="shared" si="12"/>
        <v>24115.333999999999</v>
      </c>
      <c r="I348" s="16">
        <f t="shared" si="12"/>
        <v>11080.469999999998</v>
      </c>
      <c r="J348" s="16">
        <f t="shared" si="12"/>
        <v>51921.939000000006</v>
      </c>
      <c r="K348" s="16">
        <f t="shared" si="12"/>
        <v>10863.584000000001</v>
      </c>
      <c r="L348" s="16">
        <f t="shared" si="12"/>
        <v>2370531.0949999988</v>
      </c>
      <c r="M348" s="16">
        <f t="shared" si="12"/>
        <v>580083.74099999992</v>
      </c>
      <c r="N348" s="16">
        <f>SUMIF($D$5:$D$337,$D$348,N5:N337)+SUMIF($D$5:$D$337,$B$348,N5:N337)</f>
        <v>95.265000000000001</v>
      </c>
      <c r="O348" s="16">
        <f t="shared" si="12"/>
        <v>326.423</v>
      </c>
      <c r="P348" s="16">
        <f t="shared" si="12"/>
        <v>1171.3340000000003</v>
      </c>
      <c r="Q348" s="16">
        <f t="shared" si="12"/>
        <v>316.47900000000004</v>
      </c>
      <c r="R348" s="16">
        <f t="shared" si="12"/>
        <v>650.10800000000017</v>
      </c>
      <c r="S348" s="16">
        <f t="shared" si="12"/>
        <v>17468.574000000001</v>
      </c>
      <c r="T348" s="16">
        <f t="shared" si="12"/>
        <v>0</v>
      </c>
      <c r="U348" s="16">
        <f t="shared" si="12"/>
        <v>8534.0859999999993</v>
      </c>
      <c r="V348" s="16">
        <f t="shared" si="12"/>
        <v>9050.9629999999997</v>
      </c>
      <c r="W348" s="16">
        <f t="shared" si="12"/>
        <v>20938.752</v>
      </c>
      <c r="X348" s="16">
        <f t="shared" si="12"/>
        <v>-972.50600000000009</v>
      </c>
      <c r="Y348" s="16">
        <f t="shared" si="12"/>
        <v>411140.39700000006</v>
      </c>
      <c r="Z348" s="16">
        <f t="shared" si="12"/>
        <v>-1376.538</v>
      </c>
      <c r="AA348" s="16">
        <f t="shared" si="12"/>
        <v>115354.98899999999</v>
      </c>
      <c r="AB348" s="16">
        <f t="shared" si="12"/>
        <v>20905.054999999997</v>
      </c>
      <c r="AC348" s="16">
        <f t="shared" si="12"/>
        <v>13849.583999999999</v>
      </c>
      <c r="AD348" s="16">
        <f t="shared" si="12"/>
        <v>-174.11699999999996</v>
      </c>
      <c r="AE348" s="16">
        <f t="shared" si="12"/>
        <v>1410739.334</v>
      </c>
      <c r="AF348" s="16">
        <f t="shared" si="12"/>
        <v>144003.283</v>
      </c>
      <c r="AG348" s="16">
        <f t="shared" si="12"/>
        <v>-410.67200000000003</v>
      </c>
      <c r="AH348" s="16">
        <f t="shared" si="12"/>
        <v>4879103.5770000005</v>
      </c>
      <c r="AI348" s="16">
        <f t="shared" si="12"/>
        <v>268380.217</v>
      </c>
      <c r="AJ348" s="16">
        <f t="shared" si="12"/>
        <v>-7219.2269999999999</v>
      </c>
      <c r="AK348" s="16">
        <f t="shared" si="12"/>
        <v>-205739.598</v>
      </c>
      <c r="AL348" s="16">
        <f t="shared" si="12"/>
        <v>-107561.51599999997</v>
      </c>
      <c r="AM348" s="16">
        <f>SUMIF($D$5:$D$337,$D$348,AM5:AM337)+SUMIF($D$5:$D$337,$B$348,AM5:AM337)</f>
        <v>2338.326</v>
      </c>
      <c r="AN348" s="16">
        <f>SUMIF($D$5:$D$337,$D$348,AN5:AN337)+SUMIF($D$5:$D$337,$B$348,AN5:AN337)</f>
        <v>-72894.895999999993</v>
      </c>
      <c r="AO348" s="16">
        <f>SUMIF($D$5:$D$337,$D$348,AO5:AO337)+SUMIF($D$5:$D$337,$B$348,AO5:AO337)</f>
        <v>9152.0380000000005</v>
      </c>
      <c r="AP348" s="16">
        <f t="shared" si="12"/>
        <v>-13.594000000000001</v>
      </c>
      <c r="AQ348" s="16">
        <f t="shared" si="12"/>
        <v>41159.781999999992</v>
      </c>
      <c r="AR348" s="16">
        <f t="shared" si="12"/>
        <v>1.5229999999999997</v>
      </c>
      <c r="AS348" s="16">
        <f t="shared" si="12"/>
        <v>135.68</v>
      </c>
      <c r="AT348" s="16">
        <f t="shared" si="12"/>
        <v>0</v>
      </c>
      <c r="AU348" s="16">
        <f t="shared" si="12"/>
        <v>2062.4839999999995</v>
      </c>
      <c r="AV348" s="16">
        <f t="shared" si="12"/>
        <v>2.0479999999999983</v>
      </c>
      <c r="AW348" s="16">
        <f t="shared" si="12"/>
        <v>8.4190000000000005</v>
      </c>
      <c r="AX348" s="16">
        <f>SUMIF($D$5:$D$337,$D$348,AX5:AX337)+SUMIF($D$5:$D$337,$B$348,AX5:AX337)</f>
        <v>-1276.694</v>
      </c>
      <c r="AY348" s="16">
        <f t="shared" ref="AY348:BH348" si="13">SUMIF($D$5:$D$337,$D$348,AY5:AY337)+SUMIF($D$5:$D$337,$B$348,AY5:AY337)</f>
        <v>3903.1480000000006</v>
      </c>
      <c r="AZ348" s="16">
        <f t="shared" si="13"/>
        <v>48523.815999999999</v>
      </c>
      <c r="BA348" s="16">
        <f t="shared" si="13"/>
        <v>-960.68</v>
      </c>
      <c r="BB348" s="16">
        <f t="shared" si="13"/>
        <v>3537.6219999999998</v>
      </c>
      <c r="BC348" s="16">
        <f t="shared" si="13"/>
        <v>1791.8610000000001</v>
      </c>
      <c r="BD348" s="16">
        <f t="shared" si="13"/>
        <v>60596.826999999997</v>
      </c>
      <c r="BE348" s="16">
        <f t="shared" si="13"/>
        <v>1049.4550000000002</v>
      </c>
      <c r="BF348" s="16">
        <f t="shared" si="13"/>
        <v>20908.782000000003</v>
      </c>
      <c r="BG348" s="16">
        <f t="shared" si="13"/>
        <v>-4284.9430000000002</v>
      </c>
      <c r="BH348" s="16">
        <f t="shared" si="13"/>
        <v>582.58100000000002</v>
      </c>
      <c r="BI348" s="21"/>
    </row>
    <row r="349" spans="1:61" x14ac:dyDescent="0.25"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21"/>
    </row>
    <row r="350" spans="1:61" x14ac:dyDescent="0.25">
      <c r="E350">
        <f t="shared" ref="E350:M350" si="14">SUM(E343:E349)</f>
        <v>10022256.457</v>
      </c>
      <c r="F350">
        <f t="shared" si="14"/>
        <v>1079712.7879999999</v>
      </c>
      <c r="G350">
        <f t="shared" si="14"/>
        <v>1036327.7239999999</v>
      </c>
      <c r="H350">
        <f t="shared" si="14"/>
        <v>1129889.7789999999</v>
      </c>
      <c r="I350">
        <f t="shared" si="14"/>
        <v>135056.30600000001</v>
      </c>
      <c r="J350">
        <f t="shared" si="14"/>
        <v>714060.18500000006</v>
      </c>
      <c r="K350">
        <f t="shared" si="14"/>
        <v>248252.99300000002</v>
      </c>
      <c r="L350" s="17">
        <f t="shared" si="14"/>
        <v>10876515.039999999</v>
      </c>
      <c r="M350">
        <f t="shared" si="14"/>
        <v>2917518.0270000002</v>
      </c>
      <c r="N350">
        <f>SUM(N343:N349)</f>
        <v>15458.023999999999</v>
      </c>
      <c r="O350">
        <f t="shared" ref="O350:AL350" si="15">SUM(O343:O349)</f>
        <v>15698.33</v>
      </c>
      <c r="P350">
        <f t="shared" si="15"/>
        <v>19444.376</v>
      </c>
      <c r="Q350">
        <f t="shared" si="15"/>
        <v>14416.308999999999</v>
      </c>
      <c r="R350">
        <f t="shared" si="15"/>
        <v>18498.473999999995</v>
      </c>
      <c r="S350">
        <f t="shared" si="15"/>
        <v>345070.38700000005</v>
      </c>
      <c r="T350">
        <f t="shared" si="15"/>
        <v>1011.476</v>
      </c>
      <c r="U350">
        <f t="shared" si="15"/>
        <v>180008.20500000002</v>
      </c>
      <c r="V350">
        <f t="shared" si="15"/>
        <v>131142.818</v>
      </c>
      <c r="W350">
        <f t="shared" si="15"/>
        <v>269190.91499999998</v>
      </c>
      <c r="X350">
        <f t="shared" si="15"/>
        <v>213157.03100000002</v>
      </c>
      <c r="Y350">
        <f t="shared" si="15"/>
        <v>2912077.9279999998</v>
      </c>
      <c r="Z350">
        <f t="shared" si="15"/>
        <v>92570.997999999992</v>
      </c>
      <c r="AA350">
        <f t="shared" si="15"/>
        <v>1522452.4580000001</v>
      </c>
      <c r="AB350">
        <f t="shared" si="15"/>
        <v>490020.86799999996</v>
      </c>
      <c r="AC350">
        <f t="shared" si="15"/>
        <v>199046.579</v>
      </c>
      <c r="AD350">
        <f t="shared" si="15"/>
        <v>67914.05</v>
      </c>
      <c r="AE350">
        <f t="shared" si="15"/>
        <v>8021956.5889999997</v>
      </c>
      <c r="AF350">
        <f t="shared" si="15"/>
        <v>3263550.9449999994</v>
      </c>
      <c r="AG350">
        <f t="shared" si="15"/>
        <v>342081.315</v>
      </c>
      <c r="AH350">
        <f t="shared" si="15"/>
        <v>22687835.881000001</v>
      </c>
      <c r="AI350">
        <f t="shared" si="15"/>
        <v>5122803.6760000009</v>
      </c>
      <c r="AJ350">
        <f t="shared" si="15"/>
        <v>471907.11499999999</v>
      </c>
      <c r="AK350">
        <f t="shared" si="15"/>
        <v>10408930.598999999</v>
      </c>
      <c r="AL350">
        <f t="shared" si="15"/>
        <v>5472642.4149999991</v>
      </c>
      <c r="AM350">
        <f>SUM(AM343:AM349)</f>
        <v>50278.896999999997</v>
      </c>
      <c r="AN350">
        <f>SUM(AN343:AN349)</f>
        <v>3637516.32</v>
      </c>
      <c r="AO350">
        <f>SUM(AO343:AO349)</f>
        <v>227116.44100000002</v>
      </c>
      <c r="AP350">
        <f>SUM(AP343:AP349)</f>
        <v>98221.188000000009</v>
      </c>
      <c r="AQ350">
        <f t="shared" ref="AQ350:AW350" si="16">SUM(AQ343:AQ349)</f>
        <v>1282655.9209999996</v>
      </c>
      <c r="AR350">
        <f t="shared" si="16"/>
        <v>27984.031000000003</v>
      </c>
      <c r="AS350">
        <f t="shared" si="16"/>
        <v>3933.5380000000005</v>
      </c>
      <c r="AT350">
        <f t="shared" si="16"/>
        <v>0</v>
      </c>
      <c r="AU350">
        <f t="shared" si="16"/>
        <v>83862.330999999991</v>
      </c>
      <c r="AV350">
        <f t="shared" si="16"/>
        <v>77331.357999999993</v>
      </c>
      <c r="AW350">
        <f t="shared" si="16"/>
        <v>148063.07500000001</v>
      </c>
      <c r="AX350">
        <f>SUM(AX343:AX349)</f>
        <v>272147.04699999996</v>
      </c>
      <c r="AY350">
        <f t="shared" ref="AY350:BH350" si="17">SUM(AY343:AY349)</f>
        <v>93498.42</v>
      </c>
      <c r="AZ350">
        <f t="shared" si="17"/>
        <v>844275.35499999986</v>
      </c>
      <c r="BA350">
        <f t="shared" si="17"/>
        <v>207069.342</v>
      </c>
      <c r="BB350">
        <f t="shared" si="17"/>
        <v>90697.806000000011</v>
      </c>
      <c r="BC350">
        <f t="shared" si="17"/>
        <v>43000.225000000006</v>
      </c>
      <c r="BD350">
        <f t="shared" si="17"/>
        <v>1013850.1170000002</v>
      </c>
      <c r="BE350">
        <f t="shared" si="17"/>
        <v>26953.087</v>
      </c>
      <c r="BF350">
        <f t="shared" si="17"/>
        <v>351564.65700000001</v>
      </c>
      <c r="BG350">
        <f t="shared" si="17"/>
        <v>272630.62599999999</v>
      </c>
      <c r="BH350">
        <f t="shared" si="17"/>
        <v>14041.235000000002</v>
      </c>
      <c r="BI350" s="21"/>
    </row>
    <row r="351" spans="1:61" x14ac:dyDescent="0.25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21"/>
    </row>
    <row r="352" spans="1:61" x14ac:dyDescent="0.25">
      <c r="A352" s="8"/>
      <c r="B352" s="8"/>
      <c r="C352" s="8"/>
      <c r="D352" s="8"/>
      <c r="E352" s="8">
        <f t="shared" ref="E352:AJ352" si="18">E350-E338</f>
        <v>10022256.457</v>
      </c>
      <c r="F352" s="8">
        <f t="shared" si="18"/>
        <v>1079712.7879999999</v>
      </c>
      <c r="G352" s="8">
        <f t="shared" si="18"/>
        <v>1036327.7239999999</v>
      </c>
      <c r="H352" s="8">
        <f t="shared" si="18"/>
        <v>1129889.7789999999</v>
      </c>
      <c r="I352" s="8">
        <f t="shared" si="18"/>
        <v>135056.30600000001</v>
      </c>
      <c r="J352" s="8">
        <f t="shared" si="18"/>
        <v>714060.18500000006</v>
      </c>
      <c r="K352" s="8">
        <f t="shared" si="18"/>
        <v>248252.99300000002</v>
      </c>
      <c r="L352" s="18">
        <f t="shared" si="18"/>
        <v>10876515.039999999</v>
      </c>
      <c r="M352" s="8">
        <f t="shared" si="18"/>
        <v>2917518.0270000002</v>
      </c>
      <c r="N352" s="8">
        <f>N350-N338</f>
        <v>15458.023999999999</v>
      </c>
      <c r="O352" s="8">
        <f t="shared" si="18"/>
        <v>15698.33</v>
      </c>
      <c r="P352" s="8">
        <f t="shared" si="18"/>
        <v>19444.376</v>
      </c>
      <c r="Q352" s="8">
        <f t="shared" si="18"/>
        <v>14416.308999999999</v>
      </c>
      <c r="R352" s="8">
        <f t="shared" si="18"/>
        <v>18498.473999999995</v>
      </c>
      <c r="S352" s="8">
        <f t="shared" si="18"/>
        <v>345070.38700000005</v>
      </c>
      <c r="T352" s="8">
        <f t="shared" si="18"/>
        <v>1011.476</v>
      </c>
      <c r="U352" s="8">
        <f t="shared" si="18"/>
        <v>180008.20500000002</v>
      </c>
      <c r="V352" s="8">
        <f t="shared" si="18"/>
        <v>131142.818</v>
      </c>
      <c r="W352" s="8">
        <f t="shared" si="18"/>
        <v>269190.91499999998</v>
      </c>
      <c r="X352" s="8">
        <f t="shared" si="18"/>
        <v>213157.03100000002</v>
      </c>
      <c r="Y352" s="8">
        <f t="shared" si="18"/>
        <v>2912077.9279999998</v>
      </c>
      <c r="Z352" s="8">
        <f t="shared" si="18"/>
        <v>92570.997999999992</v>
      </c>
      <c r="AA352" s="8">
        <f t="shared" si="18"/>
        <v>1522452.4580000001</v>
      </c>
      <c r="AB352" s="8">
        <f t="shared" si="18"/>
        <v>490020.86799999996</v>
      </c>
      <c r="AC352" s="8">
        <f t="shared" si="18"/>
        <v>199046.579</v>
      </c>
      <c r="AD352" s="8">
        <f t="shared" si="18"/>
        <v>67914.05</v>
      </c>
      <c r="AE352" s="8">
        <f t="shared" si="18"/>
        <v>8021956.5889999997</v>
      </c>
      <c r="AF352" s="8">
        <f t="shared" si="18"/>
        <v>3263550.9449999994</v>
      </c>
      <c r="AG352" s="8">
        <f t="shared" si="18"/>
        <v>342081.315</v>
      </c>
      <c r="AH352" s="8">
        <f t="shared" si="18"/>
        <v>22687835.881000001</v>
      </c>
      <c r="AI352" s="8">
        <f t="shared" si="18"/>
        <v>5122803.6760000009</v>
      </c>
      <c r="AJ352" s="8">
        <f t="shared" si="18"/>
        <v>471907.11499999999</v>
      </c>
      <c r="AK352" s="8">
        <f>AK350-AK338</f>
        <v>10408930.598999999</v>
      </c>
      <c r="AL352" s="8">
        <f>AL350-AL338</f>
        <v>5472642.4149999991</v>
      </c>
      <c r="AM352" s="8">
        <f>AM350-AM338</f>
        <v>50278.896999999997</v>
      </c>
      <c r="AN352" s="8">
        <f>AN350-AN338</f>
        <v>3637516.32</v>
      </c>
      <c r="AO352" s="8">
        <f>AO350-AO338</f>
        <v>227116.44100000002</v>
      </c>
      <c r="AP352" s="8">
        <f t="shared" ref="AP352:AW352" si="19">AP350-AP338</f>
        <v>98221.188000000009</v>
      </c>
      <c r="AQ352" s="8">
        <f t="shared" si="19"/>
        <v>1282655.9209999996</v>
      </c>
      <c r="AR352" s="8">
        <f t="shared" si="19"/>
        <v>27984.031000000003</v>
      </c>
      <c r="AS352" s="8">
        <f t="shared" si="19"/>
        <v>3933.5380000000005</v>
      </c>
      <c r="AT352" s="8">
        <f t="shared" si="19"/>
        <v>0</v>
      </c>
      <c r="AU352" s="8">
        <f t="shared" si="19"/>
        <v>83862.330999999991</v>
      </c>
      <c r="AV352" s="8">
        <f t="shared" si="19"/>
        <v>77331.357999999993</v>
      </c>
      <c r="AW352" s="8">
        <f t="shared" si="19"/>
        <v>148063.07500000001</v>
      </c>
      <c r="AX352" s="8">
        <f>AX350-AX338</f>
        <v>272147.04699999996</v>
      </c>
      <c r="AY352" s="8">
        <f t="shared" ref="AY352:BH352" si="20">AY350-AY338</f>
        <v>93498.42</v>
      </c>
      <c r="AZ352" s="8">
        <f t="shared" si="20"/>
        <v>844275.35499999986</v>
      </c>
      <c r="BA352" s="8">
        <f t="shared" si="20"/>
        <v>207069.342</v>
      </c>
      <c r="BB352" s="8">
        <f t="shared" si="20"/>
        <v>90697.806000000011</v>
      </c>
      <c r="BC352" s="8">
        <f t="shared" si="20"/>
        <v>43000.225000000006</v>
      </c>
      <c r="BD352" s="8">
        <f t="shared" si="20"/>
        <v>1013850.1170000002</v>
      </c>
      <c r="BE352" s="8">
        <f t="shared" si="20"/>
        <v>26953.087</v>
      </c>
      <c r="BF352" s="8">
        <f t="shared" si="20"/>
        <v>351564.65700000001</v>
      </c>
      <c r="BG352" s="8">
        <f t="shared" si="20"/>
        <v>272630.62599999999</v>
      </c>
      <c r="BH352" s="8">
        <f t="shared" si="20"/>
        <v>14041.235000000002</v>
      </c>
      <c r="BI352" s="21"/>
    </row>
    <row r="353" spans="1:61" x14ac:dyDescent="0.25">
      <c r="E353" s="19">
        <f t="shared" ref="E353:M353" si="21">E3</f>
        <v>401</v>
      </c>
      <c r="F353" s="19">
        <f t="shared" si="21"/>
        <v>242</v>
      </c>
      <c r="G353" s="19">
        <f t="shared" si="21"/>
        <v>385</v>
      </c>
      <c r="H353" s="19">
        <f t="shared" si="21"/>
        <v>528</v>
      </c>
      <c r="I353" s="19">
        <f t="shared" si="21"/>
        <v>384</v>
      </c>
      <c r="J353" s="19">
        <f t="shared" si="21"/>
        <v>716</v>
      </c>
      <c r="K353" s="19">
        <f t="shared" si="21"/>
        <v>715</v>
      </c>
      <c r="L353" s="19">
        <f t="shared" si="21"/>
        <v>9916</v>
      </c>
      <c r="M353" s="19">
        <f t="shared" si="21"/>
        <v>1100</v>
      </c>
      <c r="N353" s="19">
        <f>N3</f>
        <v>801</v>
      </c>
      <c r="O353" s="19">
        <f t="shared" ref="O353:T353" si="22">O3</f>
        <v>804</v>
      </c>
      <c r="P353" s="19">
        <f t="shared" si="22"/>
        <v>806</v>
      </c>
      <c r="Q353" s="19">
        <f t="shared" si="22"/>
        <v>8765</v>
      </c>
      <c r="R353" s="19">
        <f t="shared" si="22"/>
        <v>8766</v>
      </c>
      <c r="S353" s="19">
        <f t="shared" si="22"/>
        <v>9418</v>
      </c>
      <c r="T353" s="19">
        <f t="shared" si="22"/>
        <v>9475</v>
      </c>
      <c r="U353" s="19">
        <f>U3</f>
        <v>9906</v>
      </c>
      <c r="V353" s="19">
        <f>V3</f>
        <v>7905</v>
      </c>
      <c r="W353" s="19">
        <f t="shared" ref="W353:AJ353" si="23">W3</f>
        <v>7906</v>
      </c>
      <c r="X353" s="19">
        <f t="shared" si="23"/>
        <v>7907</v>
      </c>
      <c r="Y353" s="19">
        <f t="shared" si="23"/>
        <v>7908</v>
      </c>
      <c r="Z353" s="19">
        <f t="shared" si="23"/>
        <v>7909</v>
      </c>
      <c r="AA353" s="19">
        <f t="shared" si="23"/>
        <v>11310</v>
      </c>
      <c r="AB353" s="19">
        <f t="shared" si="23"/>
        <v>11311</v>
      </c>
      <c r="AC353" s="19">
        <f t="shared" si="23"/>
        <v>11312</v>
      </c>
      <c r="AD353" s="19">
        <f t="shared" si="23"/>
        <v>11335</v>
      </c>
      <c r="AE353" s="19">
        <f t="shared" si="23"/>
        <v>9529</v>
      </c>
      <c r="AF353" s="19">
        <f t="shared" si="23"/>
        <v>961</v>
      </c>
      <c r="AG353" s="19">
        <f t="shared" si="23"/>
        <v>9528</v>
      </c>
      <c r="AH353" s="19">
        <f t="shared" si="23"/>
        <v>964</v>
      </c>
      <c r="AI353" s="19">
        <f t="shared" si="23"/>
        <v>968</v>
      </c>
      <c r="AJ353" s="19">
        <f t="shared" si="23"/>
        <v>8629</v>
      </c>
      <c r="AK353" s="19">
        <f>AK3</f>
        <v>13264</v>
      </c>
      <c r="AL353" s="19">
        <f>AL3</f>
        <v>13263</v>
      </c>
      <c r="AM353" s="19">
        <f>AM3</f>
        <v>13209</v>
      </c>
      <c r="AN353" s="19">
        <f>AN3</f>
        <v>13250</v>
      </c>
      <c r="AO353" s="19">
        <f>AO3</f>
        <v>14281</v>
      </c>
      <c r="AP353" s="19">
        <f t="shared" ref="AP353:AW353" si="24">AP3</f>
        <v>2049</v>
      </c>
      <c r="AQ353" s="19">
        <f t="shared" si="24"/>
        <v>7975</v>
      </c>
      <c r="AR353" s="19">
        <f t="shared" si="24"/>
        <v>8004</v>
      </c>
      <c r="AS353" s="19">
        <f t="shared" si="24"/>
        <v>1008</v>
      </c>
      <c r="AT353" s="19">
        <f t="shared" si="24"/>
        <v>9484</v>
      </c>
      <c r="AU353" s="19">
        <f t="shared" si="24"/>
        <v>682</v>
      </c>
      <c r="AV353" s="19">
        <f t="shared" si="24"/>
        <v>11352</v>
      </c>
      <c r="AW353" s="19">
        <f t="shared" si="24"/>
        <v>2058</v>
      </c>
      <c r="AX353" s="19">
        <f>AX3</f>
        <v>15007</v>
      </c>
      <c r="AY353" s="19">
        <f t="shared" ref="AY353:BH353" si="25">AY3</f>
        <v>15208</v>
      </c>
      <c r="AZ353" s="19">
        <f t="shared" si="25"/>
        <v>15209</v>
      </c>
      <c r="BA353" s="19">
        <f t="shared" si="25"/>
        <v>15210</v>
      </c>
      <c r="BB353" s="19">
        <f t="shared" si="25"/>
        <v>15211</v>
      </c>
      <c r="BC353" s="19">
        <f t="shared" si="25"/>
        <v>15212</v>
      </c>
      <c r="BD353" s="19">
        <f t="shared" si="25"/>
        <v>15232</v>
      </c>
      <c r="BE353" s="19">
        <f t="shared" si="25"/>
        <v>15214</v>
      </c>
      <c r="BF353" s="19">
        <f t="shared" si="25"/>
        <v>15233</v>
      </c>
      <c r="BG353" s="19">
        <f t="shared" si="25"/>
        <v>15234</v>
      </c>
      <c r="BH353" s="19">
        <f t="shared" si="25"/>
        <v>15215</v>
      </c>
      <c r="BI353" s="21"/>
    </row>
    <row r="354" spans="1:61" x14ac:dyDescent="0.25">
      <c r="A354" t="s">
        <v>608</v>
      </c>
      <c r="E354" s="20">
        <f t="shared" ref="E354:AL354" si="26">E343/E350</f>
        <v>0.12557120418935214</v>
      </c>
      <c r="F354" s="20">
        <f t="shared" si="26"/>
        <v>0.1514567316581602</v>
      </c>
      <c r="G354" s="20">
        <f t="shared" si="26"/>
        <v>5.7567433176187038E-2</v>
      </c>
      <c r="H354" s="20">
        <f t="shared" si="26"/>
        <v>5.8468835835004049E-3</v>
      </c>
      <c r="I354" s="20">
        <f t="shared" si="26"/>
        <v>8.8882062271124163E-2</v>
      </c>
      <c r="J354" s="20">
        <f t="shared" si="26"/>
        <v>4.8403503970747226E-2</v>
      </c>
      <c r="K354" s="20">
        <f t="shared" si="26"/>
        <v>3.356145236887436E-2</v>
      </c>
      <c r="L354" s="20">
        <f t="shared" si="26"/>
        <v>0.1959550848007654</v>
      </c>
      <c r="M354" s="20">
        <f t="shared" si="26"/>
        <v>5.2701593469879869E-2</v>
      </c>
      <c r="N354" s="20">
        <f>N343/N350</f>
        <v>-1.1023401179866198E-4</v>
      </c>
      <c r="O354" s="20">
        <f t="shared" si="26"/>
        <v>0.7596994075165957</v>
      </c>
      <c r="P354" s="20">
        <f t="shared" si="26"/>
        <v>4.5567468968919347E-2</v>
      </c>
      <c r="Q354" s="20">
        <f t="shared" si="26"/>
        <v>0.42923552762361017</v>
      </c>
      <c r="R354" s="20">
        <f t="shared" si="26"/>
        <v>0.12855687447515945</v>
      </c>
      <c r="S354" s="20">
        <f t="shared" si="26"/>
        <v>0.15038213638425021</v>
      </c>
      <c r="T354" s="20">
        <f t="shared" si="26"/>
        <v>2.4315950156009632E-2</v>
      </c>
      <c r="U354" s="20">
        <f t="shared" si="26"/>
        <v>3.1134730775188826E-2</v>
      </c>
      <c r="V354" s="20">
        <f t="shared" si="26"/>
        <v>4.4252038262590943E-2</v>
      </c>
      <c r="W354" s="20">
        <f t="shared" si="26"/>
        <v>9.9605044248985905E-2</v>
      </c>
      <c r="X354" s="20">
        <f t="shared" si="26"/>
        <v>0.19525308550577436</v>
      </c>
      <c r="Y354" s="20">
        <f t="shared" si="26"/>
        <v>0.1856006735957102</v>
      </c>
      <c r="Z354" s="20">
        <f t="shared" si="26"/>
        <v>0.58809214739156213</v>
      </c>
      <c r="AA354" s="20">
        <f t="shared" si="26"/>
        <v>6.6687761884778665E-2</v>
      </c>
      <c r="AB354" s="20">
        <f t="shared" si="26"/>
        <v>0.75855992932937699</v>
      </c>
      <c r="AC354" s="20">
        <f t="shared" si="26"/>
        <v>0.16547620745594427</v>
      </c>
      <c r="AD354" s="20">
        <f t="shared" si="26"/>
        <v>0.29580000014724489</v>
      </c>
      <c r="AE354" s="20">
        <f t="shared" si="26"/>
        <v>0.18378708680892866</v>
      </c>
      <c r="AF354" s="20">
        <f t="shared" si="26"/>
        <v>0.3014245460170073</v>
      </c>
      <c r="AG354" s="20">
        <f t="shared" si="26"/>
        <v>0.35815236795380068</v>
      </c>
      <c r="AH354" s="20">
        <f t="shared" si="26"/>
        <v>0.1774832054551391</v>
      </c>
      <c r="AI354" s="20">
        <f t="shared" si="26"/>
        <v>0.28182322968255785</v>
      </c>
      <c r="AJ354" s="20">
        <f t="shared" si="26"/>
        <v>0.57060816300682382</v>
      </c>
      <c r="AK354" s="20">
        <f t="shared" si="26"/>
        <v>0.70193510173868723</v>
      </c>
      <c r="AL354" s="20">
        <f t="shared" si="26"/>
        <v>0.70305259054642633</v>
      </c>
      <c r="AM354" s="20">
        <f>AM343/AM350</f>
        <v>4.1130496558029112E-2</v>
      </c>
      <c r="AN354" s="20">
        <f>AN343/AN350</f>
        <v>0.70075317187855257</v>
      </c>
      <c r="AO354" s="20">
        <f>AO343/AO350</f>
        <v>0.19386740918505321</v>
      </c>
      <c r="AP354" s="20">
        <f>AP343/AP350</f>
        <v>0.10663193159504443</v>
      </c>
      <c r="AQ354" s="20">
        <f t="shared" ref="AQ354:AW354" si="27">AQ343/AQ350</f>
        <v>0.29929114325586936</v>
      </c>
      <c r="AR354" s="20">
        <f t="shared" si="27"/>
        <v>9.8478485819287434E-2</v>
      </c>
      <c r="AS354" s="20">
        <f t="shared" si="27"/>
        <v>0.14705641587802123</v>
      </c>
      <c r="AT354" s="20" t="e">
        <f t="shared" si="27"/>
        <v>#DIV/0!</v>
      </c>
      <c r="AU354" s="20">
        <f t="shared" si="27"/>
        <v>0.17205933615176999</v>
      </c>
      <c r="AV354" s="20">
        <f t="shared" si="27"/>
        <v>0.10273609833671873</v>
      </c>
      <c r="AW354" s="20">
        <f t="shared" si="27"/>
        <v>0.11538090776515347</v>
      </c>
      <c r="AX354" s="20">
        <f>AX343/AX350</f>
        <v>0.20581581397794849</v>
      </c>
      <c r="AY354" s="20">
        <f t="shared" ref="AY354:BH354" si="28">AY343/AY350</f>
        <v>6.7245221897867372E-2</v>
      </c>
      <c r="AZ354" s="20">
        <f t="shared" si="28"/>
        <v>4.7755770390810477E-2</v>
      </c>
      <c r="BA354" s="20">
        <f t="shared" si="28"/>
        <v>0.19342747995982909</v>
      </c>
      <c r="BB354" s="20">
        <f t="shared" si="28"/>
        <v>0.19578221109339733</v>
      </c>
      <c r="BC354" s="20">
        <f t="shared" si="28"/>
        <v>3.4598167800284761E-2</v>
      </c>
      <c r="BD354" s="20">
        <f t="shared" si="28"/>
        <v>4.4948269212459931E-2</v>
      </c>
      <c r="BE354" s="20">
        <f t="shared" si="28"/>
        <v>0.19519975578307597</v>
      </c>
      <c r="BF354" s="20">
        <f t="shared" si="28"/>
        <v>4.0822459579604439E-2</v>
      </c>
      <c r="BG354" s="20">
        <f t="shared" si="28"/>
        <v>0.61925332996154292</v>
      </c>
      <c r="BH354" s="20">
        <f t="shared" si="28"/>
        <v>4.5574552380898109E-2</v>
      </c>
      <c r="BI354" s="21"/>
    </row>
    <row r="355" spans="1:61" x14ac:dyDescent="0.25">
      <c r="A355" t="s">
        <v>609</v>
      </c>
      <c r="E355" s="20">
        <f t="shared" ref="E355:AL355" si="29">E344/E350</f>
        <v>0.22858440500192043</v>
      </c>
      <c r="F355" s="20">
        <f t="shared" si="29"/>
        <v>0.1852075646620942</v>
      </c>
      <c r="G355" s="20">
        <f t="shared" si="29"/>
        <v>0.35159267147040063</v>
      </c>
      <c r="H355" s="20">
        <f t="shared" si="29"/>
        <v>0</v>
      </c>
      <c r="I355" s="20">
        <f t="shared" si="29"/>
        <v>0.37641939503365363</v>
      </c>
      <c r="J355" s="20">
        <f t="shared" si="29"/>
        <v>0.33052897634952161</v>
      </c>
      <c r="K355" s="20">
        <f t="shared" si="29"/>
        <v>0.67489885207547118</v>
      </c>
      <c r="L355" s="20">
        <f t="shared" si="29"/>
        <v>0.10355058562949408</v>
      </c>
      <c r="M355" s="20">
        <f t="shared" si="29"/>
        <v>0.23308247685422095</v>
      </c>
      <c r="N355" s="20">
        <f>N344/N350</f>
        <v>0.80225299171485309</v>
      </c>
      <c r="O355" s="20">
        <f t="shared" si="29"/>
        <v>8.2109370869385464E-3</v>
      </c>
      <c r="P355" s="20">
        <f t="shared" si="29"/>
        <v>0.80206873185336469</v>
      </c>
      <c r="Q355" s="20">
        <f t="shared" si="29"/>
        <v>0.17088368458251002</v>
      </c>
      <c r="R355" s="20">
        <f t="shared" si="29"/>
        <v>0.19125847894264147</v>
      </c>
      <c r="S355" s="20">
        <f t="shared" si="29"/>
        <v>0.17860109798410492</v>
      </c>
      <c r="T355" s="20">
        <f t="shared" si="29"/>
        <v>0.97568404984399038</v>
      </c>
      <c r="U355" s="20">
        <f t="shared" si="29"/>
        <v>0.73063143982797873</v>
      </c>
      <c r="V355" s="20">
        <f t="shared" si="29"/>
        <v>0.28527688035497295</v>
      </c>
      <c r="W355" s="20">
        <f t="shared" si="29"/>
        <v>0.22443643761157395</v>
      </c>
      <c r="X355" s="20">
        <f t="shared" si="29"/>
        <v>0.11312147615717165</v>
      </c>
      <c r="Y355" s="20">
        <f t="shared" si="29"/>
        <v>0.19483453431813519</v>
      </c>
      <c r="Z355" s="20">
        <f t="shared" si="29"/>
        <v>3.7400698650780452E-3</v>
      </c>
      <c r="AA355" s="20">
        <f t="shared" si="29"/>
        <v>0.336311542149975</v>
      </c>
      <c r="AB355" s="20">
        <f t="shared" si="29"/>
        <v>5.9760291678027074E-3</v>
      </c>
      <c r="AC355" s="20">
        <f t="shared" si="29"/>
        <v>0.15096307683841181</v>
      </c>
      <c r="AD355" s="20">
        <f t="shared" si="29"/>
        <v>0.17070079018995332</v>
      </c>
      <c r="AE355" s="20">
        <f t="shared" si="29"/>
        <v>0.18555089017074211</v>
      </c>
      <c r="AF355" s="20">
        <f t="shared" si="29"/>
        <v>6.647597008785168E-2</v>
      </c>
      <c r="AG355" s="20">
        <f t="shared" si="29"/>
        <v>0.13834025982974255</v>
      </c>
      <c r="AH355" s="20">
        <f t="shared" si="29"/>
        <v>0.14514638792665904</v>
      </c>
      <c r="AI355" s="20">
        <f t="shared" si="29"/>
        <v>6.2132153041736034E-2</v>
      </c>
      <c r="AJ355" s="20">
        <f t="shared" si="29"/>
        <v>3.5020196718161369E-3</v>
      </c>
      <c r="AK355" s="20">
        <f t="shared" si="29"/>
        <v>0.10006475219462649</v>
      </c>
      <c r="AL355" s="20">
        <f t="shared" si="29"/>
        <v>9.9679259968605147E-2</v>
      </c>
      <c r="AM355" s="20">
        <f>AM344/AM350</f>
        <v>0.72430188752947389</v>
      </c>
      <c r="AN355" s="20">
        <f>AN344/AN350</f>
        <v>0.10052174088939896</v>
      </c>
      <c r="AO355" s="20">
        <f>AO344/AO350</f>
        <v>0.16709838280708175</v>
      </c>
      <c r="AP355" s="20">
        <f>AP344/AP350</f>
        <v>0</v>
      </c>
      <c r="AQ355" s="20">
        <f t="shared" ref="AQ355:AW355" si="30">AQ344/AQ350</f>
        <v>6.769843461393886E-2</v>
      </c>
      <c r="AR355" s="20">
        <f t="shared" si="30"/>
        <v>0</v>
      </c>
      <c r="AS355" s="20">
        <f t="shared" si="30"/>
        <v>0.37108425036188797</v>
      </c>
      <c r="AT355" s="20" t="e">
        <f t="shared" si="30"/>
        <v>#DIV/0!</v>
      </c>
      <c r="AU355" s="20">
        <f t="shared" si="30"/>
        <v>0.37099122608456953</v>
      </c>
      <c r="AV355" s="20">
        <f t="shared" si="30"/>
        <v>0</v>
      </c>
      <c r="AW355" s="20">
        <f t="shared" si="30"/>
        <v>0</v>
      </c>
      <c r="AX355" s="20">
        <f>AX344/AX350</f>
        <v>0.11166307088388142</v>
      </c>
      <c r="AY355" s="20">
        <f t="shared" ref="AY355:BH355" si="31">AY344/AY350</f>
        <v>0.25144577844203136</v>
      </c>
      <c r="AZ355" s="20">
        <f t="shared" si="31"/>
        <v>2.2137505127103945E-3</v>
      </c>
      <c r="BA355" s="20">
        <f t="shared" si="31"/>
        <v>0.11338741782450827</v>
      </c>
      <c r="BB355" s="20">
        <f t="shared" si="31"/>
        <v>0.1734544604088879</v>
      </c>
      <c r="BC355" s="20">
        <f t="shared" si="31"/>
        <v>0.28638738518228685</v>
      </c>
      <c r="BD355" s="20">
        <f t="shared" si="31"/>
        <v>2.2923210847743086E-3</v>
      </c>
      <c r="BE355" s="20">
        <f t="shared" si="31"/>
        <v>0.17072059315506238</v>
      </c>
      <c r="BF355" s="20">
        <f t="shared" si="31"/>
        <v>2.3036416883054317E-3</v>
      </c>
      <c r="BG355" s="20">
        <f t="shared" si="31"/>
        <v>5.7811861533120644E-2</v>
      </c>
      <c r="BH355" s="20">
        <f t="shared" si="31"/>
        <v>0.24923413075844109</v>
      </c>
      <c r="BI355" s="21"/>
    </row>
    <row r="356" spans="1:61" x14ac:dyDescent="0.25">
      <c r="A356" t="s">
        <v>610</v>
      </c>
      <c r="E356" s="20">
        <f t="shared" ref="E356:AL356" si="32">E345/E350</f>
        <v>0.20441502447975124</v>
      </c>
      <c r="F356" s="20">
        <f t="shared" si="32"/>
        <v>0.2650006568228217</v>
      </c>
      <c r="G356" s="20">
        <f t="shared" si="32"/>
        <v>0.44453045916969025</v>
      </c>
      <c r="H356" s="20">
        <f t="shared" si="32"/>
        <v>4.9612753422384935E-2</v>
      </c>
      <c r="I356" s="20">
        <f t="shared" si="32"/>
        <v>0.31420955642012005</v>
      </c>
      <c r="J356" s="20">
        <f t="shared" si="32"/>
        <v>0.44102782036502969</v>
      </c>
      <c r="K356" s="20">
        <f t="shared" si="32"/>
        <v>0.16174685152738519</v>
      </c>
      <c r="L356" s="20">
        <f t="shared" si="32"/>
        <v>8.9683558052616824E-2</v>
      </c>
      <c r="M356" s="20">
        <f t="shared" si="32"/>
        <v>0.32473369392483276</v>
      </c>
      <c r="N356" s="20">
        <f>N345/N350</f>
        <v>0.19169442355633554</v>
      </c>
      <c r="O356" s="20">
        <f t="shared" si="32"/>
        <v>0</v>
      </c>
      <c r="P356" s="20">
        <f t="shared" si="32"/>
        <v>2.6815980106535691E-3</v>
      </c>
      <c r="Q356" s="20">
        <f t="shared" si="32"/>
        <v>0.29486028636039918</v>
      </c>
      <c r="R356" s="20">
        <f t="shared" si="32"/>
        <v>0.63783607231601924</v>
      </c>
      <c r="S356" s="20">
        <f t="shared" si="32"/>
        <v>0.34540104712027914</v>
      </c>
      <c r="T356" s="20">
        <f t="shared" si="32"/>
        <v>0</v>
      </c>
      <c r="U356" s="20">
        <f t="shared" si="32"/>
        <v>0.17510377374186914</v>
      </c>
      <c r="V356" s="20">
        <f t="shared" si="32"/>
        <v>0.50552684478687959</v>
      </c>
      <c r="W356" s="20">
        <f t="shared" si="32"/>
        <v>0.34487070263868302</v>
      </c>
      <c r="X356" s="20">
        <f t="shared" si="32"/>
        <v>0</v>
      </c>
      <c r="Y356" s="20">
        <f t="shared" si="32"/>
        <v>0.14128210926091672</v>
      </c>
      <c r="Z356" s="20">
        <f t="shared" si="32"/>
        <v>6.1365677401468657E-2</v>
      </c>
      <c r="AA356" s="20">
        <f t="shared" si="32"/>
        <v>0.47769076280738609</v>
      </c>
      <c r="AB356" s="20">
        <f t="shared" si="32"/>
        <v>0</v>
      </c>
      <c r="AC356" s="20">
        <f t="shared" si="32"/>
        <v>0.25478147001963797</v>
      </c>
      <c r="AD356" s="20">
        <f t="shared" si="32"/>
        <v>0.2046613771377204</v>
      </c>
      <c r="AE356" s="20">
        <f t="shared" si="32"/>
        <v>0.12390938469587373</v>
      </c>
      <c r="AF356" s="20">
        <f t="shared" si="32"/>
        <v>1.440962062260683E-2</v>
      </c>
      <c r="AG356" s="20">
        <f t="shared" si="32"/>
        <v>0.16500340569609886</v>
      </c>
      <c r="AH356" s="20">
        <f t="shared" si="32"/>
        <v>0.11095381005943021</v>
      </c>
      <c r="AI356" s="20">
        <f t="shared" si="32"/>
        <v>1.452311130886289E-2</v>
      </c>
      <c r="AJ356" s="20">
        <f t="shared" si="32"/>
        <v>5.9492423630866431E-2</v>
      </c>
      <c r="AK356" s="20">
        <f t="shared" si="32"/>
        <v>0</v>
      </c>
      <c r="AL356" s="20">
        <f t="shared" si="32"/>
        <v>0</v>
      </c>
      <c r="AM356" s="20">
        <f>AM345/AM350</f>
        <v>0.17358682311586907</v>
      </c>
      <c r="AN356" s="20">
        <f>AN345/AN350</f>
        <v>0</v>
      </c>
      <c r="AO356" s="20">
        <f>AO345/AO350</f>
        <v>0.28836071361297883</v>
      </c>
      <c r="AP356" s="20">
        <f>AP345/AP350</f>
        <v>0</v>
      </c>
      <c r="AQ356" s="20">
        <f t="shared" ref="AQ356:AW356" si="33">AQ345/AQ350</f>
        <v>1.4318688823173496E-2</v>
      </c>
      <c r="AR356" s="20">
        <f t="shared" si="33"/>
        <v>0</v>
      </c>
      <c r="AS356" s="20">
        <f t="shared" si="33"/>
        <v>0.2175613912970969</v>
      </c>
      <c r="AT356" s="20" t="e">
        <f t="shared" si="33"/>
        <v>#DIV/0!</v>
      </c>
      <c r="AU356" s="20">
        <f t="shared" si="33"/>
        <v>0.3069981443754527</v>
      </c>
      <c r="AV356" s="20">
        <f t="shared" si="33"/>
        <v>0</v>
      </c>
      <c r="AW356" s="20">
        <f t="shared" si="33"/>
        <v>0</v>
      </c>
      <c r="AX356" s="20">
        <f>AX345/AX350</f>
        <v>0</v>
      </c>
      <c r="AY356" s="20">
        <f t="shared" ref="AY356:BH356" si="34">AY345/AY350</f>
        <v>0.44645263524239237</v>
      </c>
      <c r="AZ356" s="20">
        <f t="shared" si="34"/>
        <v>3.2184564951561336E-2</v>
      </c>
      <c r="BA356" s="20">
        <f t="shared" si="34"/>
        <v>0</v>
      </c>
      <c r="BB356" s="20">
        <f t="shared" si="34"/>
        <v>0.28794240072356331</v>
      </c>
      <c r="BC356" s="20">
        <f t="shared" si="34"/>
        <v>0.63607416007706941</v>
      </c>
      <c r="BD356" s="20">
        <f t="shared" si="34"/>
        <v>3.3326858115853029E-2</v>
      </c>
      <c r="BE356" s="20">
        <f t="shared" si="34"/>
        <v>0.29336606229928314</v>
      </c>
      <c r="BF356" s="20">
        <f t="shared" si="34"/>
        <v>3.3491441092157334E-2</v>
      </c>
      <c r="BG356" s="20">
        <f t="shared" si="34"/>
        <v>6.1439366683624166E-2</v>
      </c>
      <c r="BH356" s="20">
        <f t="shared" si="34"/>
        <v>0.6623818346463114</v>
      </c>
      <c r="BI356" s="21"/>
    </row>
    <row r="357" spans="1:61" x14ac:dyDescent="0.25">
      <c r="A357" t="s">
        <v>611</v>
      </c>
      <c r="E357" s="20">
        <f t="shared" ref="E357:AL357" si="35">E346/E350</f>
        <v>0.16707587270234625</v>
      </c>
      <c r="F357" s="20">
        <f t="shared" si="35"/>
        <v>0.29903853097644328</v>
      </c>
      <c r="G357" s="20">
        <f t="shared" si="35"/>
        <v>7.4293293730314219E-4</v>
      </c>
      <c r="H357" s="20">
        <f t="shared" si="35"/>
        <v>5.6861537465062784E-2</v>
      </c>
      <c r="I357" s="20">
        <f t="shared" si="35"/>
        <v>5.9441711666540026E-2</v>
      </c>
      <c r="J357" s="20">
        <f t="shared" si="35"/>
        <v>8.3255027025488058E-4</v>
      </c>
      <c r="K357" s="20">
        <f t="shared" si="35"/>
        <v>0</v>
      </c>
      <c r="L357" s="20">
        <f t="shared" si="35"/>
        <v>0.36829317168856684</v>
      </c>
      <c r="M357" s="20">
        <f t="shared" si="35"/>
        <v>5.2328288835625424E-2</v>
      </c>
      <c r="N357" s="20">
        <f>N346/N350</f>
        <v>0</v>
      </c>
      <c r="O357" s="20">
        <f t="shared" si="35"/>
        <v>0.21129616971996384</v>
      </c>
      <c r="P357" s="20">
        <f t="shared" si="35"/>
        <v>2.0945388013480096E-3</v>
      </c>
      <c r="Q357" s="20">
        <f t="shared" si="35"/>
        <v>8.3067656221852623E-2</v>
      </c>
      <c r="R357" s="20">
        <f t="shared" si="35"/>
        <v>4.8718613221825774E-3</v>
      </c>
      <c r="S357" s="20">
        <f t="shared" si="35"/>
        <v>0.29698321229749564</v>
      </c>
      <c r="T357" s="20">
        <f t="shared" si="35"/>
        <v>0</v>
      </c>
      <c r="U357" s="20">
        <f t="shared" si="35"/>
        <v>0</v>
      </c>
      <c r="V357" s="20">
        <f t="shared" si="35"/>
        <v>1.1471691877171649E-3</v>
      </c>
      <c r="W357" s="20">
        <f t="shared" si="35"/>
        <v>0.12604952511120227</v>
      </c>
      <c r="X357" s="20">
        <f t="shared" si="35"/>
        <v>0.69618783065147871</v>
      </c>
      <c r="Y357" s="20">
        <f t="shared" si="35"/>
        <v>0.29044764457278632</v>
      </c>
      <c r="Z357" s="20">
        <f t="shared" si="35"/>
        <v>0.36167218376537325</v>
      </c>
      <c r="AA357" s="20">
        <f t="shared" si="35"/>
        <v>1.1445001062883764E-3</v>
      </c>
      <c r="AB357" s="20">
        <f t="shared" si="35"/>
        <v>0.19280248081189882</v>
      </c>
      <c r="AC357" s="20">
        <f t="shared" si="35"/>
        <v>0.32847174931853512</v>
      </c>
      <c r="AD357" s="20">
        <f t="shared" si="35"/>
        <v>0.33140161719114086</v>
      </c>
      <c r="AE357" s="20">
        <f t="shared" si="35"/>
        <v>0.27720876874967093</v>
      </c>
      <c r="AF357" s="20">
        <f t="shared" si="35"/>
        <v>0.62390646302596642</v>
      </c>
      <c r="AG357" s="20">
        <f t="shared" si="35"/>
        <v>0.29960705395440851</v>
      </c>
      <c r="AH357" s="20">
        <f t="shared" si="35"/>
        <v>0.29376714341369053</v>
      </c>
      <c r="AI357" s="20">
        <f t="shared" si="35"/>
        <v>0.61482047277269103</v>
      </c>
      <c r="AJ357" s="20">
        <f t="shared" si="35"/>
        <v>0.3816811598613003</v>
      </c>
      <c r="AK357" s="20">
        <f t="shared" si="35"/>
        <v>0.21774103962396874</v>
      </c>
      <c r="AL357" s="20">
        <f t="shared" si="35"/>
        <v>0.21690220810818317</v>
      </c>
      <c r="AM357" s="20">
        <f>AM346/AM350</f>
        <v>0</v>
      </c>
      <c r="AN357" s="20">
        <f>AN346/AN350</f>
        <v>0.21873544831271027</v>
      </c>
      <c r="AO357" s="20">
        <f>AO346/AO350</f>
        <v>0.33952544633261489</v>
      </c>
      <c r="AP357" s="20">
        <f>AP346/AP350</f>
        <v>0.89350647031473496</v>
      </c>
      <c r="AQ357" s="20">
        <f t="shared" ref="AQ357:AW357" si="36">AQ346/AQ350</f>
        <v>0.62791227936802241</v>
      </c>
      <c r="AR357" s="20">
        <f t="shared" si="36"/>
        <v>0.90146709028445537</v>
      </c>
      <c r="AS357" s="20">
        <f t="shared" si="36"/>
        <v>0.24933329740299956</v>
      </c>
      <c r="AT357" s="20" t="e">
        <f t="shared" si="36"/>
        <v>#DIV/0!</v>
      </c>
      <c r="AU357" s="20">
        <f t="shared" si="36"/>
        <v>0.13138524613631361</v>
      </c>
      <c r="AV357" s="20">
        <f t="shared" si="36"/>
        <v>0.89723741822819159</v>
      </c>
      <c r="AW357" s="20">
        <f t="shared" si="36"/>
        <v>0.88456223133282885</v>
      </c>
      <c r="AX357" s="20">
        <f>AX346/AX350</f>
        <v>0.6872123069555115</v>
      </c>
      <c r="AY357" s="20">
        <f t="shared" ref="AY357:BH357" si="37">AY346/AY350</f>
        <v>0.19311076058825383</v>
      </c>
      <c r="AZ357" s="20">
        <f t="shared" si="37"/>
        <v>0.86037199202622694</v>
      </c>
      <c r="BA357" s="20">
        <f t="shared" si="37"/>
        <v>0.69782451426343928</v>
      </c>
      <c r="BB357" s="20">
        <f t="shared" si="37"/>
        <v>0.33282532766007594</v>
      </c>
      <c r="BC357" s="20">
        <f t="shared" si="37"/>
        <v>1.2693189396101995E-3</v>
      </c>
      <c r="BD357" s="20">
        <f t="shared" si="37"/>
        <v>0.85966353249432026</v>
      </c>
      <c r="BE357" s="20">
        <f t="shared" si="37"/>
        <v>0.3320227475242446</v>
      </c>
      <c r="BF357" s="20">
        <f t="shared" si="37"/>
        <v>0.86390895373763343</v>
      </c>
      <c r="BG357" s="20">
        <f t="shared" si="37"/>
        <v>0.27721246915231013</v>
      </c>
      <c r="BH357" s="20">
        <f t="shared" si="37"/>
        <v>1.3187586419570643E-3</v>
      </c>
      <c r="BI357" s="21"/>
    </row>
    <row r="358" spans="1:61" x14ac:dyDescent="0.25">
      <c r="A358" t="s">
        <v>612</v>
      </c>
      <c r="E358" s="20">
        <f t="shared" ref="E358:AL358" si="38">E347/E350</f>
        <v>6.8542375656352655E-2</v>
      </c>
      <c r="F358" s="20">
        <f t="shared" si="38"/>
        <v>2.2757835484671505E-2</v>
      </c>
      <c r="G358" s="20">
        <f t="shared" si="38"/>
        <v>7.4647220380644766E-2</v>
      </c>
      <c r="H358" s="20">
        <f t="shared" si="38"/>
        <v>0.86633574016957282</v>
      </c>
      <c r="I358" s="20">
        <f t="shared" si="38"/>
        <v>7.9003937809464422E-2</v>
      </c>
      <c r="J358" s="20">
        <f t="shared" si="38"/>
        <v>0.10649347575652882</v>
      </c>
      <c r="K358" s="20">
        <f t="shared" si="38"/>
        <v>8.6032710993337341E-2</v>
      </c>
      <c r="L358" s="20">
        <f t="shared" si="38"/>
        <v>2.456809244664088E-2</v>
      </c>
      <c r="M358" s="20">
        <f t="shared" si="38"/>
        <v>0.13832612969832386</v>
      </c>
      <c r="N358" s="20">
        <f>N347/N350</f>
        <v>0</v>
      </c>
      <c r="O358" s="20">
        <f t="shared" si="38"/>
        <v>0</v>
      </c>
      <c r="P358" s="20">
        <f t="shared" si="38"/>
        <v>8.7347416034333006E-2</v>
      </c>
      <c r="Q358" s="20">
        <f t="shared" si="38"/>
        <v>0</v>
      </c>
      <c r="R358" s="20">
        <f t="shared" si="38"/>
        <v>2.3328410765125819E-3</v>
      </c>
      <c r="S358" s="20">
        <f t="shared" si="38"/>
        <v>-2.1990713448268161E-2</v>
      </c>
      <c r="T358" s="20">
        <f t="shared" si="38"/>
        <v>0</v>
      </c>
      <c r="U358" s="20">
        <f t="shared" si="38"/>
        <v>1.5720627845825137E-2</v>
      </c>
      <c r="V358" s="20">
        <f t="shared" si="38"/>
        <v>9.4780989074064279E-2</v>
      </c>
      <c r="W358" s="20">
        <f t="shared" si="38"/>
        <v>0.12725426859223685</v>
      </c>
      <c r="X358" s="20">
        <f t="shared" si="38"/>
        <v>0</v>
      </c>
      <c r="Y358" s="20">
        <f t="shared" si="38"/>
        <v>4.6650493344902011E-2</v>
      </c>
      <c r="Z358" s="20">
        <f t="shared" si="38"/>
        <v>0</v>
      </c>
      <c r="AA358" s="20">
        <f t="shared" si="38"/>
        <v>4.2396243416883098E-2</v>
      </c>
      <c r="AB358" s="20">
        <f t="shared" si="38"/>
        <v>0</v>
      </c>
      <c r="AC358" s="20">
        <f t="shared" si="38"/>
        <v>3.0727883044902773E-2</v>
      </c>
      <c r="AD358" s="20">
        <f t="shared" si="38"/>
        <v>0</v>
      </c>
      <c r="AE358" s="20">
        <f t="shared" si="38"/>
        <v>5.3684112874722516E-2</v>
      </c>
      <c r="AF358" s="20">
        <f t="shared" si="38"/>
        <v>-5.0341323230056099E-2</v>
      </c>
      <c r="AG358" s="20">
        <f t="shared" si="38"/>
        <v>4.0097422450565592E-2</v>
      </c>
      <c r="AH358" s="20">
        <f t="shared" si="38"/>
        <v>5.7595729969746427E-2</v>
      </c>
      <c r="AI358" s="20">
        <f t="shared" si="38"/>
        <v>-2.5688289913689048E-2</v>
      </c>
      <c r="AJ358" s="20">
        <f t="shared" si="38"/>
        <v>1.4216780774750557E-5</v>
      </c>
      <c r="AK358" s="20">
        <f t="shared" si="38"/>
        <v>2.478708043502443E-5</v>
      </c>
      <c r="AL358" s="20">
        <f t="shared" si="38"/>
        <v>2.0343737368048014E-5</v>
      </c>
      <c r="AM358" s="20">
        <f>AM347/AM350</f>
        <v>1.4473686644319188E-2</v>
      </c>
      <c r="AN358" s="20">
        <f>AN347/AN350</f>
        <v>2.9382960953973124E-5</v>
      </c>
      <c r="AO358" s="20">
        <f>AO347/AO350</f>
        <v>-2.9148629534926532E-2</v>
      </c>
      <c r="AP358" s="20">
        <f>AP347/AP350</f>
        <v>0</v>
      </c>
      <c r="AQ358" s="20">
        <f t="shared" ref="AQ358:AW358" si="39">AQ347/AQ350</f>
        <v>-4.1310042024902495E-2</v>
      </c>
      <c r="AR358" s="20">
        <f t="shared" si="39"/>
        <v>0</v>
      </c>
      <c r="AS358" s="20">
        <f t="shared" si="39"/>
        <v>-1.9528475382721608E-2</v>
      </c>
      <c r="AT358" s="20" t="e">
        <f t="shared" si="39"/>
        <v>#DIV/0!</v>
      </c>
      <c r="AU358" s="20">
        <f t="shared" si="39"/>
        <v>-6.0276407055749517E-3</v>
      </c>
      <c r="AV358" s="20">
        <f t="shared" si="39"/>
        <v>0</v>
      </c>
      <c r="AW358" s="20">
        <f t="shared" si="39"/>
        <v>0</v>
      </c>
      <c r="AX358" s="20">
        <f>AX347/AX350</f>
        <v>0</v>
      </c>
      <c r="AY358" s="20">
        <f t="shared" ref="AY358:BH358" si="40">AY347/AY350</f>
        <v>0</v>
      </c>
      <c r="AZ358" s="20">
        <f t="shared" si="40"/>
        <v>0</v>
      </c>
      <c r="BA358" s="20">
        <f t="shared" si="40"/>
        <v>0</v>
      </c>
      <c r="BB358" s="20">
        <f t="shared" si="40"/>
        <v>-2.900889355581545E-2</v>
      </c>
      <c r="BC358" s="20">
        <f t="shared" si="40"/>
        <v>0</v>
      </c>
      <c r="BD358" s="20">
        <f t="shared" si="40"/>
        <v>0</v>
      </c>
      <c r="BE358" s="20">
        <f t="shared" si="40"/>
        <v>-3.0245515105561008E-2</v>
      </c>
      <c r="BF358" s="20">
        <f t="shared" si="40"/>
        <v>0</v>
      </c>
      <c r="BG358" s="20">
        <f t="shared" si="40"/>
        <v>0</v>
      </c>
      <c r="BH358" s="20">
        <f t="shared" si="40"/>
        <v>0</v>
      </c>
      <c r="BI358" s="21"/>
    </row>
    <row r="359" spans="1:61" x14ac:dyDescent="0.25">
      <c r="A359" t="s">
        <v>613</v>
      </c>
      <c r="E359" s="20">
        <f t="shared" ref="E359:M359" si="41">E348/E350</f>
        <v>0.20581111797027732</v>
      </c>
      <c r="F359" s="20">
        <f t="shared" si="41"/>
        <v>7.6538680395809119E-2</v>
      </c>
      <c r="G359" s="20">
        <f t="shared" si="41"/>
        <v>7.0919282865774216E-2</v>
      </c>
      <c r="H359" s="20">
        <f t="shared" si="41"/>
        <v>2.1343085359479121E-2</v>
      </c>
      <c r="I359" s="20">
        <f t="shared" si="41"/>
        <v>8.2043336799097685E-2</v>
      </c>
      <c r="J359" s="20">
        <f t="shared" si="41"/>
        <v>7.2713673287917599E-2</v>
      </c>
      <c r="K359" s="20">
        <f t="shared" si="41"/>
        <v>4.3760133034931828E-2</v>
      </c>
      <c r="L359" s="20">
        <f t="shared" si="41"/>
        <v>0.21794950738191587</v>
      </c>
      <c r="M359" s="20">
        <f t="shared" si="41"/>
        <v>0.19882781721711701</v>
      </c>
      <c r="N359" s="20">
        <f>N348/N350</f>
        <v>6.1628187406100546E-3</v>
      </c>
      <c r="O359" s="20">
        <f t="shared" ref="O359:AL359" si="42">O348/O350</f>
        <v>2.0793485676501897E-2</v>
      </c>
      <c r="P359" s="20">
        <f t="shared" si="42"/>
        <v>6.0240246331381385E-2</v>
      </c>
      <c r="Q359" s="20">
        <f t="shared" si="42"/>
        <v>2.195284521162803E-2</v>
      </c>
      <c r="R359" s="20">
        <f t="shared" si="42"/>
        <v>3.5143871867484876E-2</v>
      </c>
      <c r="S359" s="20">
        <f t="shared" si="42"/>
        <v>5.0623219662138084E-2</v>
      </c>
      <c r="T359" s="20">
        <f t="shared" si="42"/>
        <v>0</v>
      </c>
      <c r="U359" s="20">
        <f t="shared" si="42"/>
        <v>4.7409427809137913E-2</v>
      </c>
      <c r="V359" s="20">
        <f t="shared" si="42"/>
        <v>6.9016078333775016E-2</v>
      </c>
      <c r="W359" s="20">
        <f t="shared" si="42"/>
        <v>7.7784021797318095E-2</v>
      </c>
      <c r="X359" s="20">
        <f t="shared" si="42"/>
        <v>-4.562392314424759E-3</v>
      </c>
      <c r="Y359" s="20">
        <f t="shared" si="42"/>
        <v>0.14118454490754964</v>
      </c>
      <c r="Z359" s="20">
        <f t="shared" si="42"/>
        <v>-1.4870078423482052E-2</v>
      </c>
      <c r="AA359" s="20">
        <f t="shared" si="42"/>
        <v>7.5769189634688733E-2</v>
      </c>
      <c r="AB359" s="20">
        <f t="shared" si="42"/>
        <v>4.2661560690921432E-2</v>
      </c>
      <c r="AC359" s="20">
        <f t="shared" si="42"/>
        <v>6.9579613322568082E-2</v>
      </c>
      <c r="AD359" s="20">
        <f t="shared" si="42"/>
        <v>-2.5637846660595261E-3</v>
      </c>
      <c r="AE359" s="20">
        <f t="shared" si="42"/>
        <v>0.1758597567000621</v>
      </c>
      <c r="AF359" s="20">
        <f t="shared" si="42"/>
        <v>4.4124723476624023E-2</v>
      </c>
      <c r="AG359" s="20">
        <f t="shared" si="42"/>
        <v>-1.2005098846161767E-3</v>
      </c>
      <c r="AH359" s="20">
        <f t="shared" si="42"/>
        <v>0.21505372317533472</v>
      </c>
      <c r="AI359" s="20">
        <f t="shared" si="42"/>
        <v>5.2389323107841064E-2</v>
      </c>
      <c r="AJ359" s="20">
        <f t="shared" si="42"/>
        <v>-1.5297982951581478E-2</v>
      </c>
      <c r="AK359" s="20">
        <f t="shared" si="42"/>
        <v>-1.9765680637717546E-2</v>
      </c>
      <c r="AL359" s="20">
        <f t="shared" si="42"/>
        <v>-1.9654402360582513E-2</v>
      </c>
      <c r="AM359" s="20">
        <f>AM348/AM350</f>
        <v>4.6507106152308797E-2</v>
      </c>
      <c r="AN359" s="20">
        <f>AN348/AN350</f>
        <v>-2.0039744041615737E-2</v>
      </c>
      <c r="AO359" s="20">
        <f>AO348/AO350</f>
        <v>4.0296677597197815E-2</v>
      </c>
      <c r="AP359" s="20">
        <f>AP348/AP350</f>
        <v>-1.3840190977938488E-4</v>
      </c>
      <c r="AQ359" s="20">
        <f t="shared" ref="AQ359:AW359" si="43">AQ348/AQ350</f>
        <v>3.2089495963898491E-2</v>
      </c>
      <c r="AR359" s="20">
        <f t="shared" si="43"/>
        <v>5.4423896257118913E-5</v>
      </c>
      <c r="AS359" s="20">
        <f t="shared" si="43"/>
        <v>3.4493120442715942E-2</v>
      </c>
      <c r="AT359" s="20" t="e">
        <f t="shared" si="43"/>
        <v>#DIV/0!</v>
      </c>
      <c r="AU359" s="20">
        <f t="shared" si="43"/>
        <v>2.4593687957469246E-2</v>
      </c>
      <c r="AV359" s="20">
        <f t="shared" si="43"/>
        <v>2.6483435089811802E-5</v>
      </c>
      <c r="AW359" s="20">
        <f t="shared" si="43"/>
        <v>5.6860902017602973E-5</v>
      </c>
      <c r="AX359" s="20">
        <f>AX348/AX350</f>
        <v>-4.6911918173413074E-3</v>
      </c>
      <c r="AY359" s="20">
        <f t="shared" ref="AY359:BH359" si="44">AY348/AY350</f>
        <v>4.1745603829455094E-2</v>
      </c>
      <c r="AZ359" s="20">
        <f t="shared" si="44"/>
        <v>5.7473922118690776E-2</v>
      </c>
      <c r="BA359" s="20">
        <f t="shared" si="44"/>
        <v>-4.6394120477767295E-3</v>
      </c>
      <c r="BB359" s="20">
        <f t="shared" si="44"/>
        <v>3.900449366989097E-2</v>
      </c>
      <c r="BC359" s="20">
        <f t="shared" si="44"/>
        <v>4.1670968000748827E-2</v>
      </c>
      <c r="BD359" s="20">
        <f t="shared" si="44"/>
        <v>5.976901909259235E-2</v>
      </c>
      <c r="BE359" s="20">
        <f t="shared" si="44"/>
        <v>3.8936356343894862E-2</v>
      </c>
      <c r="BF359" s="20">
        <f t="shared" si="44"/>
        <v>5.9473503902299267E-2</v>
      </c>
      <c r="BG359" s="20">
        <f t="shared" si="44"/>
        <v>-1.5717027330597849E-2</v>
      </c>
      <c r="BH359" s="20">
        <f t="shared" si="44"/>
        <v>4.1490723572392307E-2</v>
      </c>
      <c r="BI359" s="21"/>
    </row>
    <row r="360" spans="1:61" x14ac:dyDescent="0.25">
      <c r="A360" s="21" t="s">
        <v>696</v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</row>
  </sheetData>
  <mergeCells count="3">
    <mergeCell ref="A1:BH1"/>
    <mergeCell ref="BI2:BI359"/>
    <mergeCell ref="A360:BH360"/>
  </mergeCells>
  <conditionalFormatting sqref="B23:B33">
    <cfRule type="cellIs" dxfId="2" priority="26" stopIfTrue="1" operator="lessThan">
      <formula>0</formula>
    </cfRule>
  </conditionalFormatting>
  <conditionalFormatting sqref="C16:D24">
    <cfRule type="cellIs" dxfId="1" priority="18" stopIfTrue="1" operator="lessThan">
      <formula>0</formula>
    </cfRule>
  </conditionalFormatting>
  <conditionalFormatting sqref="E15:BH23 A17:A33">
    <cfRule type="cellIs" dxfId="0" priority="17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13620464-D9F5-47C9-B8DE-65AB27D92FCF}"/>
</file>

<file path=customXml/itemProps2.xml><?xml version="1.0" encoding="utf-8"?>
<ds:datastoreItem xmlns:ds="http://schemas.openxmlformats.org/officeDocument/2006/customXml" ds:itemID="{CBF81AE9-AC0B-45F0-89E5-2C931CECDAFE}"/>
</file>

<file path=customXml/itemProps3.xml><?xml version="1.0" encoding="utf-8"?>
<ds:datastoreItem xmlns:ds="http://schemas.openxmlformats.org/officeDocument/2006/customXml" ds:itemID="{1B4A235E-F093-4875-9774-3FDFF430E3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1/2026</dc:title>
  <dc:creator>פרידמן אמיר</dc:creator>
  <cp:lastModifiedBy>Silvi Cohen</cp:lastModifiedBy>
  <dcterms:created xsi:type="dcterms:W3CDTF">2026-02-18T12:52:20Z</dcterms:created>
  <dcterms:modified xsi:type="dcterms:W3CDTF">2026-03-23T09:08:19Z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