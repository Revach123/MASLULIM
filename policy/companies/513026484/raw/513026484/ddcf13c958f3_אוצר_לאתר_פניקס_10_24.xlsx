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5"/>
  <workbookPr/>
  <mc:AlternateContent xmlns:mc="http://schemas.openxmlformats.org/markup-compatibility/2006">
    <mc:Choice Requires="x15">
      <x15ac:absPath xmlns:x15ac="http://schemas.microsoft.com/office/spreadsheetml/2010/11/ac" url="C:\Users\usf25330\Downloads\"/>
    </mc:Choice>
  </mc:AlternateContent>
  <xr:revisionPtr revIDLastSave="0" documentId="8_{E63CA5DD-5CA6-4930-B2FD-C241B5230D5D}" xr6:coauthVersionLast="36" xr6:coauthVersionMax="36" xr10:uidLastSave="{00000000-0000-0000-0000-000000000000}"/>
  <bookViews>
    <workbookView xWindow="-105" yWindow="-105" windowWidth="23250" windowHeight="12450" xr2:uid="{00000000-000D-0000-FFFF-FFFF00000000}"/>
  </bookViews>
  <sheets>
    <sheet name="גיליון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Q355" i="1" l="1"/>
  <c r="BP355" i="1"/>
  <c r="BO355" i="1"/>
  <c r="BN355" i="1"/>
  <c r="BM355" i="1"/>
  <c r="BL355" i="1"/>
  <c r="BK355" i="1"/>
  <c r="BJ355" i="1"/>
  <c r="BI355" i="1"/>
  <c r="BH355" i="1"/>
  <c r="BG355" i="1"/>
  <c r="BF355" i="1"/>
  <c r="BE355" i="1"/>
  <c r="BD355" i="1"/>
  <c r="BC355" i="1"/>
  <c r="BB355" i="1"/>
  <c r="BA355" i="1"/>
  <c r="AZ355" i="1"/>
  <c r="AY355" i="1"/>
  <c r="AX355" i="1"/>
  <c r="AW355" i="1"/>
  <c r="AV355" i="1"/>
  <c r="AU355" i="1"/>
  <c r="AT355" i="1"/>
  <c r="AS355" i="1"/>
  <c r="AR355" i="1"/>
  <c r="AQ355" i="1"/>
  <c r="AP355" i="1"/>
  <c r="AO355" i="1"/>
  <c r="AN355" i="1"/>
  <c r="AM355" i="1"/>
  <c r="AL355" i="1"/>
  <c r="AK355" i="1"/>
  <c r="AJ355" i="1"/>
  <c r="AI355" i="1"/>
  <c r="AH355" i="1"/>
  <c r="AG355" i="1"/>
  <c r="AF355" i="1"/>
  <c r="AE355" i="1"/>
  <c r="AD355" i="1"/>
  <c r="AC355" i="1"/>
  <c r="AB355" i="1"/>
  <c r="AA355" i="1"/>
  <c r="Z355" i="1"/>
  <c r="Y355" i="1"/>
  <c r="X355" i="1"/>
  <c r="W355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I355" i="1"/>
  <c r="H355" i="1"/>
  <c r="G355" i="1"/>
  <c r="F355" i="1"/>
  <c r="E355" i="1"/>
  <c r="BQ350" i="1"/>
  <c r="BP350" i="1"/>
  <c r="BO350" i="1"/>
  <c r="BN350" i="1"/>
  <c r="BM350" i="1"/>
  <c r="BL350" i="1"/>
  <c r="BK350" i="1"/>
  <c r="BJ350" i="1"/>
  <c r="BI350" i="1"/>
  <c r="BH350" i="1"/>
  <c r="BG350" i="1"/>
  <c r="BF350" i="1"/>
  <c r="BE350" i="1"/>
  <c r="BD350" i="1"/>
  <c r="BC350" i="1"/>
  <c r="BB350" i="1"/>
  <c r="BA350" i="1"/>
  <c r="AZ350" i="1"/>
  <c r="AY350" i="1"/>
  <c r="AX350" i="1"/>
  <c r="AW350" i="1"/>
  <c r="AV350" i="1"/>
  <c r="AU350" i="1"/>
  <c r="AT350" i="1"/>
  <c r="AS350" i="1"/>
  <c r="AR350" i="1"/>
  <c r="AQ350" i="1"/>
  <c r="AP350" i="1"/>
  <c r="AO350" i="1"/>
  <c r="AN350" i="1"/>
  <c r="AM350" i="1"/>
  <c r="AL350" i="1"/>
  <c r="AK350" i="1"/>
  <c r="AJ350" i="1"/>
  <c r="AI350" i="1"/>
  <c r="AH350" i="1"/>
  <c r="AG350" i="1"/>
  <c r="AF350" i="1"/>
  <c r="AE350" i="1"/>
  <c r="AD350" i="1"/>
  <c r="AC350" i="1"/>
  <c r="AB350" i="1"/>
  <c r="AA350" i="1"/>
  <c r="Z350" i="1"/>
  <c r="Y350" i="1"/>
  <c r="X350" i="1"/>
  <c r="W350" i="1"/>
  <c r="V350" i="1"/>
  <c r="U350" i="1"/>
  <c r="T350" i="1"/>
  <c r="S350" i="1"/>
  <c r="R350" i="1"/>
  <c r="Q350" i="1"/>
  <c r="P350" i="1"/>
  <c r="O350" i="1"/>
  <c r="N350" i="1"/>
  <c r="M350" i="1"/>
  <c r="L350" i="1"/>
  <c r="K350" i="1"/>
  <c r="J350" i="1"/>
  <c r="I350" i="1"/>
  <c r="H350" i="1"/>
  <c r="G350" i="1"/>
  <c r="F350" i="1"/>
  <c r="E350" i="1"/>
  <c r="BQ349" i="1"/>
  <c r="BP349" i="1"/>
  <c r="BO349" i="1"/>
  <c r="BN349" i="1"/>
  <c r="BM349" i="1"/>
  <c r="BL349" i="1"/>
  <c r="BK349" i="1"/>
  <c r="BJ349" i="1"/>
  <c r="BI349" i="1"/>
  <c r="BH349" i="1"/>
  <c r="BG349" i="1"/>
  <c r="BF349" i="1"/>
  <c r="BE349" i="1"/>
  <c r="BD349" i="1"/>
  <c r="BC349" i="1"/>
  <c r="BB349" i="1"/>
  <c r="BA349" i="1"/>
  <c r="AZ349" i="1"/>
  <c r="AY349" i="1"/>
  <c r="AX349" i="1"/>
  <c r="AW349" i="1"/>
  <c r="AV349" i="1"/>
  <c r="AU349" i="1"/>
  <c r="AT349" i="1"/>
  <c r="AS349" i="1"/>
  <c r="AR349" i="1"/>
  <c r="AQ349" i="1"/>
  <c r="AP349" i="1"/>
  <c r="AO349" i="1"/>
  <c r="AN349" i="1"/>
  <c r="AM349" i="1"/>
  <c r="AL349" i="1"/>
  <c r="AK349" i="1"/>
  <c r="AJ349" i="1"/>
  <c r="AI349" i="1"/>
  <c r="AH349" i="1"/>
  <c r="AG349" i="1"/>
  <c r="AF349" i="1"/>
  <c r="AE349" i="1"/>
  <c r="AD349" i="1"/>
  <c r="AC349" i="1"/>
  <c r="AB349" i="1"/>
  <c r="AA349" i="1"/>
  <c r="Z349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H349" i="1"/>
  <c r="G349" i="1"/>
  <c r="F349" i="1"/>
  <c r="E349" i="1"/>
  <c r="BQ348" i="1"/>
  <c r="BP348" i="1"/>
  <c r="BO348" i="1"/>
  <c r="BN348" i="1"/>
  <c r="BM348" i="1"/>
  <c r="BL348" i="1"/>
  <c r="BK348" i="1"/>
  <c r="BJ348" i="1"/>
  <c r="BI348" i="1"/>
  <c r="BH348" i="1"/>
  <c r="BG348" i="1"/>
  <c r="BF348" i="1"/>
  <c r="BE348" i="1"/>
  <c r="BD348" i="1"/>
  <c r="BC348" i="1"/>
  <c r="BB348" i="1"/>
  <c r="BA348" i="1"/>
  <c r="AZ348" i="1"/>
  <c r="AY348" i="1"/>
  <c r="AX348" i="1"/>
  <c r="AW348" i="1"/>
  <c r="AV348" i="1"/>
  <c r="AU348" i="1"/>
  <c r="AT348" i="1"/>
  <c r="AS348" i="1"/>
  <c r="AR348" i="1"/>
  <c r="AQ348" i="1"/>
  <c r="AP348" i="1"/>
  <c r="AO348" i="1"/>
  <c r="AN348" i="1"/>
  <c r="AM348" i="1"/>
  <c r="AL348" i="1"/>
  <c r="AK348" i="1"/>
  <c r="AJ348" i="1"/>
  <c r="AI348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E348" i="1"/>
  <c r="BQ347" i="1"/>
  <c r="BP347" i="1"/>
  <c r="BO347" i="1"/>
  <c r="BN347" i="1"/>
  <c r="BM347" i="1"/>
  <c r="BL347" i="1"/>
  <c r="BK347" i="1"/>
  <c r="BJ347" i="1"/>
  <c r="BI347" i="1"/>
  <c r="BH347" i="1"/>
  <c r="BG347" i="1"/>
  <c r="BF347" i="1"/>
  <c r="BE347" i="1"/>
  <c r="BD347" i="1"/>
  <c r="BC347" i="1"/>
  <c r="BB347" i="1"/>
  <c r="BA347" i="1"/>
  <c r="AZ347" i="1"/>
  <c r="AY347" i="1"/>
  <c r="AX347" i="1"/>
  <c r="AW347" i="1"/>
  <c r="AV347" i="1"/>
  <c r="AU347" i="1"/>
  <c r="AT347" i="1"/>
  <c r="AS347" i="1"/>
  <c r="AR347" i="1"/>
  <c r="AQ347" i="1"/>
  <c r="AP347" i="1"/>
  <c r="AO347" i="1"/>
  <c r="AN347" i="1"/>
  <c r="AM347" i="1"/>
  <c r="AL347" i="1"/>
  <c r="AK347" i="1"/>
  <c r="AJ347" i="1"/>
  <c r="AI347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BQ346" i="1"/>
  <c r="BP346" i="1"/>
  <c r="BO346" i="1"/>
  <c r="BN346" i="1"/>
  <c r="BM346" i="1"/>
  <c r="BL346" i="1"/>
  <c r="BK346" i="1"/>
  <c r="BJ346" i="1"/>
  <c r="BI346" i="1"/>
  <c r="BH346" i="1"/>
  <c r="BG346" i="1"/>
  <c r="BF346" i="1"/>
  <c r="BE346" i="1"/>
  <c r="BD346" i="1"/>
  <c r="BC346" i="1"/>
  <c r="BB346" i="1"/>
  <c r="BA346" i="1"/>
  <c r="AZ346" i="1"/>
  <c r="AY346" i="1"/>
  <c r="AX346" i="1"/>
  <c r="AW346" i="1"/>
  <c r="AV346" i="1"/>
  <c r="AU346" i="1"/>
  <c r="AT346" i="1"/>
  <c r="AS346" i="1"/>
  <c r="AR346" i="1"/>
  <c r="AQ346" i="1"/>
  <c r="AP346" i="1"/>
  <c r="AO346" i="1"/>
  <c r="AN346" i="1"/>
  <c r="AM346" i="1"/>
  <c r="AL346" i="1"/>
  <c r="AK346" i="1"/>
  <c r="AJ346" i="1"/>
  <c r="AI346" i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BQ345" i="1"/>
  <c r="BP345" i="1"/>
  <c r="BO345" i="1"/>
  <c r="BN345" i="1"/>
  <c r="BM345" i="1"/>
  <c r="BL345" i="1"/>
  <c r="BK345" i="1"/>
  <c r="BJ345" i="1"/>
  <c r="BI345" i="1"/>
  <c r="BH345" i="1"/>
  <c r="BG345" i="1"/>
  <c r="BF345" i="1"/>
  <c r="BE345" i="1"/>
  <c r="BD345" i="1"/>
  <c r="BC345" i="1"/>
  <c r="BB345" i="1"/>
  <c r="BA345" i="1"/>
  <c r="AZ345" i="1"/>
  <c r="AY345" i="1"/>
  <c r="AX345" i="1"/>
  <c r="AW345" i="1"/>
  <c r="AV345" i="1"/>
  <c r="AU345" i="1"/>
  <c r="AT345" i="1"/>
  <c r="AS345" i="1"/>
  <c r="AR345" i="1"/>
  <c r="AQ345" i="1"/>
  <c r="AP345" i="1"/>
  <c r="AO345" i="1"/>
  <c r="AN345" i="1"/>
  <c r="AM345" i="1"/>
  <c r="AL345" i="1"/>
  <c r="AK345" i="1"/>
  <c r="AJ345" i="1"/>
  <c r="AI345" i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BQ343" i="1"/>
  <c r="BP343" i="1"/>
  <c r="BO343" i="1"/>
  <c r="BN343" i="1"/>
  <c r="BM343" i="1"/>
  <c r="BL343" i="1"/>
  <c r="BK343" i="1"/>
  <c r="BJ343" i="1"/>
  <c r="BI343" i="1"/>
  <c r="BH343" i="1"/>
  <c r="BG343" i="1"/>
  <c r="BF343" i="1"/>
  <c r="BE343" i="1"/>
  <c r="BD343" i="1"/>
  <c r="BC343" i="1"/>
  <c r="BB343" i="1"/>
  <c r="BA343" i="1"/>
  <c r="AZ343" i="1"/>
  <c r="AY343" i="1"/>
  <c r="AX343" i="1"/>
  <c r="AW343" i="1"/>
  <c r="AV343" i="1"/>
  <c r="AU343" i="1"/>
  <c r="AT343" i="1"/>
  <c r="AS343" i="1"/>
  <c r="AR343" i="1"/>
  <c r="AQ343" i="1"/>
  <c r="AP343" i="1"/>
  <c r="AO343" i="1"/>
  <c r="AN343" i="1"/>
  <c r="AM343" i="1"/>
  <c r="AL343" i="1"/>
  <c r="AK343" i="1"/>
  <c r="AJ343" i="1"/>
  <c r="AI343" i="1"/>
  <c r="AH343" i="1"/>
  <c r="AG343" i="1"/>
  <c r="AF343" i="1"/>
  <c r="AE343" i="1"/>
  <c r="AD343" i="1"/>
  <c r="AC343" i="1"/>
  <c r="AB343" i="1"/>
  <c r="AA343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H343" i="1"/>
  <c r="G343" i="1"/>
  <c r="F343" i="1"/>
  <c r="E343" i="1"/>
  <c r="AC352" i="1" l="1"/>
  <c r="AC354" i="1" s="1"/>
  <c r="AS352" i="1"/>
  <c r="AS354" i="1" s="1"/>
  <c r="BI352" i="1"/>
  <c r="BI354" i="1" s="1"/>
  <c r="AN352" i="1"/>
  <c r="AN354" i="1" s="1"/>
  <c r="H352" i="1"/>
  <c r="H354" i="1" s="1"/>
  <c r="T352" i="1"/>
  <c r="T354" i="1" s="1"/>
  <c r="AJ352" i="1"/>
  <c r="AJ354" i="1" s="1"/>
  <c r="AV352" i="1"/>
  <c r="AV354" i="1" s="1"/>
  <c r="BL352" i="1"/>
  <c r="BL354" i="1" s="1"/>
  <c r="J352" i="1"/>
  <c r="J354" i="1" s="1"/>
  <c r="Z352" i="1"/>
  <c r="Z356" i="1" s="1"/>
  <c r="AP352" i="1"/>
  <c r="AP354" i="1" s="1"/>
  <c r="BF352" i="1"/>
  <c r="BF354" i="1" s="1"/>
  <c r="BJ352" i="1"/>
  <c r="BJ354" i="1" s="1"/>
  <c r="AC357" i="1"/>
  <c r="AS357" i="1"/>
  <c r="R352" i="1"/>
  <c r="R354" i="1" s="1"/>
  <c r="AZ352" i="1"/>
  <c r="AZ354" i="1" s="1"/>
  <c r="BH352" i="1"/>
  <c r="BH354" i="1" s="1"/>
  <c r="BP352" i="1"/>
  <c r="BP354" i="1" s="1"/>
  <c r="N352" i="1"/>
  <c r="N354" i="1" s="1"/>
  <c r="V352" i="1"/>
  <c r="V354" i="1" s="1"/>
  <c r="AD352" i="1"/>
  <c r="AD354" i="1" s="1"/>
  <c r="AL352" i="1"/>
  <c r="AL354" i="1" s="1"/>
  <c r="AT352" i="1"/>
  <c r="AT354" i="1" s="1"/>
  <c r="BB352" i="1"/>
  <c r="BB354" i="1" s="1"/>
  <c r="G352" i="1"/>
  <c r="G354" i="1" s="1"/>
  <c r="K352" i="1"/>
  <c r="K354" i="1" s="1"/>
  <c r="O352" i="1"/>
  <c r="O354" i="1" s="1"/>
  <c r="S352" i="1"/>
  <c r="S354" i="1" s="1"/>
  <c r="W352" i="1"/>
  <c r="W354" i="1" s="1"/>
  <c r="AA352" i="1"/>
  <c r="AA354" i="1" s="1"/>
  <c r="AE352" i="1"/>
  <c r="AE361" i="1" s="1"/>
  <c r="AI352" i="1"/>
  <c r="AI354" i="1" s="1"/>
  <c r="AM352" i="1"/>
  <c r="AM354" i="1" s="1"/>
  <c r="AQ352" i="1"/>
  <c r="AQ354" i="1" s="1"/>
  <c r="AU352" i="1"/>
  <c r="AU354" i="1" s="1"/>
  <c r="AY352" i="1"/>
  <c r="AY354" i="1" s="1"/>
  <c r="BC352" i="1"/>
  <c r="BC354" i="1" s="1"/>
  <c r="BG352" i="1"/>
  <c r="BG354" i="1" s="1"/>
  <c r="BK352" i="1"/>
  <c r="BK357" i="1" s="1"/>
  <c r="BO352" i="1"/>
  <c r="BO354" i="1" s="1"/>
  <c r="R357" i="1"/>
  <c r="AC358" i="1"/>
  <c r="AS358" i="1"/>
  <c r="BI358" i="1"/>
  <c r="H359" i="1"/>
  <c r="BH359" i="1"/>
  <c r="AM360" i="1"/>
  <c r="R361" i="1"/>
  <c r="F352" i="1"/>
  <c r="F361" i="1" s="1"/>
  <c r="X352" i="1"/>
  <c r="X354" i="1" s="1"/>
  <c r="BN352" i="1"/>
  <c r="BN354" i="1" s="1"/>
  <c r="L352" i="1"/>
  <c r="L354" i="1" s="1"/>
  <c r="AB352" i="1"/>
  <c r="AB354" i="1" s="1"/>
  <c r="AR352" i="1"/>
  <c r="AR354" i="1" s="1"/>
  <c r="AC359" i="1"/>
  <c r="AS359" i="1"/>
  <c r="BI359" i="1"/>
  <c r="H360" i="1"/>
  <c r="L360" i="1"/>
  <c r="BH360" i="1"/>
  <c r="AX352" i="1"/>
  <c r="AX361" i="1" s="1"/>
  <c r="P352" i="1"/>
  <c r="P354" i="1" s="1"/>
  <c r="AF352" i="1"/>
  <c r="AF354" i="1" s="1"/>
  <c r="E352" i="1"/>
  <c r="E354" i="1" s="1"/>
  <c r="I352" i="1"/>
  <c r="I354" i="1" s="1"/>
  <c r="Q352" i="1"/>
  <c r="Q354" i="1" s="1"/>
  <c r="U352" i="1"/>
  <c r="U354" i="1" s="1"/>
  <c r="Y352" i="1"/>
  <c r="Y354" i="1" s="1"/>
  <c r="AC356" i="1"/>
  <c r="AG352" i="1"/>
  <c r="AG354" i="1" s="1"/>
  <c r="AK352" i="1"/>
  <c r="AK354" i="1" s="1"/>
  <c r="AO352" i="1"/>
  <c r="AO354" i="1" s="1"/>
  <c r="AS356" i="1"/>
  <c r="AW352" i="1"/>
  <c r="AW354" i="1" s="1"/>
  <c r="BA352" i="1"/>
  <c r="BA354" i="1" s="1"/>
  <c r="BE352" i="1"/>
  <c r="BE354" i="1" s="1"/>
  <c r="BI356" i="1"/>
  <c r="BM352" i="1"/>
  <c r="BM354" i="1" s="1"/>
  <c r="BQ352" i="1"/>
  <c r="BQ354" i="1" s="1"/>
  <c r="AZ357" i="1"/>
  <c r="AM358" i="1"/>
  <c r="BG358" i="1"/>
  <c r="BK358" i="1"/>
  <c r="J359" i="1"/>
  <c r="R359" i="1"/>
  <c r="Z359" i="1"/>
  <c r="M352" i="1"/>
  <c r="M354" i="1" s="1"/>
  <c r="AH352" i="1"/>
  <c r="AH354" i="1" s="1"/>
  <c r="BD352" i="1"/>
  <c r="BD354" i="1" s="1"/>
  <c r="AT359" i="1"/>
  <c r="BB359" i="1"/>
  <c r="AC360" i="1"/>
  <c r="AO360" i="1"/>
  <c r="AS360" i="1"/>
  <c r="BI360" i="1"/>
  <c r="AN361" i="1"/>
  <c r="BH361" i="1"/>
  <c r="BL361" i="1"/>
  <c r="J360" i="1"/>
  <c r="R360" i="1"/>
  <c r="Z360" i="1"/>
  <c r="AT360" i="1"/>
  <c r="BB360" i="1"/>
  <c r="BF360" i="1"/>
  <c r="E361" i="1"/>
  <c r="AC361" i="1"/>
  <c r="AS361" i="1"/>
  <c r="BI361" i="1"/>
  <c r="AZ359" i="1"/>
  <c r="BL359" i="1"/>
  <c r="BO360" i="1"/>
  <c r="AT361" i="1"/>
  <c r="AA358" i="1" l="1"/>
  <c r="BQ361" i="1"/>
  <c r="AL359" i="1"/>
  <c r="AL360" i="1"/>
  <c r="F358" i="1"/>
  <c r="BJ357" i="1"/>
  <c r="AL361" i="1"/>
  <c r="AD360" i="1"/>
  <c r="BJ359" i="1"/>
  <c r="AN357" i="1"/>
  <c r="AV360" i="1"/>
  <c r="W358" i="1"/>
  <c r="AF357" i="1"/>
  <c r="BM361" i="1"/>
  <c r="AG360" i="1"/>
  <c r="AA361" i="1"/>
  <c r="AF361" i="1"/>
  <c r="BC360" i="1"/>
  <c r="H361" i="1"/>
  <c r="AG361" i="1"/>
  <c r="BQ360" i="1"/>
  <c r="AN360" i="1"/>
  <c r="AA360" i="1"/>
  <c r="BM360" i="1"/>
  <c r="X357" i="1"/>
  <c r="AN359" i="1"/>
  <c r="AV359" i="1"/>
  <c r="AV361" i="1"/>
  <c r="T357" i="1"/>
  <c r="BJ356" i="1"/>
  <c r="AY360" i="1"/>
  <c r="Q356" i="1"/>
  <c r="S358" i="1"/>
  <c r="L357" i="1"/>
  <c r="AQ361" i="1"/>
  <c r="L356" i="1"/>
  <c r="BK356" i="1"/>
  <c r="V359" i="1"/>
  <c r="AY361" i="1"/>
  <c r="AQ360" i="1"/>
  <c r="BO359" i="1"/>
  <c r="BP357" i="1"/>
  <c r="BJ358" i="1"/>
  <c r="V361" i="1"/>
  <c r="AY359" i="1"/>
  <c r="AB361" i="1"/>
  <c r="AK360" i="1"/>
  <c r="AY357" i="1"/>
  <c r="S361" i="1"/>
  <c r="BJ360" i="1"/>
  <c r="BJ361" i="1"/>
  <c r="S360" i="1"/>
  <c r="AU359" i="1"/>
  <c r="L361" i="1"/>
  <c r="AY358" i="1"/>
  <c r="AV357" i="1"/>
  <c r="S357" i="1"/>
  <c r="BP360" i="1"/>
  <c r="BC356" i="1"/>
  <c r="AN358" i="1"/>
  <c r="V360" i="1"/>
  <c r="BP359" i="1"/>
  <c r="BP361" i="1"/>
  <c r="AQ358" i="1"/>
  <c r="Z358" i="1"/>
  <c r="BD361" i="1"/>
  <c r="E360" i="1"/>
  <c r="AD361" i="1"/>
  <c r="AO361" i="1"/>
  <c r="AX360" i="1"/>
  <c r="AD359" i="1"/>
  <c r="AM361" i="1"/>
  <c r="W360" i="1"/>
  <c r="AT357" i="1"/>
  <c r="BD359" i="1"/>
  <c r="AK361" i="1"/>
  <c r="BK359" i="1"/>
  <c r="AD357" i="1"/>
  <c r="AE356" i="1"/>
  <c r="Z357" i="1"/>
  <c r="V357" i="1"/>
  <c r="W359" i="1"/>
  <c r="P361" i="1"/>
  <c r="F359" i="1"/>
  <c r="P357" i="1"/>
  <c r="BK361" i="1"/>
  <c r="AM357" i="1"/>
  <c r="AM356" i="1"/>
  <c r="N361" i="1"/>
  <c r="AJ358" i="1"/>
  <c r="G360" i="1"/>
  <c r="Y361" i="1"/>
  <c r="N360" i="1"/>
  <c r="W361" i="1"/>
  <c r="AJ360" i="1"/>
  <c r="BC357" i="1"/>
  <c r="T358" i="1"/>
  <c r="K358" i="1"/>
  <c r="AJ356" i="1"/>
  <c r="K360" i="1"/>
  <c r="G358" i="1"/>
  <c r="BF361" i="1"/>
  <c r="BG360" i="1"/>
  <c r="BA361" i="1"/>
  <c r="U361" i="1"/>
  <c r="X361" i="1"/>
  <c r="BE360" i="1"/>
  <c r="Y360" i="1"/>
  <c r="N359" i="1"/>
  <c r="AI358" i="1"/>
  <c r="X360" i="1"/>
  <c r="BB361" i="1"/>
  <c r="BF357" i="1"/>
  <c r="N357" i="1"/>
  <c r="W356" i="1"/>
  <c r="BI357" i="1"/>
  <c r="AJ361" i="1"/>
  <c r="Q361" i="1"/>
  <c r="K361" i="1"/>
  <c r="AP361" i="1"/>
  <c r="AJ359" i="1"/>
  <c r="BB357" i="1"/>
  <c r="BF358" i="1"/>
  <c r="BN361" i="1"/>
  <c r="AW361" i="1"/>
  <c r="AW360" i="1"/>
  <c r="AP359" i="1"/>
  <c r="AD358" i="1"/>
  <c r="BC361" i="1"/>
  <c r="G361" i="1"/>
  <c r="L359" i="1"/>
  <c r="AD356" i="1"/>
  <c r="AN356" i="1"/>
  <c r="AP360" i="1"/>
  <c r="T361" i="1"/>
  <c r="BA360" i="1"/>
  <c r="AE358" i="1"/>
  <c r="AI360" i="1"/>
  <c r="BN360" i="1"/>
  <c r="BG359" i="1"/>
  <c r="AR361" i="1"/>
  <c r="BF359" i="1"/>
  <c r="AJ357" i="1"/>
  <c r="BO357" i="1"/>
  <c r="AP357" i="1"/>
  <c r="M361" i="1"/>
  <c r="O357" i="1"/>
  <c r="BE361" i="1"/>
  <c r="AZ361" i="1"/>
  <c r="Q360" i="1"/>
  <c r="BO358" i="1"/>
  <c r="AU358" i="1"/>
  <c r="O358" i="1"/>
  <c r="BL357" i="1"/>
  <c r="AR357" i="1"/>
  <c r="AT358" i="1"/>
  <c r="AZ360" i="1"/>
  <c r="AO359" i="1"/>
  <c r="AR356" i="1"/>
  <c r="O360" i="1"/>
  <c r="AT356" i="1"/>
  <c r="BL358" i="1"/>
  <c r="BL356" i="1"/>
  <c r="M360" i="1"/>
  <c r="BD357" i="1"/>
  <c r="BA356" i="1"/>
  <c r="P356" i="1"/>
  <c r="AI361" i="1"/>
  <c r="AU360" i="1"/>
  <c r="X359" i="1"/>
  <c r="J358" i="1"/>
  <c r="BH358" i="1"/>
  <c r="J356" i="1"/>
  <c r="AK356" i="1"/>
  <c r="AG359" i="1"/>
  <c r="N358" i="1"/>
  <c r="G357" i="1"/>
  <c r="AU361" i="1"/>
  <c r="O361" i="1"/>
  <c r="BL360" i="1"/>
  <c r="AR360" i="1"/>
  <c r="T360" i="1"/>
  <c r="BE359" i="1"/>
  <c r="R358" i="1"/>
  <c r="W357" i="1"/>
  <c r="J361" i="1"/>
  <c r="AR359" i="1"/>
  <c r="T359" i="1"/>
  <c r="J357" i="1"/>
  <c r="AU356" i="1"/>
  <c r="O356" i="1"/>
  <c r="N356" i="1"/>
  <c r="BH356" i="1"/>
  <c r="AM359" i="1"/>
  <c r="AV358" i="1"/>
  <c r="H358" i="1"/>
  <c r="V358" i="1"/>
  <c r="H356" i="1"/>
  <c r="AH360" i="1"/>
  <c r="AW356" i="1"/>
  <c r="AH359" i="1"/>
  <c r="U356" i="1"/>
  <c r="Y359" i="1"/>
  <c r="AX354" i="1"/>
  <c r="AX359" i="1"/>
  <c r="BG361" i="1"/>
  <c r="AF360" i="1"/>
  <c r="P360" i="1"/>
  <c r="BQ359" i="1"/>
  <c r="BA359" i="1"/>
  <c r="AK359" i="1"/>
  <c r="BN358" i="1"/>
  <c r="AB356" i="1"/>
  <c r="AH361" i="1"/>
  <c r="BE358" i="1"/>
  <c r="AO358" i="1"/>
  <c r="U358" i="1"/>
  <c r="AP358" i="1"/>
  <c r="AU357" i="1"/>
  <c r="BP356" i="1"/>
  <c r="AZ356" i="1"/>
  <c r="AI359" i="1"/>
  <c r="S359" i="1"/>
  <c r="BP358" i="1"/>
  <c r="AZ358" i="1"/>
  <c r="BQ357" i="1"/>
  <c r="BA357" i="1"/>
  <c r="AK357" i="1"/>
  <c r="U357" i="1"/>
  <c r="E357" i="1"/>
  <c r="AP356" i="1"/>
  <c r="R356" i="1"/>
  <c r="K357" i="1"/>
  <c r="BC358" i="1"/>
  <c r="BE356" i="1"/>
  <c r="I356" i="1"/>
  <c r="Q357" i="1"/>
  <c r="I361" i="1"/>
  <c r="I360" i="1"/>
  <c r="BN359" i="1"/>
  <c r="BQ356" i="1"/>
  <c r="Q359" i="1"/>
  <c r="AI357" i="1"/>
  <c r="AF356" i="1"/>
  <c r="AB360" i="1"/>
  <c r="BM359" i="1"/>
  <c r="AW359" i="1"/>
  <c r="AX358" i="1"/>
  <c r="F354" i="1"/>
  <c r="F360" i="1"/>
  <c r="P359" i="1"/>
  <c r="BQ358" i="1"/>
  <c r="BA358" i="1"/>
  <c r="AK358" i="1"/>
  <c r="Q358" i="1"/>
  <c r="E358" i="1"/>
  <c r="AH357" i="1"/>
  <c r="F357" i="1"/>
  <c r="BK354" i="1"/>
  <c r="BK360" i="1"/>
  <c r="AE354" i="1"/>
  <c r="AE360" i="1"/>
  <c r="BB356" i="1"/>
  <c r="AL356" i="1"/>
  <c r="V356" i="1"/>
  <c r="AE357" i="1"/>
  <c r="BC359" i="1"/>
  <c r="AE359" i="1"/>
  <c r="O359" i="1"/>
  <c r="AF358" i="1"/>
  <c r="P358" i="1"/>
  <c r="BM357" i="1"/>
  <c r="AW357" i="1"/>
  <c r="AG357" i="1"/>
  <c r="M357" i="1"/>
  <c r="BN356" i="1"/>
  <c r="BF356" i="1"/>
  <c r="AH356" i="1"/>
  <c r="BB358" i="1"/>
  <c r="BG357" i="1"/>
  <c r="AV356" i="1"/>
  <c r="T356" i="1"/>
  <c r="BH357" i="1"/>
  <c r="AO356" i="1"/>
  <c r="E356" i="1"/>
  <c r="AB359" i="1"/>
  <c r="U360" i="1"/>
  <c r="AB357" i="1"/>
  <c r="M356" i="1"/>
  <c r="E359" i="1"/>
  <c r="BO361" i="1"/>
  <c r="BD360" i="1"/>
  <c r="U359" i="1"/>
  <c r="AH358" i="1"/>
  <c r="AF359" i="1"/>
  <c r="BM358" i="1"/>
  <c r="AW358" i="1"/>
  <c r="M358" i="1"/>
  <c r="BN357" i="1"/>
  <c r="AX357" i="1"/>
  <c r="BO356" i="1"/>
  <c r="BG356" i="1"/>
  <c r="AY356" i="1"/>
  <c r="AQ356" i="1"/>
  <c r="AI356" i="1"/>
  <c r="AA356" i="1"/>
  <c r="S356" i="1"/>
  <c r="K356" i="1"/>
  <c r="G356" i="1"/>
  <c r="I359" i="1"/>
  <c r="X356" i="1"/>
  <c r="AQ359" i="1"/>
  <c r="AA359" i="1"/>
  <c r="K359" i="1"/>
  <c r="AR358" i="1"/>
  <c r="AB358" i="1"/>
  <c r="I357" i="1"/>
  <c r="AX356" i="1"/>
  <c r="Z354" i="1"/>
  <c r="Z361" i="1"/>
  <c r="AL358" i="1"/>
  <c r="AQ357" i="1"/>
  <c r="H357" i="1"/>
  <c r="AG356" i="1"/>
  <c r="AG358" i="1"/>
  <c r="M359" i="1"/>
  <c r="Y358" i="1"/>
  <c r="I358" i="1"/>
  <c r="G359" i="1"/>
  <c r="BD358" i="1"/>
  <c r="X358" i="1"/>
  <c r="BE357" i="1"/>
  <c r="AO357" i="1"/>
  <c r="Y357" i="1"/>
  <c r="F356" i="1"/>
  <c r="AA357" i="1"/>
  <c r="BD356" i="1"/>
  <c r="BM356" i="1"/>
  <c r="Y356" i="1"/>
  <c r="L358" i="1"/>
  <c r="AL357" i="1"/>
</calcChain>
</file>

<file path=xl/sharedStrings.xml><?xml version="1.0" encoding="utf-8"?>
<sst xmlns="http://schemas.openxmlformats.org/spreadsheetml/2006/main" count="769" uniqueCount="701">
  <si>
    <t>אישור</t>
  </si>
  <si>
    <t>מזומן בש"ח</t>
  </si>
  <si>
    <t>DA12</t>
  </si>
  <si>
    <t>מזומן מט"ח</t>
  </si>
  <si>
    <t>DT11</t>
  </si>
  <si>
    <t>פרי / פחק</t>
  </si>
  <si>
    <t>DA10</t>
  </si>
  <si>
    <t>פקמ לתקופה של עד שלושה חודשים</t>
  </si>
  <si>
    <t>DT420</t>
  </si>
  <si>
    <t>פקדון צמוד מדד לתקופה של עד שלושה חודשים</t>
  </si>
  <si>
    <t>DT421</t>
  </si>
  <si>
    <t>פקדון צמוד מט"ח לתקופה של עד שלושה חודשים</t>
  </si>
  <si>
    <t>DT422</t>
  </si>
  <si>
    <t>פקדון במט"ח לתקופה של עד שלושה חודשים</t>
  </si>
  <si>
    <t>DT423</t>
  </si>
  <si>
    <t>DT191</t>
  </si>
  <si>
    <t>פקדון לתקופה של עד שלושה חודשים בחול</t>
  </si>
  <si>
    <t>DT424</t>
  </si>
  <si>
    <t>ממשלתי צמוד</t>
  </si>
  <si>
    <t>DT13</t>
  </si>
  <si>
    <t>ממשלתי צמוד מט"ח</t>
  </si>
  <si>
    <t>DT14</t>
  </si>
  <si>
    <t>ממשלתי לא צמוד קבוע</t>
  </si>
  <si>
    <t>DT15</t>
  </si>
  <si>
    <t>ממשלתי לא צמוד משתנה</t>
  </si>
  <si>
    <t>DT16</t>
  </si>
  <si>
    <t>מק"מ</t>
  </si>
  <si>
    <t>DA9</t>
  </si>
  <si>
    <t>אג"ח מיועדות</t>
  </si>
  <si>
    <t>DT7</t>
  </si>
  <si>
    <t>פקדונות חשכל</t>
  </si>
  <si>
    <t>DA8</t>
  </si>
  <si>
    <t>ממשלתי בחו"ל</t>
  </si>
  <si>
    <t>DT17</t>
  </si>
  <si>
    <t>ממשלתי זר בחו"ל</t>
  </si>
  <si>
    <t>DT26</t>
  </si>
  <si>
    <t>ממשלתי לא סחיר בחו"ל</t>
  </si>
  <si>
    <t>DT425</t>
  </si>
  <si>
    <t>ממשלתי זר לא סחיר בחו"ל</t>
  </si>
  <si>
    <t>DT426</t>
  </si>
  <si>
    <t>תעודות חוב צמוד מדד בדרוג AA- ומעלה</t>
  </si>
  <si>
    <t>DT427</t>
  </si>
  <si>
    <t>תעודות חוב צמוד מט"ח בדרוג AA- ומעלה</t>
  </si>
  <si>
    <t>DT560</t>
  </si>
  <si>
    <t>תעודות חוב לא צמוד בדרוג AA- ומעלה</t>
  </si>
  <si>
    <t>DT561</t>
  </si>
  <si>
    <t>תעודות חוב צמוד מדד בדרוג -A+:BBB</t>
  </si>
  <si>
    <t>DT428</t>
  </si>
  <si>
    <t>תעודות חוב צמוד מט"ח בדרוג -A+:BBB</t>
  </si>
  <si>
    <t>DT562</t>
  </si>
  <si>
    <t>תעודות חוב לא צמוד בדרוג -A+:BBB</t>
  </si>
  <si>
    <t>DT563</t>
  </si>
  <si>
    <t>תעודות חוב צמוד מדד בדרוג בדרוג נמוך</t>
  </si>
  <si>
    <t>DT429</t>
  </si>
  <si>
    <t>תעודות חוב צמוד מט"ח בדרוג בדרוג נמוך</t>
  </si>
  <si>
    <t>DT564</t>
  </si>
  <si>
    <t>תעודות חוב לא צמוד בדרוג בדרוג נמוך</t>
  </si>
  <si>
    <t>DT565</t>
  </si>
  <si>
    <t>תעודות חוב ל"ס צמוד מדד -AA ומעלה</t>
  </si>
  <si>
    <t>DT430</t>
  </si>
  <si>
    <t>תעודות חוב ל"ס צמוד מט"ח -AA ומעלה</t>
  </si>
  <si>
    <t>DT566</t>
  </si>
  <si>
    <t>תעודות חוב ל"ס לא צמוד -AA ומעלה</t>
  </si>
  <si>
    <t>DT567</t>
  </si>
  <si>
    <t>תעודות חוב ל"ס צמוד מדד -A+:BBB</t>
  </si>
  <si>
    <t>DT431</t>
  </si>
  <si>
    <t>תעודות חוב ל"ס צמוד מט"ח -A+:BBB</t>
  </si>
  <si>
    <t>DT568</t>
  </si>
  <si>
    <t>תעודות חוב ל"ס לא צמוד -A+:BBB</t>
  </si>
  <si>
    <t>DT569</t>
  </si>
  <si>
    <t>תעודות חוב ל"ס צמוד מדד דרוג נמוך עם בטוחה מספקת</t>
  </si>
  <si>
    <t>DT547</t>
  </si>
  <si>
    <t>תעודות חוב ל"ס צמוד מט"ח דרוג נמוך עם בטוחה מספקת</t>
  </si>
  <si>
    <t>DT570</t>
  </si>
  <si>
    <t>תעודות חוב ל"ס לא צמוד דרוג נמוך עם בטוחה מספקת</t>
  </si>
  <si>
    <t>DT571</t>
  </si>
  <si>
    <t>תעודות חוב ל"ס צמוד מדד דרוג נמוך</t>
  </si>
  <si>
    <t>DT432</t>
  </si>
  <si>
    <t>תעודות חוב ל"ס צמוד מט"ח דרוג נמוך</t>
  </si>
  <si>
    <t>DT572</t>
  </si>
  <si>
    <t>תעודות חוב ל"ס לא צמוד דרוג נמוך</t>
  </si>
  <si>
    <t>DT573</t>
  </si>
  <si>
    <t>תעודות חוב סחירות בחו"ל בדירוג A- ומעלה חברות ישראליות</t>
  </si>
  <si>
    <t>DT601</t>
  </si>
  <si>
    <t>תעודות חוב סחירות בחו"ל בדירוג +BBB:-BBB חברות ישראליות</t>
  </si>
  <si>
    <t>DT602</t>
  </si>
  <si>
    <t>תעודות חוב סחירות בחו"ל בדירוג נמוך חברות ישראליות</t>
  </si>
  <si>
    <t>DT603</t>
  </si>
  <si>
    <t>תעודות חוב סחירות בחו"ל בדירוג A- ומעלה חברות זרות</t>
  </si>
  <si>
    <t>DT604</t>
  </si>
  <si>
    <t>תעודות חוב סחירות בחו"ל בדירוג +BBB:-BBB חברות זרות</t>
  </si>
  <si>
    <t>DT605</t>
  </si>
  <si>
    <t>תעודות חוב סחירות בחו"ל בדירוג נמוך חברות זרות</t>
  </si>
  <si>
    <t>DT606</t>
  </si>
  <si>
    <t>תעודות חוב לא סחירות בחו"ל בדירוג A- ומעלה חברות ישראליות</t>
  </si>
  <si>
    <t>DT607</t>
  </si>
  <si>
    <t>תעודות חוב לא סחירות בחו"ל בדירוג +BBB:-BBB חברות ישראליות</t>
  </si>
  <si>
    <t>DT608</t>
  </si>
  <si>
    <t>תעודות חוב לא סחירות בחו"ל בדירוג נמוך עם בטוחה מספקת חברות ישראליות</t>
  </si>
  <si>
    <t>DT609</t>
  </si>
  <si>
    <t>תעודות חוב לא סחירות בחו"ל בדירוג נמוך חברות ישראליות</t>
  </si>
  <si>
    <t>DT610</t>
  </si>
  <si>
    <t>תעודות חוב לא סחירות בחו"ל בדירוג A- ומעלה חברות זרות</t>
  </si>
  <si>
    <t>DT611</t>
  </si>
  <si>
    <t>תעודות חוב לא סחירות בחו"ל בדירוג +BBB:-BBB חברות זרות</t>
  </si>
  <si>
    <t>DT612</t>
  </si>
  <si>
    <t>תעודות חוב לא סחירות בחו"ל בדירוג נמוך עם בטוחה מספקת חברות זרות</t>
  </si>
  <si>
    <t>DT613</t>
  </si>
  <si>
    <t>תעודות חוב לא סחירות בחו"ל בדירוג נמוך חברות זרות</t>
  </si>
  <si>
    <t>DT614</t>
  </si>
  <si>
    <t>אג"ח קונצרני צמוד מדד בדרוג AA- ומעלה</t>
  </si>
  <si>
    <t>DT301</t>
  </si>
  <si>
    <t>אג"ח קונצרני צמוד מט"ח בדרוג AA- ומעלה</t>
  </si>
  <si>
    <t>DT302</t>
  </si>
  <si>
    <t>אג"ח קונצרני לא צמוד בדרוג AA- ומעלה</t>
  </si>
  <si>
    <t>DT303</t>
  </si>
  <si>
    <t>אג"ח קונצרני אחרות בדרוג AA- ומעלה</t>
  </si>
  <si>
    <t>DT615</t>
  </si>
  <si>
    <t>אג"ח קונצרני צמוד מדד בדרוג -A+:BBB</t>
  </si>
  <si>
    <t>DT307</t>
  </si>
  <si>
    <t>אג"ח קונצרני צמוד מט"ח בדרוג -A+:BBB</t>
  </si>
  <si>
    <t>DT308</t>
  </si>
  <si>
    <t>אג"ח קונצרני לא צמוד בדרוג -A+:BBB</t>
  </si>
  <si>
    <t>DT309</t>
  </si>
  <si>
    <t>אג"ח קונצרני אחרות בדרוג -A+:BBB</t>
  </si>
  <si>
    <t>DT616</t>
  </si>
  <si>
    <t>אג"ח קונצרני צמוד מדד בדרוג בדרוג נמוך</t>
  </si>
  <si>
    <t>DT313</t>
  </si>
  <si>
    <t>אג"ח קונצרני צמוד מט"ח בדרוג בדרוג נמוך</t>
  </si>
  <si>
    <t>DT314</t>
  </si>
  <si>
    <t>אג"ח קונצרני לא צמוד בדרוג בדרוג נמוך</t>
  </si>
  <si>
    <t>DT315</t>
  </si>
  <si>
    <t>אג"ח קונצרני אחרות בדרוג בדרוג נמוך</t>
  </si>
  <si>
    <t>DT617</t>
  </si>
  <si>
    <t>אג"ח קונצרני ל"ס צמוד מדד -AA ומעלה</t>
  </si>
  <si>
    <t>DT319</t>
  </si>
  <si>
    <t>אג"ח קונצרני ל"ס צמוד מט"ח -AA ומעלה</t>
  </si>
  <si>
    <t>DT320</t>
  </si>
  <si>
    <t>אג"ח קונצרני ל"ס לא צמוד -AA ומעלה</t>
  </si>
  <si>
    <t>DT321</t>
  </si>
  <si>
    <t>אג"ח קונצרני ל"ס אחרות -AA ומעלה</t>
  </si>
  <si>
    <t>DT618</t>
  </si>
  <si>
    <t>אג"ח קונצרני ל"ס צמוד מדד -A+:BBB</t>
  </si>
  <si>
    <t>DT325</t>
  </si>
  <si>
    <t>אג"ח קונצרני ל"ס צמוד מט"ח -A+:BBB</t>
  </si>
  <si>
    <t>DT326</t>
  </si>
  <si>
    <t>אג"ח קונצרני ל"ס לא צמוד -A+:BBB</t>
  </si>
  <si>
    <t>DT327</t>
  </si>
  <si>
    <t>אג"ח קונצרני ל"ס אחרות -A+:BBB</t>
  </si>
  <si>
    <t>DT619</t>
  </si>
  <si>
    <t>אג"ח קונצרני ל"ס צמוד מדד דרוג נמוך עם בטוחה מספקת</t>
  </si>
  <si>
    <t>DT553</t>
  </si>
  <si>
    <t>אג"ח קונצרני ל"ס צמוד מט"ח דרוג נמוך עם בטוחה מספקת</t>
  </si>
  <si>
    <t>DT554</t>
  </si>
  <si>
    <t>אג"ח קונצרני ל"ס לא צמוד דרוג נמוך עם בטוחה מספקת</t>
  </si>
  <si>
    <t>DT555</t>
  </si>
  <si>
    <t>אג"ח קונצרני ל"ס אחרות דרוג נמוך עם בטוחה מספקת</t>
  </si>
  <si>
    <t>DT620</t>
  </si>
  <si>
    <t>אג"ח קונצרני ל"ס צמוד מדד דרוג נמוך</t>
  </si>
  <si>
    <t>DT337</t>
  </si>
  <si>
    <t>אג"ח קונצרני ל"ס צמוד מט"ח דרוג נמוך</t>
  </si>
  <si>
    <t>DT338</t>
  </si>
  <si>
    <t>אג"ח קונצרני ל"ס לא צמוד דרוג נמוך</t>
  </si>
  <si>
    <t>DT339</t>
  </si>
  <si>
    <t>אג"ח קונצרני ל"ס אחרות דרוג נמוך</t>
  </si>
  <si>
    <t>DT621</t>
  </si>
  <si>
    <t>אג"ח ישראליות סחירות בחו"ל בדירוג A- ומעלה</t>
  </si>
  <si>
    <t>DT454</t>
  </si>
  <si>
    <t>אג"ח ישראליות סחירות בחו"ל בדירוג +BBB:-BBB</t>
  </si>
  <si>
    <t>DT455</t>
  </si>
  <si>
    <t>אג"ח ישראליות סחירות בחו"ל בדירוג נמוך</t>
  </si>
  <si>
    <t>DT456</t>
  </si>
  <si>
    <t>אג"ח זרות סחירות בחו"ל בדירוג A- ומעלה</t>
  </si>
  <si>
    <t>DT457</t>
  </si>
  <si>
    <t>אג"ח זרות סחירות בחו"ל בדירוג +BBB:-BBB</t>
  </si>
  <si>
    <t>DT458</t>
  </si>
  <si>
    <t>אג"ח זרות סחירות בחו"ל בדירוג נמוך</t>
  </si>
  <si>
    <t>DT459</t>
  </si>
  <si>
    <t>אג"ח ישראליות לא סחירות בחו"ל בדירוג A- ומעלה</t>
  </si>
  <si>
    <t>DT460</t>
  </si>
  <si>
    <t>אג"ח ישראליות לא סחירות בחו"ל בדירוג +BBB:-BBB</t>
  </si>
  <si>
    <t>DT461</t>
  </si>
  <si>
    <t>אג"ח ישראליות לא סחירות בחו"ל בדירוג נמוך עם בטוחה מספקת</t>
  </si>
  <si>
    <t>DT558</t>
  </si>
  <si>
    <t>אג"ח ישראליות לא סחירות בחו"ל בדירוג נמוך</t>
  </si>
  <si>
    <t>DT462</t>
  </si>
  <si>
    <t>אג"ח זרות לא סחירות בחו"ל בדירוג A- ומעלה</t>
  </si>
  <si>
    <t>DT463</t>
  </si>
  <si>
    <t>אג"ח זרות לא סחירות בחו"ל בדירוג +BBB:-BBB</t>
  </si>
  <si>
    <t>DT464</t>
  </si>
  <si>
    <t>אג"ח זרות לא סחירות בחו"ל בדירוג נמוך עם בטוחה מספקת</t>
  </si>
  <si>
    <t>DT559</t>
  </si>
  <si>
    <t>אג"ח זרות לא סחירות בחו"ל בדירוג נמוך</t>
  </si>
  <si>
    <t>DT465</t>
  </si>
  <si>
    <t>מניות במדד ת"א 25</t>
  </si>
  <si>
    <t>DT402</t>
  </si>
  <si>
    <t>מניות במדד ת"א 75</t>
  </si>
  <si>
    <t>DT403</t>
  </si>
  <si>
    <t>מניות היתר</t>
  </si>
  <si>
    <t>DT404</t>
  </si>
  <si>
    <t>מניות זרות הנסחרות בארץ</t>
  </si>
  <si>
    <t>DT405</t>
  </si>
  <si>
    <t>אופציות call 1 (long)</t>
  </si>
  <si>
    <t>DT172</t>
  </si>
  <si>
    <t>אופציות call 1 (short)</t>
  </si>
  <si>
    <t>DT205</t>
  </si>
  <si>
    <t>מניות לא סחירות בארץ</t>
  </si>
  <si>
    <t>DC9</t>
  </si>
  <si>
    <t>מניות ישראליות בחו"ל</t>
  </si>
  <si>
    <t>DT28</t>
  </si>
  <si>
    <t>מניות של תאגיד תושב חוץ החזקה עד 10%</t>
  </si>
  <si>
    <t>DT30</t>
  </si>
  <si>
    <t>מניות של תאגיד תושב חוץ החזקה של 10% ומעלה</t>
  </si>
  <si>
    <t>DT81</t>
  </si>
  <si>
    <t>מניות ל"ס של חברות ישראליות</t>
  </si>
  <si>
    <t>DT622</t>
  </si>
  <si>
    <t>מניות ל"ס של חברות זרות</t>
  </si>
  <si>
    <t>DT83</t>
  </si>
  <si>
    <t>השקעה בתעודות סל שמחקות מדדי מניות בארץ</t>
  </si>
  <si>
    <t>DT360</t>
  </si>
  <si>
    <t>השקעה בתעודות סל שמחקות מדדי מניות בחול</t>
  </si>
  <si>
    <t>DT361</t>
  </si>
  <si>
    <t>השקעה בתעודות סל שמחקות מדדי אג"ח בארץ</t>
  </si>
  <si>
    <t>DT362</t>
  </si>
  <si>
    <t>השקעה בתעודות סל שמחקות מדדי אג"ח בחול</t>
  </si>
  <si>
    <t>DT363</t>
  </si>
  <si>
    <t>השקעה בתעודות סל בחסר או תעודות פיקדון בחסר בארץ</t>
  </si>
  <si>
    <t>DT406</t>
  </si>
  <si>
    <t>השקעה בתעודות סל אחרות</t>
  </si>
  <si>
    <t>DT623</t>
  </si>
  <si>
    <t>השקעה בתעודות שנסחרות בחו"ל סל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</si>
  <si>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</si>
  <si>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</si>
  <si>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</si>
  <si>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</si>
  <si>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</si>
  <si>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DT624</t>
  </si>
  <si>
    <t>תעודות השתתפות בקרן נאמנות</t>
  </si>
  <si>
    <t>DB10</t>
  </si>
  <si>
    <t>תעודות השתתפות בקרן נאמנות - אג"ח קונצרני</t>
  </si>
  <si>
    <t>DT701</t>
  </si>
  <si>
    <t>תעודות השתתפות בקרן נאמנות - אג"ח ממשלתי</t>
  </si>
  <si>
    <t>DT702</t>
  </si>
  <si>
    <t>תעודות השתתפות בקרן נאמנות - מניות</t>
  </si>
  <si>
    <t>DT703</t>
  </si>
  <si>
    <t>תעודות השתתפות בקרן נאמנות - אחר</t>
  </si>
  <si>
    <t>DT704</t>
  </si>
  <si>
    <t>קרנות הון סיכון</t>
  </si>
  <si>
    <t>DT53</t>
  </si>
  <si>
    <t>קרנות נדלן</t>
  </si>
  <si>
    <t>DT225</t>
  </si>
  <si>
    <t>קרנות גידור</t>
  </si>
  <si>
    <t>DT466</t>
  </si>
  <si>
    <t>קרנות השקעה אחרות</t>
  </si>
  <si>
    <t>DT52</t>
  </si>
  <si>
    <t>קרנות הון סיכון בחו"ל</t>
  </si>
  <si>
    <t>DT89</t>
  </si>
  <si>
    <t>קרנות נדלן בחו"ל</t>
  </si>
  <si>
    <t>DT226</t>
  </si>
  <si>
    <t>קרנות גידור בחו"ל</t>
  </si>
  <si>
    <t>DT467</t>
  </si>
  <si>
    <t>קרנות השקעה אחרות בחו"ל</t>
  </si>
  <si>
    <t>DT88</t>
  </si>
  <si>
    <t>כתבי אופציה סחירים בישראל מסוג warrent</t>
  </si>
  <si>
    <t>DB5</t>
  </si>
  <si>
    <t>כתבי אופציה לא סחירים בישראל מסוג warrent</t>
  </si>
  <si>
    <t>DT439</t>
  </si>
  <si>
    <t>כתבי אופציה סחירים בחו"ל מסוג warrent</t>
  </si>
  <si>
    <t>DT211</t>
  </si>
  <si>
    <t>כתבי אופציה לא סחירים בחו"ל מסוג warrent</t>
  </si>
  <si>
    <t>DT440</t>
  </si>
  <si>
    <t>חוזים עתידיים סחירים בארץ</t>
  </si>
  <si>
    <t>DT749</t>
  </si>
  <si>
    <t>חוזים עתידיים על מדדים כולל מניות</t>
  </si>
  <si>
    <t>DT441</t>
  </si>
  <si>
    <t>חוזים עתידיים על שקל/מטח</t>
  </si>
  <si>
    <t>DT442</t>
  </si>
  <si>
    <t>חוזים עתידיים על מטח/מטח</t>
  </si>
  <si>
    <t>DT443</t>
  </si>
  <si>
    <t>חוזים עתידיים על ריבית</t>
  </si>
  <si>
    <t>DT444</t>
  </si>
  <si>
    <t>חוזים עתידיים אחרים</t>
  </si>
  <si>
    <t>DT445</t>
  </si>
  <si>
    <t>חוזים עתידיים סחירים בחו"ל</t>
  </si>
  <si>
    <t>DT212</t>
  </si>
  <si>
    <t>חוזים עתידיים על מדדים כולל מניות בחו"ל</t>
  </si>
  <si>
    <t>DT446</t>
  </si>
  <si>
    <t>חוזים עתידיים על מטח בחו"ל</t>
  </si>
  <si>
    <t>DT447</t>
  </si>
  <si>
    <t>חוזים עתידיים על ריבית בחו"ל</t>
  </si>
  <si>
    <t>DT448</t>
  </si>
  <si>
    <t>חוזים עתידיים אחרים בחו"ל</t>
  </si>
  <si>
    <t>DT449</t>
  </si>
  <si>
    <t>אופציות על מדדים כולל מניות</t>
  </si>
  <si>
    <t>DT468</t>
  </si>
  <si>
    <t>אופציות על מטבעות</t>
  </si>
  <si>
    <t>DT175</t>
  </si>
  <si>
    <t>אופציות על ריבית</t>
  </si>
  <si>
    <t>DT176</t>
  </si>
  <si>
    <t>אופציות על על מדד/נכס אחר</t>
  </si>
  <si>
    <t>DT177</t>
  </si>
  <si>
    <t>אופציות על מדדים כולל מניות (short)</t>
  </si>
  <si>
    <t>DT469</t>
  </si>
  <si>
    <t>אופציות על מטבעות (short)</t>
  </si>
  <si>
    <t>DT208</t>
  </si>
  <si>
    <t>אופציות על ריבית (short)</t>
  </si>
  <si>
    <t>DT209</t>
  </si>
  <si>
    <t>אופציות על על מדד/נכס אחר (short)</t>
  </si>
  <si>
    <t>DT210</t>
  </si>
  <si>
    <t>DT470</t>
  </si>
  <si>
    <t>אופציות על  ש"ח/מט"ח</t>
  </si>
  <si>
    <t>DT345</t>
  </si>
  <si>
    <t>אופציות על מט"ח/מט"ח</t>
  </si>
  <si>
    <t>DT625</t>
  </si>
  <si>
    <t>DT471</t>
  </si>
  <si>
    <t>DT346</t>
  </si>
  <si>
    <t>DT472</t>
  </si>
  <si>
    <t>אופציות על  ש"ח/מט"ח (short)</t>
  </si>
  <si>
    <t>DT347</t>
  </si>
  <si>
    <t>אופציות על מט"ח/מט"ח (short)</t>
  </si>
  <si>
    <t>DT626</t>
  </si>
  <si>
    <t>DT473</t>
  </si>
  <si>
    <t>DT348</t>
  </si>
  <si>
    <t>אופציות על מדדים כולל מניות בחול</t>
  </si>
  <si>
    <t>DT213</t>
  </si>
  <si>
    <t>אופציות על מטבעות בחול</t>
  </si>
  <si>
    <t>DT214</t>
  </si>
  <si>
    <t>אופציות על ריבית בחול</t>
  </si>
  <si>
    <t>DT215</t>
  </si>
  <si>
    <t>אופציות על סחורות בחול</t>
  </si>
  <si>
    <t>DT216</t>
  </si>
  <si>
    <t>אופציות על על מדד/נכס אחר בחול</t>
  </si>
  <si>
    <t>DT474</t>
  </si>
  <si>
    <t>אופציות על מדדים כולל מניות בחול (short)</t>
  </si>
  <si>
    <t>DT217</t>
  </si>
  <si>
    <t>אופציות על מטבעות בחול (short)</t>
  </si>
  <si>
    <t>DT218</t>
  </si>
  <si>
    <t>אופציות על ריבית בחול (short)</t>
  </si>
  <si>
    <t>DT219</t>
  </si>
  <si>
    <t>אופציות על סחורות בחול (short)</t>
  </si>
  <si>
    <t>DT220</t>
  </si>
  <si>
    <t>אופציות על על מדד/נכס אחר בחול (short)</t>
  </si>
  <si>
    <t>DT475</t>
  </si>
  <si>
    <t>DT476</t>
  </si>
  <si>
    <t>DT477</t>
  </si>
  <si>
    <t>DT478</t>
  </si>
  <si>
    <t>DT479</t>
  </si>
  <si>
    <t>DT480</t>
  </si>
  <si>
    <t>DT481</t>
  </si>
  <si>
    <t>DT482</t>
  </si>
  <si>
    <t>DT483</t>
  </si>
  <si>
    <t>DT484</t>
  </si>
  <si>
    <t>DT485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</si>
  <si>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</si>
  <si>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</si>
  <si>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</si>
  <si>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</si>
  <si>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</si>
  <si>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</si>
  <si>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</si>
  <si>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</si>
  <si>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</si>
  <si>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</si>
  <si>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</si>
  <si>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</si>
  <si>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</si>
  <si>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</si>
  <si>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</si>
  <si>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</si>
  <si>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</si>
  <si>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</si>
  <si>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</si>
  <si>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</si>
  <si>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</si>
  <si>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</si>
  <si>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</si>
  <si>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</si>
  <si>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 בישראל עם נכס בסיס אשראי</t>
  </si>
  <si>
    <t>DT717</t>
  </si>
  <si>
    <t>פיקדונות מובנים בישראל עם נכס בסיס מניות</t>
  </si>
  <si>
    <t>DT718</t>
  </si>
  <si>
    <t>פיקדונות מובנים בישראל עם נכס בסיס ריבית</t>
  </si>
  <si>
    <t>DT719</t>
  </si>
  <si>
    <t>פיקדונות מובנים בישראל עם נכס בסיס מטבע</t>
  </si>
  <si>
    <t>DT720</t>
  </si>
  <si>
    <t>פיקדונות מובנים בישראל עם נכס בסיס מדד</t>
  </si>
  <si>
    <t>DT721</t>
  </si>
  <si>
    <t>פיקדונות מובנים בישראל עם נכס בסיס אחר</t>
  </si>
  <si>
    <t>DT722</t>
  </si>
  <si>
    <t>שכבת חוב (Tranch) בדירוג  AA- ומעלה בישראל</t>
  </si>
  <si>
    <t>DT723</t>
  </si>
  <si>
    <t>שכבת חוב (Tranch) בדירוג  BBB- ועד A+ ומעלה בישראל</t>
  </si>
  <si>
    <t>DT724</t>
  </si>
  <si>
    <t>שכבת חוב (Tranch) בדירוג  נמוך בישראל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</si>
  <si>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</si>
  <si>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</si>
  <si>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</si>
  <si>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</si>
  <si>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</si>
  <si>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</si>
  <si>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</si>
  <si>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</si>
  <si>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</si>
  <si>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</si>
  <si>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</si>
  <si>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</si>
  <si>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</si>
  <si>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</si>
  <si>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</si>
  <si>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</si>
  <si>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</si>
  <si>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</si>
  <si>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</si>
  <si>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</si>
  <si>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</si>
  <si>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DT658</t>
  </si>
  <si>
    <t>DT659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</si>
  <si>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</si>
  <si>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</si>
  <si>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</si>
  <si>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</si>
  <si>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</si>
  <si>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</si>
  <si>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</si>
  <si>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</si>
  <si>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</si>
  <si>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</si>
  <si>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</si>
  <si>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</si>
  <si>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</si>
  <si>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</si>
  <si>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</si>
  <si>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</si>
  <si>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</si>
  <si>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</si>
  <si>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</si>
  <si>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</si>
  <si>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</si>
  <si>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</si>
  <si>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</si>
  <si>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</si>
  <si>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</si>
  <si>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</si>
  <si>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פיקדונות מובנים בחו"ל עם נכס בסיס אשראי</t>
  </si>
  <si>
    <t>DT739</t>
  </si>
  <si>
    <t>פיקדונות מובנים בחו"ל עם נכס בסיס מניות</t>
  </si>
  <si>
    <t>DT740</t>
  </si>
  <si>
    <t>פיקדונות מובנים בחו"ל עם נכס בסיס ריבית</t>
  </si>
  <si>
    <t>DT741</t>
  </si>
  <si>
    <t>פיקדונות מובנים בחו"ל עם נכס בסיס מטבע</t>
  </si>
  <si>
    <t>DT742</t>
  </si>
  <si>
    <t>פיקדונות מובנים בחו"ל עם נכס בסיס מדד</t>
  </si>
  <si>
    <t>DT743</t>
  </si>
  <si>
    <t>פיקדונות מובנים בחו"ל עם נכס בסיס אחר</t>
  </si>
  <si>
    <t>DT744</t>
  </si>
  <si>
    <t>שכבת חוב (Tranch) בדירוג  AA- ומעלה בחו"ל</t>
  </si>
  <si>
    <t>DT745</t>
  </si>
  <si>
    <t>שכבת חוב (Tranch) בדירוג  BBB- ועד A+ ומעלה בחו"ל</t>
  </si>
  <si>
    <t>DT746</t>
  </si>
  <si>
    <t>שכבת חוב (Tranch) בדירוג  BB+ ומעלה בחו"ל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</si>
  <si>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</si>
  <si>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</si>
  <si>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</si>
  <si>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</si>
  <si>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</si>
  <si>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</si>
  <si>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</si>
  <si>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</si>
  <si>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</si>
  <si>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</si>
  <si>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</si>
  <si>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</si>
  <si>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</si>
  <si>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</si>
  <si>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</si>
  <si>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</si>
  <si>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</si>
  <si>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</si>
  <si>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</si>
  <si>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</si>
  <si>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</si>
  <si>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</si>
  <si>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</si>
  <si>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</si>
  <si>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</si>
  <si>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הלוואה לעמיתים</t>
  </si>
  <si>
    <t>DC1</t>
  </si>
  <si>
    <t>תיקי משכנתאות בדירוג BBB- ומעלה</t>
  </si>
  <si>
    <t>DT502</t>
  </si>
  <si>
    <t>תיקי משכנתאות בדירוג נמוך</t>
  </si>
  <si>
    <t>DT503</t>
  </si>
  <si>
    <t>הלוואה עם ערבות בנקאית בדירוג AA- ומעלה</t>
  </si>
  <si>
    <t>DT450</t>
  </si>
  <si>
    <t>הלוואה עם ערבות בנקאית בדירוג -A+:BBB</t>
  </si>
  <si>
    <t>DT504</t>
  </si>
  <si>
    <t>הלוואה עם ערבות בנקאית ללא דרוג</t>
  </si>
  <si>
    <t>DT505</t>
  </si>
  <si>
    <t>הלוואה בבטחונות אחרים והלוואות עם ערבות מדינה בדירוג AA- ומעלה</t>
  </si>
  <si>
    <t>DT451</t>
  </si>
  <si>
    <t>הלוואה בבטחונות אחרים והלוואות עם ערבות מדינה בדירוג -A+:BBB</t>
  </si>
  <si>
    <t>DT506</t>
  </si>
  <si>
    <t>הלוואות בבטחונות אחרים והלוואות עם ערבות מדינה לא מדורגת עם בטוחה מספקת</t>
  </si>
  <si>
    <t>DT627</t>
  </si>
  <si>
    <t>הלוואות בבטחונות אחרים והלוואות עם ערבות מדינה לא מדורגת</t>
  </si>
  <si>
    <t>DT507</t>
  </si>
  <si>
    <t>הלוואות לא מובטחות</t>
  </si>
  <si>
    <t>DT577</t>
  </si>
  <si>
    <t>תיקי משכנתאות בחו"ל</t>
  </si>
  <si>
    <t>DT508</t>
  </si>
  <si>
    <t>הלוואות בחו"ל בערבות בנקאית</t>
  </si>
  <si>
    <t>DT509</t>
  </si>
  <si>
    <t>הלוואות בחול מובטוחת בביטונות אחרים</t>
  </si>
  <si>
    <t>DT511</t>
  </si>
  <si>
    <t>הלוואות בחול לא מובטחות</t>
  </si>
  <si>
    <t>DT452</t>
  </si>
  <si>
    <t>פקדונות צמודי מדד בדירוג -AA ומעלה לתקופה של שלושה חודשים ועד שנה</t>
  </si>
  <si>
    <t>DT512</t>
  </si>
  <si>
    <t>פקדונות לא צמודים בדירוג -AA ומעלה לתקופה של שלושה חודשים ועד שנה</t>
  </si>
  <si>
    <t>DT513</t>
  </si>
  <si>
    <t>פקדונות נקובים במט"ח בדירוג -AA ומעלה לתקופה של שלושה חודשים ועד שנה</t>
  </si>
  <si>
    <t>DT514</t>
  </si>
  <si>
    <t>פקדונות צמודי מט"ח בדירוג -AA ומעלה לתקופה של שלושה חודשים ועד שנה</t>
  </si>
  <si>
    <t>DT515</t>
  </si>
  <si>
    <t>פקדונות צמודי מדד בדירוג -AA ומעלה לתקופה של למעלה משנה</t>
  </si>
  <si>
    <t>DT516</t>
  </si>
  <si>
    <t>פקדונות לא צמודים בדירוג -AA ומעלה לתקופה של למעלה משנה</t>
  </si>
  <si>
    <t>DT517</t>
  </si>
  <si>
    <t>פקדונות נקובים במט"ח בדירוג -AA ומעלה לתקופה של למעלה משנה</t>
  </si>
  <si>
    <t>DT518</t>
  </si>
  <si>
    <t>פקדונות צמודי מט"ח בדירוג -AA ומעלה לתקופה של למעלה משנה</t>
  </si>
  <si>
    <t>DT519</t>
  </si>
  <si>
    <t>פקדונות אחרים בדירוג -AA ומעלה</t>
  </si>
  <si>
    <t>DT628</t>
  </si>
  <si>
    <t>פקדונות צמודי מדד בדירוג -A+:BBB לתקופה של שלושה חודשים ועד שנה</t>
  </si>
  <si>
    <t>DT520</t>
  </si>
  <si>
    <t>פקדונות לא צמודים בדירוג -A+:BBB לתקופה של שלושה חודשים ועד שנה</t>
  </si>
  <si>
    <t>DT521</t>
  </si>
  <si>
    <t>פקדונות נקובים במט"ח בדירוג -A+:BBB לתקופה של שלושה חודשים ועד שנה</t>
  </si>
  <si>
    <t>DT522</t>
  </si>
  <si>
    <t>פקדונות צמודי מט"ח בדירוג A+:BBB- לתקופה של שלושה חודשים ועד שנה</t>
  </si>
  <si>
    <t>DT523</t>
  </si>
  <si>
    <t>פקדונות צמודי מדד בדירוג -A+:BBB לתקופה של למעלה משנה</t>
  </si>
  <si>
    <t>DT524</t>
  </si>
  <si>
    <t>פקדונות לא צמודים בדירוג -A+:BBB לתקופה של למעלה משנה</t>
  </si>
  <si>
    <t>DT525</t>
  </si>
  <si>
    <t>פקדונות נקובים במט"ח בדירוג -A+:BBB לתקופה של למעלה משנה</t>
  </si>
  <si>
    <t>DT526</t>
  </si>
  <si>
    <t>פקדונות צמודי מט"ח בדירוג -A+:BBB לתקופה של למעלה משנה</t>
  </si>
  <si>
    <t>DT527</t>
  </si>
  <si>
    <t>פקדונות אחרים בדירוג -A+:BBB</t>
  </si>
  <si>
    <t>DT629</t>
  </si>
  <si>
    <t>פקדונות צמודי מדד בדירוג נמוך לתקופה של שלושה חודשים ועד שנה</t>
  </si>
  <si>
    <t>DT530</t>
  </si>
  <si>
    <t>פקדונות לא צמודים בדירוג נמוך לתקופה של שלושה חודשים ועד שנה</t>
  </si>
  <si>
    <t>DT531</t>
  </si>
  <si>
    <t>פקדונות נקובים במט"ח בדירוג נמוך לתקופה של שלושה חודשים ועד שנה</t>
  </si>
  <si>
    <t>DT532</t>
  </si>
  <si>
    <t>פקדונות צמודי מט"ח בדירוג נמוך לתקופה של שלושה חודשים ועד שנה</t>
  </si>
  <si>
    <t>DT533</t>
  </si>
  <si>
    <t>פקדונות צמודי מדד בדירוג נמוך לתקופה של למעלה משנה</t>
  </si>
  <si>
    <t>DT534</t>
  </si>
  <si>
    <t>פקדונות לא צמודים בדירוג נמוך לתקופה של למעלה משנה</t>
  </si>
  <si>
    <t>DT535</t>
  </si>
  <si>
    <t>פקדונות נקובים במט"ח בדירוג נמוך לתקופה של למעלה משנה</t>
  </si>
  <si>
    <t>DT536</t>
  </si>
  <si>
    <t>פקדונות צמודי מט"ח בדירוג נמוך לתקופה של למעלה משנה</t>
  </si>
  <si>
    <t>DT537</t>
  </si>
  <si>
    <t>פקדונות אחרים בדירוג נמוך</t>
  </si>
  <si>
    <t>DT630</t>
  </si>
  <si>
    <t>פקדונות נקובים במט"ח בדירוג -A ומעלה</t>
  </si>
  <si>
    <t>DT631</t>
  </si>
  <si>
    <t>פקדונות נקובים במט"ח בדירוג +BBB:-BBB</t>
  </si>
  <si>
    <t>DT632</t>
  </si>
  <si>
    <t>פקדונות נקובים במט"ח בדירוג נמוך</t>
  </si>
  <si>
    <t>DT633</t>
  </si>
  <si>
    <t>מקרקעין מניבים</t>
  </si>
  <si>
    <t>DT111</t>
  </si>
  <si>
    <t>מקרקעין לא מניבים</t>
  </si>
  <si>
    <t>DT112</t>
  </si>
  <si>
    <t>מקרקעין מניבים בחו"ל</t>
  </si>
  <si>
    <t>DT113</t>
  </si>
  <si>
    <t>מקרקעין לא מניבים בחו"ל</t>
  </si>
  <si>
    <t>DT114</t>
  </si>
  <si>
    <t>התחייבות בגין מכירה בחסר</t>
  </si>
  <si>
    <t>DT116</t>
  </si>
  <si>
    <t>נ"ע סחירים אחרים ישראלים בחו"ל</t>
  </si>
  <si>
    <t>DT29</t>
  </si>
  <si>
    <t>נ"ע סחירים אחרים זרים בחו"ל</t>
  </si>
  <si>
    <t>DT31</t>
  </si>
  <si>
    <t>התחייבות בגין מכירה בחסר בחול</t>
  </si>
  <si>
    <t>DT117</t>
  </si>
  <si>
    <t>בניני משרדים שבשימוש הקופה</t>
  </si>
  <si>
    <t>DT115</t>
  </si>
  <si>
    <t>רכוש קבוע שאינו בנייני משרדים בשימוש הקופה</t>
  </si>
  <si>
    <t>DT62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</si>
  <si>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</si>
  <si>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</si>
  <si>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</si>
  <si>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</si>
  <si>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</si>
  <si>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</si>
  <si>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</si>
  <si>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</si>
  <si>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</si>
  <si>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</si>
  <si>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סה"כ נכסי הקופה</t>
  </si>
  <si>
    <t>DE1</t>
  </si>
  <si>
    <t>בדיקה</t>
  </si>
  <si>
    <t>מזומנים ושווי מזומנים</t>
  </si>
  <si>
    <t>ממשלתי סחיר</t>
  </si>
  <si>
    <t>אג"ח סחיר</t>
  </si>
  <si>
    <t>מניות ואחרים</t>
  </si>
  <si>
    <t>פיקדונות והלוואות</t>
  </si>
  <si>
    <t>השקעות אחרות</t>
  </si>
  <si>
    <t>הפניקס גמל לבני 60 ומעלה</t>
  </si>
  <si>
    <t>הפניקס מרכזית לפיצויים</t>
  </si>
  <si>
    <t>הפניקס גמל אג"ח ללא מניות</t>
  </si>
  <si>
    <t>הפניקס גמולה מבטיחת תשואה</t>
  </si>
  <si>
    <t>הפניקס מרכזית לפיצויים עד 15% מניות</t>
  </si>
  <si>
    <t>הפניקס השתלמות אג"ח ללא מניות</t>
  </si>
  <si>
    <t>הפניקס  השתלמות לטווח קצר</t>
  </si>
  <si>
    <t>הפניקס השתלמות שקלי טווח קצר</t>
  </si>
  <si>
    <t>הפניקס גמל לבני 50 ומטה</t>
  </si>
  <si>
    <t>הפניקס השתלמות  אג"ח עד 15% מניות</t>
  </si>
  <si>
    <t>הפניקס מרכזית לפיצויים שקלי</t>
  </si>
  <si>
    <t>הפניקס קסם מרכזית לפיצויים מחקה מדדי מניות</t>
  </si>
  <si>
    <t>הפניקס מרכזית לפיצויים צמוד מדד</t>
  </si>
  <si>
    <t>הפניקס קסם מרכזית לפיצויים מחקה מדדים</t>
  </si>
  <si>
    <t>הפניקס קסם מרכזית לפיצויים מחקה מדדי אג"ח</t>
  </si>
  <si>
    <t>הפניקס גמל מסלולית לפיצויים רבת מסלולים</t>
  </si>
  <si>
    <t>הפניקס מרכזית לפיצויים שיקלי קצר</t>
  </si>
  <si>
    <t>הפניקס גמל שקלי טווח קצר</t>
  </si>
  <si>
    <t>הפניקס גמל להשקעה אג"ח ללא מניות</t>
  </si>
  <si>
    <t>הפניקס גמל להשקעה אג"ח עד 15% מניות</t>
  </si>
  <si>
    <t>הפניקס גמל להשקעה מניות פאסיבי</t>
  </si>
  <si>
    <t>הפניקס גמל להשקעה כללי</t>
  </si>
  <si>
    <t>הפניקס גמל להשקעה כללי פאסיבי</t>
  </si>
  <si>
    <t>הפניקס חיסכון לכל ילד - סיכון מועט</t>
  </si>
  <si>
    <t>הפניקס חיסכון לכל ילד -  סיכון מוגבר</t>
  </si>
  <si>
    <t>הפניקס חיסכון לכל ילד -  סיכון בינוני</t>
  </si>
  <si>
    <t>הפניקס חיסכון לכל ילד - הלכה</t>
  </si>
  <si>
    <t>הפניקס  גמל מסלול לבני 50 עד 60</t>
  </si>
  <si>
    <t>הפניקס גמל מסלול מניות</t>
  </si>
  <si>
    <t>הפניקס השתלמות הלכה</t>
  </si>
  <si>
    <t>הפניקס השתלמות כללי</t>
  </si>
  <si>
    <t>הפניקס  השתלמות מניות</t>
  </si>
  <si>
    <t>הפניקס השתלמות פאסיבי-כללי</t>
  </si>
  <si>
    <t>הפניקס השתלמות מחקה מדד s&amp;p 500</t>
  </si>
  <si>
    <t>הפניקס  גמל פאסיבי לבני 50 עד 60</t>
  </si>
  <si>
    <t>הפניקס גמל מחקה מדד s&amp;p 500</t>
  </si>
  <si>
    <t>הפניקס גמל להשקעה שקלי טווח קצר</t>
  </si>
  <si>
    <t>הפניקס גמל להשקעה מחקה מדד s&amp;p 500</t>
  </si>
  <si>
    <t>הפניקס גמל מסלול משולב סחיר</t>
  </si>
  <si>
    <t>הפניקס  גמל שריעה</t>
  </si>
  <si>
    <t>הפניקס גמל להשקעה מניות</t>
  </si>
  <si>
    <t>הפניקס להשקעה שריעה</t>
  </si>
  <si>
    <t>הפניקס קופה לתשלום דמי מחלה</t>
  </si>
  <si>
    <t>הפניקס קופה מרכזית להשתתפות בפנסיה תקציבית</t>
  </si>
  <si>
    <t>הפניקס מרכזית לפיצויים רב מסלולית -סנונית</t>
  </si>
  <si>
    <t>הפניקס חיסכון לכל ילד מסלול שריעה</t>
  </si>
  <si>
    <t>הפניקס השתלמות שריעה</t>
  </si>
  <si>
    <t>הפניקס השתלמות פאסיבי מדדי מניות</t>
  </si>
  <si>
    <t>513026484-00000000000102-0401-000</t>
  </si>
  <si>
    <t>513026484-00000000000801-0242-000</t>
  </si>
  <si>
    <t>513026484-00000000000102-0385-000</t>
  </si>
  <si>
    <t>513026484-00000000000123-0528-000</t>
  </si>
  <si>
    <t>513026484-00000000000801-0384-000</t>
  </si>
  <si>
    <t>513026484-00000000000399-0716-000</t>
  </si>
  <si>
    <t>513026484-00000000000399-0686-000</t>
  </si>
  <si>
    <t>513026484-00000000000399-0715-000</t>
  </si>
  <si>
    <t>513026484-00000000000102-9916-000</t>
  </si>
  <si>
    <t>513026484-00000000000399-1100-000</t>
  </si>
  <si>
    <t>513026484-00000000000801-0801-000</t>
  </si>
  <si>
    <t>513026484-00000000000801-0804-000</t>
  </si>
  <si>
    <t>513026484-00000000000801-0806-000</t>
  </si>
  <si>
    <t>513026484-00000000000801-8765-000</t>
  </si>
  <si>
    <t>513026484-00000000000801-8766-000</t>
  </si>
  <si>
    <t>513026484-00000000009417-9418-000</t>
  </si>
  <si>
    <t>513026484-00000000000801-9475-000</t>
  </si>
  <si>
    <t>513026484-00000000000102-9906-000</t>
  </si>
  <si>
    <t>513026484-00000000007904-7905-000</t>
  </si>
  <si>
    <t>513026484-00000000007904-7906-000</t>
  </si>
  <si>
    <t>513026484-00000000007904-7907-000</t>
  </si>
  <si>
    <t>513026484-00000000007904-7908-000</t>
  </si>
  <si>
    <t>513026484-00000000007904-7909-000</t>
  </si>
  <si>
    <t>513026484-00000000011309-11310-000</t>
  </si>
  <si>
    <t>513026484-00000000011309-11311-000</t>
  </si>
  <si>
    <t>513026484-00000000011309-11312-000</t>
  </si>
  <si>
    <t>513026484-00000000011309-11335-000</t>
  </si>
  <si>
    <t>513026484-00000000000102-0009529</t>
  </si>
  <si>
    <t>513026484-00000000000102-0000961</t>
  </si>
  <si>
    <t>513026484-00000000000399-0009528</t>
  </si>
  <si>
    <t>513026484-00000000000399-0000964</t>
  </si>
  <si>
    <t>513026484-00000000000399-0000968</t>
  </si>
  <si>
    <t>513026484-00000000000399-8629-000</t>
  </si>
  <si>
    <t>513026484-00000000000399-8630-000</t>
  </si>
  <si>
    <t>513026484-00000000000102-9917-000</t>
  </si>
  <si>
    <t>513026484-00000000000102-8626-000</t>
  </si>
  <si>
    <t xml:space="preserve">סיום מידע טבלה </t>
  </si>
  <si>
    <t>סיום מידע טבלה צד שמאל</t>
  </si>
  <si>
    <t xml:space="preserve">תחילת מידע טבלה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</si>
</sst>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mm/yyyy"/>
    <numFmt numFmtId="165" formatCode="[$-10409]#,##0;\(#,##0\)"/>
    <numFmt numFmtId="166" formatCode="_ * #,##0.000_ ;_ * \-#,##0.000_ ;_ * &quot;-&quot;??_ ;_ @_ "/>
    <numFmt numFmtId="167" formatCode="0.00000"/>
    <numFmt numFmtId="168" formatCode="_ * #,##0.0000_ ;_ * \-#,##0.0000_ ;_ * &quot;-&quot;??_ ;_ @_ 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2"/>
      <color indexed="10"/>
      <name val="Arial"/>
      <family val="2"/>
    </font>
    <font>
      <b/>
      <sz val="12"/>
      <color indexed="12"/>
      <name val="David"/>
      <family val="2"/>
      <charset val="177"/>
    </font>
    <font>
      <b/>
      <u/>
      <sz val="12"/>
      <color indexed="12"/>
      <name val="David"/>
      <family val="2"/>
      <charset val="177"/>
    </font>
    <font>
      <b/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10"/>
      <color indexed="12"/>
      <name val="Arial"/>
      <family val="2"/>
    </font>
    <font>
      <sz val="11"/>
      <color indexed="8"/>
      <name val="Arial"/>
      <family val="2"/>
      <charset val="177"/>
    </font>
    <font>
      <sz val="11"/>
      <color theme="0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22">
    <xf numFmtId="0" fontId="0" fillId="0" borderId="0" xfId="0"/>
    <xf numFmtId="0" fontId="0" fillId="2" borderId="0" xfId="0" applyFill="1" applyAlignment="1">
      <alignment horizontal="right"/>
    </xf>
    <xf numFmtId="164" fontId="2" fillId="0" borderId="0" xfId="0" applyNumberFormat="1" applyFont="1"/>
    <xf numFmtId="164" fontId="2" fillId="2" borderId="0" xfId="0" applyNumberFormat="1" applyFont="1" applyFill="1" applyAlignment="1">
      <alignment horizontal="right"/>
    </xf>
    <xf numFmtId="0" fontId="3" fillId="2" borderId="0" xfId="0" applyFont="1" applyFill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3" fontId="0" fillId="0" borderId="0" xfId="1" applyFont="1"/>
    <xf numFmtId="0" fontId="5" fillId="3" borderId="1" xfId="0" applyFont="1" applyFill="1" applyBorder="1"/>
    <xf numFmtId="1" fontId="5" fillId="0" borderId="2" xfId="1" applyNumberFormat="1" applyFont="1" applyBorder="1" applyAlignment="1" applyProtection="1">
      <alignment horizontal="center"/>
      <protection locked="0"/>
    </xf>
    <xf numFmtId="0" fontId="0" fillId="3" borderId="1" xfId="0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0" fillId="3" borderId="1" xfId="0" applyFill="1" applyBorder="1"/>
    <xf numFmtId="165" fontId="0" fillId="3" borderId="1" xfId="3" applyNumberFormat="1" applyFont="1" applyFill="1" applyBorder="1" applyAlignment="1">
      <alignment horizontal="right" readingOrder="2"/>
    </xf>
    <xf numFmtId="0" fontId="7" fillId="0" borderId="0" xfId="0" applyFont="1"/>
    <xf numFmtId="166" fontId="0" fillId="0" borderId="0" xfId="0" applyNumberFormat="1"/>
    <xf numFmtId="167" fontId="0" fillId="0" borderId="0" xfId="0" applyNumberFormat="1"/>
    <xf numFmtId="168" fontId="0" fillId="0" borderId="0" xfId="1" applyNumberFormat="1" applyFont="1"/>
    <xf numFmtId="0" fontId="8" fillId="0" borderId="0" xfId="0" applyFont="1"/>
    <xf numFmtId="10" fontId="9" fillId="0" borderId="0" xfId="2" applyNumberFormat="1" applyFont="1"/>
    <xf numFmtId="0" fontId="10" fillId="0" borderId="0" xfId="0" applyFont="1" applyAlignment="1">
      <alignment horizontal="center"/>
    </xf>
  </cellXfs>
  <cellStyles count="4">
    <cellStyle name="Comma" xfId="1" builtinId="3"/>
    <cellStyle name="Normal" xfId="0" builtinId="0"/>
    <cellStyle name="Normal_מסלולים 1.4.19" xfId="3" xr:uid="{00000000-0005-0000-0000-000002000000}"/>
    <cellStyle name="Percent" xfId="2" builtinId="5"/>
  </cellStyles>
  <dxfs count="4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3</xdr:row>
      <xdr:rowOff>0</xdr:rowOff>
    </xdr:from>
    <xdr:to>
      <xdr:col>3</xdr:col>
      <xdr:colOff>257175</xdr:colOff>
      <xdr:row>6</xdr:row>
      <xdr:rowOff>31623</xdr:rowOff>
    </xdr:to>
    <xdr:sp macro="[1]!Module1.מאקרו1" textlink="">
      <xdr:nvSpPr>
        <xdr:cNvPr id="2" name="הסבר מלבני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280333675" y="0"/>
          <a:ext cx="914400" cy="612648"/>
        </a:xfrm>
        <a:prstGeom prst="wedgeRectCallou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r>
            <a:rPr lang="he-IL" sz="1200" b="1">
              <a:solidFill>
                <a:srgbClr val="FF0000"/>
              </a:solidFill>
            </a:rPr>
            <a:t>אוצר לאתר</a:t>
          </a:r>
        </a:p>
      </xdr:txBody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426720</xdr:colOff>
      <xdr:row>2</xdr:row>
      <xdr:rowOff>38100</xdr:rowOff>
    </xdr:to>
    <xdr:pic>
      <xdr:nvPicPr>
        <xdr:cNvPr id="3" name="Picture 2" descr="קוֹבֶץ זֶה הוּנְגַּש עַל יְדֵי חברת אֵיְי טוּ זִי - סֶמֶל הַנגישוּת">
          <a:extLst>
            <a:ext uri="{FF2B5EF4-FFF2-40B4-BE49-F238E27FC236}">
              <a16:creationId xmlns:a16="http://schemas.microsoft.com/office/drawing/2014/main" id="{77066A34-7E87-49F6-88B8-88A8777E7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84016640" y="0"/>
          <a:ext cx="42672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GEMEL\QPRO\KOPEL\&#1502;&#1511;&#1512;&#1493;\&#1488;&#1493;&#1510;&#1512;%20&#1500;&#1488;&#1514;&#1512;%20&#1502;&#1511;&#1512;&#1493;%20&#1513;&#1512;&#1493;&#1503;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גיליון300"/>
      <sheetName val="גיליון302"/>
      <sheetName val="גיליון304"/>
      <sheetName val="גיליון306"/>
      <sheetName val="גיליון308"/>
      <sheetName val="גיליון310"/>
      <sheetName val="אוצר לאתר דש"/>
      <sheetName val="אוצר לאתר כולם חוץ מדש"/>
      <sheetName val="אוצר לאתר מור"/>
      <sheetName val="אוצר לאתר חני חנמ חנא"/>
      <sheetName val="אוצר לאתר מור (2)"/>
      <sheetName val="אוצר לאתר מקרו שרון"/>
    </sheetNames>
    <definedNames>
      <definedName name="Module1.מאקרו1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R362"/>
  <sheetViews>
    <sheetView rightToLeft="1" tabSelected="1" workbookViewId="0">
      <selection activeCell="E2" sqref="E2"/>
    </sheetView>
  </sheetViews>
  <sheetFormatPr defaultRowHeight="14.25" x14ac:dyDescent="0.2"/>
  <sheetData>
    <row r="3" spans="1:70" x14ac:dyDescent="0.2">
      <c r="A3" s="21" t="s">
        <v>700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 t="s">
        <v>699</v>
      </c>
    </row>
    <row r="4" spans="1:70" ht="15.75" x14ac:dyDescent="0.25">
      <c r="A4" s="1"/>
      <c r="B4" s="2"/>
      <c r="C4" s="2"/>
      <c r="D4" s="2"/>
      <c r="E4">
        <v>6</v>
      </c>
      <c r="F4">
        <v>10</v>
      </c>
      <c r="G4">
        <v>30</v>
      </c>
      <c r="H4">
        <v>50</v>
      </c>
      <c r="I4">
        <v>93</v>
      </c>
      <c r="J4">
        <v>99</v>
      </c>
      <c r="K4">
        <v>100</v>
      </c>
      <c r="L4">
        <v>102</v>
      </c>
      <c r="M4">
        <v>122</v>
      </c>
      <c r="N4">
        <v>142</v>
      </c>
      <c r="O4">
        <v>164</v>
      </c>
      <c r="P4">
        <v>167</v>
      </c>
      <c r="Q4">
        <v>169</v>
      </c>
      <c r="R4">
        <v>425</v>
      </c>
      <c r="S4">
        <v>426</v>
      </c>
      <c r="T4">
        <v>499</v>
      </c>
      <c r="U4">
        <v>519</v>
      </c>
      <c r="V4">
        <v>526</v>
      </c>
      <c r="W4">
        <v>570</v>
      </c>
      <c r="X4">
        <v>571</v>
      </c>
      <c r="Y4">
        <v>572</v>
      </c>
      <c r="Z4">
        <v>573</v>
      </c>
      <c r="AA4">
        <v>574</v>
      </c>
      <c r="AB4">
        <v>628</v>
      </c>
      <c r="AC4">
        <v>629</v>
      </c>
      <c r="AD4">
        <v>631</v>
      </c>
      <c r="AE4">
        <v>632</v>
      </c>
      <c r="AF4">
        <v>658</v>
      </c>
      <c r="AG4">
        <v>660</v>
      </c>
      <c r="AH4">
        <v>662</v>
      </c>
      <c r="AI4">
        <v>664</v>
      </c>
      <c r="AJ4">
        <v>666</v>
      </c>
      <c r="AK4">
        <v>726</v>
      </c>
      <c r="AL4">
        <v>737</v>
      </c>
      <c r="AM4">
        <v>805</v>
      </c>
      <c r="AN4">
        <v>827</v>
      </c>
      <c r="AO4">
        <v>575</v>
      </c>
      <c r="AP4">
        <v>576</v>
      </c>
      <c r="AQ4">
        <v>359</v>
      </c>
      <c r="AR4" s="9">
        <v>828</v>
      </c>
      <c r="AS4" s="9">
        <v>844</v>
      </c>
      <c r="AT4" s="9">
        <v>839</v>
      </c>
      <c r="AU4" s="9">
        <v>857</v>
      </c>
      <c r="AV4" s="9">
        <v>851</v>
      </c>
      <c r="AW4" s="9">
        <v>849</v>
      </c>
      <c r="AX4" s="9">
        <v>846</v>
      </c>
      <c r="AY4" s="9">
        <v>834</v>
      </c>
      <c r="AZ4" s="9">
        <v>506</v>
      </c>
      <c r="BA4" s="9">
        <v>521</v>
      </c>
      <c r="BB4" s="9">
        <v>522</v>
      </c>
      <c r="BC4" s="9">
        <v>528</v>
      </c>
      <c r="BD4" s="9">
        <v>548</v>
      </c>
      <c r="BE4" s="9">
        <v>551</v>
      </c>
      <c r="BF4" s="9">
        <v>555</v>
      </c>
      <c r="BG4" s="9">
        <v>558</v>
      </c>
      <c r="BH4" s="9">
        <v>558</v>
      </c>
      <c r="BI4" s="9">
        <v>578</v>
      </c>
      <c r="BJ4" s="9">
        <v>580</v>
      </c>
      <c r="BK4" s="9">
        <v>577</v>
      </c>
      <c r="BL4" s="9">
        <v>488</v>
      </c>
      <c r="BM4" s="9">
        <v>360</v>
      </c>
      <c r="BN4" s="9">
        <v>121</v>
      </c>
      <c r="BO4" s="9">
        <v>807</v>
      </c>
      <c r="BP4" s="9">
        <v>525</v>
      </c>
      <c r="BQ4" s="9">
        <v>101</v>
      </c>
      <c r="BR4" s="21"/>
    </row>
    <row r="5" spans="1:70" x14ac:dyDescent="0.2">
      <c r="E5" s="10">
        <v>401</v>
      </c>
      <c r="F5" s="10">
        <v>242</v>
      </c>
      <c r="G5" s="10">
        <v>385</v>
      </c>
      <c r="H5" s="10">
        <v>528</v>
      </c>
      <c r="I5" s="10">
        <v>384</v>
      </c>
      <c r="J5" s="10">
        <v>716</v>
      </c>
      <c r="K5" s="10">
        <v>686</v>
      </c>
      <c r="L5" s="10">
        <v>715</v>
      </c>
      <c r="M5" s="10">
        <v>9916</v>
      </c>
      <c r="N5" s="10">
        <v>1100</v>
      </c>
      <c r="O5" s="10">
        <v>801</v>
      </c>
      <c r="P5" s="10">
        <v>804</v>
      </c>
      <c r="Q5" s="10">
        <v>806</v>
      </c>
      <c r="R5" s="10">
        <v>8765</v>
      </c>
      <c r="S5" s="10">
        <v>8766</v>
      </c>
      <c r="T5" s="10">
        <v>9418</v>
      </c>
      <c r="U5" s="10">
        <v>9475</v>
      </c>
      <c r="V5" s="10">
        <v>9906</v>
      </c>
      <c r="W5" s="10">
        <v>7905</v>
      </c>
      <c r="X5" s="10">
        <v>7906</v>
      </c>
      <c r="Y5" s="10">
        <v>7907</v>
      </c>
      <c r="Z5" s="10">
        <v>7908</v>
      </c>
      <c r="AA5" s="10">
        <v>7909</v>
      </c>
      <c r="AB5" s="10">
        <v>11310</v>
      </c>
      <c r="AC5" s="10">
        <v>11311</v>
      </c>
      <c r="AD5" s="10">
        <v>11312</v>
      </c>
      <c r="AE5" s="10">
        <v>11335</v>
      </c>
      <c r="AF5" s="10">
        <v>9529</v>
      </c>
      <c r="AG5" s="10">
        <v>961</v>
      </c>
      <c r="AH5" s="10">
        <v>9528</v>
      </c>
      <c r="AI5" s="10">
        <v>964</v>
      </c>
      <c r="AJ5" s="10">
        <v>968</v>
      </c>
      <c r="AK5" s="10">
        <v>8629</v>
      </c>
      <c r="AL5" s="10">
        <v>13264</v>
      </c>
      <c r="AM5" s="10">
        <v>9917</v>
      </c>
      <c r="AN5" s="10">
        <v>13263</v>
      </c>
      <c r="AO5" s="10">
        <v>13209</v>
      </c>
      <c r="AP5" s="10">
        <v>13250</v>
      </c>
      <c r="AQ5" s="10">
        <v>14281</v>
      </c>
      <c r="AR5" s="11">
        <v>2049</v>
      </c>
      <c r="AS5" s="12">
        <v>7975</v>
      </c>
      <c r="AT5" s="12">
        <v>8004</v>
      </c>
      <c r="AU5" s="11">
        <v>1008</v>
      </c>
      <c r="AV5" s="11">
        <v>9484</v>
      </c>
      <c r="AW5" s="11">
        <v>682</v>
      </c>
      <c r="AX5" s="11">
        <v>11352</v>
      </c>
      <c r="AY5" s="11">
        <v>2058</v>
      </c>
      <c r="AZ5" s="11">
        <v>15007</v>
      </c>
      <c r="BA5" s="11">
        <v>15208</v>
      </c>
      <c r="BB5" s="11">
        <v>15209</v>
      </c>
      <c r="BC5" s="11">
        <v>15210</v>
      </c>
      <c r="BD5" s="11">
        <v>15211</v>
      </c>
      <c r="BE5" s="11">
        <v>15212</v>
      </c>
      <c r="BF5" s="11">
        <v>15232</v>
      </c>
      <c r="BG5" s="11">
        <v>15214</v>
      </c>
      <c r="BH5" s="11">
        <v>15214</v>
      </c>
      <c r="BI5" s="11">
        <v>15233</v>
      </c>
      <c r="BJ5" s="11">
        <v>15234</v>
      </c>
      <c r="BK5" s="11">
        <v>15215</v>
      </c>
      <c r="BL5" s="11">
        <v>12088</v>
      </c>
      <c r="BM5" s="11">
        <v>14282</v>
      </c>
      <c r="BN5" s="11">
        <v>211</v>
      </c>
      <c r="BO5" s="11">
        <v>8624</v>
      </c>
      <c r="BP5" s="11">
        <v>9905</v>
      </c>
      <c r="BQ5" s="11">
        <v>1190</v>
      </c>
      <c r="BR5" s="21"/>
    </row>
    <row r="6" spans="1:70" ht="15.75" x14ac:dyDescent="0.25">
      <c r="A6" s="3">
        <v>45566</v>
      </c>
      <c r="B6" s="2"/>
      <c r="C6" s="2"/>
      <c r="D6" s="2"/>
      <c r="E6" t="s">
        <v>614</v>
      </c>
      <c r="F6" t="s">
        <v>615</v>
      </c>
      <c r="G6" t="s">
        <v>616</v>
      </c>
      <c r="H6" t="s">
        <v>617</v>
      </c>
      <c r="I6" t="s">
        <v>618</v>
      </c>
      <c r="J6" t="s">
        <v>619</v>
      </c>
      <c r="K6" t="s">
        <v>620</v>
      </c>
      <c r="L6" t="s">
        <v>621</v>
      </c>
      <c r="M6" t="s">
        <v>622</v>
      </c>
      <c r="N6" t="s">
        <v>623</v>
      </c>
      <c r="O6" t="s">
        <v>624</v>
      </c>
      <c r="P6" t="s">
        <v>625</v>
      </c>
      <c r="Q6" t="s">
        <v>626</v>
      </c>
      <c r="R6" t="s">
        <v>627</v>
      </c>
      <c r="S6" t="s">
        <v>628</v>
      </c>
      <c r="T6" t="s">
        <v>629</v>
      </c>
      <c r="U6" t="s">
        <v>630</v>
      </c>
      <c r="V6" t="s">
        <v>631</v>
      </c>
      <c r="W6" t="s">
        <v>632</v>
      </c>
      <c r="X6" t="s">
        <v>633</v>
      </c>
      <c r="Y6" t="s">
        <v>634</v>
      </c>
      <c r="Z6" t="s">
        <v>635</v>
      </c>
      <c r="AA6" t="s">
        <v>636</v>
      </c>
      <c r="AB6" t="s">
        <v>637</v>
      </c>
      <c r="AC6" t="s">
        <v>638</v>
      </c>
      <c r="AD6" t="s">
        <v>639</v>
      </c>
      <c r="AE6" t="s">
        <v>640</v>
      </c>
      <c r="AF6" t="s">
        <v>641</v>
      </c>
      <c r="AG6" t="s">
        <v>642</v>
      </c>
      <c r="AH6" t="s">
        <v>643</v>
      </c>
      <c r="AI6" t="s">
        <v>644</v>
      </c>
      <c r="AJ6" t="s">
        <v>645</v>
      </c>
      <c r="AK6" t="s">
        <v>646</v>
      </c>
      <c r="AL6" t="s">
        <v>647</v>
      </c>
      <c r="AM6" t="s">
        <v>648</v>
      </c>
      <c r="AN6" t="s">
        <v>649</v>
      </c>
      <c r="AO6" t="s">
        <v>650</v>
      </c>
      <c r="AP6" t="s">
        <v>651</v>
      </c>
      <c r="AQ6" t="s">
        <v>652</v>
      </c>
      <c r="AR6" s="13" t="s">
        <v>653</v>
      </c>
      <c r="AS6" s="14" t="s">
        <v>654</v>
      </c>
      <c r="AT6" s="13" t="s">
        <v>655</v>
      </c>
      <c r="AU6" s="13" t="s">
        <v>656</v>
      </c>
      <c r="AV6" s="13" t="s">
        <v>657</v>
      </c>
      <c r="AW6" s="13" t="s">
        <v>658</v>
      </c>
      <c r="AX6" s="13" t="s">
        <v>659</v>
      </c>
      <c r="AY6" s="13" t="s">
        <v>660</v>
      </c>
      <c r="AZ6" s="13" t="s">
        <v>661</v>
      </c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21"/>
    </row>
    <row r="7" spans="1:70" ht="15.75" x14ac:dyDescent="0.25">
      <c r="A7" s="4"/>
      <c r="B7" s="5"/>
      <c r="C7" s="5"/>
      <c r="D7" s="6" t="s">
        <v>0</v>
      </c>
      <c r="E7" s="15" t="s">
        <v>662</v>
      </c>
      <c r="F7" s="15" t="s">
        <v>663</v>
      </c>
      <c r="G7" s="15" t="s">
        <v>664</v>
      </c>
      <c r="H7" s="15" t="s">
        <v>665</v>
      </c>
      <c r="I7" s="15" t="s">
        <v>666</v>
      </c>
      <c r="J7" s="15" t="s">
        <v>667</v>
      </c>
      <c r="K7" s="15" t="s">
        <v>668</v>
      </c>
      <c r="L7" s="15" t="s">
        <v>669</v>
      </c>
      <c r="M7" s="15" t="s">
        <v>670</v>
      </c>
      <c r="N7" s="15" t="s">
        <v>671</v>
      </c>
      <c r="O7" s="15" t="s">
        <v>672</v>
      </c>
      <c r="P7" s="15" t="s">
        <v>673</v>
      </c>
      <c r="Q7" s="15" t="s">
        <v>674</v>
      </c>
      <c r="R7" s="15" t="s">
        <v>675</v>
      </c>
      <c r="S7" s="15" t="s">
        <v>676</v>
      </c>
      <c r="T7" s="15" t="s">
        <v>677</v>
      </c>
      <c r="U7" s="15" t="s">
        <v>678</v>
      </c>
      <c r="V7" s="15" t="s">
        <v>679</v>
      </c>
      <c r="W7" s="15" t="s">
        <v>680</v>
      </c>
      <c r="X7" s="15" t="s">
        <v>681</v>
      </c>
      <c r="Y7" s="15" t="s">
        <v>682</v>
      </c>
      <c r="Z7" s="15" t="s">
        <v>683</v>
      </c>
      <c r="AA7" s="15" t="s">
        <v>684</v>
      </c>
      <c r="AB7" s="15" t="s">
        <v>685</v>
      </c>
      <c r="AC7" s="15" t="s">
        <v>686</v>
      </c>
      <c r="AD7" s="15" t="s">
        <v>687</v>
      </c>
      <c r="AE7" s="15" t="s">
        <v>688</v>
      </c>
      <c r="AF7" s="15" t="s">
        <v>689</v>
      </c>
      <c r="AG7" s="15" t="s">
        <v>690</v>
      </c>
      <c r="AH7" s="15" t="s">
        <v>691</v>
      </c>
      <c r="AI7" s="15" t="s">
        <v>692</v>
      </c>
      <c r="AJ7" s="15" t="s">
        <v>693</v>
      </c>
      <c r="AK7" s="15" t="s">
        <v>694</v>
      </c>
      <c r="AL7" s="15" t="s">
        <v>695</v>
      </c>
      <c r="AM7" s="15" t="s">
        <v>696</v>
      </c>
      <c r="AN7" s="15" t="s">
        <v>697</v>
      </c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21"/>
    </row>
    <row r="8" spans="1:70" ht="15.75" x14ac:dyDescent="0.25">
      <c r="A8" s="5" t="s">
        <v>1</v>
      </c>
      <c r="B8" s="5" t="s">
        <v>2</v>
      </c>
      <c r="C8" s="7">
        <v>1</v>
      </c>
      <c r="D8" s="7">
        <v>1</v>
      </c>
      <c r="E8" s="7">
        <v>189821.10200000001</v>
      </c>
      <c r="F8" s="7">
        <v>27832.862000000001</v>
      </c>
      <c r="G8" s="7">
        <v>20846.687999999998</v>
      </c>
      <c r="H8" s="7">
        <v>36.521000000000001</v>
      </c>
      <c r="I8" s="7">
        <v>3323.6379999999999</v>
      </c>
      <c r="J8" s="7">
        <v>14530.754000000001</v>
      </c>
      <c r="K8" s="7">
        <v>0</v>
      </c>
      <c r="L8" s="7">
        <v>4569.0169999999998</v>
      </c>
      <c r="M8" s="7">
        <v>266897.57299999997</v>
      </c>
      <c r="N8" s="7">
        <v>60862.500999999997</v>
      </c>
      <c r="O8" s="7">
        <v>3.0289999999999999</v>
      </c>
      <c r="P8" s="7">
        <v>489.69400000000002</v>
      </c>
      <c r="Q8" s="7">
        <v>54.561999999999998</v>
      </c>
      <c r="R8" s="7">
        <v>615.01599999999996</v>
      </c>
      <c r="S8" s="7">
        <v>455.52300000000002</v>
      </c>
      <c r="T8" s="7">
        <v>8565.0969999999998</v>
      </c>
      <c r="U8" s="7">
        <v>1.7000000000000001E-2</v>
      </c>
      <c r="V8" s="7">
        <v>3331.2849999999999</v>
      </c>
      <c r="W8" s="7">
        <v>1603.675</v>
      </c>
      <c r="X8" s="7">
        <v>5344.7280000000001</v>
      </c>
      <c r="Y8" s="7">
        <v>2485.7840000000001</v>
      </c>
      <c r="Z8" s="7">
        <v>52059.919000000002</v>
      </c>
      <c r="AA8" s="7">
        <v>10241.888000000001</v>
      </c>
      <c r="AB8" s="7">
        <v>18382.12</v>
      </c>
      <c r="AC8" s="7">
        <v>22020.054</v>
      </c>
      <c r="AD8" s="7">
        <v>4872.7610000000004</v>
      </c>
      <c r="AE8" s="7">
        <v>1159.434</v>
      </c>
      <c r="AF8" s="7">
        <v>155383.34099999999</v>
      </c>
      <c r="AG8" s="7">
        <v>45975.678</v>
      </c>
      <c r="AH8" s="7">
        <v>4980.0420000000004</v>
      </c>
      <c r="AI8" s="7">
        <v>494630.16600000003</v>
      </c>
      <c r="AJ8" s="7">
        <v>78483.437999999995</v>
      </c>
      <c r="AK8" s="7">
        <v>52695.267</v>
      </c>
      <c r="AL8" s="7">
        <v>-22594.999</v>
      </c>
      <c r="AM8" s="7">
        <v>0</v>
      </c>
      <c r="AN8" s="7">
        <v>-13218.5</v>
      </c>
      <c r="AO8" s="7">
        <v>633.62900000000002</v>
      </c>
      <c r="AP8" s="7">
        <v>-7569.3779999999997</v>
      </c>
      <c r="AQ8" s="7">
        <v>1108.825</v>
      </c>
      <c r="AR8" s="7">
        <v>1874.0519999999999</v>
      </c>
      <c r="AS8" s="7">
        <v>15034.281000000001</v>
      </c>
      <c r="AT8" s="7">
        <v>806.73800000000006</v>
      </c>
      <c r="AU8" s="7">
        <v>131.15700000000001</v>
      </c>
      <c r="AV8" s="7">
        <v>0</v>
      </c>
      <c r="AW8" s="7">
        <v>6134.7560000000003</v>
      </c>
      <c r="AX8" s="7">
        <v>2513.4180000000001</v>
      </c>
      <c r="AY8" s="7">
        <v>2349.0250000000001</v>
      </c>
      <c r="AZ8" s="7">
        <v>1355.5809999999999</v>
      </c>
      <c r="BA8" s="7">
        <v>1007.2619999999999</v>
      </c>
      <c r="BB8" s="7">
        <v>818.8</v>
      </c>
      <c r="BC8" s="7">
        <v>6332.4309999999996</v>
      </c>
      <c r="BD8" s="7">
        <v>1693.152</v>
      </c>
      <c r="BE8" s="7">
        <v>988.58199999999999</v>
      </c>
      <c r="BF8" s="7">
        <v>717.99</v>
      </c>
      <c r="BG8" s="7">
        <v>66.953000000000003</v>
      </c>
      <c r="BH8" s="7">
        <v>66.953000000000003</v>
      </c>
      <c r="BI8" s="7">
        <v>368.86099999999999</v>
      </c>
      <c r="BJ8" s="7">
        <v>39200.972999999998</v>
      </c>
      <c r="BK8" s="7">
        <v>357.81099999999998</v>
      </c>
      <c r="BL8" s="7">
        <v>0</v>
      </c>
      <c r="BM8" s="7">
        <v>0</v>
      </c>
      <c r="BN8" s="7">
        <v>0</v>
      </c>
      <c r="BO8" s="7">
        <v>0</v>
      </c>
      <c r="BP8" s="7">
        <v>0</v>
      </c>
      <c r="BQ8" s="7">
        <v>0</v>
      </c>
      <c r="BR8" s="21"/>
    </row>
    <row r="9" spans="1:70" ht="15.75" x14ac:dyDescent="0.25">
      <c r="A9" s="5" t="s">
        <v>3</v>
      </c>
      <c r="B9" s="5" t="s">
        <v>4</v>
      </c>
      <c r="C9" s="7">
        <v>1</v>
      </c>
      <c r="D9" s="7">
        <v>1</v>
      </c>
      <c r="E9" s="7">
        <v>88968.619000000006</v>
      </c>
      <c r="F9" s="7">
        <v>14536.808999999999</v>
      </c>
      <c r="G9" s="7">
        <v>8704.4230000000007</v>
      </c>
      <c r="H9" s="7">
        <v>1237.261</v>
      </c>
      <c r="I9" s="7">
        <v>3658.7719999999999</v>
      </c>
      <c r="J9" s="7">
        <v>5538.3320000000003</v>
      </c>
      <c r="K9" s="7">
        <v>0</v>
      </c>
      <c r="L9" s="7">
        <v>0</v>
      </c>
      <c r="M9" s="7">
        <v>137503.32500000001</v>
      </c>
      <c r="N9" s="7">
        <v>25841.275000000001</v>
      </c>
      <c r="O9" s="7">
        <v>0</v>
      </c>
      <c r="P9" s="7">
        <v>163.58799999999999</v>
      </c>
      <c r="Q9" s="7">
        <v>391.35</v>
      </c>
      <c r="R9" s="7">
        <v>136.114</v>
      </c>
      <c r="S9" s="7">
        <v>194.708</v>
      </c>
      <c r="T9" s="7">
        <v>2726.761</v>
      </c>
      <c r="U9" s="7">
        <v>0</v>
      </c>
      <c r="V9" s="7">
        <v>0</v>
      </c>
      <c r="W9" s="7">
        <v>721.69799999999998</v>
      </c>
      <c r="X9" s="7">
        <v>2632.54</v>
      </c>
      <c r="Y9" s="7">
        <v>22751.096000000001</v>
      </c>
      <c r="Z9" s="7">
        <v>21088.798999999999</v>
      </c>
      <c r="AA9" s="7">
        <v>1431.76</v>
      </c>
      <c r="AB9" s="7">
        <v>7115.3249999999998</v>
      </c>
      <c r="AC9" s="7">
        <v>4788.1530000000002</v>
      </c>
      <c r="AD9" s="7">
        <v>2256.1759999999999</v>
      </c>
      <c r="AE9" s="7">
        <v>662.66499999999996</v>
      </c>
      <c r="AF9" s="7">
        <v>64330.902999999998</v>
      </c>
      <c r="AG9" s="7">
        <v>15309.103999999999</v>
      </c>
      <c r="AH9" s="7">
        <v>3661.4580000000001</v>
      </c>
      <c r="AI9" s="7">
        <v>207961.09</v>
      </c>
      <c r="AJ9" s="7">
        <v>27403.383000000002</v>
      </c>
      <c r="AK9" s="7">
        <v>6241.51</v>
      </c>
      <c r="AL9" s="7">
        <v>102739.247</v>
      </c>
      <c r="AM9" s="7">
        <v>0</v>
      </c>
      <c r="AN9" s="7">
        <v>58237.527000000002</v>
      </c>
      <c r="AO9" s="7">
        <v>0</v>
      </c>
      <c r="AP9" s="7">
        <v>33081.862000000001</v>
      </c>
      <c r="AQ9" s="7">
        <v>304.74099999999999</v>
      </c>
      <c r="AR9" s="7">
        <v>3359.1089999999999</v>
      </c>
      <c r="AS9" s="7">
        <v>4448.723</v>
      </c>
      <c r="AT9" s="7">
        <v>1402.367</v>
      </c>
      <c r="AU9" s="7">
        <v>50.795000000000002</v>
      </c>
      <c r="AV9" s="7">
        <v>0</v>
      </c>
      <c r="AW9" s="7">
        <v>2663.1489999999999</v>
      </c>
      <c r="AX9" s="7">
        <v>4534.4340000000002</v>
      </c>
      <c r="AY9" s="7">
        <v>4940.777</v>
      </c>
      <c r="AZ9" s="7">
        <v>12375.934999999999</v>
      </c>
      <c r="BA9" s="7">
        <v>100.91200000000001</v>
      </c>
      <c r="BB9" s="7">
        <v>54.079000000000001</v>
      </c>
      <c r="BC9" s="7">
        <v>6943.3339999999998</v>
      </c>
      <c r="BD9" s="7">
        <v>77.628</v>
      </c>
      <c r="BE9" s="7">
        <v>59.097000000000001</v>
      </c>
      <c r="BF9" s="7">
        <v>77.632999999999996</v>
      </c>
      <c r="BG9" s="7">
        <v>11.807</v>
      </c>
      <c r="BH9" s="7">
        <v>11.807</v>
      </c>
      <c r="BI9" s="7">
        <v>43.633000000000003</v>
      </c>
      <c r="BJ9" s="7">
        <v>35941.353999999999</v>
      </c>
      <c r="BK9" s="7">
        <v>22.234000000000002</v>
      </c>
      <c r="BL9" s="7">
        <v>0</v>
      </c>
      <c r="BM9" s="7">
        <v>0</v>
      </c>
      <c r="BN9" s="7">
        <v>0</v>
      </c>
      <c r="BO9" s="7">
        <v>0</v>
      </c>
      <c r="BP9" s="7">
        <v>0</v>
      </c>
      <c r="BQ9" s="7">
        <v>0</v>
      </c>
      <c r="BR9" s="21"/>
    </row>
    <row r="10" spans="1:70" ht="15.75" x14ac:dyDescent="0.25">
      <c r="A10" s="5" t="s">
        <v>5</v>
      </c>
      <c r="B10" s="5" t="s">
        <v>6</v>
      </c>
      <c r="C10" s="7">
        <v>1</v>
      </c>
      <c r="D10" s="7">
        <v>1</v>
      </c>
      <c r="E10" s="7">
        <v>87957.036999999997</v>
      </c>
      <c r="F10" s="7">
        <v>14349.808999999999</v>
      </c>
      <c r="G10" s="7">
        <v>6505.0519999999997</v>
      </c>
      <c r="H10" s="7">
        <v>27268.400000000001</v>
      </c>
      <c r="I10" s="7">
        <v>2000.65</v>
      </c>
      <c r="J10" s="7">
        <v>2890.7530000000002</v>
      </c>
      <c r="K10" s="7">
        <v>0</v>
      </c>
      <c r="L10" s="7">
        <v>2748.779</v>
      </c>
      <c r="M10" s="7">
        <v>165477.44699999999</v>
      </c>
      <c r="N10" s="7">
        <v>25049.666000000001</v>
      </c>
      <c r="O10" s="7">
        <v>288.58600000000001</v>
      </c>
      <c r="P10" s="7">
        <v>427.375</v>
      </c>
      <c r="Q10" s="7">
        <v>55.454999999999998</v>
      </c>
      <c r="R10" s="7">
        <v>324.16500000000002</v>
      </c>
      <c r="S10" s="7">
        <v>175.15700000000001</v>
      </c>
      <c r="T10" s="7">
        <v>4789.51</v>
      </c>
      <c r="U10" s="7">
        <v>55.77</v>
      </c>
      <c r="V10" s="7">
        <v>3978.5129999999999</v>
      </c>
      <c r="W10" s="7">
        <v>3156.701</v>
      </c>
      <c r="X10" s="7">
        <v>2726.4380000000001</v>
      </c>
      <c r="Y10" s="7">
        <v>10467.409</v>
      </c>
      <c r="Z10" s="7">
        <v>36171.167000000001</v>
      </c>
      <c r="AA10" s="7">
        <v>5672.4279999999999</v>
      </c>
      <c r="AB10" s="7">
        <v>24957.108</v>
      </c>
      <c r="AC10" s="7">
        <v>23779.749</v>
      </c>
      <c r="AD10" s="7">
        <v>2484.02</v>
      </c>
      <c r="AE10" s="7">
        <v>3740.462</v>
      </c>
      <c r="AF10" s="7">
        <v>84142.789000000004</v>
      </c>
      <c r="AG10" s="7">
        <v>25181.424999999999</v>
      </c>
      <c r="AH10" s="7">
        <v>15384.638999999999</v>
      </c>
      <c r="AI10" s="7">
        <v>317880.14500000002</v>
      </c>
      <c r="AJ10" s="7">
        <v>43518.714</v>
      </c>
      <c r="AK10" s="7">
        <v>26427.038</v>
      </c>
      <c r="AL10" s="7">
        <v>181487.489</v>
      </c>
      <c r="AM10" s="7">
        <v>0</v>
      </c>
      <c r="AN10" s="7">
        <v>94920.073999999993</v>
      </c>
      <c r="AO10" s="7">
        <v>240.85300000000001</v>
      </c>
      <c r="AP10" s="7">
        <v>55599.353000000003</v>
      </c>
      <c r="AQ10" s="7">
        <v>971.38300000000004</v>
      </c>
      <c r="AR10" s="7">
        <v>0</v>
      </c>
      <c r="AS10" s="7">
        <v>7951.2290000000003</v>
      </c>
      <c r="AT10" s="7">
        <v>0</v>
      </c>
      <c r="AU10" s="7">
        <v>39.587000000000003</v>
      </c>
      <c r="AV10" s="7">
        <v>0</v>
      </c>
      <c r="AW10" s="7">
        <v>439.86799999999999</v>
      </c>
      <c r="AX10" s="7">
        <v>0</v>
      </c>
      <c r="AY10" s="7">
        <v>0</v>
      </c>
      <c r="AZ10" s="7">
        <v>10629.173000000001</v>
      </c>
      <c r="BA10" s="7">
        <v>120.047</v>
      </c>
      <c r="BB10" s="7">
        <v>28.34</v>
      </c>
      <c r="BC10" s="7">
        <v>0</v>
      </c>
      <c r="BD10" s="7">
        <v>116.06699999999999</v>
      </c>
      <c r="BE10" s="7">
        <v>53.619</v>
      </c>
      <c r="BF10" s="7">
        <v>40.655999999999999</v>
      </c>
      <c r="BG10" s="7">
        <v>17.585999999999999</v>
      </c>
      <c r="BH10" s="7">
        <v>17.585999999999999</v>
      </c>
      <c r="BI10" s="7">
        <v>22.872</v>
      </c>
      <c r="BJ10" s="7">
        <v>10550.859</v>
      </c>
      <c r="BK10" s="7">
        <v>18.033999999999999</v>
      </c>
      <c r="BL10" s="7">
        <v>0</v>
      </c>
      <c r="BM10" s="7">
        <v>0</v>
      </c>
      <c r="BN10" s="7">
        <v>0</v>
      </c>
      <c r="BO10" s="7">
        <v>0</v>
      </c>
      <c r="BP10" s="7">
        <v>0</v>
      </c>
      <c r="BQ10" s="7">
        <v>0</v>
      </c>
      <c r="BR10" s="21"/>
    </row>
    <row r="11" spans="1:70" ht="15.75" x14ac:dyDescent="0.25">
      <c r="A11" s="5" t="s">
        <v>7</v>
      </c>
      <c r="B11" s="5" t="s">
        <v>8</v>
      </c>
      <c r="C11" s="7">
        <v>1</v>
      </c>
      <c r="D11" s="7">
        <v>1</v>
      </c>
      <c r="E11" s="7">
        <v>465848.86300000001</v>
      </c>
      <c r="F11" s="7">
        <v>93677.150999999998</v>
      </c>
      <c r="G11" s="7">
        <v>0</v>
      </c>
      <c r="H11" s="7">
        <v>0</v>
      </c>
      <c r="I11" s="7">
        <v>3994.6179999999999</v>
      </c>
      <c r="J11" s="7">
        <v>0</v>
      </c>
      <c r="K11" s="7">
        <v>0</v>
      </c>
      <c r="L11" s="7">
        <v>0</v>
      </c>
      <c r="M11" s="7">
        <v>1202928.9339999999</v>
      </c>
      <c r="N11" s="7">
        <v>88514.01</v>
      </c>
      <c r="O11" s="7">
        <v>0</v>
      </c>
      <c r="P11" s="7">
        <v>3646.3870000000002</v>
      </c>
      <c r="Q11" s="7">
        <v>0</v>
      </c>
      <c r="R11" s="7">
        <v>4164.24</v>
      </c>
      <c r="S11" s="7">
        <v>1121.357</v>
      </c>
      <c r="T11" s="7">
        <v>29556.991000000002</v>
      </c>
      <c r="U11" s="7">
        <v>0</v>
      </c>
      <c r="V11" s="7">
        <v>0</v>
      </c>
      <c r="W11" s="7">
        <v>0</v>
      </c>
      <c r="X11" s="7">
        <v>7713.558</v>
      </c>
      <c r="Y11" s="7">
        <v>0</v>
      </c>
      <c r="Z11" s="7">
        <v>192442.109</v>
      </c>
      <c r="AA11" s="7">
        <v>58357.419000000002</v>
      </c>
      <c r="AB11" s="7">
        <v>0</v>
      </c>
      <c r="AC11" s="7">
        <v>143805.22200000001</v>
      </c>
      <c r="AD11" s="7">
        <v>17301.981</v>
      </c>
      <c r="AE11" s="7">
        <v>10767.468999999999</v>
      </c>
      <c r="AF11" s="7">
        <v>611883.06099999999</v>
      </c>
      <c r="AG11" s="7">
        <v>233634.48300000001</v>
      </c>
      <c r="AH11" s="7">
        <v>51615.656999999999</v>
      </c>
      <c r="AI11" s="7">
        <v>1860797.115</v>
      </c>
      <c r="AJ11" s="7">
        <v>399915.45799999998</v>
      </c>
      <c r="AK11" s="7">
        <v>295095.61499999999</v>
      </c>
      <c r="AL11" s="7">
        <v>6514307.0099999998</v>
      </c>
      <c r="AM11" s="7">
        <v>0</v>
      </c>
      <c r="AN11" s="7">
        <v>3811347.9810000001</v>
      </c>
      <c r="AO11" s="7">
        <v>0</v>
      </c>
      <c r="AP11" s="7">
        <v>2182034.6409999998</v>
      </c>
      <c r="AQ11" s="7">
        <v>4072.0590000000002</v>
      </c>
      <c r="AR11" s="7">
        <v>0</v>
      </c>
      <c r="AS11" s="7">
        <v>71589.838000000003</v>
      </c>
      <c r="AT11" s="7">
        <v>0</v>
      </c>
      <c r="AU11" s="7">
        <v>312.22500000000002</v>
      </c>
      <c r="AV11" s="7">
        <v>0</v>
      </c>
      <c r="AW11" s="7">
        <v>2183.1170000000002</v>
      </c>
      <c r="AX11" s="7">
        <v>0</v>
      </c>
      <c r="AY11" s="7">
        <v>0</v>
      </c>
      <c r="AZ11" s="7">
        <v>0</v>
      </c>
      <c r="BA11" s="7">
        <v>703.86300000000006</v>
      </c>
      <c r="BB11" s="7">
        <v>0</v>
      </c>
      <c r="BC11" s="7">
        <v>0</v>
      </c>
      <c r="BD11" s="7">
        <v>978.69600000000003</v>
      </c>
      <c r="BE11" s="7">
        <v>0</v>
      </c>
      <c r="BF11" s="7">
        <v>0</v>
      </c>
      <c r="BG11" s="7">
        <v>149.09299999999999</v>
      </c>
      <c r="BH11" s="7">
        <v>149.09299999999999</v>
      </c>
      <c r="BI11" s="7">
        <v>0</v>
      </c>
      <c r="BJ11" s="7">
        <v>220947.481</v>
      </c>
      <c r="BK11" s="7">
        <v>0</v>
      </c>
      <c r="BL11" s="7">
        <v>0</v>
      </c>
      <c r="BM11" s="7">
        <v>0</v>
      </c>
      <c r="BN11" s="7">
        <v>0</v>
      </c>
      <c r="BO11" s="7">
        <v>0</v>
      </c>
      <c r="BP11" s="7">
        <v>0</v>
      </c>
      <c r="BQ11" s="7">
        <v>0</v>
      </c>
      <c r="BR11" s="21"/>
    </row>
    <row r="12" spans="1:70" ht="15.75" x14ac:dyDescent="0.25">
      <c r="A12" s="5" t="s">
        <v>9</v>
      </c>
      <c r="B12" s="5" t="s">
        <v>10</v>
      </c>
      <c r="C12" s="7">
        <v>1</v>
      </c>
      <c r="D12" s="7">
        <v>1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7">
        <v>0</v>
      </c>
      <c r="BM12" s="7">
        <v>0</v>
      </c>
      <c r="BN12" s="7">
        <v>0</v>
      </c>
      <c r="BO12" s="7">
        <v>0</v>
      </c>
      <c r="BP12" s="7">
        <v>0</v>
      </c>
      <c r="BQ12" s="7">
        <v>0</v>
      </c>
      <c r="BR12" s="21"/>
    </row>
    <row r="13" spans="1:70" ht="15.75" x14ac:dyDescent="0.25">
      <c r="A13" s="5" t="s">
        <v>11</v>
      </c>
      <c r="B13" s="5" t="s">
        <v>12</v>
      </c>
      <c r="C13" s="7">
        <v>1</v>
      </c>
      <c r="D13" s="7">
        <v>1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7">
        <v>0</v>
      </c>
      <c r="BM13" s="7">
        <v>0</v>
      </c>
      <c r="BN13" s="7">
        <v>0</v>
      </c>
      <c r="BO13" s="7">
        <v>0</v>
      </c>
      <c r="BP13" s="7">
        <v>0</v>
      </c>
      <c r="BQ13" s="7">
        <v>0</v>
      </c>
      <c r="BR13" s="21"/>
    </row>
    <row r="14" spans="1:70" ht="15.75" x14ac:dyDescent="0.25">
      <c r="A14" s="5" t="s">
        <v>13</v>
      </c>
      <c r="B14" s="5" t="s">
        <v>14</v>
      </c>
      <c r="C14" s="7">
        <v>1</v>
      </c>
      <c r="D14" s="7">
        <v>1</v>
      </c>
      <c r="E14" s="7">
        <v>64081.832999999999</v>
      </c>
      <c r="F14" s="7">
        <v>11008.121999999999</v>
      </c>
      <c r="G14" s="7">
        <v>3591.076</v>
      </c>
      <c r="H14" s="7">
        <v>257.78699999999998</v>
      </c>
      <c r="I14" s="7">
        <v>940.25</v>
      </c>
      <c r="J14" s="7">
        <v>3422.1880000000001</v>
      </c>
      <c r="K14" s="7">
        <v>0</v>
      </c>
      <c r="L14" s="7">
        <v>0</v>
      </c>
      <c r="M14" s="7">
        <v>117010.81</v>
      </c>
      <c r="N14" s="7">
        <v>22638.699000000001</v>
      </c>
      <c r="O14" s="7">
        <v>0</v>
      </c>
      <c r="P14" s="7">
        <v>9.1120000000000001</v>
      </c>
      <c r="Q14" s="7">
        <v>55.194000000000003</v>
      </c>
      <c r="R14" s="7">
        <v>13.265000000000001</v>
      </c>
      <c r="S14" s="7">
        <v>12.17</v>
      </c>
      <c r="T14" s="7">
        <v>3298.0079999999998</v>
      </c>
      <c r="U14" s="7">
        <v>0</v>
      </c>
      <c r="V14" s="7">
        <v>0</v>
      </c>
      <c r="W14" s="7">
        <v>457.56900000000002</v>
      </c>
      <c r="X14" s="7">
        <v>1402.57</v>
      </c>
      <c r="Y14" s="7">
        <v>2.5000000000000001E-2</v>
      </c>
      <c r="Z14" s="7">
        <v>18721.967000000001</v>
      </c>
      <c r="AA14" s="7">
        <v>487.01</v>
      </c>
      <c r="AB14" s="7">
        <v>5709.067</v>
      </c>
      <c r="AC14" s="7">
        <v>277.05599999999998</v>
      </c>
      <c r="AD14" s="7">
        <v>1954.2829999999999</v>
      </c>
      <c r="AE14" s="7">
        <v>117.185</v>
      </c>
      <c r="AF14" s="7">
        <v>50062.752999999997</v>
      </c>
      <c r="AG14" s="7">
        <v>17235.983</v>
      </c>
      <c r="AH14" s="7">
        <v>510.274</v>
      </c>
      <c r="AI14" s="7">
        <v>205324.06099999999</v>
      </c>
      <c r="AJ14" s="7">
        <v>29645.905999999999</v>
      </c>
      <c r="AK14" s="7">
        <v>2440.078</v>
      </c>
      <c r="AL14" s="7">
        <v>578.94799999999998</v>
      </c>
      <c r="AM14" s="7">
        <v>0</v>
      </c>
      <c r="AN14" s="7">
        <v>338.72699999999998</v>
      </c>
      <c r="AO14" s="7">
        <v>0</v>
      </c>
      <c r="AP14" s="7">
        <v>193.92500000000001</v>
      </c>
      <c r="AQ14" s="7">
        <v>430.13299999999998</v>
      </c>
      <c r="AR14" s="7">
        <v>0</v>
      </c>
      <c r="AS14" s="7">
        <v>5247.6450000000004</v>
      </c>
      <c r="AT14" s="7">
        <v>0</v>
      </c>
      <c r="AU14" s="7">
        <v>28.55</v>
      </c>
      <c r="AV14" s="7">
        <v>0</v>
      </c>
      <c r="AW14" s="7">
        <v>253.316</v>
      </c>
      <c r="AX14" s="7">
        <v>0</v>
      </c>
      <c r="AY14" s="7">
        <v>0</v>
      </c>
      <c r="AZ14" s="7">
        <v>0</v>
      </c>
      <c r="BA14" s="7">
        <v>157.69300000000001</v>
      </c>
      <c r="BB14" s="7">
        <v>2.665</v>
      </c>
      <c r="BC14" s="7">
        <v>0</v>
      </c>
      <c r="BD14" s="7">
        <v>107.974</v>
      </c>
      <c r="BE14" s="7">
        <v>99.694999999999993</v>
      </c>
      <c r="BF14" s="7">
        <v>3.823</v>
      </c>
      <c r="BG14" s="7">
        <v>16.460999999999999</v>
      </c>
      <c r="BH14" s="7">
        <v>16.460999999999999</v>
      </c>
      <c r="BI14" s="7">
        <v>2.1509999999999998</v>
      </c>
      <c r="BJ14" s="7">
        <v>1799.7529999999999</v>
      </c>
      <c r="BK14" s="7">
        <v>38.283999999999999</v>
      </c>
      <c r="BL14" s="7">
        <v>0</v>
      </c>
      <c r="BM14" s="7">
        <v>0</v>
      </c>
      <c r="BN14" s="7">
        <v>0</v>
      </c>
      <c r="BO14" s="7">
        <v>0</v>
      </c>
      <c r="BP14" s="7">
        <v>0</v>
      </c>
      <c r="BQ14" s="7">
        <v>0</v>
      </c>
      <c r="BR14" s="21"/>
    </row>
    <row r="15" spans="1:70" ht="15.75" x14ac:dyDescent="0.25">
      <c r="A15" s="5" t="s">
        <v>3</v>
      </c>
      <c r="B15" s="5" t="s">
        <v>15</v>
      </c>
      <c r="C15" s="7">
        <v>1</v>
      </c>
      <c r="D15" s="7">
        <v>1</v>
      </c>
      <c r="E15" s="7">
        <v>33.911000000000001</v>
      </c>
      <c r="F15" s="7">
        <v>4.6920000000000002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151.16900000000001</v>
      </c>
      <c r="N15" s="7">
        <v>11.22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10.356999999999999</v>
      </c>
      <c r="AG15" s="7">
        <v>1.542</v>
      </c>
      <c r="AH15" s="7">
        <v>0</v>
      </c>
      <c r="AI15" s="7">
        <v>97.066999999999993</v>
      </c>
      <c r="AJ15" s="7">
        <v>1.0449999999999999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7">
        <v>0</v>
      </c>
      <c r="BM15" s="7">
        <v>0</v>
      </c>
      <c r="BN15" s="7">
        <v>0</v>
      </c>
      <c r="BO15" s="7">
        <v>0</v>
      </c>
      <c r="BP15" s="7">
        <v>0</v>
      </c>
      <c r="BQ15" s="7">
        <v>0</v>
      </c>
      <c r="BR15" s="21"/>
    </row>
    <row r="16" spans="1:70" ht="15.75" x14ac:dyDescent="0.25">
      <c r="A16" s="5" t="s">
        <v>16</v>
      </c>
      <c r="B16" s="5" t="s">
        <v>17</v>
      </c>
      <c r="C16" s="7">
        <v>1</v>
      </c>
      <c r="D16" s="7">
        <v>1</v>
      </c>
      <c r="E16" s="7">
        <v>347.84399999999999</v>
      </c>
      <c r="F16" s="7">
        <v>79.248000000000005</v>
      </c>
      <c r="G16" s="7">
        <v>0</v>
      </c>
      <c r="H16" s="7">
        <v>0</v>
      </c>
      <c r="I16" s="7">
        <v>3.379</v>
      </c>
      <c r="J16" s="7">
        <v>0</v>
      </c>
      <c r="K16" s="7">
        <v>0</v>
      </c>
      <c r="L16" s="7">
        <v>0</v>
      </c>
      <c r="M16" s="7">
        <v>965.1</v>
      </c>
      <c r="N16" s="7">
        <v>74.88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25.004000000000001</v>
      </c>
      <c r="U16" s="7">
        <v>0</v>
      </c>
      <c r="V16" s="7">
        <v>0</v>
      </c>
      <c r="W16" s="7">
        <v>0</v>
      </c>
      <c r="X16" s="7">
        <v>6.5250000000000004</v>
      </c>
      <c r="Y16" s="7">
        <v>0</v>
      </c>
      <c r="Z16" s="7">
        <v>162.79900000000001</v>
      </c>
      <c r="AA16" s="7">
        <v>0</v>
      </c>
      <c r="AB16" s="7">
        <v>0</v>
      </c>
      <c r="AC16" s="7">
        <v>6.2E-2</v>
      </c>
      <c r="AD16" s="7">
        <v>14.637</v>
      </c>
      <c r="AE16" s="7">
        <v>0</v>
      </c>
      <c r="AF16" s="7">
        <v>414.423</v>
      </c>
      <c r="AG16" s="7">
        <v>197.64699999999999</v>
      </c>
      <c r="AH16" s="7">
        <v>0</v>
      </c>
      <c r="AI16" s="7">
        <v>1574.1690000000001</v>
      </c>
      <c r="AJ16" s="7">
        <v>338.31400000000002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3.4449999999999998</v>
      </c>
      <c r="AR16" s="7">
        <v>0</v>
      </c>
      <c r="AS16" s="7">
        <v>60.561999999999998</v>
      </c>
      <c r="AT16" s="7">
        <v>0</v>
      </c>
      <c r="AU16" s="7">
        <v>0.26400000000000001</v>
      </c>
      <c r="AV16" s="7">
        <v>0</v>
      </c>
      <c r="AW16" s="7">
        <v>1.847</v>
      </c>
      <c r="AX16" s="7">
        <v>0</v>
      </c>
      <c r="AY16" s="7">
        <v>0</v>
      </c>
      <c r="AZ16" s="7">
        <v>0</v>
      </c>
      <c r="BA16" s="7">
        <v>0.59499999999999997</v>
      </c>
      <c r="BB16" s="7">
        <v>0</v>
      </c>
      <c r="BC16" s="7">
        <v>0</v>
      </c>
      <c r="BD16" s="7">
        <v>0.82799999999999996</v>
      </c>
      <c r="BE16" s="7">
        <v>0</v>
      </c>
      <c r="BF16" s="7">
        <v>0</v>
      </c>
      <c r="BG16" s="7">
        <v>0.126</v>
      </c>
      <c r="BH16" s="7">
        <v>0.126</v>
      </c>
      <c r="BI16" s="7">
        <v>0</v>
      </c>
      <c r="BJ16" s="7">
        <v>0</v>
      </c>
      <c r="BK16" s="7">
        <v>0</v>
      </c>
      <c r="BL16" s="7">
        <v>0</v>
      </c>
      <c r="BM16" s="7">
        <v>0</v>
      </c>
      <c r="BN16" s="7">
        <v>0</v>
      </c>
      <c r="BO16" s="7">
        <v>0</v>
      </c>
      <c r="BP16" s="7">
        <v>0</v>
      </c>
      <c r="BQ16" s="7">
        <v>0</v>
      </c>
      <c r="BR16" s="21"/>
    </row>
    <row r="17" spans="1:70" ht="15.75" x14ac:dyDescent="0.25">
      <c r="A17" s="5" t="s">
        <v>18</v>
      </c>
      <c r="B17" s="5" t="s">
        <v>19</v>
      </c>
      <c r="C17" s="7">
        <v>2</v>
      </c>
      <c r="D17" s="7">
        <v>2</v>
      </c>
      <c r="E17" s="7">
        <v>879027.36</v>
      </c>
      <c r="F17" s="7">
        <v>64802.603999999999</v>
      </c>
      <c r="G17" s="7">
        <v>174220.62700000001</v>
      </c>
      <c r="H17" s="7">
        <v>0</v>
      </c>
      <c r="I17" s="7">
        <v>24244.275000000001</v>
      </c>
      <c r="J17" s="7">
        <v>119357.27800000001</v>
      </c>
      <c r="K17" s="7">
        <v>0</v>
      </c>
      <c r="L17" s="7">
        <v>0</v>
      </c>
      <c r="M17" s="7">
        <v>168087.83900000001</v>
      </c>
      <c r="N17" s="7">
        <v>278575.65399999998</v>
      </c>
      <c r="O17" s="7">
        <v>0</v>
      </c>
      <c r="P17" s="7">
        <v>0</v>
      </c>
      <c r="Q17" s="7">
        <v>15436.656000000001</v>
      </c>
      <c r="R17" s="7">
        <v>698.66200000000003</v>
      </c>
      <c r="S17" s="7">
        <v>1602.0139999999999</v>
      </c>
      <c r="T17" s="7">
        <v>19844.37</v>
      </c>
      <c r="U17" s="7">
        <v>0</v>
      </c>
      <c r="V17" s="7">
        <v>0</v>
      </c>
      <c r="W17" s="7">
        <v>11285.877</v>
      </c>
      <c r="X17" s="7">
        <v>22748.185000000001</v>
      </c>
      <c r="Y17" s="7">
        <v>0</v>
      </c>
      <c r="Z17" s="7">
        <v>106970.13499999999</v>
      </c>
      <c r="AA17" s="7">
        <v>0</v>
      </c>
      <c r="AB17" s="7">
        <v>143248.804</v>
      </c>
      <c r="AC17" s="7">
        <v>0</v>
      </c>
      <c r="AD17" s="7">
        <v>8511.0609999999997</v>
      </c>
      <c r="AE17" s="7">
        <v>4500.4660000000003</v>
      </c>
      <c r="AF17" s="7">
        <v>279466.88699999999</v>
      </c>
      <c r="AG17" s="7">
        <v>0</v>
      </c>
      <c r="AH17" s="7">
        <v>15000.921</v>
      </c>
      <c r="AI17" s="7">
        <v>883107.10199999996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2805.9749999999999</v>
      </c>
      <c r="AR17" s="7">
        <v>0</v>
      </c>
      <c r="AS17" s="7">
        <v>0</v>
      </c>
      <c r="AT17" s="7">
        <v>0</v>
      </c>
      <c r="AU17" s="7">
        <v>562.67899999999997</v>
      </c>
      <c r="AV17" s="7">
        <v>0</v>
      </c>
      <c r="AW17" s="7">
        <v>14584.834000000001</v>
      </c>
      <c r="AX17" s="7">
        <v>0</v>
      </c>
      <c r="AY17" s="7">
        <v>0</v>
      </c>
      <c r="AZ17" s="7">
        <v>0</v>
      </c>
      <c r="BA17" s="7">
        <v>1788.9780000000001</v>
      </c>
      <c r="BB17" s="7">
        <v>0</v>
      </c>
      <c r="BC17" s="7">
        <v>0</v>
      </c>
      <c r="BD17" s="7">
        <v>524.505</v>
      </c>
      <c r="BE17" s="7">
        <v>1534.769</v>
      </c>
      <c r="BF17" s="7">
        <v>0</v>
      </c>
      <c r="BG17" s="7">
        <v>95.989000000000004</v>
      </c>
      <c r="BH17" s="7">
        <v>95.989000000000004</v>
      </c>
      <c r="BI17" s="7">
        <v>0</v>
      </c>
      <c r="BJ17" s="7">
        <v>0</v>
      </c>
      <c r="BK17" s="7">
        <v>536.64300000000003</v>
      </c>
      <c r="BL17" s="7">
        <v>0</v>
      </c>
      <c r="BM17" s="7">
        <v>0</v>
      </c>
      <c r="BN17" s="7">
        <v>0</v>
      </c>
      <c r="BO17" s="7">
        <v>0</v>
      </c>
      <c r="BP17" s="7">
        <v>0</v>
      </c>
      <c r="BQ17" s="7">
        <v>0</v>
      </c>
      <c r="BR17" s="21"/>
    </row>
    <row r="18" spans="1:70" ht="15.75" x14ac:dyDescent="0.25">
      <c r="A18" s="5" t="s">
        <v>20</v>
      </c>
      <c r="B18" s="5" t="s">
        <v>21</v>
      </c>
      <c r="C18" s="7">
        <v>2</v>
      </c>
      <c r="D18" s="7">
        <v>2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7">
        <v>0</v>
      </c>
      <c r="BM18" s="7">
        <v>0</v>
      </c>
      <c r="BN18" s="7">
        <v>0</v>
      </c>
      <c r="BO18" s="7">
        <v>0</v>
      </c>
      <c r="BP18" s="7">
        <v>0</v>
      </c>
      <c r="BQ18" s="7">
        <v>0</v>
      </c>
      <c r="BR18" s="21"/>
    </row>
    <row r="19" spans="1:70" ht="15.75" x14ac:dyDescent="0.25">
      <c r="A19" s="5" t="s">
        <v>22</v>
      </c>
      <c r="B19" s="5" t="s">
        <v>23</v>
      </c>
      <c r="C19" s="7">
        <v>2</v>
      </c>
      <c r="D19" s="7">
        <v>2</v>
      </c>
      <c r="E19" s="7">
        <v>870249.86499999999</v>
      </c>
      <c r="F19" s="7">
        <v>70965.712</v>
      </c>
      <c r="G19" s="7">
        <v>163722.18900000001</v>
      </c>
      <c r="H19" s="7">
        <v>0</v>
      </c>
      <c r="I19" s="7">
        <v>23212.654999999999</v>
      </c>
      <c r="J19" s="7">
        <v>112164.875</v>
      </c>
      <c r="K19" s="7">
        <v>0</v>
      </c>
      <c r="L19" s="7">
        <v>69281.322</v>
      </c>
      <c r="M19" s="7">
        <v>280570.98499999999</v>
      </c>
      <c r="N19" s="7">
        <v>271302.00199999998</v>
      </c>
      <c r="O19" s="7">
        <v>11537.537</v>
      </c>
      <c r="P19" s="7">
        <v>0</v>
      </c>
      <c r="Q19" s="7">
        <v>0</v>
      </c>
      <c r="R19" s="7">
        <v>1101.067</v>
      </c>
      <c r="S19" s="7">
        <v>2524.7179999999998</v>
      </c>
      <c r="T19" s="7">
        <v>21825.236000000001</v>
      </c>
      <c r="U19" s="7">
        <v>440.45100000000002</v>
      </c>
      <c r="V19" s="7">
        <v>50513.203000000001</v>
      </c>
      <c r="W19" s="7">
        <v>10605.797</v>
      </c>
      <c r="X19" s="7">
        <v>22206.417000000001</v>
      </c>
      <c r="Y19" s="7">
        <v>0</v>
      </c>
      <c r="Z19" s="7">
        <v>121207.147</v>
      </c>
      <c r="AA19" s="7">
        <v>0</v>
      </c>
      <c r="AB19" s="7">
        <v>134616.71100000001</v>
      </c>
      <c r="AC19" s="7">
        <v>7.9240000000000004</v>
      </c>
      <c r="AD19" s="7">
        <v>9857.7430000000004</v>
      </c>
      <c r="AE19" s="7">
        <v>4229.2709999999997</v>
      </c>
      <c r="AF19" s="7">
        <v>315277.092</v>
      </c>
      <c r="AG19" s="7">
        <v>25110.178</v>
      </c>
      <c r="AH19" s="7">
        <v>14096.974</v>
      </c>
      <c r="AI19" s="7">
        <v>1030155.31</v>
      </c>
      <c r="AJ19" s="7">
        <v>42981.447</v>
      </c>
      <c r="AK19" s="7">
        <v>0</v>
      </c>
      <c r="AL19" s="7">
        <v>0</v>
      </c>
      <c r="AM19" s="7">
        <v>0</v>
      </c>
      <c r="AN19" s="7">
        <v>0</v>
      </c>
      <c r="AO19" s="7">
        <v>9607.1949999999997</v>
      </c>
      <c r="AP19" s="7">
        <v>0</v>
      </c>
      <c r="AQ19" s="7">
        <v>3074.5390000000002</v>
      </c>
      <c r="AR19" s="7">
        <v>0</v>
      </c>
      <c r="AS19" s="7">
        <v>7694.2129999999997</v>
      </c>
      <c r="AT19" s="7">
        <v>0</v>
      </c>
      <c r="AU19" s="7">
        <v>562.32899999999995</v>
      </c>
      <c r="AV19" s="7">
        <v>0</v>
      </c>
      <c r="AW19" s="7">
        <v>14185.224</v>
      </c>
      <c r="AX19" s="7">
        <v>0</v>
      </c>
      <c r="AY19" s="7">
        <v>0</v>
      </c>
      <c r="AZ19" s="7">
        <v>0</v>
      </c>
      <c r="BA19" s="7">
        <v>1756.8240000000001</v>
      </c>
      <c r="BB19" s="7">
        <v>0</v>
      </c>
      <c r="BC19" s="7">
        <v>0</v>
      </c>
      <c r="BD19" s="7">
        <v>598.08600000000001</v>
      </c>
      <c r="BE19" s="7">
        <v>1442.2840000000001</v>
      </c>
      <c r="BF19" s="7">
        <v>0</v>
      </c>
      <c r="BG19" s="7">
        <v>106.22799999999999</v>
      </c>
      <c r="BH19" s="7">
        <v>106.22799999999999</v>
      </c>
      <c r="BI19" s="7">
        <v>0</v>
      </c>
      <c r="BJ19" s="7">
        <v>0</v>
      </c>
      <c r="BK19" s="7">
        <v>504.30500000000001</v>
      </c>
      <c r="BL19" s="7">
        <v>0</v>
      </c>
      <c r="BM19" s="7">
        <v>0</v>
      </c>
      <c r="BN19" s="7">
        <v>0</v>
      </c>
      <c r="BO19" s="7">
        <v>0</v>
      </c>
      <c r="BP19" s="7">
        <v>0</v>
      </c>
      <c r="BQ19" s="7">
        <v>0</v>
      </c>
      <c r="BR19" s="21"/>
    </row>
    <row r="20" spans="1:70" ht="15.75" x14ac:dyDescent="0.25">
      <c r="A20" s="5" t="s">
        <v>24</v>
      </c>
      <c r="B20" s="5" t="s">
        <v>25</v>
      </c>
      <c r="C20" s="7">
        <v>2</v>
      </c>
      <c r="D20" s="7">
        <v>2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281.55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7.0410000000000004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7">
        <v>0</v>
      </c>
      <c r="BN20" s="7">
        <v>0</v>
      </c>
      <c r="BO20" s="7">
        <v>0</v>
      </c>
      <c r="BP20" s="7">
        <v>0</v>
      </c>
      <c r="BQ20" s="7">
        <v>0</v>
      </c>
      <c r="BR20" s="21"/>
    </row>
    <row r="21" spans="1:70" ht="15.75" x14ac:dyDescent="0.25">
      <c r="A21" s="5" t="s">
        <v>26</v>
      </c>
      <c r="B21" s="5" t="s">
        <v>27</v>
      </c>
      <c r="C21" s="7">
        <v>2</v>
      </c>
      <c r="D21" s="7">
        <v>2</v>
      </c>
      <c r="E21" s="7">
        <v>32367.576000000001</v>
      </c>
      <c r="F21" s="7">
        <v>7138.5479999999998</v>
      </c>
      <c r="G21" s="7">
        <v>0</v>
      </c>
      <c r="H21" s="7">
        <v>0</v>
      </c>
      <c r="I21" s="7">
        <v>325.649</v>
      </c>
      <c r="J21" s="7">
        <v>0</v>
      </c>
      <c r="K21" s="7">
        <v>0</v>
      </c>
      <c r="L21" s="7">
        <v>165422.421</v>
      </c>
      <c r="M21" s="7">
        <v>87036.054000000004</v>
      </c>
      <c r="N21" s="7">
        <v>7377.5379999999996</v>
      </c>
      <c r="O21" s="7">
        <v>0</v>
      </c>
      <c r="P21" s="7">
        <v>0</v>
      </c>
      <c r="Q21" s="7">
        <v>0.372</v>
      </c>
      <c r="R21" s="7">
        <v>0</v>
      </c>
      <c r="S21" s="7">
        <v>0</v>
      </c>
      <c r="T21" s="7">
        <v>2222.1289999999999</v>
      </c>
      <c r="U21" s="7">
        <v>705.45699999999999</v>
      </c>
      <c r="V21" s="7">
        <v>120609.94500000001</v>
      </c>
      <c r="W21" s="7">
        <v>0</v>
      </c>
      <c r="X21" s="7">
        <v>596.95699999999999</v>
      </c>
      <c r="Y21" s="7">
        <v>0</v>
      </c>
      <c r="Z21" s="7">
        <v>14296.798000000001</v>
      </c>
      <c r="AA21" s="7">
        <v>0</v>
      </c>
      <c r="AB21" s="7">
        <v>0</v>
      </c>
      <c r="AC21" s="7">
        <v>3.9039999999999999</v>
      </c>
      <c r="AD21" s="7">
        <v>1312.81</v>
      </c>
      <c r="AE21" s="7">
        <v>0</v>
      </c>
      <c r="AF21" s="7">
        <v>36222.027000000002</v>
      </c>
      <c r="AG21" s="7">
        <v>17720.530999999999</v>
      </c>
      <c r="AH21" s="7">
        <v>0</v>
      </c>
      <c r="AI21" s="7">
        <v>143157.128</v>
      </c>
      <c r="AJ21" s="7">
        <v>30760.046999999999</v>
      </c>
      <c r="AK21" s="7">
        <v>0</v>
      </c>
      <c r="AL21" s="7">
        <v>236409.26800000001</v>
      </c>
      <c r="AM21" s="7">
        <v>0</v>
      </c>
      <c r="AN21" s="7">
        <v>138316.78200000001</v>
      </c>
      <c r="AO21" s="7">
        <v>22939.018</v>
      </c>
      <c r="AP21" s="7">
        <v>79187.733999999997</v>
      </c>
      <c r="AQ21" s="7">
        <v>288.60300000000001</v>
      </c>
      <c r="AR21" s="7">
        <v>0</v>
      </c>
      <c r="AS21" s="7">
        <v>5420.424</v>
      </c>
      <c r="AT21" s="7">
        <v>0</v>
      </c>
      <c r="AU21" s="7">
        <v>22.867000000000001</v>
      </c>
      <c r="AV21" s="7">
        <v>0</v>
      </c>
      <c r="AW21" s="7">
        <v>161.33099999999999</v>
      </c>
      <c r="AX21" s="7">
        <v>0</v>
      </c>
      <c r="AY21" s="7">
        <v>0</v>
      </c>
      <c r="AZ21" s="7">
        <v>0</v>
      </c>
      <c r="BA21" s="7">
        <v>53.72</v>
      </c>
      <c r="BB21" s="7">
        <v>99.762</v>
      </c>
      <c r="BC21" s="7">
        <v>0</v>
      </c>
      <c r="BD21" s="7">
        <v>75.462000000000003</v>
      </c>
      <c r="BE21" s="7">
        <v>0</v>
      </c>
      <c r="BF21" s="7">
        <v>143.11699999999999</v>
      </c>
      <c r="BG21" s="7">
        <v>11.228999999999999</v>
      </c>
      <c r="BH21" s="7">
        <v>11.228999999999999</v>
      </c>
      <c r="BI21" s="7">
        <v>80.513999999999996</v>
      </c>
      <c r="BJ21" s="7">
        <v>0</v>
      </c>
      <c r="BK21" s="7">
        <v>0</v>
      </c>
      <c r="BL21" s="7">
        <v>0</v>
      </c>
      <c r="BM21" s="7">
        <v>0</v>
      </c>
      <c r="BN21" s="7">
        <v>0</v>
      </c>
      <c r="BO21" s="7">
        <v>0</v>
      </c>
      <c r="BP21" s="7">
        <v>0</v>
      </c>
      <c r="BQ21" s="7">
        <v>0</v>
      </c>
      <c r="BR21" s="21"/>
    </row>
    <row r="22" spans="1:70" ht="15.75" x14ac:dyDescent="0.25">
      <c r="A22" s="5" t="s">
        <v>28</v>
      </c>
      <c r="B22" s="5" t="s">
        <v>29</v>
      </c>
      <c r="C22" s="7">
        <v>6</v>
      </c>
      <c r="D22" s="7">
        <v>6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7">
        <v>0</v>
      </c>
      <c r="BM22" s="7">
        <v>0</v>
      </c>
      <c r="BN22" s="7">
        <v>0</v>
      </c>
      <c r="BO22" s="7">
        <v>0</v>
      </c>
      <c r="BP22" s="7">
        <v>0</v>
      </c>
      <c r="BQ22" s="7">
        <v>0</v>
      </c>
      <c r="BR22" s="21"/>
    </row>
    <row r="23" spans="1:70" ht="15.75" x14ac:dyDescent="0.25">
      <c r="A23" s="5" t="s">
        <v>30</v>
      </c>
      <c r="B23" s="5" t="s">
        <v>31</v>
      </c>
      <c r="C23" s="7">
        <v>5</v>
      </c>
      <c r="D23" s="7">
        <v>5</v>
      </c>
      <c r="E23" s="7">
        <v>0</v>
      </c>
      <c r="F23" s="7">
        <v>0</v>
      </c>
      <c r="G23" s="7">
        <v>0</v>
      </c>
      <c r="H23" s="7">
        <v>938085.397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7">
        <v>0</v>
      </c>
      <c r="BN23" s="7">
        <v>0</v>
      </c>
      <c r="BO23" s="7">
        <v>0</v>
      </c>
      <c r="BP23" s="7">
        <v>0</v>
      </c>
      <c r="BQ23" s="7">
        <v>0</v>
      </c>
      <c r="BR23" s="21"/>
    </row>
    <row r="24" spans="1:70" ht="15.75" x14ac:dyDescent="0.25">
      <c r="A24" s="5" t="s">
        <v>32</v>
      </c>
      <c r="B24" s="5" t="s">
        <v>33</v>
      </c>
      <c r="C24" s="7">
        <v>2</v>
      </c>
      <c r="D24" s="7">
        <v>2</v>
      </c>
      <c r="E24" s="7">
        <v>7073.0929999999998</v>
      </c>
      <c r="F24" s="7">
        <v>0</v>
      </c>
      <c r="G24" s="7">
        <v>1785.019</v>
      </c>
      <c r="H24" s="7">
        <v>0</v>
      </c>
      <c r="I24" s="7">
        <v>0</v>
      </c>
      <c r="J24" s="7">
        <v>1369.596</v>
      </c>
      <c r="K24" s="7">
        <v>0</v>
      </c>
      <c r="L24" s="7">
        <v>0</v>
      </c>
      <c r="M24" s="7">
        <v>4355.4449999999997</v>
      </c>
      <c r="N24" s="7">
        <v>2416.1709999999998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811.37199999999996</v>
      </c>
      <c r="AG24" s="7">
        <v>0</v>
      </c>
      <c r="AH24" s="7">
        <v>0</v>
      </c>
      <c r="AI24" s="7">
        <v>4095.806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7">
        <v>0</v>
      </c>
      <c r="BN24" s="7">
        <v>0</v>
      </c>
      <c r="BO24" s="7">
        <v>0</v>
      </c>
      <c r="BP24" s="7">
        <v>0</v>
      </c>
      <c r="BQ24" s="7">
        <v>0</v>
      </c>
      <c r="BR24" s="21"/>
    </row>
    <row r="25" spans="1:70" ht="15.75" x14ac:dyDescent="0.25">
      <c r="A25" s="5" t="s">
        <v>34</v>
      </c>
      <c r="B25" s="5" t="s">
        <v>35</v>
      </c>
      <c r="C25" s="7">
        <v>2</v>
      </c>
      <c r="D25" s="7">
        <v>2</v>
      </c>
      <c r="E25" s="7">
        <v>27031.546999999999</v>
      </c>
      <c r="F25" s="7">
        <v>5340.4</v>
      </c>
      <c r="G25" s="7">
        <v>5168.9049999999997</v>
      </c>
      <c r="H25" s="7">
        <v>0</v>
      </c>
      <c r="I25" s="7">
        <v>1013.6369999999999</v>
      </c>
      <c r="J25" s="7">
        <v>3993.6260000000002</v>
      </c>
      <c r="K25" s="7">
        <v>0</v>
      </c>
      <c r="L25" s="7">
        <v>0</v>
      </c>
      <c r="M25" s="7">
        <v>25831.481</v>
      </c>
      <c r="N25" s="7">
        <v>17670.185000000001</v>
      </c>
      <c r="O25" s="7">
        <v>0</v>
      </c>
      <c r="P25" s="7">
        <v>39.395000000000003</v>
      </c>
      <c r="Q25" s="7">
        <v>0</v>
      </c>
      <c r="R25" s="7">
        <v>30.395</v>
      </c>
      <c r="S25" s="7">
        <v>0</v>
      </c>
      <c r="T25" s="7">
        <v>1555.375</v>
      </c>
      <c r="U25" s="7">
        <v>0</v>
      </c>
      <c r="V25" s="7">
        <v>0</v>
      </c>
      <c r="W25" s="7">
        <v>521.19899999999996</v>
      </c>
      <c r="X25" s="7">
        <v>1409.001</v>
      </c>
      <c r="Y25" s="7">
        <v>2046.0429999999999</v>
      </c>
      <c r="Z25" s="7">
        <v>5324.6080000000002</v>
      </c>
      <c r="AA25" s="7">
        <v>78.239000000000004</v>
      </c>
      <c r="AB25" s="7">
        <v>5220.1090000000004</v>
      </c>
      <c r="AC25" s="7">
        <v>1124.413</v>
      </c>
      <c r="AD25" s="7">
        <v>756.47</v>
      </c>
      <c r="AE25" s="7">
        <v>117.61799999999999</v>
      </c>
      <c r="AF25" s="7">
        <v>15674.735000000001</v>
      </c>
      <c r="AG25" s="7">
        <v>1342.4290000000001</v>
      </c>
      <c r="AH25" s="7">
        <v>631.53099999999995</v>
      </c>
      <c r="AI25" s="7">
        <v>80873.967999999993</v>
      </c>
      <c r="AJ25" s="7">
        <v>2297.855</v>
      </c>
      <c r="AK25" s="7">
        <v>408.66300000000001</v>
      </c>
      <c r="AL25" s="7">
        <v>693008.02099999995</v>
      </c>
      <c r="AM25" s="7">
        <v>0</v>
      </c>
      <c r="AN25" s="7">
        <v>405460.58299999998</v>
      </c>
      <c r="AO25" s="7">
        <v>0</v>
      </c>
      <c r="AP25" s="7">
        <v>232130.21799999999</v>
      </c>
      <c r="AQ25" s="7">
        <v>139.089</v>
      </c>
      <c r="AR25" s="7">
        <v>0</v>
      </c>
      <c r="AS25" s="7">
        <v>411.34500000000003</v>
      </c>
      <c r="AT25" s="7">
        <v>0</v>
      </c>
      <c r="AU25" s="7">
        <v>5.9320000000000004</v>
      </c>
      <c r="AV25" s="7">
        <v>0</v>
      </c>
      <c r="AW25" s="7">
        <v>1204.0350000000001</v>
      </c>
      <c r="AX25" s="7">
        <v>0</v>
      </c>
      <c r="AY25" s="7">
        <v>0</v>
      </c>
      <c r="AZ25" s="7">
        <v>1115.771</v>
      </c>
      <c r="BA25" s="7">
        <v>70.816999999999993</v>
      </c>
      <c r="BB25" s="7">
        <v>0</v>
      </c>
      <c r="BC25" s="7">
        <v>625.92399999999998</v>
      </c>
      <c r="BD25" s="7">
        <v>30.53</v>
      </c>
      <c r="BE25" s="7">
        <v>74.597999999999999</v>
      </c>
      <c r="BF25" s="7">
        <v>0</v>
      </c>
      <c r="BG25" s="7">
        <v>6.2190000000000003</v>
      </c>
      <c r="BH25" s="7">
        <v>6.2190000000000003</v>
      </c>
      <c r="BI25" s="7">
        <v>0</v>
      </c>
      <c r="BJ25" s="7">
        <v>34651.040000000001</v>
      </c>
      <c r="BK25" s="7">
        <v>28.61</v>
      </c>
      <c r="BL25" s="7">
        <v>0</v>
      </c>
      <c r="BM25" s="7">
        <v>0</v>
      </c>
      <c r="BN25" s="7">
        <v>0</v>
      </c>
      <c r="BO25" s="7">
        <v>0</v>
      </c>
      <c r="BP25" s="7">
        <v>0</v>
      </c>
      <c r="BQ25" s="7">
        <v>0</v>
      </c>
      <c r="BR25" s="21"/>
    </row>
    <row r="26" spans="1:70" ht="15.75" x14ac:dyDescent="0.25">
      <c r="A26" s="5" t="s">
        <v>36</v>
      </c>
      <c r="B26" s="5" t="s">
        <v>37</v>
      </c>
      <c r="C26" s="7">
        <v>6</v>
      </c>
      <c r="D26" s="7">
        <v>6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0</v>
      </c>
      <c r="BM26" s="7">
        <v>0</v>
      </c>
      <c r="BN26" s="7">
        <v>0</v>
      </c>
      <c r="BO26" s="7">
        <v>0</v>
      </c>
      <c r="BP26" s="7">
        <v>0</v>
      </c>
      <c r="BQ26" s="7">
        <v>0</v>
      </c>
      <c r="BR26" s="21"/>
    </row>
    <row r="27" spans="1:70" ht="15.75" x14ac:dyDescent="0.25">
      <c r="A27" s="5" t="s">
        <v>38</v>
      </c>
      <c r="B27" s="5" t="s">
        <v>39</v>
      </c>
      <c r="C27" s="7">
        <v>6</v>
      </c>
      <c r="D27" s="7">
        <v>6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0</v>
      </c>
      <c r="BM27" s="7">
        <v>0</v>
      </c>
      <c r="BN27" s="7">
        <v>0</v>
      </c>
      <c r="BO27" s="7">
        <v>0</v>
      </c>
      <c r="BP27" s="7">
        <v>0</v>
      </c>
      <c r="BQ27" s="7">
        <v>0</v>
      </c>
      <c r="BR27" s="21"/>
    </row>
    <row r="28" spans="1:70" ht="15.75" x14ac:dyDescent="0.25">
      <c r="A28" s="5" t="s">
        <v>40</v>
      </c>
      <c r="B28" s="5" t="s">
        <v>41</v>
      </c>
      <c r="C28" s="7">
        <v>6</v>
      </c>
      <c r="D28" s="7">
        <v>6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7">
        <v>0</v>
      </c>
      <c r="BN28" s="7">
        <v>0</v>
      </c>
      <c r="BO28" s="7">
        <v>0</v>
      </c>
      <c r="BP28" s="7">
        <v>0</v>
      </c>
      <c r="BQ28" s="7">
        <v>0</v>
      </c>
      <c r="BR28" s="21"/>
    </row>
    <row r="29" spans="1:70" ht="15.75" x14ac:dyDescent="0.25">
      <c r="A29" s="5" t="s">
        <v>42</v>
      </c>
      <c r="B29" s="5" t="s">
        <v>43</v>
      </c>
      <c r="C29" s="7">
        <v>6</v>
      </c>
      <c r="D29" s="7">
        <v>6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7">
        <v>0</v>
      </c>
      <c r="BM29" s="7">
        <v>0</v>
      </c>
      <c r="BN29" s="7">
        <v>0</v>
      </c>
      <c r="BO29" s="7">
        <v>0</v>
      </c>
      <c r="BP29" s="7">
        <v>0</v>
      </c>
      <c r="BQ29" s="7">
        <v>0</v>
      </c>
      <c r="BR29" s="21"/>
    </row>
    <row r="30" spans="1:70" ht="15.75" x14ac:dyDescent="0.25">
      <c r="A30" s="5" t="s">
        <v>44</v>
      </c>
      <c r="B30" s="5" t="s">
        <v>45</v>
      </c>
      <c r="C30" s="7">
        <v>6</v>
      </c>
      <c r="D30" s="7">
        <v>6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7">
        <v>0</v>
      </c>
      <c r="BN30" s="7">
        <v>0</v>
      </c>
      <c r="BO30" s="7">
        <v>0</v>
      </c>
      <c r="BP30" s="7">
        <v>0</v>
      </c>
      <c r="BQ30" s="7">
        <v>0</v>
      </c>
      <c r="BR30" s="21"/>
    </row>
    <row r="31" spans="1:70" ht="15.75" x14ac:dyDescent="0.25">
      <c r="A31" s="5" t="s">
        <v>46</v>
      </c>
      <c r="B31" s="5" t="s">
        <v>47</v>
      </c>
      <c r="C31" s="7">
        <v>6</v>
      </c>
      <c r="D31" s="7">
        <v>6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7">
        <v>0</v>
      </c>
      <c r="BN31" s="7">
        <v>0</v>
      </c>
      <c r="BO31" s="7">
        <v>0</v>
      </c>
      <c r="BP31" s="7">
        <v>0</v>
      </c>
      <c r="BQ31" s="7">
        <v>0</v>
      </c>
      <c r="BR31" s="21"/>
    </row>
    <row r="32" spans="1:70" ht="15.75" x14ac:dyDescent="0.25">
      <c r="A32" s="5" t="s">
        <v>48</v>
      </c>
      <c r="B32" s="5" t="s">
        <v>49</v>
      </c>
      <c r="C32" s="7">
        <v>6</v>
      </c>
      <c r="D32" s="7">
        <v>6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7">
        <v>0</v>
      </c>
      <c r="BN32" s="7">
        <v>0</v>
      </c>
      <c r="BO32" s="7">
        <v>0</v>
      </c>
      <c r="BP32" s="7">
        <v>0</v>
      </c>
      <c r="BQ32" s="7">
        <v>0</v>
      </c>
      <c r="BR32" s="21"/>
    </row>
    <row r="33" spans="1:70" ht="15.75" x14ac:dyDescent="0.25">
      <c r="A33" s="5" t="s">
        <v>50</v>
      </c>
      <c r="B33" s="5" t="s">
        <v>51</v>
      </c>
      <c r="C33" s="7">
        <v>6</v>
      </c>
      <c r="D33" s="7">
        <v>6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7">
        <v>0</v>
      </c>
      <c r="BN33" s="7">
        <v>0</v>
      </c>
      <c r="BO33" s="7">
        <v>0</v>
      </c>
      <c r="BP33" s="7">
        <v>0</v>
      </c>
      <c r="BQ33" s="7">
        <v>0</v>
      </c>
      <c r="BR33" s="21"/>
    </row>
    <row r="34" spans="1:70" ht="15.75" x14ac:dyDescent="0.25">
      <c r="A34" s="5" t="s">
        <v>52</v>
      </c>
      <c r="B34" s="5" t="s">
        <v>53</v>
      </c>
      <c r="C34" s="7">
        <v>6</v>
      </c>
      <c r="D34" s="7">
        <v>6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7">
        <v>0</v>
      </c>
      <c r="BM34" s="7">
        <v>0</v>
      </c>
      <c r="BN34" s="7">
        <v>0</v>
      </c>
      <c r="BO34" s="7">
        <v>0</v>
      </c>
      <c r="BP34" s="7">
        <v>0</v>
      </c>
      <c r="BQ34" s="7">
        <v>0</v>
      </c>
      <c r="BR34" s="21"/>
    </row>
    <row r="35" spans="1:70" ht="15.75" x14ac:dyDescent="0.25">
      <c r="A35" s="5" t="s">
        <v>54</v>
      </c>
      <c r="B35" s="5" t="s">
        <v>55</v>
      </c>
      <c r="C35" s="7">
        <v>6</v>
      </c>
      <c r="D35" s="7">
        <v>6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7">
        <v>0</v>
      </c>
      <c r="BN35" s="7">
        <v>0</v>
      </c>
      <c r="BO35" s="7">
        <v>0</v>
      </c>
      <c r="BP35" s="7">
        <v>0</v>
      </c>
      <c r="BQ35" s="7">
        <v>0</v>
      </c>
      <c r="BR35" s="21"/>
    </row>
    <row r="36" spans="1:70" ht="15.75" x14ac:dyDescent="0.25">
      <c r="A36" s="5" t="s">
        <v>56</v>
      </c>
      <c r="B36" s="5" t="s">
        <v>57</v>
      </c>
      <c r="C36" s="7">
        <v>6</v>
      </c>
      <c r="D36" s="7">
        <v>6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4762.0609999999997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3472.0320000000002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18.702999999999999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660.35199999999998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7">
        <v>0</v>
      </c>
      <c r="BN36" s="7">
        <v>0</v>
      </c>
      <c r="BO36" s="7">
        <v>0</v>
      </c>
      <c r="BP36" s="7">
        <v>0</v>
      </c>
      <c r="BQ36" s="7">
        <v>0</v>
      </c>
      <c r="BR36" s="21"/>
    </row>
    <row r="37" spans="1:70" ht="15.75" x14ac:dyDescent="0.25">
      <c r="A37" s="5" t="s">
        <v>58</v>
      </c>
      <c r="B37" s="5" t="s">
        <v>59</v>
      </c>
      <c r="C37" s="7">
        <v>6</v>
      </c>
      <c r="D37" s="7">
        <v>6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7">
        <v>0</v>
      </c>
      <c r="BN37" s="7">
        <v>0</v>
      </c>
      <c r="BO37" s="7">
        <v>0</v>
      </c>
      <c r="BP37" s="7">
        <v>0</v>
      </c>
      <c r="BQ37" s="7">
        <v>0</v>
      </c>
      <c r="BR37" s="21"/>
    </row>
    <row r="38" spans="1:70" ht="15.75" x14ac:dyDescent="0.25">
      <c r="A38" s="5" t="s">
        <v>60</v>
      </c>
      <c r="B38" s="5" t="s">
        <v>61</v>
      </c>
      <c r="C38" s="7">
        <v>6</v>
      </c>
      <c r="D38" s="7">
        <v>6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0</v>
      </c>
      <c r="BM38" s="7">
        <v>0</v>
      </c>
      <c r="BN38" s="7">
        <v>0</v>
      </c>
      <c r="BO38" s="7">
        <v>0</v>
      </c>
      <c r="BP38" s="7">
        <v>0</v>
      </c>
      <c r="BQ38" s="7">
        <v>0</v>
      </c>
      <c r="BR38" s="21"/>
    </row>
    <row r="39" spans="1:70" ht="15.75" x14ac:dyDescent="0.25">
      <c r="A39" s="5" t="s">
        <v>62</v>
      </c>
      <c r="B39" s="5" t="s">
        <v>63</v>
      </c>
      <c r="C39" s="7">
        <v>6</v>
      </c>
      <c r="D39" s="7">
        <v>6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7">
        <v>0</v>
      </c>
      <c r="BK39" s="7">
        <v>0</v>
      </c>
      <c r="BL39" s="7">
        <v>0</v>
      </c>
      <c r="BM39" s="7">
        <v>0</v>
      </c>
      <c r="BN39" s="7">
        <v>0</v>
      </c>
      <c r="BO39" s="7">
        <v>0</v>
      </c>
      <c r="BP39" s="7">
        <v>0</v>
      </c>
      <c r="BQ39" s="7">
        <v>0</v>
      </c>
      <c r="BR39" s="21"/>
    </row>
    <row r="40" spans="1:70" ht="15.75" x14ac:dyDescent="0.25">
      <c r="A40" s="5" t="s">
        <v>64</v>
      </c>
      <c r="B40" s="5" t="s">
        <v>65</v>
      </c>
      <c r="C40" s="7">
        <v>6</v>
      </c>
      <c r="D40" s="7">
        <v>6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0</v>
      </c>
      <c r="BM40" s="7">
        <v>0</v>
      </c>
      <c r="BN40" s="7">
        <v>0</v>
      </c>
      <c r="BO40" s="7">
        <v>0</v>
      </c>
      <c r="BP40" s="7">
        <v>0</v>
      </c>
      <c r="BQ40" s="7">
        <v>0</v>
      </c>
      <c r="BR40" s="21"/>
    </row>
    <row r="41" spans="1:70" ht="15.75" x14ac:dyDescent="0.25">
      <c r="A41" s="5" t="s">
        <v>66</v>
      </c>
      <c r="B41" s="5" t="s">
        <v>67</v>
      </c>
      <c r="C41" s="7">
        <v>6</v>
      </c>
      <c r="D41" s="7">
        <v>6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0</v>
      </c>
      <c r="BM41" s="7">
        <v>0</v>
      </c>
      <c r="BN41" s="7">
        <v>0</v>
      </c>
      <c r="BO41" s="7">
        <v>0</v>
      </c>
      <c r="BP41" s="7">
        <v>0</v>
      </c>
      <c r="BQ41" s="7">
        <v>0</v>
      </c>
      <c r="BR41" s="21"/>
    </row>
    <row r="42" spans="1:70" ht="15.75" x14ac:dyDescent="0.25">
      <c r="A42" s="5" t="s">
        <v>68</v>
      </c>
      <c r="B42" s="5" t="s">
        <v>69</v>
      </c>
      <c r="C42" s="7">
        <v>6</v>
      </c>
      <c r="D42" s="7">
        <v>6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7">
        <v>0</v>
      </c>
      <c r="BN42" s="7">
        <v>0</v>
      </c>
      <c r="BO42" s="7">
        <v>0</v>
      </c>
      <c r="BP42" s="7">
        <v>0</v>
      </c>
      <c r="BQ42" s="7">
        <v>0</v>
      </c>
      <c r="BR42" s="21"/>
    </row>
    <row r="43" spans="1:70" ht="15.75" x14ac:dyDescent="0.25">
      <c r="A43" s="5" t="s">
        <v>70</v>
      </c>
      <c r="B43" s="5" t="s">
        <v>71</v>
      </c>
      <c r="C43" s="7">
        <v>6</v>
      </c>
      <c r="D43" s="7">
        <v>6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7">
        <v>0</v>
      </c>
      <c r="BK43" s="7">
        <v>0</v>
      </c>
      <c r="BL43" s="7">
        <v>0</v>
      </c>
      <c r="BM43" s="7">
        <v>0</v>
      </c>
      <c r="BN43" s="7">
        <v>0</v>
      </c>
      <c r="BO43" s="7">
        <v>0</v>
      </c>
      <c r="BP43" s="7">
        <v>0</v>
      </c>
      <c r="BQ43" s="7">
        <v>0</v>
      </c>
      <c r="BR43" s="21"/>
    </row>
    <row r="44" spans="1:70" ht="15.75" x14ac:dyDescent="0.25">
      <c r="A44" s="5" t="s">
        <v>72</v>
      </c>
      <c r="B44" s="5" t="s">
        <v>73</v>
      </c>
      <c r="C44" s="7">
        <v>6</v>
      </c>
      <c r="D44" s="7">
        <v>6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0</v>
      </c>
      <c r="BM44" s="7">
        <v>0</v>
      </c>
      <c r="BN44" s="7">
        <v>0</v>
      </c>
      <c r="BO44" s="7">
        <v>0</v>
      </c>
      <c r="BP44" s="7">
        <v>0</v>
      </c>
      <c r="BQ44" s="7">
        <v>0</v>
      </c>
      <c r="BR44" s="21"/>
    </row>
    <row r="45" spans="1:70" ht="15.75" x14ac:dyDescent="0.25">
      <c r="A45" s="5" t="s">
        <v>74</v>
      </c>
      <c r="B45" s="5" t="s">
        <v>75</v>
      </c>
      <c r="C45" s="7">
        <v>6</v>
      </c>
      <c r="D45" s="7">
        <v>6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7">
        <v>0</v>
      </c>
      <c r="BM45" s="7">
        <v>0</v>
      </c>
      <c r="BN45" s="7">
        <v>0</v>
      </c>
      <c r="BO45" s="7">
        <v>0</v>
      </c>
      <c r="BP45" s="7">
        <v>0</v>
      </c>
      <c r="BQ45" s="7">
        <v>0</v>
      </c>
      <c r="BR45" s="21"/>
    </row>
    <row r="46" spans="1:70" ht="15.75" x14ac:dyDescent="0.25">
      <c r="A46" s="5" t="s">
        <v>76</v>
      </c>
      <c r="B46" s="5" t="s">
        <v>77</v>
      </c>
      <c r="C46" s="7">
        <v>6</v>
      </c>
      <c r="D46" s="7">
        <v>6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7">
        <v>0</v>
      </c>
      <c r="BM46" s="7">
        <v>0</v>
      </c>
      <c r="BN46" s="7">
        <v>0</v>
      </c>
      <c r="BO46" s="7">
        <v>0</v>
      </c>
      <c r="BP46" s="7">
        <v>0</v>
      </c>
      <c r="BQ46" s="7">
        <v>0</v>
      </c>
      <c r="BR46" s="21"/>
    </row>
    <row r="47" spans="1:70" ht="15.75" x14ac:dyDescent="0.25">
      <c r="A47" s="5" t="s">
        <v>78</v>
      </c>
      <c r="B47" s="5" t="s">
        <v>79</v>
      </c>
      <c r="C47" s="7">
        <v>6</v>
      </c>
      <c r="D47" s="7">
        <v>6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7">
        <v>0</v>
      </c>
      <c r="BM47" s="7">
        <v>0</v>
      </c>
      <c r="BN47" s="7">
        <v>0</v>
      </c>
      <c r="BO47" s="7">
        <v>0</v>
      </c>
      <c r="BP47" s="7">
        <v>0</v>
      </c>
      <c r="BQ47" s="7">
        <v>0</v>
      </c>
      <c r="BR47" s="21"/>
    </row>
    <row r="48" spans="1:70" ht="15.75" x14ac:dyDescent="0.25">
      <c r="A48" s="5" t="s">
        <v>80</v>
      </c>
      <c r="B48" s="5" t="s">
        <v>81</v>
      </c>
      <c r="C48" s="7">
        <v>6</v>
      </c>
      <c r="D48" s="7">
        <v>6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7">
        <v>0</v>
      </c>
      <c r="BG48" s="7">
        <v>0</v>
      </c>
      <c r="BH48" s="7">
        <v>0</v>
      </c>
      <c r="BI48" s="7">
        <v>0</v>
      </c>
      <c r="BJ48" s="7">
        <v>0</v>
      </c>
      <c r="BK48" s="7">
        <v>0</v>
      </c>
      <c r="BL48" s="7">
        <v>0</v>
      </c>
      <c r="BM48" s="7">
        <v>0</v>
      </c>
      <c r="BN48" s="7">
        <v>0</v>
      </c>
      <c r="BO48" s="7">
        <v>0</v>
      </c>
      <c r="BP48" s="7">
        <v>0</v>
      </c>
      <c r="BQ48" s="7">
        <v>0</v>
      </c>
      <c r="BR48" s="21"/>
    </row>
    <row r="49" spans="1:70" ht="15.75" x14ac:dyDescent="0.25">
      <c r="A49" s="5" t="s">
        <v>82</v>
      </c>
      <c r="B49" s="5" t="s">
        <v>83</v>
      </c>
      <c r="C49" s="7">
        <v>6</v>
      </c>
      <c r="D49" s="7">
        <v>6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7">
        <v>0</v>
      </c>
      <c r="BM49" s="7">
        <v>0</v>
      </c>
      <c r="BN49" s="7">
        <v>0</v>
      </c>
      <c r="BO49" s="7">
        <v>0</v>
      </c>
      <c r="BP49" s="7">
        <v>0</v>
      </c>
      <c r="BQ49" s="7">
        <v>0</v>
      </c>
      <c r="BR49" s="21"/>
    </row>
    <row r="50" spans="1:70" ht="15.75" x14ac:dyDescent="0.25">
      <c r="A50" s="5" t="s">
        <v>84</v>
      </c>
      <c r="B50" s="5" t="s">
        <v>85</v>
      </c>
      <c r="C50" s="7">
        <v>6</v>
      </c>
      <c r="D50" s="7">
        <v>6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7">
        <v>0</v>
      </c>
      <c r="BM50" s="7">
        <v>0</v>
      </c>
      <c r="BN50" s="7">
        <v>0</v>
      </c>
      <c r="BO50" s="7">
        <v>0</v>
      </c>
      <c r="BP50" s="7">
        <v>0</v>
      </c>
      <c r="BQ50" s="7">
        <v>0</v>
      </c>
      <c r="BR50" s="21"/>
    </row>
    <row r="51" spans="1:70" ht="15.75" x14ac:dyDescent="0.25">
      <c r="A51" s="5" t="s">
        <v>86</v>
      </c>
      <c r="B51" s="5" t="s">
        <v>87</v>
      </c>
      <c r="C51" s="7">
        <v>6</v>
      </c>
      <c r="D51" s="7">
        <v>6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7">
        <v>0</v>
      </c>
      <c r="BM51" s="7">
        <v>0</v>
      </c>
      <c r="BN51" s="7">
        <v>0</v>
      </c>
      <c r="BO51" s="7">
        <v>0</v>
      </c>
      <c r="BP51" s="7">
        <v>0</v>
      </c>
      <c r="BQ51" s="7">
        <v>0</v>
      </c>
      <c r="BR51" s="21"/>
    </row>
    <row r="52" spans="1:70" ht="15.75" x14ac:dyDescent="0.25">
      <c r="A52" s="5" t="s">
        <v>88</v>
      </c>
      <c r="B52" s="5" t="s">
        <v>89</v>
      </c>
      <c r="C52" s="7">
        <v>6</v>
      </c>
      <c r="D52" s="7">
        <v>6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7">
        <v>0</v>
      </c>
      <c r="BH52" s="7">
        <v>0</v>
      </c>
      <c r="BI52" s="7">
        <v>0</v>
      </c>
      <c r="BJ52" s="7">
        <v>0</v>
      </c>
      <c r="BK52" s="7">
        <v>0</v>
      </c>
      <c r="BL52" s="7">
        <v>0</v>
      </c>
      <c r="BM52" s="7">
        <v>0</v>
      </c>
      <c r="BN52" s="7">
        <v>0</v>
      </c>
      <c r="BO52" s="7">
        <v>0</v>
      </c>
      <c r="BP52" s="7">
        <v>0</v>
      </c>
      <c r="BQ52" s="7">
        <v>0</v>
      </c>
      <c r="BR52" s="21"/>
    </row>
    <row r="53" spans="1:70" ht="15.75" x14ac:dyDescent="0.25">
      <c r="A53" s="5" t="s">
        <v>90</v>
      </c>
      <c r="B53" s="5" t="s">
        <v>91</v>
      </c>
      <c r="C53" s="7">
        <v>6</v>
      </c>
      <c r="D53" s="7">
        <v>6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7">
        <v>0</v>
      </c>
      <c r="BM53" s="7">
        <v>0</v>
      </c>
      <c r="BN53" s="7">
        <v>0</v>
      </c>
      <c r="BO53" s="7">
        <v>0</v>
      </c>
      <c r="BP53" s="7">
        <v>0</v>
      </c>
      <c r="BQ53" s="7">
        <v>0</v>
      </c>
      <c r="BR53" s="21"/>
    </row>
    <row r="54" spans="1:70" ht="15.75" x14ac:dyDescent="0.25">
      <c r="A54" s="5" t="s">
        <v>92</v>
      </c>
      <c r="B54" s="5" t="s">
        <v>93</v>
      </c>
      <c r="C54" s="7">
        <v>6</v>
      </c>
      <c r="D54" s="7">
        <v>6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0</v>
      </c>
      <c r="BH54" s="7">
        <v>0</v>
      </c>
      <c r="BI54" s="7">
        <v>0</v>
      </c>
      <c r="BJ54" s="7">
        <v>0</v>
      </c>
      <c r="BK54" s="7">
        <v>0</v>
      </c>
      <c r="BL54" s="7">
        <v>0</v>
      </c>
      <c r="BM54" s="7">
        <v>0</v>
      </c>
      <c r="BN54" s="7">
        <v>0</v>
      </c>
      <c r="BO54" s="7">
        <v>0</v>
      </c>
      <c r="BP54" s="7">
        <v>0</v>
      </c>
      <c r="BQ54" s="7">
        <v>0</v>
      </c>
      <c r="BR54" s="21"/>
    </row>
    <row r="55" spans="1:70" ht="15.75" x14ac:dyDescent="0.25">
      <c r="A55" s="5" t="s">
        <v>94</v>
      </c>
      <c r="B55" s="5" t="s">
        <v>95</v>
      </c>
      <c r="C55" s="7">
        <v>6</v>
      </c>
      <c r="D55" s="7">
        <v>6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7">
        <v>0</v>
      </c>
      <c r="BM55" s="7">
        <v>0</v>
      </c>
      <c r="BN55" s="7">
        <v>0</v>
      </c>
      <c r="BO55" s="7">
        <v>0</v>
      </c>
      <c r="BP55" s="7">
        <v>0</v>
      </c>
      <c r="BQ55" s="7">
        <v>0</v>
      </c>
      <c r="BR55" s="21"/>
    </row>
    <row r="56" spans="1:70" ht="15.75" x14ac:dyDescent="0.25">
      <c r="A56" s="5" t="s">
        <v>96</v>
      </c>
      <c r="B56" s="5" t="s">
        <v>97</v>
      </c>
      <c r="C56" s="7">
        <v>6</v>
      </c>
      <c r="D56" s="7">
        <v>6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F56" s="7">
        <v>0</v>
      </c>
      <c r="BG56" s="7">
        <v>0</v>
      </c>
      <c r="BH56" s="7">
        <v>0</v>
      </c>
      <c r="BI56" s="7">
        <v>0</v>
      </c>
      <c r="BJ56" s="7">
        <v>0</v>
      </c>
      <c r="BK56" s="7">
        <v>0</v>
      </c>
      <c r="BL56" s="7">
        <v>0</v>
      </c>
      <c r="BM56" s="7">
        <v>0</v>
      </c>
      <c r="BN56" s="7">
        <v>0</v>
      </c>
      <c r="BO56" s="7">
        <v>0</v>
      </c>
      <c r="BP56" s="7">
        <v>0</v>
      </c>
      <c r="BQ56" s="7">
        <v>0</v>
      </c>
      <c r="BR56" s="21"/>
    </row>
    <row r="57" spans="1:70" ht="15.75" x14ac:dyDescent="0.25">
      <c r="A57" s="5" t="s">
        <v>98</v>
      </c>
      <c r="B57" s="5" t="s">
        <v>99</v>
      </c>
      <c r="C57" s="7">
        <v>6</v>
      </c>
      <c r="D57" s="7">
        <v>6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s="7">
        <v>0</v>
      </c>
      <c r="BK57" s="7">
        <v>0</v>
      </c>
      <c r="BL57" s="7">
        <v>0</v>
      </c>
      <c r="BM57" s="7">
        <v>0</v>
      </c>
      <c r="BN57" s="7">
        <v>0</v>
      </c>
      <c r="BO57" s="7">
        <v>0</v>
      </c>
      <c r="BP57" s="7">
        <v>0</v>
      </c>
      <c r="BQ57" s="7">
        <v>0</v>
      </c>
      <c r="BR57" s="21"/>
    </row>
    <row r="58" spans="1:70" ht="15.75" x14ac:dyDescent="0.25">
      <c r="A58" s="5" t="s">
        <v>100</v>
      </c>
      <c r="B58" s="5" t="s">
        <v>101</v>
      </c>
      <c r="C58" s="7">
        <v>6</v>
      </c>
      <c r="D58" s="7">
        <v>6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F58" s="7">
        <v>0</v>
      </c>
      <c r="BG58" s="7">
        <v>0</v>
      </c>
      <c r="BH58" s="7">
        <v>0</v>
      </c>
      <c r="BI58" s="7">
        <v>0</v>
      </c>
      <c r="BJ58" s="7">
        <v>0</v>
      </c>
      <c r="BK58" s="7">
        <v>0</v>
      </c>
      <c r="BL58" s="7">
        <v>0</v>
      </c>
      <c r="BM58" s="7">
        <v>0</v>
      </c>
      <c r="BN58" s="7">
        <v>0</v>
      </c>
      <c r="BO58" s="7">
        <v>0</v>
      </c>
      <c r="BP58" s="7">
        <v>0</v>
      </c>
      <c r="BQ58" s="7">
        <v>0</v>
      </c>
      <c r="BR58" s="21"/>
    </row>
    <row r="59" spans="1:70" ht="15.75" x14ac:dyDescent="0.25">
      <c r="A59" s="5" t="s">
        <v>102</v>
      </c>
      <c r="B59" s="5" t="s">
        <v>103</v>
      </c>
      <c r="C59" s="7">
        <v>6</v>
      </c>
      <c r="D59" s="7">
        <v>6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  <c r="BH59" s="7">
        <v>0</v>
      </c>
      <c r="BI59" s="7">
        <v>0</v>
      </c>
      <c r="BJ59" s="7">
        <v>0</v>
      </c>
      <c r="BK59" s="7">
        <v>0</v>
      </c>
      <c r="BL59" s="7">
        <v>0</v>
      </c>
      <c r="BM59" s="7">
        <v>0</v>
      </c>
      <c r="BN59" s="7">
        <v>0</v>
      </c>
      <c r="BO59" s="7">
        <v>0</v>
      </c>
      <c r="BP59" s="7">
        <v>0</v>
      </c>
      <c r="BQ59" s="7">
        <v>0</v>
      </c>
      <c r="BR59" s="21"/>
    </row>
    <row r="60" spans="1:70" ht="15.75" x14ac:dyDescent="0.25">
      <c r="A60" s="5" t="s">
        <v>104</v>
      </c>
      <c r="B60" s="5" t="s">
        <v>105</v>
      </c>
      <c r="C60" s="7">
        <v>6</v>
      </c>
      <c r="D60" s="7">
        <v>6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0</v>
      </c>
      <c r="BF60" s="7">
        <v>0</v>
      </c>
      <c r="BG60" s="7">
        <v>0</v>
      </c>
      <c r="BH60" s="7">
        <v>0</v>
      </c>
      <c r="BI60" s="7">
        <v>0</v>
      </c>
      <c r="BJ60" s="7">
        <v>0</v>
      </c>
      <c r="BK60" s="7">
        <v>0</v>
      </c>
      <c r="BL60" s="7">
        <v>0</v>
      </c>
      <c r="BM60" s="7">
        <v>0</v>
      </c>
      <c r="BN60" s="7">
        <v>0</v>
      </c>
      <c r="BO60" s="7">
        <v>0</v>
      </c>
      <c r="BP60" s="7">
        <v>0</v>
      </c>
      <c r="BQ60" s="7">
        <v>0</v>
      </c>
      <c r="BR60" s="21"/>
    </row>
    <row r="61" spans="1:70" ht="15.75" x14ac:dyDescent="0.25">
      <c r="A61" s="5" t="s">
        <v>106</v>
      </c>
      <c r="B61" s="5" t="s">
        <v>107</v>
      </c>
      <c r="C61" s="7">
        <v>6</v>
      </c>
      <c r="D61" s="7">
        <v>6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0</v>
      </c>
      <c r="BF61" s="7">
        <v>0</v>
      </c>
      <c r="BG61" s="7">
        <v>0</v>
      </c>
      <c r="BH61" s="7">
        <v>0</v>
      </c>
      <c r="BI61" s="7">
        <v>0</v>
      </c>
      <c r="BJ61" s="7">
        <v>0</v>
      </c>
      <c r="BK61" s="7">
        <v>0</v>
      </c>
      <c r="BL61" s="7">
        <v>0</v>
      </c>
      <c r="BM61" s="7">
        <v>0</v>
      </c>
      <c r="BN61" s="7">
        <v>0</v>
      </c>
      <c r="BO61" s="7">
        <v>0</v>
      </c>
      <c r="BP61" s="7">
        <v>0</v>
      </c>
      <c r="BQ61" s="7">
        <v>0</v>
      </c>
      <c r="BR61" s="21"/>
    </row>
    <row r="62" spans="1:70" ht="15.75" x14ac:dyDescent="0.25">
      <c r="A62" s="5" t="s">
        <v>108</v>
      </c>
      <c r="B62" s="5" t="s">
        <v>109</v>
      </c>
      <c r="C62" s="7">
        <v>6</v>
      </c>
      <c r="D62" s="7">
        <v>6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0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0</v>
      </c>
      <c r="AZ62" s="7">
        <v>0</v>
      </c>
      <c r="BA62" s="7">
        <v>0</v>
      </c>
      <c r="BB62" s="7">
        <v>0</v>
      </c>
      <c r="BC62" s="7">
        <v>0</v>
      </c>
      <c r="BD62" s="7">
        <v>0</v>
      </c>
      <c r="BE62" s="7">
        <v>0</v>
      </c>
      <c r="BF62" s="7">
        <v>0</v>
      </c>
      <c r="BG62" s="7">
        <v>0</v>
      </c>
      <c r="BH62" s="7">
        <v>0</v>
      </c>
      <c r="BI62" s="7">
        <v>0</v>
      </c>
      <c r="BJ62" s="7">
        <v>0</v>
      </c>
      <c r="BK62" s="7">
        <v>0</v>
      </c>
      <c r="BL62" s="7">
        <v>0</v>
      </c>
      <c r="BM62" s="7">
        <v>0</v>
      </c>
      <c r="BN62" s="7">
        <v>0</v>
      </c>
      <c r="BO62" s="7">
        <v>0</v>
      </c>
      <c r="BP62" s="7">
        <v>0</v>
      </c>
      <c r="BQ62" s="7">
        <v>0</v>
      </c>
      <c r="BR62" s="21"/>
    </row>
    <row r="63" spans="1:70" ht="15.75" x14ac:dyDescent="0.25">
      <c r="A63" s="5" t="s">
        <v>110</v>
      </c>
      <c r="B63" s="5" t="s">
        <v>111</v>
      </c>
      <c r="C63" s="7">
        <v>3</v>
      </c>
      <c r="D63" s="7">
        <v>3</v>
      </c>
      <c r="E63" s="7">
        <v>873636.30900000001</v>
      </c>
      <c r="F63" s="7">
        <v>99309.298999999999</v>
      </c>
      <c r="G63" s="7">
        <v>233119.87</v>
      </c>
      <c r="H63" s="7">
        <v>18134.451000000001</v>
      </c>
      <c r="I63" s="7">
        <v>18941.174999999999</v>
      </c>
      <c r="J63" s="7">
        <v>161112.40700000001</v>
      </c>
      <c r="K63" s="7">
        <v>0</v>
      </c>
      <c r="L63" s="7">
        <v>0</v>
      </c>
      <c r="M63" s="7">
        <v>276092.71000000002</v>
      </c>
      <c r="N63" s="7">
        <v>555240.02899999998</v>
      </c>
      <c r="O63" s="7">
        <v>0</v>
      </c>
      <c r="P63" s="7">
        <v>0</v>
      </c>
      <c r="Q63" s="7">
        <v>30.59</v>
      </c>
      <c r="R63" s="7">
        <v>1448.8520000000001</v>
      </c>
      <c r="S63" s="7">
        <v>5293.183</v>
      </c>
      <c r="T63" s="7">
        <v>39760.678999999996</v>
      </c>
      <c r="U63" s="7">
        <v>0</v>
      </c>
      <c r="V63" s="7">
        <v>0</v>
      </c>
      <c r="W63" s="7">
        <v>19821.851999999999</v>
      </c>
      <c r="X63" s="7">
        <v>47728.025999999998</v>
      </c>
      <c r="Y63" s="7">
        <v>0</v>
      </c>
      <c r="Z63" s="7">
        <v>88136.205000000002</v>
      </c>
      <c r="AA63" s="7">
        <v>0</v>
      </c>
      <c r="AB63" s="7">
        <v>203906.633</v>
      </c>
      <c r="AC63" s="7">
        <v>0</v>
      </c>
      <c r="AD63" s="7">
        <v>16901.276000000002</v>
      </c>
      <c r="AE63" s="7">
        <v>258.8</v>
      </c>
      <c r="AF63" s="7">
        <v>207246.704</v>
      </c>
      <c r="AG63" s="7">
        <v>0</v>
      </c>
      <c r="AH63" s="7">
        <v>449.82299999999998</v>
      </c>
      <c r="AI63" s="7">
        <v>934510.49699999997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3465.8690000000001</v>
      </c>
      <c r="AR63" s="7">
        <v>0</v>
      </c>
      <c r="AS63" s="7">
        <v>0</v>
      </c>
      <c r="AT63" s="7">
        <v>0</v>
      </c>
      <c r="AU63" s="7">
        <v>257.01400000000001</v>
      </c>
      <c r="AV63" s="7">
        <v>0</v>
      </c>
      <c r="AW63" s="7">
        <v>9921.7219999999998</v>
      </c>
      <c r="AX63" s="7">
        <v>0</v>
      </c>
      <c r="AY63" s="7">
        <v>0</v>
      </c>
      <c r="AZ63" s="7">
        <v>0</v>
      </c>
      <c r="BA63" s="7">
        <v>2990.4740000000002</v>
      </c>
      <c r="BB63" s="7">
        <v>0</v>
      </c>
      <c r="BC63" s="7">
        <v>0</v>
      </c>
      <c r="BD63" s="7">
        <v>1047.3489999999999</v>
      </c>
      <c r="BE63" s="7">
        <v>2590.1669999999999</v>
      </c>
      <c r="BF63" s="7">
        <v>0</v>
      </c>
      <c r="BG63" s="7">
        <v>153.12799999999999</v>
      </c>
      <c r="BH63" s="7">
        <v>153.12799999999999</v>
      </c>
      <c r="BI63" s="7">
        <v>0</v>
      </c>
      <c r="BJ63" s="7">
        <v>0</v>
      </c>
      <c r="BK63" s="7">
        <v>1165.8710000000001</v>
      </c>
      <c r="BL63" s="7">
        <v>0</v>
      </c>
      <c r="BM63" s="7">
        <v>0</v>
      </c>
      <c r="BN63" s="7">
        <v>0</v>
      </c>
      <c r="BO63" s="7">
        <v>0</v>
      </c>
      <c r="BP63" s="7">
        <v>0</v>
      </c>
      <c r="BQ63" s="7">
        <v>0</v>
      </c>
      <c r="BR63" s="21"/>
    </row>
    <row r="64" spans="1:70" ht="15.75" x14ac:dyDescent="0.25">
      <c r="A64" s="5" t="s">
        <v>112</v>
      </c>
      <c r="B64" s="5" t="s">
        <v>113</v>
      </c>
      <c r="C64" s="7">
        <v>3</v>
      </c>
      <c r="D64" s="7">
        <v>3</v>
      </c>
      <c r="E64" s="7">
        <v>6076.89</v>
      </c>
      <c r="F64" s="7">
        <v>877.6</v>
      </c>
      <c r="G64" s="7">
        <v>1485.6510000000001</v>
      </c>
      <c r="H64" s="7">
        <v>0</v>
      </c>
      <c r="I64" s="7">
        <v>140.63300000000001</v>
      </c>
      <c r="J64" s="7">
        <v>947.49900000000002</v>
      </c>
      <c r="K64" s="7">
        <v>0</v>
      </c>
      <c r="L64" s="7">
        <v>0</v>
      </c>
      <c r="M64" s="7">
        <v>2563.538</v>
      </c>
      <c r="N64" s="7">
        <v>3951.5929999999998</v>
      </c>
      <c r="O64" s="7">
        <v>0</v>
      </c>
      <c r="P64" s="7">
        <v>0</v>
      </c>
      <c r="Q64" s="7">
        <v>0.125</v>
      </c>
      <c r="R64" s="7">
        <v>123.131</v>
      </c>
      <c r="S64" s="7">
        <v>449.84399999999999</v>
      </c>
      <c r="T64" s="7">
        <v>375.51299999999998</v>
      </c>
      <c r="U64" s="7">
        <v>0</v>
      </c>
      <c r="V64" s="7">
        <v>0</v>
      </c>
      <c r="W64" s="7">
        <v>158.768</v>
      </c>
      <c r="X64" s="7">
        <v>300.38600000000002</v>
      </c>
      <c r="Y64" s="7">
        <v>0</v>
      </c>
      <c r="Z64" s="7">
        <v>693.52800000000002</v>
      </c>
      <c r="AA64" s="7">
        <v>0</v>
      </c>
      <c r="AB64" s="7">
        <v>1201.425</v>
      </c>
      <c r="AC64" s="7">
        <v>0</v>
      </c>
      <c r="AD64" s="7">
        <v>143.38399999999999</v>
      </c>
      <c r="AE64" s="7">
        <v>0</v>
      </c>
      <c r="AF64" s="7">
        <v>1083.067</v>
      </c>
      <c r="AG64" s="7">
        <v>0</v>
      </c>
      <c r="AH64" s="7">
        <v>0</v>
      </c>
      <c r="AI64" s="7">
        <v>6270.1210000000001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23.268999999999998</v>
      </c>
      <c r="AR64" s="7">
        <v>0</v>
      </c>
      <c r="AS64" s="7">
        <v>0</v>
      </c>
      <c r="AT64" s="7">
        <v>0</v>
      </c>
      <c r="AU64" s="7">
        <v>3.2389999999999999</v>
      </c>
      <c r="AV64" s="7">
        <v>0</v>
      </c>
      <c r="AW64" s="7">
        <v>95.67</v>
      </c>
      <c r="AX64" s="7">
        <v>0</v>
      </c>
      <c r="AY64" s="7">
        <v>0</v>
      </c>
      <c r="AZ64" s="7">
        <v>0</v>
      </c>
      <c r="BA64" s="7">
        <v>21.369</v>
      </c>
      <c r="BB64" s="7">
        <v>0</v>
      </c>
      <c r="BC64" s="7">
        <v>0</v>
      </c>
      <c r="BD64" s="7">
        <v>7.48</v>
      </c>
      <c r="BE64" s="7">
        <v>24.748000000000001</v>
      </c>
      <c r="BF64" s="7">
        <v>0</v>
      </c>
      <c r="BG64" s="7">
        <v>1.0940000000000001</v>
      </c>
      <c r="BH64" s="7">
        <v>1.0940000000000001</v>
      </c>
      <c r="BI64" s="7">
        <v>0</v>
      </c>
      <c r="BJ64" s="7">
        <v>0</v>
      </c>
      <c r="BK64" s="7">
        <v>8.2059999999999995</v>
      </c>
      <c r="BL64" s="7">
        <v>0</v>
      </c>
      <c r="BM64" s="7">
        <v>0</v>
      </c>
      <c r="BN64" s="7">
        <v>0</v>
      </c>
      <c r="BO64" s="7">
        <v>0</v>
      </c>
      <c r="BP64" s="7">
        <v>0</v>
      </c>
      <c r="BQ64" s="7">
        <v>0</v>
      </c>
      <c r="BR64" s="21"/>
    </row>
    <row r="65" spans="1:70" ht="15.75" x14ac:dyDescent="0.25">
      <c r="A65" s="5" t="s">
        <v>114</v>
      </c>
      <c r="B65" s="5" t="s">
        <v>115</v>
      </c>
      <c r="C65" s="7">
        <v>3</v>
      </c>
      <c r="D65" s="7">
        <v>3</v>
      </c>
      <c r="E65" s="7">
        <v>162720.899</v>
      </c>
      <c r="F65" s="7">
        <v>21638.123</v>
      </c>
      <c r="G65" s="7">
        <v>41135.305999999997</v>
      </c>
      <c r="H65" s="7">
        <v>205.642</v>
      </c>
      <c r="I65" s="7">
        <v>3677.2469999999998</v>
      </c>
      <c r="J65" s="7">
        <v>27096.620999999999</v>
      </c>
      <c r="K65" s="7">
        <v>0</v>
      </c>
      <c r="L65" s="7">
        <v>39973.442999999999</v>
      </c>
      <c r="M65" s="7">
        <v>62236.550999999999</v>
      </c>
      <c r="N65" s="7">
        <v>104920.853</v>
      </c>
      <c r="O65" s="7">
        <v>959.84</v>
      </c>
      <c r="P65" s="7">
        <v>0</v>
      </c>
      <c r="Q65" s="7">
        <v>4.218</v>
      </c>
      <c r="R65" s="7">
        <v>559.024</v>
      </c>
      <c r="S65" s="7">
        <v>2042.317</v>
      </c>
      <c r="T65" s="7">
        <v>9069.2950000000001</v>
      </c>
      <c r="U65" s="7">
        <v>0</v>
      </c>
      <c r="V65" s="7">
        <v>29144.748</v>
      </c>
      <c r="W65" s="7">
        <v>4043.1959999999999</v>
      </c>
      <c r="X65" s="7">
        <v>8358.3119999999999</v>
      </c>
      <c r="Y65" s="7">
        <v>0</v>
      </c>
      <c r="Z65" s="7">
        <v>17768.888999999999</v>
      </c>
      <c r="AA65" s="7">
        <v>0</v>
      </c>
      <c r="AB65" s="7">
        <v>34331.849000000002</v>
      </c>
      <c r="AC65" s="7">
        <v>0</v>
      </c>
      <c r="AD65" s="7">
        <v>3582.13</v>
      </c>
      <c r="AE65" s="7">
        <v>0</v>
      </c>
      <c r="AF65" s="7">
        <v>32573.335999999999</v>
      </c>
      <c r="AG65" s="7">
        <v>0</v>
      </c>
      <c r="AH65" s="7">
        <v>0</v>
      </c>
      <c r="AI65" s="7">
        <v>170345.64799999999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5543.0910000000003</v>
      </c>
      <c r="AP65" s="7">
        <v>0</v>
      </c>
      <c r="AQ65" s="7">
        <v>631.428</v>
      </c>
      <c r="AR65" s="7">
        <v>0</v>
      </c>
      <c r="AS65" s="7">
        <v>0</v>
      </c>
      <c r="AT65" s="7">
        <v>0</v>
      </c>
      <c r="AU65" s="7">
        <v>72.271000000000001</v>
      </c>
      <c r="AV65" s="7">
        <v>0</v>
      </c>
      <c r="AW65" s="7">
        <v>2453.078</v>
      </c>
      <c r="AX65" s="7">
        <v>0</v>
      </c>
      <c r="AY65" s="7">
        <v>0</v>
      </c>
      <c r="AZ65" s="7">
        <v>0</v>
      </c>
      <c r="BA65" s="7">
        <v>566.54700000000003</v>
      </c>
      <c r="BB65" s="7">
        <v>0</v>
      </c>
      <c r="BC65" s="7">
        <v>0</v>
      </c>
      <c r="BD65" s="7">
        <v>198.34800000000001</v>
      </c>
      <c r="BE65" s="7">
        <v>595.60799999999995</v>
      </c>
      <c r="BF65" s="7">
        <v>0</v>
      </c>
      <c r="BG65" s="7">
        <v>29.012</v>
      </c>
      <c r="BH65" s="7">
        <v>29.012</v>
      </c>
      <c r="BI65" s="7">
        <v>0</v>
      </c>
      <c r="BJ65" s="7">
        <v>0</v>
      </c>
      <c r="BK65" s="7">
        <v>218.77199999999999</v>
      </c>
      <c r="BL65" s="7">
        <v>0</v>
      </c>
      <c r="BM65" s="7">
        <v>0</v>
      </c>
      <c r="BN65" s="7">
        <v>0</v>
      </c>
      <c r="BO65" s="7">
        <v>0</v>
      </c>
      <c r="BP65" s="7">
        <v>0</v>
      </c>
      <c r="BQ65" s="7">
        <v>0</v>
      </c>
      <c r="BR65" s="21"/>
    </row>
    <row r="66" spans="1:70" ht="15.75" x14ac:dyDescent="0.25">
      <c r="A66" s="5" t="s">
        <v>116</v>
      </c>
      <c r="B66" s="5" t="s">
        <v>117</v>
      </c>
      <c r="C66" s="7">
        <v>3</v>
      </c>
      <c r="D66" s="7">
        <v>3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  <c r="AZ66" s="7">
        <v>0</v>
      </c>
      <c r="BA66" s="7">
        <v>0</v>
      </c>
      <c r="BB66" s="7">
        <v>0</v>
      </c>
      <c r="BC66" s="7">
        <v>0</v>
      </c>
      <c r="BD66" s="7">
        <v>0</v>
      </c>
      <c r="BE66" s="7">
        <v>0</v>
      </c>
      <c r="BF66" s="7">
        <v>0</v>
      </c>
      <c r="BG66" s="7">
        <v>0</v>
      </c>
      <c r="BH66" s="7">
        <v>0</v>
      </c>
      <c r="BI66" s="7">
        <v>0</v>
      </c>
      <c r="BJ66" s="7">
        <v>0</v>
      </c>
      <c r="BK66" s="7">
        <v>0</v>
      </c>
      <c r="BL66" s="7">
        <v>0</v>
      </c>
      <c r="BM66" s="7">
        <v>0</v>
      </c>
      <c r="BN66" s="7">
        <v>0</v>
      </c>
      <c r="BO66" s="7">
        <v>0</v>
      </c>
      <c r="BP66" s="7">
        <v>0</v>
      </c>
      <c r="BQ66" s="7">
        <v>0</v>
      </c>
      <c r="BR66" s="21"/>
    </row>
    <row r="67" spans="1:70" ht="15.75" x14ac:dyDescent="0.25">
      <c r="A67" s="5" t="s">
        <v>118</v>
      </c>
      <c r="B67" s="5" t="s">
        <v>119</v>
      </c>
      <c r="C67" s="7">
        <v>3</v>
      </c>
      <c r="D67" s="7">
        <v>3</v>
      </c>
      <c r="E67" s="7">
        <v>177801.45600000001</v>
      </c>
      <c r="F67" s="7">
        <v>26283.294000000002</v>
      </c>
      <c r="G67" s="7">
        <v>43311.271999999997</v>
      </c>
      <c r="H67" s="7">
        <v>15473.9</v>
      </c>
      <c r="I67" s="7">
        <v>4103.6660000000002</v>
      </c>
      <c r="J67" s="7">
        <v>27502.74</v>
      </c>
      <c r="K67" s="7">
        <v>0</v>
      </c>
      <c r="L67" s="7">
        <v>0</v>
      </c>
      <c r="M67" s="7">
        <v>80318.202000000005</v>
      </c>
      <c r="N67" s="7">
        <v>115979.016</v>
      </c>
      <c r="O67" s="7">
        <v>0</v>
      </c>
      <c r="P67" s="7">
        <v>0</v>
      </c>
      <c r="Q67" s="7">
        <v>3.3460000000000001</v>
      </c>
      <c r="R67" s="7">
        <v>515.62099999999998</v>
      </c>
      <c r="S67" s="7">
        <v>1883.751</v>
      </c>
      <c r="T67" s="7">
        <v>11188.893</v>
      </c>
      <c r="U67" s="7">
        <v>0</v>
      </c>
      <c r="V67" s="7">
        <v>0</v>
      </c>
      <c r="W67" s="7">
        <v>4666.2690000000002</v>
      </c>
      <c r="X67" s="7">
        <v>8609.6610000000001</v>
      </c>
      <c r="Y67" s="7">
        <v>0</v>
      </c>
      <c r="Z67" s="7">
        <v>20510.098999999998</v>
      </c>
      <c r="AA67" s="7">
        <v>0</v>
      </c>
      <c r="AB67" s="7">
        <v>34260.868999999999</v>
      </c>
      <c r="AC67" s="7">
        <v>0</v>
      </c>
      <c r="AD67" s="7">
        <v>4235.527</v>
      </c>
      <c r="AE67" s="7">
        <v>0</v>
      </c>
      <c r="AF67" s="7">
        <v>31276.816999999999</v>
      </c>
      <c r="AG67" s="7">
        <v>0</v>
      </c>
      <c r="AH67" s="7">
        <v>0</v>
      </c>
      <c r="AI67" s="7">
        <v>184434.18400000001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671.875</v>
      </c>
      <c r="AR67" s="7">
        <v>0</v>
      </c>
      <c r="AS67" s="7">
        <v>0</v>
      </c>
      <c r="AT67" s="7">
        <v>0</v>
      </c>
      <c r="AU67" s="7">
        <v>98.349000000000004</v>
      </c>
      <c r="AV67" s="7">
        <v>0</v>
      </c>
      <c r="AW67" s="7">
        <v>2959.107</v>
      </c>
      <c r="AX67" s="7">
        <v>0</v>
      </c>
      <c r="AY67" s="7">
        <v>0</v>
      </c>
      <c r="AZ67" s="7">
        <v>0</v>
      </c>
      <c r="BA67" s="7">
        <v>621.15099999999995</v>
      </c>
      <c r="BB67" s="7">
        <v>0</v>
      </c>
      <c r="BC67" s="7">
        <v>0</v>
      </c>
      <c r="BD67" s="7">
        <v>217.40600000000001</v>
      </c>
      <c r="BE67" s="7">
        <v>738.03899999999999</v>
      </c>
      <c r="BF67" s="7">
        <v>0</v>
      </c>
      <c r="BG67" s="7">
        <v>31.809000000000001</v>
      </c>
      <c r="BH67" s="7">
        <v>31.809000000000001</v>
      </c>
      <c r="BI67" s="7">
        <v>0</v>
      </c>
      <c r="BJ67" s="7">
        <v>0</v>
      </c>
      <c r="BK67" s="7">
        <v>238.154</v>
      </c>
      <c r="BL67" s="7">
        <v>0</v>
      </c>
      <c r="BM67" s="7">
        <v>0</v>
      </c>
      <c r="BN67" s="7">
        <v>0</v>
      </c>
      <c r="BO67" s="7">
        <v>0</v>
      </c>
      <c r="BP67" s="7">
        <v>0</v>
      </c>
      <c r="BQ67" s="7">
        <v>0</v>
      </c>
      <c r="BR67" s="21"/>
    </row>
    <row r="68" spans="1:70" ht="15.75" x14ac:dyDescent="0.25">
      <c r="A68" s="5" t="s">
        <v>120</v>
      </c>
      <c r="B68" s="5" t="s">
        <v>121</v>
      </c>
      <c r="C68" s="7">
        <v>3</v>
      </c>
      <c r="D68" s="7">
        <v>3</v>
      </c>
      <c r="E68" s="7">
        <v>26852.845000000001</v>
      </c>
      <c r="F68" s="7">
        <v>3965.5940000000001</v>
      </c>
      <c r="G68" s="7">
        <v>6501.1319999999996</v>
      </c>
      <c r="H68" s="7">
        <v>0</v>
      </c>
      <c r="I68" s="7">
        <v>625.601</v>
      </c>
      <c r="J68" s="7">
        <v>4105.6350000000002</v>
      </c>
      <c r="K68" s="7">
        <v>0</v>
      </c>
      <c r="L68" s="7">
        <v>0</v>
      </c>
      <c r="M68" s="7">
        <v>11629.471</v>
      </c>
      <c r="N68" s="7">
        <v>17503.419999999998</v>
      </c>
      <c r="O68" s="7">
        <v>0</v>
      </c>
      <c r="P68" s="7">
        <v>0</v>
      </c>
      <c r="Q68" s="7">
        <v>0.51</v>
      </c>
      <c r="R68" s="7">
        <v>95.198999999999998</v>
      </c>
      <c r="S68" s="7">
        <v>347.79500000000002</v>
      </c>
      <c r="T68" s="7">
        <v>1705.739</v>
      </c>
      <c r="U68" s="7">
        <v>0</v>
      </c>
      <c r="V68" s="7">
        <v>0</v>
      </c>
      <c r="W68" s="7">
        <v>711.36900000000003</v>
      </c>
      <c r="X68" s="7">
        <v>1312.537</v>
      </c>
      <c r="Y68" s="7">
        <v>0</v>
      </c>
      <c r="Z68" s="7">
        <v>3102.3319999999999</v>
      </c>
      <c r="AA68" s="7">
        <v>0</v>
      </c>
      <c r="AB68" s="7">
        <v>5207.18</v>
      </c>
      <c r="AC68" s="7">
        <v>0</v>
      </c>
      <c r="AD68" s="7">
        <v>645.70299999999997</v>
      </c>
      <c r="AE68" s="7">
        <v>0</v>
      </c>
      <c r="AF68" s="7">
        <v>4617.7740000000003</v>
      </c>
      <c r="AG68" s="7">
        <v>0</v>
      </c>
      <c r="AH68" s="7">
        <v>0</v>
      </c>
      <c r="AI68" s="7">
        <v>27598.741000000002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102.42700000000001</v>
      </c>
      <c r="AR68" s="7">
        <v>0</v>
      </c>
      <c r="AS68" s="7">
        <v>0</v>
      </c>
      <c r="AT68" s="7">
        <v>0</v>
      </c>
      <c r="AU68" s="7">
        <v>14.993</v>
      </c>
      <c r="AV68" s="7">
        <v>0</v>
      </c>
      <c r="AW68" s="7">
        <v>454.78399999999999</v>
      </c>
      <c r="AX68" s="7">
        <v>0</v>
      </c>
      <c r="AY68" s="7">
        <v>0</v>
      </c>
      <c r="AZ68" s="7">
        <v>0</v>
      </c>
      <c r="BA68" s="7">
        <v>94.694000000000003</v>
      </c>
      <c r="BB68" s="7">
        <v>0</v>
      </c>
      <c r="BC68" s="7">
        <v>0</v>
      </c>
      <c r="BD68" s="7">
        <v>33.143000000000001</v>
      </c>
      <c r="BE68" s="7">
        <v>112.51300000000001</v>
      </c>
      <c r="BF68" s="7">
        <v>0</v>
      </c>
      <c r="BG68" s="7">
        <v>4.8490000000000002</v>
      </c>
      <c r="BH68" s="7">
        <v>4.8490000000000002</v>
      </c>
      <c r="BI68" s="7">
        <v>0</v>
      </c>
      <c r="BJ68" s="7">
        <v>0</v>
      </c>
      <c r="BK68" s="7">
        <v>36.305999999999997</v>
      </c>
      <c r="BL68" s="7">
        <v>0</v>
      </c>
      <c r="BM68" s="7">
        <v>0</v>
      </c>
      <c r="BN68" s="7">
        <v>0</v>
      </c>
      <c r="BO68" s="7">
        <v>0</v>
      </c>
      <c r="BP68" s="7">
        <v>0</v>
      </c>
      <c r="BQ68" s="7">
        <v>0</v>
      </c>
      <c r="BR68" s="21"/>
    </row>
    <row r="69" spans="1:70" ht="15.75" x14ac:dyDescent="0.25">
      <c r="A69" s="5" t="s">
        <v>122</v>
      </c>
      <c r="B69" s="5" t="s">
        <v>123</v>
      </c>
      <c r="C69" s="7">
        <v>3</v>
      </c>
      <c r="D69" s="7">
        <v>3</v>
      </c>
      <c r="E69" s="7">
        <v>166955.60800000001</v>
      </c>
      <c r="F69" s="7">
        <v>24655.79</v>
      </c>
      <c r="G69" s="7">
        <v>40420.315000000002</v>
      </c>
      <c r="H69" s="7">
        <v>0</v>
      </c>
      <c r="I69" s="7">
        <v>3889.6289999999999</v>
      </c>
      <c r="J69" s="7">
        <v>25526.486000000001</v>
      </c>
      <c r="K69" s="7">
        <v>0</v>
      </c>
      <c r="L69" s="7">
        <v>14560.040999999999</v>
      </c>
      <c r="M69" s="7">
        <v>72305.384999999995</v>
      </c>
      <c r="N69" s="7">
        <v>108826.24000000001</v>
      </c>
      <c r="O69" s="7">
        <v>0</v>
      </c>
      <c r="P69" s="7">
        <v>0</v>
      </c>
      <c r="Q69" s="7">
        <v>3.1709999999999998</v>
      </c>
      <c r="R69" s="7">
        <v>787.95100000000002</v>
      </c>
      <c r="S69" s="7">
        <v>2878.6729999999998</v>
      </c>
      <c r="T69" s="7">
        <v>10605.308000000001</v>
      </c>
      <c r="U69" s="7">
        <v>0</v>
      </c>
      <c r="V69" s="7">
        <v>10615.766</v>
      </c>
      <c r="W69" s="7">
        <v>4422.8879999999999</v>
      </c>
      <c r="X69" s="7">
        <v>8160.6019999999999</v>
      </c>
      <c r="Y69" s="7">
        <v>0</v>
      </c>
      <c r="Z69" s="7">
        <v>19288.521000000001</v>
      </c>
      <c r="AA69" s="7">
        <v>0</v>
      </c>
      <c r="AB69" s="7">
        <v>32375.260999999999</v>
      </c>
      <c r="AC69" s="7">
        <v>0</v>
      </c>
      <c r="AD69" s="7">
        <v>4014.6129999999998</v>
      </c>
      <c r="AE69" s="7">
        <v>0</v>
      </c>
      <c r="AF69" s="7">
        <v>28710.675999999999</v>
      </c>
      <c r="AG69" s="7">
        <v>0</v>
      </c>
      <c r="AH69" s="7">
        <v>0</v>
      </c>
      <c r="AI69" s="7">
        <v>171650.345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2019.0309999999999</v>
      </c>
      <c r="AP69" s="7">
        <v>0</v>
      </c>
      <c r="AQ69" s="7">
        <v>636.83100000000002</v>
      </c>
      <c r="AR69" s="7">
        <v>0</v>
      </c>
      <c r="AS69" s="7">
        <v>0</v>
      </c>
      <c r="AT69" s="7">
        <v>0</v>
      </c>
      <c r="AU69" s="7">
        <v>93.22</v>
      </c>
      <c r="AV69" s="7">
        <v>0</v>
      </c>
      <c r="AW69" s="7">
        <v>2807.8290000000002</v>
      </c>
      <c r="AX69" s="7">
        <v>0</v>
      </c>
      <c r="AY69" s="7">
        <v>0</v>
      </c>
      <c r="AZ69" s="7">
        <v>0</v>
      </c>
      <c r="BA69" s="7">
        <v>588.75300000000004</v>
      </c>
      <c r="BB69" s="7">
        <v>0</v>
      </c>
      <c r="BC69" s="7">
        <v>0</v>
      </c>
      <c r="BD69" s="7">
        <v>206.066</v>
      </c>
      <c r="BE69" s="7">
        <v>699.54399999999998</v>
      </c>
      <c r="BF69" s="7">
        <v>0</v>
      </c>
      <c r="BG69" s="7">
        <v>30.15</v>
      </c>
      <c r="BH69" s="7">
        <v>30.15</v>
      </c>
      <c r="BI69" s="7">
        <v>0</v>
      </c>
      <c r="BJ69" s="7">
        <v>0</v>
      </c>
      <c r="BK69" s="7">
        <v>225.732</v>
      </c>
      <c r="BL69" s="7">
        <v>0</v>
      </c>
      <c r="BM69" s="7">
        <v>0</v>
      </c>
      <c r="BN69" s="7">
        <v>0</v>
      </c>
      <c r="BO69" s="7">
        <v>0</v>
      </c>
      <c r="BP69" s="7">
        <v>0</v>
      </c>
      <c r="BQ69" s="7">
        <v>0</v>
      </c>
      <c r="BR69" s="21"/>
    </row>
    <row r="70" spans="1:70" ht="15.75" x14ac:dyDescent="0.25">
      <c r="A70" s="5" t="s">
        <v>124</v>
      </c>
      <c r="B70" s="5" t="s">
        <v>125</v>
      </c>
      <c r="C70" s="7">
        <v>3</v>
      </c>
      <c r="D70" s="7">
        <v>3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AZ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F70" s="7">
        <v>0</v>
      </c>
      <c r="BG70" s="7">
        <v>0</v>
      </c>
      <c r="BH70" s="7">
        <v>0</v>
      </c>
      <c r="BI70" s="7">
        <v>0</v>
      </c>
      <c r="BJ70" s="7">
        <v>0</v>
      </c>
      <c r="BK70" s="7">
        <v>0</v>
      </c>
      <c r="BL70" s="7">
        <v>0</v>
      </c>
      <c r="BM70" s="7">
        <v>0</v>
      </c>
      <c r="BN70" s="7">
        <v>0</v>
      </c>
      <c r="BO70" s="7">
        <v>0</v>
      </c>
      <c r="BP70" s="7">
        <v>0</v>
      </c>
      <c r="BQ70" s="7">
        <v>0</v>
      </c>
      <c r="BR70" s="21"/>
    </row>
    <row r="71" spans="1:70" ht="15.75" x14ac:dyDescent="0.25">
      <c r="A71" s="5" t="s">
        <v>126</v>
      </c>
      <c r="B71" s="5" t="s">
        <v>127</v>
      </c>
      <c r="C71" s="7">
        <v>3</v>
      </c>
      <c r="D71" s="7">
        <v>3</v>
      </c>
      <c r="E71" s="7">
        <v>40309.898000000001</v>
      </c>
      <c r="F71" s="7">
        <v>5952.9139999999998</v>
      </c>
      <c r="G71" s="7">
        <v>9759.1139999999996</v>
      </c>
      <c r="H71" s="7">
        <v>9969.1479999999992</v>
      </c>
      <c r="I71" s="7">
        <v>939.11500000000001</v>
      </c>
      <c r="J71" s="7">
        <v>6163.1360000000004</v>
      </c>
      <c r="K71" s="7">
        <v>0</v>
      </c>
      <c r="L71" s="7">
        <v>0</v>
      </c>
      <c r="M71" s="7">
        <v>17457.471000000001</v>
      </c>
      <c r="N71" s="7">
        <v>26275.096000000001</v>
      </c>
      <c r="O71" s="7">
        <v>0</v>
      </c>
      <c r="P71" s="7">
        <v>0</v>
      </c>
      <c r="Q71" s="7">
        <v>0.76600000000000001</v>
      </c>
      <c r="R71" s="7">
        <v>0</v>
      </c>
      <c r="S71" s="7">
        <v>0</v>
      </c>
      <c r="T71" s="7">
        <v>2560.5540000000001</v>
      </c>
      <c r="U71" s="7">
        <v>0</v>
      </c>
      <c r="V71" s="7">
        <v>0</v>
      </c>
      <c r="W71" s="7">
        <v>1067.866</v>
      </c>
      <c r="X71" s="7">
        <v>1970.3019999999999</v>
      </c>
      <c r="Y71" s="7">
        <v>0</v>
      </c>
      <c r="Z71" s="7">
        <v>4657.0360000000001</v>
      </c>
      <c r="AA71" s="7">
        <v>0</v>
      </c>
      <c r="AB71" s="7">
        <v>7816.7089999999998</v>
      </c>
      <c r="AC71" s="7">
        <v>0</v>
      </c>
      <c r="AD71" s="7">
        <v>969.29100000000005</v>
      </c>
      <c r="AE71" s="7">
        <v>0</v>
      </c>
      <c r="AF71" s="7">
        <v>6931.9290000000001</v>
      </c>
      <c r="AG71" s="7">
        <v>0</v>
      </c>
      <c r="AH71" s="7">
        <v>0</v>
      </c>
      <c r="AI71" s="7">
        <v>41429.593000000001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7">
        <v>153.75700000000001</v>
      </c>
      <c r="AR71" s="7">
        <v>0</v>
      </c>
      <c r="AS71" s="7">
        <v>0</v>
      </c>
      <c r="AT71" s="7">
        <v>0</v>
      </c>
      <c r="AU71" s="7">
        <v>22.507000000000001</v>
      </c>
      <c r="AV71" s="7">
        <v>0</v>
      </c>
      <c r="AW71" s="7">
        <v>655.37300000000005</v>
      </c>
      <c r="AX71" s="7">
        <v>0</v>
      </c>
      <c r="AY71" s="7">
        <v>0</v>
      </c>
      <c r="AZ71" s="7">
        <v>0</v>
      </c>
      <c r="BA71" s="7">
        <v>142.149</v>
      </c>
      <c r="BB71" s="7">
        <v>0</v>
      </c>
      <c r="BC71" s="7">
        <v>0</v>
      </c>
      <c r="BD71" s="7">
        <v>49.753</v>
      </c>
      <c r="BE71" s="7">
        <v>168.899</v>
      </c>
      <c r="BF71" s="7">
        <v>0</v>
      </c>
      <c r="BG71" s="7">
        <v>7.2789999999999999</v>
      </c>
      <c r="BH71" s="7">
        <v>7.2789999999999999</v>
      </c>
      <c r="BI71" s="7">
        <v>0</v>
      </c>
      <c r="BJ71" s="7">
        <v>0</v>
      </c>
      <c r="BK71" s="7">
        <v>54.500999999999998</v>
      </c>
      <c r="BL71" s="7">
        <v>0</v>
      </c>
      <c r="BM71" s="7">
        <v>0</v>
      </c>
      <c r="BN71" s="7">
        <v>0</v>
      </c>
      <c r="BO71" s="7">
        <v>0</v>
      </c>
      <c r="BP71" s="7">
        <v>0</v>
      </c>
      <c r="BQ71" s="7">
        <v>0</v>
      </c>
      <c r="BR71" s="21"/>
    </row>
    <row r="72" spans="1:70" ht="15.75" x14ac:dyDescent="0.25">
      <c r="A72" s="5" t="s">
        <v>128</v>
      </c>
      <c r="B72" s="5" t="s">
        <v>129</v>
      </c>
      <c r="C72" s="7">
        <v>3</v>
      </c>
      <c r="D72" s="7">
        <v>3</v>
      </c>
      <c r="E72" s="7">
        <v>13707.3</v>
      </c>
      <c r="F72" s="7">
        <v>2024.2760000000001</v>
      </c>
      <c r="G72" s="7">
        <v>3318.567</v>
      </c>
      <c r="H72" s="7">
        <v>2511</v>
      </c>
      <c r="I72" s="7">
        <v>319.34399999999999</v>
      </c>
      <c r="J72" s="7">
        <v>2095.7620000000002</v>
      </c>
      <c r="K72" s="7">
        <v>0</v>
      </c>
      <c r="L72" s="7">
        <v>0</v>
      </c>
      <c r="M72" s="7">
        <v>5936.3779999999997</v>
      </c>
      <c r="N72" s="7">
        <v>8934.7929999999997</v>
      </c>
      <c r="O72" s="7">
        <v>0</v>
      </c>
      <c r="P72" s="7">
        <v>0</v>
      </c>
      <c r="Q72" s="7">
        <v>0.26</v>
      </c>
      <c r="R72" s="7">
        <v>0</v>
      </c>
      <c r="S72" s="7">
        <v>0</v>
      </c>
      <c r="T72" s="7">
        <v>870.71100000000001</v>
      </c>
      <c r="U72" s="7">
        <v>0</v>
      </c>
      <c r="V72" s="7">
        <v>0</v>
      </c>
      <c r="W72" s="7">
        <v>363.12599999999998</v>
      </c>
      <c r="X72" s="7">
        <v>669.99699999999996</v>
      </c>
      <c r="Y72" s="7">
        <v>0</v>
      </c>
      <c r="Z72" s="7">
        <v>1583.616</v>
      </c>
      <c r="AA72" s="7">
        <v>0</v>
      </c>
      <c r="AB72" s="7">
        <v>2658.056</v>
      </c>
      <c r="AC72" s="7">
        <v>0</v>
      </c>
      <c r="AD72" s="7">
        <v>329.60599999999999</v>
      </c>
      <c r="AE72" s="7">
        <v>0</v>
      </c>
      <c r="AF72" s="7">
        <v>2357.1880000000001</v>
      </c>
      <c r="AG72" s="7">
        <v>0</v>
      </c>
      <c r="AH72" s="7">
        <v>0</v>
      </c>
      <c r="AI72" s="7">
        <v>14088.049000000001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52.284999999999997</v>
      </c>
      <c r="AR72" s="7">
        <v>0</v>
      </c>
      <c r="AS72" s="7">
        <v>0</v>
      </c>
      <c r="AT72" s="7">
        <v>0</v>
      </c>
      <c r="AU72" s="7">
        <v>7.6529999999999996</v>
      </c>
      <c r="AV72" s="7">
        <v>0</v>
      </c>
      <c r="AW72" s="7">
        <v>222.858</v>
      </c>
      <c r="AX72" s="7">
        <v>0</v>
      </c>
      <c r="AY72" s="7">
        <v>0</v>
      </c>
      <c r="AZ72" s="7">
        <v>0</v>
      </c>
      <c r="BA72" s="7">
        <v>48.338000000000001</v>
      </c>
      <c r="BB72" s="7">
        <v>0</v>
      </c>
      <c r="BC72" s="7">
        <v>0</v>
      </c>
      <c r="BD72" s="7">
        <v>16.917999999999999</v>
      </c>
      <c r="BE72" s="7">
        <v>57.433999999999997</v>
      </c>
      <c r="BF72" s="7">
        <v>0</v>
      </c>
      <c r="BG72" s="7">
        <v>2.4750000000000001</v>
      </c>
      <c r="BH72" s="7">
        <v>2.4750000000000001</v>
      </c>
      <c r="BI72" s="7">
        <v>0</v>
      </c>
      <c r="BJ72" s="7">
        <v>0</v>
      </c>
      <c r="BK72" s="7">
        <v>18.533000000000001</v>
      </c>
      <c r="BL72" s="7">
        <v>0</v>
      </c>
      <c r="BM72" s="7">
        <v>0</v>
      </c>
      <c r="BN72" s="7">
        <v>0</v>
      </c>
      <c r="BO72" s="7">
        <v>0</v>
      </c>
      <c r="BP72" s="7">
        <v>0</v>
      </c>
      <c r="BQ72" s="7">
        <v>0</v>
      </c>
      <c r="BR72" s="21"/>
    </row>
    <row r="73" spans="1:70" ht="15.75" x14ac:dyDescent="0.25">
      <c r="A73" s="5" t="s">
        <v>130</v>
      </c>
      <c r="B73" s="5" t="s">
        <v>131</v>
      </c>
      <c r="C73" s="7">
        <v>3</v>
      </c>
      <c r="D73" s="7">
        <v>3</v>
      </c>
      <c r="E73" s="7">
        <v>46148.214999999997</v>
      </c>
      <c r="F73" s="7">
        <v>6815.1090000000004</v>
      </c>
      <c r="G73" s="7">
        <v>11172.583000000001</v>
      </c>
      <c r="H73" s="7">
        <v>6459.165</v>
      </c>
      <c r="I73" s="7">
        <v>1075.133</v>
      </c>
      <c r="J73" s="7">
        <v>7055.7780000000002</v>
      </c>
      <c r="K73" s="7">
        <v>0</v>
      </c>
      <c r="L73" s="7">
        <v>0</v>
      </c>
      <c r="M73" s="7">
        <v>19985.937999999998</v>
      </c>
      <c r="N73" s="7">
        <v>30080.670999999998</v>
      </c>
      <c r="O73" s="7">
        <v>0</v>
      </c>
      <c r="P73" s="7">
        <v>0</v>
      </c>
      <c r="Q73" s="7">
        <v>0.877</v>
      </c>
      <c r="R73" s="7">
        <v>1.573</v>
      </c>
      <c r="S73" s="7">
        <v>5.7469999999999999</v>
      </c>
      <c r="T73" s="7">
        <v>2931.4140000000002</v>
      </c>
      <c r="U73" s="7">
        <v>0</v>
      </c>
      <c r="V73" s="7">
        <v>0</v>
      </c>
      <c r="W73" s="7">
        <v>1222.5309999999999</v>
      </c>
      <c r="X73" s="7">
        <v>2255.6729999999998</v>
      </c>
      <c r="Y73" s="7">
        <v>0</v>
      </c>
      <c r="Z73" s="7">
        <v>5331.5420000000004</v>
      </c>
      <c r="AA73" s="7">
        <v>0</v>
      </c>
      <c r="AB73" s="7">
        <v>8948.8490000000002</v>
      </c>
      <c r="AC73" s="7">
        <v>0</v>
      </c>
      <c r="AD73" s="7">
        <v>1109.6790000000001</v>
      </c>
      <c r="AE73" s="7">
        <v>0</v>
      </c>
      <c r="AF73" s="7">
        <v>7935.9210000000003</v>
      </c>
      <c r="AG73" s="7">
        <v>7.0919999999999996</v>
      </c>
      <c r="AH73" s="7">
        <v>0</v>
      </c>
      <c r="AI73" s="7">
        <v>47430.080999999998</v>
      </c>
      <c r="AJ73" s="7">
        <v>24.614000000000001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176.02699999999999</v>
      </c>
      <c r="AR73" s="7">
        <v>0</v>
      </c>
      <c r="AS73" s="7">
        <v>0</v>
      </c>
      <c r="AT73" s="7">
        <v>0</v>
      </c>
      <c r="AU73" s="7">
        <v>25.766999999999999</v>
      </c>
      <c r="AV73" s="7">
        <v>0</v>
      </c>
      <c r="AW73" s="7">
        <v>750.29499999999996</v>
      </c>
      <c r="AX73" s="7">
        <v>0</v>
      </c>
      <c r="AY73" s="7">
        <v>0</v>
      </c>
      <c r="AZ73" s="7">
        <v>0</v>
      </c>
      <c r="BA73" s="7">
        <v>162.73699999999999</v>
      </c>
      <c r="BB73" s="7">
        <v>0</v>
      </c>
      <c r="BC73" s="7">
        <v>0</v>
      </c>
      <c r="BD73" s="7">
        <v>56.959000000000003</v>
      </c>
      <c r="BE73" s="7">
        <v>193.36099999999999</v>
      </c>
      <c r="BF73" s="7">
        <v>0</v>
      </c>
      <c r="BG73" s="7">
        <v>8.3339999999999996</v>
      </c>
      <c r="BH73" s="7">
        <v>8.3339999999999996</v>
      </c>
      <c r="BI73" s="7">
        <v>0</v>
      </c>
      <c r="BJ73" s="7">
        <v>0</v>
      </c>
      <c r="BK73" s="7">
        <v>62.395000000000003</v>
      </c>
      <c r="BL73" s="7">
        <v>0</v>
      </c>
      <c r="BM73" s="7">
        <v>0</v>
      </c>
      <c r="BN73" s="7">
        <v>0</v>
      </c>
      <c r="BO73" s="7">
        <v>0</v>
      </c>
      <c r="BP73" s="7">
        <v>0</v>
      </c>
      <c r="BQ73" s="7">
        <v>0</v>
      </c>
      <c r="BR73" s="21"/>
    </row>
    <row r="74" spans="1:70" ht="15.75" x14ac:dyDescent="0.25">
      <c r="A74" s="5" t="s">
        <v>132</v>
      </c>
      <c r="B74" s="5" t="s">
        <v>133</v>
      </c>
      <c r="C74" s="7">
        <v>3</v>
      </c>
      <c r="D74" s="7">
        <v>3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0</v>
      </c>
      <c r="BD74" s="7">
        <v>0</v>
      </c>
      <c r="BE74" s="7">
        <v>0</v>
      </c>
      <c r="BF74" s="7">
        <v>0</v>
      </c>
      <c r="BG74" s="7">
        <v>0</v>
      </c>
      <c r="BH74" s="7">
        <v>0</v>
      </c>
      <c r="BI74" s="7">
        <v>0</v>
      </c>
      <c r="BJ74" s="7">
        <v>0</v>
      </c>
      <c r="BK74" s="7">
        <v>0</v>
      </c>
      <c r="BL74" s="7">
        <v>0</v>
      </c>
      <c r="BM74" s="7">
        <v>0</v>
      </c>
      <c r="BN74" s="7">
        <v>0</v>
      </c>
      <c r="BO74" s="7">
        <v>0</v>
      </c>
      <c r="BP74" s="7">
        <v>0</v>
      </c>
      <c r="BQ74" s="7">
        <v>0</v>
      </c>
      <c r="BR74" s="21"/>
    </row>
    <row r="75" spans="1:70" ht="15.75" x14ac:dyDescent="0.25">
      <c r="A75" s="5" t="s">
        <v>134</v>
      </c>
      <c r="B75" s="5" t="s">
        <v>135</v>
      </c>
      <c r="C75" s="7">
        <v>6</v>
      </c>
      <c r="D75" s="7">
        <v>6</v>
      </c>
      <c r="E75" s="7">
        <v>50317.419000000002</v>
      </c>
      <c r="F75" s="7">
        <v>5526.6679999999997</v>
      </c>
      <c r="G75" s="7">
        <v>13537.679</v>
      </c>
      <c r="H75" s="7">
        <v>2028.6510000000001</v>
      </c>
      <c r="I75" s="7">
        <v>971.22699999999998</v>
      </c>
      <c r="J75" s="7">
        <v>9682.51</v>
      </c>
      <c r="K75" s="7">
        <v>0</v>
      </c>
      <c r="L75" s="7">
        <v>0</v>
      </c>
      <c r="M75" s="7">
        <v>19360.826000000001</v>
      </c>
      <c r="N75" s="7">
        <v>28276.463</v>
      </c>
      <c r="O75" s="7">
        <v>0</v>
      </c>
      <c r="P75" s="7">
        <v>0</v>
      </c>
      <c r="Q75" s="7">
        <v>41.715000000000003</v>
      </c>
      <c r="R75" s="7">
        <v>0</v>
      </c>
      <c r="S75" s="7">
        <v>127.902</v>
      </c>
      <c r="T75" s="7">
        <v>1312.0540000000001</v>
      </c>
      <c r="U75" s="7">
        <v>0</v>
      </c>
      <c r="V75" s="7">
        <v>0</v>
      </c>
      <c r="W75" s="7">
        <v>859.17499999999995</v>
      </c>
      <c r="X75" s="7">
        <v>2419.2429999999999</v>
      </c>
      <c r="Y75" s="7">
        <v>0</v>
      </c>
      <c r="Z75" s="7">
        <v>6009.482</v>
      </c>
      <c r="AA75" s="7">
        <v>0</v>
      </c>
      <c r="AB75" s="7">
        <v>10122.096</v>
      </c>
      <c r="AC75" s="7">
        <v>0</v>
      </c>
      <c r="AD75" s="7">
        <v>752.28300000000002</v>
      </c>
      <c r="AE75" s="7">
        <v>0</v>
      </c>
      <c r="AF75" s="7">
        <v>23354.804</v>
      </c>
      <c r="AG75" s="7">
        <v>0</v>
      </c>
      <c r="AH75" s="7">
        <v>0</v>
      </c>
      <c r="AI75" s="7">
        <v>66249.786999999997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146.602</v>
      </c>
      <c r="AR75" s="7">
        <v>0</v>
      </c>
      <c r="AS75" s="7">
        <v>0</v>
      </c>
      <c r="AT75" s="7">
        <v>0</v>
      </c>
      <c r="AU75" s="7">
        <v>5.7169999999999996</v>
      </c>
      <c r="AV75" s="7">
        <v>0</v>
      </c>
      <c r="AW75" s="7">
        <v>294.12700000000001</v>
      </c>
      <c r="AX75" s="7">
        <v>0</v>
      </c>
      <c r="AY75" s="7">
        <v>0</v>
      </c>
      <c r="AZ75" s="7">
        <v>0</v>
      </c>
      <c r="BA75" s="7">
        <v>122.092</v>
      </c>
      <c r="BB75" s="7">
        <v>0</v>
      </c>
      <c r="BC75" s="7">
        <v>0</v>
      </c>
      <c r="BD75" s="7">
        <v>42.774999999999999</v>
      </c>
      <c r="BE75" s="7">
        <v>84.5</v>
      </c>
      <c r="BF75" s="7">
        <v>0</v>
      </c>
      <c r="BG75" s="7">
        <v>6.2510000000000003</v>
      </c>
      <c r="BH75" s="7">
        <v>6.2510000000000003</v>
      </c>
      <c r="BI75" s="7">
        <v>0</v>
      </c>
      <c r="BJ75" s="7">
        <v>0</v>
      </c>
      <c r="BK75" s="7">
        <v>48.024999999999999</v>
      </c>
      <c r="BL75" s="7">
        <v>0</v>
      </c>
      <c r="BM75" s="7">
        <v>0</v>
      </c>
      <c r="BN75" s="7">
        <v>0</v>
      </c>
      <c r="BO75" s="7">
        <v>0</v>
      </c>
      <c r="BP75" s="7">
        <v>0</v>
      </c>
      <c r="BQ75" s="7">
        <v>0</v>
      </c>
      <c r="BR75" s="21"/>
    </row>
    <row r="76" spans="1:70" ht="15.75" x14ac:dyDescent="0.25">
      <c r="A76" s="5" t="s">
        <v>136</v>
      </c>
      <c r="B76" s="5" t="s">
        <v>137</v>
      </c>
      <c r="C76" s="7">
        <v>6</v>
      </c>
      <c r="D76" s="7">
        <v>6</v>
      </c>
      <c r="E76" s="7">
        <v>1235.7470000000001</v>
      </c>
      <c r="F76" s="7">
        <v>113.846</v>
      </c>
      <c r="G76" s="7">
        <v>162.28800000000001</v>
      </c>
      <c r="H76" s="7">
        <v>0</v>
      </c>
      <c r="I76" s="7">
        <v>28.451000000000001</v>
      </c>
      <c r="J76" s="7">
        <v>99.090999999999994</v>
      </c>
      <c r="K76" s="7">
        <v>0</v>
      </c>
      <c r="L76" s="7">
        <v>0</v>
      </c>
      <c r="M76" s="7">
        <v>905.31100000000004</v>
      </c>
      <c r="N76" s="7">
        <v>441.93200000000002</v>
      </c>
      <c r="O76" s="7">
        <v>0</v>
      </c>
      <c r="P76" s="7">
        <v>0</v>
      </c>
      <c r="Q76" s="7">
        <v>5.29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14.262</v>
      </c>
      <c r="X76" s="7">
        <v>43.765999999999998</v>
      </c>
      <c r="Y76" s="7">
        <v>0</v>
      </c>
      <c r="Z76" s="7">
        <v>346.31700000000001</v>
      </c>
      <c r="AA76" s="7">
        <v>0</v>
      </c>
      <c r="AB76" s="7">
        <v>122.087</v>
      </c>
      <c r="AC76" s="7">
        <v>0</v>
      </c>
      <c r="AD76" s="7">
        <v>18.350999999999999</v>
      </c>
      <c r="AE76" s="7">
        <v>0</v>
      </c>
      <c r="AF76" s="7">
        <v>1104.2570000000001</v>
      </c>
      <c r="AG76" s="7">
        <v>0</v>
      </c>
      <c r="AH76" s="7">
        <v>0</v>
      </c>
      <c r="AI76" s="7">
        <v>2595.3150000000001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  <c r="AY76" s="7">
        <v>0</v>
      </c>
      <c r="AZ76" s="7">
        <v>0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F76" s="7">
        <v>0</v>
      </c>
      <c r="BG76" s="7">
        <v>0</v>
      </c>
      <c r="BH76" s="7">
        <v>0</v>
      </c>
      <c r="BI76" s="7">
        <v>0</v>
      </c>
      <c r="BJ76" s="7">
        <v>0</v>
      </c>
      <c r="BK76" s="7">
        <v>0</v>
      </c>
      <c r="BL76" s="7">
        <v>0</v>
      </c>
      <c r="BM76" s="7">
        <v>0</v>
      </c>
      <c r="BN76" s="7">
        <v>0</v>
      </c>
      <c r="BO76" s="7">
        <v>0</v>
      </c>
      <c r="BP76" s="7">
        <v>0</v>
      </c>
      <c r="BQ76" s="7">
        <v>0</v>
      </c>
      <c r="BR76" s="21"/>
    </row>
    <row r="77" spans="1:70" ht="15.75" x14ac:dyDescent="0.25">
      <c r="A77" s="5" t="s">
        <v>138</v>
      </c>
      <c r="B77" s="5" t="s">
        <v>139</v>
      </c>
      <c r="C77" s="7">
        <v>6</v>
      </c>
      <c r="D77" s="7">
        <v>6</v>
      </c>
      <c r="E77" s="7">
        <v>19025.297999999999</v>
      </c>
      <c r="F77" s="7">
        <v>3290.25</v>
      </c>
      <c r="G77" s="7">
        <v>3237.0880000000002</v>
      </c>
      <c r="H77" s="7">
        <v>0</v>
      </c>
      <c r="I77" s="7">
        <v>328.14800000000002</v>
      </c>
      <c r="J77" s="7">
        <v>2894.8209999999999</v>
      </c>
      <c r="K77" s="7">
        <v>0</v>
      </c>
      <c r="L77" s="7">
        <v>0</v>
      </c>
      <c r="M77" s="7">
        <v>26282.933000000001</v>
      </c>
      <c r="N77" s="7">
        <v>10198.752</v>
      </c>
      <c r="O77" s="7">
        <v>0</v>
      </c>
      <c r="P77" s="7">
        <v>0</v>
      </c>
      <c r="Q77" s="7">
        <v>7.0990000000000002</v>
      </c>
      <c r="R77" s="7">
        <v>0</v>
      </c>
      <c r="S77" s="7">
        <v>351.26900000000001</v>
      </c>
      <c r="T77" s="7">
        <v>794.10900000000004</v>
      </c>
      <c r="U77" s="7">
        <v>0</v>
      </c>
      <c r="V77" s="7">
        <v>0</v>
      </c>
      <c r="W77" s="7">
        <v>349.67599999999999</v>
      </c>
      <c r="X77" s="7">
        <v>667.81600000000003</v>
      </c>
      <c r="Y77" s="7">
        <v>0</v>
      </c>
      <c r="Z77" s="7">
        <v>1893.45</v>
      </c>
      <c r="AA77" s="7">
        <v>0</v>
      </c>
      <c r="AB77" s="7">
        <v>2582.549</v>
      </c>
      <c r="AC77" s="7">
        <v>0</v>
      </c>
      <c r="AD77" s="7">
        <v>324.40800000000002</v>
      </c>
      <c r="AE77" s="7">
        <v>0</v>
      </c>
      <c r="AF77" s="7">
        <v>5793.7309999999998</v>
      </c>
      <c r="AG77" s="7">
        <v>0</v>
      </c>
      <c r="AH77" s="7">
        <v>0</v>
      </c>
      <c r="AI77" s="7">
        <v>29137.407999999999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47.685000000000002</v>
      </c>
      <c r="AR77" s="7">
        <v>0</v>
      </c>
      <c r="AS77" s="7">
        <v>0</v>
      </c>
      <c r="AT77" s="7">
        <v>0</v>
      </c>
      <c r="AU77" s="7">
        <v>6.98</v>
      </c>
      <c r="AV77" s="7">
        <v>0</v>
      </c>
      <c r="AW77" s="7">
        <v>203.25200000000001</v>
      </c>
      <c r="AX77" s="7">
        <v>0</v>
      </c>
      <c r="AY77" s="7">
        <v>0</v>
      </c>
      <c r="AZ77" s="7">
        <v>0</v>
      </c>
      <c r="BA77" s="7">
        <v>44.085000000000001</v>
      </c>
      <c r="BB77" s="7">
        <v>0</v>
      </c>
      <c r="BC77" s="7">
        <v>0</v>
      </c>
      <c r="BD77" s="7">
        <v>15.43</v>
      </c>
      <c r="BE77" s="7">
        <v>52.381</v>
      </c>
      <c r="BF77" s="7">
        <v>0</v>
      </c>
      <c r="BG77" s="7">
        <v>2.258</v>
      </c>
      <c r="BH77" s="7">
        <v>2.258</v>
      </c>
      <c r="BI77" s="7">
        <v>0</v>
      </c>
      <c r="BJ77" s="7">
        <v>0</v>
      </c>
      <c r="BK77" s="7">
        <v>16.902000000000001</v>
      </c>
      <c r="BL77" s="7">
        <v>0</v>
      </c>
      <c r="BM77" s="7">
        <v>0</v>
      </c>
      <c r="BN77" s="7">
        <v>0</v>
      </c>
      <c r="BO77" s="7">
        <v>0</v>
      </c>
      <c r="BP77" s="7">
        <v>0</v>
      </c>
      <c r="BQ77" s="7">
        <v>0</v>
      </c>
      <c r="BR77" s="21"/>
    </row>
    <row r="78" spans="1:70" ht="15.75" x14ac:dyDescent="0.25">
      <c r="A78" s="5" t="s">
        <v>140</v>
      </c>
      <c r="B78" s="5" t="s">
        <v>141</v>
      </c>
      <c r="C78" s="7">
        <v>6</v>
      </c>
      <c r="D78" s="7">
        <v>6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F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7">
        <v>0</v>
      </c>
      <c r="BN78" s="7">
        <v>0</v>
      </c>
      <c r="BO78" s="7">
        <v>0</v>
      </c>
      <c r="BP78" s="7">
        <v>0</v>
      </c>
      <c r="BQ78" s="7">
        <v>0</v>
      </c>
      <c r="BR78" s="21"/>
    </row>
    <row r="79" spans="1:70" ht="15.75" x14ac:dyDescent="0.25">
      <c r="A79" s="5" t="s">
        <v>142</v>
      </c>
      <c r="B79" s="5" t="s">
        <v>143</v>
      </c>
      <c r="C79" s="7">
        <v>6</v>
      </c>
      <c r="D79" s="7">
        <v>6</v>
      </c>
      <c r="E79" s="7">
        <v>9719.5920000000006</v>
      </c>
      <c r="F79" s="7">
        <v>1248.3420000000001</v>
      </c>
      <c r="G79" s="7">
        <v>1980.173</v>
      </c>
      <c r="H79" s="7">
        <v>6162.9780000000001</v>
      </c>
      <c r="I79" s="7">
        <v>225.517</v>
      </c>
      <c r="J79" s="7">
        <v>1241.2729999999999</v>
      </c>
      <c r="K79" s="7">
        <v>0</v>
      </c>
      <c r="L79" s="7">
        <v>0</v>
      </c>
      <c r="M79" s="7">
        <v>5217.8180000000002</v>
      </c>
      <c r="N79" s="7">
        <v>5344.9560000000001</v>
      </c>
      <c r="O79" s="7">
        <v>0</v>
      </c>
      <c r="P79" s="7">
        <v>0</v>
      </c>
      <c r="Q79" s="7">
        <v>14.534000000000001</v>
      </c>
      <c r="R79" s="7">
        <v>0</v>
      </c>
      <c r="S79" s="7">
        <v>0</v>
      </c>
      <c r="T79" s="7">
        <v>403.53699999999998</v>
      </c>
      <c r="U79" s="7">
        <v>0</v>
      </c>
      <c r="V79" s="7">
        <v>0</v>
      </c>
      <c r="W79" s="7">
        <v>207.15</v>
      </c>
      <c r="X79" s="7">
        <v>429.75799999999998</v>
      </c>
      <c r="Y79" s="7">
        <v>0</v>
      </c>
      <c r="Z79" s="7">
        <v>1677.4939999999999</v>
      </c>
      <c r="AA79" s="7">
        <v>0</v>
      </c>
      <c r="AB79" s="7">
        <v>1564.5250000000001</v>
      </c>
      <c r="AC79" s="7">
        <v>0</v>
      </c>
      <c r="AD79" s="7">
        <v>202.755</v>
      </c>
      <c r="AE79" s="7">
        <v>0</v>
      </c>
      <c r="AF79" s="7">
        <v>4101.0550000000003</v>
      </c>
      <c r="AG79" s="7">
        <v>0</v>
      </c>
      <c r="AH79" s="7">
        <v>0</v>
      </c>
      <c r="AI79" s="7">
        <v>13600.26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24.231999999999999</v>
      </c>
      <c r="AR79" s="7">
        <v>0</v>
      </c>
      <c r="AS79" s="7">
        <v>0</v>
      </c>
      <c r="AT79" s="7">
        <v>0</v>
      </c>
      <c r="AU79" s="7">
        <v>3.5470000000000002</v>
      </c>
      <c r="AV79" s="7">
        <v>0</v>
      </c>
      <c r="AW79" s="7">
        <v>103.285</v>
      </c>
      <c r="AX79" s="7">
        <v>0</v>
      </c>
      <c r="AY79" s="7">
        <v>0</v>
      </c>
      <c r="AZ79" s="7">
        <v>0</v>
      </c>
      <c r="BA79" s="7">
        <v>22.402000000000001</v>
      </c>
      <c r="BB79" s="7">
        <v>0</v>
      </c>
      <c r="BC79" s="7">
        <v>0</v>
      </c>
      <c r="BD79" s="7">
        <v>7.8410000000000002</v>
      </c>
      <c r="BE79" s="7">
        <v>26.617999999999999</v>
      </c>
      <c r="BF79" s="7">
        <v>0</v>
      </c>
      <c r="BG79" s="7">
        <v>1.147</v>
      </c>
      <c r="BH79" s="7">
        <v>1.147</v>
      </c>
      <c r="BI79" s="7">
        <v>0</v>
      </c>
      <c r="BJ79" s="7">
        <v>0</v>
      </c>
      <c r="BK79" s="7">
        <v>8.5890000000000004</v>
      </c>
      <c r="BL79" s="7">
        <v>0</v>
      </c>
      <c r="BM79" s="7">
        <v>0</v>
      </c>
      <c r="BN79" s="7">
        <v>0</v>
      </c>
      <c r="BO79" s="7">
        <v>0</v>
      </c>
      <c r="BP79" s="7">
        <v>0</v>
      </c>
      <c r="BQ79" s="7">
        <v>0</v>
      </c>
      <c r="BR79" s="21"/>
    </row>
    <row r="80" spans="1:70" ht="15.75" x14ac:dyDescent="0.25">
      <c r="A80" s="5" t="s">
        <v>144</v>
      </c>
      <c r="B80" s="5" t="s">
        <v>145</v>
      </c>
      <c r="C80" s="7">
        <v>6</v>
      </c>
      <c r="D80" s="7">
        <v>6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7">
        <v>0</v>
      </c>
      <c r="BA80" s="7">
        <v>0</v>
      </c>
      <c r="BB80" s="7">
        <v>0</v>
      </c>
      <c r="BC80" s="7">
        <v>0</v>
      </c>
      <c r="BD80" s="7">
        <v>0</v>
      </c>
      <c r="BE80" s="7">
        <v>0</v>
      </c>
      <c r="BF80" s="7">
        <v>0</v>
      </c>
      <c r="BG80" s="7">
        <v>0</v>
      </c>
      <c r="BH80" s="7">
        <v>0</v>
      </c>
      <c r="BI80" s="7">
        <v>0</v>
      </c>
      <c r="BJ80" s="7">
        <v>0</v>
      </c>
      <c r="BK80" s="7">
        <v>0</v>
      </c>
      <c r="BL80" s="7">
        <v>0</v>
      </c>
      <c r="BM80" s="7">
        <v>0</v>
      </c>
      <c r="BN80" s="7">
        <v>0</v>
      </c>
      <c r="BO80" s="7">
        <v>0</v>
      </c>
      <c r="BP80" s="7">
        <v>0</v>
      </c>
      <c r="BQ80" s="7">
        <v>0</v>
      </c>
      <c r="BR80" s="21"/>
    </row>
    <row r="81" spans="1:70" ht="15.75" x14ac:dyDescent="0.25">
      <c r="A81" s="5" t="s">
        <v>146</v>
      </c>
      <c r="B81" s="5" t="s">
        <v>147</v>
      </c>
      <c r="C81" s="7">
        <v>6</v>
      </c>
      <c r="D81" s="7">
        <v>6</v>
      </c>
      <c r="E81" s="7">
        <v>10651.197</v>
      </c>
      <c r="F81" s="7">
        <v>1467.7090000000001</v>
      </c>
      <c r="G81" s="7">
        <v>2118.4650000000001</v>
      </c>
      <c r="H81" s="7">
        <v>0</v>
      </c>
      <c r="I81" s="7">
        <v>173.41200000000001</v>
      </c>
      <c r="J81" s="7">
        <v>1676.0519999999999</v>
      </c>
      <c r="K81" s="7">
        <v>0</v>
      </c>
      <c r="L81" s="7">
        <v>0</v>
      </c>
      <c r="M81" s="7">
        <v>14432.725</v>
      </c>
      <c r="N81" s="7">
        <v>4372.0770000000002</v>
      </c>
      <c r="O81" s="7">
        <v>0</v>
      </c>
      <c r="P81" s="7">
        <v>0</v>
      </c>
      <c r="Q81" s="7">
        <v>23.536000000000001</v>
      </c>
      <c r="R81" s="7">
        <v>0</v>
      </c>
      <c r="S81" s="7">
        <v>156.70699999999999</v>
      </c>
      <c r="T81" s="7">
        <v>128.261</v>
      </c>
      <c r="U81" s="7">
        <v>0</v>
      </c>
      <c r="V81" s="7">
        <v>0</v>
      </c>
      <c r="W81" s="7">
        <v>116.83799999999999</v>
      </c>
      <c r="X81" s="7">
        <v>293.09399999999999</v>
      </c>
      <c r="Y81" s="7">
        <v>0</v>
      </c>
      <c r="Z81" s="7">
        <v>1988.694</v>
      </c>
      <c r="AA81" s="7">
        <v>0</v>
      </c>
      <c r="AB81" s="7">
        <v>1032.992</v>
      </c>
      <c r="AC81" s="7">
        <v>0</v>
      </c>
      <c r="AD81" s="7">
        <v>130.06200000000001</v>
      </c>
      <c r="AE81" s="7">
        <v>0</v>
      </c>
      <c r="AF81" s="7">
        <v>7310.0879999999997</v>
      </c>
      <c r="AG81" s="7">
        <v>0</v>
      </c>
      <c r="AH81" s="7">
        <v>0</v>
      </c>
      <c r="AI81" s="7">
        <v>21247.097000000002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7.702</v>
      </c>
      <c r="AR81" s="7">
        <v>0</v>
      </c>
      <c r="AS81" s="7">
        <v>0</v>
      </c>
      <c r="AT81" s="7">
        <v>0</v>
      </c>
      <c r="AU81" s="7">
        <v>1.127</v>
      </c>
      <c r="AV81" s="7">
        <v>0</v>
      </c>
      <c r="AW81" s="7">
        <v>32.828000000000003</v>
      </c>
      <c r="AX81" s="7">
        <v>0</v>
      </c>
      <c r="AY81" s="7">
        <v>0</v>
      </c>
      <c r="AZ81" s="7">
        <v>0</v>
      </c>
      <c r="BA81" s="7">
        <v>7.12</v>
      </c>
      <c r="BB81" s="7">
        <v>0</v>
      </c>
      <c r="BC81" s="7">
        <v>0</v>
      </c>
      <c r="BD81" s="7">
        <v>2.492</v>
      </c>
      <c r="BE81" s="7">
        <v>8.4600000000000009</v>
      </c>
      <c r="BF81" s="7">
        <v>0</v>
      </c>
      <c r="BG81" s="7">
        <v>0.36499999999999999</v>
      </c>
      <c r="BH81" s="7">
        <v>0.36499999999999999</v>
      </c>
      <c r="BI81" s="7">
        <v>0</v>
      </c>
      <c r="BJ81" s="7">
        <v>0</v>
      </c>
      <c r="BK81" s="7">
        <v>2.73</v>
      </c>
      <c r="BL81" s="7">
        <v>0</v>
      </c>
      <c r="BM81" s="7">
        <v>0</v>
      </c>
      <c r="BN81" s="7">
        <v>0</v>
      </c>
      <c r="BO81" s="7">
        <v>0</v>
      </c>
      <c r="BP81" s="7">
        <v>0</v>
      </c>
      <c r="BQ81" s="7">
        <v>0</v>
      </c>
      <c r="BR81" s="21"/>
    </row>
    <row r="82" spans="1:70" ht="15.75" x14ac:dyDescent="0.25">
      <c r="A82" s="5" t="s">
        <v>148</v>
      </c>
      <c r="B82" s="5" t="s">
        <v>149</v>
      </c>
      <c r="C82" s="7">
        <v>6</v>
      </c>
      <c r="D82" s="7">
        <v>6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F82" s="7">
        <v>0</v>
      </c>
      <c r="BG82" s="7">
        <v>0</v>
      </c>
      <c r="BH82" s="7">
        <v>0</v>
      </c>
      <c r="BI82" s="7">
        <v>0</v>
      </c>
      <c r="BJ82" s="7">
        <v>0</v>
      </c>
      <c r="BK82" s="7">
        <v>0</v>
      </c>
      <c r="BL82" s="7">
        <v>0</v>
      </c>
      <c r="BM82" s="7">
        <v>0</v>
      </c>
      <c r="BN82" s="7">
        <v>0</v>
      </c>
      <c r="BO82" s="7">
        <v>0</v>
      </c>
      <c r="BP82" s="7">
        <v>0</v>
      </c>
      <c r="BQ82" s="7">
        <v>0</v>
      </c>
      <c r="BR82" s="21"/>
    </row>
    <row r="83" spans="1:70" ht="15.75" x14ac:dyDescent="0.25">
      <c r="A83" s="5" t="s">
        <v>150</v>
      </c>
      <c r="B83" s="5" t="s">
        <v>151</v>
      </c>
      <c r="C83" s="7">
        <v>6</v>
      </c>
      <c r="D83" s="7">
        <v>6</v>
      </c>
      <c r="E83" s="7">
        <v>0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7">
        <v>0</v>
      </c>
      <c r="BN83" s="7">
        <v>0</v>
      </c>
      <c r="BO83" s="7">
        <v>0</v>
      </c>
      <c r="BP83" s="7">
        <v>0</v>
      </c>
      <c r="BQ83" s="7">
        <v>0</v>
      </c>
      <c r="BR83" s="21"/>
    </row>
    <row r="84" spans="1:70" ht="15.75" x14ac:dyDescent="0.25">
      <c r="A84" s="5" t="s">
        <v>152</v>
      </c>
      <c r="B84" s="5" t="s">
        <v>153</v>
      </c>
      <c r="C84" s="7">
        <v>6</v>
      </c>
      <c r="D84" s="7">
        <v>6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0</v>
      </c>
      <c r="BL84" s="7">
        <v>0</v>
      </c>
      <c r="BM84" s="7">
        <v>0</v>
      </c>
      <c r="BN84" s="7">
        <v>0</v>
      </c>
      <c r="BO84" s="7">
        <v>0</v>
      </c>
      <c r="BP84" s="7">
        <v>0</v>
      </c>
      <c r="BQ84" s="7">
        <v>0</v>
      </c>
      <c r="BR84" s="21"/>
    </row>
    <row r="85" spans="1:70" ht="15.75" x14ac:dyDescent="0.25">
      <c r="A85" s="5" t="s">
        <v>154</v>
      </c>
      <c r="B85" s="5" t="s">
        <v>155</v>
      </c>
      <c r="C85" s="7">
        <v>6</v>
      </c>
      <c r="D85" s="7">
        <v>6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F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7">
        <v>0</v>
      </c>
      <c r="BM85" s="7">
        <v>0</v>
      </c>
      <c r="BN85" s="7">
        <v>0</v>
      </c>
      <c r="BO85" s="7">
        <v>0</v>
      </c>
      <c r="BP85" s="7">
        <v>0</v>
      </c>
      <c r="BQ85" s="7">
        <v>0</v>
      </c>
      <c r="BR85" s="21"/>
    </row>
    <row r="86" spans="1:70" ht="15.75" x14ac:dyDescent="0.25">
      <c r="A86" s="5" t="s">
        <v>156</v>
      </c>
      <c r="B86" s="5" t="s">
        <v>157</v>
      </c>
      <c r="C86" s="7">
        <v>6</v>
      </c>
      <c r="D86" s="7">
        <v>6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0</v>
      </c>
      <c r="AZ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0</v>
      </c>
      <c r="BF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7">
        <v>0</v>
      </c>
      <c r="BM86" s="7">
        <v>0</v>
      </c>
      <c r="BN86" s="7">
        <v>0</v>
      </c>
      <c r="BO86" s="7">
        <v>0</v>
      </c>
      <c r="BP86" s="7">
        <v>0</v>
      </c>
      <c r="BQ86" s="7">
        <v>0</v>
      </c>
      <c r="BR86" s="21"/>
    </row>
    <row r="87" spans="1:70" ht="15.75" x14ac:dyDescent="0.25">
      <c r="A87" s="5" t="s">
        <v>158</v>
      </c>
      <c r="B87" s="5" t="s">
        <v>159</v>
      </c>
      <c r="C87" s="7">
        <v>6</v>
      </c>
      <c r="D87" s="7">
        <v>6</v>
      </c>
      <c r="E87" s="7">
        <v>4.1849999999999996</v>
      </c>
      <c r="F87" s="7">
        <v>1.1200000000000001</v>
      </c>
      <c r="G87" s="7">
        <v>1.0740000000000001</v>
      </c>
      <c r="H87" s="7">
        <v>2379.5709999999999</v>
      </c>
      <c r="I87" s="7">
        <v>0.13500000000000001</v>
      </c>
      <c r="J87" s="7">
        <v>0.58099999999999996</v>
      </c>
      <c r="K87" s="7">
        <v>0</v>
      </c>
      <c r="L87" s="7">
        <v>0</v>
      </c>
      <c r="M87" s="7">
        <v>18.155000000000001</v>
      </c>
      <c r="N87" s="7">
        <v>3.9060000000000001</v>
      </c>
      <c r="O87" s="7">
        <v>0</v>
      </c>
      <c r="P87" s="7">
        <v>0</v>
      </c>
      <c r="Q87" s="7">
        <v>2.3E-2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0.01</v>
      </c>
      <c r="X87" s="7">
        <v>4.1000000000000002E-2</v>
      </c>
      <c r="Y87" s="7">
        <v>0</v>
      </c>
      <c r="Z87" s="7">
        <v>0.115</v>
      </c>
      <c r="AA87" s="7">
        <v>0</v>
      </c>
      <c r="AB87" s="7">
        <v>0.105</v>
      </c>
      <c r="AC87" s="7">
        <v>0</v>
      </c>
      <c r="AD87" s="7">
        <v>1.2999999999999999E-2</v>
      </c>
      <c r="AE87" s="7">
        <v>0</v>
      </c>
      <c r="AF87" s="7">
        <v>0.27500000000000002</v>
      </c>
      <c r="AG87" s="7">
        <v>0</v>
      </c>
      <c r="AH87" s="7">
        <v>0</v>
      </c>
      <c r="AI87" s="7">
        <v>26.638999999999999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F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7">
        <v>0</v>
      </c>
      <c r="BN87" s="7">
        <v>0</v>
      </c>
      <c r="BO87" s="7">
        <v>0</v>
      </c>
      <c r="BP87" s="7">
        <v>0</v>
      </c>
      <c r="BQ87" s="7">
        <v>0</v>
      </c>
      <c r="BR87" s="21"/>
    </row>
    <row r="88" spans="1:70" ht="15.75" x14ac:dyDescent="0.25">
      <c r="A88" s="5" t="s">
        <v>160</v>
      </c>
      <c r="B88" s="5" t="s">
        <v>161</v>
      </c>
      <c r="C88" s="7">
        <v>6</v>
      </c>
      <c r="D88" s="7">
        <v>6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7">
        <v>0</v>
      </c>
      <c r="BC88" s="7">
        <v>0</v>
      </c>
      <c r="BD88" s="7">
        <v>0</v>
      </c>
      <c r="BE88" s="7">
        <v>0</v>
      </c>
      <c r="BF88" s="7">
        <v>0</v>
      </c>
      <c r="BG88" s="7">
        <v>0</v>
      </c>
      <c r="BH88" s="7">
        <v>0</v>
      </c>
      <c r="BI88" s="7">
        <v>0</v>
      </c>
      <c r="BJ88" s="7">
        <v>0</v>
      </c>
      <c r="BK88" s="7">
        <v>0</v>
      </c>
      <c r="BL88" s="7">
        <v>0</v>
      </c>
      <c r="BM88" s="7">
        <v>0</v>
      </c>
      <c r="BN88" s="7">
        <v>0</v>
      </c>
      <c r="BO88" s="7">
        <v>0</v>
      </c>
      <c r="BP88" s="7">
        <v>0</v>
      </c>
      <c r="BQ88" s="7">
        <v>0</v>
      </c>
      <c r="BR88" s="21"/>
    </row>
    <row r="89" spans="1:70" ht="15.75" x14ac:dyDescent="0.25">
      <c r="A89" s="5" t="s">
        <v>162</v>
      </c>
      <c r="B89" s="5" t="s">
        <v>163</v>
      </c>
      <c r="C89" s="7">
        <v>6</v>
      </c>
      <c r="D89" s="7">
        <v>6</v>
      </c>
      <c r="E89" s="7">
        <v>18784.855</v>
      </c>
      <c r="F89" s="7">
        <v>3127.806</v>
      </c>
      <c r="G89" s="7">
        <v>3944.7869999999998</v>
      </c>
      <c r="H89" s="7">
        <v>0</v>
      </c>
      <c r="I89" s="7">
        <v>572.42100000000005</v>
      </c>
      <c r="J89" s="7">
        <v>2700.4589999999998</v>
      </c>
      <c r="K89" s="7">
        <v>0</v>
      </c>
      <c r="L89" s="7">
        <v>0</v>
      </c>
      <c r="M89" s="7">
        <v>18448.679</v>
      </c>
      <c r="N89" s="7">
        <v>10639.813</v>
      </c>
      <c r="O89" s="7">
        <v>0</v>
      </c>
      <c r="P89" s="7">
        <v>0</v>
      </c>
      <c r="Q89" s="7">
        <v>71.167000000000002</v>
      </c>
      <c r="R89" s="7">
        <v>0</v>
      </c>
      <c r="S89" s="7">
        <v>111.181</v>
      </c>
      <c r="T89" s="7">
        <v>919.21799999999996</v>
      </c>
      <c r="U89" s="7">
        <v>0</v>
      </c>
      <c r="V89" s="7">
        <v>0</v>
      </c>
      <c r="W89" s="7">
        <v>390.02300000000002</v>
      </c>
      <c r="X89" s="7">
        <v>727.78399999999999</v>
      </c>
      <c r="Y89" s="7">
        <v>0</v>
      </c>
      <c r="Z89" s="7">
        <v>1940.33</v>
      </c>
      <c r="AA89" s="7">
        <v>0</v>
      </c>
      <c r="AB89" s="7">
        <v>2863.2130000000002</v>
      </c>
      <c r="AC89" s="7">
        <v>0</v>
      </c>
      <c r="AD89" s="7">
        <v>356.54700000000003</v>
      </c>
      <c r="AE89" s="7">
        <v>0</v>
      </c>
      <c r="AF89" s="7">
        <v>4128.9880000000003</v>
      </c>
      <c r="AG89" s="7">
        <v>0</v>
      </c>
      <c r="AH89" s="7">
        <v>0</v>
      </c>
      <c r="AI89" s="7">
        <v>27882.315999999999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55.198</v>
      </c>
      <c r="AR89" s="7">
        <v>0</v>
      </c>
      <c r="AS89" s="7">
        <v>0</v>
      </c>
      <c r="AT89" s="7">
        <v>0</v>
      </c>
      <c r="AU89" s="7">
        <v>8.08</v>
      </c>
      <c r="AV89" s="7">
        <v>0</v>
      </c>
      <c r="AW89" s="7">
        <v>235.274</v>
      </c>
      <c r="AX89" s="7">
        <v>0</v>
      </c>
      <c r="AY89" s="7">
        <v>0</v>
      </c>
      <c r="AZ89" s="7">
        <v>0</v>
      </c>
      <c r="BA89" s="7">
        <v>51.03</v>
      </c>
      <c r="BB89" s="7">
        <v>0</v>
      </c>
      <c r="BC89" s="7">
        <v>0</v>
      </c>
      <c r="BD89" s="7">
        <v>17.861000000000001</v>
      </c>
      <c r="BE89" s="7">
        <v>60.633000000000003</v>
      </c>
      <c r="BF89" s="7">
        <v>0</v>
      </c>
      <c r="BG89" s="7">
        <v>2.613</v>
      </c>
      <c r="BH89" s="7">
        <v>2.613</v>
      </c>
      <c r="BI89" s="7">
        <v>0</v>
      </c>
      <c r="BJ89" s="7">
        <v>0</v>
      </c>
      <c r="BK89" s="7">
        <v>19.565000000000001</v>
      </c>
      <c r="BL89" s="7">
        <v>0</v>
      </c>
      <c r="BM89" s="7">
        <v>0</v>
      </c>
      <c r="BN89" s="7">
        <v>0</v>
      </c>
      <c r="BO89" s="7">
        <v>0</v>
      </c>
      <c r="BP89" s="7">
        <v>0</v>
      </c>
      <c r="BQ89" s="7">
        <v>0</v>
      </c>
      <c r="BR89" s="21"/>
    </row>
    <row r="90" spans="1:70" ht="15.75" x14ac:dyDescent="0.25">
      <c r="A90" s="5" t="s">
        <v>164</v>
      </c>
      <c r="B90" s="5" t="s">
        <v>165</v>
      </c>
      <c r="C90" s="7">
        <v>6</v>
      </c>
      <c r="D90" s="7">
        <v>6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0</v>
      </c>
      <c r="AF90" s="7">
        <v>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  <c r="BD90" s="7">
        <v>0</v>
      </c>
      <c r="BE90" s="7">
        <v>0</v>
      </c>
      <c r="BF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7">
        <v>0</v>
      </c>
      <c r="BM90" s="7">
        <v>0</v>
      </c>
      <c r="BN90" s="7">
        <v>0</v>
      </c>
      <c r="BO90" s="7">
        <v>0</v>
      </c>
      <c r="BP90" s="7">
        <v>0</v>
      </c>
      <c r="BQ90" s="7">
        <v>0</v>
      </c>
      <c r="BR90" s="21"/>
    </row>
    <row r="91" spans="1:70" ht="15.75" x14ac:dyDescent="0.25">
      <c r="A91" s="5" t="s">
        <v>166</v>
      </c>
      <c r="B91" s="5" t="s">
        <v>167</v>
      </c>
      <c r="C91" s="7">
        <v>3</v>
      </c>
      <c r="D91" s="7">
        <v>3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S91" s="7">
        <v>0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0</v>
      </c>
      <c r="AZ91" s="7">
        <v>0</v>
      </c>
      <c r="BA91" s="7">
        <v>0</v>
      </c>
      <c r="BB91" s="7">
        <v>0</v>
      </c>
      <c r="BC91" s="7">
        <v>0</v>
      </c>
      <c r="BD91" s="7">
        <v>0</v>
      </c>
      <c r="BE91" s="7">
        <v>0</v>
      </c>
      <c r="BF91" s="7">
        <v>0</v>
      </c>
      <c r="BG91" s="7">
        <v>0</v>
      </c>
      <c r="BH91" s="7">
        <v>0</v>
      </c>
      <c r="BI91" s="7">
        <v>0</v>
      </c>
      <c r="BJ91" s="7">
        <v>0</v>
      </c>
      <c r="BK91" s="7">
        <v>0</v>
      </c>
      <c r="BL91" s="7">
        <v>0</v>
      </c>
      <c r="BM91" s="7">
        <v>0</v>
      </c>
      <c r="BN91" s="7">
        <v>0</v>
      </c>
      <c r="BO91" s="7">
        <v>0</v>
      </c>
      <c r="BP91" s="7">
        <v>0</v>
      </c>
      <c r="BQ91" s="7">
        <v>0</v>
      </c>
      <c r="BR91" s="21"/>
    </row>
    <row r="92" spans="1:70" ht="15.75" x14ac:dyDescent="0.25">
      <c r="A92" s="5" t="s">
        <v>168</v>
      </c>
      <c r="B92" s="5" t="s">
        <v>169</v>
      </c>
      <c r="C92" s="7">
        <v>3</v>
      </c>
      <c r="D92" s="7">
        <v>3</v>
      </c>
      <c r="E92" s="7">
        <v>58902.836000000003</v>
      </c>
      <c r="F92" s="7">
        <v>8586.9240000000009</v>
      </c>
      <c r="G92" s="7">
        <v>15250.538</v>
      </c>
      <c r="H92" s="7">
        <v>10485.536</v>
      </c>
      <c r="I92" s="7">
        <v>1315.325</v>
      </c>
      <c r="J92" s="7">
        <v>10285.915999999999</v>
      </c>
      <c r="K92" s="7">
        <v>0</v>
      </c>
      <c r="L92" s="7">
        <v>0</v>
      </c>
      <c r="M92" s="7">
        <v>25471.994999999999</v>
      </c>
      <c r="N92" s="7">
        <v>38742.351999999999</v>
      </c>
      <c r="O92" s="7">
        <v>0</v>
      </c>
      <c r="P92" s="7">
        <v>0</v>
      </c>
      <c r="Q92" s="7">
        <v>1.0720000000000001</v>
      </c>
      <c r="R92" s="7">
        <v>0</v>
      </c>
      <c r="S92" s="7">
        <v>143.81100000000001</v>
      </c>
      <c r="T92" s="7">
        <v>3586.3130000000001</v>
      </c>
      <c r="U92" s="7">
        <v>0</v>
      </c>
      <c r="V92" s="7">
        <v>0</v>
      </c>
      <c r="W92" s="7">
        <v>1495.653</v>
      </c>
      <c r="X92" s="7">
        <v>2759.6060000000002</v>
      </c>
      <c r="Y92" s="7">
        <v>0</v>
      </c>
      <c r="Z92" s="7">
        <v>6522.6459999999997</v>
      </c>
      <c r="AA92" s="7">
        <v>0</v>
      </c>
      <c r="AB92" s="7">
        <v>10948.084000000001</v>
      </c>
      <c r="AC92" s="7">
        <v>0</v>
      </c>
      <c r="AD92" s="7">
        <v>1357.5889999999999</v>
      </c>
      <c r="AE92" s="7">
        <v>0</v>
      </c>
      <c r="AF92" s="7">
        <v>14190.974</v>
      </c>
      <c r="AG92" s="7">
        <v>0</v>
      </c>
      <c r="AH92" s="7">
        <v>0</v>
      </c>
      <c r="AI92" s="7">
        <v>62819.995999999999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215.352</v>
      </c>
      <c r="AR92" s="7">
        <v>0</v>
      </c>
      <c r="AS92" s="7">
        <v>0</v>
      </c>
      <c r="AT92" s="7">
        <v>0</v>
      </c>
      <c r="AU92" s="7">
        <v>31.523</v>
      </c>
      <c r="AV92" s="7">
        <v>0</v>
      </c>
      <c r="AW92" s="7">
        <v>917.91600000000005</v>
      </c>
      <c r="AX92" s="7">
        <v>0</v>
      </c>
      <c r="AY92" s="7">
        <v>0</v>
      </c>
      <c r="AZ92" s="7">
        <v>0</v>
      </c>
      <c r="BA92" s="7">
        <v>199.09399999999999</v>
      </c>
      <c r="BB92" s="7">
        <v>0</v>
      </c>
      <c r="BC92" s="7">
        <v>0</v>
      </c>
      <c r="BD92" s="7">
        <v>69.683999999999997</v>
      </c>
      <c r="BE92" s="7">
        <v>236.559</v>
      </c>
      <c r="BF92" s="7">
        <v>0</v>
      </c>
      <c r="BG92" s="7">
        <v>10.196</v>
      </c>
      <c r="BH92" s="7">
        <v>10.196</v>
      </c>
      <c r="BI92" s="7">
        <v>0</v>
      </c>
      <c r="BJ92" s="7">
        <v>0</v>
      </c>
      <c r="BK92" s="7">
        <v>76.334000000000003</v>
      </c>
      <c r="BL92" s="7">
        <v>0</v>
      </c>
      <c r="BM92" s="7">
        <v>0</v>
      </c>
      <c r="BN92" s="7">
        <v>0</v>
      </c>
      <c r="BO92" s="7">
        <v>0</v>
      </c>
      <c r="BP92" s="7">
        <v>0</v>
      </c>
      <c r="BQ92" s="7">
        <v>0</v>
      </c>
      <c r="BR92" s="21"/>
    </row>
    <row r="93" spans="1:70" ht="15.75" x14ac:dyDescent="0.25">
      <c r="A93" s="5" t="s">
        <v>170</v>
      </c>
      <c r="B93" s="5" t="s">
        <v>171</v>
      </c>
      <c r="C93" s="7">
        <v>3</v>
      </c>
      <c r="D93" s="7">
        <v>3</v>
      </c>
      <c r="E93" s="7">
        <v>84747.907999999996</v>
      </c>
      <c r="F93" s="7">
        <v>12515.462</v>
      </c>
      <c r="G93" s="7">
        <v>20517.652999999998</v>
      </c>
      <c r="H93" s="7">
        <v>0</v>
      </c>
      <c r="I93" s="7">
        <v>1974.405</v>
      </c>
      <c r="J93" s="7">
        <v>12957.433999999999</v>
      </c>
      <c r="K93" s="7">
        <v>0</v>
      </c>
      <c r="L93" s="7">
        <v>0</v>
      </c>
      <c r="M93" s="7">
        <v>36702.750999999997</v>
      </c>
      <c r="N93" s="7">
        <v>55241.008999999998</v>
      </c>
      <c r="O93" s="7">
        <v>0</v>
      </c>
      <c r="P93" s="7">
        <v>0</v>
      </c>
      <c r="Q93" s="7">
        <v>1.61</v>
      </c>
      <c r="R93" s="7">
        <v>0</v>
      </c>
      <c r="S93" s="7">
        <v>0</v>
      </c>
      <c r="T93" s="7">
        <v>5383.3329999999996</v>
      </c>
      <c r="U93" s="7">
        <v>0</v>
      </c>
      <c r="V93" s="7">
        <v>0</v>
      </c>
      <c r="W93" s="7">
        <v>2245.0909999999999</v>
      </c>
      <c r="X93" s="7">
        <v>4142.3819999999996</v>
      </c>
      <c r="Y93" s="7">
        <v>0</v>
      </c>
      <c r="Z93" s="7">
        <v>9790.9969999999994</v>
      </c>
      <c r="AA93" s="7">
        <v>0</v>
      </c>
      <c r="AB93" s="7">
        <v>16433.922999999999</v>
      </c>
      <c r="AC93" s="7">
        <v>0</v>
      </c>
      <c r="AD93" s="7">
        <v>2037.847</v>
      </c>
      <c r="AE93" s="7">
        <v>0</v>
      </c>
      <c r="AF93" s="7">
        <v>14573.753000000001</v>
      </c>
      <c r="AG93" s="7">
        <v>0</v>
      </c>
      <c r="AH93" s="7">
        <v>0</v>
      </c>
      <c r="AI93" s="7">
        <v>87101.964999999997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323.26</v>
      </c>
      <c r="AR93" s="7">
        <v>0</v>
      </c>
      <c r="AS93" s="7">
        <v>0</v>
      </c>
      <c r="AT93" s="7">
        <v>0</v>
      </c>
      <c r="AU93" s="7">
        <v>47.319000000000003</v>
      </c>
      <c r="AV93" s="7">
        <v>0</v>
      </c>
      <c r="AW93" s="7">
        <v>1377.8630000000001</v>
      </c>
      <c r="AX93" s="7">
        <v>0</v>
      </c>
      <c r="AY93" s="7">
        <v>0</v>
      </c>
      <c r="AZ93" s="7">
        <v>0</v>
      </c>
      <c r="BA93" s="7">
        <v>298.85599999999999</v>
      </c>
      <c r="BB93" s="7">
        <v>0</v>
      </c>
      <c r="BC93" s="7">
        <v>0</v>
      </c>
      <c r="BD93" s="7">
        <v>104.601</v>
      </c>
      <c r="BE93" s="7">
        <v>355.09399999999999</v>
      </c>
      <c r="BF93" s="7">
        <v>0</v>
      </c>
      <c r="BG93" s="7">
        <v>15.304</v>
      </c>
      <c r="BH93" s="7">
        <v>15.304</v>
      </c>
      <c r="BI93" s="7">
        <v>0</v>
      </c>
      <c r="BJ93" s="7">
        <v>0</v>
      </c>
      <c r="BK93" s="7">
        <v>114.583</v>
      </c>
      <c r="BL93" s="7">
        <v>0</v>
      </c>
      <c r="BM93" s="7">
        <v>0</v>
      </c>
      <c r="BN93" s="7">
        <v>0</v>
      </c>
      <c r="BO93" s="7">
        <v>0</v>
      </c>
      <c r="BP93" s="7">
        <v>0</v>
      </c>
      <c r="BQ93" s="7">
        <v>0</v>
      </c>
      <c r="BR93" s="21"/>
    </row>
    <row r="94" spans="1:70" ht="15.75" x14ac:dyDescent="0.25">
      <c r="A94" s="5" t="s">
        <v>172</v>
      </c>
      <c r="B94" s="5" t="s">
        <v>173</v>
      </c>
      <c r="C94" s="7">
        <v>3</v>
      </c>
      <c r="D94" s="7">
        <v>3</v>
      </c>
      <c r="E94" s="7">
        <v>5487.8220000000001</v>
      </c>
      <c r="F94" s="7">
        <v>1734.6690000000001</v>
      </c>
      <c r="G94" s="7">
        <v>4700.2430000000004</v>
      </c>
      <c r="H94" s="7">
        <v>0</v>
      </c>
      <c r="I94" s="7">
        <v>238.47900000000001</v>
      </c>
      <c r="J94" s="7">
        <v>1773.673</v>
      </c>
      <c r="K94" s="7">
        <v>0</v>
      </c>
      <c r="L94" s="7">
        <v>0</v>
      </c>
      <c r="M94" s="7">
        <v>4393.0259999999998</v>
      </c>
      <c r="N94" s="7">
        <v>2554.761</v>
      </c>
      <c r="O94" s="7">
        <v>0</v>
      </c>
      <c r="P94" s="7">
        <v>0</v>
      </c>
      <c r="Q94" s="7">
        <v>0.19400000000000001</v>
      </c>
      <c r="R94" s="7">
        <v>0</v>
      </c>
      <c r="S94" s="7">
        <v>0</v>
      </c>
      <c r="T94" s="7">
        <v>698.846</v>
      </c>
      <c r="U94" s="7">
        <v>0</v>
      </c>
      <c r="V94" s="7">
        <v>0</v>
      </c>
      <c r="W94" s="7">
        <v>252.98500000000001</v>
      </c>
      <c r="X94" s="7">
        <v>232.97499999999999</v>
      </c>
      <c r="Y94" s="7">
        <v>0</v>
      </c>
      <c r="Z94" s="7">
        <v>1805.018</v>
      </c>
      <c r="AA94" s="7">
        <v>0</v>
      </c>
      <c r="AB94" s="7">
        <v>2854.0059999999999</v>
      </c>
      <c r="AC94" s="7">
        <v>0</v>
      </c>
      <c r="AD94" s="7">
        <v>611.71699999999998</v>
      </c>
      <c r="AE94" s="7">
        <v>0</v>
      </c>
      <c r="AF94" s="7">
        <v>3619.5419999999999</v>
      </c>
      <c r="AG94" s="7">
        <v>440.44</v>
      </c>
      <c r="AH94" s="7">
        <v>0</v>
      </c>
      <c r="AI94" s="7">
        <v>17517.474999999999</v>
      </c>
      <c r="AJ94" s="7">
        <v>789.10299999999995</v>
      </c>
      <c r="AK94" s="7">
        <v>0</v>
      </c>
      <c r="AL94" s="7">
        <v>0</v>
      </c>
      <c r="AM94" s="7">
        <v>0</v>
      </c>
      <c r="AN94" s="7">
        <v>0</v>
      </c>
      <c r="AO94" s="7">
        <v>0</v>
      </c>
      <c r="AP94" s="7">
        <v>0</v>
      </c>
      <c r="AQ94" s="7">
        <v>112.58</v>
      </c>
      <c r="AR94" s="7">
        <v>0</v>
      </c>
      <c r="AS94" s="7">
        <v>134.18</v>
      </c>
      <c r="AT94" s="7">
        <v>0</v>
      </c>
      <c r="AU94" s="7">
        <v>2.548</v>
      </c>
      <c r="AV94" s="7">
        <v>0</v>
      </c>
      <c r="AW94" s="7">
        <v>305.98500000000001</v>
      </c>
      <c r="AX94" s="7">
        <v>0</v>
      </c>
      <c r="AY94" s="7">
        <v>0</v>
      </c>
      <c r="AZ94" s="7">
        <v>0</v>
      </c>
      <c r="BA94" s="7">
        <v>98.316000000000003</v>
      </c>
      <c r="BB94" s="7">
        <v>8.2119999999999997</v>
      </c>
      <c r="BC94" s="7">
        <v>0</v>
      </c>
      <c r="BD94" s="7">
        <v>33.801000000000002</v>
      </c>
      <c r="BE94" s="7">
        <v>108.71899999999999</v>
      </c>
      <c r="BF94" s="7">
        <v>11.781000000000001</v>
      </c>
      <c r="BG94" s="7">
        <v>4.7220000000000004</v>
      </c>
      <c r="BH94" s="7">
        <v>4.7220000000000004</v>
      </c>
      <c r="BI94" s="7">
        <v>6.6280000000000001</v>
      </c>
      <c r="BJ94" s="7">
        <v>0</v>
      </c>
      <c r="BK94" s="7">
        <v>39.834000000000003</v>
      </c>
      <c r="BL94" s="7">
        <v>0</v>
      </c>
      <c r="BM94" s="7">
        <v>0</v>
      </c>
      <c r="BN94" s="7">
        <v>0</v>
      </c>
      <c r="BO94" s="7">
        <v>0</v>
      </c>
      <c r="BP94" s="7">
        <v>0</v>
      </c>
      <c r="BQ94" s="7">
        <v>0</v>
      </c>
      <c r="BR94" s="21"/>
    </row>
    <row r="95" spans="1:70" ht="15.75" x14ac:dyDescent="0.25">
      <c r="A95" s="5" t="s">
        <v>174</v>
      </c>
      <c r="B95" s="5" t="s">
        <v>175</v>
      </c>
      <c r="C95" s="7">
        <v>3</v>
      </c>
      <c r="D95" s="7">
        <v>3</v>
      </c>
      <c r="E95" s="7">
        <v>21343.184000000001</v>
      </c>
      <c r="F95" s="7">
        <v>15319.143</v>
      </c>
      <c r="G95" s="7">
        <v>24571.633999999998</v>
      </c>
      <c r="H95" s="7">
        <v>987.13400000000001</v>
      </c>
      <c r="I95" s="7">
        <v>1624.739</v>
      </c>
      <c r="J95" s="7">
        <v>11527.995999999999</v>
      </c>
      <c r="K95" s="7">
        <v>0</v>
      </c>
      <c r="L95" s="7">
        <v>0</v>
      </c>
      <c r="M95" s="7">
        <v>34685.43</v>
      </c>
      <c r="N95" s="7">
        <v>9873.8430000000008</v>
      </c>
      <c r="O95" s="7">
        <v>0</v>
      </c>
      <c r="P95" s="7">
        <v>0</v>
      </c>
      <c r="Q95" s="7">
        <v>0.17499999999999999</v>
      </c>
      <c r="R95" s="7">
        <v>0</v>
      </c>
      <c r="S95" s="7">
        <v>0</v>
      </c>
      <c r="T95" s="7">
        <v>6255.2560000000003</v>
      </c>
      <c r="U95" s="7">
        <v>0</v>
      </c>
      <c r="V95" s="7">
        <v>0</v>
      </c>
      <c r="W95" s="7">
        <v>1636.0060000000001</v>
      </c>
      <c r="X95" s="7">
        <v>124.94799999999999</v>
      </c>
      <c r="Y95" s="7">
        <v>0</v>
      </c>
      <c r="Z95" s="7">
        <v>9167.8459999999995</v>
      </c>
      <c r="AA95" s="7">
        <v>0</v>
      </c>
      <c r="AB95" s="7">
        <v>23193.573</v>
      </c>
      <c r="AC95" s="7">
        <v>0</v>
      </c>
      <c r="AD95" s="7">
        <v>4701.3869999999997</v>
      </c>
      <c r="AE95" s="7">
        <v>0</v>
      </c>
      <c r="AF95" s="7">
        <v>15920.472</v>
      </c>
      <c r="AG95" s="7">
        <v>2367.9160000000002</v>
      </c>
      <c r="AH95" s="7">
        <v>0</v>
      </c>
      <c r="AI95" s="7">
        <v>118844.159</v>
      </c>
      <c r="AJ95" s="7">
        <v>4032.2730000000001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  <c r="AQ95" s="7">
        <v>1026.4770000000001</v>
      </c>
      <c r="AR95" s="7">
        <v>0</v>
      </c>
      <c r="AS95" s="7">
        <v>702.08900000000006</v>
      </c>
      <c r="AT95" s="7">
        <v>0</v>
      </c>
      <c r="AU95" s="7">
        <v>21.800999999999998</v>
      </c>
      <c r="AV95" s="7">
        <v>0</v>
      </c>
      <c r="AW95" s="7">
        <v>20.459</v>
      </c>
      <c r="AX95" s="7">
        <v>0</v>
      </c>
      <c r="AY95" s="7">
        <v>0</v>
      </c>
      <c r="AZ95" s="7">
        <v>0</v>
      </c>
      <c r="BA95" s="7">
        <v>871.78099999999995</v>
      </c>
      <c r="BB95" s="7">
        <v>41.962000000000003</v>
      </c>
      <c r="BC95" s="7">
        <v>0</v>
      </c>
      <c r="BD95" s="7">
        <v>296.19400000000002</v>
      </c>
      <c r="BE95" s="7">
        <v>927.36800000000005</v>
      </c>
      <c r="BF95" s="7">
        <v>60.198</v>
      </c>
      <c r="BG95" s="7">
        <v>42.381999999999998</v>
      </c>
      <c r="BH95" s="7">
        <v>42.381999999999998</v>
      </c>
      <c r="BI95" s="7">
        <v>33.866</v>
      </c>
      <c r="BJ95" s="7">
        <v>0</v>
      </c>
      <c r="BK95" s="7">
        <v>337.85300000000001</v>
      </c>
      <c r="BL95" s="7">
        <v>0</v>
      </c>
      <c r="BM95" s="7">
        <v>0</v>
      </c>
      <c r="BN95" s="7">
        <v>0</v>
      </c>
      <c r="BO95" s="7">
        <v>0</v>
      </c>
      <c r="BP95" s="7">
        <v>0</v>
      </c>
      <c r="BQ95" s="7">
        <v>0</v>
      </c>
      <c r="BR95" s="21"/>
    </row>
    <row r="96" spans="1:70" ht="15.75" x14ac:dyDescent="0.25">
      <c r="A96" s="5" t="s">
        <v>176</v>
      </c>
      <c r="B96" s="5" t="s">
        <v>177</v>
      </c>
      <c r="C96" s="7">
        <v>3</v>
      </c>
      <c r="D96" s="7">
        <v>3</v>
      </c>
      <c r="E96" s="7">
        <v>67350.782999999996</v>
      </c>
      <c r="F96" s="7">
        <v>30693.947</v>
      </c>
      <c r="G96" s="7">
        <v>4561.116</v>
      </c>
      <c r="H96" s="7">
        <v>7608.51</v>
      </c>
      <c r="I96" s="7">
        <v>2688.0770000000002</v>
      </c>
      <c r="J96" s="7">
        <v>20656.469000000001</v>
      </c>
      <c r="K96" s="7">
        <v>0</v>
      </c>
      <c r="L96" s="7">
        <v>0</v>
      </c>
      <c r="M96" s="7">
        <v>105373.772</v>
      </c>
      <c r="N96" s="7">
        <v>46624.565999999999</v>
      </c>
      <c r="O96" s="7">
        <v>0</v>
      </c>
      <c r="P96" s="7">
        <v>0</v>
      </c>
      <c r="Q96" s="7">
        <v>0.81499999999999995</v>
      </c>
      <c r="R96" s="7">
        <v>0</v>
      </c>
      <c r="S96" s="7">
        <v>0</v>
      </c>
      <c r="T96" s="7">
        <v>12006.014999999999</v>
      </c>
      <c r="U96" s="7">
        <v>0</v>
      </c>
      <c r="V96" s="7">
        <v>0</v>
      </c>
      <c r="W96" s="7">
        <v>2113.942</v>
      </c>
      <c r="X96" s="7">
        <v>738.755</v>
      </c>
      <c r="Y96" s="7">
        <v>0</v>
      </c>
      <c r="Z96" s="7">
        <v>7612.098</v>
      </c>
      <c r="AA96" s="7">
        <v>0</v>
      </c>
      <c r="AB96" s="7">
        <v>44803.764000000003</v>
      </c>
      <c r="AC96" s="7">
        <v>0</v>
      </c>
      <c r="AD96" s="7">
        <v>5458.2060000000001</v>
      </c>
      <c r="AE96" s="7">
        <v>0</v>
      </c>
      <c r="AF96" s="7">
        <v>17942.61</v>
      </c>
      <c r="AG96" s="7">
        <v>8833.5110000000004</v>
      </c>
      <c r="AH96" s="7">
        <v>0</v>
      </c>
      <c r="AI96" s="7">
        <v>221501.04800000001</v>
      </c>
      <c r="AJ96" s="7">
        <v>14978.928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1748.8710000000001</v>
      </c>
      <c r="AR96" s="7">
        <v>0</v>
      </c>
      <c r="AS96" s="7">
        <v>2613.3159999999998</v>
      </c>
      <c r="AT96" s="7">
        <v>0</v>
      </c>
      <c r="AU96" s="7">
        <v>50.944000000000003</v>
      </c>
      <c r="AV96" s="7">
        <v>0</v>
      </c>
      <c r="AW96" s="7">
        <v>212.38499999999999</v>
      </c>
      <c r="AX96" s="7">
        <v>0</v>
      </c>
      <c r="AY96" s="7">
        <v>0</v>
      </c>
      <c r="AZ96" s="7">
        <v>0</v>
      </c>
      <c r="BA96" s="7">
        <v>1315.5260000000001</v>
      </c>
      <c r="BB96" s="7">
        <v>155.87799999999999</v>
      </c>
      <c r="BC96" s="7">
        <v>0</v>
      </c>
      <c r="BD96" s="7">
        <v>476.87900000000002</v>
      </c>
      <c r="BE96" s="7">
        <v>1128.027</v>
      </c>
      <c r="BF96" s="7">
        <v>223.62</v>
      </c>
      <c r="BG96" s="7">
        <v>71.534999999999997</v>
      </c>
      <c r="BH96" s="7">
        <v>71.534999999999997</v>
      </c>
      <c r="BI96" s="7">
        <v>125.803</v>
      </c>
      <c r="BJ96" s="7">
        <v>0</v>
      </c>
      <c r="BK96" s="7">
        <v>453.334</v>
      </c>
      <c r="BL96" s="7">
        <v>0</v>
      </c>
      <c r="BM96" s="7">
        <v>0</v>
      </c>
      <c r="BN96" s="7">
        <v>0</v>
      </c>
      <c r="BO96" s="7">
        <v>0</v>
      </c>
      <c r="BP96" s="7">
        <v>0</v>
      </c>
      <c r="BQ96" s="7">
        <v>0</v>
      </c>
      <c r="BR96" s="21"/>
    </row>
    <row r="97" spans="1:70" ht="15.75" x14ac:dyDescent="0.25">
      <c r="A97" s="5" t="s">
        <v>178</v>
      </c>
      <c r="B97" s="5" t="s">
        <v>179</v>
      </c>
      <c r="C97" s="7">
        <v>6</v>
      </c>
      <c r="D97" s="7">
        <v>6</v>
      </c>
      <c r="E97" s="7">
        <v>0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F97" s="7">
        <v>0</v>
      </c>
      <c r="BG97" s="7">
        <v>0</v>
      </c>
      <c r="BH97" s="7">
        <v>0</v>
      </c>
      <c r="BI97" s="7">
        <v>0</v>
      </c>
      <c r="BJ97" s="7">
        <v>0</v>
      </c>
      <c r="BK97" s="7">
        <v>0</v>
      </c>
      <c r="BL97" s="7">
        <v>0</v>
      </c>
      <c r="BM97" s="7">
        <v>0</v>
      </c>
      <c r="BN97" s="7">
        <v>0</v>
      </c>
      <c r="BO97" s="7">
        <v>0</v>
      </c>
      <c r="BP97" s="7">
        <v>0</v>
      </c>
      <c r="BQ97" s="7">
        <v>0</v>
      </c>
      <c r="BR97" s="21"/>
    </row>
    <row r="98" spans="1:70" ht="15.75" x14ac:dyDescent="0.25">
      <c r="A98" s="5" t="s">
        <v>180</v>
      </c>
      <c r="B98" s="5" t="s">
        <v>181</v>
      </c>
      <c r="C98" s="7">
        <v>6</v>
      </c>
      <c r="D98" s="7">
        <v>6</v>
      </c>
      <c r="E98" s="7">
        <v>0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F98" s="7">
        <v>0</v>
      </c>
      <c r="BG98" s="7">
        <v>0</v>
      </c>
      <c r="BH98" s="7">
        <v>0</v>
      </c>
      <c r="BI98" s="7">
        <v>0</v>
      </c>
      <c r="BJ98" s="7">
        <v>0</v>
      </c>
      <c r="BK98" s="7">
        <v>0</v>
      </c>
      <c r="BL98" s="7">
        <v>0</v>
      </c>
      <c r="BM98" s="7">
        <v>0</v>
      </c>
      <c r="BN98" s="7">
        <v>0</v>
      </c>
      <c r="BO98" s="7">
        <v>0</v>
      </c>
      <c r="BP98" s="7">
        <v>0</v>
      </c>
      <c r="BQ98" s="7">
        <v>0</v>
      </c>
      <c r="BR98" s="21"/>
    </row>
    <row r="99" spans="1:70" ht="15.75" x14ac:dyDescent="0.25">
      <c r="A99" s="5" t="s">
        <v>182</v>
      </c>
      <c r="B99" s="5" t="s">
        <v>183</v>
      </c>
      <c r="C99" s="7">
        <v>6</v>
      </c>
      <c r="D99" s="7">
        <v>6</v>
      </c>
      <c r="E99" s="7">
        <v>0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0</v>
      </c>
      <c r="BH99" s="7">
        <v>0</v>
      </c>
      <c r="BI99" s="7">
        <v>0</v>
      </c>
      <c r="BJ99" s="7">
        <v>0</v>
      </c>
      <c r="BK99" s="7">
        <v>0</v>
      </c>
      <c r="BL99" s="7">
        <v>0</v>
      </c>
      <c r="BM99" s="7">
        <v>0</v>
      </c>
      <c r="BN99" s="7">
        <v>0</v>
      </c>
      <c r="BO99" s="7">
        <v>0</v>
      </c>
      <c r="BP99" s="7">
        <v>0</v>
      </c>
      <c r="BQ99" s="7">
        <v>0</v>
      </c>
      <c r="BR99" s="21"/>
    </row>
    <row r="100" spans="1:70" ht="15.75" x14ac:dyDescent="0.25">
      <c r="A100" s="5" t="s">
        <v>184</v>
      </c>
      <c r="B100" s="5" t="s">
        <v>185</v>
      </c>
      <c r="C100" s="7">
        <v>6</v>
      </c>
      <c r="D100" s="7">
        <v>6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7">
        <v>0</v>
      </c>
      <c r="BH100" s="7">
        <v>0</v>
      </c>
      <c r="BI100" s="7">
        <v>0</v>
      </c>
      <c r="BJ100" s="7">
        <v>0</v>
      </c>
      <c r="BK100" s="7">
        <v>0</v>
      </c>
      <c r="BL100" s="7">
        <v>0</v>
      </c>
      <c r="BM100" s="7">
        <v>0</v>
      </c>
      <c r="BN100" s="7">
        <v>0</v>
      </c>
      <c r="BO100" s="7">
        <v>0</v>
      </c>
      <c r="BP100" s="7">
        <v>0</v>
      </c>
      <c r="BQ100" s="7">
        <v>0</v>
      </c>
      <c r="BR100" s="21"/>
    </row>
    <row r="101" spans="1:70" ht="15.75" x14ac:dyDescent="0.25">
      <c r="A101" s="5" t="s">
        <v>186</v>
      </c>
      <c r="B101" s="5" t="s">
        <v>187</v>
      </c>
      <c r="C101" s="7">
        <v>6</v>
      </c>
      <c r="D101" s="7">
        <v>6</v>
      </c>
      <c r="E101" s="7">
        <v>0</v>
      </c>
      <c r="F101" s="7">
        <v>0</v>
      </c>
      <c r="G101" s="7">
        <v>0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F101" s="7">
        <v>0</v>
      </c>
      <c r="BG101" s="7">
        <v>0</v>
      </c>
      <c r="BH101" s="7">
        <v>0</v>
      </c>
      <c r="BI101" s="7">
        <v>0</v>
      </c>
      <c r="BJ101" s="7">
        <v>0</v>
      </c>
      <c r="BK101" s="7">
        <v>0</v>
      </c>
      <c r="BL101" s="7">
        <v>0</v>
      </c>
      <c r="BM101" s="7">
        <v>0</v>
      </c>
      <c r="BN101" s="7">
        <v>0</v>
      </c>
      <c r="BO101" s="7">
        <v>0</v>
      </c>
      <c r="BP101" s="7">
        <v>0</v>
      </c>
      <c r="BQ101" s="7">
        <v>0</v>
      </c>
      <c r="BR101" s="21"/>
    </row>
    <row r="102" spans="1:70" ht="15.75" x14ac:dyDescent="0.25">
      <c r="A102" s="5" t="s">
        <v>188</v>
      </c>
      <c r="B102" s="5" t="s">
        <v>189</v>
      </c>
      <c r="C102" s="7">
        <v>6</v>
      </c>
      <c r="D102" s="7">
        <v>6</v>
      </c>
      <c r="E102" s="7">
        <v>5859.7860000000001</v>
      </c>
      <c r="F102" s="7">
        <v>539.84400000000005</v>
      </c>
      <c r="G102" s="7">
        <v>769.55100000000004</v>
      </c>
      <c r="H102" s="7">
        <v>0</v>
      </c>
      <c r="I102" s="7">
        <v>134.90899999999999</v>
      </c>
      <c r="J102" s="7">
        <v>469.87900000000002</v>
      </c>
      <c r="K102" s="7">
        <v>0</v>
      </c>
      <c r="L102" s="7">
        <v>0</v>
      </c>
      <c r="M102" s="7">
        <v>4292.8919999999998</v>
      </c>
      <c r="N102" s="7">
        <v>2095.598</v>
      </c>
      <c r="O102" s="7">
        <v>0</v>
      </c>
      <c r="P102" s="7">
        <v>0</v>
      </c>
      <c r="Q102" s="7">
        <v>25.085000000000001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67.628</v>
      </c>
      <c r="X102" s="7">
        <v>207.536</v>
      </c>
      <c r="Y102" s="7">
        <v>0</v>
      </c>
      <c r="Z102" s="7">
        <v>1642.1990000000001</v>
      </c>
      <c r="AA102" s="7">
        <v>0</v>
      </c>
      <c r="AB102" s="7">
        <v>578.923</v>
      </c>
      <c r="AC102" s="7">
        <v>0</v>
      </c>
      <c r="AD102" s="7">
        <v>87.016999999999996</v>
      </c>
      <c r="AE102" s="7">
        <v>0</v>
      </c>
      <c r="AF102" s="7">
        <v>5236.2730000000001</v>
      </c>
      <c r="AG102" s="7">
        <v>0</v>
      </c>
      <c r="AH102" s="7">
        <v>0</v>
      </c>
      <c r="AI102" s="7">
        <v>12306.717000000001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F102" s="7">
        <v>0</v>
      </c>
      <c r="BG102" s="7">
        <v>0</v>
      </c>
      <c r="BH102" s="7">
        <v>0</v>
      </c>
      <c r="BI102" s="7">
        <v>0</v>
      </c>
      <c r="BJ102" s="7">
        <v>0</v>
      </c>
      <c r="BK102" s="7">
        <v>0</v>
      </c>
      <c r="BL102" s="7">
        <v>0</v>
      </c>
      <c r="BM102" s="7">
        <v>0</v>
      </c>
      <c r="BN102" s="7">
        <v>0</v>
      </c>
      <c r="BO102" s="7">
        <v>0</v>
      </c>
      <c r="BP102" s="7">
        <v>0</v>
      </c>
      <c r="BQ102" s="7">
        <v>0</v>
      </c>
      <c r="BR102" s="21"/>
    </row>
    <row r="103" spans="1:70" ht="15.75" x14ac:dyDescent="0.25">
      <c r="A103" s="5" t="s">
        <v>190</v>
      </c>
      <c r="B103" s="5" t="s">
        <v>191</v>
      </c>
      <c r="C103" s="7">
        <v>6</v>
      </c>
      <c r="D103" s="7">
        <v>6</v>
      </c>
      <c r="E103" s="7">
        <v>0</v>
      </c>
      <c r="F103" s="7">
        <v>0</v>
      </c>
      <c r="G103" s="7">
        <v>0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0</v>
      </c>
      <c r="AZ103" s="7">
        <v>0</v>
      </c>
      <c r="BA103" s="7">
        <v>0</v>
      </c>
      <c r="BB103" s="7">
        <v>0</v>
      </c>
      <c r="BC103" s="7">
        <v>0</v>
      </c>
      <c r="BD103" s="7">
        <v>0</v>
      </c>
      <c r="BE103" s="7">
        <v>0</v>
      </c>
      <c r="BF103" s="7">
        <v>0</v>
      </c>
      <c r="BG103" s="7">
        <v>0</v>
      </c>
      <c r="BH103" s="7">
        <v>0</v>
      </c>
      <c r="BI103" s="7">
        <v>0</v>
      </c>
      <c r="BJ103" s="7">
        <v>0</v>
      </c>
      <c r="BK103" s="7">
        <v>0</v>
      </c>
      <c r="BL103" s="7">
        <v>0</v>
      </c>
      <c r="BM103" s="7">
        <v>0</v>
      </c>
      <c r="BN103" s="7">
        <v>0</v>
      </c>
      <c r="BO103" s="7">
        <v>0</v>
      </c>
      <c r="BP103" s="7">
        <v>0</v>
      </c>
      <c r="BQ103" s="7">
        <v>0</v>
      </c>
      <c r="BR103" s="21"/>
    </row>
    <row r="104" spans="1:70" ht="15.75" x14ac:dyDescent="0.25">
      <c r="A104" s="5" t="s">
        <v>192</v>
      </c>
      <c r="B104" s="5" t="s">
        <v>193</v>
      </c>
      <c r="C104" s="7">
        <v>6</v>
      </c>
      <c r="D104" s="7">
        <v>6</v>
      </c>
      <c r="E104" s="7">
        <v>0</v>
      </c>
      <c r="F104" s="7">
        <v>0</v>
      </c>
      <c r="G104" s="7">
        <v>0</v>
      </c>
      <c r="H104" s="7">
        <v>1896.9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0</v>
      </c>
      <c r="AF104" s="7">
        <v>0</v>
      </c>
      <c r="AG104" s="7">
        <v>0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0</v>
      </c>
      <c r="AP104" s="7">
        <v>0</v>
      </c>
      <c r="AQ104" s="7">
        <v>0</v>
      </c>
      <c r="AR104" s="7">
        <v>0</v>
      </c>
      <c r="AS104" s="7">
        <v>0</v>
      </c>
      <c r="AT104" s="7">
        <v>0</v>
      </c>
      <c r="AU104" s="7">
        <v>0</v>
      </c>
      <c r="AV104" s="7">
        <v>0</v>
      </c>
      <c r="AW104" s="7">
        <v>0</v>
      </c>
      <c r="AX104" s="7">
        <v>0</v>
      </c>
      <c r="AY104" s="7">
        <v>0</v>
      </c>
      <c r="AZ104" s="7">
        <v>0</v>
      </c>
      <c r="BA104" s="7">
        <v>0</v>
      </c>
      <c r="BB104" s="7">
        <v>0</v>
      </c>
      <c r="BC104" s="7">
        <v>0</v>
      </c>
      <c r="BD104" s="7">
        <v>0</v>
      </c>
      <c r="BE104" s="7">
        <v>0</v>
      </c>
      <c r="BF104" s="7">
        <v>0</v>
      </c>
      <c r="BG104" s="7">
        <v>0</v>
      </c>
      <c r="BH104" s="7">
        <v>0</v>
      </c>
      <c r="BI104" s="7">
        <v>0</v>
      </c>
      <c r="BJ104" s="7">
        <v>0</v>
      </c>
      <c r="BK104" s="7">
        <v>0</v>
      </c>
      <c r="BL104" s="7">
        <v>0</v>
      </c>
      <c r="BM104" s="7">
        <v>0</v>
      </c>
      <c r="BN104" s="7">
        <v>0</v>
      </c>
      <c r="BO104" s="7">
        <v>0</v>
      </c>
      <c r="BP104" s="7">
        <v>0</v>
      </c>
      <c r="BQ104" s="7">
        <v>0</v>
      </c>
      <c r="BR104" s="21"/>
    </row>
    <row r="105" spans="1:70" ht="15.75" x14ac:dyDescent="0.25">
      <c r="A105" s="5" t="s">
        <v>194</v>
      </c>
      <c r="B105" s="5" t="s">
        <v>195</v>
      </c>
      <c r="C105" s="7">
        <v>4</v>
      </c>
      <c r="D105" s="7">
        <v>4</v>
      </c>
      <c r="E105" s="7">
        <v>305591.98200000002</v>
      </c>
      <c r="F105" s="7">
        <v>64826.122000000003</v>
      </c>
      <c r="G105" s="7">
        <v>0</v>
      </c>
      <c r="H105" s="7">
        <v>0</v>
      </c>
      <c r="I105" s="7">
        <v>3266.0520000000001</v>
      </c>
      <c r="J105" s="7">
        <v>0</v>
      </c>
      <c r="K105" s="7">
        <v>0</v>
      </c>
      <c r="L105" s="7">
        <v>0</v>
      </c>
      <c r="M105" s="7">
        <v>769541.33700000006</v>
      </c>
      <c r="N105" s="7">
        <v>76997.001999999993</v>
      </c>
      <c r="O105" s="7">
        <v>0</v>
      </c>
      <c r="P105" s="7">
        <v>23.268999999999998</v>
      </c>
      <c r="Q105" s="7">
        <v>10.648</v>
      </c>
      <c r="R105" s="7">
        <v>48.749000000000002</v>
      </c>
      <c r="S105" s="7">
        <v>0</v>
      </c>
      <c r="T105" s="7">
        <v>18804.05</v>
      </c>
      <c r="U105" s="7">
        <v>0</v>
      </c>
      <c r="V105" s="7">
        <v>0</v>
      </c>
      <c r="W105" s="7">
        <v>0</v>
      </c>
      <c r="X105" s="7">
        <v>5394.942</v>
      </c>
      <c r="Y105" s="7">
        <v>0</v>
      </c>
      <c r="Z105" s="7">
        <v>117531.98</v>
      </c>
      <c r="AA105" s="7">
        <v>0</v>
      </c>
      <c r="AB105" s="7">
        <v>0</v>
      </c>
      <c r="AC105" s="7">
        <v>1961.348</v>
      </c>
      <c r="AD105" s="7">
        <v>11351.57</v>
      </c>
      <c r="AE105" s="7">
        <v>0</v>
      </c>
      <c r="AF105" s="7">
        <v>296148.69099999999</v>
      </c>
      <c r="AG105" s="7">
        <v>153089.87599999999</v>
      </c>
      <c r="AH105" s="7">
        <v>0</v>
      </c>
      <c r="AI105" s="7">
        <v>1265503.916</v>
      </c>
      <c r="AJ105" s="7">
        <v>274279.29200000002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2088.8040000000001</v>
      </c>
      <c r="AR105" s="7">
        <v>0</v>
      </c>
      <c r="AS105" s="7">
        <v>46638.616000000002</v>
      </c>
      <c r="AT105" s="7">
        <v>0</v>
      </c>
      <c r="AU105" s="7">
        <v>181.29400000000001</v>
      </c>
      <c r="AV105" s="7">
        <v>0</v>
      </c>
      <c r="AW105" s="7">
        <v>1308.827</v>
      </c>
      <c r="AX105" s="7">
        <v>0</v>
      </c>
      <c r="AY105" s="7">
        <v>0</v>
      </c>
      <c r="AZ105" s="7">
        <v>0</v>
      </c>
      <c r="BA105" s="7">
        <v>470.76600000000002</v>
      </c>
      <c r="BB105" s="7">
        <v>2854.3449999999998</v>
      </c>
      <c r="BC105" s="7">
        <v>0</v>
      </c>
      <c r="BD105" s="7">
        <v>676.51499999999999</v>
      </c>
      <c r="BE105" s="7">
        <v>0</v>
      </c>
      <c r="BF105" s="7">
        <v>4094.8</v>
      </c>
      <c r="BG105" s="7">
        <v>95.438000000000002</v>
      </c>
      <c r="BH105" s="7">
        <v>95.438000000000002</v>
      </c>
      <c r="BI105" s="7">
        <v>2303.627</v>
      </c>
      <c r="BJ105" s="7">
        <v>0</v>
      </c>
      <c r="BK105" s="7">
        <v>0</v>
      </c>
      <c r="BL105" s="7">
        <v>0</v>
      </c>
      <c r="BM105" s="7">
        <v>0</v>
      </c>
      <c r="BN105" s="7">
        <v>0</v>
      </c>
      <c r="BO105" s="7">
        <v>0</v>
      </c>
      <c r="BP105" s="7">
        <v>0</v>
      </c>
      <c r="BQ105" s="7">
        <v>0</v>
      </c>
      <c r="BR105" s="21"/>
    </row>
    <row r="106" spans="1:70" ht="15.75" x14ac:dyDescent="0.25">
      <c r="A106" s="5" t="s">
        <v>196</v>
      </c>
      <c r="B106" s="5" t="s">
        <v>197</v>
      </c>
      <c r="C106" s="7">
        <v>4</v>
      </c>
      <c r="D106" s="7">
        <v>4</v>
      </c>
      <c r="E106" s="7">
        <v>154140.77900000001</v>
      </c>
      <c r="F106" s="7">
        <v>31690.025000000001</v>
      </c>
      <c r="G106" s="7">
        <v>0</v>
      </c>
      <c r="H106" s="7">
        <v>462.077</v>
      </c>
      <c r="I106" s="7">
        <v>1660.33</v>
      </c>
      <c r="J106" s="7">
        <v>0</v>
      </c>
      <c r="K106" s="7">
        <v>0</v>
      </c>
      <c r="L106" s="7">
        <v>0</v>
      </c>
      <c r="M106" s="7">
        <v>387397.45899999997</v>
      </c>
      <c r="N106" s="7">
        <v>39142.190999999999</v>
      </c>
      <c r="O106" s="7">
        <v>0</v>
      </c>
      <c r="P106" s="7">
        <v>5.6000000000000001E-2</v>
      </c>
      <c r="Q106" s="7">
        <v>5.4130000000000003</v>
      </c>
      <c r="R106" s="7">
        <v>0.11600000000000001</v>
      </c>
      <c r="S106" s="7">
        <v>0</v>
      </c>
      <c r="T106" s="7">
        <v>9559.2260000000006</v>
      </c>
      <c r="U106" s="7">
        <v>0</v>
      </c>
      <c r="V106" s="7">
        <v>0</v>
      </c>
      <c r="W106" s="7">
        <v>0</v>
      </c>
      <c r="X106" s="7">
        <v>2742.5729999999999</v>
      </c>
      <c r="Y106" s="7">
        <v>0</v>
      </c>
      <c r="Z106" s="7">
        <v>59748.548999999999</v>
      </c>
      <c r="AA106" s="7">
        <v>0</v>
      </c>
      <c r="AB106" s="7">
        <v>0</v>
      </c>
      <c r="AC106" s="7">
        <v>4.6870000000000003</v>
      </c>
      <c r="AD106" s="7">
        <v>5770.683</v>
      </c>
      <c r="AE106" s="7">
        <v>0</v>
      </c>
      <c r="AF106" s="7">
        <v>149599.04500000001</v>
      </c>
      <c r="AG106" s="7">
        <v>77824.759000000005</v>
      </c>
      <c r="AH106" s="7">
        <v>0</v>
      </c>
      <c r="AI106" s="7">
        <v>639783.07999999996</v>
      </c>
      <c r="AJ106" s="7">
        <v>139432.60200000001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  <c r="AQ106" s="7">
        <v>1061.864</v>
      </c>
      <c r="AR106" s="7">
        <v>0</v>
      </c>
      <c r="AS106" s="7">
        <v>23709.204000000002</v>
      </c>
      <c r="AT106" s="7">
        <v>0</v>
      </c>
      <c r="AU106" s="7">
        <v>92.162000000000006</v>
      </c>
      <c r="AV106" s="7">
        <v>0</v>
      </c>
      <c r="AW106" s="7">
        <v>665.35400000000004</v>
      </c>
      <c r="AX106" s="7">
        <v>0</v>
      </c>
      <c r="AY106" s="7">
        <v>0</v>
      </c>
      <c r="AZ106" s="7">
        <v>0</v>
      </c>
      <c r="BA106" s="7">
        <v>239.31899999999999</v>
      </c>
      <c r="BB106" s="7">
        <v>1451.0350000000001</v>
      </c>
      <c r="BC106" s="7">
        <v>0</v>
      </c>
      <c r="BD106" s="7">
        <v>343.91300000000001</v>
      </c>
      <c r="BE106" s="7">
        <v>0</v>
      </c>
      <c r="BF106" s="7">
        <v>2081.6320000000001</v>
      </c>
      <c r="BG106" s="7">
        <v>48.517000000000003</v>
      </c>
      <c r="BH106" s="7">
        <v>48.517000000000003</v>
      </c>
      <c r="BI106" s="7">
        <v>1171.0719999999999</v>
      </c>
      <c r="BJ106" s="7">
        <v>0</v>
      </c>
      <c r="BK106" s="7">
        <v>0</v>
      </c>
      <c r="BL106" s="7">
        <v>0</v>
      </c>
      <c r="BM106" s="7">
        <v>0</v>
      </c>
      <c r="BN106" s="7">
        <v>0</v>
      </c>
      <c r="BO106" s="7">
        <v>0</v>
      </c>
      <c r="BP106" s="7">
        <v>0</v>
      </c>
      <c r="BQ106" s="7">
        <v>0</v>
      </c>
      <c r="BR106" s="21"/>
    </row>
    <row r="107" spans="1:70" ht="15.75" x14ac:dyDescent="0.25">
      <c r="A107" s="5" t="s">
        <v>198</v>
      </c>
      <c r="B107" s="5" t="s">
        <v>199</v>
      </c>
      <c r="C107" s="7">
        <v>4</v>
      </c>
      <c r="D107" s="7">
        <v>4</v>
      </c>
      <c r="E107" s="7">
        <v>66797.972999999998</v>
      </c>
      <c r="F107" s="7">
        <v>13788.306</v>
      </c>
      <c r="G107" s="7">
        <v>144.53899999999999</v>
      </c>
      <c r="H107" s="7">
        <v>3.6480000000000001</v>
      </c>
      <c r="I107" s="7">
        <v>788.70299999999997</v>
      </c>
      <c r="J107" s="7">
        <v>91.28</v>
      </c>
      <c r="K107" s="7">
        <v>0</v>
      </c>
      <c r="L107" s="7">
        <v>0</v>
      </c>
      <c r="M107" s="7">
        <v>162341.01999999999</v>
      </c>
      <c r="N107" s="7">
        <v>19467.447</v>
      </c>
      <c r="O107" s="7">
        <v>0</v>
      </c>
      <c r="P107" s="7">
        <v>46.405000000000001</v>
      </c>
      <c r="Q107" s="7">
        <v>2.13</v>
      </c>
      <c r="R107" s="7">
        <v>97.218000000000004</v>
      </c>
      <c r="S107" s="7">
        <v>0</v>
      </c>
      <c r="T107" s="7">
        <v>3778.875</v>
      </c>
      <c r="U107" s="7">
        <v>0</v>
      </c>
      <c r="V107" s="7">
        <v>0</v>
      </c>
      <c r="W107" s="7">
        <v>15.816000000000001</v>
      </c>
      <c r="X107" s="7">
        <v>1102.473</v>
      </c>
      <c r="Y107" s="7">
        <v>0</v>
      </c>
      <c r="Z107" s="7">
        <v>23451.25</v>
      </c>
      <c r="AA107" s="7">
        <v>0</v>
      </c>
      <c r="AB107" s="7">
        <v>115.771</v>
      </c>
      <c r="AC107" s="7">
        <v>3911.4459999999999</v>
      </c>
      <c r="AD107" s="7">
        <v>2272.6819999999998</v>
      </c>
      <c r="AE107" s="7">
        <v>0</v>
      </c>
      <c r="AF107" s="7">
        <v>62394.358</v>
      </c>
      <c r="AG107" s="7">
        <v>30459.313999999998</v>
      </c>
      <c r="AH107" s="7">
        <v>0</v>
      </c>
      <c r="AI107" s="7">
        <v>262410.59399999998</v>
      </c>
      <c r="AJ107" s="7">
        <v>54576.652000000002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417.83199999999999</v>
      </c>
      <c r="AR107" s="7">
        <v>0</v>
      </c>
      <c r="AS107" s="7">
        <v>9278.4699999999993</v>
      </c>
      <c r="AT107" s="7">
        <v>0</v>
      </c>
      <c r="AU107" s="7">
        <v>36.401000000000003</v>
      </c>
      <c r="AV107" s="7">
        <v>0</v>
      </c>
      <c r="AW107" s="7">
        <v>270.08999999999997</v>
      </c>
      <c r="AX107" s="7">
        <v>0</v>
      </c>
      <c r="AY107" s="7">
        <v>0</v>
      </c>
      <c r="AZ107" s="7">
        <v>0</v>
      </c>
      <c r="BA107" s="7">
        <v>95.760999999999996</v>
      </c>
      <c r="BB107" s="7">
        <v>567.85500000000002</v>
      </c>
      <c r="BC107" s="7">
        <v>0</v>
      </c>
      <c r="BD107" s="7">
        <v>135.32599999999999</v>
      </c>
      <c r="BE107" s="7">
        <v>2.5019999999999998</v>
      </c>
      <c r="BF107" s="7">
        <v>814.63599999999997</v>
      </c>
      <c r="BG107" s="7">
        <v>19.094999999999999</v>
      </c>
      <c r="BH107" s="7">
        <v>19.094999999999999</v>
      </c>
      <c r="BI107" s="7">
        <v>458.29300000000001</v>
      </c>
      <c r="BJ107" s="7">
        <v>0</v>
      </c>
      <c r="BK107" s="7">
        <v>0.80700000000000005</v>
      </c>
      <c r="BL107" s="7">
        <v>0</v>
      </c>
      <c r="BM107" s="7">
        <v>0</v>
      </c>
      <c r="BN107" s="7">
        <v>0</v>
      </c>
      <c r="BO107" s="7">
        <v>0</v>
      </c>
      <c r="BP107" s="7">
        <v>0</v>
      </c>
      <c r="BQ107" s="7">
        <v>0</v>
      </c>
      <c r="BR107" s="21"/>
    </row>
    <row r="108" spans="1:70" ht="15.75" x14ac:dyDescent="0.25">
      <c r="A108" s="5" t="s">
        <v>200</v>
      </c>
      <c r="B108" s="5" t="s">
        <v>201</v>
      </c>
      <c r="C108" s="7">
        <v>4</v>
      </c>
      <c r="D108" s="7">
        <v>4</v>
      </c>
      <c r="E108" s="7">
        <v>4729.6679999999997</v>
      </c>
      <c r="F108" s="7">
        <v>944.36</v>
      </c>
      <c r="G108" s="7">
        <v>1.6160000000000001</v>
      </c>
      <c r="H108" s="7">
        <v>0</v>
      </c>
      <c r="I108" s="7">
        <v>49.582000000000001</v>
      </c>
      <c r="J108" s="7">
        <v>1.02</v>
      </c>
      <c r="K108" s="7">
        <v>0</v>
      </c>
      <c r="L108" s="7">
        <v>0</v>
      </c>
      <c r="M108" s="7">
        <v>11683.904</v>
      </c>
      <c r="N108" s="7">
        <v>1169.567</v>
      </c>
      <c r="O108" s="7">
        <v>0</v>
      </c>
      <c r="P108" s="7">
        <v>3.6139999999999999</v>
      </c>
      <c r="Q108" s="7">
        <v>0.161</v>
      </c>
      <c r="R108" s="7">
        <v>7.5720000000000001</v>
      </c>
      <c r="S108" s="7">
        <v>0</v>
      </c>
      <c r="T108" s="7">
        <v>284.99099999999999</v>
      </c>
      <c r="U108" s="7">
        <v>0</v>
      </c>
      <c r="V108" s="7">
        <v>0</v>
      </c>
      <c r="W108" s="7">
        <v>0.17699999999999999</v>
      </c>
      <c r="X108" s="7">
        <v>81.968999999999994</v>
      </c>
      <c r="Y108" s="7">
        <v>0</v>
      </c>
      <c r="Z108" s="7">
        <v>1779.415</v>
      </c>
      <c r="AA108" s="7">
        <v>0</v>
      </c>
      <c r="AB108" s="7">
        <v>1.294</v>
      </c>
      <c r="AC108" s="7">
        <v>304.64999999999998</v>
      </c>
      <c r="AD108" s="7">
        <v>171.947</v>
      </c>
      <c r="AE108" s="7">
        <v>0</v>
      </c>
      <c r="AF108" s="7">
        <v>4746.3720000000003</v>
      </c>
      <c r="AG108" s="7">
        <v>2316.7510000000002</v>
      </c>
      <c r="AH108" s="7">
        <v>0</v>
      </c>
      <c r="AI108" s="7">
        <v>19052.445</v>
      </c>
      <c r="AJ108" s="7">
        <v>4150.7439999999997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31.635999999999999</v>
      </c>
      <c r="AR108" s="7">
        <v>0</v>
      </c>
      <c r="AS108" s="7">
        <v>705.79499999999996</v>
      </c>
      <c r="AT108" s="7">
        <v>0</v>
      </c>
      <c r="AU108" s="7">
        <v>2.7469999999999999</v>
      </c>
      <c r="AV108" s="7">
        <v>0</v>
      </c>
      <c r="AW108" s="7">
        <v>19.914999999999999</v>
      </c>
      <c r="AX108" s="7">
        <v>0</v>
      </c>
      <c r="AY108" s="7">
        <v>0</v>
      </c>
      <c r="AZ108" s="7">
        <v>0</v>
      </c>
      <c r="BA108" s="7">
        <v>7.1479999999999997</v>
      </c>
      <c r="BB108" s="7">
        <v>43.195999999999998</v>
      </c>
      <c r="BC108" s="7">
        <v>0</v>
      </c>
      <c r="BD108" s="7">
        <v>10.246</v>
      </c>
      <c r="BE108" s="7">
        <v>2.8000000000000001E-2</v>
      </c>
      <c r="BF108" s="7">
        <v>61.968000000000004</v>
      </c>
      <c r="BG108" s="7">
        <v>1.4450000000000001</v>
      </c>
      <c r="BH108" s="7">
        <v>1.4450000000000001</v>
      </c>
      <c r="BI108" s="7">
        <v>34.860999999999997</v>
      </c>
      <c r="BJ108" s="7">
        <v>0</v>
      </c>
      <c r="BK108" s="7">
        <v>8.9999999999999993E-3</v>
      </c>
      <c r="BL108" s="7">
        <v>0</v>
      </c>
      <c r="BM108" s="7">
        <v>0</v>
      </c>
      <c r="BN108" s="7">
        <v>0</v>
      </c>
      <c r="BO108" s="7">
        <v>0</v>
      </c>
      <c r="BP108" s="7">
        <v>0</v>
      </c>
      <c r="BQ108" s="7">
        <v>0</v>
      </c>
      <c r="BR108" s="21"/>
    </row>
    <row r="109" spans="1:70" ht="15.75" x14ac:dyDescent="0.25">
      <c r="A109" s="5" t="s">
        <v>202</v>
      </c>
      <c r="B109" s="5" t="s">
        <v>203</v>
      </c>
      <c r="C109" s="7">
        <v>4</v>
      </c>
      <c r="D109" s="7">
        <v>4</v>
      </c>
      <c r="E109" s="7">
        <v>0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F109" s="7">
        <v>0</v>
      </c>
      <c r="BG109" s="7">
        <v>0</v>
      </c>
      <c r="BH109" s="7">
        <v>0</v>
      </c>
      <c r="BI109" s="7">
        <v>0</v>
      </c>
      <c r="BJ109" s="7">
        <v>0</v>
      </c>
      <c r="BK109" s="7">
        <v>0</v>
      </c>
      <c r="BL109" s="7">
        <v>0</v>
      </c>
      <c r="BM109" s="7">
        <v>0</v>
      </c>
      <c r="BN109" s="7">
        <v>0</v>
      </c>
      <c r="BO109" s="7">
        <v>0</v>
      </c>
      <c r="BP109" s="7">
        <v>0</v>
      </c>
      <c r="BQ109" s="7">
        <v>0</v>
      </c>
      <c r="BR109" s="21"/>
    </row>
    <row r="110" spans="1:70" ht="15.75" x14ac:dyDescent="0.25">
      <c r="A110" s="5" t="s">
        <v>204</v>
      </c>
      <c r="B110" s="5" t="s">
        <v>205</v>
      </c>
      <c r="C110" s="7">
        <v>4</v>
      </c>
      <c r="D110" s="7">
        <v>4</v>
      </c>
      <c r="E110" s="7">
        <v>0</v>
      </c>
      <c r="F110" s="7">
        <v>0</v>
      </c>
      <c r="G110" s="7">
        <v>0</v>
      </c>
      <c r="H110" s="7">
        <v>0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0</v>
      </c>
      <c r="AV110" s="7">
        <v>0</v>
      </c>
      <c r="AW110" s="7">
        <v>0</v>
      </c>
      <c r="AX110" s="7">
        <v>0</v>
      </c>
      <c r="AY110" s="7">
        <v>0</v>
      </c>
      <c r="AZ110" s="7">
        <v>0</v>
      </c>
      <c r="BA110" s="7">
        <v>0</v>
      </c>
      <c r="BB110" s="7">
        <v>0</v>
      </c>
      <c r="BC110" s="7">
        <v>0</v>
      </c>
      <c r="BD110" s="7">
        <v>0</v>
      </c>
      <c r="BE110" s="7">
        <v>0</v>
      </c>
      <c r="BF110" s="7">
        <v>0</v>
      </c>
      <c r="BG110" s="7">
        <v>0</v>
      </c>
      <c r="BH110" s="7">
        <v>0</v>
      </c>
      <c r="BI110" s="7">
        <v>0</v>
      </c>
      <c r="BJ110" s="7">
        <v>0</v>
      </c>
      <c r="BK110" s="7">
        <v>0</v>
      </c>
      <c r="BL110" s="7">
        <v>0</v>
      </c>
      <c r="BM110" s="7">
        <v>0</v>
      </c>
      <c r="BN110" s="7">
        <v>0</v>
      </c>
      <c r="BO110" s="7">
        <v>0</v>
      </c>
      <c r="BP110" s="7">
        <v>0</v>
      </c>
      <c r="BQ110" s="7">
        <v>0</v>
      </c>
      <c r="BR110" s="21"/>
    </row>
    <row r="111" spans="1:70" ht="15.75" x14ac:dyDescent="0.25">
      <c r="A111" s="5" t="s">
        <v>206</v>
      </c>
      <c r="B111" s="5" t="s">
        <v>207</v>
      </c>
      <c r="C111" s="7">
        <v>6</v>
      </c>
      <c r="D111" s="7">
        <v>6</v>
      </c>
      <c r="E111" s="7">
        <v>82232.702999999994</v>
      </c>
      <c r="F111" s="7">
        <v>615.178</v>
      </c>
      <c r="G111" s="7">
        <v>0</v>
      </c>
      <c r="H111" s="7">
        <v>9639.3870000000006</v>
      </c>
      <c r="I111" s="7">
        <v>0.28999999999999998</v>
      </c>
      <c r="J111" s="7">
        <v>0</v>
      </c>
      <c r="K111" s="7">
        <v>0</v>
      </c>
      <c r="L111" s="7">
        <v>0</v>
      </c>
      <c r="M111" s="7">
        <v>120302.005</v>
      </c>
      <c r="N111" s="7">
        <v>19811.912</v>
      </c>
      <c r="O111" s="7">
        <v>0</v>
      </c>
      <c r="P111" s="7">
        <v>0</v>
      </c>
      <c r="Q111" s="7">
        <v>1E-3</v>
      </c>
      <c r="R111" s="7">
        <v>0</v>
      </c>
      <c r="S111" s="7">
        <v>2E-3</v>
      </c>
      <c r="T111" s="7">
        <v>1.6559999999999999</v>
      </c>
      <c r="U111" s="7">
        <v>0</v>
      </c>
      <c r="V111" s="7">
        <v>0</v>
      </c>
      <c r="W111" s="7">
        <v>0</v>
      </c>
      <c r="X111" s="7">
        <v>0.47499999999999998</v>
      </c>
      <c r="Y111" s="7">
        <v>0</v>
      </c>
      <c r="Z111" s="7">
        <v>26987.285</v>
      </c>
      <c r="AA111" s="7">
        <v>0</v>
      </c>
      <c r="AB111" s="7">
        <v>0</v>
      </c>
      <c r="AC111" s="7">
        <v>0</v>
      </c>
      <c r="AD111" s="7">
        <v>0.999</v>
      </c>
      <c r="AE111" s="7">
        <v>0</v>
      </c>
      <c r="AF111" s="7">
        <v>92091.282000000007</v>
      </c>
      <c r="AG111" s="7">
        <v>4037.0859999999998</v>
      </c>
      <c r="AH111" s="7">
        <v>0</v>
      </c>
      <c r="AI111" s="7">
        <v>290604.766</v>
      </c>
      <c r="AJ111" s="7">
        <v>5553.6149999999998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7">
        <v>0.184</v>
      </c>
      <c r="AR111" s="7">
        <v>0</v>
      </c>
      <c r="AS111" s="7">
        <v>4.1059999999999999</v>
      </c>
      <c r="AT111" s="7">
        <v>0</v>
      </c>
      <c r="AU111" s="7">
        <v>2.1999999999999999E-2</v>
      </c>
      <c r="AV111" s="7">
        <v>0</v>
      </c>
      <c r="AW111" s="7">
        <v>0.115</v>
      </c>
      <c r="AX111" s="7">
        <v>0</v>
      </c>
      <c r="AY111" s="7">
        <v>0</v>
      </c>
      <c r="AZ111" s="7">
        <v>0</v>
      </c>
      <c r="BA111" s="7">
        <v>4.1000000000000002E-2</v>
      </c>
      <c r="BB111" s="7">
        <v>0.251</v>
      </c>
      <c r="BC111" s="7">
        <v>0</v>
      </c>
      <c r="BD111" s="7">
        <v>0.06</v>
      </c>
      <c r="BE111" s="7">
        <v>0</v>
      </c>
      <c r="BF111" s="7">
        <v>0.36099999999999999</v>
      </c>
      <c r="BG111" s="7">
        <v>8.0000000000000002E-3</v>
      </c>
      <c r="BH111" s="7">
        <v>8.0000000000000002E-3</v>
      </c>
      <c r="BI111" s="7">
        <v>0.20300000000000001</v>
      </c>
      <c r="BJ111" s="7">
        <v>0</v>
      </c>
      <c r="BK111" s="7">
        <v>0</v>
      </c>
      <c r="BL111" s="7">
        <v>0</v>
      </c>
      <c r="BM111" s="7">
        <v>0</v>
      </c>
      <c r="BN111" s="7">
        <v>0</v>
      </c>
      <c r="BO111" s="7">
        <v>0</v>
      </c>
      <c r="BP111" s="7">
        <v>0</v>
      </c>
      <c r="BQ111" s="7">
        <v>0</v>
      </c>
      <c r="BR111" s="21"/>
    </row>
    <row r="112" spans="1:70" ht="15.75" x14ac:dyDescent="0.25">
      <c r="A112" s="5" t="s">
        <v>208</v>
      </c>
      <c r="B112" s="5" t="s">
        <v>209</v>
      </c>
      <c r="C112" s="7">
        <v>4</v>
      </c>
      <c r="D112" s="7">
        <v>4</v>
      </c>
      <c r="E112" s="7">
        <v>90601.460999999996</v>
      </c>
      <c r="F112" s="7">
        <v>18632.954000000002</v>
      </c>
      <c r="G112" s="7">
        <v>0</v>
      </c>
      <c r="H112" s="7">
        <v>0</v>
      </c>
      <c r="I112" s="7">
        <v>974.80399999999997</v>
      </c>
      <c r="J112" s="7">
        <v>0</v>
      </c>
      <c r="K112" s="7">
        <v>0</v>
      </c>
      <c r="L112" s="7">
        <v>0</v>
      </c>
      <c r="M112" s="7">
        <v>228137.02499999999</v>
      </c>
      <c r="N112" s="7">
        <v>22988.212</v>
      </c>
      <c r="O112" s="7">
        <v>0</v>
      </c>
      <c r="P112" s="7">
        <v>0</v>
      </c>
      <c r="Q112" s="7">
        <v>3.1760000000000002</v>
      </c>
      <c r="R112" s="7">
        <v>0</v>
      </c>
      <c r="S112" s="7">
        <v>0</v>
      </c>
      <c r="T112" s="7">
        <v>5613.41</v>
      </c>
      <c r="U112" s="7">
        <v>0</v>
      </c>
      <c r="V112" s="7">
        <v>0</v>
      </c>
      <c r="W112" s="7">
        <v>0</v>
      </c>
      <c r="X112" s="7">
        <v>1610.3820000000001</v>
      </c>
      <c r="Y112" s="7">
        <v>0</v>
      </c>
      <c r="Z112" s="7">
        <v>35111.525000000001</v>
      </c>
      <c r="AA112" s="7">
        <v>0</v>
      </c>
      <c r="AB112" s="7">
        <v>0</v>
      </c>
      <c r="AC112" s="7">
        <v>16.334</v>
      </c>
      <c r="AD112" s="7">
        <v>3388.6010000000001</v>
      </c>
      <c r="AE112" s="7">
        <v>0</v>
      </c>
      <c r="AF112" s="7">
        <v>87964.186000000002</v>
      </c>
      <c r="AG112" s="7">
        <v>45740.275000000001</v>
      </c>
      <c r="AH112" s="7">
        <v>0</v>
      </c>
      <c r="AI112" s="7">
        <v>376955.54599999997</v>
      </c>
      <c r="AJ112" s="7">
        <v>81914.025999999998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623.67899999999997</v>
      </c>
      <c r="AR112" s="7">
        <v>0</v>
      </c>
      <c r="AS112" s="7">
        <v>13938.669</v>
      </c>
      <c r="AT112" s="7">
        <v>0</v>
      </c>
      <c r="AU112" s="7">
        <v>54.125</v>
      </c>
      <c r="AV112" s="7">
        <v>0</v>
      </c>
      <c r="AW112" s="7">
        <v>625.76</v>
      </c>
      <c r="AX112" s="7">
        <v>0</v>
      </c>
      <c r="AY112" s="7">
        <v>0</v>
      </c>
      <c r="AZ112" s="7">
        <v>0</v>
      </c>
      <c r="BA112" s="7">
        <v>140.52699999999999</v>
      </c>
      <c r="BB112" s="7">
        <v>851.36500000000001</v>
      </c>
      <c r="BC112" s="7">
        <v>0</v>
      </c>
      <c r="BD112" s="7">
        <v>201.94</v>
      </c>
      <c r="BE112" s="7">
        <v>0</v>
      </c>
      <c r="BF112" s="7">
        <v>1221.354</v>
      </c>
      <c r="BG112" s="7">
        <v>28.49</v>
      </c>
      <c r="BH112" s="7">
        <v>28.49</v>
      </c>
      <c r="BI112" s="7">
        <v>687.10199999999998</v>
      </c>
      <c r="BJ112" s="7">
        <v>0</v>
      </c>
      <c r="BK112" s="7">
        <v>0</v>
      </c>
      <c r="BL112" s="7">
        <v>0</v>
      </c>
      <c r="BM112" s="7">
        <v>0</v>
      </c>
      <c r="BN112" s="7">
        <v>0</v>
      </c>
      <c r="BO112" s="7">
        <v>0</v>
      </c>
      <c r="BP112" s="7">
        <v>0</v>
      </c>
      <c r="BQ112" s="7">
        <v>0</v>
      </c>
      <c r="BR112" s="21"/>
    </row>
    <row r="113" spans="1:70" ht="15.75" x14ac:dyDescent="0.25">
      <c r="A113" s="5" t="s">
        <v>210</v>
      </c>
      <c r="B113" s="5" t="s">
        <v>211</v>
      </c>
      <c r="C113" s="7">
        <v>4</v>
      </c>
      <c r="D113" s="7">
        <v>4</v>
      </c>
      <c r="E113" s="7">
        <v>182631.96400000001</v>
      </c>
      <c r="F113" s="7">
        <v>44175.606</v>
      </c>
      <c r="G113" s="7">
        <v>1.661</v>
      </c>
      <c r="H113" s="7">
        <v>3.6619999999999999</v>
      </c>
      <c r="I113" s="7">
        <v>1981.59</v>
      </c>
      <c r="J113" s="7">
        <v>17.638000000000002</v>
      </c>
      <c r="K113" s="7">
        <v>0</v>
      </c>
      <c r="L113" s="7">
        <v>0</v>
      </c>
      <c r="M113" s="7">
        <v>501417.25199999998</v>
      </c>
      <c r="N113" s="7">
        <v>43803.951000000001</v>
      </c>
      <c r="O113" s="7">
        <v>0</v>
      </c>
      <c r="P113" s="7">
        <v>0</v>
      </c>
      <c r="Q113" s="7">
        <v>0.223</v>
      </c>
      <c r="R113" s="7">
        <v>0</v>
      </c>
      <c r="S113" s="7">
        <v>0</v>
      </c>
      <c r="T113" s="7">
        <v>13839.226000000001</v>
      </c>
      <c r="U113" s="7">
        <v>0</v>
      </c>
      <c r="V113" s="7">
        <v>0</v>
      </c>
      <c r="W113" s="7">
        <v>1.7090000000000001</v>
      </c>
      <c r="X113" s="7">
        <v>3710.2080000000001</v>
      </c>
      <c r="Y113" s="7">
        <v>76211.797999999995</v>
      </c>
      <c r="Z113" s="7">
        <v>83660.073000000004</v>
      </c>
      <c r="AA113" s="7">
        <v>0</v>
      </c>
      <c r="AB113" s="7">
        <v>39.375999999999998</v>
      </c>
      <c r="AC113" s="7">
        <v>31.106000000000002</v>
      </c>
      <c r="AD113" s="7">
        <v>8009.9260000000004</v>
      </c>
      <c r="AE113" s="7">
        <v>0</v>
      </c>
      <c r="AF113" s="7">
        <v>212862.375</v>
      </c>
      <c r="AG113" s="7">
        <v>108684.235</v>
      </c>
      <c r="AH113" s="7">
        <v>0</v>
      </c>
      <c r="AI113" s="7">
        <v>923003.23400000005</v>
      </c>
      <c r="AJ113" s="7">
        <v>186209.37899999999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1763.211</v>
      </c>
      <c r="AR113" s="7">
        <v>41958.684999999998</v>
      </c>
      <c r="AS113" s="7">
        <v>32037.871999999999</v>
      </c>
      <c r="AT113" s="7">
        <v>18371.039000000001</v>
      </c>
      <c r="AU113" s="7">
        <v>135.55799999999999</v>
      </c>
      <c r="AV113" s="7">
        <v>0</v>
      </c>
      <c r="AW113" s="7">
        <v>948.476</v>
      </c>
      <c r="AX113" s="7">
        <v>62245.413</v>
      </c>
      <c r="AY113" s="7">
        <v>62289.688999999998</v>
      </c>
      <c r="AZ113" s="7">
        <v>41560.697</v>
      </c>
      <c r="BA113" s="7">
        <v>307.96499999999997</v>
      </c>
      <c r="BB113" s="7">
        <v>59.823</v>
      </c>
      <c r="BC113" s="7">
        <v>23314.68</v>
      </c>
      <c r="BD113" s="7">
        <v>427.47300000000001</v>
      </c>
      <c r="BE113" s="7">
        <v>0.98699999999999999</v>
      </c>
      <c r="BF113" s="7">
        <v>85.817999999999998</v>
      </c>
      <c r="BG113" s="7">
        <v>64.959999999999994</v>
      </c>
      <c r="BH113" s="7">
        <v>64.959999999999994</v>
      </c>
      <c r="BI113" s="7">
        <v>48.279000000000003</v>
      </c>
      <c r="BJ113" s="7">
        <v>0</v>
      </c>
      <c r="BK113" s="7">
        <v>0.4</v>
      </c>
      <c r="BL113" s="7">
        <v>0</v>
      </c>
      <c r="BM113" s="7">
        <v>0</v>
      </c>
      <c r="BN113" s="7">
        <v>0</v>
      </c>
      <c r="BO113" s="7">
        <v>0</v>
      </c>
      <c r="BP113" s="7">
        <v>0</v>
      </c>
      <c r="BQ113" s="7">
        <v>0</v>
      </c>
      <c r="BR113" s="21"/>
    </row>
    <row r="114" spans="1:70" ht="15.75" x14ac:dyDescent="0.25">
      <c r="A114" s="5" t="s">
        <v>212</v>
      </c>
      <c r="B114" s="5" t="s">
        <v>213</v>
      </c>
      <c r="C114" s="7">
        <v>4</v>
      </c>
      <c r="D114" s="7">
        <v>4</v>
      </c>
      <c r="E114" s="7">
        <v>0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F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0</v>
      </c>
      <c r="BM114" s="7">
        <v>0</v>
      </c>
      <c r="BN114" s="7">
        <v>0</v>
      </c>
      <c r="BO114" s="7">
        <v>0</v>
      </c>
      <c r="BP114" s="7">
        <v>0</v>
      </c>
      <c r="BQ114" s="7">
        <v>0</v>
      </c>
      <c r="BR114" s="21"/>
    </row>
    <row r="115" spans="1:70" ht="15.75" x14ac:dyDescent="0.25">
      <c r="A115" s="5" t="s">
        <v>214</v>
      </c>
      <c r="B115" s="5" t="s">
        <v>215</v>
      </c>
      <c r="C115" s="7">
        <v>6</v>
      </c>
      <c r="D115" s="7">
        <v>6</v>
      </c>
      <c r="E115" s="7">
        <v>0.74299999999999999</v>
      </c>
      <c r="F115" s="7">
        <v>43.082000000000001</v>
      </c>
      <c r="G115" s="7">
        <v>0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-0.23599999999999999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361.00099999999998</v>
      </c>
      <c r="AG115" s="7">
        <v>24.140999999999998</v>
      </c>
      <c r="AH115" s="7">
        <v>0</v>
      </c>
      <c r="AI115" s="7">
        <v>301.452</v>
      </c>
      <c r="AJ115" s="7">
        <v>12.628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  <c r="BF115" s="7">
        <v>0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L115" s="7">
        <v>0</v>
      </c>
      <c r="BM115" s="7">
        <v>0</v>
      </c>
      <c r="BN115" s="7">
        <v>0</v>
      </c>
      <c r="BO115" s="7">
        <v>0</v>
      </c>
      <c r="BP115" s="7">
        <v>0</v>
      </c>
      <c r="BQ115" s="7">
        <v>0</v>
      </c>
      <c r="BR115" s="21"/>
    </row>
    <row r="116" spans="1:70" ht="15.75" x14ac:dyDescent="0.25">
      <c r="A116" s="5" t="s">
        <v>216</v>
      </c>
      <c r="B116" s="5" t="s">
        <v>217</v>
      </c>
      <c r="C116" s="7">
        <v>6</v>
      </c>
      <c r="D116" s="7">
        <v>6</v>
      </c>
      <c r="E116" s="7">
        <v>86391.789000000004</v>
      </c>
      <c r="F116" s="7">
        <v>1164.68</v>
      </c>
      <c r="G116" s="7">
        <v>0</v>
      </c>
      <c r="H116" s="7">
        <v>0</v>
      </c>
      <c r="I116" s="7">
        <v>76.849000000000004</v>
      </c>
      <c r="J116" s="7">
        <v>0</v>
      </c>
      <c r="K116" s="7">
        <v>0</v>
      </c>
      <c r="L116" s="7">
        <v>0</v>
      </c>
      <c r="M116" s="7">
        <v>182961.304</v>
      </c>
      <c r="N116" s="7">
        <v>40508.764000000003</v>
      </c>
      <c r="O116" s="7">
        <v>0</v>
      </c>
      <c r="P116" s="7">
        <v>0</v>
      </c>
      <c r="Q116" s="7">
        <v>25.616</v>
      </c>
      <c r="R116" s="7">
        <v>0</v>
      </c>
      <c r="S116" s="7">
        <v>25.616</v>
      </c>
      <c r="T116" s="7">
        <v>0</v>
      </c>
      <c r="U116" s="7">
        <v>0</v>
      </c>
      <c r="V116" s="7">
        <v>0</v>
      </c>
      <c r="W116" s="7">
        <v>0</v>
      </c>
      <c r="X116" s="7">
        <v>256.16399999999999</v>
      </c>
      <c r="Y116" s="7">
        <v>0</v>
      </c>
      <c r="Z116" s="7">
        <v>18634.924999999999</v>
      </c>
      <c r="AA116" s="7">
        <v>0</v>
      </c>
      <c r="AB116" s="7">
        <v>2407.9409999999998</v>
      </c>
      <c r="AC116" s="7">
        <v>0</v>
      </c>
      <c r="AD116" s="7">
        <v>204.93100000000001</v>
      </c>
      <c r="AE116" s="7">
        <v>0</v>
      </c>
      <c r="AF116" s="7">
        <v>54013.732000000004</v>
      </c>
      <c r="AG116" s="7">
        <v>113.36799999999999</v>
      </c>
      <c r="AH116" s="7">
        <v>0</v>
      </c>
      <c r="AI116" s="7">
        <v>270168.913</v>
      </c>
      <c r="AJ116" s="7">
        <v>76.852999999999994</v>
      </c>
      <c r="AK116" s="7">
        <v>0</v>
      </c>
      <c r="AL116" s="7">
        <v>0</v>
      </c>
      <c r="AM116" s="7">
        <v>0</v>
      </c>
      <c r="AN116" s="7">
        <v>0</v>
      </c>
      <c r="AO116" s="7">
        <v>0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7">
        <v>0</v>
      </c>
      <c r="AV116" s="7">
        <v>0</v>
      </c>
      <c r="AW116" s="7">
        <v>0</v>
      </c>
      <c r="AX116" s="7">
        <v>0</v>
      </c>
      <c r="AY116" s="7">
        <v>0</v>
      </c>
      <c r="AZ116" s="7">
        <v>0</v>
      </c>
      <c r="BA116" s="7">
        <v>0</v>
      </c>
      <c r="BB116" s="7">
        <v>0</v>
      </c>
      <c r="BC116" s="7">
        <v>0</v>
      </c>
      <c r="BD116" s="7">
        <v>0</v>
      </c>
      <c r="BE116" s="7">
        <v>0</v>
      </c>
      <c r="BF116" s="7">
        <v>0</v>
      </c>
      <c r="BG116" s="7">
        <v>0</v>
      </c>
      <c r="BH116" s="7">
        <v>0</v>
      </c>
      <c r="BI116" s="7">
        <v>0</v>
      </c>
      <c r="BJ116" s="7">
        <v>0</v>
      </c>
      <c r="BK116" s="7">
        <v>0</v>
      </c>
      <c r="BL116" s="7">
        <v>0</v>
      </c>
      <c r="BM116" s="7">
        <v>0</v>
      </c>
      <c r="BN116" s="7">
        <v>0</v>
      </c>
      <c r="BO116" s="7">
        <v>0</v>
      </c>
      <c r="BP116" s="7">
        <v>0</v>
      </c>
      <c r="BQ116" s="7">
        <v>0</v>
      </c>
      <c r="BR116" s="21"/>
    </row>
    <row r="117" spans="1:70" ht="15.75" x14ac:dyDescent="0.25">
      <c r="A117" s="5" t="s">
        <v>218</v>
      </c>
      <c r="B117" s="5" t="s">
        <v>219</v>
      </c>
      <c r="C117" s="7">
        <v>4</v>
      </c>
      <c r="D117" s="7">
        <v>4</v>
      </c>
      <c r="E117" s="7">
        <v>33000.447999999997</v>
      </c>
      <c r="F117" s="7">
        <v>6784.701</v>
      </c>
      <c r="G117" s="7">
        <v>0</v>
      </c>
      <c r="H117" s="7">
        <v>14336.491</v>
      </c>
      <c r="I117" s="7">
        <v>355.47</v>
      </c>
      <c r="J117" s="7">
        <v>0</v>
      </c>
      <c r="K117" s="7">
        <v>0</v>
      </c>
      <c r="L117" s="7">
        <v>0</v>
      </c>
      <c r="M117" s="7">
        <v>82939.672999999995</v>
      </c>
      <c r="N117" s="7">
        <v>8380.1779999999999</v>
      </c>
      <c r="O117" s="7">
        <v>0</v>
      </c>
      <c r="P117" s="7">
        <v>0</v>
      </c>
      <c r="Q117" s="7">
        <v>1.159</v>
      </c>
      <c r="R117" s="7">
        <v>0</v>
      </c>
      <c r="S117" s="7">
        <v>0</v>
      </c>
      <c r="T117" s="7">
        <v>2046.59</v>
      </c>
      <c r="U117" s="7">
        <v>0</v>
      </c>
      <c r="V117" s="7">
        <v>0</v>
      </c>
      <c r="W117" s="7">
        <v>0</v>
      </c>
      <c r="X117" s="7">
        <v>587.173</v>
      </c>
      <c r="Y117" s="7">
        <v>0</v>
      </c>
      <c r="Z117" s="7">
        <v>12791.912</v>
      </c>
      <c r="AA117" s="7">
        <v>0</v>
      </c>
      <c r="AB117" s="7">
        <v>0</v>
      </c>
      <c r="AC117" s="7">
        <v>0</v>
      </c>
      <c r="AD117" s="7">
        <v>1235.479</v>
      </c>
      <c r="AE117" s="7">
        <v>8193.4699999999993</v>
      </c>
      <c r="AF117" s="7">
        <v>32027.562999999998</v>
      </c>
      <c r="AG117" s="7">
        <v>16661.953000000001</v>
      </c>
      <c r="AH117" s="7">
        <v>37975.855000000003</v>
      </c>
      <c r="AI117" s="7">
        <v>136974.85999999999</v>
      </c>
      <c r="AJ117" s="7">
        <v>29851.932000000001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227.34100000000001</v>
      </c>
      <c r="AR117" s="7">
        <v>0</v>
      </c>
      <c r="AS117" s="7">
        <v>5076.0410000000002</v>
      </c>
      <c r="AT117" s="7">
        <v>0</v>
      </c>
      <c r="AU117" s="7">
        <v>19.731999999999999</v>
      </c>
      <c r="AV117" s="7">
        <v>0</v>
      </c>
      <c r="AW117" s="7">
        <v>2335.86</v>
      </c>
      <c r="AX117" s="7">
        <v>0</v>
      </c>
      <c r="AY117" s="7">
        <v>0</v>
      </c>
      <c r="AZ117" s="7">
        <v>0</v>
      </c>
      <c r="BA117" s="7">
        <v>51.237000000000002</v>
      </c>
      <c r="BB117" s="7">
        <v>310.66000000000003</v>
      </c>
      <c r="BC117" s="7">
        <v>0</v>
      </c>
      <c r="BD117" s="7">
        <v>73.63</v>
      </c>
      <c r="BE117" s="7">
        <v>0</v>
      </c>
      <c r="BF117" s="7">
        <v>445.66899999999998</v>
      </c>
      <c r="BG117" s="7">
        <v>10.387</v>
      </c>
      <c r="BH117" s="7">
        <v>10.387</v>
      </c>
      <c r="BI117" s="7">
        <v>250.72200000000001</v>
      </c>
      <c r="BJ117" s="7">
        <v>0</v>
      </c>
      <c r="BK117" s="7">
        <v>0</v>
      </c>
      <c r="BL117" s="7">
        <v>0</v>
      </c>
      <c r="BM117" s="7">
        <v>0</v>
      </c>
      <c r="BN117" s="7">
        <v>0</v>
      </c>
      <c r="BO117" s="7">
        <v>0</v>
      </c>
      <c r="BP117" s="7">
        <v>0</v>
      </c>
      <c r="BQ117" s="7">
        <v>0</v>
      </c>
      <c r="BR117" s="21"/>
    </row>
    <row r="118" spans="1:70" ht="15.75" x14ac:dyDescent="0.25">
      <c r="A118" s="5" t="s">
        <v>220</v>
      </c>
      <c r="B118" s="5" t="s">
        <v>221</v>
      </c>
      <c r="C118" s="7">
        <v>4</v>
      </c>
      <c r="D118" s="7">
        <v>4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669.73400000000004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525210.45499999996</v>
      </c>
      <c r="AM118" s="7">
        <v>0</v>
      </c>
      <c r="AN118" s="7">
        <v>307286.685</v>
      </c>
      <c r="AO118" s="7">
        <v>0</v>
      </c>
      <c r="AP118" s="7">
        <v>175924.685</v>
      </c>
      <c r="AQ118" s="7">
        <v>0</v>
      </c>
      <c r="AR118" s="7">
        <v>0</v>
      </c>
      <c r="AS118" s="7">
        <v>0</v>
      </c>
      <c r="AT118" s="7">
        <v>0</v>
      </c>
      <c r="AU118" s="7">
        <v>0</v>
      </c>
      <c r="AV118" s="7">
        <v>0</v>
      </c>
      <c r="AW118" s="7">
        <v>1581.578</v>
      </c>
      <c r="AX118" s="7">
        <v>0</v>
      </c>
      <c r="AY118" s="7">
        <v>0</v>
      </c>
      <c r="AZ118" s="7">
        <v>365.22699999999998</v>
      </c>
      <c r="BA118" s="7">
        <v>0</v>
      </c>
      <c r="BB118" s="7">
        <v>0</v>
      </c>
      <c r="BC118" s="7">
        <v>204.88499999999999</v>
      </c>
      <c r="BD118" s="7">
        <v>0</v>
      </c>
      <c r="BE118" s="7">
        <v>0</v>
      </c>
      <c r="BF118" s="7">
        <v>0</v>
      </c>
      <c r="BG118" s="7">
        <v>0</v>
      </c>
      <c r="BH118" s="7">
        <v>0</v>
      </c>
      <c r="BI118" s="7">
        <v>0</v>
      </c>
      <c r="BJ118" s="7">
        <v>0</v>
      </c>
      <c r="BK118" s="7">
        <v>0</v>
      </c>
      <c r="BL118" s="7">
        <v>0</v>
      </c>
      <c r="BM118" s="7">
        <v>0</v>
      </c>
      <c r="BN118" s="7">
        <v>0</v>
      </c>
      <c r="BO118" s="7">
        <v>0</v>
      </c>
      <c r="BP118" s="7">
        <v>0</v>
      </c>
      <c r="BQ118" s="7">
        <v>0</v>
      </c>
      <c r="BR118" s="21"/>
    </row>
    <row r="119" spans="1:70" ht="15.75" x14ac:dyDescent="0.25">
      <c r="A119" s="5" t="s">
        <v>222</v>
      </c>
      <c r="B119" s="5" t="s">
        <v>223</v>
      </c>
      <c r="C119" s="7">
        <v>4</v>
      </c>
      <c r="D119" s="7">
        <v>3</v>
      </c>
      <c r="E119" s="7">
        <v>0</v>
      </c>
      <c r="F119" s="7">
        <v>0</v>
      </c>
      <c r="G119" s="7">
        <v>0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2271.7330000000002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10866.032999999999</v>
      </c>
      <c r="AF119" s="7">
        <v>0</v>
      </c>
      <c r="AG119" s="7">
        <v>0</v>
      </c>
      <c r="AH119" s="7">
        <v>45121.597999999998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42.774999999999999</v>
      </c>
      <c r="AV119" s="7">
        <v>0</v>
      </c>
      <c r="AW119" s="7">
        <v>2119.8090000000002</v>
      </c>
      <c r="AX119" s="7">
        <v>0</v>
      </c>
      <c r="AY119" s="7">
        <v>0</v>
      </c>
      <c r="AZ119" s="7">
        <v>0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  <c r="BF119" s="7">
        <v>0</v>
      </c>
      <c r="BG119" s="7">
        <v>0</v>
      </c>
      <c r="BH119" s="7">
        <v>0</v>
      </c>
      <c r="BI119" s="7">
        <v>0</v>
      </c>
      <c r="BJ119" s="7">
        <v>0</v>
      </c>
      <c r="BK119" s="7">
        <v>0</v>
      </c>
      <c r="BL119" s="7">
        <v>0</v>
      </c>
      <c r="BM119" s="7">
        <v>0</v>
      </c>
      <c r="BN119" s="7">
        <v>0</v>
      </c>
      <c r="BO119" s="7">
        <v>0</v>
      </c>
      <c r="BP119" s="7">
        <v>0</v>
      </c>
      <c r="BQ119" s="7">
        <v>0</v>
      </c>
      <c r="BR119" s="21"/>
    </row>
    <row r="120" spans="1:70" ht="15.75" x14ac:dyDescent="0.25">
      <c r="A120" s="5" t="s">
        <v>224</v>
      </c>
      <c r="B120" s="5" t="s">
        <v>225</v>
      </c>
      <c r="C120" s="7">
        <v>4</v>
      </c>
      <c r="D120" s="7">
        <v>3</v>
      </c>
      <c r="E120" s="7">
        <v>0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F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0</v>
      </c>
      <c r="BM120" s="7">
        <v>0</v>
      </c>
      <c r="BN120" s="7">
        <v>0</v>
      </c>
      <c r="BO120" s="7">
        <v>0</v>
      </c>
      <c r="BP120" s="7">
        <v>0</v>
      </c>
      <c r="BQ120" s="7">
        <v>0</v>
      </c>
      <c r="BR120" s="21"/>
    </row>
    <row r="121" spans="1:70" ht="15.75" x14ac:dyDescent="0.25">
      <c r="A121" s="5" t="s">
        <v>226</v>
      </c>
      <c r="B121" s="5" t="s">
        <v>227</v>
      </c>
      <c r="C121" s="7">
        <v>4</v>
      </c>
      <c r="D121" s="7">
        <v>4</v>
      </c>
      <c r="E121" s="7">
        <v>0</v>
      </c>
      <c r="F121" s="7">
        <v>0</v>
      </c>
      <c r="G121" s="7">
        <v>0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7">
        <v>0</v>
      </c>
      <c r="AZ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F121" s="7">
        <v>0</v>
      </c>
      <c r="BG121" s="7">
        <v>0</v>
      </c>
      <c r="BH121" s="7">
        <v>0</v>
      </c>
      <c r="BI121" s="7">
        <v>0</v>
      </c>
      <c r="BJ121" s="7">
        <v>0</v>
      </c>
      <c r="BK121" s="7">
        <v>0</v>
      </c>
      <c r="BL121" s="7">
        <v>0</v>
      </c>
      <c r="BM121" s="7">
        <v>0</v>
      </c>
      <c r="BN121" s="7">
        <v>0</v>
      </c>
      <c r="BO121" s="7">
        <v>0</v>
      </c>
      <c r="BP121" s="7">
        <v>0</v>
      </c>
      <c r="BQ121" s="7">
        <v>0</v>
      </c>
      <c r="BR121" s="21"/>
    </row>
    <row r="122" spans="1:70" ht="15.75" x14ac:dyDescent="0.25">
      <c r="A122" s="5" t="s">
        <v>228</v>
      </c>
      <c r="B122" s="5" t="s">
        <v>229</v>
      </c>
      <c r="C122" s="7">
        <v>4</v>
      </c>
      <c r="D122" s="7">
        <v>6</v>
      </c>
      <c r="E122" s="7">
        <v>0</v>
      </c>
      <c r="F122" s="7">
        <v>0</v>
      </c>
      <c r="G122" s="7">
        <v>0</v>
      </c>
      <c r="H122" s="7">
        <v>0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0</v>
      </c>
      <c r="AF122" s="7">
        <v>0</v>
      </c>
      <c r="AG122" s="7">
        <v>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  <c r="AO122" s="7">
        <v>0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7">
        <v>0</v>
      </c>
      <c r="AV122" s="7">
        <v>0</v>
      </c>
      <c r="AW122" s="7">
        <v>0</v>
      </c>
      <c r="AX122" s="7">
        <v>0</v>
      </c>
      <c r="AY122" s="7">
        <v>0</v>
      </c>
      <c r="AZ122" s="7">
        <v>0</v>
      </c>
      <c r="BA122" s="7">
        <v>0</v>
      </c>
      <c r="BB122" s="7">
        <v>0</v>
      </c>
      <c r="BC122" s="7">
        <v>0</v>
      </c>
      <c r="BD122" s="7">
        <v>0</v>
      </c>
      <c r="BE122" s="7">
        <v>0</v>
      </c>
      <c r="BF122" s="7">
        <v>0</v>
      </c>
      <c r="BG122" s="7">
        <v>0</v>
      </c>
      <c r="BH122" s="7">
        <v>0</v>
      </c>
      <c r="BI122" s="7">
        <v>0</v>
      </c>
      <c r="BJ122" s="7">
        <v>0</v>
      </c>
      <c r="BK122" s="7">
        <v>0</v>
      </c>
      <c r="BL122" s="7">
        <v>0</v>
      </c>
      <c r="BM122" s="7">
        <v>0</v>
      </c>
      <c r="BN122" s="7">
        <v>0</v>
      </c>
      <c r="BO122" s="7">
        <v>0</v>
      </c>
      <c r="BP122" s="7">
        <v>0</v>
      </c>
      <c r="BQ122" s="7">
        <v>0</v>
      </c>
      <c r="BR122" s="21"/>
    </row>
    <row r="123" spans="1:70" ht="15.75" x14ac:dyDescent="0.25">
      <c r="A123" s="5" t="s">
        <v>230</v>
      </c>
      <c r="B123" s="5" t="s">
        <v>231</v>
      </c>
      <c r="C123" s="7">
        <v>4</v>
      </c>
      <c r="D123" s="7">
        <v>4</v>
      </c>
      <c r="E123" s="7">
        <v>228657.57</v>
      </c>
      <c r="F123" s="7">
        <v>48741.769</v>
      </c>
      <c r="G123" s="7">
        <v>0</v>
      </c>
      <c r="H123" s="7">
        <v>0</v>
      </c>
      <c r="I123" s="7">
        <v>2079.0650000000001</v>
      </c>
      <c r="J123" s="7">
        <v>0</v>
      </c>
      <c r="K123" s="7">
        <v>0</v>
      </c>
      <c r="L123" s="7">
        <v>0</v>
      </c>
      <c r="M123" s="7">
        <v>611437.80900000001</v>
      </c>
      <c r="N123" s="7">
        <v>46067.288999999997</v>
      </c>
      <c r="O123" s="7">
        <v>0</v>
      </c>
      <c r="P123" s="7">
        <v>1445.326</v>
      </c>
      <c r="Q123" s="7">
        <v>0</v>
      </c>
      <c r="R123" s="7">
        <v>757.95699999999999</v>
      </c>
      <c r="S123" s="7">
        <v>0</v>
      </c>
      <c r="T123" s="7">
        <v>15378.398999999999</v>
      </c>
      <c r="U123" s="7">
        <v>0</v>
      </c>
      <c r="V123" s="7">
        <v>0</v>
      </c>
      <c r="W123" s="7">
        <v>0</v>
      </c>
      <c r="X123" s="7">
        <v>4013.9850000000001</v>
      </c>
      <c r="Y123" s="7">
        <v>88622.301000000007</v>
      </c>
      <c r="Z123" s="7">
        <v>100082.13400000001</v>
      </c>
      <c r="AA123" s="7">
        <v>46127.62</v>
      </c>
      <c r="AB123" s="7">
        <v>0</v>
      </c>
      <c r="AC123" s="7">
        <v>43655.430999999997</v>
      </c>
      <c r="AD123" s="7">
        <v>9001.4680000000008</v>
      </c>
      <c r="AE123" s="7">
        <v>8403.1350000000002</v>
      </c>
      <c r="AF123" s="7">
        <v>290169.70500000002</v>
      </c>
      <c r="AG123" s="7">
        <v>121554.01300000001</v>
      </c>
      <c r="AH123" s="7">
        <v>37099.148999999998</v>
      </c>
      <c r="AI123" s="7">
        <v>968527.57</v>
      </c>
      <c r="AJ123" s="7">
        <v>208065.139</v>
      </c>
      <c r="AK123" s="7">
        <v>253877.57</v>
      </c>
      <c r="AL123" s="7">
        <v>1684788.95</v>
      </c>
      <c r="AM123" s="7">
        <v>0</v>
      </c>
      <c r="AN123" s="7">
        <v>985725.26800000004</v>
      </c>
      <c r="AO123" s="7">
        <v>0</v>
      </c>
      <c r="AP123" s="7">
        <v>564337.51199999999</v>
      </c>
      <c r="AQ123" s="7">
        <v>2117.7289999999998</v>
      </c>
      <c r="AR123" s="7">
        <v>0</v>
      </c>
      <c r="AS123" s="7">
        <v>37237.366000000002</v>
      </c>
      <c r="AT123" s="7">
        <v>0</v>
      </c>
      <c r="AU123" s="7">
        <v>162.37700000000001</v>
      </c>
      <c r="AV123" s="7">
        <v>0</v>
      </c>
      <c r="AW123" s="7">
        <v>1135.3610000000001</v>
      </c>
      <c r="AX123" s="7">
        <v>0</v>
      </c>
      <c r="AY123" s="7">
        <v>0</v>
      </c>
      <c r="AZ123" s="7">
        <v>48328.534</v>
      </c>
      <c r="BA123" s="7">
        <v>366.053</v>
      </c>
      <c r="BB123" s="7">
        <v>0</v>
      </c>
      <c r="BC123" s="7">
        <v>27111.311000000002</v>
      </c>
      <c r="BD123" s="7">
        <v>508.98399999999998</v>
      </c>
      <c r="BE123" s="7">
        <v>0</v>
      </c>
      <c r="BF123" s="7">
        <v>0</v>
      </c>
      <c r="BG123" s="7">
        <v>77.537000000000006</v>
      </c>
      <c r="BH123" s="7">
        <v>77.537000000000006</v>
      </c>
      <c r="BI123" s="7">
        <v>0</v>
      </c>
      <c r="BJ123" s="7">
        <v>111494.277</v>
      </c>
      <c r="BK123" s="7">
        <v>0</v>
      </c>
      <c r="BL123" s="7">
        <v>0</v>
      </c>
      <c r="BM123" s="7">
        <v>0</v>
      </c>
      <c r="BN123" s="7">
        <v>0</v>
      </c>
      <c r="BO123" s="7">
        <v>0</v>
      </c>
      <c r="BP123" s="7">
        <v>0</v>
      </c>
      <c r="BQ123" s="7">
        <v>0</v>
      </c>
      <c r="BR123" s="21"/>
    </row>
    <row r="124" spans="1:70" ht="15.75" x14ac:dyDescent="0.25">
      <c r="A124" s="5" t="s">
        <v>232</v>
      </c>
      <c r="B124" s="5" t="s">
        <v>233</v>
      </c>
      <c r="C124" s="7">
        <v>4</v>
      </c>
      <c r="D124" s="7">
        <v>3</v>
      </c>
      <c r="E124" s="7">
        <v>1240.721</v>
      </c>
      <c r="F124" s="7">
        <v>892.86699999999996</v>
      </c>
      <c r="G124" s="7">
        <v>839.16300000000001</v>
      </c>
      <c r="H124" s="7">
        <v>97.02</v>
      </c>
      <c r="I124" s="7">
        <v>88.974000000000004</v>
      </c>
      <c r="J124" s="7">
        <v>690.55600000000004</v>
      </c>
      <c r="K124" s="7">
        <v>0</v>
      </c>
      <c r="L124" s="7">
        <v>0</v>
      </c>
      <c r="M124" s="7">
        <v>1743.92</v>
      </c>
      <c r="N124" s="7">
        <v>713.74</v>
      </c>
      <c r="O124" s="7">
        <v>0</v>
      </c>
      <c r="P124" s="7">
        <v>0</v>
      </c>
      <c r="Q124" s="7">
        <v>2E-3</v>
      </c>
      <c r="R124" s="7">
        <v>287.53100000000001</v>
      </c>
      <c r="S124" s="7">
        <v>430.08600000000001</v>
      </c>
      <c r="T124" s="7">
        <v>364.64100000000002</v>
      </c>
      <c r="U124" s="7">
        <v>0</v>
      </c>
      <c r="V124" s="7">
        <v>0</v>
      </c>
      <c r="W124" s="7">
        <v>84.003</v>
      </c>
      <c r="X124" s="7">
        <v>2.0569999999999999</v>
      </c>
      <c r="Y124" s="7">
        <v>0</v>
      </c>
      <c r="Z124" s="7">
        <v>245.26400000000001</v>
      </c>
      <c r="AA124" s="7">
        <v>12683.959000000001</v>
      </c>
      <c r="AB124" s="7">
        <v>1457.829</v>
      </c>
      <c r="AC124" s="7">
        <v>0</v>
      </c>
      <c r="AD124" s="7">
        <v>222.90899999999999</v>
      </c>
      <c r="AE124" s="7">
        <v>1931.9849999999999</v>
      </c>
      <c r="AF124" s="7">
        <v>383.52</v>
      </c>
      <c r="AG124" s="7">
        <v>11.532999999999999</v>
      </c>
      <c r="AH124" s="7">
        <v>6964.9070000000002</v>
      </c>
      <c r="AI124" s="7">
        <v>5611.0240000000003</v>
      </c>
      <c r="AJ124" s="7">
        <v>8.9999999999999993E-3</v>
      </c>
      <c r="AK124" s="7">
        <v>62523.552000000003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58.491999999999997</v>
      </c>
      <c r="AR124" s="7">
        <v>0</v>
      </c>
      <c r="AS124" s="7">
        <v>1.617</v>
      </c>
      <c r="AT124" s="7">
        <v>0</v>
      </c>
      <c r="AU124" s="7">
        <v>1.2150000000000001</v>
      </c>
      <c r="AV124" s="7">
        <v>0</v>
      </c>
      <c r="AW124" s="7">
        <v>47.456000000000003</v>
      </c>
      <c r="AX124" s="7">
        <v>0</v>
      </c>
      <c r="AY124" s="7">
        <v>0</v>
      </c>
      <c r="AZ124" s="7">
        <v>0</v>
      </c>
      <c r="BA124" s="7">
        <v>48.65</v>
      </c>
      <c r="BB124" s="7">
        <v>0</v>
      </c>
      <c r="BC124" s="7">
        <v>0</v>
      </c>
      <c r="BD124" s="7">
        <v>16.306000000000001</v>
      </c>
      <c r="BE124" s="7">
        <v>47.948</v>
      </c>
      <c r="BF124" s="7">
        <v>0</v>
      </c>
      <c r="BG124" s="7">
        <v>2.3879999999999999</v>
      </c>
      <c r="BH124" s="7">
        <v>2.3879999999999999</v>
      </c>
      <c r="BI124" s="7">
        <v>0</v>
      </c>
      <c r="BJ124" s="7">
        <v>49038.644999999997</v>
      </c>
      <c r="BK124" s="7">
        <v>18.184000000000001</v>
      </c>
      <c r="BL124" s="7">
        <v>0</v>
      </c>
      <c r="BM124" s="7">
        <v>0</v>
      </c>
      <c r="BN124" s="7">
        <v>0</v>
      </c>
      <c r="BO124" s="7">
        <v>0</v>
      </c>
      <c r="BP124" s="7">
        <v>0</v>
      </c>
      <c r="BQ124" s="7">
        <v>0</v>
      </c>
      <c r="BR124" s="21"/>
    </row>
    <row r="125" spans="1:70" ht="15.75" x14ac:dyDescent="0.25">
      <c r="A125" s="5" t="s">
        <v>234</v>
      </c>
      <c r="B125" s="5" t="s">
        <v>235</v>
      </c>
      <c r="C125" s="7">
        <v>4</v>
      </c>
      <c r="D125" s="7">
        <v>4</v>
      </c>
      <c r="E125" s="7">
        <v>0</v>
      </c>
      <c r="F125" s="7">
        <v>0</v>
      </c>
      <c r="G125" s="7">
        <v>0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0</v>
      </c>
      <c r="AV125" s="7">
        <v>0</v>
      </c>
      <c r="AW125" s="7">
        <v>0</v>
      </c>
      <c r="AX125" s="7">
        <v>0</v>
      </c>
      <c r="AY125" s="7">
        <v>0</v>
      </c>
      <c r="AZ125" s="7">
        <v>0</v>
      </c>
      <c r="BA125" s="7">
        <v>0</v>
      </c>
      <c r="BB125" s="7">
        <v>0</v>
      </c>
      <c r="BC125" s="7">
        <v>0</v>
      </c>
      <c r="BD125" s="7">
        <v>0</v>
      </c>
      <c r="BE125" s="7">
        <v>0</v>
      </c>
      <c r="BF125" s="7">
        <v>0</v>
      </c>
      <c r="BG125" s="7">
        <v>0</v>
      </c>
      <c r="BH125" s="7">
        <v>0</v>
      </c>
      <c r="BI125" s="7">
        <v>0</v>
      </c>
      <c r="BJ125" s="7">
        <v>0</v>
      </c>
      <c r="BK125" s="7">
        <v>0</v>
      </c>
      <c r="BL125" s="7">
        <v>0</v>
      </c>
      <c r="BM125" s="7">
        <v>0</v>
      </c>
      <c r="BN125" s="7">
        <v>0</v>
      </c>
      <c r="BO125" s="7">
        <v>0</v>
      </c>
      <c r="BP125" s="7">
        <v>0</v>
      </c>
      <c r="BQ125" s="7">
        <v>0</v>
      </c>
      <c r="BR125" s="21"/>
    </row>
    <row r="126" spans="1:70" ht="15.75" x14ac:dyDescent="0.25">
      <c r="A126" s="5" t="s">
        <v>228</v>
      </c>
      <c r="B126" s="5" t="s">
        <v>236</v>
      </c>
      <c r="C126" s="7">
        <v>4</v>
      </c>
      <c r="D126" s="7">
        <v>6</v>
      </c>
      <c r="E126" s="7">
        <v>0</v>
      </c>
      <c r="F126" s="7">
        <v>0</v>
      </c>
      <c r="G126" s="7">
        <v>0</v>
      </c>
      <c r="H126" s="7">
        <v>0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7">
        <v>0</v>
      </c>
      <c r="AV126" s="7">
        <v>0</v>
      </c>
      <c r="AW126" s="7">
        <v>0</v>
      </c>
      <c r="AX126" s="7">
        <v>0</v>
      </c>
      <c r="AY126" s="7">
        <v>0</v>
      </c>
      <c r="AZ126" s="7">
        <v>0</v>
      </c>
      <c r="BA126" s="7">
        <v>0</v>
      </c>
      <c r="BB126" s="7">
        <v>0</v>
      </c>
      <c r="BC126" s="7">
        <v>0</v>
      </c>
      <c r="BD126" s="7">
        <v>0</v>
      </c>
      <c r="BE126" s="7">
        <v>0</v>
      </c>
      <c r="BF126" s="7">
        <v>0</v>
      </c>
      <c r="BG126" s="7">
        <v>0</v>
      </c>
      <c r="BH126" s="7">
        <v>0</v>
      </c>
      <c r="BI126" s="7">
        <v>0</v>
      </c>
      <c r="BJ126" s="7">
        <v>0</v>
      </c>
      <c r="BK126" s="7">
        <v>0</v>
      </c>
      <c r="BL126" s="7">
        <v>0</v>
      </c>
      <c r="BM126" s="7">
        <v>0</v>
      </c>
      <c r="BN126" s="7">
        <v>0</v>
      </c>
      <c r="BO126" s="7">
        <v>0</v>
      </c>
      <c r="BP126" s="7">
        <v>0</v>
      </c>
      <c r="BQ126" s="7">
        <v>0</v>
      </c>
      <c r="BR126" s="21"/>
    </row>
    <row r="127" spans="1:70" ht="15.75" x14ac:dyDescent="0.25">
      <c r="A127" s="5" t="s">
        <v>237</v>
      </c>
      <c r="B127" s="5" t="s">
        <v>238</v>
      </c>
      <c r="C127" s="7">
        <v>4</v>
      </c>
      <c r="D127" s="7">
        <v>4</v>
      </c>
      <c r="E127" s="7">
        <v>14.829000000000001</v>
      </c>
      <c r="F127" s="7">
        <v>1.373</v>
      </c>
      <c r="G127" s="7">
        <v>4.1849999999999996</v>
      </c>
      <c r="H127" s="7">
        <v>0</v>
      </c>
      <c r="I127" s="7">
        <v>0.307</v>
      </c>
      <c r="J127" s="7">
        <v>3.0249999999999999</v>
      </c>
      <c r="K127" s="7">
        <v>0</v>
      </c>
      <c r="L127" s="7">
        <v>0</v>
      </c>
      <c r="M127" s="7">
        <v>3.61</v>
      </c>
      <c r="N127" s="7">
        <v>9.2750000000000004</v>
      </c>
      <c r="O127" s="7">
        <v>0</v>
      </c>
      <c r="P127" s="7">
        <v>0</v>
      </c>
      <c r="Q127" s="7">
        <v>0</v>
      </c>
      <c r="R127" s="7">
        <v>0</v>
      </c>
      <c r="S127" s="7">
        <v>102.161</v>
      </c>
      <c r="T127" s="7">
        <v>0.50900000000000001</v>
      </c>
      <c r="U127" s="7">
        <v>0</v>
      </c>
      <c r="V127" s="7">
        <v>0</v>
      </c>
      <c r="W127" s="7">
        <v>0.30099999999999999</v>
      </c>
      <c r="X127" s="7">
        <v>0.86299999999999999</v>
      </c>
      <c r="Y127" s="7">
        <v>0</v>
      </c>
      <c r="Z127" s="7">
        <v>1.361</v>
      </c>
      <c r="AA127" s="7">
        <v>0</v>
      </c>
      <c r="AB127" s="7">
        <v>3.8239999999999998</v>
      </c>
      <c r="AC127" s="7">
        <v>0</v>
      </c>
      <c r="AD127" s="7">
        <v>0.24399999999999999</v>
      </c>
      <c r="AE127" s="7">
        <v>0</v>
      </c>
      <c r="AF127" s="7">
        <v>4.1180000000000003</v>
      </c>
      <c r="AG127" s="7">
        <v>0</v>
      </c>
      <c r="AH127" s="7">
        <v>0</v>
      </c>
      <c r="AI127" s="7">
        <v>16.248000000000001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  <c r="AO127" s="7">
        <v>0</v>
      </c>
      <c r="AP127" s="7">
        <v>0</v>
      </c>
      <c r="AQ127" s="7">
        <v>0.06</v>
      </c>
      <c r="AR127" s="7">
        <v>0</v>
      </c>
      <c r="AS127" s="7">
        <v>0</v>
      </c>
      <c r="AT127" s="7">
        <v>0</v>
      </c>
      <c r="AU127" s="7">
        <v>2E-3</v>
      </c>
      <c r="AV127" s="7">
        <v>0</v>
      </c>
      <c r="AW127" s="7">
        <v>0.112</v>
      </c>
      <c r="AX127" s="7">
        <v>0</v>
      </c>
      <c r="AY127" s="7">
        <v>0</v>
      </c>
      <c r="AZ127" s="7">
        <v>0</v>
      </c>
      <c r="BA127" s="7">
        <v>0.05</v>
      </c>
      <c r="BB127" s="7">
        <v>0</v>
      </c>
      <c r="BC127" s="7">
        <v>0</v>
      </c>
      <c r="BD127" s="7">
        <v>1.7000000000000001E-2</v>
      </c>
      <c r="BE127" s="7">
        <v>3.3000000000000002E-2</v>
      </c>
      <c r="BF127" s="7">
        <v>0</v>
      </c>
      <c r="BG127" s="7">
        <v>3.0000000000000001E-3</v>
      </c>
      <c r="BH127" s="7">
        <v>3.0000000000000001E-3</v>
      </c>
      <c r="BI127" s="7">
        <v>0</v>
      </c>
      <c r="BJ127" s="7">
        <v>0</v>
      </c>
      <c r="BK127" s="7">
        <v>0.02</v>
      </c>
      <c r="BL127" s="7">
        <v>0</v>
      </c>
      <c r="BM127" s="7">
        <v>0</v>
      </c>
      <c r="BN127" s="7">
        <v>0</v>
      </c>
      <c r="BO127" s="7">
        <v>0</v>
      </c>
      <c r="BP127" s="7">
        <v>0</v>
      </c>
      <c r="BQ127" s="7">
        <v>0</v>
      </c>
      <c r="BR127" s="21"/>
    </row>
    <row r="128" spans="1:70" ht="15.75" x14ac:dyDescent="0.25">
      <c r="A128" s="5" t="s">
        <v>239</v>
      </c>
      <c r="B128" s="5" t="s">
        <v>240</v>
      </c>
      <c r="C128" s="7">
        <v>4</v>
      </c>
      <c r="D128" s="7">
        <v>3</v>
      </c>
      <c r="E128" s="7">
        <v>2844.5770000000002</v>
      </c>
      <c r="F128" s="7">
        <v>1737.377</v>
      </c>
      <c r="G128" s="7">
        <v>122.65300000000001</v>
      </c>
      <c r="H128" s="7">
        <v>267.89299999999997</v>
      </c>
      <c r="I128" s="7">
        <v>153.727</v>
      </c>
      <c r="J128" s="7">
        <v>1291.492</v>
      </c>
      <c r="K128" s="7">
        <v>0</v>
      </c>
      <c r="L128" s="7">
        <v>0</v>
      </c>
      <c r="M128" s="7">
        <v>4030.1460000000002</v>
      </c>
      <c r="N128" s="7">
        <v>1939.739</v>
      </c>
      <c r="O128" s="7">
        <v>0</v>
      </c>
      <c r="P128" s="7">
        <v>0</v>
      </c>
      <c r="Q128" s="7">
        <v>5.0000000000000001E-3</v>
      </c>
      <c r="R128" s="7">
        <v>0</v>
      </c>
      <c r="S128" s="7">
        <v>0.10100000000000001</v>
      </c>
      <c r="T128" s="7">
        <v>696.16800000000001</v>
      </c>
      <c r="U128" s="7">
        <v>0</v>
      </c>
      <c r="V128" s="7">
        <v>0</v>
      </c>
      <c r="W128" s="7">
        <v>124.95699999999999</v>
      </c>
      <c r="X128" s="7">
        <v>2.298</v>
      </c>
      <c r="Y128" s="7">
        <v>0</v>
      </c>
      <c r="Z128" s="7">
        <v>0.22600000000000001</v>
      </c>
      <c r="AA128" s="7">
        <v>0</v>
      </c>
      <c r="AB128" s="7">
        <v>2880.4520000000002</v>
      </c>
      <c r="AC128" s="7">
        <v>0</v>
      </c>
      <c r="AD128" s="7">
        <v>305.12599999999998</v>
      </c>
      <c r="AE128" s="7">
        <v>0</v>
      </c>
      <c r="AF128" s="7">
        <v>9.7829999999999995</v>
      </c>
      <c r="AG128" s="7">
        <v>31.844000000000001</v>
      </c>
      <c r="AH128" s="7">
        <v>0</v>
      </c>
      <c r="AI128" s="7">
        <v>9574.4869999999992</v>
      </c>
      <c r="AJ128" s="7">
        <v>2.4E-2</v>
      </c>
      <c r="AK128" s="7">
        <v>0</v>
      </c>
      <c r="AL128" s="7">
        <v>0</v>
      </c>
      <c r="AM128" s="7">
        <v>0</v>
      </c>
      <c r="AN128" s="7">
        <v>0</v>
      </c>
      <c r="AO128" s="7">
        <v>0</v>
      </c>
      <c r="AP128" s="7">
        <v>0</v>
      </c>
      <c r="AQ128" s="7">
        <v>106.645</v>
      </c>
      <c r="AR128" s="7">
        <v>0</v>
      </c>
      <c r="AS128" s="7">
        <v>4.4649999999999999</v>
      </c>
      <c r="AT128" s="7">
        <v>0</v>
      </c>
      <c r="AU128" s="7">
        <v>2.427</v>
      </c>
      <c r="AV128" s="7">
        <v>0</v>
      </c>
      <c r="AW128" s="7">
        <v>0.33</v>
      </c>
      <c r="AX128" s="7">
        <v>0</v>
      </c>
      <c r="AY128" s="7">
        <v>0</v>
      </c>
      <c r="AZ128" s="7">
        <v>0</v>
      </c>
      <c r="BA128" s="7">
        <v>83.683999999999997</v>
      </c>
      <c r="BB128" s="7">
        <v>0</v>
      </c>
      <c r="BC128" s="7">
        <v>0</v>
      </c>
      <c r="BD128" s="7">
        <v>28.542999999999999</v>
      </c>
      <c r="BE128" s="7">
        <v>72.207999999999998</v>
      </c>
      <c r="BF128" s="7">
        <v>0</v>
      </c>
      <c r="BG128" s="7">
        <v>4.3109999999999999</v>
      </c>
      <c r="BH128" s="7">
        <v>4.3109999999999999</v>
      </c>
      <c r="BI128" s="7">
        <v>0</v>
      </c>
      <c r="BJ128" s="7">
        <v>0</v>
      </c>
      <c r="BK128" s="7">
        <v>29.279</v>
      </c>
      <c r="BL128" s="7">
        <v>0</v>
      </c>
      <c r="BM128" s="7">
        <v>0</v>
      </c>
      <c r="BN128" s="7">
        <v>0</v>
      </c>
      <c r="BO128" s="7">
        <v>0</v>
      </c>
      <c r="BP128" s="7">
        <v>0</v>
      </c>
      <c r="BQ128" s="7">
        <v>0</v>
      </c>
      <c r="BR128" s="21"/>
    </row>
    <row r="129" spans="1:70" ht="15.75" x14ac:dyDescent="0.25">
      <c r="A129" s="5" t="s">
        <v>241</v>
      </c>
      <c r="B129" s="5" t="s">
        <v>242</v>
      </c>
      <c r="C129" s="7">
        <v>2</v>
      </c>
      <c r="D129" s="7">
        <v>2</v>
      </c>
      <c r="E129" s="7">
        <v>52626.678</v>
      </c>
      <c r="F129" s="7">
        <v>11632.038</v>
      </c>
      <c r="G129" s="7">
        <v>11345.567999999999</v>
      </c>
      <c r="H129" s="7">
        <v>0</v>
      </c>
      <c r="I129" s="7">
        <v>2277.39</v>
      </c>
      <c r="J129" s="7">
        <v>8937.3680000000004</v>
      </c>
      <c r="K129" s="7">
        <v>0</v>
      </c>
      <c r="L129" s="7">
        <v>0</v>
      </c>
      <c r="M129" s="7">
        <v>46624.944000000003</v>
      </c>
      <c r="N129" s="7">
        <v>41041.392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3343.248</v>
      </c>
      <c r="U129" s="7">
        <v>0</v>
      </c>
      <c r="V129" s="7">
        <v>0</v>
      </c>
      <c r="W129" s="7">
        <v>1214.653</v>
      </c>
      <c r="X129" s="7">
        <v>3256.8870000000002</v>
      </c>
      <c r="Y129" s="7">
        <v>0</v>
      </c>
      <c r="Z129" s="7">
        <v>9656.4410000000007</v>
      </c>
      <c r="AA129" s="7">
        <v>0</v>
      </c>
      <c r="AB129" s="7">
        <v>11825.675999999999</v>
      </c>
      <c r="AC129" s="7">
        <v>0</v>
      </c>
      <c r="AD129" s="7">
        <v>1595.558</v>
      </c>
      <c r="AE129" s="7">
        <v>0</v>
      </c>
      <c r="AF129" s="7">
        <v>27783.200000000001</v>
      </c>
      <c r="AG129" s="7">
        <v>0</v>
      </c>
      <c r="AH129" s="7">
        <v>0</v>
      </c>
      <c r="AI129" s="7">
        <v>170718.57800000001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0</v>
      </c>
      <c r="AP129" s="7">
        <v>0</v>
      </c>
      <c r="AQ129" s="7">
        <v>266.23599999999999</v>
      </c>
      <c r="AR129" s="7">
        <v>0</v>
      </c>
      <c r="AS129" s="7">
        <v>0</v>
      </c>
      <c r="AT129" s="7">
        <v>0</v>
      </c>
      <c r="AU129" s="7">
        <v>4.3250000000000002</v>
      </c>
      <c r="AV129" s="7">
        <v>0</v>
      </c>
      <c r="AW129" s="7">
        <v>0</v>
      </c>
      <c r="AX129" s="7">
        <v>0</v>
      </c>
      <c r="AY129" s="7">
        <v>0</v>
      </c>
      <c r="AZ129" s="7">
        <v>0</v>
      </c>
      <c r="BA129" s="7">
        <v>151.75700000000001</v>
      </c>
      <c r="BB129" s="7">
        <v>0</v>
      </c>
      <c r="BC129" s="7">
        <v>0</v>
      </c>
      <c r="BD129" s="7">
        <v>58.213000000000001</v>
      </c>
      <c r="BE129" s="7">
        <v>174.75700000000001</v>
      </c>
      <c r="BF129" s="7">
        <v>0</v>
      </c>
      <c r="BG129" s="7">
        <v>12.721</v>
      </c>
      <c r="BH129" s="7">
        <v>12.721</v>
      </c>
      <c r="BI129" s="7">
        <v>0</v>
      </c>
      <c r="BJ129" s="7">
        <v>0</v>
      </c>
      <c r="BK129" s="7">
        <v>67.608999999999995</v>
      </c>
      <c r="BL129" s="7">
        <v>0</v>
      </c>
      <c r="BM129" s="7">
        <v>0</v>
      </c>
      <c r="BN129" s="7">
        <v>0</v>
      </c>
      <c r="BO129" s="7">
        <v>0</v>
      </c>
      <c r="BP129" s="7">
        <v>0</v>
      </c>
      <c r="BQ129" s="7">
        <v>0</v>
      </c>
      <c r="BR129" s="21"/>
    </row>
    <row r="130" spans="1:70" ht="15.75" x14ac:dyDescent="0.25">
      <c r="A130" s="5" t="s">
        <v>243</v>
      </c>
      <c r="B130" s="5" t="s">
        <v>244</v>
      </c>
      <c r="C130" s="7">
        <v>4</v>
      </c>
      <c r="D130" s="7">
        <v>4</v>
      </c>
      <c r="E130" s="7">
        <v>35404.402999999998</v>
      </c>
      <c r="F130" s="7">
        <v>8066.0550000000003</v>
      </c>
      <c r="G130" s="7">
        <v>0</v>
      </c>
      <c r="H130" s="7">
        <v>0</v>
      </c>
      <c r="I130" s="7">
        <v>343.99299999999999</v>
      </c>
      <c r="J130" s="7">
        <v>0</v>
      </c>
      <c r="K130" s="7">
        <v>0</v>
      </c>
      <c r="L130" s="7">
        <v>0</v>
      </c>
      <c r="M130" s="7">
        <v>98230.256999999998</v>
      </c>
      <c r="N130" s="7">
        <v>7621.3869999999997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2545.029</v>
      </c>
      <c r="U130" s="7">
        <v>0</v>
      </c>
      <c r="V130" s="7">
        <v>0</v>
      </c>
      <c r="W130" s="7">
        <v>0</v>
      </c>
      <c r="X130" s="7">
        <v>664.14400000000001</v>
      </c>
      <c r="Y130" s="7">
        <v>0</v>
      </c>
      <c r="Z130" s="7">
        <v>16570.073</v>
      </c>
      <c r="AA130" s="7">
        <v>0</v>
      </c>
      <c r="AB130" s="7">
        <v>0</v>
      </c>
      <c r="AC130" s="7">
        <v>6.3390000000000004</v>
      </c>
      <c r="AD130" s="7">
        <v>1489.8340000000001</v>
      </c>
      <c r="AE130" s="7">
        <v>0</v>
      </c>
      <c r="AF130" s="7">
        <v>42180.938999999998</v>
      </c>
      <c r="AG130" s="7">
        <v>20116.976999999999</v>
      </c>
      <c r="AH130" s="7">
        <v>0</v>
      </c>
      <c r="AI130" s="7">
        <v>160222.717</v>
      </c>
      <c r="AJ130" s="7">
        <v>34434.447</v>
      </c>
      <c r="AK130" s="7">
        <v>0</v>
      </c>
      <c r="AL130" s="7">
        <v>0</v>
      </c>
      <c r="AM130" s="7">
        <v>0</v>
      </c>
      <c r="AN130" s="7">
        <v>0</v>
      </c>
      <c r="AO130" s="7">
        <v>0</v>
      </c>
      <c r="AP130" s="7">
        <v>0</v>
      </c>
      <c r="AQ130" s="7">
        <v>350.63900000000001</v>
      </c>
      <c r="AR130" s="7">
        <v>0</v>
      </c>
      <c r="AS130" s="7">
        <v>6164.24</v>
      </c>
      <c r="AT130" s="7">
        <v>0</v>
      </c>
      <c r="AU130" s="7">
        <v>26.920999999999999</v>
      </c>
      <c r="AV130" s="7">
        <v>0</v>
      </c>
      <c r="AW130" s="7">
        <v>187.553</v>
      </c>
      <c r="AX130" s="7">
        <v>0</v>
      </c>
      <c r="AY130" s="7">
        <v>0</v>
      </c>
      <c r="AZ130" s="7">
        <v>0</v>
      </c>
      <c r="BA130" s="7">
        <v>60.658999999999999</v>
      </c>
      <c r="BB130" s="7">
        <v>0</v>
      </c>
      <c r="BC130" s="7">
        <v>0</v>
      </c>
      <c r="BD130" s="7">
        <v>84.311999999999998</v>
      </c>
      <c r="BE130" s="7">
        <v>0</v>
      </c>
      <c r="BF130" s="7">
        <v>0</v>
      </c>
      <c r="BG130" s="7">
        <v>12.81</v>
      </c>
      <c r="BH130" s="7">
        <v>12.81</v>
      </c>
      <c r="BI130" s="7">
        <v>0</v>
      </c>
      <c r="BJ130" s="7">
        <v>0</v>
      </c>
      <c r="BK130" s="7">
        <v>0</v>
      </c>
      <c r="BL130" s="7">
        <v>0</v>
      </c>
      <c r="BM130" s="7">
        <v>0</v>
      </c>
      <c r="BN130" s="7">
        <v>0</v>
      </c>
      <c r="BO130" s="7">
        <v>0</v>
      </c>
      <c r="BP130" s="7">
        <v>0</v>
      </c>
      <c r="BQ130" s="7">
        <v>0</v>
      </c>
      <c r="BR130" s="21"/>
    </row>
    <row r="131" spans="1:70" ht="15.75" x14ac:dyDescent="0.25">
      <c r="A131" s="5" t="s">
        <v>245</v>
      </c>
      <c r="B131" s="5" t="s">
        <v>246</v>
      </c>
      <c r="C131" s="7">
        <v>4</v>
      </c>
      <c r="D131" s="7">
        <v>6</v>
      </c>
      <c r="E131" s="7">
        <v>2213.3989999999999</v>
      </c>
      <c r="F131" s="7">
        <v>671.74599999999998</v>
      </c>
      <c r="G131" s="7">
        <v>18.675000000000001</v>
      </c>
      <c r="H131" s="7">
        <v>41.177</v>
      </c>
      <c r="I131" s="7">
        <v>40.887999999999998</v>
      </c>
      <c r="J131" s="7">
        <v>198.328</v>
      </c>
      <c r="K131" s="7">
        <v>0</v>
      </c>
      <c r="L131" s="7">
        <v>0</v>
      </c>
      <c r="M131" s="7">
        <v>5548.3410000000003</v>
      </c>
      <c r="N131" s="7">
        <v>680.33399999999995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234.709</v>
      </c>
      <c r="U131" s="7">
        <v>0</v>
      </c>
      <c r="V131" s="7">
        <v>0</v>
      </c>
      <c r="W131" s="7">
        <v>19.207000000000001</v>
      </c>
      <c r="X131" s="7">
        <v>33.68</v>
      </c>
      <c r="Y131" s="7">
        <v>0</v>
      </c>
      <c r="Z131" s="7">
        <v>831.471</v>
      </c>
      <c r="AA131" s="7">
        <v>0</v>
      </c>
      <c r="AB131" s="7">
        <v>442.75</v>
      </c>
      <c r="AC131" s="7">
        <v>0.31900000000000001</v>
      </c>
      <c r="AD131" s="7">
        <v>121.654</v>
      </c>
      <c r="AE131" s="7">
        <v>0</v>
      </c>
      <c r="AF131" s="7">
        <v>2117.4119999999998</v>
      </c>
      <c r="AG131" s="7">
        <v>1014.319</v>
      </c>
      <c r="AH131" s="7">
        <v>0</v>
      </c>
      <c r="AI131" s="7">
        <v>9510.6509999999998</v>
      </c>
      <c r="AJ131" s="7">
        <v>1727.85</v>
      </c>
      <c r="AK131" s="7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  <c r="AQ131" s="7">
        <v>33.985999999999997</v>
      </c>
      <c r="AR131" s="7">
        <v>0</v>
      </c>
      <c r="AS131" s="7">
        <v>309.99200000000002</v>
      </c>
      <c r="AT131" s="7">
        <v>0</v>
      </c>
      <c r="AU131" s="7">
        <v>1.722</v>
      </c>
      <c r="AV131" s="7">
        <v>0</v>
      </c>
      <c r="AW131" s="7">
        <v>9.4830000000000005</v>
      </c>
      <c r="AX131" s="7">
        <v>0</v>
      </c>
      <c r="AY131" s="7">
        <v>0</v>
      </c>
      <c r="AZ131" s="7">
        <v>0</v>
      </c>
      <c r="BA131" s="7">
        <v>15.904</v>
      </c>
      <c r="BB131" s="7">
        <v>0</v>
      </c>
      <c r="BC131" s="7">
        <v>0</v>
      </c>
      <c r="BD131" s="7">
        <v>8.6159999999999997</v>
      </c>
      <c r="BE131" s="7">
        <v>11.099</v>
      </c>
      <c r="BF131" s="7">
        <v>0</v>
      </c>
      <c r="BG131" s="7">
        <v>1.3069999999999999</v>
      </c>
      <c r="BH131" s="7">
        <v>1.3069999999999999</v>
      </c>
      <c r="BI131" s="7">
        <v>0</v>
      </c>
      <c r="BJ131" s="7">
        <v>0</v>
      </c>
      <c r="BK131" s="7">
        <v>4.5</v>
      </c>
      <c r="BL131" s="7">
        <v>0</v>
      </c>
      <c r="BM131" s="7">
        <v>0</v>
      </c>
      <c r="BN131" s="7">
        <v>0</v>
      </c>
      <c r="BO131" s="7">
        <v>0</v>
      </c>
      <c r="BP131" s="7">
        <v>0</v>
      </c>
      <c r="BQ131" s="7">
        <v>0</v>
      </c>
      <c r="BR131" s="21"/>
    </row>
    <row r="132" spans="1:70" ht="15.75" x14ac:dyDescent="0.25">
      <c r="A132" s="5" t="s">
        <v>247</v>
      </c>
      <c r="B132" s="5" t="s">
        <v>248</v>
      </c>
      <c r="C132" s="7">
        <v>6</v>
      </c>
      <c r="D132" s="7">
        <v>6</v>
      </c>
      <c r="E132" s="7">
        <v>47227.932999999997</v>
      </c>
      <c r="F132" s="7">
        <v>430.62099999999998</v>
      </c>
      <c r="G132" s="7">
        <v>0</v>
      </c>
      <c r="H132" s="7">
        <v>0</v>
      </c>
      <c r="I132" s="7">
        <v>0</v>
      </c>
      <c r="J132" s="7">
        <v>0</v>
      </c>
      <c r="K132" s="7">
        <v>0</v>
      </c>
      <c r="L132" s="7">
        <v>0</v>
      </c>
      <c r="M132" s="7">
        <v>81062.868000000002</v>
      </c>
      <c r="N132" s="7">
        <v>12284.4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4720.8739999999998</v>
      </c>
      <c r="AA132" s="7">
        <v>0</v>
      </c>
      <c r="AB132" s="7">
        <v>0</v>
      </c>
      <c r="AC132" s="7">
        <v>0</v>
      </c>
      <c r="AD132" s="7">
        <v>0</v>
      </c>
      <c r="AE132" s="7">
        <v>0</v>
      </c>
      <c r="AF132" s="7">
        <v>25158.499</v>
      </c>
      <c r="AG132" s="7">
        <v>81.933000000000007</v>
      </c>
      <c r="AH132" s="7">
        <v>0</v>
      </c>
      <c r="AI132" s="7">
        <v>119693.773</v>
      </c>
      <c r="AJ132" s="7">
        <v>52.283999999999999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  <c r="AX132" s="7">
        <v>0</v>
      </c>
      <c r="AY132" s="7">
        <v>0</v>
      </c>
      <c r="AZ132" s="7">
        <v>0</v>
      </c>
      <c r="BA132" s="7">
        <v>0</v>
      </c>
      <c r="BB132" s="7">
        <v>0</v>
      </c>
      <c r="BC132" s="7">
        <v>0</v>
      </c>
      <c r="BD132" s="7">
        <v>0</v>
      </c>
      <c r="BE132" s="7">
        <v>0</v>
      </c>
      <c r="BF132" s="7">
        <v>0</v>
      </c>
      <c r="BG132" s="7">
        <v>0</v>
      </c>
      <c r="BH132" s="7">
        <v>0</v>
      </c>
      <c r="BI132" s="7">
        <v>0</v>
      </c>
      <c r="BJ132" s="7">
        <v>0</v>
      </c>
      <c r="BK132" s="7">
        <v>0</v>
      </c>
      <c r="BL132" s="7">
        <v>0</v>
      </c>
      <c r="BM132" s="7">
        <v>0</v>
      </c>
      <c r="BN132" s="7">
        <v>0</v>
      </c>
      <c r="BO132" s="7">
        <v>0</v>
      </c>
      <c r="BP132" s="7">
        <v>0</v>
      </c>
      <c r="BQ132" s="7">
        <v>0</v>
      </c>
      <c r="BR132" s="21"/>
    </row>
    <row r="133" spans="1:70" ht="15.75" x14ac:dyDescent="0.25">
      <c r="A133" s="5" t="s">
        <v>249</v>
      </c>
      <c r="B133" s="5" t="s">
        <v>250</v>
      </c>
      <c r="C133" s="7">
        <v>6</v>
      </c>
      <c r="D133" s="7">
        <v>6</v>
      </c>
      <c r="E133" s="7">
        <v>66175.842000000004</v>
      </c>
      <c r="F133" s="7">
        <v>5338.549</v>
      </c>
      <c r="G133" s="7">
        <v>7610.1310000000003</v>
      </c>
      <c r="H133" s="7">
        <v>0</v>
      </c>
      <c r="I133" s="7">
        <v>1334.125</v>
      </c>
      <c r="J133" s="7">
        <v>4646.6580000000004</v>
      </c>
      <c r="K133" s="7">
        <v>0</v>
      </c>
      <c r="L133" s="7">
        <v>0</v>
      </c>
      <c r="M133" s="7">
        <v>62981.790999999997</v>
      </c>
      <c r="N133" s="7">
        <v>21445.892</v>
      </c>
      <c r="O133" s="7">
        <v>0</v>
      </c>
      <c r="P133" s="7">
        <v>0</v>
      </c>
      <c r="Q133" s="7">
        <v>248.07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668.77800000000002</v>
      </c>
      <c r="X133" s="7">
        <v>2052.33</v>
      </c>
      <c r="Y133" s="7">
        <v>0</v>
      </c>
      <c r="Z133" s="7">
        <v>16239.784</v>
      </c>
      <c r="AA133" s="7">
        <v>0</v>
      </c>
      <c r="AB133" s="7">
        <v>5724.9960000000001</v>
      </c>
      <c r="AC133" s="7">
        <v>0</v>
      </c>
      <c r="AD133" s="7">
        <v>860.51300000000003</v>
      </c>
      <c r="AE133" s="7">
        <v>0</v>
      </c>
      <c r="AF133" s="7">
        <v>52985.591</v>
      </c>
      <c r="AG133" s="7">
        <v>0</v>
      </c>
      <c r="AH133" s="7">
        <v>0</v>
      </c>
      <c r="AI133" s="7">
        <v>130778.202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7">
        <v>0</v>
      </c>
      <c r="AV133" s="7">
        <v>0</v>
      </c>
      <c r="AW133" s="7">
        <v>0</v>
      </c>
      <c r="AX133" s="7">
        <v>0</v>
      </c>
      <c r="AY133" s="7">
        <v>0</v>
      </c>
      <c r="AZ133" s="7">
        <v>0</v>
      </c>
      <c r="BA133" s="7">
        <v>0</v>
      </c>
      <c r="BB133" s="7">
        <v>0</v>
      </c>
      <c r="BC133" s="7">
        <v>0</v>
      </c>
      <c r="BD133" s="7">
        <v>0</v>
      </c>
      <c r="BE133" s="7">
        <v>0</v>
      </c>
      <c r="BF133" s="7">
        <v>0</v>
      </c>
      <c r="BG133" s="7">
        <v>0</v>
      </c>
      <c r="BH133" s="7">
        <v>0</v>
      </c>
      <c r="BI133" s="7">
        <v>0</v>
      </c>
      <c r="BJ133" s="7">
        <v>0</v>
      </c>
      <c r="BK133" s="7">
        <v>0</v>
      </c>
      <c r="BL133" s="7">
        <v>0</v>
      </c>
      <c r="BM133" s="7">
        <v>0</v>
      </c>
      <c r="BN133" s="7">
        <v>0</v>
      </c>
      <c r="BO133" s="7">
        <v>0</v>
      </c>
      <c r="BP133" s="7">
        <v>0</v>
      </c>
      <c r="BQ133" s="7">
        <v>0</v>
      </c>
      <c r="BR133" s="21"/>
    </row>
    <row r="134" spans="1:70" ht="15.75" x14ac:dyDescent="0.25">
      <c r="A134" s="5" t="s">
        <v>251</v>
      </c>
      <c r="B134" s="5" t="s">
        <v>252</v>
      </c>
      <c r="C134" s="7">
        <v>6</v>
      </c>
      <c r="D134" s="7">
        <v>6</v>
      </c>
      <c r="E134" s="7">
        <v>12023.587</v>
      </c>
      <c r="F134" s="7">
        <v>0</v>
      </c>
      <c r="G134" s="7">
        <v>0</v>
      </c>
      <c r="H134" s="7">
        <v>0</v>
      </c>
      <c r="I134" s="7">
        <v>0</v>
      </c>
      <c r="J134" s="7">
        <v>0</v>
      </c>
      <c r="K134" s="7">
        <v>0</v>
      </c>
      <c r="L134" s="7">
        <v>0</v>
      </c>
      <c r="M134" s="7">
        <v>62725.972000000002</v>
      </c>
      <c r="N134" s="7">
        <v>1970.712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228.46899999999999</v>
      </c>
      <c r="AC134" s="7">
        <v>0</v>
      </c>
      <c r="AD134" s="7">
        <v>0</v>
      </c>
      <c r="AE134" s="7">
        <v>0</v>
      </c>
      <c r="AF134" s="7">
        <v>14654.837</v>
      </c>
      <c r="AG134" s="7">
        <v>0</v>
      </c>
      <c r="AH134" s="7">
        <v>0</v>
      </c>
      <c r="AI134" s="7">
        <v>85849.813999999998</v>
      </c>
      <c r="AJ134" s="7">
        <v>15906.858</v>
      </c>
      <c r="AK134" s="7">
        <v>0</v>
      </c>
      <c r="AL134" s="7">
        <v>0</v>
      </c>
      <c r="AM134" s="7">
        <v>0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0</v>
      </c>
      <c r="AT134" s="7">
        <v>0</v>
      </c>
      <c r="AU134" s="7">
        <v>0</v>
      </c>
      <c r="AV134" s="7">
        <v>0</v>
      </c>
      <c r="AW134" s="7">
        <v>0</v>
      </c>
      <c r="AX134" s="7">
        <v>0</v>
      </c>
      <c r="AY134" s="7">
        <v>0</v>
      </c>
      <c r="AZ134" s="7">
        <v>0</v>
      </c>
      <c r="BA134" s="7">
        <v>0</v>
      </c>
      <c r="BB134" s="7">
        <v>0</v>
      </c>
      <c r="BC134" s="7">
        <v>0</v>
      </c>
      <c r="BD134" s="7">
        <v>0</v>
      </c>
      <c r="BE134" s="7">
        <v>0</v>
      </c>
      <c r="BF134" s="7">
        <v>0</v>
      </c>
      <c r="BG134" s="7">
        <v>0</v>
      </c>
      <c r="BH134" s="7">
        <v>0</v>
      </c>
      <c r="BI134" s="7">
        <v>0</v>
      </c>
      <c r="BJ134" s="7">
        <v>0</v>
      </c>
      <c r="BK134" s="7">
        <v>0</v>
      </c>
      <c r="BL134" s="7">
        <v>0</v>
      </c>
      <c r="BM134" s="7">
        <v>0</v>
      </c>
      <c r="BN134" s="7">
        <v>0</v>
      </c>
      <c r="BO134" s="7">
        <v>0</v>
      </c>
      <c r="BP134" s="7">
        <v>0</v>
      </c>
      <c r="BQ134" s="7">
        <v>0</v>
      </c>
      <c r="BR134" s="21"/>
    </row>
    <row r="135" spans="1:70" ht="15.75" x14ac:dyDescent="0.25">
      <c r="A135" s="5" t="s">
        <v>253</v>
      </c>
      <c r="B135" s="5" t="s">
        <v>254</v>
      </c>
      <c r="C135" s="7">
        <v>6</v>
      </c>
      <c r="D135" s="7">
        <v>6</v>
      </c>
      <c r="E135" s="7">
        <v>188015.12700000001</v>
      </c>
      <c r="F135" s="7">
        <v>14405.138000000001</v>
      </c>
      <c r="G135" s="7">
        <v>8401.7340000000004</v>
      </c>
      <c r="H135" s="7">
        <v>6021.04</v>
      </c>
      <c r="I135" s="7">
        <v>1205.8920000000001</v>
      </c>
      <c r="J135" s="7">
        <v>5854.6</v>
      </c>
      <c r="K135" s="7">
        <v>0</v>
      </c>
      <c r="L135" s="7">
        <v>0</v>
      </c>
      <c r="M135" s="7">
        <v>303697.57</v>
      </c>
      <c r="N135" s="7">
        <v>63432.436000000002</v>
      </c>
      <c r="O135" s="7">
        <v>0</v>
      </c>
      <c r="P135" s="7">
        <v>0</v>
      </c>
      <c r="Q135" s="7">
        <v>206.34800000000001</v>
      </c>
      <c r="R135" s="7">
        <v>0</v>
      </c>
      <c r="S135" s="7">
        <v>110.003</v>
      </c>
      <c r="T135" s="7">
        <v>3229.5439999999999</v>
      </c>
      <c r="U135" s="7">
        <v>0</v>
      </c>
      <c r="V135" s="7">
        <v>0</v>
      </c>
      <c r="W135" s="7">
        <v>886.68600000000004</v>
      </c>
      <c r="X135" s="7">
        <v>2744.24</v>
      </c>
      <c r="Y135" s="7">
        <v>0</v>
      </c>
      <c r="Z135" s="7">
        <v>28500.254000000001</v>
      </c>
      <c r="AA135" s="7">
        <v>0</v>
      </c>
      <c r="AB135" s="7">
        <v>8293.4150000000009</v>
      </c>
      <c r="AC135" s="7">
        <v>0</v>
      </c>
      <c r="AD135" s="7">
        <v>1349.5360000000001</v>
      </c>
      <c r="AE135" s="7">
        <v>0</v>
      </c>
      <c r="AF135" s="7">
        <v>105316.932</v>
      </c>
      <c r="AG135" s="7">
        <v>227.89699999999999</v>
      </c>
      <c r="AH135" s="7">
        <v>0</v>
      </c>
      <c r="AI135" s="7">
        <v>438764.783</v>
      </c>
      <c r="AJ135" s="7">
        <v>414.33800000000002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0</v>
      </c>
      <c r="AT135" s="7">
        <v>0</v>
      </c>
      <c r="AU135" s="7">
        <v>163.643</v>
      </c>
      <c r="AV135" s="7">
        <v>0</v>
      </c>
      <c r="AW135" s="7">
        <v>0</v>
      </c>
      <c r="AX135" s="7">
        <v>0</v>
      </c>
      <c r="AY135" s="7">
        <v>0</v>
      </c>
      <c r="AZ135" s="7">
        <v>0</v>
      </c>
      <c r="BA135" s="7">
        <v>0</v>
      </c>
      <c r="BB135" s="7">
        <v>0</v>
      </c>
      <c r="BC135" s="7">
        <v>0</v>
      </c>
      <c r="BD135" s="7">
        <v>0</v>
      </c>
      <c r="BE135" s="7">
        <v>0</v>
      </c>
      <c r="BF135" s="7">
        <v>0</v>
      </c>
      <c r="BG135" s="7">
        <v>0</v>
      </c>
      <c r="BH135" s="7">
        <v>0</v>
      </c>
      <c r="BI135" s="7">
        <v>0</v>
      </c>
      <c r="BJ135" s="7">
        <v>0</v>
      </c>
      <c r="BK135" s="7">
        <v>0</v>
      </c>
      <c r="BL135" s="7">
        <v>0</v>
      </c>
      <c r="BM135" s="7">
        <v>0</v>
      </c>
      <c r="BN135" s="7">
        <v>0</v>
      </c>
      <c r="BO135" s="7">
        <v>0</v>
      </c>
      <c r="BP135" s="7">
        <v>0</v>
      </c>
      <c r="BQ135" s="7">
        <v>0</v>
      </c>
      <c r="BR135" s="21"/>
    </row>
    <row r="136" spans="1:70" ht="15.75" x14ac:dyDescent="0.25">
      <c r="A136" s="5" t="s">
        <v>255</v>
      </c>
      <c r="B136" s="5" t="s">
        <v>256</v>
      </c>
      <c r="C136" s="7">
        <v>6</v>
      </c>
      <c r="D136" s="7">
        <v>6</v>
      </c>
      <c r="E136" s="7">
        <v>5678.1750000000002</v>
      </c>
      <c r="F136" s="7">
        <v>32.494</v>
      </c>
      <c r="G136" s="7">
        <v>0</v>
      </c>
      <c r="H136" s="7">
        <v>0</v>
      </c>
      <c r="I136" s="7">
        <v>0</v>
      </c>
      <c r="J136" s="7">
        <v>0</v>
      </c>
      <c r="K136" s="7">
        <v>0</v>
      </c>
      <c r="L136" s="7">
        <v>0</v>
      </c>
      <c r="M136" s="7">
        <v>7472.7669999999998</v>
      </c>
      <c r="N136" s="7">
        <v>589.60199999999998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338</v>
      </c>
      <c r="AA136" s="7">
        <v>0</v>
      </c>
      <c r="AB136" s="7">
        <v>0</v>
      </c>
      <c r="AC136" s="7">
        <v>0</v>
      </c>
      <c r="AD136" s="7">
        <v>0</v>
      </c>
      <c r="AE136" s="7">
        <v>0</v>
      </c>
      <c r="AF136" s="7">
        <v>2167.201</v>
      </c>
      <c r="AG136" s="7">
        <v>187.703</v>
      </c>
      <c r="AH136" s="7">
        <v>0</v>
      </c>
      <c r="AI136" s="7">
        <v>10859.753000000001</v>
      </c>
      <c r="AJ136" s="7">
        <v>619.66700000000003</v>
      </c>
      <c r="AK136" s="7">
        <v>0</v>
      </c>
      <c r="AL136" s="7">
        <v>0</v>
      </c>
      <c r="AM136" s="7">
        <v>0</v>
      </c>
      <c r="AN136" s="7">
        <v>0</v>
      </c>
      <c r="AO136" s="7">
        <v>0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0</v>
      </c>
      <c r="AV136" s="7">
        <v>0</v>
      </c>
      <c r="AW136" s="7">
        <v>0</v>
      </c>
      <c r="AX136" s="7">
        <v>0</v>
      </c>
      <c r="AY136" s="7">
        <v>0</v>
      </c>
      <c r="AZ136" s="7">
        <v>0</v>
      </c>
      <c r="BA136" s="7">
        <v>0</v>
      </c>
      <c r="BB136" s="7">
        <v>0</v>
      </c>
      <c r="BC136" s="7">
        <v>0</v>
      </c>
      <c r="BD136" s="7">
        <v>0</v>
      </c>
      <c r="BE136" s="7">
        <v>0</v>
      </c>
      <c r="BF136" s="7">
        <v>0</v>
      </c>
      <c r="BG136" s="7">
        <v>0</v>
      </c>
      <c r="BH136" s="7">
        <v>0</v>
      </c>
      <c r="BI136" s="7">
        <v>0</v>
      </c>
      <c r="BJ136" s="7">
        <v>0</v>
      </c>
      <c r="BK136" s="7">
        <v>0</v>
      </c>
      <c r="BL136" s="7">
        <v>0</v>
      </c>
      <c r="BM136" s="7">
        <v>0</v>
      </c>
      <c r="BN136" s="7">
        <v>0</v>
      </c>
      <c r="BO136" s="7">
        <v>0</v>
      </c>
      <c r="BP136" s="7">
        <v>0</v>
      </c>
      <c r="BQ136" s="7">
        <v>0</v>
      </c>
      <c r="BR136" s="21"/>
    </row>
    <row r="137" spans="1:70" ht="15.75" x14ac:dyDescent="0.25">
      <c r="A137" s="5" t="s">
        <v>257</v>
      </c>
      <c r="B137" s="5" t="s">
        <v>258</v>
      </c>
      <c r="C137" s="7">
        <v>6</v>
      </c>
      <c r="D137" s="7">
        <v>6</v>
      </c>
      <c r="E137" s="7">
        <v>45410.942000000003</v>
      </c>
      <c r="F137" s="7">
        <v>1846.7239999999999</v>
      </c>
      <c r="G137" s="7">
        <v>0</v>
      </c>
      <c r="H137" s="7">
        <v>0</v>
      </c>
      <c r="I137" s="7">
        <v>1.157</v>
      </c>
      <c r="J137" s="7">
        <v>0</v>
      </c>
      <c r="K137" s="7">
        <v>0</v>
      </c>
      <c r="L137" s="7">
        <v>0</v>
      </c>
      <c r="M137" s="7">
        <v>89493.517000000007</v>
      </c>
      <c r="N137" s="7">
        <v>24440.853999999999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1766.8050000000001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25030.120999999999</v>
      </c>
      <c r="AG137" s="7">
        <v>1631.0350000000001</v>
      </c>
      <c r="AH137" s="7">
        <v>0</v>
      </c>
      <c r="AI137" s="7">
        <v>140238.60200000001</v>
      </c>
      <c r="AJ137" s="7">
        <v>2158.5639999999999</v>
      </c>
      <c r="AK137" s="7">
        <v>0</v>
      </c>
      <c r="AL137" s="7">
        <v>0</v>
      </c>
      <c r="AM137" s="7">
        <v>0</v>
      </c>
      <c r="AN137" s="7">
        <v>0</v>
      </c>
      <c r="AO137" s="7">
        <v>0</v>
      </c>
      <c r="AP137" s="7">
        <v>0</v>
      </c>
      <c r="AQ137" s="7">
        <v>0</v>
      </c>
      <c r="AR137" s="7">
        <v>0</v>
      </c>
      <c r="AS137" s="7">
        <v>0</v>
      </c>
      <c r="AT137" s="7">
        <v>0</v>
      </c>
      <c r="AU137" s="7">
        <v>0</v>
      </c>
      <c r="AV137" s="7">
        <v>0</v>
      </c>
      <c r="AW137" s="7">
        <v>0</v>
      </c>
      <c r="AX137" s="7">
        <v>0</v>
      </c>
      <c r="AY137" s="7">
        <v>0</v>
      </c>
      <c r="AZ137" s="7">
        <v>0</v>
      </c>
      <c r="BA137" s="7">
        <v>0</v>
      </c>
      <c r="BB137" s="7">
        <v>0</v>
      </c>
      <c r="BC137" s="7">
        <v>0</v>
      </c>
      <c r="BD137" s="7">
        <v>0</v>
      </c>
      <c r="BE137" s="7">
        <v>0</v>
      </c>
      <c r="BF137" s="7">
        <v>0</v>
      </c>
      <c r="BG137" s="7">
        <v>0</v>
      </c>
      <c r="BH137" s="7">
        <v>0</v>
      </c>
      <c r="BI137" s="7">
        <v>0</v>
      </c>
      <c r="BJ137" s="7">
        <v>0</v>
      </c>
      <c r="BK137" s="7">
        <v>0</v>
      </c>
      <c r="BL137" s="7">
        <v>0</v>
      </c>
      <c r="BM137" s="7">
        <v>0</v>
      </c>
      <c r="BN137" s="7">
        <v>0</v>
      </c>
      <c r="BO137" s="7">
        <v>0</v>
      </c>
      <c r="BP137" s="7">
        <v>0</v>
      </c>
      <c r="BQ137" s="7">
        <v>0</v>
      </c>
      <c r="BR137" s="21"/>
    </row>
    <row r="138" spans="1:70" ht="15.75" x14ac:dyDescent="0.25">
      <c r="A138" s="5" t="s">
        <v>259</v>
      </c>
      <c r="B138" s="5" t="s">
        <v>260</v>
      </c>
      <c r="C138" s="7">
        <v>6</v>
      </c>
      <c r="D138" s="7">
        <v>6</v>
      </c>
      <c r="E138" s="7">
        <v>22442.003000000001</v>
      </c>
      <c r="F138" s="7">
        <v>-3.0000000000000001E-3</v>
      </c>
      <c r="G138" s="7">
        <v>-4.0000000000000001E-3</v>
      </c>
      <c r="H138" s="7">
        <v>0</v>
      </c>
      <c r="I138" s="7">
        <v>0</v>
      </c>
      <c r="J138" s="7">
        <v>-3.0000000000000001E-3</v>
      </c>
      <c r="K138" s="7">
        <v>0</v>
      </c>
      <c r="L138" s="7">
        <v>0</v>
      </c>
      <c r="M138" s="7">
        <v>47479.925999999999</v>
      </c>
      <c r="N138" s="7">
        <v>3763.4839999999999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-1E-3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-2E-3</v>
      </c>
      <c r="AA138" s="7">
        <v>0</v>
      </c>
      <c r="AB138" s="7">
        <v>-3.0000000000000001E-3</v>
      </c>
      <c r="AC138" s="7">
        <v>0</v>
      </c>
      <c r="AD138" s="7">
        <v>0</v>
      </c>
      <c r="AE138" s="7">
        <v>0</v>
      </c>
      <c r="AF138" s="7">
        <v>8605.0990000000002</v>
      </c>
      <c r="AG138" s="7">
        <v>0</v>
      </c>
      <c r="AH138" s="7">
        <v>0</v>
      </c>
      <c r="AI138" s="7">
        <v>85895.489000000001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  <c r="AO138" s="7">
        <v>0</v>
      </c>
      <c r="AP138" s="7">
        <v>0</v>
      </c>
      <c r="AQ138" s="7">
        <v>0</v>
      </c>
      <c r="AR138" s="7">
        <v>0</v>
      </c>
      <c r="AS138" s="7">
        <v>0</v>
      </c>
      <c r="AT138" s="7">
        <v>0</v>
      </c>
      <c r="AU138" s="7">
        <v>0</v>
      </c>
      <c r="AV138" s="7">
        <v>0</v>
      </c>
      <c r="AW138" s="7">
        <v>0</v>
      </c>
      <c r="AX138" s="7">
        <v>0</v>
      </c>
      <c r="AY138" s="7">
        <v>0</v>
      </c>
      <c r="AZ138" s="7">
        <v>0</v>
      </c>
      <c r="BA138" s="7">
        <v>0</v>
      </c>
      <c r="BB138" s="7">
        <v>0</v>
      </c>
      <c r="BC138" s="7">
        <v>0</v>
      </c>
      <c r="BD138" s="7">
        <v>0</v>
      </c>
      <c r="BE138" s="7">
        <v>0</v>
      </c>
      <c r="BF138" s="7">
        <v>0</v>
      </c>
      <c r="BG138" s="7">
        <v>0</v>
      </c>
      <c r="BH138" s="7">
        <v>0</v>
      </c>
      <c r="BI138" s="7">
        <v>0</v>
      </c>
      <c r="BJ138" s="7">
        <v>0</v>
      </c>
      <c r="BK138" s="7">
        <v>0</v>
      </c>
      <c r="BL138" s="7">
        <v>0</v>
      </c>
      <c r="BM138" s="7">
        <v>0</v>
      </c>
      <c r="BN138" s="7">
        <v>0</v>
      </c>
      <c r="BO138" s="7">
        <v>0</v>
      </c>
      <c r="BP138" s="7">
        <v>0</v>
      </c>
      <c r="BQ138" s="7">
        <v>0</v>
      </c>
      <c r="BR138" s="21"/>
    </row>
    <row r="139" spans="1:70" ht="15.75" x14ac:dyDescent="0.25">
      <c r="A139" s="5" t="s">
        <v>261</v>
      </c>
      <c r="B139" s="5" t="s">
        <v>262</v>
      </c>
      <c r="C139" s="7">
        <v>6</v>
      </c>
      <c r="D139" s="7">
        <v>6</v>
      </c>
      <c r="E139" s="7">
        <v>981714.60499999998</v>
      </c>
      <c r="F139" s="7">
        <v>18503.830000000002</v>
      </c>
      <c r="G139" s="7">
        <v>21540.272000000001</v>
      </c>
      <c r="H139" s="7">
        <v>1922.518</v>
      </c>
      <c r="I139" s="7">
        <v>4192.2910000000002</v>
      </c>
      <c r="J139" s="7">
        <v>12884.037</v>
      </c>
      <c r="K139" s="7">
        <v>0</v>
      </c>
      <c r="L139" s="7">
        <v>0</v>
      </c>
      <c r="M139" s="7">
        <v>992967.09699999995</v>
      </c>
      <c r="N139" s="7">
        <v>308664.391</v>
      </c>
      <c r="O139" s="7">
        <v>0</v>
      </c>
      <c r="P139" s="7">
        <v>0</v>
      </c>
      <c r="Q139" s="7">
        <v>711.74800000000005</v>
      </c>
      <c r="R139" s="7">
        <v>0</v>
      </c>
      <c r="S139" s="7">
        <v>0.55400000000000005</v>
      </c>
      <c r="T139" s="7">
        <v>0</v>
      </c>
      <c r="U139" s="7">
        <v>0</v>
      </c>
      <c r="V139" s="7">
        <v>0</v>
      </c>
      <c r="W139" s="7">
        <v>1381.818</v>
      </c>
      <c r="X139" s="7">
        <v>4343.7719999999999</v>
      </c>
      <c r="Y139" s="7">
        <v>0</v>
      </c>
      <c r="Z139" s="7">
        <v>125320.808</v>
      </c>
      <c r="AA139" s="7">
        <v>0</v>
      </c>
      <c r="AB139" s="7">
        <v>14450.041999999999</v>
      </c>
      <c r="AC139" s="7">
        <v>0</v>
      </c>
      <c r="AD139" s="7">
        <v>1786.5619999999999</v>
      </c>
      <c r="AE139" s="7">
        <v>0</v>
      </c>
      <c r="AF139" s="7">
        <v>520740.27100000001</v>
      </c>
      <c r="AG139" s="7">
        <v>8422.402</v>
      </c>
      <c r="AH139" s="7">
        <v>0</v>
      </c>
      <c r="AI139" s="7">
        <v>2059423.1610000001</v>
      </c>
      <c r="AJ139" s="7">
        <v>22494.708999999999</v>
      </c>
      <c r="AK139" s="7">
        <v>0</v>
      </c>
      <c r="AL139" s="7">
        <v>0</v>
      </c>
      <c r="AM139" s="7">
        <v>0</v>
      </c>
      <c r="AN139" s="7">
        <v>0</v>
      </c>
      <c r="AO139" s="7">
        <v>0</v>
      </c>
      <c r="AP139" s="7">
        <v>0</v>
      </c>
      <c r="AQ139" s="7">
        <v>0</v>
      </c>
      <c r="AR139" s="7">
        <v>0</v>
      </c>
      <c r="AS139" s="7">
        <v>0</v>
      </c>
      <c r="AT139" s="7">
        <v>0</v>
      </c>
      <c r="AU139" s="7">
        <v>0</v>
      </c>
      <c r="AV139" s="7">
        <v>0</v>
      </c>
      <c r="AW139" s="7">
        <v>135.36500000000001</v>
      </c>
      <c r="AX139" s="7">
        <v>0</v>
      </c>
      <c r="AY139" s="7">
        <v>0</v>
      </c>
      <c r="AZ139" s="7">
        <v>0</v>
      </c>
      <c r="BA139" s="7">
        <v>0</v>
      </c>
      <c r="BB139" s="7">
        <v>0</v>
      </c>
      <c r="BC139" s="7">
        <v>0</v>
      </c>
      <c r="BD139" s="7">
        <v>0</v>
      </c>
      <c r="BE139" s="7">
        <v>0</v>
      </c>
      <c r="BF139" s="7">
        <v>0</v>
      </c>
      <c r="BG139" s="7">
        <v>0</v>
      </c>
      <c r="BH139" s="7">
        <v>0</v>
      </c>
      <c r="BI139" s="7">
        <v>0</v>
      </c>
      <c r="BJ139" s="7">
        <v>0</v>
      </c>
      <c r="BK139" s="7">
        <v>0</v>
      </c>
      <c r="BL139" s="7">
        <v>0</v>
      </c>
      <c r="BM139" s="7">
        <v>0</v>
      </c>
      <c r="BN139" s="7">
        <v>0</v>
      </c>
      <c r="BO139" s="7">
        <v>0</v>
      </c>
      <c r="BP139" s="7">
        <v>0</v>
      </c>
      <c r="BQ139" s="7">
        <v>0</v>
      </c>
      <c r="BR139" s="21"/>
    </row>
    <row r="140" spans="1:70" ht="15.75" x14ac:dyDescent="0.25">
      <c r="A140" s="5" t="s">
        <v>263</v>
      </c>
      <c r="B140" s="5" t="s">
        <v>264</v>
      </c>
      <c r="C140" s="7">
        <v>4</v>
      </c>
      <c r="D140" s="7">
        <v>4</v>
      </c>
      <c r="E140" s="7">
        <v>156.76300000000001</v>
      </c>
      <c r="F140" s="7">
        <v>30.084</v>
      </c>
      <c r="G140" s="7">
        <v>8.968</v>
      </c>
      <c r="H140" s="7">
        <v>0</v>
      </c>
      <c r="I140" s="7">
        <v>2.153</v>
      </c>
      <c r="J140" s="7">
        <v>5.6630000000000003</v>
      </c>
      <c r="K140" s="7">
        <v>0</v>
      </c>
      <c r="L140" s="7">
        <v>0</v>
      </c>
      <c r="M140" s="7">
        <v>316.94</v>
      </c>
      <c r="N140" s="7">
        <v>54.545999999999999</v>
      </c>
      <c r="O140" s="7">
        <v>0</v>
      </c>
      <c r="P140" s="7">
        <v>0</v>
      </c>
      <c r="Q140" s="7">
        <v>5.0000000000000001E-3</v>
      </c>
      <c r="R140" s="7">
        <v>0</v>
      </c>
      <c r="S140" s="7">
        <v>0</v>
      </c>
      <c r="T140" s="7">
        <v>9.7780000000000005</v>
      </c>
      <c r="U140" s="7">
        <v>0</v>
      </c>
      <c r="V140" s="7">
        <v>0</v>
      </c>
      <c r="W140" s="7">
        <v>0.98099999999999998</v>
      </c>
      <c r="X140" s="7">
        <v>3.9409999999999998</v>
      </c>
      <c r="Y140" s="7">
        <v>0</v>
      </c>
      <c r="Z140" s="7">
        <v>50.686999999999998</v>
      </c>
      <c r="AA140" s="7">
        <v>0</v>
      </c>
      <c r="AB140" s="7">
        <v>7.1829999999999998</v>
      </c>
      <c r="AC140" s="7">
        <v>0</v>
      </c>
      <c r="AD140" s="7">
        <v>5.3730000000000002</v>
      </c>
      <c r="AE140" s="7">
        <v>0</v>
      </c>
      <c r="AF140" s="7">
        <v>122.563</v>
      </c>
      <c r="AG140" s="7">
        <v>60.854999999999997</v>
      </c>
      <c r="AH140" s="7">
        <v>0</v>
      </c>
      <c r="AI140" s="7">
        <v>535.00300000000004</v>
      </c>
      <c r="AJ140" s="7">
        <v>109.714</v>
      </c>
      <c r="AK140" s="7">
        <v>0</v>
      </c>
      <c r="AL140" s="7">
        <v>0</v>
      </c>
      <c r="AM140" s="7">
        <v>0</v>
      </c>
      <c r="AN140" s="7">
        <v>0</v>
      </c>
      <c r="AO140" s="7">
        <v>0</v>
      </c>
      <c r="AP140" s="7">
        <v>0</v>
      </c>
      <c r="AQ140" s="7">
        <v>0.96599999999999997</v>
      </c>
      <c r="AR140" s="7">
        <v>0</v>
      </c>
      <c r="AS140" s="7">
        <v>18.414999999999999</v>
      </c>
      <c r="AT140" s="7">
        <v>0</v>
      </c>
      <c r="AU140" s="7">
        <v>9.1999999999999998E-2</v>
      </c>
      <c r="AV140" s="7">
        <v>0</v>
      </c>
      <c r="AW140" s="7">
        <v>1.119</v>
      </c>
      <c r="AX140" s="7">
        <v>0</v>
      </c>
      <c r="AY140" s="7">
        <v>0</v>
      </c>
      <c r="AZ140" s="7">
        <v>0</v>
      </c>
      <c r="BA140" s="7">
        <v>0.317</v>
      </c>
      <c r="BB140" s="7">
        <v>1.127</v>
      </c>
      <c r="BC140" s="7">
        <v>0</v>
      </c>
      <c r="BD140" s="7">
        <v>0.313</v>
      </c>
      <c r="BE140" s="7">
        <v>0.155</v>
      </c>
      <c r="BF140" s="7">
        <v>1.617</v>
      </c>
      <c r="BG140" s="7">
        <v>4.3999999999999997E-2</v>
      </c>
      <c r="BH140" s="7">
        <v>4.3999999999999997E-2</v>
      </c>
      <c r="BI140" s="7">
        <v>0.91</v>
      </c>
      <c r="BJ140" s="7">
        <v>0</v>
      </c>
      <c r="BK140" s="7">
        <v>0.05</v>
      </c>
      <c r="BL140" s="7">
        <v>0</v>
      </c>
      <c r="BM140" s="7">
        <v>0</v>
      </c>
      <c r="BN140" s="7">
        <v>0</v>
      </c>
      <c r="BO140" s="7">
        <v>0</v>
      </c>
      <c r="BP140" s="7">
        <v>0</v>
      </c>
      <c r="BQ140" s="7">
        <v>0</v>
      </c>
      <c r="BR140" s="21"/>
    </row>
    <row r="141" spans="1:70" ht="15.75" x14ac:dyDescent="0.25">
      <c r="A141" s="5" t="s">
        <v>265</v>
      </c>
      <c r="B141" s="5" t="s">
        <v>266</v>
      </c>
      <c r="C141" s="7">
        <v>6</v>
      </c>
      <c r="D141" s="7">
        <v>6</v>
      </c>
      <c r="E141" s="7">
        <v>2979.5079999999998</v>
      </c>
      <c r="F141" s="7">
        <v>4.4009999999999998</v>
      </c>
      <c r="G141" s="7">
        <v>0</v>
      </c>
      <c r="H141" s="7">
        <v>0</v>
      </c>
      <c r="I141" s="7">
        <v>0.23100000000000001</v>
      </c>
      <c r="J141" s="7">
        <v>0</v>
      </c>
      <c r="K141" s="7">
        <v>0</v>
      </c>
      <c r="L141" s="7">
        <v>0</v>
      </c>
      <c r="M141" s="7">
        <v>5451.7510000000002</v>
      </c>
      <c r="N141" s="7">
        <v>1029.374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1.3280000000000001</v>
      </c>
      <c r="U141" s="7">
        <v>0</v>
      </c>
      <c r="V141" s="7">
        <v>0</v>
      </c>
      <c r="W141" s="7">
        <v>0</v>
      </c>
      <c r="X141" s="7">
        <v>0.38100000000000001</v>
      </c>
      <c r="Y141" s="7">
        <v>0</v>
      </c>
      <c r="Z141" s="7">
        <v>658.99300000000005</v>
      </c>
      <c r="AA141" s="7">
        <v>0</v>
      </c>
      <c r="AB141" s="7">
        <v>0</v>
      </c>
      <c r="AC141" s="7">
        <v>0</v>
      </c>
      <c r="AD141" s="7">
        <v>0.80100000000000005</v>
      </c>
      <c r="AE141" s="7">
        <v>0</v>
      </c>
      <c r="AF141" s="7">
        <v>2929.9369999999999</v>
      </c>
      <c r="AG141" s="7">
        <v>10.808</v>
      </c>
      <c r="AH141" s="7">
        <v>0</v>
      </c>
      <c r="AI141" s="7">
        <v>12355.716</v>
      </c>
      <c r="AJ141" s="7">
        <v>19.364000000000001</v>
      </c>
      <c r="AK141" s="7">
        <v>0</v>
      </c>
      <c r="AL141" s="7">
        <v>0</v>
      </c>
      <c r="AM141" s="7">
        <v>0</v>
      </c>
      <c r="AN141" s="7">
        <v>0</v>
      </c>
      <c r="AO141" s="7">
        <v>0</v>
      </c>
      <c r="AP141" s="7">
        <v>0</v>
      </c>
      <c r="AQ141" s="7">
        <v>0.14699999999999999</v>
      </c>
      <c r="AR141" s="7">
        <v>0</v>
      </c>
      <c r="AS141" s="7">
        <v>3.2930000000000001</v>
      </c>
      <c r="AT141" s="7">
        <v>0</v>
      </c>
      <c r="AU141" s="7">
        <v>1.2999999999999999E-2</v>
      </c>
      <c r="AV141" s="7">
        <v>0</v>
      </c>
      <c r="AW141" s="7">
        <v>9.1999999999999998E-2</v>
      </c>
      <c r="AX141" s="7">
        <v>0</v>
      </c>
      <c r="AY141" s="7">
        <v>0</v>
      </c>
      <c r="AZ141" s="7">
        <v>0</v>
      </c>
      <c r="BA141" s="7">
        <v>3.3000000000000002E-2</v>
      </c>
      <c r="BB141" s="7">
        <v>0.20200000000000001</v>
      </c>
      <c r="BC141" s="7">
        <v>0</v>
      </c>
      <c r="BD141" s="7">
        <v>4.8000000000000001E-2</v>
      </c>
      <c r="BE141" s="7">
        <v>0</v>
      </c>
      <c r="BF141" s="7">
        <v>0.28899999999999998</v>
      </c>
      <c r="BG141" s="7">
        <v>7.0000000000000001E-3</v>
      </c>
      <c r="BH141" s="7">
        <v>7.0000000000000001E-3</v>
      </c>
      <c r="BI141" s="7">
        <v>0.16300000000000001</v>
      </c>
      <c r="BJ141" s="7">
        <v>0</v>
      </c>
      <c r="BK141" s="7">
        <v>0</v>
      </c>
      <c r="BL141" s="7">
        <v>0</v>
      </c>
      <c r="BM141" s="7">
        <v>0</v>
      </c>
      <c r="BN141" s="7">
        <v>0</v>
      </c>
      <c r="BO141" s="7">
        <v>0</v>
      </c>
      <c r="BP141" s="7">
        <v>0</v>
      </c>
      <c r="BQ141" s="7">
        <v>0</v>
      </c>
      <c r="BR141" s="21"/>
    </row>
    <row r="142" spans="1:70" ht="15.75" x14ac:dyDescent="0.25">
      <c r="A142" s="5" t="s">
        <v>267</v>
      </c>
      <c r="B142" s="5" t="s">
        <v>268</v>
      </c>
      <c r="C142" s="7">
        <v>4</v>
      </c>
      <c r="D142" s="7">
        <v>4</v>
      </c>
      <c r="E142" s="7">
        <v>35.662999999999997</v>
      </c>
      <c r="F142" s="7">
        <v>7.3449999999999998</v>
      </c>
      <c r="G142" s="7">
        <v>0</v>
      </c>
      <c r="H142" s="7">
        <v>0</v>
      </c>
      <c r="I142" s="7">
        <v>0.38400000000000001</v>
      </c>
      <c r="J142" s="7">
        <v>0</v>
      </c>
      <c r="K142" s="7">
        <v>0</v>
      </c>
      <c r="L142" s="7">
        <v>0</v>
      </c>
      <c r="M142" s="7">
        <v>89.778999999999996</v>
      </c>
      <c r="N142" s="7">
        <v>9.0350000000000001</v>
      </c>
      <c r="O142" s="7">
        <v>0</v>
      </c>
      <c r="P142" s="7">
        <v>0</v>
      </c>
      <c r="Q142" s="7">
        <v>1E-3</v>
      </c>
      <c r="R142" s="7">
        <v>0</v>
      </c>
      <c r="S142" s="7">
        <v>0</v>
      </c>
      <c r="T142" s="7">
        <v>2.2170000000000001</v>
      </c>
      <c r="U142" s="7">
        <v>0</v>
      </c>
      <c r="V142" s="7">
        <v>0</v>
      </c>
      <c r="W142" s="7">
        <v>0</v>
      </c>
      <c r="X142" s="7">
        <v>0.63500000000000001</v>
      </c>
      <c r="Y142" s="7">
        <v>0</v>
      </c>
      <c r="Z142" s="7">
        <v>13.869</v>
      </c>
      <c r="AA142" s="7">
        <v>0</v>
      </c>
      <c r="AB142" s="7">
        <v>0</v>
      </c>
      <c r="AC142" s="7">
        <v>0</v>
      </c>
      <c r="AD142" s="7">
        <v>1.3380000000000001</v>
      </c>
      <c r="AE142" s="7">
        <v>0</v>
      </c>
      <c r="AF142" s="7">
        <v>34.735999999999997</v>
      </c>
      <c r="AG142" s="7">
        <v>18.042000000000002</v>
      </c>
      <c r="AH142" s="7">
        <v>0</v>
      </c>
      <c r="AI142" s="7">
        <v>148.239</v>
      </c>
      <c r="AJ142" s="7">
        <v>32.298999999999999</v>
      </c>
      <c r="AK142" s="7">
        <v>0</v>
      </c>
      <c r="AL142" s="7">
        <v>0</v>
      </c>
      <c r="AM142" s="7">
        <v>0</v>
      </c>
      <c r="AN142" s="7">
        <v>0</v>
      </c>
      <c r="AO142" s="7">
        <v>0</v>
      </c>
      <c r="AP142" s="7">
        <v>0</v>
      </c>
      <c r="AQ142" s="7">
        <v>0.247</v>
      </c>
      <c r="AR142" s="7">
        <v>0</v>
      </c>
      <c r="AS142" s="7">
        <v>5.4969999999999999</v>
      </c>
      <c r="AT142" s="7">
        <v>0</v>
      </c>
      <c r="AU142" s="7">
        <v>2.1000000000000001E-2</v>
      </c>
      <c r="AV142" s="7">
        <v>0</v>
      </c>
      <c r="AW142" s="7">
        <v>0.154</v>
      </c>
      <c r="AX142" s="7">
        <v>0</v>
      </c>
      <c r="AY142" s="7">
        <v>0</v>
      </c>
      <c r="AZ142" s="7">
        <v>0</v>
      </c>
      <c r="BA142" s="7">
        <v>5.5E-2</v>
      </c>
      <c r="BB142" s="7">
        <v>0.33</v>
      </c>
      <c r="BC142" s="7">
        <v>0</v>
      </c>
      <c r="BD142" s="7">
        <v>0.08</v>
      </c>
      <c r="BE142" s="7">
        <v>0</v>
      </c>
      <c r="BF142" s="7">
        <v>0.47399999999999998</v>
      </c>
      <c r="BG142" s="7">
        <v>1.0999999999999999E-2</v>
      </c>
      <c r="BH142" s="7">
        <v>1.0999999999999999E-2</v>
      </c>
      <c r="BI142" s="7">
        <v>0.26700000000000002</v>
      </c>
      <c r="BJ142" s="7">
        <v>0</v>
      </c>
      <c r="BK142" s="7">
        <v>0</v>
      </c>
      <c r="BL142" s="7">
        <v>0</v>
      </c>
      <c r="BM142" s="7">
        <v>0</v>
      </c>
      <c r="BN142" s="7">
        <v>0</v>
      </c>
      <c r="BO142" s="7">
        <v>0</v>
      </c>
      <c r="BP142" s="7">
        <v>0</v>
      </c>
      <c r="BQ142" s="7">
        <v>0</v>
      </c>
      <c r="BR142" s="21"/>
    </row>
    <row r="143" spans="1:70" ht="15.75" x14ac:dyDescent="0.25">
      <c r="A143" s="5" t="s">
        <v>269</v>
      </c>
      <c r="B143" s="5" t="s">
        <v>270</v>
      </c>
      <c r="C143" s="7">
        <v>6</v>
      </c>
      <c r="D143" s="7">
        <v>6</v>
      </c>
      <c r="E143" s="7">
        <v>2181.2530000000002</v>
      </c>
      <c r="F143" s="7">
        <v>13.63</v>
      </c>
      <c r="G143" s="7">
        <v>19.428999999999998</v>
      </c>
      <c r="H143" s="7">
        <v>0</v>
      </c>
      <c r="I143" s="7">
        <v>3.4060000000000001</v>
      </c>
      <c r="J143" s="7">
        <v>11.863</v>
      </c>
      <c r="K143" s="7">
        <v>0</v>
      </c>
      <c r="L143" s="7">
        <v>0</v>
      </c>
      <c r="M143" s="7">
        <v>3315.86</v>
      </c>
      <c r="N143" s="7">
        <v>723.04399999999998</v>
      </c>
      <c r="O143" s="7">
        <v>0</v>
      </c>
      <c r="P143" s="7">
        <v>0</v>
      </c>
      <c r="Q143" s="7">
        <v>0.63300000000000001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1.7070000000000001</v>
      </c>
      <c r="X143" s="7">
        <v>5.24</v>
      </c>
      <c r="Y143" s="7">
        <v>0</v>
      </c>
      <c r="Z143" s="7">
        <v>654.31600000000003</v>
      </c>
      <c r="AA143" s="7">
        <v>0</v>
      </c>
      <c r="AB143" s="7">
        <v>14.616</v>
      </c>
      <c r="AC143" s="7">
        <v>0</v>
      </c>
      <c r="AD143" s="7">
        <v>2.1970000000000001</v>
      </c>
      <c r="AE143" s="7">
        <v>0</v>
      </c>
      <c r="AF143" s="7">
        <v>2566.4490000000001</v>
      </c>
      <c r="AG143" s="7">
        <v>0</v>
      </c>
      <c r="AH143" s="7">
        <v>0</v>
      </c>
      <c r="AI143" s="7">
        <v>6971.9539999999997</v>
      </c>
      <c r="AJ143" s="7">
        <v>0</v>
      </c>
      <c r="AK143" s="7">
        <v>0</v>
      </c>
      <c r="AL143" s="7">
        <v>0</v>
      </c>
      <c r="AM143" s="7">
        <v>0</v>
      </c>
      <c r="AN143" s="7">
        <v>0</v>
      </c>
      <c r="AO143" s="7">
        <v>0</v>
      </c>
      <c r="AP143" s="7">
        <v>0</v>
      </c>
      <c r="AQ143" s="7">
        <v>0</v>
      </c>
      <c r="AR143" s="7">
        <v>0</v>
      </c>
      <c r="AS143" s="7">
        <v>0</v>
      </c>
      <c r="AT143" s="7">
        <v>0</v>
      </c>
      <c r="AU143" s="7">
        <v>0</v>
      </c>
      <c r="AV143" s="7">
        <v>0</v>
      </c>
      <c r="AW143" s="7">
        <v>0</v>
      </c>
      <c r="AX143" s="7">
        <v>0</v>
      </c>
      <c r="AY143" s="7">
        <v>0</v>
      </c>
      <c r="AZ143" s="7">
        <v>0</v>
      </c>
      <c r="BA143" s="7">
        <v>0</v>
      </c>
      <c r="BB143" s="7">
        <v>0</v>
      </c>
      <c r="BC143" s="7">
        <v>0</v>
      </c>
      <c r="BD143" s="7">
        <v>0</v>
      </c>
      <c r="BE143" s="7">
        <v>0</v>
      </c>
      <c r="BF143" s="7">
        <v>0</v>
      </c>
      <c r="BG143" s="7">
        <v>0</v>
      </c>
      <c r="BH143" s="7">
        <v>0</v>
      </c>
      <c r="BI143" s="7">
        <v>0</v>
      </c>
      <c r="BJ143" s="7">
        <v>0</v>
      </c>
      <c r="BK143" s="7">
        <v>0</v>
      </c>
      <c r="BL143" s="7">
        <v>0</v>
      </c>
      <c r="BM143" s="7">
        <v>0</v>
      </c>
      <c r="BN143" s="7">
        <v>0</v>
      </c>
      <c r="BO143" s="7">
        <v>0</v>
      </c>
      <c r="BP143" s="7">
        <v>0</v>
      </c>
      <c r="BQ143" s="7">
        <v>0</v>
      </c>
      <c r="BR143" s="21"/>
    </row>
    <row r="144" spans="1:70" ht="15.75" x14ac:dyDescent="0.25">
      <c r="A144" s="5" t="s">
        <v>271</v>
      </c>
      <c r="B144" s="5" t="s">
        <v>272</v>
      </c>
      <c r="C144" s="7">
        <v>4</v>
      </c>
      <c r="D144" s="7">
        <v>4</v>
      </c>
      <c r="E144" s="7">
        <v>0</v>
      </c>
      <c r="F144" s="7">
        <v>0</v>
      </c>
      <c r="G144" s="7">
        <v>0</v>
      </c>
      <c r="H144" s="7">
        <v>0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0</v>
      </c>
      <c r="AF144" s="7">
        <v>0</v>
      </c>
      <c r="AG144" s="7">
        <v>0</v>
      </c>
      <c r="AH144" s="7">
        <v>0</v>
      </c>
      <c r="AI144" s="7">
        <v>0</v>
      </c>
      <c r="AJ144" s="7">
        <v>0</v>
      </c>
      <c r="AK144" s="7">
        <v>0</v>
      </c>
      <c r="AL144" s="7">
        <v>0</v>
      </c>
      <c r="AM144" s="7">
        <v>0</v>
      </c>
      <c r="AN144" s="7">
        <v>0</v>
      </c>
      <c r="AO144" s="7">
        <v>0</v>
      </c>
      <c r="AP144" s="7">
        <v>0</v>
      </c>
      <c r="AQ144" s="7">
        <v>0</v>
      </c>
      <c r="AR144" s="7">
        <v>0</v>
      </c>
      <c r="AS144" s="7">
        <v>0</v>
      </c>
      <c r="AT144" s="7">
        <v>0</v>
      </c>
      <c r="AU144" s="7">
        <v>0</v>
      </c>
      <c r="AV144" s="7">
        <v>0</v>
      </c>
      <c r="AW144" s="7">
        <v>0</v>
      </c>
      <c r="AX144" s="7">
        <v>0</v>
      </c>
      <c r="AY144" s="7">
        <v>0</v>
      </c>
      <c r="AZ144" s="7">
        <v>0</v>
      </c>
      <c r="BA144" s="7">
        <v>0</v>
      </c>
      <c r="BB144" s="7">
        <v>0</v>
      </c>
      <c r="BC144" s="7">
        <v>0</v>
      </c>
      <c r="BD144" s="7">
        <v>0</v>
      </c>
      <c r="BE144" s="7">
        <v>0</v>
      </c>
      <c r="BF144" s="7">
        <v>0</v>
      </c>
      <c r="BG144" s="7">
        <v>0</v>
      </c>
      <c r="BH144" s="7">
        <v>0</v>
      </c>
      <c r="BI144" s="7">
        <v>0</v>
      </c>
      <c r="BJ144" s="7">
        <v>0</v>
      </c>
      <c r="BK144" s="7">
        <v>0</v>
      </c>
      <c r="BL144" s="7">
        <v>0</v>
      </c>
      <c r="BM144" s="7">
        <v>0</v>
      </c>
      <c r="BN144" s="7">
        <v>0</v>
      </c>
      <c r="BO144" s="7">
        <v>0</v>
      </c>
      <c r="BP144" s="7">
        <v>0</v>
      </c>
      <c r="BQ144" s="7">
        <v>0</v>
      </c>
      <c r="BR144" s="21"/>
    </row>
    <row r="145" spans="1:70" ht="15.75" x14ac:dyDescent="0.25">
      <c r="A145" s="5" t="s">
        <v>273</v>
      </c>
      <c r="B145" s="5" t="s">
        <v>274</v>
      </c>
      <c r="C145" s="7">
        <v>6</v>
      </c>
      <c r="D145" s="7">
        <v>6</v>
      </c>
      <c r="E145" s="7">
        <v>2031.578</v>
      </c>
      <c r="F145" s="7">
        <v>27.547999999999998</v>
      </c>
      <c r="G145" s="7">
        <v>-272.17700000000002</v>
      </c>
      <c r="H145" s="7">
        <v>0</v>
      </c>
      <c r="I145" s="7">
        <v>-38.57</v>
      </c>
      <c r="J145" s="7">
        <v>-214.405</v>
      </c>
      <c r="K145" s="7">
        <v>0</v>
      </c>
      <c r="L145" s="7">
        <v>0</v>
      </c>
      <c r="M145" s="7">
        <v>4623.34</v>
      </c>
      <c r="N145" s="7">
        <v>-605.87599999999998</v>
      </c>
      <c r="O145" s="7">
        <v>0</v>
      </c>
      <c r="P145" s="7">
        <v>48.457000000000001</v>
      </c>
      <c r="Q145" s="7">
        <v>5.1999999999999998E-2</v>
      </c>
      <c r="R145" s="7">
        <v>101.518</v>
      </c>
      <c r="S145" s="7">
        <v>0</v>
      </c>
      <c r="T145" s="7">
        <v>12.281000000000001</v>
      </c>
      <c r="U145" s="7">
        <v>0</v>
      </c>
      <c r="V145" s="7">
        <v>0</v>
      </c>
      <c r="W145" s="7">
        <v>-29.138999999999999</v>
      </c>
      <c r="X145" s="7">
        <v>-51.597999999999999</v>
      </c>
      <c r="Y145" s="7">
        <v>0</v>
      </c>
      <c r="Z145" s="7">
        <v>346.404</v>
      </c>
      <c r="AA145" s="7">
        <v>0</v>
      </c>
      <c r="AB145" s="7">
        <v>-283.69400000000002</v>
      </c>
      <c r="AC145" s="7">
        <v>4084.4520000000002</v>
      </c>
      <c r="AD145" s="7">
        <v>17.553999999999998</v>
      </c>
      <c r="AE145" s="7">
        <v>0</v>
      </c>
      <c r="AF145" s="7">
        <v>4695.2650000000003</v>
      </c>
      <c r="AG145" s="7">
        <v>752.94399999999996</v>
      </c>
      <c r="AH145" s="7">
        <v>0</v>
      </c>
      <c r="AI145" s="7">
        <v>2094.328</v>
      </c>
      <c r="AJ145" s="7">
        <v>1348.992</v>
      </c>
      <c r="AK145" s="7">
        <v>0</v>
      </c>
      <c r="AL145" s="7">
        <v>0</v>
      </c>
      <c r="AM145" s="7">
        <v>0</v>
      </c>
      <c r="AN145" s="7">
        <v>0</v>
      </c>
      <c r="AO145" s="7">
        <v>0</v>
      </c>
      <c r="AP145" s="7">
        <v>0</v>
      </c>
      <c r="AQ145" s="7">
        <v>3.8860000000000001</v>
      </c>
      <c r="AR145" s="7">
        <v>0</v>
      </c>
      <c r="AS145" s="7">
        <v>229.38300000000001</v>
      </c>
      <c r="AT145" s="7">
        <v>0</v>
      </c>
      <c r="AU145" s="7">
        <v>0.78800000000000003</v>
      </c>
      <c r="AV145" s="7">
        <v>0</v>
      </c>
      <c r="AW145" s="7">
        <v>6.4370000000000003</v>
      </c>
      <c r="AX145" s="7">
        <v>0</v>
      </c>
      <c r="AY145" s="7">
        <v>0</v>
      </c>
      <c r="AZ145" s="7">
        <v>0</v>
      </c>
      <c r="BA145" s="7">
        <v>-1.325</v>
      </c>
      <c r="BB145" s="7">
        <v>14.039</v>
      </c>
      <c r="BC145" s="7">
        <v>0</v>
      </c>
      <c r="BD145" s="7">
        <v>1.931</v>
      </c>
      <c r="BE145" s="7">
        <v>-4.1920000000000002</v>
      </c>
      <c r="BF145" s="7">
        <v>20.138999999999999</v>
      </c>
      <c r="BG145" s="7">
        <v>0.16400000000000001</v>
      </c>
      <c r="BH145" s="7">
        <v>0.16400000000000001</v>
      </c>
      <c r="BI145" s="7">
        <v>11.33</v>
      </c>
      <c r="BJ145" s="7">
        <v>0</v>
      </c>
      <c r="BK145" s="7">
        <v>-1.6220000000000001</v>
      </c>
      <c r="BL145" s="7">
        <v>0</v>
      </c>
      <c r="BM145" s="7">
        <v>0</v>
      </c>
      <c r="BN145" s="7">
        <v>0</v>
      </c>
      <c r="BO145" s="7">
        <v>0</v>
      </c>
      <c r="BP145" s="7">
        <v>0</v>
      </c>
      <c r="BQ145" s="7">
        <v>0</v>
      </c>
      <c r="BR145" s="21"/>
    </row>
    <row r="146" spans="1:70" ht="15.75" x14ac:dyDescent="0.25">
      <c r="A146" s="5" t="s">
        <v>275</v>
      </c>
      <c r="B146" s="5" t="s">
        <v>276</v>
      </c>
      <c r="C146" s="7">
        <v>6</v>
      </c>
      <c r="D146" s="7">
        <v>6</v>
      </c>
      <c r="E146" s="7">
        <v>12170.308999999999</v>
      </c>
      <c r="F146" s="7">
        <v>2381.3040000000001</v>
      </c>
      <c r="G146" s="7">
        <v>4682.4390000000003</v>
      </c>
      <c r="H146" s="7">
        <v>-101.264</v>
      </c>
      <c r="I146" s="7">
        <v>568.92899999999997</v>
      </c>
      <c r="J146" s="7">
        <v>3055.4740000000002</v>
      </c>
      <c r="K146" s="7">
        <v>0</v>
      </c>
      <c r="L146" s="7">
        <v>0</v>
      </c>
      <c r="M146" s="7">
        <v>-11157.512000000001</v>
      </c>
      <c r="N146" s="7">
        <v>9894.5329999999994</v>
      </c>
      <c r="O146" s="7">
        <v>0</v>
      </c>
      <c r="P146" s="7">
        <v>7.2210000000000001</v>
      </c>
      <c r="Q146" s="7">
        <v>69.263000000000005</v>
      </c>
      <c r="R146" s="7">
        <v>2.306</v>
      </c>
      <c r="S146" s="7">
        <v>19.838000000000001</v>
      </c>
      <c r="T146" s="7">
        <v>381.49799999999999</v>
      </c>
      <c r="U146" s="7">
        <v>0</v>
      </c>
      <c r="V146" s="7">
        <v>0</v>
      </c>
      <c r="W146" s="7">
        <v>498.09899999999999</v>
      </c>
      <c r="X146" s="7">
        <v>1228.2090000000001</v>
      </c>
      <c r="Y146" s="7">
        <v>0</v>
      </c>
      <c r="Z146" s="7">
        <v>3675.5659999999998</v>
      </c>
      <c r="AA146" s="7">
        <v>-547.005</v>
      </c>
      <c r="AB146" s="7">
        <v>3011.605</v>
      </c>
      <c r="AC146" s="7">
        <v>190.82300000000001</v>
      </c>
      <c r="AD146" s="7">
        <v>328.416</v>
      </c>
      <c r="AE146" s="7">
        <v>-17.533999999999999</v>
      </c>
      <c r="AF146" s="7">
        <v>5512.0159999999996</v>
      </c>
      <c r="AG146" s="7">
        <v>-1263.184</v>
      </c>
      <c r="AH146" s="7">
        <v>-30.786000000000001</v>
      </c>
      <c r="AI146" s="7">
        <v>-390.23</v>
      </c>
      <c r="AJ146" s="7">
        <v>116.307</v>
      </c>
      <c r="AK146" s="7">
        <v>-2325.4229999999998</v>
      </c>
      <c r="AL146" s="7">
        <v>-6430.9830000000002</v>
      </c>
      <c r="AM146" s="7">
        <v>0</v>
      </c>
      <c r="AN146" s="7">
        <v>-3762.5970000000002</v>
      </c>
      <c r="AO146" s="7">
        <v>0</v>
      </c>
      <c r="AP146" s="7">
        <v>-2154.1239999999998</v>
      </c>
      <c r="AQ146" s="7">
        <v>-29.058</v>
      </c>
      <c r="AR146" s="7">
        <v>0</v>
      </c>
      <c r="AS146" s="7">
        <v>-261.20400000000001</v>
      </c>
      <c r="AT146" s="7">
        <v>0</v>
      </c>
      <c r="AU146" s="7">
        <v>7.3440000000000003</v>
      </c>
      <c r="AV146" s="7">
        <v>0</v>
      </c>
      <c r="AW146" s="7">
        <v>198.55199999999999</v>
      </c>
      <c r="AX146" s="7">
        <v>0</v>
      </c>
      <c r="AY146" s="7">
        <v>0</v>
      </c>
      <c r="AZ146" s="7">
        <v>0</v>
      </c>
      <c r="BA146" s="7">
        <v>8.7430000000000003</v>
      </c>
      <c r="BB146" s="7">
        <v>-0.28000000000000003</v>
      </c>
      <c r="BC146" s="7">
        <v>-4.6680000000000001</v>
      </c>
      <c r="BD146" s="7">
        <v>1.113</v>
      </c>
      <c r="BE146" s="7">
        <v>25.457999999999998</v>
      </c>
      <c r="BF146" s="7">
        <v>-0.72699999999999998</v>
      </c>
      <c r="BG146" s="7">
        <v>-0.60499999999999998</v>
      </c>
      <c r="BH146" s="7">
        <v>-0.60499999999999998</v>
      </c>
      <c r="BI146" s="7">
        <v>0</v>
      </c>
      <c r="BJ146" s="7">
        <v>-2674.77</v>
      </c>
      <c r="BK146" s="7">
        <v>4.2770000000000001</v>
      </c>
      <c r="BL146" s="7">
        <v>0</v>
      </c>
      <c r="BM146" s="7">
        <v>0</v>
      </c>
      <c r="BN146" s="7">
        <v>0</v>
      </c>
      <c r="BO146" s="7">
        <v>0</v>
      </c>
      <c r="BP146" s="7">
        <v>0</v>
      </c>
      <c r="BQ146" s="7">
        <v>0</v>
      </c>
      <c r="BR146" s="21"/>
    </row>
    <row r="147" spans="1:70" ht="15.75" x14ac:dyDescent="0.25">
      <c r="A147" s="5" t="s">
        <v>277</v>
      </c>
      <c r="B147" s="5" t="s">
        <v>278</v>
      </c>
      <c r="C147" s="7">
        <v>6</v>
      </c>
      <c r="D147" s="7">
        <v>6</v>
      </c>
      <c r="E147" s="7">
        <v>200.816</v>
      </c>
      <c r="F147" s="7">
        <v>-81.069999999999993</v>
      </c>
      <c r="G147" s="7">
        <v>-203.92400000000001</v>
      </c>
      <c r="H147" s="7">
        <v>9.8149999999999995</v>
      </c>
      <c r="I147" s="7">
        <v>13.334</v>
      </c>
      <c r="J147" s="7">
        <v>-152.31399999999999</v>
      </c>
      <c r="K147" s="7">
        <v>0</v>
      </c>
      <c r="L147" s="7">
        <v>0</v>
      </c>
      <c r="M147" s="7">
        <v>961.37199999999996</v>
      </c>
      <c r="N147" s="7">
        <v>128.268</v>
      </c>
      <c r="O147" s="7">
        <v>0</v>
      </c>
      <c r="P147" s="7">
        <v>0</v>
      </c>
      <c r="Q147" s="7">
        <v>0.17299999999999999</v>
      </c>
      <c r="R147" s="7">
        <v>0</v>
      </c>
      <c r="S147" s="7">
        <v>-0.71699999999999997</v>
      </c>
      <c r="T147" s="7">
        <v>48.911000000000001</v>
      </c>
      <c r="U147" s="7">
        <v>0</v>
      </c>
      <c r="V147" s="7">
        <v>0</v>
      </c>
      <c r="W147" s="7">
        <v>-24.076000000000001</v>
      </c>
      <c r="X147" s="7">
        <v>-71.251000000000005</v>
      </c>
      <c r="Y147" s="7">
        <v>0</v>
      </c>
      <c r="Z147" s="7">
        <v>-631.59699999999998</v>
      </c>
      <c r="AA147" s="7">
        <v>0</v>
      </c>
      <c r="AB147" s="7">
        <v>-258.38</v>
      </c>
      <c r="AC147" s="7">
        <v>-6.0000000000000001E-3</v>
      </c>
      <c r="AD147" s="7">
        <v>-68.608000000000004</v>
      </c>
      <c r="AE147" s="7">
        <v>0</v>
      </c>
      <c r="AF147" s="7">
        <v>-1344.973</v>
      </c>
      <c r="AG147" s="7">
        <v>-572.11500000000001</v>
      </c>
      <c r="AH147" s="7">
        <v>0</v>
      </c>
      <c r="AI147" s="7">
        <v>-2421.2640000000001</v>
      </c>
      <c r="AJ147" s="7">
        <v>-1135.0340000000001</v>
      </c>
      <c r="AK147" s="7">
        <v>0</v>
      </c>
      <c r="AL147" s="7">
        <v>0</v>
      </c>
      <c r="AM147" s="7">
        <v>0</v>
      </c>
      <c r="AN147" s="7">
        <v>0</v>
      </c>
      <c r="AO147" s="7">
        <v>0</v>
      </c>
      <c r="AP147" s="7">
        <v>0</v>
      </c>
      <c r="AQ147" s="7">
        <v>-1.7270000000000001</v>
      </c>
      <c r="AR147" s="7">
        <v>0</v>
      </c>
      <c r="AS147" s="7">
        <v>-111.851</v>
      </c>
      <c r="AT147" s="7">
        <v>0</v>
      </c>
      <c r="AU147" s="7">
        <v>5.7000000000000002E-2</v>
      </c>
      <c r="AV147" s="7">
        <v>0</v>
      </c>
      <c r="AW147" s="7">
        <v>0.91800000000000004</v>
      </c>
      <c r="AX147" s="7">
        <v>0</v>
      </c>
      <c r="AY147" s="7">
        <v>0</v>
      </c>
      <c r="AZ147" s="7">
        <v>0</v>
      </c>
      <c r="BA147" s="7">
        <v>-3.86</v>
      </c>
      <c r="BB147" s="7">
        <v>0.72899999999999998</v>
      </c>
      <c r="BC147" s="7">
        <v>0</v>
      </c>
      <c r="BD147" s="7">
        <v>-1.5720000000000001</v>
      </c>
      <c r="BE147" s="7">
        <v>-1.498</v>
      </c>
      <c r="BF147" s="7">
        <v>1.381</v>
      </c>
      <c r="BG147" s="7">
        <v>-0.252</v>
      </c>
      <c r="BH147" s="7">
        <v>-0.252</v>
      </c>
      <c r="BI147" s="7">
        <v>0.51300000000000001</v>
      </c>
      <c r="BJ147" s="7">
        <v>0</v>
      </c>
      <c r="BK147" s="7">
        <v>-0.371</v>
      </c>
      <c r="BL147" s="7">
        <v>0</v>
      </c>
      <c r="BM147" s="7">
        <v>0</v>
      </c>
      <c r="BN147" s="7">
        <v>-0.47899999999999998</v>
      </c>
      <c r="BO147" s="7">
        <v>0</v>
      </c>
      <c r="BP147" s="7">
        <v>0</v>
      </c>
      <c r="BQ147" s="7">
        <v>0</v>
      </c>
      <c r="BR147" s="21"/>
    </row>
    <row r="148" spans="1:70" ht="15.75" x14ac:dyDescent="0.25">
      <c r="A148" s="5" t="s">
        <v>279</v>
      </c>
      <c r="B148" s="5" t="s">
        <v>280</v>
      </c>
      <c r="C148" s="7">
        <v>6</v>
      </c>
      <c r="D148" s="7">
        <v>6</v>
      </c>
      <c r="E148" s="7">
        <v>-24933.665000000001</v>
      </c>
      <c r="F148" s="7">
        <v>-3490.76</v>
      </c>
      <c r="G148" s="7">
        <v>-4498.0569999999998</v>
      </c>
      <c r="H148" s="7">
        <v>-21.652999999999999</v>
      </c>
      <c r="I148" s="7">
        <v>-555.18399999999997</v>
      </c>
      <c r="J148" s="7">
        <v>-2914.4389999999999</v>
      </c>
      <c r="K148" s="7">
        <v>0</v>
      </c>
      <c r="L148" s="7">
        <v>0</v>
      </c>
      <c r="M148" s="7">
        <v>-18828.091</v>
      </c>
      <c r="N148" s="7">
        <v>-12765.022999999999</v>
      </c>
      <c r="O148" s="7">
        <v>0</v>
      </c>
      <c r="P148" s="7">
        <v>0</v>
      </c>
      <c r="Q148" s="7">
        <v>-37.238</v>
      </c>
      <c r="R148" s="7">
        <v>0</v>
      </c>
      <c r="S148" s="7">
        <v>0</v>
      </c>
      <c r="T148" s="7">
        <v>-1097.5450000000001</v>
      </c>
      <c r="U148" s="7">
        <v>0</v>
      </c>
      <c r="V148" s="7">
        <v>0</v>
      </c>
      <c r="W148" s="7">
        <v>-477.22800000000001</v>
      </c>
      <c r="X148" s="7">
        <v>-1025.6389999999999</v>
      </c>
      <c r="Y148" s="7">
        <v>0</v>
      </c>
      <c r="Z148" s="7">
        <v>-5059.902</v>
      </c>
      <c r="AA148" s="7">
        <v>0</v>
      </c>
      <c r="AB148" s="7">
        <v>-3772.308</v>
      </c>
      <c r="AC148" s="7">
        <v>-0.39900000000000002</v>
      </c>
      <c r="AD148" s="7">
        <v>-580.07899999999995</v>
      </c>
      <c r="AE148" s="7">
        <v>0.26</v>
      </c>
      <c r="AF148" s="7">
        <v>-12739.793</v>
      </c>
      <c r="AG148" s="7">
        <v>-1265.5419999999999</v>
      </c>
      <c r="AH148" s="7">
        <v>0.86699999999999999</v>
      </c>
      <c r="AI148" s="7">
        <v>-43201.667000000001</v>
      </c>
      <c r="AJ148" s="7">
        <v>-2161.8420000000001</v>
      </c>
      <c r="AK148" s="7">
        <v>0</v>
      </c>
      <c r="AL148" s="7">
        <v>0</v>
      </c>
      <c r="AM148" s="7">
        <v>0</v>
      </c>
      <c r="AN148" s="7">
        <v>0</v>
      </c>
      <c r="AO148" s="7">
        <v>0</v>
      </c>
      <c r="AP148" s="7">
        <v>0</v>
      </c>
      <c r="AQ148" s="7">
        <v>-83.471000000000004</v>
      </c>
      <c r="AR148" s="7">
        <v>0</v>
      </c>
      <c r="AS148" s="7">
        <v>-387.35700000000003</v>
      </c>
      <c r="AT148" s="7">
        <v>0</v>
      </c>
      <c r="AU148" s="7">
        <v>-9.61</v>
      </c>
      <c r="AV148" s="7">
        <v>0</v>
      </c>
      <c r="AW148" s="7">
        <v>-237.08099999999999</v>
      </c>
      <c r="AX148" s="7">
        <v>0</v>
      </c>
      <c r="AY148" s="7">
        <v>0</v>
      </c>
      <c r="AZ148" s="7">
        <v>0</v>
      </c>
      <c r="BA148" s="7">
        <v>-59.465000000000003</v>
      </c>
      <c r="BB148" s="7">
        <v>0</v>
      </c>
      <c r="BC148" s="7">
        <v>0</v>
      </c>
      <c r="BD148" s="7">
        <v>-24.718</v>
      </c>
      <c r="BE148" s="7">
        <v>-63.968000000000004</v>
      </c>
      <c r="BF148" s="7">
        <v>0</v>
      </c>
      <c r="BG148" s="7">
        <v>-3.6579999999999999</v>
      </c>
      <c r="BH148" s="7">
        <v>-3.6579999999999999</v>
      </c>
      <c r="BI148" s="7">
        <v>0</v>
      </c>
      <c r="BJ148" s="7">
        <v>0</v>
      </c>
      <c r="BK148" s="7">
        <v>-21.122</v>
      </c>
      <c r="BL148" s="7">
        <v>0</v>
      </c>
      <c r="BM148" s="7">
        <v>0</v>
      </c>
      <c r="BN148" s="7">
        <v>0</v>
      </c>
      <c r="BO148" s="7">
        <v>0</v>
      </c>
      <c r="BP148" s="7">
        <v>0</v>
      </c>
      <c r="BQ148" s="7">
        <v>0</v>
      </c>
      <c r="BR148" s="21"/>
    </row>
    <row r="149" spans="1:70" ht="15.75" x14ac:dyDescent="0.25">
      <c r="A149" s="5" t="s">
        <v>281</v>
      </c>
      <c r="B149" s="5" t="s">
        <v>282</v>
      </c>
      <c r="C149" s="7">
        <v>6</v>
      </c>
      <c r="D149" s="7">
        <v>6</v>
      </c>
      <c r="E149" s="7">
        <v>-1273.681</v>
      </c>
      <c r="F149" s="7">
        <v>-778.44399999999996</v>
      </c>
      <c r="G149" s="7">
        <v>-54.445999999999998</v>
      </c>
      <c r="H149" s="7">
        <v>0</v>
      </c>
      <c r="I149" s="7">
        <v>-68.888999999999996</v>
      </c>
      <c r="J149" s="7">
        <v>-578.20500000000004</v>
      </c>
      <c r="K149" s="7">
        <v>0</v>
      </c>
      <c r="L149" s="7">
        <v>0</v>
      </c>
      <c r="M149" s="7">
        <v>-1805.681</v>
      </c>
      <c r="N149" s="7">
        <v>-868.51900000000001</v>
      </c>
      <c r="O149" s="7">
        <v>0</v>
      </c>
      <c r="P149" s="7">
        <v>0</v>
      </c>
      <c r="Q149" s="7">
        <v>-2E-3</v>
      </c>
      <c r="R149" s="7">
        <v>-580.53300000000002</v>
      </c>
      <c r="S149" s="7">
        <v>-868.36099999999999</v>
      </c>
      <c r="T149" s="7">
        <v>-311.96800000000002</v>
      </c>
      <c r="U149" s="7">
        <v>0</v>
      </c>
      <c r="V149" s="7">
        <v>0</v>
      </c>
      <c r="W149" s="7">
        <v>-55.996000000000002</v>
      </c>
      <c r="X149" s="7">
        <v>-1.03</v>
      </c>
      <c r="Y149" s="7">
        <v>0</v>
      </c>
      <c r="Z149" s="7">
        <v>-5.7000000000000002E-2</v>
      </c>
      <c r="AA149" s="7">
        <v>-25609.419000000002</v>
      </c>
      <c r="AB149" s="7">
        <v>-1290.7929999999999</v>
      </c>
      <c r="AC149" s="7">
        <v>0</v>
      </c>
      <c r="AD149" s="7">
        <v>-136.733</v>
      </c>
      <c r="AE149" s="7">
        <v>-2572.404</v>
      </c>
      <c r="AF149" s="7">
        <v>-2.5150000000000001</v>
      </c>
      <c r="AG149" s="7">
        <v>-14.27</v>
      </c>
      <c r="AH149" s="7">
        <v>-8683.8770000000004</v>
      </c>
      <c r="AI149" s="7">
        <v>-4288.6210000000001</v>
      </c>
      <c r="AJ149" s="7">
        <v>-1.0999999999999999E-2</v>
      </c>
      <c r="AK149" s="7">
        <v>-126237.54</v>
      </c>
      <c r="AL149" s="7">
        <v>0</v>
      </c>
      <c r="AM149" s="7">
        <v>0</v>
      </c>
      <c r="AN149" s="7">
        <v>0</v>
      </c>
      <c r="AO149" s="7">
        <v>0</v>
      </c>
      <c r="AP149" s="7">
        <v>0</v>
      </c>
      <c r="AQ149" s="7">
        <v>-47.79</v>
      </c>
      <c r="AR149" s="7">
        <v>0</v>
      </c>
      <c r="AS149" s="7">
        <v>-2.0009999999999999</v>
      </c>
      <c r="AT149" s="7">
        <v>0</v>
      </c>
      <c r="AU149" s="7">
        <v>-1.0880000000000001</v>
      </c>
      <c r="AV149" s="7">
        <v>0</v>
      </c>
      <c r="AW149" s="7">
        <v>-0.14799999999999999</v>
      </c>
      <c r="AX149" s="7">
        <v>0</v>
      </c>
      <c r="AY149" s="7">
        <v>0</v>
      </c>
      <c r="AZ149" s="7">
        <v>0</v>
      </c>
      <c r="BA149" s="7">
        <v>-37.500999999999998</v>
      </c>
      <c r="BB149" s="7">
        <v>0</v>
      </c>
      <c r="BC149" s="7">
        <v>0</v>
      </c>
      <c r="BD149" s="7">
        <v>-12.791</v>
      </c>
      <c r="BE149" s="7">
        <v>-32.357999999999997</v>
      </c>
      <c r="BF149" s="7">
        <v>0</v>
      </c>
      <c r="BG149" s="7">
        <v>-1.9319999999999999</v>
      </c>
      <c r="BH149" s="7">
        <v>-1.9319999999999999</v>
      </c>
      <c r="BI149" s="7">
        <v>0</v>
      </c>
      <c r="BJ149" s="7">
        <v>-99010.971999999994</v>
      </c>
      <c r="BK149" s="7">
        <v>-13.121</v>
      </c>
      <c r="BL149" s="7">
        <v>0</v>
      </c>
      <c r="BM149" s="7">
        <v>0</v>
      </c>
      <c r="BN149" s="7">
        <v>0</v>
      </c>
      <c r="BO149" s="7">
        <v>0</v>
      </c>
      <c r="BP149" s="7">
        <v>0</v>
      </c>
      <c r="BQ149" s="7">
        <v>0</v>
      </c>
      <c r="BR149" s="21"/>
    </row>
    <row r="150" spans="1:70" ht="15.75" x14ac:dyDescent="0.25">
      <c r="A150" s="5" t="s">
        <v>283</v>
      </c>
      <c r="B150" s="5" t="s">
        <v>284</v>
      </c>
      <c r="C150" s="7">
        <v>4</v>
      </c>
      <c r="D150" s="7">
        <v>4</v>
      </c>
      <c r="E150" s="7">
        <v>4852.6819999999998</v>
      </c>
      <c r="F150" s="7">
        <v>922.18100000000004</v>
      </c>
      <c r="G150" s="7">
        <v>8.7650000000000006</v>
      </c>
      <c r="H150" s="7">
        <v>0</v>
      </c>
      <c r="I150" s="7">
        <v>40.912999999999997</v>
      </c>
      <c r="J150" s="7">
        <v>6.9039999999999999</v>
      </c>
      <c r="K150" s="7">
        <v>0</v>
      </c>
      <c r="L150" s="7">
        <v>0</v>
      </c>
      <c r="M150" s="7">
        <v>11959.491</v>
      </c>
      <c r="N150" s="7">
        <v>1229.318</v>
      </c>
      <c r="O150" s="7">
        <v>0</v>
      </c>
      <c r="P150" s="7">
        <v>5.1079999999999997</v>
      </c>
      <c r="Q150" s="7">
        <v>0</v>
      </c>
      <c r="R150" s="7">
        <v>4.2539999999999996</v>
      </c>
      <c r="S150" s="7">
        <v>0</v>
      </c>
      <c r="T150" s="7">
        <v>290.50200000000001</v>
      </c>
      <c r="U150" s="7">
        <v>0</v>
      </c>
      <c r="V150" s="7">
        <v>0</v>
      </c>
      <c r="W150" s="7">
        <v>0.93799999999999994</v>
      </c>
      <c r="X150" s="7">
        <v>77.885999999999996</v>
      </c>
      <c r="Y150" s="7">
        <v>277.92</v>
      </c>
      <c r="Z150" s="7">
        <v>1866.1479999999999</v>
      </c>
      <c r="AA150" s="7">
        <v>-10.471</v>
      </c>
      <c r="AB150" s="7">
        <v>9.1359999999999992</v>
      </c>
      <c r="AC150" s="7">
        <v>144.30600000000001</v>
      </c>
      <c r="AD150" s="7">
        <v>169.52699999999999</v>
      </c>
      <c r="AE150" s="7">
        <v>14.513999999999999</v>
      </c>
      <c r="AF150" s="7">
        <v>4858.6509999999998</v>
      </c>
      <c r="AG150" s="7">
        <v>2274.0369999999998</v>
      </c>
      <c r="AH150" s="7">
        <v>83.388999999999996</v>
      </c>
      <c r="AI150" s="7">
        <v>18386.714</v>
      </c>
      <c r="AJ150" s="7">
        <v>3892.2910000000002</v>
      </c>
      <c r="AK150" s="7">
        <v>-54.697000000000003</v>
      </c>
      <c r="AL150" s="7">
        <v>6542.308</v>
      </c>
      <c r="AM150" s="7">
        <v>0</v>
      </c>
      <c r="AN150" s="7">
        <v>3827.73</v>
      </c>
      <c r="AO150" s="7">
        <v>0</v>
      </c>
      <c r="AP150" s="7">
        <v>2191.415</v>
      </c>
      <c r="AQ150" s="7">
        <v>39.536000000000001</v>
      </c>
      <c r="AR150" s="7">
        <v>0</v>
      </c>
      <c r="AS150" s="7">
        <v>693.61199999999997</v>
      </c>
      <c r="AT150" s="7">
        <v>0</v>
      </c>
      <c r="AU150" s="7">
        <v>3.0179999999999998</v>
      </c>
      <c r="AV150" s="7">
        <v>0</v>
      </c>
      <c r="AW150" s="7">
        <v>21.085999999999999</v>
      </c>
      <c r="AX150" s="7">
        <v>0</v>
      </c>
      <c r="AY150" s="7">
        <v>0</v>
      </c>
      <c r="AZ150" s="7">
        <v>151.56100000000001</v>
      </c>
      <c r="BA150" s="7">
        <v>6.9160000000000004</v>
      </c>
      <c r="BB150" s="7">
        <v>0</v>
      </c>
      <c r="BC150" s="7">
        <v>85.025000000000006</v>
      </c>
      <c r="BD150" s="7">
        <v>9.4969999999999999</v>
      </c>
      <c r="BE150" s="7">
        <v>0.13500000000000001</v>
      </c>
      <c r="BF150" s="7">
        <v>0</v>
      </c>
      <c r="BG150" s="7">
        <v>1.45</v>
      </c>
      <c r="BH150" s="7">
        <v>1.45</v>
      </c>
      <c r="BI150" s="7">
        <v>0</v>
      </c>
      <c r="BJ150" s="7">
        <v>17.027999999999999</v>
      </c>
      <c r="BK150" s="7">
        <v>5.1999999999999998E-2</v>
      </c>
      <c r="BL150" s="7">
        <v>0</v>
      </c>
      <c r="BM150" s="7">
        <v>0</v>
      </c>
      <c r="BN150" s="7">
        <v>0</v>
      </c>
      <c r="BO150" s="7">
        <v>0</v>
      </c>
      <c r="BP150" s="7">
        <v>0</v>
      </c>
      <c r="BQ150" s="7">
        <v>0</v>
      </c>
      <c r="BR150" s="21"/>
    </row>
    <row r="151" spans="1:70" ht="15.75" x14ac:dyDescent="0.25">
      <c r="A151" s="5" t="s">
        <v>285</v>
      </c>
      <c r="B151" s="5" t="s">
        <v>286</v>
      </c>
      <c r="C151" s="7">
        <v>6</v>
      </c>
      <c r="D151" s="7">
        <v>6</v>
      </c>
      <c r="E151" s="7">
        <v>-2696.3009999999999</v>
      </c>
      <c r="F151" s="7">
        <v>-565.59500000000003</v>
      </c>
      <c r="G151" s="7">
        <v>262.95699999999999</v>
      </c>
      <c r="H151" s="7">
        <v>0</v>
      </c>
      <c r="I151" s="7">
        <v>17.169</v>
      </c>
      <c r="J151" s="7">
        <v>207.142</v>
      </c>
      <c r="K151" s="7">
        <v>0</v>
      </c>
      <c r="L151" s="7">
        <v>0</v>
      </c>
      <c r="M151" s="7">
        <v>-9375.6470000000008</v>
      </c>
      <c r="N151" s="7">
        <v>162.06200000000001</v>
      </c>
      <c r="O151" s="7">
        <v>0</v>
      </c>
      <c r="P151" s="7">
        <v>-30.853000000000002</v>
      </c>
      <c r="Q151" s="7">
        <v>0</v>
      </c>
      <c r="R151" s="7">
        <v>-302.84100000000001</v>
      </c>
      <c r="S151" s="7">
        <v>-422.69400000000002</v>
      </c>
      <c r="T151" s="7">
        <v>-186.03299999999999</v>
      </c>
      <c r="U151" s="7">
        <v>0</v>
      </c>
      <c r="V151" s="7">
        <v>0</v>
      </c>
      <c r="W151" s="7">
        <v>28.152000000000001</v>
      </c>
      <c r="X151" s="7">
        <v>6.7140000000000004</v>
      </c>
      <c r="Y151" s="7">
        <v>0</v>
      </c>
      <c r="Z151" s="7">
        <v>-1491.9359999999999</v>
      </c>
      <c r="AA151" s="7">
        <v>-12599.571</v>
      </c>
      <c r="AB151" s="7">
        <v>274.08499999999998</v>
      </c>
      <c r="AC151" s="7">
        <v>-782.14499999999998</v>
      </c>
      <c r="AD151" s="7">
        <v>-117.27800000000001</v>
      </c>
      <c r="AE151" s="7">
        <v>-3444.0889999999999</v>
      </c>
      <c r="AF151" s="7">
        <v>-4285.9440000000004</v>
      </c>
      <c r="AG151" s="7">
        <v>-2083.0010000000002</v>
      </c>
      <c r="AH151" s="7">
        <v>-13234.155000000001</v>
      </c>
      <c r="AI151" s="7">
        <v>-12633.438</v>
      </c>
      <c r="AJ151" s="7">
        <v>-3565.5030000000002</v>
      </c>
      <c r="AK151" s="7">
        <v>-62146.843999999997</v>
      </c>
      <c r="AL151" s="7">
        <v>115239.649</v>
      </c>
      <c r="AM151" s="7">
        <v>0</v>
      </c>
      <c r="AN151" s="7">
        <v>67423.657000000007</v>
      </c>
      <c r="AO151" s="7">
        <v>0</v>
      </c>
      <c r="AP151" s="7">
        <v>38600.714</v>
      </c>
      <c r="AQ151" s="7">
        <v>-30.134</v>
      </c>
      <c r="AR151" s="7">
        <v>0</v>
      </c>
      <c r="AS151" s="7">
        <v>-638.26900000000001</v>
      </c>
      <c r="AT151" s="7">
        <v>0</v>
      </c>
      <c r="AU151" s="7">
        <v>-2.6829999999999998</v>
      </c>
      <c r="AV151" s="7">
        <v>0</v>
      </c>
      <c r="AW151" s="7">
        <v>-19.463999999999999</v>
      </c>
      <c r="AX151" s="7">
        <v>0</v>
      </c>
      <c r="AY151" s="7">
        <v>0</v>
      </c>
      <c r="AZ151" s="7">
        <v>0</v>
      </c>
      <c r="BA151" s="7">
        <v>-2.758</v>
      </c>
      <c r="BB151" s="7">
        <v>0</v>
      </c>
      <c r="BC151" s="7">
        <v>0</v>
      </c>
      <c r="BD151" s="7">
        <v>-7.3769999999999998</v>
      </c>
      <c r="BE151" s="7">
        <v>4.05</v>
      </c>
      <c r="BF151" s="7">
        <v>0</v>
      </c>
      <c r="BG151" s="7">
        <v>-1.034</v>
      </c>
      <c r="BH151" s="7">
        <v>-1.034</v>
      </c>
      <c r="BI151" s="7">
        <v>0</v>
      </c>
      <c r="BJ151" s="7">
        <v>-48837.32</v>
      </c>
      <c r="BK151" s="7">
        <v>1.5669999999999999</v>
      </c>
      <c r="BL151" s="7">
        <v>0</v>
      </c>
      <c r="BM151" s="7">
        <v>0</v>
      </c>
      <c r="BN151" s="7">
        <v>0</v>
      </c>
      <c r="BO151" s="7">
        <v>0</v>
      </c>
      <c r="BP151" s="7">
        <v>0</v>
      </c>
      <c r="BQ151" s="7">
        <v>0</v>
      </c>
      <c r="BR151" s="21"/>
    </row>
    <row r="152" spans="1:70" ht="15.75" x14ac:dyDescent="0.25">
      <c r="A152" s="5" t="s">
        <v>287</v>
      </c>
      <c r="B152" s="5" t="s">
        <v>288</v>
      </c>
      <c r="C152" s="7">
        <v>6</v>
      </c>
      <c r="D152" s="7">
        <v>6</v>
      </c>
      <c r="E152" s="7">
        <v>0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  <c r="AF152" s="7">
        <v>0</v>
      </c>
      <c r="AG152" s="7">
        <v>0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  <c r="AO152" s="7">
        <v>0</v>
      </c>
      <c r="AP152" s="7">
        <v>0</v>
      </c>
      <c r="AQ152" s="7">
        <v>0</v>
      </c>
      <c r="AR152" s="7">
        <v>0</v>
      </c>
      <c r="AS152" s="7">
        <v>0</v>
      </c>
      <c r="AT152" s="7">
        <v>0</v>
      </c>
      <c r="AU152" s="7">
        <v>0</v>
      </c>
      <c r="AV152" s="7">
        <v>0</v>
      </c>
      <c r="AW152" s="7">
        <v>0</v>
      </c>
      <c r="AX152" s="7">
        <v>0</v>
      </c>
      <c r="AY152" s="7">
        <v>0</v>
      </c>
      <c r="AZ152" s="7">
        <v>0</v>
      </c>
      <c r="BA152" s="7">
        <v>0</v>
      </c>
      <c r="BB152" s="7">
        <v>0</v>
      </c>
      <c r="BC152" s="7">
        <v>0</v>
      </c>
      <c r="BD152" s="7">
        <v>0</v>
      </c>
      <c r="BE152" s="7">
        <v>0</v>
      </c>
      <c r="BF152" s="7">
        <v>0</v>
      </c>
      <c r="BG152" s="7">
        <v>0</v>
      </c>
      <c r="BH152" s="7">
        <v>0</v>
      </c>
      <c r="BI152" s="7">
        <v>0</v>
      </c>
      <c r="BJ152" s="7">
        <v>0</v>
      </c>
      <c r="BK152" s="7">
        <v>0</v>
      </c>
      <c r="BL152" s="7">
        <v>0</v>
      </c>
      <c r="BM152" s="7">
        <v>0</v>
      </c>
      <c r="BN152" s="7">
        <v>0</v>
      </c>
      <c r="BO152" s="7">
        <v>0</v>
      </c>
      <c r="BP152" s="7">
        <v>0</v>
      </c>
      <c r="BQ152" s="7">
        <v>0</v>
      </c>
      <c r="BR152" s="21"/>
    </row>
    <row r="153" spans="1:70" ht="15.75" x14ac:dyDescent="0.25">
      <c r="A153" s="5" t="s">
        <v>289</v>
      </c>
      <c r="B153" s="5" t="s">
        <v>290</v>
      </c>
      <c r="C153" s="7">
        <v>6</v>
      </c>
      <c r="D153" s="7">
        <v>6</v>
      </c>
      <c r="E153" s="7">
        <v>0</v>
      </c>
      <c r="F153" s="7">
        <v>0</v>
      </c>
      <c r="G153" s="7">
        <v>0</v>
      </c>
      <c r="H153" s="7">
        <v>-120.04900000000001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0</v>
      </c>
      <c r="AL153" s="7">
        <v>0</v>
      </c>
      <c r="AM153" s="7">
        <v>0</v>
      </c>
      <c r="AN153" s="7">
        <v>0</v>
      </c>
      <c r="AO153" s="7">
        <v>0</v>
      </c>
      <c r="AP153" s="7">
        <v>0</v>
      </c>
      <c r="AQ153" s="7">
        <v>0</v>
      </c>
      <c r="AR153" s="7">
        <v>0</v>
      </c>
      <c r="AS153" s="7">
        <v>0</v>
      </c>
      <c r="AT153" s="7">
        <v>0</v>
      </c>
      <c r="AU153" s="7">
        <v>0</v>
      </c>
      <c r="AV153" s="7">
        <v>0</v>
      </c>
      <c r="AW153" s="7">
        <v>0</v>
      </c>
      <c r="AX153" s="7">
        <v>0</v>
      </c>
      <c r="AY153" s="7">
        <v>0</v>
      </c>
      <c r="AZ153" s="7">
        <v>0</v>
      </c>
      <c r="BA153" s="7">
        <v>0</v>
      </c>
      <c r="BB153" s="7">
        <v>0</v>
      </c>
      <c r="BC153" s="7">
        <v>0</v>
      </c>
      <c r="BD153" s="7">
        <v>0</v>
      </c>
      <c r="BE153" s="7">
        <v>0</v>
      </c>
      <c r="BF153" s="7">
        <v>0</v>
      </c>
      <c r="BG153" s="7">
        <v>0</v>
      </c>
      <c r="BH153" s="7">
        <v>0</v>
      </c>
      <c r="BI153" s="7">
        <v>0</v>
      </c>
      <c r="BJ153" s="7">
        <v>0</v>
      </c>
      <c r="BK153" s="7">
        <v>0</v>
      </c>
      <c r="BL153" s="7">
        <v>0</v>
      </c>
      <c r="BM153" s="7">
        <v>0</v>
      </c>
      <c r="BN153" s="7">
        <v>0</v>
      </c>
      <c r="BO153" s="7">
        <v>0</v>
      </c>
      <c r="BP153" s="7">
        <v>0</v>
      </c>
      <c r="BQ153" s="7">
        <v>0</v>
      </c>
      <c r="BR153" s="21"/>
    </row>
    <row r="154" spans="1:70" ht="15.75" x14ac:dyDescent="0.25">
      <c r="A154" s="5" t="s">
        <v>291</v>
      </c>
      <c r="B154" s="5" t="s">
        <v>292</v>
      </c>
      <c r="C154" s="7">
        <v>6</v>
      </c>
      <c r="D154" s="7">
        <v>6</v>
      </c>
      <c r="E154" s="7">
        <v>1311.6120000000001</v>
      </c>
      <c r="F154" s="7">
        <v>801.62699999999995</v>
      </c>
      <c r="G154" s="7">
        <v>56.067</v>
      </c>
      <c r="H154" s="7">
        <v>123.624</v>
      </c>
      <c r="I154" s="7">
        <v>70.94</v>
      </c>
      <c r="J154" s="7">
        <v>595.42499999999995</v>
      </c>
      <c r="K154" s="7">
        <v>0</v>
      </c>
      <c r="L154" s="7">
        <v>0</v>
      </c>
      <c r="M154" s="7">
        <v>1859.4559999999999</v>
      </c>
      <c r="N154" s="7">
        <v>894.38400000000001</v>
      </c>
      <c r="O154" s="7">
        <v>0</v>
      </c>
      <c r="P154" s="7">
        <v>0</v>
      </c>
      <c r="Q154" s="7">
        <v>2E-3</v>
      </c>
      <c r="R154" s="7">
        <v>852.22</v>
      </c>
      <c r="S154" s="7">
        <v>1274.75</v>
      </c>
      <c r="T154" s="7">
        <v>321.25900000000001</v>
      </c>
      <c r="U154" s="7">
        <v>0</v>
      </c>
      <c r="V154" s="7">
        <v>0</v>
      </c>
      <c r="W154" s="7">
        <v>57.664000000000001</v>
      </c>
      <c r="X154" s="7">
        <v>1.06</v>
      </c>
      <c r="Y154" s="7">
        <v>0</v>
      </c>
      <c r="Z154" s="7">
        <v>5.8000000000000003E-2</v>
      </c>
      <c r="AA154" s="7">
        <v>37594.521000000001</v>
      </c>
      <c r="AB154" s="7">
        <v>1329.2349999999999</v>
      </c>
      <c r="AC154" s="7">
        <v>0</v>
      </c>
      <c r="AD154" s="7">
        <v>140.80500000000001</v>
      </c>
      <c r="AE154" s="7">
        <v>5816.558</v>
      </c>
      <c r="AF154" s="7">
        <v>2.589</v>
      </c>
      <c r="AG154" s="7">
        <v>14.695</v>
      </c>
      <c r="AH154" s="7">
        <v>21009.1</v>
      </c>
      <c r="AI154" s="7">
        <v>4416.3410000000003</v>
      </c>
      <c r="AJ154" s="7">
        <v>1.0999999999999999E-2</v>
      </c>
      <c r="AK154" s="7">
        <v>185316.18100000001</v>
      </c>
      <c r="AL154" s="7">
        <v>0</v>
      </c>
      <c r="AM154" s="7">
        <v>0</v>
      </c>
      <c r="AN154" s="7">
        <v>0</v>
      </c>
      <c r="AO154" s="7">
        <v>0</v>
      </c>
      <c r="AP154" s="7">
        <v>0</v>
      </c>
      <c r="AQ154" s="7">
        <v>49.213000000000001</v>
      </c>
      <c r="AR154" s="7">
        <v>0</v>
      </c>
      <c r="AS154" s="7">
        <v>2.0609999999999999</v>
      </c>
      <c r="AT154" s="7">
        <v>0</v>
      </c>
      <c r="AU154" s="7">
        <v>1.1200000000000001</v>
      </c>
      <c r="AV154" s="7">
        <v>0</v>
      </c>
      <c r="AW154" s="7">
        <v>0.152</v>
      </c>
      <c r="AX154" s="7">
        <v>0</v>
      </c>
      <c r="AY154" s="7">
        <v>0</v>
      </c>
      <c r="AZ154" s="7">
        <v>0</v>
      </c>
      <c r="BA154" s="7">
        <v>38.618000000000002</v>
      </c>
      <c r="BB154" s="7">
        <v>0</v>
      </c>
      <c r="BC154" s="7">
        <v>0</v>
      </c>
      <c r="BD154" s="7">
        <v>13.172000000000001</v>
      </c>
      <c r="BE154" s="7">
        <v>33.322000000000003</v>
      </c>
      <c r="BF154" s="7">
        <v>0</v>
      </c>
      <c r="BG154" s="7">
        <v>1.9890000000000001</v>
      </c>
      <c r="BH154" s="7">
        <v>1.9890000000000001</v>
      </c>
      <c r="BI154" s="7">
        <v>0</v>
      </c>
      <c r="BJ154" s="7">
        <v>145347.693</v>
      </c>
      <c r="BK154" s="7">
        <v>13.510999999999999</v>
      </c>
      <c r="BL154" s="7">
        <v>0</v>
      </c>
      <c r="BM154" s="7">
        <v>0</v>
      </c>
      <c r="BN154" s="7">
        <v>0</v>
      </c>
      <c r="BO154" s="7">
        <v>0</v>
      </c>
      <c r="BP154" s="7">
        <v>0</v>
      </c>
      <c r="BQ154" s="7">
        <v>0</v>
      </c>
      <c r="BR154" s="21"/>
    </row>
    <row r="155" spans="1:70" ht="15.75" x14ac:dyDescent="0.25">
      <c r="A155" s="5" t="s">
        <v>293</v>
      </c>
      <c r="B155" s="5" t="s">
        <v>294</v>
      </c>
      <c r="C155" s="7">
        <v>4</v>
      </c>
      <c r="D155" s="7">
        <v>4</v>
      </c>
      <c r="E155" s="7">
        <v>7603.9219999999996</v>
      </c>
      <c r="F155" s="7">
        <v>1563.3230000000001</v>
      </c>
      <c r="G155" s="7">
        <v>0</v>
      </c>
      <c r="H155" s="7">
        <v>0</v>
      </c>
      <c r="I155" s="7">
        <v>81.906999999999996</v>
      </c>
      <c r="J155" s="7">
        <v>0</v>
      </c>
      <c r="K155" s="7">
        <v>0</v>
      </c>
      <c r="L155" s="7">
        <v>0</v>
      </c>
      <c r="M155" s="7">
        <v>19110.859</v>
      </c>
      <c r="N155" s="7">
        <v>1930.9490000000001</v>
      </c>
      <c r="O155" s="7">
        <v>0</v>
      </c>
      <c r="P155" s="7">
        <v>0</v>
      </c>
      <c r="Q155" s="7">
        <v>0.26800000000000002</v>
      </c>
      <c r="R155" s="7">
        <v>0</v>
      </c>
      <c r="S155" s="7">
        <v>0</v>
      </c>
      <c r="T155" s="7">
        <v>471.57499999999999</v>
      </c>
      <c r="U155" s="7">
        <v>0</v>
      </c>
      <c r="V155" s="7">
        <v>0</v>
      </c>
      <c r="W155" s="7">
        <v>0</v>
      </c>
      <c r="X155" s="7">
        <v>135.29900000000001</v>
      </c>
      <c r="Y155" s="7">
        <v>0</v>
      </c>
      <c r="Z155" s="7">
        <v>2947.4949999999999</v>
      </c>
      <c r="AA155" s="7">
        <v>0</v>
      </c>
      <c r="AB155" s="7">
        <v>0</v>
      </c>
      <c r="AC155" s="7">
        <v>0</v>
      </c>
      <c r="AD155" s="7">
        <v>284.678</v>
      </c>
      <c r="AE155" s="7">
        <v>0</v>
      </c>
      <c r="AF155" s="7">
        <v>7379.7529999999997</v>
      </c>
      <c r="AG155" s="7">
        <v>3839.2240000000002</v>
      </c>
      <c r="AH155" s="7">
        <v>0</v>
      </c>
      <c r="AI155" s="7">
        <v>31561.573</v>
      </c>
      <c r="AJ155" s="7">
        <v>6878.4459999999999</v>
      </c>
      <c r="AK155" s="7">
        <v>0</v>
      </c>
      <c r="AL155" s="7">
        <v>0</v>
      </c>
      <c r="AM155" s="7">
        <v>0</v>
      </c>
      <c r="AN155" s="7">
        <v>0</v>
      </c>
      <c r="AO155" s="7">
        <v>0</v>
      </c>
      <c r="AP155" s="7">
        <v>0</v>
      </c>
      <c r="AQ155" s="7">
        <v>52.381999999999998</v>
      </c>
      <c r="AR155" s="7">
        <v>0</v>
      </c>
      <c r="AS155" s="7">
        <v>1169.614</v>
      </c>
      <c r="AT155" s="7">
        <v>0</v>
      </c>
      <c r="AU155" s="7">
        <v>4.5449999999999999</v>
      </c>
      <c r="AV155" s="7">
        <v>0</v>
      </c>
      <c r="AW155" s="7">
        <v>32.817</v>
      </c>
      <c r="AX155" s="7">
        <v>0</v>
      </c>
      <c r="AY155" s="7">
        <v>0</v>
      </c>
      <c r="AZ155" s="7">
        <v>0</v>
      </c>
      <c r="BA155" s="7">
        <v>11.81</v>
      </c>
      <c r="BB155" s="7">
        <v>71.581999999999994</v>
      </c>
      <c r="BC155" s="7">
        <v>0</v>
      </c>
      <c r="BD155" s="7">
        <v>16.966999999999999</v>
      </c>
      <c r="BE155" s="7">
        <v>0</v>
      </c>
      <c r="BF155" s="7">
        <v>102.69</v>
      </c>
      <c r="BG155" s="7">
        <v>2.3969999999999998</v>
      </c>
      <c r="BH155" s="7">
        <v>2.3969999999999998</v>
      </c>
      <c r="BI155" s="7">
        <v>57.771000000000001</v>
      </c>
      <c r="BJ155" s="7">
        <v>0</v>
      </c>
      <c r="BK155" s="7">
        <v>0</v>
      </c>
      <c r="BL155" s="7">
        <v>0</v>
      </c>
      <c r="BM155" s="7">
        <v>0</v>
      </c>
      <c r="BN155" s="7">
        <v>0</v>
      </c>
      <c r="BO155" s="7">
        <v>0</v>
      </c>
      <c r="BP155" s="7">
        <v>0</v>
      </c>
      <c r="BQ155" s="7">
        <v>0</v>
      </c>
      <c r="BR155" s="21"/>
    </row>
    <row r="156" spans="1:70" ht="15.75" x14ac:dyDescent="0.25">
      <c r="A156" s="5" t="s">
        <v>295</v>
      </c>
      <c r="B156" s="5" t="s">
        <v>296</v>
      </c>
      <c r="C156" s="7">
        <v>4</v>
      </c>
      <c r="D156" s="7">
        <v>4</v>
      </c>
      <c r="E156" s="7">
        <v>204.11500000000001</v>
      </c>
      <c r="F156" s="7">
        <v>46.503</v>
      </c>
      <c r="G156" s="7">
        <v>0</v>
      </c>
      <c r="H156" s="7">
        <v>0</v>
      </c>
      <c r="I156" s="7">
        <v>1.9830000000000001</v>
      </c>
      <c r="J156" s="7">
        <v>0</v>
      </c>
      <c r="K156" s="7">
        <v>0</v>
      </c>
      <c r="L156" s="7">
        <v>0</v>
      </c>
      <c r="M156" s="7">
        <v>566.32100000000003</v>
      </c>
      <c r="N156" s="7">
        <v>43.94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14.672000000000001</v>
      </c>
      <c r="U156" s="7">
        <v>0</v>
      </c>
      <c r="V156" s="7">
        <v>0</v>
      </c>
      <c r="W156" s="7">
        <v>0</v>
      </c>
      <c r="X156" s="7">
        <v>3.8290000000000002</v>
      </c>
      <c r="Y156" s="7">
        <v>0</v>
      </c>
      <c r="Z156" s="7">
        <v>95.531000000000006</v>
      </c>
      <c r="AA156" s="7">
        <v>0</v>
      </c>
      <c r="AB156" s="7">
        <v>0</v>
      </c>
      <c r="AC156" s="7">
        <v>3.6999999999999998E-2</v>
      </c>
      <c r="AD156" s="7">
        <v>8.5890000000000004</v>
      </c>
      <c r="AE156" s="7">
        <v>0</v>
      </c>
      <c r="AF156" s="7">
        <v>243.184</v>
      </c>
      <c r="AG156" s="7">
        <v>115.979</v>
      </c>
      <c r="AH156" s="7">
        <v>0</v>
      </c>
      <c r="AI156" s="7">
        <v>923.72299999999996</v>
      </c>
      <c r="AJ156" s="7">
        <v>198.523</v>
      </c>
      <c r="AK156" s="7">
        <v>0</v>
      </c>
      <c r="AL156" s="7">
        <v>0</v>
      </c>
      <c r="AM156" s="7">
        <v>0</v>
      </c>
      <c r="AN156" s="7">
        <v>0</v>
      </c>
      <c r="AO156" s="7">
        <v>0</v>
      </c>
      <c r="AP156" s="7">
        <v>0</v>
      </c>
      <c r="AQ156" s="7">
        <v>2.0209999999999999</v>
      </c>
      <c r="AR156" s="7">
        <v>0</v>
      </c>
      <c r="AS156" s="7">
        <v>35.537999999999997</v>
      </c>
      <c r="AT156" s="7">
        <v>0</v>
      </c>
      <c r="AU156" s="7">
        <v>0.155</v>
      </c>
      <c r="AV156" s="7">
        <v>0</v>
      </c>
      <c r="AW156" s="7">
        <v>1.0840000000000001</v>
      </c>
      <c r="AX156" s="7">
        <v>0</v>
      </c>
      <c r="AY156" s="7">
        <v>0</v>
      </c>
      <c r="AZ156" s="7">
        <v>0</v>
      </c>
      <c r="BA156" s="7">
        <v>0.34899999999999998</v>
      </c>
      <c r="BB156" s="7">
        <v>0</v>
      </c>
      <c r="BC156" s="7">
        <v>0</v>
      </c>
      <c r="BD156" s="7">
        <v>0.48599999999999999</v>
      </c>
      <c r="BE156" s="7">
        <v>0</v>
      </c>
      <c r="BF156" s="7">
        <v>0</v>
      </c>
      <c r="BG156" s="7">
        <v>7.3999999999999996E-2</v>
      </c>
      <c r="BH156" s="7">
        <v>7.3999999999999996E-2</v>
      </c>
      <c r="BI156" s="7">
        <v>0</v>
      </c>
      <c r="BJ156" s="7">
        <v>0</v>
      </c>
      <c r="BK156" s="7">
        <v>0</v>
      </c>
      <c r="BL156" s="7">
        <v>0</v>
      </c>
      <c r="BM156" s="7">
        <v>0</v>
      </c>
      <c r="BN156" s="7">
        <v>0</v>
      </c>
      <c r="BO156" s="7">
        <v>0</v>
      </c>
      <c r="BP156" s="7">
        <v>0</v>
      </c>
      <c r="BQ156" s="7">
        <v>0</v>
      </c>
      <c r="BR156" s="21"/>
    </row>
    <row r="157" spans="1:70" ht="15.75" x14ac:dyDescent="0.25">
      <c r="A157" s="5" t="s">
        <v>297</v>
      </c>
      <c r="B157" s="5" t="s">
        <v>298</v>
      </c>
      <c r="C157" s="7">
        <v>4</v>
      </c>
      <c r="D157" s="7">
        <v>4</v>
      </c>
      <c r="E157" s="7">
        <v>0</v>
      </c>
      <c r="F157" s="7">
        <v>0</v>
      </c>
      <c r="G157" s="7">
        <v>0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0</v>
      </c>
      <c r="AN157" s="7">
        <v>0</v>
      </c>
      <c r="AO157" s="7">
        <v>0</v>
      </c>
      <c r="AP157" s="7">
        <v>0</v>
      </c>
      <c r="AQ157" s="7">
        <v>0</v>
      </c>
      <c r="AR157" s="7">
        <v>0</v>
      </c>
      <c r="AS157" s="7">
        <v>0</v>
      </c>
      <c r="AT157" s="7">
        <v>0</v>
      </c>
      <c r="AU157" s="7">
        <v>0</v>
      </c>
      <c r="AV157" s="7">
        <v>0</v>
      </c>
      <c r="AW157" s="7">
        <v>0</v>
      </c>
      <c r="AX157" s="7">
        <v>0</v>
      </c>
      <c r="AY157" s="7">
        <v>0</v>
      </c>
      <c r="AZ157" s="7">
        <v>0</v>
      </c>
      <c r="BA157" s="7">
        <v>0</v>
      </c>
      <c r="BB157" s="7">
        <v>0</v>
      </c>
      <c r="BC157" s="7">
        <v>0</v>
      </c>
      <c r="BD157" s="7">
        <v>0</v>
      </c>
      <c r="BE157" s="7">
        <v>0</v>
      </c>
      <c r="BF157" s="7">
        <v>0</v>
      </c>
      <c r="BG157" s="7">
        <v>0</v>
      </c>
      <c r="BH157" s="7">
        <v>0</v>
      </c>
      <c r="BI157" s="7">
        <v>0</v>
      </c>
      <c r="BJ157" s="7">
        <v>0</v>
      </c>
      <c r="BK157" s="7">
        <v>0</v>
      </c>
      <c r="BL157" s="7">
        <v>0</v>
      </c>
      <c r="BM157" s="7">
        <v>0</v>
      </c>
      <c r="BN157" s="7">
        <v>0</v>
      </c>
      <c r="BO157" s="7">
        <v>0</v>
      </c>
      <c r="BP157" s="7">
        <v>0</v>
      </c>
      <c r="BQ157" s="7">
        <v>0</v>
      </c>
      <c r="BR157" s="21"/>
    </row>
    <row r="158" spans="1:70" ht="15.75" x14ac:dyDescent="0.25">
      <c r="A158" s="5" t="s">
        <v>299</v>
      </c>
      <c r="B158" s="5" t="s">
        <v>300</v>
      </c>
      <c r="C158" s="7">
        <v>4</v>
      </c>
      <c r="D158" s="7">
        <v>4</v>
      </c>
      <c r="E158" s="7">
        <v>2432.6210000000001</v>
      </c>
      <c r="F158" s="7">
        <v>179.33500000000001</v>
      </c>
      <c r="G158" s="7">
        <v>482.13799999999998</v>
      </c>
      <c r="H158" s="7">
        <v>0</v>
      </c>
      <c r="I158" s="7">
        <v>67.093999999999994</v>
      </c>
      <c r="J158" s="7">
        <v>330.31</v>
      </c>
      <c r="K158" s="7">
        <v>0</v>
      </c>
      <c r="L158" s="7">
        <v>0</v>
      </c>
      <c r="M158" s="7">
        <v>465.166</v>
      </c>
      <c r="N158" s="7">
        <v>770.93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54.917000000000002</v>
      </c>
      <c r="U158" s="7">
        <v>0</v>
      </c>
      <c r="V158" s="7">
        <v>0</v>
      </c>
      <c r="W158" s="7">
        <v>31.231999999999999</v>
      </c>
      <c r="X158" s="7">
        <v>62.953000000000003</v>
      </c>
      <c r="Y158" s="7">
        <v>0</v>
      </c>
      <c r="Z158" s="7">
        <v>296.029</v>
      </c>
      <c r="AA158" s="7">
        <v>0</v>
      </c>
      <c r="AB158" s="7">
        <v>396.42700000000002</v>
      </c>
      <c r="AC158" s="7">
        <v>0</v>
      </c>
      <c r="AD158" s="7">
        <v>23.553999999999998</v>
      </c>
      <c r="AE158" s="7">
        <v>12.455</v>
      </c>
      <c r="AF158" s="7">
        <v>773.39700000000005</v>
      </c>
      <c r="AG158" s="7">
        <v>0</v>
      </c>
      <c r="AH158" s="7">
        <v>41.514000000000003</v>
      </c>
      <c r="AI158" s="7">
        <v>2443.9110000000001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7">
        <v>0</v>
      </c>
      <c r="AP158" s="7">
        <v>0</v>
      </c>
      <c r="AQ158" s="7">
        <v>7.7649999999999997</v>
      </c>
      <c r="AR158" s="7">
        <v>0</v>
      </c>
      <c r="AS158" s="7">
        <v>0</v>
      </c>
      <c r="AT158" s="7">
        <v>0</v>
      </c>
      <c r="AU158" s="7">
        <v>1.5569999999999999</v>
      </c>
      <c r="AV158" s="7">
        <v>0</v>
      </c>
      <c r="AW158" s="7">
        <v>31.643000000000001</v>
      </c>
      <c r="AX158" s="7">
        <v>0</v>
      </c>
      <c r="AY158" s="7">
        <v>0</v>
      </c>
      <c r="AZ158" s="7">
        <v>0</v>
      </c>
      <c r="BA158" s="7">
        <v>4.9509999999999996</v>
      </c>
      <c r="BB158" s="7">
        <v>0</v>
      </c>
      <c r="BC158" s="7">
        <v>0</v>
      </c>
      <c r="BD158" s="7">
        <v>1.452</v>
      </c>
      <c r="BE158" s="7">
        <v>4.2469999999999999</v>
      </c>
      <c r="BF158" s="7">
        <v>0</v>
      </c>
      <c r="BG158" s="7">
        <v>0.26600000000000001</v>
      </c>
      <c r="BH158" s="7">
        <v>0.26600000000000001</v>
      </c>
      <c r="BI158" s="7">
        <v>0</v>
      </c>
      <c r="BJ158" s="7">
        <v>0</v>
      </c>
      <c r="BK158" s="7">
        <v>1.4850000000000001</v>
      </c>
      <c r="BL158" s="7">
        <v>0</v>
      </c>
      <c r="BM158" s="7">
        <v>0</v>
      </c>
      <c r="BN158" s="7">
        <v>0</v>
      </c>
      <c r="BO158" s="7">
        <v>0</v>
      </c>
      <c r="BP158" s="7">
        <v>0</v>
      </c>
      <c r="BQ158" s="7">
        <v>0</v>
      </c>
      <c r="BR158" s="21"/>
    </row>
    <row r="159" spans="1:70" ht="15.75" x14ac:dyDescent="0.25">
      <c r="A159" s="5" t="s">
        <v>301</v>
      </c>
      <c r="B159" s="5" t="s">
        <v>302</v>
      </c>
      <c r="C159" s="7">
        <v>4</v>
      </c>
      <c r="D159" s="7">
        <v>4</v>
      </c>
      <c r="E159" s="7">
        <v>0</v>
      </c>
      <c r="F159" s="7">
        <v>0</v>
      </c>
      <c r="G159" s="7">
        <v>0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  <c r="AQ159" s="7">
        <v>0</v>
      </c>
      <c r="AR159" s="7">
        <v>0</v>
      </c>
      <c r="AS159" s="7">
        <v>0</v>
      </c>
      <c r="AT159" s="7">
        <v>0</v>
      </c>
      <c r="AU159" s="7">
        <v>0</v>
      </c>
      <c r="AV159" s="7">
        <v>0</v>
      </c>
      <c r="AW159" s="7">
        <v>0</v>
      </c>
      <c r="AX159" s="7">
        <v>0</v>
      </c>
      <c r="AY159" s="7">
        <v>0</v>
      </c>
      <c r="AZ159" s="7">
        <v>0</v>
      </c>
      <c r="BA159" s="7">
        <v>0</v>
      </c>
      <c r="BB159" s="7">
        <v>0</v>
      </c>
      <c r="BC159" s="7">
        <v>0</v>
      </c>
      <c r="BD159" s="7">
        <v>0</v>
      </c>
      <c r="BE159" s="7">
        <v>0</v>
      </c>
      <c r="BF159" s="7">
        <v>0</v>
      </c>
      <c r="BG159" s="7">
        <v>0</v>
      </c>
      <c r="BH159" s="7">
        <v>0</v>
      </c>
      <c r="BI159" s="7">
        <v>0</v>
      </c>
      <c r="BJ159" s="7">
        <v>0</v>
      </c>
      <c r="BK159" s="7">
        <v>0</v>
      </c>
      <c r="BL159" s="7">
        <v>0</v>
      </c>
      <c r="BM159" s="7">
        <v>0</v>
      </c>
      <c r="BN159" s="7">
        <v>0</v>
      </c>
      <c r="BO159" s="7">
        <v>0</v>
      </c>
      <c r="BP159" s="7">
        <v>0</v>
      </c>
      <c r="BQ159" s="7">
        <v>0</v>
      </c>
      <c r="BR159" s="21"/>
    </row>
    <row r="160" spans="1:70" ht="15.75" x14ac:dyDescent="0.25">
      <c r="A160" s="5" t="s">
        <v>303</v>
      </c>
      <c r="B160" s="5" t="s">
        <v>304</v>
      </c>
      <c r="C160" s="7">
        <v>4</v>
      </c>
      <c r="D160" s="7">
        <v>4</v>
      </c>
      <c r="E160" s="7">
        <v>-169.06100000000001</v>
      </c>
      <c r="F160" s="7">
        <v>-38.515999999999998</v>
      </c>
      <c r="G160" s="7">
        <v>0</v>
      </c>
      <c r="H160" s="7">
        <v>0</v>
      </c>
      <c r="I160" s="7">
        <v>-1.6419999999999999</v>
      </c>
      <c r="J160" s="7">
        <v>0</v>
      </c>
      <c r="K160" s="7">
        <v>0</v>
      </c>
      <c r="L160" s="7">
        <v>0</v>
      </c>
      <c r="M160" s="7">
        <v>-469.06200000000001</v>
      </c>
      <c r="N160" s="7">
        <v>-36.393000000000001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-12.153</v>
      </c>
      <c r="U160" s="7">
        <v>0</v>
      </c>
      <c r="V160" s="7">
        <v>0</v>
      </c>
      <c r="W160" s="7">
        <v>0</v>
      </c>
      <c r="X160" s="7">
        <v>-3.1709999999999998</v>
      </c>
      <c r="Y160" s="7">
        <v>0</v>
      </c>
      <c r="Z160" s="7">
        <v>-79.123999999999995</v>
      </c>
      <c r="AA160" s="7">
        <v>0</v>
      </c>
      <c r="AB160" s="7">
        <v>0</v>
      </c>
      <c r="AC160" s="7">
        <v>-0.03</v>
      </c>
      <c r="AD160" s="7">
        <v>-7.1139999999999999</v>
      </c>
      <c r="AE160" s="7">
        <v>0</v>
      </c>
      <c r="AF160" s="7">
        <v>-201.41900000000001</v>
      </c>
      <c r="AG160" s="7">
        <v>-96.061000000000007</v>
      </c>
      <c r="AH160" s="7">
        <v>0</v>
      </c>
      <c r="AI160" s="7">
        <v>-765.08299999999997</v>
      </c>
      <c r="AJ160" s="7">
        <v>-164.429</v>
      </c>
      <c r="AK160" s="7">
        <v>0</v>
      </c>
      <c r="AL160" s="7">
        <v>0</v>
      </c>
      <c r="AM160" s="7">
        <v>0</v>
      </c>
      <c r="AN160" s="7">
        <v>0</v>
      </c>
      <c r="AO160" s="7">
        <v>0</v>
      </c>
      <c r="AP160" s="7">
        <v>0</v>
      </c>
      <c r="AQ160" s="7">
        <v>-1.6739999999999999</v>
      </c>
      <c r="AR160" s="7">
        <v>0</v>
      </c>
      <c r="AS160" s="7">
        <v>-29.434999999999999</v>
      </c>
      <c r="AT160" s="7">
        <v>0</v>
      </c>
      <c r="AU160" s="7">
        <v>-0.128</v>
      </c>
      <c r="AV160" s="7">
        <v>0</v>
      </c>
      <c r="AW160" s="7">
        <v>-0.89800000000000002</v>
      </c>
      <c r="AX160" s="7">
        <v>0</v>
      </c>
      <c r="AY160" s="7">
        <v>0</v>
      </c>
      <c r="AZ160" s="7">
        <v>0</v>
      </c>
      <c r="BA160" s="7">
        <v>-0.28899999999999998</v>
      </c>
      <c r="BB160" s="7">
        <v>0</v>
      </c>
      <c r="BC160" s="7">
        <v>0</v>
      </c>
      <c r="BD160" s="7">
        <v>-0.40200000000000002</v>
      </c>
      <c r="BE160" s="7">
        <v>0</v>
      </c>
      <c r="BF160" s="7">
        <v>0</v>
      </c>
      <c r="BG160" s="7">
        <v>-6.0999999999999999E-2</v>
      </c>
      <c r="BH160" s="7">
        <v>-6.0999999999999999E-2</v>
      </c>
      <c r="BI160" s="7">
        <v>0</v>
      </c>
      <c r="BJ160" s="7">
        <v>0</v>
      </c>
      <c r="BK160" s="7">
        <v>0</v>
      </c>
      <c r="BL160" s="7">
        <v>0</v>
      </c>
      <c r="BM160" s="7">
        <v>0</v>
      </c>
      <c r="BN160" s="7">
        <v>0</v>
      </c>
      <c r="BO160" s="7">
        <v>0</v>
      </c>
      <c r="BP160" s="7">
        <v>0</v>
      </c>
      <c r="BQ160" s="7">
        <v>0</v>
      </c>
      <c r="BR160" s="21"/>
    </row>
    <row r="161" spans="1:70" ht="15.75" x14ac:dyDescent="0.25">
      <c r="A161" s="5" t="s">
        <v>305</v>
      </c>
      <c r="B161" s="5" t="s">
        <v>306</v>
      </c>
      <c r="C161" s="7">
        <v>4</v>
      </c>
      <c r="D161" s="7">
        <v>4</v>
      </c>
      <c r="E161" s="7">
        <v>0</v>
      </c>
      <c r="F161" s="7">
        <v>0</v>
      </c>
      <c r="G161" s="7">
        <v>0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7">
        <v>0</v>
      </c>
      <c r="AP161" s="7">
        <v>0</v>
      </c>
      <c r="AQ161" s="7">
        <v>0</v>
      </c>
      <c r="AR161" s="7">
        <v>0</v>
      </c>
      <c r="AS161" s="7">
        <v>0</v>
      </c>
      <c r="AT161" s="7">
        <v>0</v>
      </c>
      <c r="AU161" s="7">
        <v>0</v>
      </c>
      <c r="AV161" s="7">
        <v>0</v>
      </c>
      <c r="AW161" s="7">
        <v>0</v>
      </c>
      <c r="AX161" s="7">
        <v>0</v>
      </c>
      <c r="AY161" s="7">
        <v>0</v>
      </c>
      <c r="AZ161" s="7">
        <v>0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F161" s="7">
        <v>0</v>
      </c>
      <c r="BG161" s="7">
        <v>0</v>
      </c>
      <c r="BH161" s="7">
        <v>0</v>
      </c>
      <c r="BI161" s="7">
        <v>0</v>
      </c>
      <c r="BJ161" s="7">
        <v>0</v>
      </c>
      <c r="BK161" s="7">
        <v>0</v>
      </c>
      <c r="BL161" s="7">
        <v>0</v>
      </c>
      <c r="BM161" s="7">
        <v>0</v>
      </c>
      <c r="BN161" s="7">
        <v>0</v>
      </c>
      <c r="BO161" s="7">
        <v>0</v>
      </c>
      <c r="BP161" s="7">
        <v>0</v>
      </c>
      <c r="BQ161" s="7">
        <v>0</v>
      </c>
      <c r="BR161" s="21"/>
    </row>
    <row r="162" spans="1:70" ht="15.75" x14ac:dyDescent="0.25">
      <c r="A162" s="5" t="s">
        <v>307</v>
      </c>
      <c r="B162" s="5" t="s">
        <v>308</v>
      </c>
      <c r="C162" s="7">
        <v>4</v>
      </c>
      <c r="D162" s="7">
        <v>4</v>
      </c>
      <c r="E162" s="7">
        <v>-2368.212</v>
      </c>
      <c r="F162" s="7">
        <v>-174.58699999999999</v>
      </c>
      <c r="G162" s="7">
        <v>-469.37299999999999</v>
      </c>
      <c r="H162" s="7">
        <v>0</v>
      </c>
      <c r="I162" s="7">
        <v>-65.316999999999993</v>
      </c>
      <c r="J162" s="7">
        <v>-321.56400000000002</v>
      </c>
      <c r="K162" s="7">
        <v>0</v>
      </c>
      <c r="L162" s="7">
        <v>0</v>
      </c>
      <c r="M162" s="7">
        <v>-452.85</v>
      </c>
      <c r="N162" s="7">
        <v>-750.51800000000003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-53.463000000000001</v>
      </c>
      <c r="U162" s="7">
        <v>0</v>
      </c>
      <c r="V162" s="7">
        <v>0</v>
      </c>
      <c r="W162" s="7">
        <v>-30.405999999999999</v>
      </c>
      <c r="X162" s="7">
        <v>-61.286000000000001</v>
      </c>
      <c r="Y162" s="7">
        <v>0</v>
      </c>
      <c r="Z162" s="7">
        <v>-288.19099999999997</v>
      </c>
      <c r="AA162" s="7">
        <v>0</v>
      </c>
      <c r="AB162" s="7">
        <v>-385.93099999999998</v>
      </c>
      <c r="AC162" s="7">
        <v>0</v>
      </c>
      <c r="AD162" s="7">
        <v>-22.93</v>
      </c>
      <c r="AE162" s="7">
        <v>-12.125</v>
      </c>
      <c r="AF162" s="7">
        <v>-752.91899999999998</v>
      </c>
      <c r="AG162" s="7">
        <v>0</v>
      </c>
      <c r="AH162" s="7">
        <v>-40.414000000000001</v>
      </c>
      <c r="AI162" s="7">
        <v>-2379.203</v>
      </c>
      <c r="AJ162" s="7">
        <v>0</v>
      </c>
      <c r="AK162" s="7">
        <v>0</v>
      </c>
      <c r="AL162" s="7">
        <v>0</v>
      </c>
      <c r="AM162" s="7">
        <v>0</v>
      </c>
      <c r="AN162" s="7">
        <v>0</v>
      </c>
      <c r="AO162" s="7">
        <v>0</v>
      </c>
      <c r="AP162" s="7">
        <v>0</v>
      </c>
      <c r="AQ162" s="7">
        <v>-7.56</v>
      </c>
      <c r="AR162" s="7">
        <v>0</v>
      </c>
      <c r="AS162" s="7">
        <v>0</v>
      </c>
      <c r="AT162" s="7">
        <v>0</v>
      </c>
      <c r="AU162" s="7">
        <v>-1.516</v>
      </c>
      <c r="AV162" s="7">
        <v>0</v>
      </c>
      <c r="AW162" s="7">
        <v>-30.805</v>
      </c>
      <c r="AX162" s="7">
        <v>0</v>
      </c>
      <c r="AY162" s="7">
        <v>0</v>
      </c>
      <c r="AZ162" s="7">
        <v>0</v>
      </c>
      <c r="BA162" s="7">
        <v>-4.82</v>
      </c>
      <c r="BB162" s="7">
        <v>0</v>
      </c>
      <c r="BC162" s="7">
        <v>0</v>
      </c>
      <c r="BD162" s="7">
        <v>-1.413</v>
      </c>
      <c r="BE162" s="7">
        <v>-4.1349999999999998</v>
      </c>
      <c r="BF162" s="7">
        <v>0</v>
      </c>
      <c r="BG162" s="7">
        <v>-0.25900000000000001</v>
      </c>
      <c r="BH162" s="7">
        <v>-0.25900000000000001</v>
      </c>
      <c r="BI162" s="7">
        <v>0</v>
      </c>
      <c r="BJ162" s="7">
        <v>0</v>
      </c>
      <c r="BK162" s="7">
        <v>-1.446</v>
      </c>
      <c r="BL162" s="7">
        <v>0</v>
      </c>
      <c r="BM162" s="7">
        <v>0</v>
      </c>
      <c r="BN162" s="7">
        <v>0</v>
      </c>
      <c r="BO162" s="7">
        <v>0</v>
      </c>
      <c r="BP162" s="7">
        <v>0</v>
      </c>
      <c r="BQ162" s="7">
        <v>0</v>
      </c>
      <c r="BR162" s="21"/>
    </row>
    <row r="163" spans="1:70" ht="15.75" x14ac:dyDescent="0.25">
      <c r="A163" s="5" t="s">
        <v>293</v>
      </c>
      <c r="B163" s="5" t="s">
        <v>309</v>
      </c>
      <c r="C163" s="7">
        <v>6</v>
      </c>
      <c r="D163" s="7">
        <v>6</v>
      </c>
      <c r="E163" s="7">
        <v>0</v>
      </c>
      <c r="F163" s="7">
        <v>0</v>
      </c>
      <c r="G163" s="7">
        <v>0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7">
        <v>0</v>
      </c>
      <c r="AP163" s="7">
        <v>0</v>
      </c>
      <c r="AQ163" s="7">
        <v>0</v>
      </c>
      <c r="AR163" s="7">
        <v>0</v>
      </c>
      <c r="AS163" s="7">
        <v>0</v>
      </c>
      <c r="AT163" s="7">
        <v>0</v>
      </c>
      <c r="AU163" s="7">
        <v>0</v>
      </c>
      <c r="AV163" s="7">
        <v>0</v>
      </c>
      <c r="AW163" s="7">
        <v>0</v>
      </c>
      <c r="AX163" s="7">
        <v>0</v>
      </c>
      <c r="AY163" s="7">
        <v>0</v>
      </c>
      <c r="AZ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  <c r="BF163" s="7">
        <v>0</v>
      </c>
      <c r="BG163" s="7">
        <v>0</v>
      </c>
      <c r="BH163" s="7">
        <v>0</v>
      </c>
      <c r="BI163" s="7">
        <v>0</v>
      </c>
      <c r="BJ163" s="7">
        <v>0</v>
      </c>
      <c r="BK163" s="7">
        <v>0</v>
      </c>
      <c r="BL163" s="7">
        <v>0</v>
      </c>
      <c r="BM163" s="7">
        <v>0</v>
      </c>
      <c r="BN163" s="7">
        <v>0</v>
      </c>
      <c r="BO163" s="7">
        <v>0</v>
      </c>
      <c r="BP163" s="7">
        <v>0</v>
      </c>
      <c r="BQ163" s="7">
        <v>0</v>
      </c>
      <c r="BR163" s="21"/>
    </row>
    <row r="164" spans="1:70" ht="15.75" x14ac:dyDescent="0.25">
      <c r="A164" s="5" t="s">
        <v>310</v>
      </c>
      <c r="B164" s="5" t="s">
        <v>311</v>
      </c>
      <c r="C164" s="7">
        <v>6</v>
      </c>
      <c r="D164" s="7">
        <v>6</v>
      </c>
      <c r="E164" s="7">
        <v>0</v>
      </c>
      <c r="F164" s="7">
        <v>0</v>
      </c>
      <c r="G164" s="7">
        <v>0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0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0</v>
      </c>
      <c r="AP164" s="7">
        <v>0</v>
      </c>
      <c r="AQ164" s="7">
        <v>0</v>
      </c>
      <c r="AR164" s="7">
        <v>0</v>
      </c>
      <c r="AS164" s="7">
        <v>0</v>
      </c>
      <c r="AT164" s="7">
        <v>0</v>
      </c>
      <c r="AU164" s="7">
        <v>0</v>
      </c>
      <c r="AV164" s="7">
        <v>0</v>
      </c>
      <c r="AW164" s="7">
        <v>0</v>
      </c>
      <c r="AX164" s="7">
        <v>0</v>
      </c>
      <c r="AY164" s="7">
        <v>0</v>
      </c>
      <c r="AZ164" s="7">
        <v>0</v>
      </c>
      <c r="BA164" s="7">
        <v>0</v>
      </c>
      <c r="BB164" s="7">
        <v>0</v>
      </c>
      <c r="BC164" s="7">
        <v>0</v>
      </c>
      <c r="BD164" s="7">
        <v>0</v>
      </c>
      <c r="BE164" s="7">
        <v>0</v>
      </c>
      <c r="BF164" s="7">
        <v>0</v>
      </c>
      <c r="BG164" s="7">
        <v>0</v>
      </c>
      <c r="BH164" s="7">
        <v>0</v>
      </c>
      <c r="BI164" s="7">
        <v>0</v>
      </c>
      <c r="BJ164" s="7">
        <v>0</v>
      </c>
      <c r="BK164" s="7">
        <v>0</v>
      </c>
      <c r="BL164" s="7">
        <v>0</v>
      </c>
      <c r="BM164" s="7">
        <v>0</v>
      </c>
      <c r="BN164" s="7">
        <v>0</v>
      </c>
      <c r="BO164" s="7">
        <v>0</v>
      </c>
      <c r="BP164" s="7">
        <v>0</v>
      </c>
      <c r="BQ164" s="7">
        <v>0</v>
      </c>
      <c r="BR164" s="21"/>
    </row>
    <row r="165" spans="1:70" ht="15.75" x14ac:dyDescent="0.25">
      <c r="A165" s="5" t="s">
        <v>312</v>
      </c>
      <c r="B165" s="5" t="s">
        <v>313</v>
      </c>
      <c r="C165" s="7">
        <v>6</v>
      </c>
      <c r="D165" s="7">
        <v>6</v>
      </c>
      <c r="E165" s="7">
        <v>94.531999999999996</v>
      </c>
      <c r="F165" s="7">
        <v>20.893999999999998</v>
      </c>
      <c r="G165" s="7">
        <v>20.38</v>
      </c>
      <c r="H165" s="7">
        <v>0</v>
      </c>
      <c r="I165" s="7">
        <v>4.0910000000000002</v>
      </c>
      <c r="J165" s="7">
        <v>16.053999999999998</v>
      </c>
      <c r="K165" s="7">
        <v>0</v>
      </c>
      <c r="L165" s="7">
        <v>0</v>
      </c>
      <c r="M165" s="7">
        <v>83.751999999999995</v>
      </c>
      <c r="N165" s="7">
        <v>73.721999999999994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6.0049999999999999</v>
      </c>
      <c r="U165" s="7">
        <v>0</v>
      </c>
      <c r="V165" s="7">
        <v>0</v>
      </c>
      <c r="W165" s="7">
        <v>2.1819999999999999</v>
      </c>
      <c r="X165" s="7">
        <v>5.85</v>
      </c>
      <c r="Y165" s="7">
        <v>0</v>
      </c>
      <c r="Z165" s="7">
        <v>17.346</v>
      </c>
      <c r="AA165" s="7">
        <v>0</v>
      </c>
      <c r="AB165" s="7">
        <v>21.242000000000001</v>
      </c>
      <c r="AC165" s="7">
        <v>0</v>
      </c>
      <c r="AD165" s="7">
        <v>2.8660000000000001</v>
      </c>
      <c r="AE165" s="7">
        <v>0</v>
      </c>
      <c r="AF165" s="7">
        <v>49.905999999999999</v>
      </c>
      <c r="AG165" s="7">
        <v>0</v>
      </c>
      <c r="AH165" s="7">
        <v>0</v>
      </c>
      <c r="AI165" s="7">
        <v>306.65899999999999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7">
        <v>0</v>
      </c>
      <c r="AP165" s="7">
        <v>0</v>
      </c>
      <c r="AQ165" s="7">
        <v>0.47799999999999998</v>
      </c>
      <c r="AR165" s="7">
        <v>0</v>
      </c>
      <c r="AS165" s="7">
        <v>0</v>
      </c>
      <c r="AT165" s="7">
        <v>0</v>
      </c>
      <c r="AU165" s="7">
        <v>8.0000000000000002E-3</v>
      </c>
      <c r="AV165" s="7">
        <v>0</v>
      </c>
      <c r="AW165" s="7">
        <v>0</v>
      </c>
      <c r="AX165" s="7">
        <v>0</v>
      </c>
      <c r="AY165" s="7">
        <v>0</v>
      </c>
      <c r="AZ165" s="7">
        <v>0</v>
      </c>
      <c r="BA165" s="7">
        <v>0.27300000000000002</v>
      </c>
      <c r="BB165" s="7">
        <v>0</v>
      </c>
      <c r="BC165" s="7">
        <v>0</v>
      </c>
      <c r="BD165" s="7">
        <v>0.105</v>
      </c>
      <c r="BE165" s="7">
        <v>0.314</v>
      </c>
      <c r="BF165" s="7">
        <v>0</v>
      </c>
      <c r="BG165" s="7">
        <v>2.3E-2</v>
      </c>
      <c r="BH165" s="7">
        <v>2.3E-2</v>
      </c>
      <c r="BI165" s="7">
        <v>0</v>
      </c>
      <c r="BJ165" s="7">
        <v>0</v>
      </c>
      <c r="BK165" s="7">
        <v>0.121</v>
      </c>
      <c r="BL165" s="7">
        <v>0</v>
      </c>
      <c r="BM165" s="7">
        <v>0</v>
      </c>
      <c r="BN165" s="7">
        <v>0</v>
      </c>
      <c r="BO165" s="7">
        <v>0</v>
      </c>
      <c r="BP165" s="7">
        <v>0</v>
      </c>
      <c r="BQ165" s="7">
        <v>0</v>
      </c>
      <c r="BR165" s="21"/>
    </row>
    <row r="166" spans="1:70" ht="15.75" x14ac:dyDescent="0.25">
      <c r="A166" s="5" t="s">
        <v>297</v>
      </c>
      <c r="B166" s="5" t="s">
        <v>314</v>
      </c>
      <c r="C166" s="7">
        <v>6</v>
      </c>
      <c r="D166" s="7">
        <v>6</v>
      </c>
      <c r="E166" s="7">
        <v>0</v>
      </c>
      <c r="F166" s="7">
        <v>0</v>
      </c>
      <c r="G166" s="7">
        <v>0</v>
      </c>
      <c r="H166" s="7">
        <v>0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0</v>
      </c>
      <c r="AF166" s="7">
        <v>0</v>
      </c>
      <c r="AG166" s="7">
        <v>0</v>
      </c>
      <c r="AH166" s="7">
        <v>0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7">
        <v>0</v>
      </c>
      <c r="AP166" s="7">
        <v>0</v>
      </c>
      <c r="AQ166" s="7">
        <v>0</v>
      </c>
      <c r="AR166" s="7">
        <v>0</v>
      </c>
      <c r="AS166" s="7">
        <v>0</v>
      </c>
      <c r="AT166" s="7">
        <v>0</v>
      </c>
      <c r="AU166" s="7">
        <v>0</v>
      </c>
      <c r="AV166" s="7">
        <v>0</v>
      </c>
      <c r="AW166" s="7">
        <v>0</v>
      </c>
      <c r="AX166" s="7">
        <v>0</v>
      </c>
      <c r="AY166" s="7">
        <v>0</v>
      </c>
      <c r="AZ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F166" s="7">
        <v>0</v>
      </c>
      <c r="BG166" s="7">
        <v>0</v>
      </c>
      <c r="BH166" s="7">
        <v>0</v>
      </c>
      <c r="BI166" s="7">
        <v>0</v>
      </c>
      <c r="BJ166" s="7">
        <v>0</v>
      </c>
      <c r="BK166" s="7">
        <v>0</v>
      </c>
      <c r="BL166" s="7">
        <v>0</v>
      </c>
      <c r="BM166" s="7">
        <v>0</v>
      </c>
      <c r="BN166" s="7">
        <v>0</v>
      </c>
      <c r="BO166" s="7">
        <v>0</v>
      </c>
      <c r="BP166" s="7">
        <v>0</v>
      </c>
      <c r="BQ166" s="7">
        <v>0</v>
      </c>
      <c r="BR166" s="21"/>
    </row>
    <row r="167" spans="1:70" ht="15.75" x14ac:dyDescent="0.25">
      <c r="A167" s="5" t="s">
        <v>299</v>
      </c>
      <c r="B167" s="5" t="s">
        <v>315</v>
      </c>
      <c r="C167" s="7">
        <v>6</v>
      </c>
      <c r="D167" s="7">
        <v>6</v>
      </c>
      <c r="E167" s="7">
        <v>1289.991</v>
      </c>
      <c r="F167" s="7">
        <v>118.843</v>
      </c>
      <c r="G167" s="7">
        <v>169.411</v>
      </c>
      <c r="H167" s="7">
        <v>0</v>
      </c>
      <c r="I167" s="7">
        <v>29.699000000000002</v>
      </c>
      <c r="J167" s="7">
        <v>103.441</v>
      </c>
      <c r="K167" s="7">
        <v>0</v>
      </c>
      <c r="L167" s="7">
        <v>0</v>
      </c>
      <c r="M167" s="7">
        <v>945.05</v>
      </c>
      <c r="N167" s="7">
        <v>461.33100000000002</v>
      </c>
      <c r="O167" s="7">
        <v>0</v>
      </c>
      <c r="P167" s="7">
        <v>0</v>
      </c>
      <c r="Q167" s="7">
        <v>5.5220000000000002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14.888</v>
      </c>
      <c r="X167" s="7">
        <v>45.688000000000002</v>
      </c>
      <c r="Y167" s="7">
        <v>0</v>
      </c>
      <c r="Z167" s="7">
        <v>361.51900000000001</v>
      </c>
      <c r="AA167" s="7">
        <v>0</v>
      </c>
      <c r="AB167" s="7">
        <v>127.446</v>
      </c>
      <c r="AC167" s="7">
        <v>0</v>
      </c>
      <c r="AD167" s="7">
        <v>19.155999999999999</v>
      </c>
      <c r="AE167" s="7">
        <v>0</v>
      </c>
      <c r="AF167" s="7">
        <v>1152.729</v>
      </c>
      <c r="AG167" s="7">
        <v>0</v>
      </c>
      <c r="AH167" s="7">
        <v>0</v>
      </c>
      <c r="AI167" s="7">
        <v>2709.2379999999998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0</v>
      </c>
      <c r="AP167" s="7">
        <v>0</v>
      </c>
      <c r="AQ167" s="7">
        <v>0</v>
      </c>
      <c r="AR167" s="7">
        <v>0</v>
      </c>
      <c r="AS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7">
        <v>0</v>
      </c>
      <c r="AZ167" s="7">
        <v>0</v>
      </c>
      <c r="BA167" s="7">
        <v>0</v>
      </c>
      <c r="BB167" s="7">
        <v>0</v>
      </c>
      <c r="BC167" s="7">
        <v>0</v>
      </c>
      <c r="BD167" s="7">
        <v>0</v>
      </c>
      <c r="BE167" s="7">
        <v>0</v>
      </c>
      <c r="BF167" s="7">
        <v>0</v>
      </c>
      <c r="BG167" s="7">
        <v>0</v>
      </c>
      <c r="BH167" s="7">
        <v>0</v>
      </c>
      <c r="BI167" s="7">
        <v>0</v>
      </c>
      <c r="BJ167" s="7">
        <v>0</v>
      </c>
      <c r="BK167" s="7">
        <v>0</v>
      </c>
      <c r="BL167" s="7">
        <v>0</v>
      </c>
      <c r="BM167" s="7">
        <v>0</v>
      </c>
      <c r="BN167" s="7">
        <v>0</v>
      </c>
      <c r="BO167" s="7">
        <v>0</v>
      </c>
      <c r="BP167" s="7">
        <v>0</v>
      </c>
      <c r="BQ167" s="7">
        <v>0</v>
      </c>
      <c r="BR167" s="21"/>
    </row>
    <row r="168" spans="1:70" ht="15.75" x14ac:dyDescent="0.25">
      <c r="A168" s="5" t="s">
        <v>301</v>
      </c>
      <c r="B168" s="5" t="s">
        <v>316</v>
      </c>
      <c r="C168" s="7">
        <v>6</v>
      </c>
      <c r="D168" s="7">
        <v>6</v>
      </c>
      <c r="E168" s="7">
        <v>0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7">
        <v>0</v>
      </c>
      <c r="AL168" s="7">
        <v>0</v>
      </c>
      <c r="AM168" s="7">
        <v>0</v>
      </c>
      <c r="AN168" s="7">
        <v>0</v>
      </c>
      <c r="AO168" s="7">
        <v>0</v>
      </c>
      <c r="AP168" s="7">
        <v>0</v>
      </c>
      <c r="AQ168" s="7">
        <v>0</v>
      </c>
      <c r="AR168" s="7">
        <v>0</v>
      </c>
      <c r="AS168" s="7">
        <v>0</v>
      </c>
      <c r="AT168" s="7">
        <v>0</v>
      </c>
      <c r="AU168" s="7">
        <v>0</v>
      </c>
      <c r="AV168" s="7">
        <v>0</v>
      </c>
      <c r="AW168" s="7">
        <v>0</v>
      </c>
      <c r="AX168" s="7">
        <v>0</v>
      </c>
      <c r="AY168" s="7">
        <v>0</v>
      </c>
      <c r="AZ168" s="7">
        <v>0</v>
      </c>
      <c r="BA168" s="7">
        <v>0</v>
      </c>
      <c r="BB168" s="7">
        <v>0</v>
      </c>
      <c r="BC168" s="7">
        <v>0</v>
      </c>
      <c r="BD168" s="7">
        <v>0</v>
      </c>
      <c r="BE168" s="7">
        <v>0</v>
      </c>
      <c r="BF168" s="7">
        <v>0</v>
      </c>
      <c r="BG168" s="7">
        <v>0</v>
      </c>
      <c r="BH168" s="7">
        <v>0</v>
      </c>
      <c r="BI168" s="7">
        <v>0</v>
      </c>
      <c r="BJ168" s="7">
        <v>0</v>
      </c>
      <c r="BK168" s="7">
        <v>0</v>
      </c>
      <c r="BL168" s="7">
        <v>0</v>
      </c>
      <c r="BM168" s="7">
        <v>0</v>
      </c>
      <c r="BN168" s="7">
        <v>0</v>
      </c>
      <c r="BO168" s="7">
        <v>0</v>
      </c>
      <c r="BP168" s="7">
        <v>0</v>
      </c>
      <c r="BQ168" s="7">
        <v>0</v>
      </c>
      <c r="BR168" s="21"/>
    </row>
    <row r="169" spans="1:70" ht="15.75" x14ac:dyDescent="0.25">
      <c r="A169" s="5" t="s">
        <v>317</v>
      </c>
      <c r="B169" s="5" t="s">
        <v>318</v>
      </c>
      <c r="C169" s="7">
        <v>6</v>
      </c>
      <c r="D169" s="7">
        <v>6</v>
      </c>
      <c r="E169" s="7">
        <v>0</v>
      </c>
      <c r="F169" s="7">
        <v>0</v>
      </c>
      <c r="G169" s="7">
        <v>0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0</v>
      </c>
      <c r="AP169" s="7">
        <v>0</v>
      </c>
      <c r="AQ169" s="7">
        <v>0</v>
      </c>
      <c r="AR169" s="7">
        <v>0</v>
      </c>
      <c r="AS169" s="7">
        <v>0</v>
      </c>
      <c r="AT169" s="7">
        <v>0</v>
      </c>
      <c r="AU169" s="7">
        <v>0</v>
      </c>
      <c r="AV169" s="7">
        <v>0</v>
      </c>
      <c r="AW169" s="7">
        <v>0</v>
      </c>
      <c r="AX169" s="7">
        <v>0</v>
      </c>
      <c r="AY169" s="7">
        <v>0</v>
      </c>
      <c r="AZ169" s="7">
        <v>0</v>
      </c>
      <c r="BA169" s="7">
        <v>0</v>
      </c>
      <c r="BB169" s="7">
        <v>0</v>
      </c>
      <c r="BC169" s="7">
        <v>0</v>
      </c>
      <c r="BD169" s="7">
        <v>0</v>
      </c>
      <c r="BE169" s="7">
        <v>0</v>
      </c>
      <c r="BF169" s="7">
        <v>0</v>
      </c>
      <c r="BG169" s="7">
        <v>0</v>
      </c>
      <c r="BH169" s="7">
        <v>0</v>
      </c>
      <c r="BI169" s="7">
        <v>0</v>
      </c>
      <c r="BJ169" s="7">
        <v>0</v>
      </c>
      <c r="BK169" s="7">
        <v>0</v>
      </c>
      <c r="BL169" s="7">
        <v>0</v>
      </c>
      <c r="BM169" s="7">
        <v>0</v>
      </c>
      <c r="BN169" s="7">
        <v>0</v>
      </c>
      <c r="BO169" s="7">
        <v>0</v>
      </c>
      <c r="BP169" s="7">
        <v>0</v>
      </c>
      <c r="BQ169" s="7">
        <v>0</v>
      </c>
      <c r="BR169" s="21"/>
    </row>
    <row r="170" spans="1:70" ht="15.75" x14ac:dyDescent="0.25">
      <c r="A170" s="5" t="s">
        <v>319</v>
      </c>
      <c r="B170" s="5" t="s">
        <v>320</v>
      </c>
      <c r="C170" s="7">
        <v>6</v>
      </c>
      <c r="D170" s="7">
        <v>6</v>
      </c>
      <c r="E170" s="7">
        <v>-12.930999999999999</v>
      </c>
      <c r="F170" s="7">
        <v>-2.8580000000000001</v>
      </c>
      <c r="G170" s="7">
        <v>-2.7879999999999998</v>
      </c>
      <c r="H170" s="7">
        <v>0</v>
      </c>
      <c r="I170" s="7">
        <v>-0.56000000000000005</v>
      </c>
      <c r="J170" s="7">
        <v>-2.1960000000000002</v>
      </c>
      <c r="K170" s="7">
        <v>0</v>
      </c>
      <c r="L170" s="7">
        <v>0</v>
      </c>
      <c r="M170" s="7">
        <v>-11.457000000000001</v>
      </c>
      <c r="N170" s="7">
        <v>-10.085000000000001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-0.82099999999999995</v>
      </c>
      <c r="U170" s="7">
        <v>0</v>
      </c>
      <c r="V170" s="7">
        <v>0</v>
      </c>
      <c r="W170" s="7">
        <v>-0.29799999999999999</v>
      </c>
      <c r="X170" s="7">
        <v>-0.8</v>
      </c>
      <c r="Y170" s="7">
        <v>0</v>
      </c>
      <c r="Z170" s="7">
        <v>-2.3730000000000002</v>
      </c>
      <c r="AA170" s="7">
        <v>0</v>
      </c>
      <c r="AB170" s="7">
        <v>-2.9060000000000001</v>
      </c>
      <c r="AC170" s="7">
        <v>0</v>
      </c>
      <c r="AD170" s="7">
        <v>-0.39200000000000002</v>
      </c>
      <c r="AE170" s="7">
        <v>0</v>
      </c>
      <c r="AF170" s="7">
        <v>-6.827</v>
      </c>
      <c r="AG170" s="7">
        <v>0</v>
      </c>
      <c r="AH170" s="7">
        <v>0</v>
      </c>
      <c r="AI170" s="7">
        <v>-41.948999999999998</v>
      </c>
      <c r="AJ170" s="7">
        <v>0</v>
      </c>
      <c r="AK170" s="7">
        <v>0</v>
      </c>
      <c r="AL170" s="7">
        <v>0</v>
      </c>
      <c r="AM170" s="7">
        <v>0</v>
      </c>
      <c r="AN170" s="7">
        <v>0</v>
      </c>
      <c r="AO170" s="7">
        <v>0</v>
      </c>
      <c r="AP170" s="7">
        <v>0</v>
      </c>
      <c r="AQ170" s="7">
        <v>-6.5000000000000002E-2</v>
      </c>
      <c r="AR170" s="7">
        <v>0</v>
      </c>
      <c r="AS170" s="7">
        <v>0</v>
      </c>
      <c r="AT170" s="7">
        <v>0</v>
      </c>
      <c r="AU170" s="7">
        <v>-1E-3</v>
      </c>
      <c r="AV170" s="7">
        <v>0</v>
      </c>
      <c r="AW170" s="7">
        <v>0</v>
      </c>
      <c r="AX170" s="7">
        <v>0</v>
      </c>
      <c r="AY170" s="7">
        <v>0</v>
      </c>
      <c r="AZ170" s="7">
        <v>0</v>
      </c>
      <c r="BA170" s="7">
        <v>-3.6999999999999998E-2</v>
      </c>
      <c r="BB170" s="7">
        <v>0</v>
      </c>
      <c r="BC170" s="7">
        <v>0</v>
      </c>
      <c r="BD170" s="7">
        <v>-1.4E-2</v>
      </c>
      <c r="BE170" s="7">
        <v>-4.2999999999999997E-2</v>
      </c>
      <c r="BF170" s="7">
        <v>0</v>
      </c>
      <c r="BG170" s="7">
        <v>-3.0000000000000001E-3</v>
      </c>
      <c r="BH170" s="7">
        <v>-3.0000000000000001E-3</v>
      </c>
      <c r="BI170" s="7">
        <v>0</v>
      </c>
      <c r="BJ170" s="7">
        <v>0</v>
      </c>
      <c r="BK170" s="7">
        <v>-1.7000000000000001E-2</v>
      </c>
      <c r="BL170" s="7">
        <v>0</v>
      </c>
      <c r="BM170" s="7">
        <v>0</v>
      </c>
      <c r="BN170" s="7">
        <v>0</v>
      </c>
      <c r="BO170" s="7">
        <v>0</v>
      </c>
      <c r="BP170" s="7">
        <v>0</v>
      </c>
      <c r="BQ170" s="7">
        <v>0</v>
      </c>
      <c r="BR170" s="21"/>
    </row>
    <row r="171" spans="1:70" ht="15.75" x14ac:dyDescent="0.25">
      <c r="A171" s="5" t="s">
        <v>305</v>
      </c>
      <c r="B171" s="5" t="s">
        <v>321</v>
      </c>
      <c r="C171" s="7">
        <v>6</v>
      </c>
      <c r="D171" s="7">
        <v>6</v>
      </c>
      <c r="E171" s="7">
        <v>0</v>
      </c>
      <c r="F171" s="7">
        <v>0</v>
      </c>
      <c r="G171" s="7">
        <v>0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0</v>
      </c>
      <c r="AK171" s="7">
        <v>0</v>
      </c>
      <c r="AL171" s="7">
        <v>0</v>
      </c>
      <c r="AM171" s="7">
        <v>0</v>
      </c>
      <c r="AN171" s="7">
        <v>0</v>
      </c>
      <c r="AO171" s="7">
        <v>0</v>
      </c>
      <c r="AP171" s="7">
        <v>0</v>
      </c>
      <c r="AQ171" s="7">
        <v>0</v>
      </c>
      <c r="AR171" s="7">
        <v>0</v>
      </c>
      <c r="AS171" s="7">
        <v>0</v>
      </c>
      <c r="AT171" s="7">
        <v>0</v>
      </c>
      <c r="AU171" s="7">
        <v>0</v>
      </c>
      <c r="AV171" s="7">
        <v>0</v>
      </c>
      <c r="AW171" s="7">
        <v>0</v>
      </c>
      <c r="AX171" s="7">
        <v>0</v>
      </c>
      <c r="AY171" s="7">
        <v>0</v>
      </c>
      <c r="AZ171" s="7">
        <v>0</v>
      </c>
      <c r="BA171" s="7">
        <v>0</v>
      </c>
      <c r="BB171" s="7">
        <v>0</v>
      </c>
      <c r="BC171" s="7">
        <v>0</v>
      </c>
      <c r="BD171" s="7">
        <v>0</v>
      </c>
      <c r="BE171" s="7">
        <v>0</v>
      </c>
      <c r="BF171" s="7">
        <v>0</v>
      </c>
      <c r="BG171" s="7">
        <v>0</v>
      </c>
      <c r="BH171" s="7">
        <v>0</v>
      </c>
      <c r="BI171" s="7">
        <v>0</v>
      </c>
      <c r="BJ171" s="7">
        <v>0</v>
      </c>
      <c r="BK171" s="7">
        <v>0</v>
      </c>
      <c r="BL171" s="7">
        <v>0</v>
      </c>
      <c r="BM171" s="7">
        <v>0</v>
      </c>
      <c r="BN171" s="7">
        <v>0</v>
      </c>
      <c r="BO171" s="7">
        <v>0</v>
      </c>
      <c r="BP171" s="7">
        <v>0</v>
      </c>
      <c r="BQ171" s="7">
        <v>0</v>
      </c>
      <c r="BR171" s="21"/>
    </row>
    <row r="172" spans="1:70" ht="15.75" x14ac:dyDescent="0.25">
      <c r="A172" s="5" t="s">
        <v>307</v>
      </c>
      <c r="B172" s="5" t="s">
        <v>322</v>
      </c>
      <c r="C172" s="7">
        <v>6</v>
      </c>
      <c r="D172" s="7">
        <v>6</v>
      </c>
      <c r="E172" s="7">
        <v>0</v>
      </c>
      <c r="F172" s="7">
        <v>0</v>
      </c>
      <c r="G172" s="7">
        <v>0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0</v>
      </c>
      <c r="AK172" s="7">
        <v>0</v>
      </c>
      <c r="AL172" s="7">
        <v>0</v>
      </c>
      <c r="AM172" s="7">
        <v>0</v>
      </c>
      <c r="AN172" s="7">
        <v>0</v>
      </c>
      <c r="AO172" s="7">
        <v>0</v>
      </c>
      <c r="AP172" s="7">
        <v>0</v>
      </c>
      <c r="AQ172" s="7">
        <v>0</v>
      </c>
      <c r="AR172" s="7">
        <v>0</v>
      </c>
      <c r="AS172" s="7">
        <v>0</v>
      </c>
      <c r="AT172" s="7">
        <v>0</v>
      </c>
      <c r="AU172" s="7">
        <v>0</v>
      </c>
      <c r="AV172" s="7">
        <v>0</v>
      </c>
      <c r="AW172" s="7">
        <v>0</v>
      </c>
      <c r="AX172" s="7">
        <v>0</v>
      </c>
      <c r="AY172" s="7">
        <v>0</v>
      </c>
      <c r="AZ172" s="7">
        <v>0</v>
      </c>
      <c r="BA172" s="7">
        <v>0</v>
      </c>
      <c r="BB172" s="7">
        <v>0</v>
      </c>
      <c r="BC172" s="7">
        <v>0</v>
      </c>
      <c r="BD172" s="7">
        <v>0</v>
      </c>
      <c r="BE172" s="7">
        <v>0</v>
      </c>
      <c r="BF172" s="7">
        <v>0</v>
      </c>
      <c r="BG172" s="7">
        <v>0</v>
      </c>
      <c r="BH172" s="7">
        <v>0</v>
      </c>
      <c r="BI172" s="7">
        <v>0</v>
      </c>
      <c r="BJ172" s="7">
        <v>0</v>
      </c>
      <c r="BK172" s="7">
        <v>0</v>
      </c>
      <c r="BL172" s="7">
        <v>0</v>
      </c>
      <c r="BM172" s="7">
        <v>0</v>
      </c>
      <c r="BN172" s="7">
        <v>0</v>
      </c>
      <c r="BO172" s="7">
        <v>0</v>
      </c>
      <c r="BP172" s="7">
        <v>0</v>
      </c>
      <c r="BQ172" s="7">
        <v>0</v>
      </c>
      <c r="BR172" s="21"/>
    </row>
    <row r="173" spans="1:70" ht="15.75" x14ac:dyDescent="0.25">
      <c r="A173" s="5" t="s">
        <v>323</v>
      </c>
      <c r="B173" s="5" t="s">
        <v>324</v>
      </c>
      <c r="C173" s="7">
        <v>4</v>
      </c>
      <c r="D173" s="7">
        <v>4</v>
      </c>
      <c r="E173" s="7">
        <v>4539.0969999999998</v>
      </c>
      <c r="F173" s="7">
        <v>975.93100000000004</v>
      </c>
      <c r="G173" s="7">
        <v>0</v>
      </c>
      <c r="H173" s="7">
        <v>0</v>
      </c>
      <c r="I173" s="7">
        <v>47.915999999999997</v>
      </c>
      <c r="J173" s="7">
        <v>0</v>
      </c>
      <c r="K173" s="7">
        <v>0</v>
      </c>
      <c r="L173" s="7">
        <v>0</v>
      </c>
      <c r="M173" s="7">
        <v>11796.609</v>
      </c>
      <c r="N173" s="7">
        <v>1107.0340000000001</v>
      </c>
      <c r="O173" s="7">
        <v>0</v>
      </c>
      <c r="P173" s="7">
        <v>0</v>
      </c>
      <c r="Q173" s="7">
        <v>0.104</v>
      </c>
      <c r="R173" s="7">
        <v>0</v>
      </c>
      <c r="S173" s="7">
        <v>0</v>
      </c>
      <c r="T173" s="7">
        <v>299.08100000000002</v>
      </c>
      <c r="U173" s="7">
        <v>0</v>
      </c>
      <c r="V173" s="7">
        <v>0</v>
      </c>
      <c r="W173" s="7">
        <v>0</v>
      </c>
      <c r="X173" s="7">
        <v>83.18</v>
      </c>
      <c r="Y173" s="7">
        <v>0</v>
      </c>
      <c r="Z173" s="7">
        <v>1878.47</v>
      </c>
      <c r="AA173" s="7">
        <v>0</v>
      </c>
      <c r="AB173" s="7">
        <v>0</v>
      </c>
      <c r="AC173" s="7">
        <v>0.27400000000000002</v>
      </c>
      <c r="AD173" s="7">
        <v>178.17699999999999</v>
      </c>
      <c r="AE173" s="7">
        <v>0</v>
      </c>
      <c r="AF173" s="7">
        <v>4733.0309999999999</v>
      </c>
      <c r="AG173" s="7">
        <v>2405.9209999999998</v>
      </c>
      <c r="AH173" s="7">
        <v>0</v>
      </c>
      <c r="AI173" s="7">
        <v>19732.886999999999</v>
      </c>
      <c r="AJ173" s="7">
        <v>4239.3270000000002</v>
      </c>
      <c r="AK173" s="7">
        <v>0</v>
      </c>
      <c r="AL173" s="7">
        <v>0</v>
      </c>
      <c r="AM173" s="7">
        <v>0</v>
      </c>
      <c r="AN173" s="7">
        <v>0</v>
      </c>
      <c r="AO173" s="7">
        <v>0</v>
      </c>
      <c r="AP173" s="7">
        <v>0</v>
      </c>
      <c r="AQ173" s="7">
        <v>35.798000000000002</v>
      </c>
      <c r="AR173" s="7">
        <v>0</v>
      </c>
      <c r="AS173" s="7">
        <v>730.47699999999998</v>
      </c>
      <c r="AT173" s="7">
        <v>0</v>
      </c>
      <c r="AU173" s="7">
        <v>2.9529999999999998</v>
      </c>
      <c r="AV173" s="7">
        <v>0</v>
      </c>
      <c r="AW173" s="7">
        <v>21.056000000000001</v>
      </c>
      <c r="AX173" s="7">
        <v>0</v>
      </c>
      <c r="AY173" s="7">
        <v>0</v>
      </c>
      <c r="AZ173" s="7">
        <v>0</v>
      </c>
      <c r="BA173" s="7">
        <v>7.2770000000000001</v>
      </c>
      <c r="BB173" s="7">
        <v>28.312000000000001</v>
      </c>
      <c r="BC173" s="7">
        <v>0</v>
      </c>
      <c r="BD173" s="7">
        <v>10.335000000000001</v>
      </c>
      <c r="BE173" s="7">
        <v>0</v>
      </c>
      <c r="BF173" s="7">
        <v>40.616</v>
      </c>
      <c r="BG173" s="7">
        <v>1.4990000000000001</v>
      </c>
      <c r="BH173" s="7">
        <v>1.4990000000000001</v>
      </c>
      <c r="BI173" s="7">
        <v>22.85</v>
      </c>
      <c r="BJ173" s="7">
        <v>0</v>
      </c>
      <c r="BK173" s="7">
        <v>0</v>
      </c>
      <c r="BL173" s="7">
        <v>0</v>
      </c>
      <c r="BM173" s="7">
        <v>0</v>
      </c>
      <c r="BN173" s="7">
        <v>0</v>
      </c>
      <c r="BO173" s="7">
        <v>0</v>
      </c>
      <c r="BP173" s="7">
        <v>0</v>
      </c>
      <c r="BQ173" s="7">
        <v>0</v>
      </c>
      <c r="BR173" s="21"/>
    </row>
    <row r="174" spans="1:70" ht="15.75" x14ac:dyDescent="0.25">
      <c r="A174" s="5" t="s">
        <v>325</v>
      </c>
      <c r="B174" s="5" t="s">
        <v>326</v>
      </c>
      <c r="C174" s="7">
        <v>4</v>
      </c>
      <c r="D174" s="7">
        <v>4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0</v>
      </c>
      <c r="AL174" s="7">
        <v>0</v>
      </c>
      <c r="AM174" s="7">
        <v>0</v>
      </c>
      <c r="AN174" s="7">
        <v>0</v>
      </c>
      <c r="AO174" s="7">
        <v>0</v>
      </c>
      <c r="AP174" s="7">
        <v>0</v>
      </c>
      <c r="AQ174" s="7">
        <v>0</v>
      </c>
      <c r="AR174" s="7">
        <v>0</v>
      </c>
      <c r="AS174" s="7">
        <v>0</v>
      </c>
      <c r="AT174" s="7">
        <v>0</v>
      </c>
      <c r="AU174" s="7">
        <v>0</v>
      </c>
      <c r="AV174" s="7">
        <v>0</v>
      </c>
      <c r="AW174" s="7">
        <v>0</v>
      </c>
      <c r="AX174" s="7">
        <v>0</v>
      </c>
      <c r="AY174" s="7">
        <v>0</v>
      </c>
      <c r="AZ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F174" s="7">
        <v>0</v>
      </c>
      <c r="BG174" s="7">
        <v>0</v>
      </c>
      <c r="BH174" s="7">
        <v>0</v>
      </c>
      <c r="BI174" s="7">
        <v>0</v>
      </c>
      <c r="BJ174" s="7">
        <v>0</v>
      </c>
      <c r="BK174" s="7">
        <v>0</v>
      </c>
      <c r="BL174" s="7">
        <v>0</v>
      </c>
      <c r="BM174" s="7">
        <v>0</v>
      </c>
      <c r="BN174" s="7">
        <v>0</v>
      </c>
      <c r="BO174" s="7">
        <v>0</v>
      </c>
      <c r="BP174" s="7">
        <v>0</v>
      </c>
      <c r="BQ174" s="7">
        <v>0</v>
      </c>
      <c r="BR174" s="21"/>
    </row>
    <row r="175" spans="1:70" ht="15.75" x14ac:dyDescent="0.25">
      <c r="A175" s="5" t="s">
        <v>327</v>
      </c>
      <c r="B175" s="5" t="s">
        <v>328</v>
      </c>
      <c r="C175" s="7">
        <v>4</v>
      </c>
      <c r="D175" s="7">
        <v>4</v>
      </c>
      <c r="E175" s="7">
        <v>0</v>
      </c>
      <c r="F175" s="7">
        <v>0</v>
      </c>
      <c r="G175" s="7">
        <v>0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7">
        <v>0</v>
      </c>
      <c r="AP175" s="7">
        <v>0</v>
      </c>
      <c r="AQ175" s="7">
        <v>0</v>
      </c>
      <c r="AR175" s="7">
        <v>0</v>
      </c>
      <c r="AS175" s="7">
        <v>0</v>
      </c>
      <c r="AT175" s="7">
        <v>0</v>
      </c>
      <c r="AU175" s="7">
        <v>0</v>
      </c>
      <c r="AV175" s="7">
        <v>0</v>
      </c>
      <c r="AW175" s="7">
        <v>0</v>
      </c>
      <c r="AX175" s="7">
        <v>0</v>
      </c>
      <c r="AY175" s="7">
        <v>0</v>
      </c>
      <c r="AZ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F175" s="7">
        <v>0</v>
      </c>
      <c r="BG175" s="7">
        <v>0</v>
      </c>
      <c r="BH175" s="7">
        <v>0</v>
      </c>
      <c r="BI175" s="7">
        <v>0</v>
      </c>
      <c r="BJ175" s="7">
        <v>0</v>
      </c>
      <c r="BK175" s="7">
        <v>0</v>
      </c>
      <c r="BL175" s="7">
        <v>0</v>
      </c>
      <c r="BM175" s="7">
        <v>0</v>
      </c>
      <c r="BN175" s="7">
        <v>0</v>
      </c>
      <c r="BO175" s="7">
        <v>0</v>
      </c>
      <c r="BP175" s="7">
        <v>0</v>
      </c>
      <c r="BQ175" s="7">
        <v>0</v>
      </c>
      <c r="BR175" s="21"/>
    </row>
    <row r="176" spans="1:70" ht="15.75" x14ac:dyDescent="0.25">
      <c r="A176" s="5" t="s">
        <v>329</v>
      </c>
      <c r="B176" s="5" t="s">
        <v>330</v>
      </c>
      <c r="C176" s="7">
        <v>4</v>
      </c>
      <c r="D176" s="7">
        <v>4</v>
      </c>
      <c r="E176" s="7">
        <v>0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7">
        <v>0</v>
      </c>
      <c r="AF176" s="7">
        <v>0</v>
      </c>
      <c r="AG176" s="7">
        <v>0</v>
      </c>
      <c r="AH176" s="7">
        <v>0</v>
      </c>
      <c r="AI176" s="7">
        <v>0</v>
      </c>
      <c r="AJ176" s="7">
        <v>0</v>
      </c>
      <c r="AK176" s="7">
        <v>0</v>
      </c>
      <c r="AL176" s="7">
        <v>0</v>
      </c>
      <c r="AM176" s="7">
        <v>0</v>
      </c>
      <c r="AN176" s="7">
        <v>0</v>
      </c>
      <c r="AO176" s="7">
        <v>0</v>
      </c>
      <c r="AP176" s="7">
        <v>0</v>
      </c>
      <c r="AQ176" s="7">
        <v>0</v>
      </c>
      <c r="AR176" s="7">
        <v>0</v>
      </c>
      <c r="AS176" s="7">
        <v>0</v>
      </c>
      <c r="AT176" s="7">
        <v>0</v>
      </c>
      <c r="AU176" s="7">
        <v>0</v>
      </c>
      <c r="AV176" s="7">
        <v>0</v>
      </c>
      <c r="AW176" s="7">
        <v>0</v>
      </c>
      <c r="AX176" s="7">
        <v>0</v>
      </c>
      <c r="AY176" s="7">
        <v>0</v>
      </c>
      <c r="AZ176" s="7">
        <v>0</v>
      </c>
      <c r="BA176" s="7">
        <v>0</v>
      </c>
      <c r="BB176" s="7">
        <v>0</v>
      </c>
      <c r="BC176" s="7">
        <v>0</v>
      </c>
      <c r="BD176" s="7">
        <v>0</v>
      </c>
      <c r="BE176" s="7">
        <v>0</v>
      </c>
      <c r="BF176" s="7">
        <v>0</v>
      </c>
      <c r="BG176" s="7">
        <v>0</v>
      </c>
      <c r="BH176" s="7">
        <v>0</v>
      </c>
      <c r="BI176" s="7">
        <v>0</v>
      </c>
      <c r="BJ176" s="7">
        <v>0</v>
      </c>
      <c r="BK176" s="7">
        <v>0</v>
      </c>
      <c r="BL176" s="7">
        <v>0</v>
      </c>
      <c r="BM176" s="7">
        <v>0</v>
      </c>
      <c r="BN176" s="7">
        <v>0</v>
      </c>
      <c r="BO176" s="7">
        <v>0</v>
      </c>
      <c r="BP176" s="7">
        <v>0</v>
      </c>
      <c r="BQ176" s="7">
        <v>0</v>
      </c>
      <c r="BR176" s="21"/>
    </row>
    <row r="177" spans="1:70" ht="15.75" x14ac:dyDescent="0.25">
      <c r="A177" s="5" t="s">
        <v>331</v>
      </c>
      <c r="B177" s="5" t="s">
        <v>332</v>
      </c>
      <c r="C177" s="7">
        <v>4</v>
      </c>
      <c r="D177" s="7">
        <v>4</v>
      </c>
      <c r="E177" s="7">
        <v>0</v>
      </c>
      <c r="F177" s="7">
        <v>0</v>
      </c>
      <c r="G177" s="7">
        <v>0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7">
        <v>0</v>
      </c>
      <c r="AP177" s="7">
        <v>0</v>
      </c>
      <c r="AQ177" s="7">
        <v>0</v>
      </c>
      <c r="AR177" s="7">
        <v>0</v>
      </c>
      <c r="AS177" s="7">
        <v>0</v>
      </c>
      <c r="AT177" s="7">
        <v>0</v>
      </c>
      <c r="AU177" s="7">
        <v>0</v>
      </c>
      <c r="AV177" s="7">
        <v>0</v>
      </c>
      <c r="AW177" s="7">
        <v>0</v>
      </c>
      <c r="AX177" s="7">
        <v>0</v>
      </c>
      <c r="AY177" s="7">
        <v>0</v>
      </c>
      <c r="AZ177" s="7">
        <v>0</v>
      </c>
      <c r="BA177" s="7">
        <v>0</v>
      </c>
      <c r="BB177" s="7">
        <v>0</v>
      </c>
      <c r="BC177" s="7">
        <v>0</v>
      </c>
      <c r="BD177" s="7">
        <v>0</v>
      </c>
      <c r="BE177" s="7">
        <v>0</v>
      </c>
      <c r="BF177" s="7">
        <v>0</v>
      </c>
      <c r="BG177" s="7">
        <v>0</v>
      </c>
      <c r="BH177" s="7">
        <v>0</v>
      </c>
      <c r="BI177" s="7">
        <v>0</v>
      </c>
      <c r="BJ177" s="7">
        <v>0</v>
      </c>
      <c r="BK177" s="7">
        <v>0</v>
      </c>
      <c r="BL177" s="7">
        <v>0</v>
      </c>
      <c r="BM177" s="7">
        <v>0</v>
      </c>
      <c r="BN177" s="7">
        <v>0</v>
      </c>
      <c r="BO177" s="7">
        <v>0</v>
      </c>
      <c r="BP177" s="7">
        <v>0</v>
      </c>
      <c r="BQ177" s="7">
        <v>0</v>
      </c>
      <c r="BR177" s="21"/>
    </row>
    <row r="178" spans="1:70" ht="15.75" x14ac:dyDescent="0.25">
      <c r="A178" s="5" t="s">
        <v>333</v>
      </c>
      <c r="B178" s="5" t="s">
        <v>334</v>
      </c>
      <c r="C178" s="7">
        <v>4</v>
      </c>
      <c r="D178" s="7">
        <v>4</v>
      </c>
      <c r="E178" s="7">
        <v>-5811.4679999999998</v>
      </c>
      <c r="F178" s="7">
        <v>-1267.683</v>
      </c>
      <c r="G178" s="7">
        <v>0</v>
      </c>
      <c r="H178" s="7">
        <v>0</v>
      </c>
      <c r="I178" s="7">
        <v>-59.850999999999999</v>
      </c>
      <c r="J178" s="7">
        <v>0</v>
      </c>
      <c r="K178" s="7">
        <v>0</v>
      </c>
      <c r="L178" s="7">
        <v>0</v>
      </c>
      <c r="M178" s="7">
        <v>-15385.244000000001</v>
      </c>
      <c r="N178" s="7">
        <v>-1368.4690000000001</v>
      </c>
      <c r="O178" s="7">
        <v>0</v>
      </c>
      <c r="P178" s="7">
        <v>0</v>
      </c>
      <c r="Q178" s="7">
        <v>-9.9000000000000005E-2</v>
      </c>
      <c r="R178" s="7">
        <v>0</v>
      </c>
      <c r="S178" s="7">
        <v>0</v>
      </c>
      <c r="T178" s="7">
        <v>-391.82</v>
      </c>
      <c r="U178" s="7">
        <v>0</v>
      </c>
      <c r="V178" s="7">
        <v>0</v>
      </c>
      <c r="W178" s="7">
        <v>0</v>
      </c>
      <c r="X178" s="7">
        <v>-106.95099999999999</v>
      </c>
      <c r="Y178" s="7">
        <v>0</v>
      </c>
      <c r="Z178" s="7">
        <v>-2492.1350000000002</v>
      </c>
      <c r="AA178" s="7">
        <v>0</v>
      </c>
      <c r="AB178" s="7">
        <v>0</v>
      </c>
      <c r="AC178" s="7">
        <v>-0.54</v>
      </c>
      <c r="AD178" s="7">
        <v>-232.32400000000001</v>
      </c>
      <c r="AE178" s="7">
        <v>0</v>
      </c>
      <c r="AF178" s="7">
        <v>-6298.5879999999997</v>
      </c>
      <c r="AG178" s="7">
        <v>-3136.634</v>
      </c>
      <c r="AH178" s="7">
        <v>0</v>
      </c>
      <c r="AI178" s="7">
        <v>-25467.276000000002</v>
      </c>
      <c r="AJ178" s="7">
        <v>-5481.73</v>
      </c>
      <c r="AK178" s="7">
        <v>0</v>
      </c>
      <c r="AL178" s="7">
        <v>0</v>
      </c>
      <c r="AM178" s="7">
        <v>0</v>
      </c>
      <c r="AN178" s="7">
        <v>0</v>
      </c>
      <c r="AO178" s="7">
        <v>0</v>
      </c>
      <c r="AP178" s="7">
        <v>0</v>
      </c>
      <c r="AQ178" s="7">
        <v>-49.058</v>
      </c>
      <c r="AR178" s="7">
        <v>0</v>
      </c>
      <c r="AS178" s="7">
        <v>-955.86800000000005</v>
      </c>
      <c r="AT178" s="7">
        <v>0</v>
      </c>
      <c r="AU178" s="7">
        <v>-3.9590000000000001</v>
      </c>
      <c r="AV178" s="7">
        <v>0</v>
      </c>
      <c r="AW178" s="7">
        <v>-28.007000000000001</v>
      </c>
      <c r="AX178" s="7">
        <v>0</v>
      </c>
      <c r="AY178" s="7">
        <v>0</v>
      </c>
      <c r="AZ178" s="7">
        <v>0</v>
      </c>
      <c r="BA178" s="7">
        <v>-9.4920000000000009</v>
      </c>
      <c r="BB178" s="7">
        <v>-26.341000000000001</v>
      </c>
      <c r="BC178" s="7">
        <v>0</v>
      </c>
      <c r="BD178" s="7">
        <v>-13.401999999999999</v>
      </c>
      <c r="BE178" s="7">
        <v>0</v>
      </c>
      <c r="BF178" s="7">
        <v>-37.787999999999997</v>
      </c>
      <c r="BG178" s="7">
        <v>-1.97</v>
      </c>
      <c r="BH178" s="7">
        <v>-1.97</v>
      </c>
      <c r="BI178" s="7">
        <v>-21.257999999999999</v>
      </c>
      <c r="BJ178" s="7">
        <v>0</v>
      </c>
      <c r="BK178" s="7">
        <v>0</v>
      </c>
      <c r="BL178" s="7">
        <v>0</v>
      </c>
      <c r="BM178" s="7">
        <v>0</v>
      </c>
      <c r="BN178" s="7">
        <v>0</v>
      </c>
      <c r="BO178" s="7">
        <v>0</v>
      </c>
      <c r="BP178" s="7">
        <v>0</v>
      </c>
      <c r="BQ178" s="7">
        <v>0</v>
      </c>
      <c r="BR178" s="21"/>
    </row>
    <row r="179" spans="1:70" ht="15.75" x14ac:dyDescent="0.25">
      <c r="A179" s="5" t="s">
        <v>335</v>
      </c>
      <c r="B179" s="5" t="s">
        <v>336</v>
      </c>
      <c r="C179" s="7">
        <v>4</v>
      </c>
      <c r="D179" s="7">
        <v>4</v>
      </c>
      <c r="E179" s="7">
        <v>0</v>
      </c>
      <c r="F179" s="7">
        <v>0</v>
      </c>
      <c r="G179" s="7">
        <v>0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  <c r="AQ179" s="7">
        <v>0</v>
      </c>
      <c r="AR179" s="7">
        <v>0</v>
      </c>
      <c r="AS179" s="7">
        <v>0</v>
      </c>
      <c r="AT179" s="7">
        <v>0</v>
      </c>
      <c r="AU179" s="7">
        <v>0</v>
      </c>
      <c r="AV179" s="7">
        <v>0</v>
      </c>
      <c r="AW179" s="7">
        <v>0</v>
      </c>
      <c r="AX179" s="7">
        <v>0</v>
      </c>
      <c r="AY179" s="7">
        <v>0</v>
      </c>
      <c r="AZ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F179" s="7">
        <v>0</v>
      </c>
      <c r="BG179" s="7">
        <v>0</v>
      </c>
      <c r="BH179" s="7">
        <v>0</v>
      </c>
      <c r="BI179" s="7">
        <v>0</v>
      </c>
      <c r="BJ179" s="7">
        <v>0</v>
      </c>
      <c r="BK179" s="7">
        <v>0</v>
      </c>
      <c r="BL179" s="7">
        <v>0</v>
      </c>
      <c r="BM179" s="7">
        <v>0</v>
      </c>
      <c r="BN179" s="7">
        <v>0</v>
      </c>
      <c r="BO179" s="7">
        <v>0</v>
      </c>
      <c r="BP179" s="7">
        <v>0</v>
      </c>
      <c r="BQ179" s="7">
        <v>0</v>
      </c>
      <c r="BR179" s="21"/>
    </row>
    <row r="180" spans="1:70" ht="15.75" x14ac:dyDescent="0.25">
      <c r="A180" s="5" t="s">
        <v>337</v>
      </c>
      <c r="B180" s="5" t="s">
        <v>338</v>
      </c>
      <c r="C180" s="7">
        <v>4</v>
      </c>
      <c r="D180" s="7">
        <v>4</v>
      </c>
      <c r="E180" s="7">
        <v>0</v>
      </c>
      <c r="F180" s="7">
        <v>0</v>
      </c>
      <c r="G180" s="7">
        <v>0</v>
      </c>
      <c r="H180" s="7">
        <v>0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7">
        <v>0</v>
      </c>
      <c r="AL180" s="7">
        <v>0</v>
      </c>
      <c r="AM180" s="7">
        <v>0</v>
      </c>
      <c r="AN180" s="7">
        <v>0</v>
      </c>
      <c r="AO180" s="7">
        <v>0</v>
      </c>
      <c r="AP180" s="7">
        <v>0</v>
      </c>
      <c r="AQ180" s="7">
        <v>0</v>
      </c>
      <c r="AR180" s="7">
        <v>0</v>
      </c>
      <c r="AS180" s="7">
        <v>0</v>
      </c>
      <c r="AT180" s="7">
        <v>0</v>
      </c>
      <c r="AU180" s="7">
        <v>0</v>
      </c>
      <c r="AV180" s="7">
        <v>0</v>
      </c>
      <c r="AW180" s="7">
        <v>0</v>
      </c>
      <c r="AX180" s="7">
        <v>0</v>
      </c>
      <c r="AY180" s="7">
        <v>0</v>
      </c>
      <c r="AZ180" s="7">
        <v>0</v>
      </c>
      <c r="BA180" s="7">
        <v>0</v>
      </c>
      <c r="BB180" s="7">
        <v>0</v>
      </c>
      <c r="BC180" s="7">
        <v>0</v>
      </c>
      <c r="BD180" s="7">
        <v>0</v>
      </c>
      <c r="BE180" s="7">
        <v>0</v>
      </c>
      <c r="BF180" s="7">
        <v>0</v>
      </c>
      <c r="BG180" s="7">
        <v>0</v>
      </c>
      <c r="BH180" s="7">
        <v>0</v>
      </c>
      <c r="BI180" s="7">
        <v>0</v>
      </c>
      <c r="BJ180" s="7">
        <v>0</v>
      </c>
      <c r="BK180" s="7">
        <v>0</v>
      </c>
      <c r="BL180" s="7">
        <v>0</v>
      </c>
      <c r="BM180" s="7">
        <v>0</v>
      </c>
      <c r="BN180" s="7">
        <v>0</v>
      </c>
      <c r="BO180" s="7">
        <v>0</v>
      </c>
      <c r="BP180" s="7">
        <v>0</v>
      </c>
      <c r="BQ180" s="7">
        <v>0</v>
      </c>
      <c r="BR180" s="21"/>
    </row>
    <row r="181" spans="1:70" ht="15.75" x14ac:dyDescent="0.25">
      <c r="A181" s="5" t="s">
        <v>339</v>
      </c>
      <c r="B181" s="5" t="s">
        <v>340</v>
      </c>
      <c r="C181" s="7">
        <v>4</v>
      </c>
      <c r="D181" s="7">
        <v>4</v>
      </c>
      <c r="E181" s="7">
        <v>0</v>
      </c>
      <c r="F181" s="7">
        <v>0</v>
      </c>
      <c r="G181" s="7">
        <v>0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0</v>
      </c>
      <c r="AL181" s="7">
        <v>0</v>
      </c>
      <c r="AM181" s="7">
        <v>0</v>
      </c>
      <c r="AN181" s="7">
        <v>0</v>
      </c>
      <c r="AO181" s="7">
        <v>0</v>
      </c>
      <c r="AP181" s="7">
        <v>0</v>
      </c>
      <c r="AQ181" s="7">
        <v>0</v>
      </c>
      <c r="AR181" s="7">
        <v>0</v>
      </c>
      <c r="AS181" s="7">
        <v>0</v>
      </c>
      <c r="AT181" s="7">
        <v>0</v>
      </c>
      <c r="AU181" s="7">
        <v>0</v>
      </c>
      <c r="AV181" s="7">
        <v>0</v>
      </c>
      <c r="AW181" s="7">
        <v>0</v>
      </c>
      <c r="AX181" s="7">
        <v>0</v>
      </c>
      <c r="AY181" s="7">
        <v>0</v>
      </c>
      <c r="AZ181" s="7">
        <v>0</v>
      </c>
      <c r="BA181" s="7">
        <v>0</v>
      </c>
      <c r="BB181" s="7">
        <v>0</v>
      </c>
      <c r="BC181" s="7">
        <v>0</v>
      </c>
      <c r="BD181" s="7">
        <v>0</v>
      </c>
      <c r="BE181" s="7">
        <v>0</v>
      </c>
      <c r="BF181" s="7">
        <v>0</v>
      </c>
      <c r="BG181" s="7">
        <v>0</v>
      </c>
      <c r="BH181" s="7">
        <v>0</v>
      </c>
      <c r="BI181" s="7">
        <v>0</v>
      </c>
      <c r="BJ181" s="7">
        <v>0</v>
      </c>
      <c r="BK181" s="7">
        <v>0</v>
      </c>
      <c r="BL181" s="7">
        <v>0</v>
      </c>
      <c r="BM181" s="7">
        <v>0</v>
      </c>
      <c r="BN181" s="7">
        <v>0</v>
      </c>
      <c r="BO181" s="7">
        <v>0</v>
      </c>
      <c r="BP181" s="7">
        <v>0</v>
      </c>
      <c r="BQ181" s="7">
        <v>0</v>
      </c>
      <c r="BR181" s="21"/>
    </row>
    <row r="182" spans="1:70" ht="15.75" x14ac:dyDescent="0.25">
      <c r="A182" s="5" t="s">
        <v>341</v>
      </c>
      <c r="B182" s="5" t="s">
        <v>342</v>
      </c>
      <c r="C182" s="7">
        <v>4</v>
      </c>
      <c r="D182" s="7">
        <v>4</v>
      </c>
      <c r="E182" s="7">
        <v>0</v>
      </c>
      <c r="F182" s="7">
        <v>0</v>
      </c>
      <c r="G182" s="7">
        <v>0</v>
      </c>
      <c r="H182" s="7">
        <v>0</v>
      </c>
      <c r="I182" s="7">
        <v>0</v>
      </c>
      <c r="J182" s="7">
        <v>0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7">
        <v>0</v>
      </c>
      <c r="AF182" s="7">
        <v>0</v>
      </c>
      <c r="AG182" s="7">
        <v>0</v>
      </c>
      <c r="AH182" s="7">
        <v>0</v>
      </c>
      <c r="AI182" s="7">
        <v>0</v>
      </c>
      <c r="AJ182" s="7">
        <v>0</v>
      </c>
      <c r="AK182" s="7">
        <v>0</v>
      </c>
      <c r="AL182" s="7">
        <v>0</v>
      </c>
      <c r="AM182" s="7">
        <v>0</v>
      </c>
      <c r="AN182" s="7">
        <v>0</v>
      </c>
      <c r="AO182" s="7">
        <v>0</v>
      </c>
      <c r="AP182" s="7">
        <v>0</v>
      </c>
      <c r="AQ182" s="7">
        <v>0</v>
      </c>
      <c r="AR182" s="7">
        <v>0</v>
      </c>
      <c r="AS182" s="7">
        <v>0</v>
      </c>
      <c r="AT182" s="7">
        <v>0</v>
      </c>
      <c r="AU182" s="7">
        <v>0</v>
      </c>
      <c r="AV182" s="7">
        <v>0</v>
      </c>
      <c r="AW182" s="7">
        <v>0</v>
      </c>
      <c r="AX182" s="7">
        <v>0</v>
      </c>
      <c r="AY182" s="7">
        <v>0</v>
      </c>
      <c r="AZ182" s="7">
        <v>0</v>
      </c>
      <c r="BA182" s="7">
        <v>0</v>
      </c>
      <c r="BB182" s="7">
        <v>0</v>
      </c>
      <c r="BC182" s="7">
        <v>0</v>
      </c>
      <c r="BD182" s="7">
        <v>0</v>
      </c>
      <c r="BE182" s="7">
        <v>0</v>
      </c>
      <c r="BF182" s="7">
        <v>0</v>
      </c>
      <c r="BG182" s="7">
        <v>0</v>
      </c>
      <c r="BH182" s="7">
        <v>0</v>
      </c>
      <c r="BI182" s="7">
        <v>0</v>
      </c>
      <c r="BJ182" s="7">
        <v>0</v>
      </c>
      <c r="BK182" s="7">
        <v>0</v>
      </c>
      <c r="BL182" s="7">
        <v>0</v>
      </c>
      <c r="BM182" s="7">
        <v>0</v>
      </c>
      <c r="BN182" s="7">
        <v>0</v>
      </c>
      <c r="BO182" s="7">
        <v>0</v>
      </c>
      <c r="BP182" s="7">
        <v>0</v>
      </c>
      <c r="BQ182" s="7">
        <v>0</v>
      </c>
      <c r="BR182" s="21"/>
    </row>
    <row r="183" spans="1:70" ht="15.75" x14ac:dyDescent="0.25">
      <c r="A183" s="5" t="s">
        <v>323</v>
      </c>
      <c r="B183" s="5" t="s">
        <v>343</v>
      </c>
      <c r="C183" s="7">
        <v>6</v>
      </c>
      <c r="D183" s="7">
        <v>6</v>
      </c>
      <c r="E183" s="7">
        <v>29.922999999999998</v>
      </c>
      <c r="F183" s="7">
        <v>6.1520000000000001</v>
      </c>
      <c r="G183" s="7">
        <v>0</v>
      </c>
      <c r="H183" s="7">
        <v>0</v>
      </c>
      <c r="I183" s="7">
        <v>0.32200000000000001</v>
      </c>
      <c r="J183" s="7">
        <v>0</v>
      </c>
      <c r="K183" s="7">
        <v>0</v>
      </c>
      <c r="L183" s="7">
        <v>0</v>
      </c>
      <c r="M183" s="7">
        <v>75.201999999999998</v>
      </c>
      <c r="N183" s="7">
        <v>7.5990000000000002</v>
      </c>
      <c r="O183" s="7">
        <v>0</v>
      </c>
      <c r="P183" s="7">
        <v>0</v>
      </c>
      <c r="Q183" s="7">
        <v>1E-3</v>
      </c>
      <c r="R183" s="7">
        <v>0</v>
      </c>
      <c r="S183" s="7">
        <v>0</v>
      </c>
      <c r="T183" s="7">
        <v>1.8560000000000001</v>
      </c>
      <c r="U183" s="7">
        <v>0</v>
      </c>
      <c r="V183" s="7">
        <v>0</v>
      </c>
      <c r="W183" s="7">
        <v>0</v>
      </c>
      <c r="X183" s="7">
        <v>0.53200000000000003</v>
      </c>
      <c r="Y183" s="7">
        <v>0</v>
      </c>
      <c r="Z183" s="7">
        <v>11.599</v>
      </c>
      <c r="AA183" s="7">
        <v>0</v>
      </c>
      <c r="AB183" s="7">
        <v>0</v>
      </c>
      <c r="AC183" s="7">
        <v>0</v>
      </c>
      <c r="AD183" s="7">
        <v>1.1200000000000001</v>
      </c>
      <c r="AE183" s="7">
        <v>0</v>
      </c>
      <c r="AF183" s="7">
        <v>29.041</v>
      </c>
      <c r="AG183" s="7">
        <v>15.106999999999999</v>
      </c>
      <c r="AH183" s="7">
        <v>0</v>
      </c>
      <c r="AI183" s="7">
        <v>124.19799999999999</v>
      </c>
      <c r="AJ183" s="7">
        <v>27.067</v>
      </c>
      <c r="AK183" s="7">
        <v>0</v>
      </c>
      <c r="AL183" s="7">
        <v>0</v>
      </c>
      <c r="AM183" s="7">
        <v>0</v>
      </c>
      <c r="AN183" s="7">
        <v>0</v>
      </c>
      <c r="AO183" s="7">
        <v>0</v>
      </c>
      <c r="AP183" s="7">
        <v>0</v>
      </c>
      <c r="AQ183" s="7">
        <v>0.20599999999999999</v>
      </c>
      <c r="AR183" s="7">
        <v>0</v>
      </c>
      <c r="AS183" s="7">
        <v>4.6020000000000003</v>
      </c>
      <c r="AT183" s="7">
        <v>0</v>
      </c>
      <c r="AU183" s="7">
        <v>1.7999999999999999E-2</v>
      </c>
      <c r="AV183" s="7">
        <v>0</v>
      </c>
      <c r="AW183" s="7">
        <v>0.129</v>
      </c>
      <c r="AX183" s="7">
        <v>0</v>
      </c>
      <c r="AY183" s="7">
        <v>0</v>
      </c>
      <c r="AZ183" s="7">
        <v>0</v>
      </c>
      <c r="BA183" s="7">
        <v>4.5999999999999999E-2</v>
      </c>
      <c r="BB183" s="7">
        <v>0.28199999999999997</v>
      </c>
      <c r="BC183" s="7">
        <v>0</v>
      </c>
      <c r="BD183" s="7">
        <v>6.7000000000000004E-2</v>
      </c>
      <c r="BE183" s="7">
        <v>0</v>
      </c>
      <c r="BF183" s="7">
        <v>0.40400000000000003</v>
      </c>
      <c r="BG183" s="7">
        <v>8.9999999999999993E-3</v>
      </c>
      <c r="BH183" s="7">
        <v>8.9999999999999993E-3</v>
      </c>
      <c r="BI183" s="7">
        <v>0.22700000000000001</v>
      </c>
      <c r="BJ183" s="7">
        <v>0</v>
      </c>
      <c r="BK183" s="7">
        <v>0</v>
      </c>
      <c r="BL183" s="7">
        <v>0</v>
      </c>
      <c r="BM183" s="7">
        <v>0</v>
      </c>
      <c r="BN183" s="7">
        <v>0</v>
      </c>
      <c r="BO183" s="7">
        <v>0</v>
      </c>
      <c r="BP183" s="7">
        <v>0</v>
      </c>
      <c r="BQ183" s="7">
        <v>0</v>
      </c>
      <c r="BR183" s="21"/>
    </row>
    <row r="184" spans="1:70" ht="15.75" x14ac:dyDescent="0.25">
      <c r="A184" s="5" t="s">
        <v>325</v>
      </c>
      <c r="B184" s="5" t="s">
        <v>344</v>
      </c>
      <c r="C184" s="7">
        <v>6</v>
      </c>
      <c r="D184" s="7">
        <v>6</v>
      </c>
      <c r="E184" s="7">
        <v>0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0</v>
      </c>
      <c r="AL184" s="7">
        <v>0</v>
      </c>
      <c r="AM184" s="7">
        <v>0</v>
      </c>
      <c r="AN184" s="7">
        <v>0</v>
      </c>
      <c r="AO184" s="7">
        <v>0</v>
      </c>
      <c r="AP184" s="7">
        <v>0</v>
      </c>
      <c r="AQ184" s="7">
        <v>0</v>
      </c>
      <c r="AR184" s="7">
        <v>0</v>
      </c>
      <c r="AS184" s="7">
        <v>0</v>
      </c>
      <c r="AT184" s="7">
        <v>0</v>
      </c>
      <c r="AU184" s="7">
        <v>0</v>
      </c>
      <c r="AV184" s="7">
        <v>0</v>
      </c>
      <c r="AW184" s="7">
        <v>0</v>
      </c>
      <c r="AX184" s="7">
        <v>0</v>
      </c>
      <c r="AY184" s="7">
        <v>0</v>
      </c>
      <c r="AZ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F184" s="7">
        <v>0</v>
      </c>
      <c r="BG184" s="7">
        <v>0</v>
      </c>
      <c r="BH184" s="7">
        <v>0</v>
      </c>
      <c r="BI184" s="7">
        <v>0</v>
      </c>
      <c r="BJ184" s="7">
        <v>0</v>
      </c>
      <c r="BK184" s="7">
        <v>0</v>
      </c>
      <c r="BL184" s="7">
        <v>0</v>
      </c>
      <c r="BM184" s="7">
        <v>0</v>
      </c>
      <c r="BN184" s="7">
        <v>0</v>
      </c>
      <c r="BO184" s="7">
        <v>0</v>
      </c>
      <c r="BP184" s="7">
        <v>0</v>
      </c>
      <c r="BQ184" s="7">
        <v>0</v>
      </c>
      <c r="BR184" s="21"/>
    </row>
    <row r="185" spans="1:70" ht="15.75" x14ac:dyDescent="0.25">
      <c r="A185" s="5" t="s">
        <v>327</v>
      </c>
      <c r="B185" s="5" t="s">
        <v>345</v>
      </c>
      <c r="C185" s="7">
        <v>6</v>
      </c>
      <c r="D185" s="7">
        <v>6</v>
      </c>
      <c r="E185" s="7">
        <v>0</v>
      </c>
      <c r="F185" s="7">
        <v>0</v>
      </c>
      <c r="G185" s="7">
        <v>0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  <c r="AQ185" s="7">
        <v>0</v>
      </c>
      <c r="AR185" s="7">
        <v>0</v>
      </c>
      <c r="AS185" s="7">
        <v>0</v>
      </c>
      <c r="AT185" s="7">
        <v>0</v>
      </c>
      <c r="AU185" s="7">
        <v>0</v>
      </c>
      <c r="AV185" s="7">
        <v>0</v>
      </c>
      <c r="AW185" s="7">
        <v>0</v>
      </c>
      <c r="AX185" s="7">
        <v>0</v>
      </c>
      <c r="AY185" s="7">
        <v>0</v>
      </c>
      <c r="AZ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F185" s="7">
        <v>0</v>
      </c>
      <c r="BG185" s="7">
        <v>0</v>
      </c>
      <c r="BH185" s="7">
        <v>0</v>
      </c>
      <c r="BI185" s="7">
        <v>0</v>
      </c>
      <c r="BJ185" s="7">
        <v>0</v>
      </c>
      <c r="BK185" s="7">
        <v>0</v>
      </c>
      <c r="BL185" s="7">
        <v>0</v>
      </c>
      <c r="BM185" s="7">
        <v>0</v>
      </c>
      <c r="BN185" s="7">
        <v>0</v>
      </c>
      <c r="BO185" s="7">
        <v>0</v>
      </c>
      <c r="BP185" s="7">
        <v>0</v>
      </c>
      <c r="BQ185" s="7">
        <v>0</v>
      </c>
      <c r="BR185" s="21"/>
    </row>
    <row r="186" spans="1:70" ht="15.75" x14ac:dyDescent="0.25">
      <c r="A186" s="5" t="s">
        <v>329</v>
      </c>
      <c r="B186" s="5" t="s">
        <v>346</v>
      </c>
      <c r="C186" s="7">
        <v>6</v>
      </c>
      <c r="D186" s="7">
        <v>6</v>
      </c>
      <c r="E186" s="7">
        <v>0</v>
      </c>
      <c r="F186" s="7">
        <v>0</v>
      </c>
      <c r="G186" s="7">
        <v>0</v>
      </c>
      <c r="H186" s="7">
        <v>0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0</v>
      </c>
      <c r="AK186" s="7">
        <v>0</v>
      </c>
      <c r="AL186" s="7">
        <v>0</v>
      </c>
      <c r="AM186" s="7">
        <v>0</v>
      </c>
      <c r="AN186" s="7">
        <v>0</v>
      </c>
      <c r="AO186" s="7">
        <v>0</v>
      </c>
      <c r="AP186" s="7">
        <v>0</v>
      </c>
      <c r="AQ186" s="7">
        <v>0</v>
      </c>
      <c r="AR186" s="7">
        <v>0</v>
      </c>
      <c r="AS186" s="7">
        <v>0</v>
      </c>
      <c r="AT186" s="7">
        <v>0</v>
      </c>
      <c r="AU186" s="7">
        <v>0</v>
      </c>
      <c r="AV186" s="7">
        <v>0</v>
      </c>
      <c r="AW186" s="7">
        <v>0</v>
      </c>
      <c r="AX186" s="7">
        <v>0</v>
      </c>
      <c r="AY186" s="7">
        <v>0</v>
      </c>
      <c r="AZ186" s="7">
        <v>0</v>
      </c>
      <c r="BA186" s="7">
        <v>0</v>
      </c>
      <c r="BB186" s="7">
        <v>0</v>
      </c>
      <c r="BC186" s="7">
        <v>0</v>
      </c>
      <c r="BD186" s="7">
        <v>0</v>
      </c>
      <c r="BE186" s="7">
        <v>0</v>
      </c>
      <c r="BF186" s="7">
        <v>0</v>
      </c>
      <c r="BG186" s="7">
        <v>0</v>
      </c>
      <c r="BH186" s="7">
        <v>0</v>
      </c>
      <c r="BI186" s="7">
        <v>0</v>
      </c>
      <c r="BJ186" s="7">
        <v>0</v>
      </c>
      <c r="BK186" s="7">
        <v>0</v>
      </c>
      <c r="BL186" s="7">
        <v>0</v>
      </c>
      <c r="BM186" s="7">
        <v>0</v>
      </c>
      <c r="BN186" s="7">
        <v>0</v>
      </c>
      <c r="BO186" s="7">
        <v>0</v>
      </c>
      <c r="BP186" s="7">
        <v>0</v>
      </c>
      <c r="BQ186" s="7">
        <v>0</v>
      </c>
      <c r="BR186" s="21"/>
    </row>
    <row r="187" spans="1:70" ht="15.75" x14ac:dyDescent="0.25">
      <c r="A187" s="5" t="s">
        <v>331</v>
      </c>
      <c r="B187" s="5" t="s">
        <v>347</v>
      </c>
      <c r="C187" s="7">
        <v>6</v>
      </c>
      <c r="D187" s="7">
        <v>6</v>
      </c>
      <c r="E187" s="7">
        <v>0</v>
      </c>
      <c r="F187" s="7">
        <v>0</v>
      </c>
      <c r="G187" s="7">
        <v>0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  <c r="AO187" s="7">
        <v>0</v>
      </c>
      <c r="AP187" s="7">
        <v>0</v>
      </c>
      <c r="AQ187" s="7">
        <v>0</v>
      </c>
      <c r="AR187" s="7">
        <v>0</v>
      </c>
      <c r="AS187" s="7">
        <v>0</v>
      </c>
      <c r="AT187" s="7">
        <v>0</v>
      </c>
      <c r="AU187" s="7">
        <v>0</v>
      </c>
      <c r="AV187" s="7">
        <v>0</v>
      </c>
      <c r="AW187" s="7">
        <v>0</v>
      </c>
      <c r="AX187" s="7">
        <v>0</v>
      </c>
      <c r="AY187" s="7">
        <v>0</v>
      </c>
      <c r="AZ187" s="7">
        <v>0</v>
      </c>
      <c r="BA187" s="7">
        <v>0</v>
      </c>
      <c r="BB187" s="7">
        <v>0</v>
      </c>
      <c r="BC187" s="7">
        <v>0</v>
      </c>
      <c r="BD187" s="7">
        <v>0</v>
      </c>
      <c r="BE187" s="7">
        <v>0</v>
      </c>
      <c r="BF187" s="7">
        <v>0</v>
      </c>
      <c r="BG187" s="7">
        <v>0</v>
      </c>
      <c r="BH187" s="7">
        <v>0</v>
      </c>
      <c r="BI187" s="7">
        <v>0</v>
      </c>
      <c r="BJ187" s="7">
        <v>0</v>
      </c>
      <c r="BK187" s="7">
        <v>0</v>
      </c>
      <c r="BL187" s="7">
        <v>0</v>
      </c>
      <c r="BM187" s="7">
        <v>0</v>
      </c>
      <c r="BN187" s="7">
        <v>0</v>
      </c>
      <c r="BO187" s="7">
        <v>0</v>
      </c>
      <c r="BP187" s="7">
        <v>0</v>
      </c>
      <c r="BQ187" s="7">
        <v>0</v>
      </c>
      <c r="BR187" s="21"/>
    </row>
    <row r="188" spans="1:70" ht="15.75" x14ac:dyDescent="0.25">
      <c r="A188" s="5" t="s">
        <v>333</v>
      </c>
      <c r="B188" s="5" t="s">
        <v>348</v>
      </c>
      <c r="C188" s="7">
        <v>6</v>
      </c>
      <c r="D188" s="7">
        <v>6</v>
      </c>
      <c r="E188" s="7">
        <v>0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  <c r="AN188" s="7">
        <v>0</v>
      </c>
      <c r="AO188" s="7">
        <v>0</v>
      </c>
      <c r="AP188" s="7">
        <v>0</v>
      </c>
      <c r="AQ188" s="7">
        <v>0</v>
      </c>
      <c r="AR188" s="7">
        <v>0</v>
      </c>
      <c r="AS188" s="7">
        <v>0</v>
      </c>
      <c r="AT188" s="7">
        <v>0</v>
      </c>
      <c r="AU188" s="7">
        <v>0</v>
      </c>
      <c r="AV188" s="7">
        <v>0</v>
      </c>
      <c r="AW188" s="7">
        <v>0</v>
      </c>
      <c r="AX188" s="7">
        <v>0</v>
      </c>
      <c r="AY188" s="7">
        <v>0</v>
      </c>
      <c r="AZ188" s="7">
        <v>0</v>
      </c>
      <c r="BA188" s="7">
        <v>0</v>
      </c>
      <c r="BB188" s="7">
        <v>0</v>
      </c>
      <c r="BC188" s="7">
        <v>0</v>
      </c>
      <c r="BD188" s="7">
        <v>0</v>
      </c>
      <c r="BE188" s="7">
        <v>0</v>
      </c>
      <c r="BF188" s="7">
        <v>0</v>
      </c>
      <c r="BG188" s="7">
        <v>0</v>
      </c>
      <c r="BH188" s="7">
        <v>0</v>
      </c>
      <c r="BI188" s="7">
        <v>0</v>
      </c>
      <c r="BJ188" s="7">
        <v>0</v>
      </c>
      <c r="BK188" s="7">
        <v>0</v>
      </c>
      <c r="BL188" s="7">
        <v>0</v>
      </c>
      <c r="BM188" s="7">
        <v>0</v>
      </c>
      <c r="BN188" s="7">
        <v>0</v>
      </c>
      <c r="BO188" s="7">
        <v>0</v>
      </c>
      <c r="BP188" s="7">
        <v>0</v>
      </c>
      <c r="BQ188" s="7">
        <v>0</v>
      </c>
      <c r="BR188" s="21"/>
    </row>
    <row r="189" spans="1:70" ht="15.75" x14ac:dyDescent="0.25">
      <c r="A189" s="5" t="s">
        <v>335</v>
      </c>
      <c r="B189" s="5" t="s">
        <v>349</v>
      </c>
      <c r="C189" s="7">
        <v>6</v>
      </c>
      <c r="D189" s="7">
        <v>6</v>
      </c>
      <c r="E189" s="7">
        <v>0</v>
      </c>
      <c r="F189" s="7">
        <v>0</v>
      </c>
      <c r="G189" s="7">
        <v>0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0</v>
      </c>
      <c r="AL189" s="7">
        <v>0</v>
      </c>
      <c r="AM189" s="7">
        <v>0</v>
      </c>
      <c r="AN189" s="7">
        <v>0</v>
      </c>
      <c r="AO189" s="7">
        <v>0</v>
      </c>
      <c r="AP189" s="7">
        <v>0</v>
      </c>
      <c r="AQ189" s="7">
        <v>0</v>
      </c>
      <c r="AR189" s="7">
        <v>0</v>
      </c>
      <c r="AS189" s="7">
        <v>0</v>
      </c>
      <c r="AT189" s="7">
        <v>0</v>
      </c>
      <c r="AU189" s="7">
        <v>0</v>
      </c>
      <c r="AV189" s="7">
        <v>0</v>
      </c>
      <c r="AW189" s="7">
        <v>0</v>
      </c>
      <c r="AX189" s="7">
        <v>0</v>
      </c>
      <c r="AY189" s="7">
        <v>0</v>
      </c>
      <c r="AZ189" s="7">
        <v>0</v>
      </c>
      <c r="BA189" s="7">
        <v>0</v>
      </c>
      <c r="BB189" s="7">
        <v>0</v>
      </c>
      <c r="BC189" s="7">
        <v>0</v>
      </c>
      <c r="BD189" s="7">
        <v>0</v>
      </c>
      <c r="BE189" s="7">
        <v>0</v>
      </c>
      <c r="BF189" s="7">
        <v>0</v>
      </c>
      <c r="BG189" s="7">
        <v>0</v>
      </c>
      <c r="BH189" s="7">
        <v>0</v>
      </c>
      <c r="BI189" s="7">
        <v>0</v>
      </c>
      <c r="BJ189" s="7">
        <v>0</v>
      </c>
      <c r="BK189" s="7">
        <v>0</v>
      </c>
      <c r="BL189" s="7">
        <v>0</v>
      </c>
      <c r="BM189" s="7">
        <v>0</v>
      </c>
      <c r="BN189" s="7">
        <v>0</v>
      </c>
      <c r="BO189" s="7">
        <v>0</v>
      </c>
      <c r="BP189" s="7">
        <v>0</v>
      </c>
      <c r="BQ189" s="7">
        <v>0</v>
      </c>
      <c r="BR189" s="21"/>
    </row>
    <row r="190" spans="1:70" ht="15.75" x14ac:dyDescent="0.25">
      <c r="A190" s="5" t="s">
        <v>337</v>
      </c>
      <c r="B190" s="5" t="s">
        <v>350</v>
      </c>
      <c r="C190" s="7">
        <v>6</v>
      </c>
      <c r="D190" s="7">
        <v>6</v>
      </c>
      <c r="E190" s="7">
        <v>0</v>
      </c>
      <c r="F190" s="7">
        <v>0</v>
      </c>
      <c r="G190" s="7">
        <v>0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0</v>
      </c>
      <c r="AL190" s="7">
        <v>0</v>
      </c>
      <c r="AM190" s="7">
        <v>0</v>
      </c>
      <c r="AN190" s="7">
        <v>0</v>
      </c>
      <c r="AO190" s="7">
        <v>0</v>
      </c>
      <c r="AP190" s="7">
        <v>0</v>
      </c>
      <c r="AQ190" s="7">
        <v>0</v>
      </c>
      <c r="AR190" s="7">
        <v>0</v>
      </c>
      <c r="AS190" s="7">
        <v>0</v>
      </c>
      <c r="AT190" s="7">
        <v>0</v>
      </c>
      <c r="AU190" s="7">
        <v>0</v>
      </c>
      <c r="AV190" s="7">
        <v>0</v>
      </c>
      <c r="AW190" s="7">
        <v>0</v>
      </c>
      <c r="AX190" s="7">
        <v>0</v>
      </c>
      <c r="AY190" s="7">
        <v>0</v>
      </c>
      <c r="AZ190" s="7">
        <v>0</v>
      </c>
      <c r="BA190" s="7">
        <v>0</v>
      </c>
      <c r="BB190" s="7">
        <v>0</v>
      </c>
      <c r="BC190" s="7">
        <v>0</v>
      </c>
      <c r="BD190" s="7">
        <v>0</v>
      </c>
      <c r="BE190" s="7">
        <v>0</v>
      </c>
      <c r="BF190" s="7">
        <v>0</v>
      </c>
      <c r="BG190" s="7">
        <v>0</v>
      </c>
      <c r="BH190" s="7">
        <v>0</v>
      </c>
      <c r="BI190" s="7">
        <v>0</v>
      </c>
      <c r="BJ190" s="7">
        <v>0</v>
      </c>
      <c r="BK190" s="7">
        <v>0</v>
      </c>
      <c r="BL190" s="7">
        <v>0</v>
      </c>
      <c r="BM190" s="7">
        <v>0</v>
      </c>
      <c r="BN190" s="7">
        <v>0</v>
      </c>
      <c r="BO190" s="7">
        <v>0</v>
      </c>
      <c r="BP190" s="7">
        <v>0</v>
      </c>
      <c r="BQ190" s="7">
        <v>0</v>
      </c>
      <c r="BR190" s="21"/>
    </row>
    <row r="191" spans="1:70" ht="15.75" x14ac:dyDescent="0.25">
      <c r="A191" s="5" t="s">
        <v>339</v>
      </c>
      <c r="B191" s="5" t="s">
        <v>351</v>
      </c>
      <c r="C191" s="7">
        <v>6</v>
      </c>
      <c r="D191" s="7">
        <v>6</v>
      </c>
      <c r="E191" s="7">
        <v>0</v>
      </c>
      <c r="F191" s="7">
        <v>0</v>
      </c>
      <c r="G191" s="7">
        <v>0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7">
        <v>0</v>
      </c>
      <c r="AP191" s="7">
        <v>0</v>
      </c>
      <c r="AQ191" s="7">
        <v>0</v>
      </c>
      <c r="AR191" s="7">
        <v>0</v>
      </c>
      <c r="AS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AZ191" s="7">
        <v>0</v>
      </c>
      <c r="BA191" s="7">
        <v>0</v>
      </c>
      <c r="BB191" s="7">
        <v>0</v>
      </c>
      <c r="BC191" s="7">
        <v>0</v>
      </c>
      <c r="BD191" s="7">
        <v>0</v>
      </c>
      <c r="BE191" s="7">
        <v>0</v>
      </c>
      <c r="BF191" s="7">
        <v>0</v>
      </c>
      <c r="BG191" s="7">
        <v>0</v>
      </c>
      <c r="BH191" s="7">
        <v>0</v>
      </c>
      <c r="BI191" s="7">
        <v>0</v>
      </c>
      <c r="BJ191" s="7">
        <v>0</v>
      </c>
      <c r="BK191" s="7">
        <v>0</v>
      </c>
      <c r="BL191" s="7">
        <v>0</v>
      </c>
      <c r="BM191" s="7">
        <v>0</v>
      </c>
      <c r="BN191" s="7">
        <v>0</v>
      </c>
      <c r="BO191" s="7">
        <v>0</v>
      </c>
      <c r="BP191" s="7">
        <v>0</v>
      </c>
      <c r="BQ191" s="7">
        <v>0</v>
      </c>
      <c r="BR191" s="21"/>
    </row>
    <row r="192" spans="1:70" ht="15.75" x14ac:dyDescent="0.25">
      <c r="A192" s="5" t="s">
        <v>341</v>
      </c>
      <c r="B192" s="5" t="s">
        <v>352</v>
      </c>
      <c r="C192" s="7">
        <v>6</v>
      </c>
      <c r="D192" s="7">
        <v>6</v>
      </c>
      <c r="E192" s="7">
        <v>0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0</v>
      </c>
      <c r="AL192" s="7">
        <v>0</v>
      </c>
      <c r="AM192" s="7">
        <v>0</v>
      </c>
      <c r="AN192" s="7">
        <v>0</v>
      </c>
      <c r="AO192" s="7">
        <v>0</v>
      </c>
      <c r="AP192" s="7">
        <v>0</v>
      </c>
      <c r="AQ192" s="7">
        <v>0</v>
      </c>
      <c r="AR192" s="7">
        <v>0</v>
      </c>
      <c r="AS192" s="7">
        <v>0</v>
      </c>
      <c r="AT192" s="7">
        <v>0</v>
      </c>
      <c r="AU192" s="7">
        <v>0</v>
      </c>
      <c r="AV192" s="7">
        <v>0</v>
      </c>
      <c r="AW192" s="7">
        <v>0</v>
      </c>
      <c r="AX192" s="7">
        <v>0</v>
      </c>
      <c r="AY192" s="7">
        <v>0</v>
      </c>
      <c r="AZ192" s="7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0</v>
      </c>
      <c r="BF192" s="7">
        <v>0</v>
      </c>
      <c r="BG192" s="7">
        <v>0</v>
      </c>
      <c r="BH192" s="7">
        <v>0</v>
      </c>
      <c r="BI192" s="7">
        <v>0</v>
      </c>
      <c r="BJ192" s="7">
        <v>0</v>
      </c>
      <c r="BK192" s="7">
        <v>0</v>
      </c>
      <c r="BL192" s="7">
        <v>0</v>
      </c>
      <c r="BM192" s="7">
        <v>0</v>
      </c>
      <c r="BN192" s="7">
        <v>0</v>
      </c>
      <c r="BO192" s="7">
        <v>0</v>
      </c>
      <c r="BP192" s="7">
        <v>0</v>
      </c>
      <c r="BQ192" s="7">
        <v>0</v>
      </c>
      <c r="BR192" s="21"/>
    </row>
    <row r="193" spans="1:70" ht="15.75" x14ac:dyDescent="0.25">
      <c r="A193" s="5" t="s">
        <v>353</v>
      </c>
      <c r="B193" s="5" t="s">
        <v>354</v>
      </c>
      <c r="C193" s="7">
        <v>6</v>
      </c>
      <c r="D193" s="7">
        <v>6</v>
      </c>
      <c r="E193" s="7">
        <v>0</v>
      </c>
      <c r="F193" s="7">
        <v>0</v>
      </c>
      <c r="G193" s="7">
        <v>0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  <c r="AO193" s="7">
        <v>0</v>
      </c>
      <c r="AP193" s="7">
        <v>0</v>
      </c>
      <c r="AQ193" s="7">
        <v>0</v>
      </c>
      <c r="AR193" s="7">
        <v>0</v>
      </c>
      <c r="AS193" s="7">
        <v>0</v>
      </c>
      <c r="AT193" s="7">
        <v>0</v>
      </c>
      <c r="AU193" s="7">
        <v>0</v>
      </c>
      <c r="AV193" s="7">
        <v>0</v>
      </c>
      <c r="AW193" s="7">
        <v>0</v>
      </c>
      <c r="AX193" s="7">
        <v>0</v>
      </c>
      <c r="AY193" s="7">
        <v>0</v>
      </c>
      <c r="AZ193" s="7">
        <v>0</v>
      </c>
      <c r="BA193" s="7">
        <v>0</v>
      </c>
      <c r="BB193" s="7">
        <v>0</v>
      </c>
      <c r="BC193" s="7">
        <v>0</v>
      </c>
      <c r="BD193" s="7">
        <v>0</v>
      </c>
      <c r="BE193" s="7">
        <v>0</v>
      </c>
      <c r="BF193" s="7">
        <v>0</v>
      </c>
      <c r="BG193" s="7">
        <v>0</v>
      </c>
      <c r="BH193" s="7">
        <v>0</v>
      </c>
      <c r="BI193" s="7">
        <v>0</v>
      </c>
      <c r="BJ193" s="7">
        <v>0</v>
      </c>
      <c r="BK193" s="7">
        <v>0</v>
      </c>
      <c r="BL193" s="7">
        <v>0</v>
      </c>
      <c r="BM193" s="7">
        <v>0</v>
      </c>
      <c r="BN193" s="7">
        <v>0</v>
      </c>
      <c r="BO193" s="7">
        <v>0</v>
      </c>
      <c r="BP193" s="7">
        <v>0</v>
      </c>
      <c r="BQ193" s="7">
        <v>0</v>
      </c>
      <c r="BR193" s="21"/>
    </row>
    <row r="194" spans="1:70" ht="15.75" x14ac:dyDescent="0.25">
      <c r="A194" s="5" t="s">
        <v>355</v>
      </c>
      <c r="B194" s="5" t="s">
        <v>356</v>
      </c>
      <c r="C194" s="7">
        <v>6</v>
      </c>
      <c r="D194" s="7">
        <v>6</v>
      </c>
      <c r="E194" s="7">
        <v>0</v>
      </c>
      <c r="F194" s="7">
        <v>0</v>
      </c>
      <c r="G194" s="7">
        <v>0</v>
      </c>
      <c r="H194" s="7">
        <v>0</v>
      </c>
      <c r="I194" s="7">
        <v>0</v>
      </c>
      <c r="J194" s="7">
        <v>0</v>
      </c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7">
        <v>0</v>
      </c>
      <c r="AF194" s="7">
        <v>0</v>
      </c>
      <c r="AG194" s="7">
        <v>0</v>
      </c>
      <c r="AH194" s="7">
        <v>0</v>
      </c>
      <c r="AI194" s="7">
        <v>0</v>
      </c>
      <c r="AJ194" s="7">
        <v>0</v>
      </c>
      <c r="AK194" s="7">
        <v>0</v>
      </c>
      <c r="AL194" s="7">
        <v>0</v>
      </c>
      <c r="AM194" s="7">
        <v>0</v>
      </c>
      <c r="AN194" s="7">
        <v>0</v>
      </c>
      <c r="AO194" s="7">
        <v>0</v>
      </c>
      <c r="AP194" s="7">
        <v>0</v>
      </c>
      <c r="AQ194" s="7">
        <v>0</v>
      </c>
      <c r="AR194" s="7">
        <v>0</v>
      </c>
      <c r="AS194" s="7">
        <v>0</v>
      </c>
      <c r="AT194" s="7">
        <v>0</v>
      </c>
      <c r="AU194" s="7">
        <v>0</v>
      </c>
      <c r="AV194" s="7">
        <v>0</v>
      </c>
      <c r="AW194" s="7">
        <v>0</v>
      </c>
      <c r="AX194" s="7">
        <v>0</v>
      </c>
      <c r="AY194" s="7">
        <v>0</v>
      </c>
      <c r="AZ194" s="7">
        <v>0</v>
      </c>
      <c r="BA194" s="7">
        <v>0</v>
      </c>
      <c r="BB194" s="7">
        <v>0</v>
      </c>
      <c r="BC194" s="7">
        <v>0</v>
      </c>
      <c r="BD194" s="7">
        <v>0</v>
      </c>
      <c r="BE194" s="7">
        <v>0</v>
      </c>
      <c r="BF194" s="7">
        <v>0</v>
      </c>
      <c r="BG194" s="7">
        <v>0</v>
      </c>
      <c r="BH194" s="7">
        <v>0</v>
      </c>
      <c r="BI194" s="7">
        <v>0</v>
      </c>
      <c r="BJ194" s="7">
        <v>0</v>
      </c>
      <c r="BK194" s="7">
        <v>0</v>
      </c>
      <c r="BL194" s="7">
        <v>0</v>
      </c>
      <c r="BM194" s="7">
        <v>0</v>
      </c>
      <c r="BN194" s="7">
        <v>0</v>
      </c>
      <c r="BO194" s="7">
        <v>0</v>
      </c>
      <c r="BP194" s="7">
        <v>0</v>
      </c>
      <c r="BQ194" s="7">
        <v>0</v>
      </c>
      <c r="BR194" s="21"/>
    </row>
    <row r="195" spans="1:70" ht="15.75" x14ac:dyDescent="0.25">
      <c r="A195" s="5" t="s">
        <v>357</v>
      </c>
      <c r="B195" s="5" t="s">
        <v>358</v>
      </c>
      <c r="C195" s="7">
        <v>6</v>
      </c>
      <c r="D195" s="7">
        <v>6</v>
      </c>
      <c r="E195" s="7">
        <v>36.350999999999999</v>
      </c>
      <c r="F195" s="7">
        <v>3.3650000000000002</v>
      </c>
      <c r="G195" s="7">
        <v>10.257999999999999</v>
      </c>
      <c r="H195" s="7">
        <v>0</v>
      </c>
      <c r="I195" s="7">
        <v>0.752</v>
      </c>
      <c r="J195" s="7">
        <v>7.415</v>
      </c>
      <c r="K195" s="7">
        <v>0</v>
      </c>
      <c r="L195" s="7">
        <v>0</v>
      </c>
      <c r="M195" s="7">
        <v>8.8480000000000008</v>
      </c>
      <c r="N195" s="7">
        <v>22.736000000000001</v>
      </c>
      <c r="O195" s="7">
        <v>0</v>
      </c>
      <c r="P195" s="7">
        <v>0</v>
      </c>
      <c r="Q195" s="7">
        <v>2E-3</v>
      </c>
      <c r="R195" s="7">
        <v>0</v>
      </c>
      <c r="S195" s="7">
        <v>0</v>
      </c>
      <c r="T195" s="7">
        <v>1.248</v>
      </c>
      <c r="U195" s="7">
        <v>0</v>
      </c>
      <c r="V195" s="7">
        <v>0</v>
      </c>
      <c r="W195" s="7">
        <v>0.73899999999999999</v>
      </c>
      <c r="X195" s="7">
        <v>2.1160000000000001</v>
      </c>
      <c r="Y195" s="7">
        <v>0</v>
      </c>
      <c r="Z195" s="7">
        <v>3.3370000000000002</v>
      </c>
      <c r="AA195" s="7">
        <v>0</v>
      </c>
      <c r="AB195" s="7">
        <v>9.375</v>
      </c>
      <c r="AC195" s="7">
        <v>0</v>
      </c>
      <c r="AD195" s="7">
        <v>0.59699999999999998</v>
      </c>
      <c r="AE195" s="7">
        <v>0</v>
      </c>
      <c r="AF195" s="7">
        <v>10.095000000000001</v>
      </c>
      <c r="AG195" s="7">
        <v>0</v>
      </c>
      <c r="AH195" s="7">
        <v>0</v>
      </c>
      <c r="AI195" s="7">
        <v>39.829000000000001</v>
      </c>
      <c r="AJ195" s="7">
        <v>0</v>
      </c>
      <c r="AK195" s="7">
        <v>0</v>
      </c>
      <c r="AL195" s="7">
        <v>0</v>
      </c>
      <c r="AM195" s="7">
        <v>0</v>
      </c>
      <c r="AN195" s="7">
        <v>0</v>
      </c>
      <c r="AO195" s="7">
        <v>0</v>
      </c>
      <c r="AP195" s="7">
        <v>0</v>
      </c>
      <c r="AQ195" s="7">
        <v>0.14799999999999999</v>
      </c>
      <c r="AR195" s="7">
        <v>0</v>
      </c>
      <c r="AS195" s="7">
        <v>0</v>
      </c>
      <c r="AT195" s="7">
        <v>0</v>
      </c>
      <c r="AU195" s="7">
        <v>5.0000000000000001E-3</v>
      </c>
      <c r="AV195" s="7">
        <v>0</v>
      </c>
      <c r="AW195" s="7">
        <v>0.27500000000000002</v>
      </c>
      <c r="AX195" s="7">
        <v>0</v>
      </c>
      <c r="AY195" s="7">
        <v>0</v>
      </c>
      <c r="AZ195" s="7">
        <v>0</v>
      </c>
      <c r="BA195" s="7">
        <v>0.122</v>
      </c>
      <c r="BB195" s="7">
        <v>0</v>
      </c>
      <c r="BC195" s="7">
        <v>0</v>
      </c>
      <c r="BD195" s="7">
        <v>4.2999999999999997E-2</v>
      </c>
      <c r="BE195" s="7">
        <v>0.08</v>
      </c>
      <c r="BF195" s="7">
        <v>0</v>
      </c>
      <c r="BG195" s="7">
        <v>6.0000000000000001E-3</v>
      </c>
      <c r="BH195" s="7">
        <v>6.0000000000000001E-3</v>
      </c>
      <c r="BI195" s="7">
        <v>0</v>
      </c>
      <c r="BJ195" s="7">
        <v>0</v>
      </c>
      <c r="BK195" s="7">
        <v>4.8000000000000001E-2</v>
      </c>
      <c r="BL195" s="7">
        <v>0</v>
      </c>
      <c r="BM195" s="7">
        <v>0</v>
      </c>
      <c r="BN195" s="7">
        <v>0</v>
      </c>
      <c r="BO195" s="7">
        <v>0</v>
      </c>
      <c r="BP195" s="7">
        <v>0</v>
      </c>
      <c r="BQ195" s="7">
        <v>0</v>
      </c>
      <c r="BR195" s="21"/>
    </row>
    <row r="196" spans="1:70" ht="15.75" x14ac:dyDescent="0.25">
      <c r="A196" s="5" t="s">
        <v>359</v>
      </c>
      <c r="B196" s="5" t="s">
        <v>360</v>
      </c>
      <c r="C196" s="7">
        <v>6</v>
      </c>
      <c r="D196" s="7">
        <v>6</v>
      </c>
      <c r="E196" s="7">
        <v>0</v>
      </c>
      <c r="F196" s="7">
        <v>0</v>
      </c>
      <c r="G196" s="7">
        <v>0</v>
      </c>
      <c r="H196" s="7">
        <v>0</v>
      </c>
      <c r="I196" s="7">
        <v>0</v>
      </c>
      <c r="J196" s="7">
        <v>0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32.423000000000002</v>
      </c>
      <c r="S196" s="7">
        <v>118.45099999999999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0</v>
      </c>
      <c r="AF196" s="7">
        <v>0</v>
      </c>
      <c r="AG196" s="7">
        <v>0</v>
      </c>
      <c r="AH196" s="7">
        <v>0</v>
      </c>
      <c r="AI196" s="7">
        <v>0</v>
      </c>
      <c r="AJ196" s="7">
        <v>0</v>
      </c>
      <c r="AK196" s="7">
        <v>0</v>
      </c>
      <c r="AL196" s="7">
        <v>0</v>
      </c>
      <c r="AM196" s="7">
        <v>0</v>
      </c>
      <c r="AN196" s="7">
        <v>0</v>
      </c>
      <c r="AO196" s="7">
        <v>0</v>
      </c>
      <c r="AP196" s="7">
        <v>0</v>
      </c>
      <c r="AQ196" s="7">
        <v>0</v>
      </c>
      <c r="AR196" s="7">
        <v>0</v>
      </c>
      <c r="AS196" s="7">
        <v>0</v>
      </c>
      <c r="AT196" s="7">
        <v>0</v>
      </c>
      <c r="AU196" s="7">
        <v>0</v>
      </c>
      <c r="AV196" s="7">
        <v>0</v>
      </c>
      <c r="AW196" s="7">
        <v>0</v>
      </c>
      <c r="AX196" s="7">
        <v>0</v>
      </c>
      <c r="AY196" s="7">
        <v>0</v>
      </c>
      <c r="AZ196" s="7">
        <v>0</v>
      </c>
      <c r="BA196" s="7">
        <v>0</v>
      </c>
      <c r="BB196" s="7">
        <v>0</v>
      </c>
      <c r="BC196" s="7">
        <v>0</v>
      </c>
      <c r="BD196" s="7">
        <v>0</v>
      </c>
      <c r="BE196" s="7">
        <v>0</v>
      </c>
      <c r="BF196" s="7">
        <v>0</v>
      </c>
      <c r="BG196" s="7">
        <v>0</v>
      </c>
      <c r="BH196" s="7">
        <v>0</v>
      </c>
      <c r="BI196" s="7">
        <v>0</v>
      </c>
      <c r="BJ196" s="7">
        <v>0</v>
      </c>
      <c r="BK196" s="7">
        <v>0</v>
      </c>
      <c r="BL196" s="7">
        <v>0</v>
      </c>
      <c r="BM196" s="7">
        <v>0</v>
      </c>
      <c r="BN196" s="7">
        <v>0</v>
      </c>
      <c r="BO196" s="7">
        <v>0</v>
      </c>
      <c r="BP196" s="7">
        <v>0</v>
      </c>
      <c r="BQ196" s="7">
        <v>0</v>
      </c>
      <c r="BR196" s="21"/>
    </row>
    <row r="197" spans="1:70" ht="15.75" x14ac:dyDescent="0.25">
      <c r="A197" s="5" t="s">
        <v>361</v>
      </c>
      <c r="B197" s="5" t="s">
        <v>362</v>
      </c>
      <c r="C197" s="7">
        <v>6</v>
      </c>
      <c r="D197" s="7">
        <v>6</v>
      </c>
      <c r="E197" s="7">
        <v>167.94300000000001</v>
      </c>
      <c r="F197" s="7">
        <v>0</v>
      </c>
      <c r="G197" s="7">
        <v>40.893999999999998</v>
      </c>
      <c r="H197" s="7">
        <v>0</v>
      </c>
      <c r="I197" s="7">
        <v>0</v>
      </c>
      <c r="J197" s="7">
        <v>71.132000000000005</v>
      </c>
      <c r="K197" s="7">
        <v>0</v>
      </c>
      <c r="L197" s="7">
        <v>0</v>
      </c>
      <c r="M197" s="7">
        <v>604.05600000000004</v>
      </c>
      <c r="N197" s="7">
        <v>87.588999999999999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517.81899999999996</v>
      </c>
      <c r="AJ197" s="7">
        <v>0</v>
      </c>
      <c r="AK197" s="7">
        <v>0</v>
      </c>
      <c r="AL197" s="7">
        <v>0</v>
      </c>
      <c r="AM197" s="7">
        <v>0</v>
      </c>
      <c r="AN197" s="7">
        <v>0</v>
      </c>
      <c r="AO197" s="7">
        <v>0</v>
      </c>
      <c r="AP197" s="7">
        <v>0</v>
      </c>
      <c r="AQ197" s="7">
        <v>0</v>
      </c>
      <c r="AR197" s="7">
        <v>0</v>
      </c>
      <c r="AS197" s="7">
        <v>0</v>
      </c>
      <c r="AT197" s="7">
        <v>0</v>
      </c>
      <c r="AU197" s="7">
        <v>0</v>
      </c>
      <c r="AV197" s="7">
        <v>0</v>
      </c>
      <c r="AW197" s="7">
        <v>0</v>
      </c>
      <c r="AX197" s="7">
        <v>0</v>
      </c>
      <c r="AY197" s="7">
        <v>0</v>
      </c>
      <c r="AZ197" s="7">
        <v>0</v>
      </c>
      <c r="BA197" s="7">
        <v>0</v>
      </c>
      <c r="BB197" s="7">
        <v>0</v>
      </c>
      <c r="BC197" s="7">
        <v>0</v>
      </c>
      <c r="BD197" s="7">
        <v>0</v>
      </c>
      <c r="BE197" s="7">
        <v>0</v>
      </c>
      <c r="BF197" s="7">
        <v>0</v>
      </c>
      <c r="BG197" s="7">
        <v>0</v>
      </c>
      <c r="BH197" s="7">
        <v>0</v>
      </c>
      <c r="BI197" s="7">
        <v>0</v>
      </c>
      <c r="BJ197" s="7">
        <v>0</v>
      </c>
      <c r="BK197" s="7">
        <v>0</v>
      </c>
      <c r="BL197" s="7">
        <v>0</v>
      </c>
      <c r="BM197" s="7">
        <v>0</v>
      </c>
      <c r="BN197" s="7">
        <v>0</v>
      </c>
      <c r="BO197" s="7">
        <v>0</v>
      </c>
      <c r="BP197" s="7">
        <v>0</v>
      </c>
      <c r="BQ197" s="7">
        <v>0</v>
      </c>
      <c r="BR197" s="21"/>
    </row>
    <row r="198" spans="1:70" ht="15.75" x14ac:dyDescent="0.25">
      <c r="A198" s="5" t="s">
        <v>363</v>
      </c>
      <c r="B198" s="5" t="s">
        <v>364</v>
      </c>
      <c r="C198" s="7">
        <v>6</v>
      </c>
      <c r="D198" s="7">
        <v>6</v>
      </c>
      <c r="E198" s="7">
        <v>0</v>
      </c>
      <c r="F198" s="7">
        <v>0</v>
      </c>
      <c r="G198" s="7">
        <v>0</v>
      </c>
      <c r="H198" s="7">
        <v>0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7">
        <v>0</v>
      </c>
      <c r="AL198" s="7">
        <v>0</v>
      </c>
      <c r="AM198" s="7">
        <v>0</v>
      </c>
      <c r="AN198" s="7">
        <v>0</v>
      </c>
      <c r="AO198" s="7">
        <v>0</v>
      </c>
      <c r="AP198" s="7">
        <v>0</v>
      </c>
      <c r="AQ198" s="7">
        <v>0</v>
      </c>
      <c r="AR198" s="7">
        <v>0</v>
      </c>
      <c r="AS198" s="7">
        <v>0</v>
      </c>
      <c r="AT198" s="7">
        <v>0</v>
      </c>
      <c r="AU198" s="7">
        <v>0</v>
      </c>
      <c r="AV198" s="7">
        <v>0</v>
      </c>
      <c r="AW198" s="7">
        <v>0</v>
      </c>
      <c r="AX198" s="7">
        <v>0</v>
      </c>
      <c r="AY198" s="7">
        <v>0</v>
      </c>
      <c r="AZ198" s="7">
        <v>0</v>
      </c>
      <c r="BA198" s="7">
        <v>0</v>
      </c>
      <c r="BB198" s="7">
        <v>0</v>
      </c>
      <c r="BC198" s="7">
        <v>0</v>
      </c>
      <c r="BD198" s="7">
        <v>0</v>
      </c>
      <c r="BE198" s="7">
        <v>0</v>
      </c>
      <c r="BF198" s="7">
        <v>0</v>
      </c>
      <c r="BG198" s="7">
        <v>0</v>
      </c>
      <c r="BH198" s="7">
        <v>0</v>
      </c>
      <c r="BI198" s="7">
        <v>0</v>
      </c>
      <c r="BJ198" s="7">
        <v>0</v>
      </c>
      <c r="BK198" s="7">
        <v>0</v>
      </c>
      <c r="BL198" s="7">
        <v>0</v>
      </c>
      <c r="BM198" s="7">
        <v>0</v>
      </c>
      <c r="BN198" s="7">
        <v>0</v>
      </c>
      <c r="BO198" s="7">
        <v>0</v>
      </c>
      <c r="BP198" s="7">
        <v>0</v>
      </c>
      <c r="BQ198" s="7">
        <v>0</v>
      </c>
      <c r="BR198" s="21"/>
    </row>
    <row r="199" spans="1:70" ht="15.75" x14ac:dyDescent="0.25">
      <c r="A199" s="5" t="s">
        <v>365</v>
      </c>
      <c r="B199" s="5" t="s">
        <v>366</v>
      </c>
      <c r="C199" s="7">
        <v>6</v>
      </c>
      <c r="D199" s="7">
        <v>6</v>
      </c>
      <c r="E199" s="7">
        <v>0</v>
      </c>
      <c r="F199" s="7">
        <v>0</v>
      </c>
      <c r="G199" s="7">
        <v>0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  <c r="AN199" s="7">
        <v>0</v>
      </c>
      <c r="AO199" s="7">
        <v>0</v>
      </c>
      <c r="AP199" s="7">
        <v>0</v>
      </c>
      <c r="AQ199" s="7">
        <v>0</v>
      </c>
      <c r="AR199" s="7">
        <v>0</v>
      </c>
      <c r="AS199" s="7">
        <v>0</v>
      </c>
      <c r="AT199" s="7">
        <v>0</v>
      </c>
      <c r="AU199" s="7">
        <v>0</v>
      </c>
      <c r="AV199" s="7">
        <v>0</v>
      </c>
      <c r="AW199" s="7">
        <v>0</v>
      </c>
      <c r="AX199" s="7">
        <v>0</v>
      </c>
      <c r="AY199" s="7">
        <v>0</v>
      </c>
      <c r="AZ199" s="7">
        <v>0</v>
      </c>
      <c r="BA199" s="7">
        <v>0</v>
      </c>
      <c r="BB199" s="7">
        <v>0</v>
      </c>
      <c r="BC199" s="7">
        <v>0</v>
      </c>
      <c r="BD199" s="7">
        <v>0</v>
      </c>
      <c r="BE199" s="7">
        <v>0</v>
      </c>
      <c r="BF199" s="7">
        <v>0</v>
      </c>
      <c r="BG199" s="7">
        <v>0</v>
      </c>
      <c r="BH199" s="7">
        <v>0</v>
      </c>
      <c r="BI199" s="7">
        <v>0</v>
      </c>
      <c r="BJ199" s="7">
        <v>0</v>
      </c>
      <c r="BK199" s="7">
        <v>0</v>
      </c>
      <c r="BL199" s="7">
        <v>0</v>
      </c>
      <c r="BM199" s="7">
        <v>0</v>
      </c>
      <c r="BN199" s="7">
        <v>0</v>
      </c>
      <c r="BO199" s="7">
        <v>0</v>
      </c>
      <c r="BP199" s="7">
        <v>0</v>
      </c>
      <c r="BQ199" s="7">
        <v>0</v>
      </c>
      <c r="BR199" s="21"/>
    </row>
    <row r="200" spans="1:70" ht="15.75" x14ac:dyDescent="0.25">
      <c r="A200" s="5" t="s">
        <v>367</v>
      </c>
      <c r="B200" s="5" t="s">
        <v>368</v>
      </c>
      <c r="C200" s="7">
        <v>6</v>
      </c>
      <c r="D200" s="7">
        <v>6</v>
      </c>
      <c r="E200" s="7">
        <v>0</v>
      </c>
      <c r="F200" s="7">
        <v>0</v>
      </c>
      <c r="G200" s="7">
        <v>0</v>
      </c>
      <c r="H200" s="7">
        <v>0</v>
      </c>
      <c r="I200" s="7">
        <v>0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0</v>
      </c>
      <c r="AE200" s="7">
        <v>0</v>
      </c>
      <c r="AF200" s="7">
        <v>0</v>
      </c>
      <c r="AG200" s="7">
        <v>0</v>
      </c>
      <c r="AH200" s="7">
        <v>0</v>
      </c>
      <c r="AI200" s="7">
        <v>0</v>
      </c>
      <c r="AJ200" s="7">
        <v>0</v>
      </c>
      <c r="AK200" s="7">
        <v>0</v>
      </c>
      <c r="AL200" s="7">
        <v>0</v>
      </c>
      <c r="AM200" s="7">
        <v>0</v>
      </c>
      <c r="AN200" s="7">
        <v>0</v>
      </c>
      <c r="AO200" s="7">
        <v>0</v>
      </c>
      <c r="AP200" s="7">
        <v>0</v>
      </c>
      <c r="AQ200" s="7">
        <v>0</v>
      </c>
      <c r="AR200" s="7">
        <v>0</v>
      </c>
      <c r="AS200" s="7">
        <v>0</v>
      </c>
      <c r="AT200" s="7">
        <v>0</v>
      </c>
      <c r="AU200" s="7">
        <v>0</v>
      </c>
      <c r="AV200" s="7">
        <v>0</v>
      </c>
      <c r="AW200" s="7">
        <v>0</v>
      </c>
      <c r="AX200" s="7">
        <v>0</v>
      </c>
      <c r="AY200" s="7">
        <v>0</v>
      </c>
      <c r="AZ200" s="7">
        <v>0</v>
      </c>
      <c r="BA200" s="7">
        <v>0</v>
      </c>
      <c r="BB200" s="7">
        <v>0</v>
      </c>
      <c r="BC200" s="7">
        <v>0</v>
      </c>
      <c r="BD200" s="7">
        <v>0</v>
      </c>
      <c r="BE200" s="7">
        <v>0</v>
      </c>
      <c r="BF200" s="7">
        <v>0</v>
      </c>
      <c r="BG200" s="7">
        <v>0</v>
      </c>
      <c r="BH200" s="7">
        <v>0</v>
      </c>
      <c r="BI200" s="7">
        <v>0</v>
      </c>
      <c r="BJ200" s="7">
        <v>0</v>
      </c>
      <c r="BK200" s="7">
        <v>0</v>
      </c>
      <c r="BL200" s="7">
        <v>0</v>
      </c>
      <c r="BM200" s="7">
        <v>0</v>
      </c>
      <c r="BN200" s="7">
        <v>0</v>
      </c>
      <c r="BO200" s="7">
        <v>0</v>
      </c>
      <c r="BP200" s="7">
        <v>0</v>
      </c>
      <c r="BQ200" s="7">
        <v>0</v>
      </c>
      <c r="BR200" s="21"/>
    </row>
    <row r="201" spans="1:70" ht="15.75" x14ac:dyDescent="0.25">
      <c r="A201" s="5" t="s">
        <v>369</v>
      </c>
      <c r="B201" s="5" t="s">
        <v>370</v>
      </c>
      <c r="C201" s="7">
        <v>6</v>
      </c>
      <c r="D201" s="7">
        <v>6</v>
      </c>
      <c r="E201" s="7">
        <v>0</v>
      </c>
      <c r="F201" s="7">
        <v>0</v>
      </c>
      <c r="G201" s="7">
        <v>0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0</v>
      </c>
      <c r="AN201" s="7">
        <v>0</v>
      </c>
      <c r="AO201" s="7">
        <v>0</v>
      </c>
      <c r="AP201" s="7">
        <v>0</v>
      </c>
      <c r="AQ201" s="7">
        <v>0</v>
      </c>
      <c r="AR201" s="7">
        <v>0</v>
      </c>
      <c r="AS201" s="7">
        <v>0</v>
      </c>
      <c r="AT201" s="7">
        <v>0</v>
      </c>
      <c r="AU201" s="7">
        <v>0</v>
      </c>
      <c r="AV201" s="7">
        <v>0</v>
      </c>
      <c r="AW201" s="7">
        <v>0</v>
      </c>
      <c r="AX201" s="7">
        <v>0</v>
      </c>
      <c r="AY201" s="7">
        <v>0</v>
      </c>
      <c r="AZ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F201" s="7">
        <v>0</v>
      </c>
      <c r="BG201" s="7">
        <v>0</v>
      </c>
      <c r="BH201" s="7">
        <v>0</v>
      </c>
      <c r="BI201" s="7">
        <v>0</v>
      </c>
      <c r="BJ201" s="7">
        <v>0</v>
      </c>
      <c r="BK201" s="7">
        <v>0</v>
      </c>
      <c r="BL201" s="7">
        <v>0</v>
      </c>
      <c r="BM201" s="7">
        <v>0</v>
      </c>
      <c r="BN201" s="7">
        <v>0</v>
      </c>
      <c r="BO201" s="7">
        <v>0</v>
      </c>
      <c r="BP201" s="7">
        <v>0</v>
      </c>
      <c r="BQ201" s="7">
        <v>0</v>
      </c>
      <c r="BR201" s="21"/>
    </row>
    <row r="202" spans="1:70" ht="15.75" x14ac:dyDescent="0.25">
      <c r="A202" s="5" t="s">
        <v>371</v>
      </c>
      <c r="B202" s="5" t="s">
        <v>372</v>
      </c>
      <c r="C202" s="7">
        <v>6</v>
      </c>
      <c r="D202" s="7">
        <v>6</v>
      </c>
      <c r="E202" s="7">
        <v>0</v>
      </c>
      <c r="F202" s="7">
        <v>0</v>
      </c>
      <c r="G202" s="7">
        <v>0</v>
      </c>
      <c r="H202" s="7">
        <v>0</v>
      </c>
      <c r="I202" s="7">
        <v>0</v>
      </c>
      <c r="J202" s="7">
        <v>0</v>
      </c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0</v>
      </c>
      <c r="AD202" s="7">
        <v>0</v>
      </c>
      <c r="AE202" s="7">
        <v>0</v>
      </c>
      <c r="AF202" s="7">
        <v>0</v>
      </c>
      <c r="AG202" s="7">
        <v>0</v>
      </c>
      <c r="AH202" s="7">
        <v>0</v>
      </c>
      <c r="AI202" s="7">
        <v>0</v>
      </c>
      <c r="AJ202" s="7">
        <v>0</v>
      </c>
      <c r="AK202" s="7">
        <v>0</v>
      </c>
      <c r="AL202" s="7">
        <v>0</v>
      </c>
      <c r="AM202" s="7">
        <v>0</v>
      </c>
      <c r="AN202" s="7">
        <v>0</v>
      </c>
      <c r="AO202" s="7">
        <v>0</v>
      </c>
      <c r="AP202" s="7">
        <v>0</v>
      </c>
      <c r="AQ202" s="7">
        <v>0</v>
      </c>
      <c r="AR202" s="7">
        <v>0</v>
      </c>
      <c r="AS202" s="7">
        <v>0</v>
      </c>
      <c r="AT202" s="7">
        <v>0</v>
      </c>
      <c r="AU202" s="7">
        <v>0</v>
      </c>
      <c r="AV202" s="7">
        <v>0</v>
      </c>
      <c r="AW202" s="7">
        <v>0</v>
      </c>
      <c r="AX202" s="7">
        <v>0</v>
      </c>
      <c r="AY202" s="7">
        <v>0</v>
      </c>
      <c r="AZ202" s="7">
        <v>0</v>
      </c>
      <c r="BA202" s="7">
        <v>0</v>
      </c>
      <c r="BB202" s="7">
        <v>0</v>
      </c>
      <c r="BC202" s="7">
        <v>0</v>
      </c>
      <c r="BD202" s="7">
        <v>0</v>
      </c>
      <c r="BE202" s="7">
        <v>0</v>
      </c>
      <c r="BF202" s="7">
        <v>0</v>
      </c>
      <c r="BG202" s="7">
        <v>0</v>
      </c>
      <c r="BH202" s="7">
        <v>0</v>
      </c>
      <c r="BI202" s="7">
        <v>0</v>
      </c>
      <c r="BJ202" s="7">
        <v>0</v>
      </c>
      <c r="BK202" s="7">
        <v>0</v>
      </c>
      <c r="BL202" s="7">
        <v>0</v>
      </c>
      <c r="BM202" s="7">
        <v>0</v>
      </c>
      <c r="BN202" s="7">
        <v>0</v>
      </c>
      <c r="BO202" s="7">
        <v>0</v>
      </c>
      <c r="BP202" s="7">
        <v>0</v>
      </c>
      <c r="BQ202" s="7">
        <v>0</v>
      </c>
      <c r="BR202" s="21"/>
    </row>
    <row r="203" spans="1:70" ht="15.75" x14ac:dyDescent="0.25">
      <c r="A203" s="5" t="s">
        <v>373</v>
      </c>
      <c r="B203" s="5" t="s">
        <v>374</v>
      </c>
      <c r="C203" s="7">
        <v>3</v>
      </c>
      <c r="D203" s="7">
        <v>6</v>
      </c>
      <c r="E203" s="7">
        <v>0</v>
      </c>
      <c r="F203" s="7">
        <v>0</v>
      </c>
      <c r="G203" s="7">
        <v>0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7">
        <v>0</v>
      </c>
      <c r="AK203" s="7">
        <v>0</v>
      </c>
      <c r="AL203" s="7">
        <v>0</v>
      </c>
      <c r="AM203" s="7">
        <v>0</v>
      </c>
      <c r="AN203" s="7">
        <v>0</v>
      </c>
      <c r="AO203" s="7">
        <v>0</v>
      </c>
      <c r="AP203" s="7">
        <v>0</v>
      </c>
      <c r="AQ203" s="7">
        <v>0</v>
      </c>
      <c r="AR203" s="7">
        <v>0</v>
      </c>
      <c r="AS203" s="7">
        <v>0</v>
      </c>
      <c r="AT203" s="7">
        <v>0</v>
      </c>
      <c r="AU203" s="7">
        <v>0</v>
      </c>
      <c r="AV203" s="7">
        <v>0</v>
      </c>
      <c r="AW203" s="7">
        <v>0</v>
      </c>
      <c r="AX203" s="7">
        <v>0</v>
      </c>
      <c r="AY203" s="7">
        <v>0</v>
      </c>
      <c r="AZ203" s="7">
        <v>0</v>
      </c>
      <c r="BA203" s="7">
        <v>0</v>
      </c>
      <c r="BB203" s="7">
        <v>0</v>
      </c>
      <c r="BC203" s="7">
        <v>0</v>
      </c>
      <c r="BD203" s="7">
        <v>0</v>
      </c>
      <c r="BE203" s="7">
        <v>0</v>
      </c>
      <c r="BF203" s="7">
        <v>0</v>
      </c>
      <c r="BG203" s="7">
        <v>0</v>
      </c>
      <c r="BH203" s="7">
        <v>0</v>
      </c>
      <c r="BI203" s="7">
        <v>0</v>
      </c>
      <c r="BJ203" s="7">
        <v>0</v>
      </c>
      <c r="BK203" s="7">
        <v>0</v>
      </c>
      <c r="BL203" s="7">
        <v>0</v>
      </c>
      <c r="BM203" s="7">
        <v>0</v>
      </c>
      <c r="BN203" s="7">
        <v>0</v>
      </c>
      <c r="BO203" s="7">
        <v>0</v>
      </c>
      <c r="BP203" s="7">
        <v>0</v>
      </c>
      <c r="BQ203" s="7">
        <v>0</v>
      </c>
      <c r="BR203" s="21"/>
    </row>
    <row r="204" spans="1:70" ht="15.75" x14ac:dyDescent="0.25">
      <c r="A204" s="5" t="s">
        <v>375</v>
      </c>
      <c r="B204" s="5" t="s">
        <v>376</v>
      </c>
      <c r="C204" s="7">
        <v>6</v>
      </c>
      <c r="D204" s="7">
        <v>6</v>
      </c>
      <c r="E204" s="7">
        <v>0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  <c r="AE204" s="7">
        <v>0</v>
      </c>
      <c r="AF204" s="7">
        <v>0</v>
      </c>
      <c r="AG204" s="7">
        <v>0</v>
      </c>
      <c r="AH204" s="7">
        <v>0</v>
      </c>
      <c r="AI204" s="7">
        <v>0</v>
      </c>
      <c r="AJ204" s="7">
        <v>0</v>
      </c>
      <c r="AK204" s="7">
        <v>0</v>
      </c>
      <c r="AL204" s="7">
        <v>0</v>
      </c>
      <c r="AM204" s="7">
        <v>0</v>
      </c>
      <c r="AN204" s="7">
        <v>0</v>
      </c>
      <c r="AO204" s="7">
        <v>0</v>
      </c>
      <c r="AP204" s="7">
        <v>0</v>
      </c>
      <c r="AQ204" s="7">
        <v>0</v>
      </c>
      <c r="AR204" s="7">
        <v>0</v>
      </c>
      <c r="AS204" s="7">
        <v>0</v>
      </c>
      <c r="AT204" s="7">
        <v>0</v>
      </c>
      <c r="AU204" s="7">
        <v>0</v>
      </c>
      <c r="AV204" s="7">
        <v>0</v>
      </c>
      <c r="AW204" s="7">
        <v>0</v>
      </c>
      <c r="AX204" s="7">
        <v>0</v>
      </c>
      <c r="AY204" s="7">
        <v>0</v>
      </c>
      <c r="AZ204" s="7">
        <v>0</v>
      </c>
      <c r="BA204" s="7">
        <v>0</v>
      </c>
      <c r="BB204" s="7">
        <v>0</v>
      </c>
      <c r="BC204" s="7">
        <v>0</v>
      </c>
      <c r="BD204" s="7">
        <v>0</v>
      </c>
      <c r="BE204" s="7">
        <v>0</v>
      </c>
      <c r="BF204" s="7">
        <v>0</v>
      </c>
      <c r="BG204" s="7">
        <v>0</v>
      </c>
      <c r="BH204" s="7">
        <v>0</v>
      </c>
      <c r="BI204" s="7">
        <v>0</v>
      </c>
      <c r="BJ204" s="7">
        <v>0</v>
      </c>
      <c r="BK204" s="7">
        <v>0</v>
      </c>
      <c r="BL204" s="7">
        <v>0</v>
      </c>
      <c r="BM204" s="7">
        <v>0</v>
      </c>
      <c r="BN204" s="7">
        <v>0</v>
      </c>
      <c r="BO204" s="7">
        <v>0</v>
      </c>
      <c r="BP204" s="7">
        <v>0</v>
      </c>
      <c r="BQ204" s="7">
        <v>0</v>
      </c>
      <c r="BR204" s="21"/>
    </row>
    <row r="205" spans="1:70" ht="15.75" x14ac:dyDescent="0.25">
      <c r="A205" s="5" t="s">
        <v>377</v>
      </c>
      <c r="B205" s="5" t="s">
        <v>378</v>
      </c>
      <c r="C205" s="7">
        <v>6</v>
      </c>
      <c r="D205" s="7">
        <v>6</v>
      </c>
      <c r="E205" s="7">
        <v>0</v>
      </c>
      <c r="F205" s="7">
        <v>0</v>
      </c>
      <c r="G205" s="7">
        <v>0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K205" s="7">
        <v>0</v>
      </c>
      <c r="AL205" s="7">
        <v>0</v>
      </c>
      <c r="AM205" s="7">
        <v>0</v>
      </c>
      <c r="AN205" s="7">
        <v>0</v>
      </c>
      <c r="AO205" s="7">
        <v>0</v>
      </c>
      <c r="AP205" s="7">
        <v>0</v>
      </c>
      <c r="AQ205" s="7">
        <v>0</v>
      </c>
      <c r="AR205" s="7">
        <v>0</v>
      </c>
      <c r="AS205" s="7">
        <v>0</v>
      </c>
      <c r="AT205" s="7">
        <v>0</v>
      </c>
      <c r="AU205" s="7">
        <v>0</v>
      </c>
      <c r="AV205" s="7">
        <v>0</v>
      </c>
      <c r="AW205" s="7">
        <v>0</v>
      </c>
      <c r="AX205" s="7">
        <v>0</v>
      </c>
      <c r="AY205" s="7">
        <v>0</v>
      </c>
      <c r="AZ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F205" s="7">
        <v>0</v>
      </c>
      <c r="BG205" s="7">
        <v>0</v>
      </c>
      <c r="BH205" s="7">
        <v>0</v>
      </c>
      <c r="BI205" s="7">
        <v>0</v>
      </c>
      <c r="BJ205" s="7">
        <v>0</v>
      </c>
      <c r="BK205" s="7">
        <v>0</v>
      </c>
      <c r="BL205" s="7">
        <v>0</v>
      </c>
      <c r="BM205" s="7">
        <v>0</v>
      </c>
      <c r="BN205" s="7">
        <v>0</v>
      </c>
      <c r="BO205" s="7">
        <v>0</v>
      </c>
      <c r="BP205" s="7">
        <v>0</v>
      </c>
      <c r="BQ205" s="7">
        <v>0</v>
      </c>
      <c r="BR205" s="21"/>
    </row>
    <row r="206" spans="1:70" ht="15.75" x14ac:dyDescent="0.25">
      <c r="A206" s="5" t="s">
        <v>379</v>
      </c>
      <c r="B206" s="5" t="s">
        <v>380</v>
      </c>
      <c r="C206" s="7">
        <v>6</v>
      </c>
      <c r="D206" s="7">
        <v>6</v>
      </c>
      <c r="E206" s="7">
        <v>0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0</v>
      </c>
      <c r="AL206" s="7">
        <v>0</v>
      </c>
      <c r="AM206" s="7">
        <v>0</v>
      </c>
      <c r="AN206" s="7">
        <v>0</v>
      </c>
      <c r="AO206" s="7">
        <v>0</v>
      </c>
      <c r="AP206" s="7">
        <v>0</v>
      </c>
      <c r="AQ206" s="7">
        <v>0</v>
      </c>
      <c r="AR206" s="7">
        <v>0</v>
      </c>
      <c r="AS206" s="7">
        <v>0</v>
      </c>
      <c r="AT206" s="7">
        <v>0</v>
      </c>
      <c r="AU206" s="7">
        <v>0</v>
      </c>
      <c r="AV206" s="7">
        <v>0</v>
      </c>
      <c r="AW206" s="7">
        <v>0</v>
      </c>
      <c r="AX206" s="7">
        <v>0</v>
      </c>
      <c r="AY206" s="7">
        <v>0</v>
      </c>
      <c r="AZ206" s="7">
        <v>0</v>
      </c>
      <c r="BA206" s="7">
        <v>0</v>
      </c>
      <c r="BB206" s="7">
        <v>0</v>
      </c>
      <c r="BC206" s="7">
        <v>0</v>
      </c>
      <c r="BD206" s="7">
        <v>0</v>
      </c>
      <c r="BE206" s="7">
        <v>0</v>
      </c>
      <c r="BF206" s="7">
        <v>0</v>
      </c>
      <c r="BG206" s="7">
        <v>0</v>
      </c>
      <c r="BH206" s="7">
        <v>0</v>
      </c>
      <c r="BI206" s="7">
        <v>0</v>
      </c>
      <c r="BJ206" s="7">
        <v>0</v>
      </c>
      <c r="BK206" s="7">
        <v>0</v>
      </c>
      <c r="BL206" s="7">
        <v>0</v>
      </c>
      <c r="BM206" s="7">
        <v>0</v>
      </c>
      <c r="BN206" s="7">
        <v>0</v>
      </c>
      <c r="BO206" s="7">
        <v>0</v>
      </c>
      <c r="BP206" s="7">
        <v>0</v>
      </c>
      <c r="BQ206" s="7">
        <v>0</v>
      </c>
      <c r="BR206" s="21"/>
    </row>
    <row r="207" spans="1:70" ht="15.75" x14ac:dyDescent="0.25">
      <c r="A207" s="5" t="s">
        <v>381</v>
      </c>
      <c r="B207" s="5" t="s">
        <v>382</v>
      </c>
      <c r="C207" s="7">
        <v>6</v>
      </c>
      <c r="D207" s="7">
        <v>6</v>
      </c>
      <c r="E207" s="7">
        <v>0</v>
      </c>
      <c r="F207" s="7">
        <v>0</v>
      </c>
      <c r="G207" s="7">
        <v>0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7">
        <v>0</v>
      </c>
      <c r="AK207" s="7">
        <v>0</v>
      </c>
      <c r="AL207" s="7">
        <v>0</v>
      </c>
      <c r="AM207" s="7">
        <v>0</v>
      </c>
      <c r="AN207" s="7">
        <v>0</v>
      </c>
      <c r="AO207" s="7">
        <v>0</v>
      </c>
      <c r="AP207" s="7">
        <v>0</v>
      </c>
      <c r="AQ207" s="7">
        <v>0</v>
      </c>
      <c r="AR207" s="7">
        <v>0</v>
      </c>
      <c r="AS207" s="7">
        <v>0</v>
      </c>
      <c r="AT207" s="7">
        <v>0</v>
      </c>
      <c r="AU207" s="7">
        <v>0</v>
      </c>
      <c r="AV207" s="7">
        <v>0</v>
      </c>
      <c r="AW207" s="7">
        <v>0</v>
      </c>
      <c r="AX207" s="7">
        <v>0</v>
      </c>
      <c r="AY207" s="7">
        <v>0</v>
      </c>
      <c r="AZ207" s="7">
        <v>0</v>
      </c>
      <c r="BA207" s="7">
        <v>0</v>
      </c>
      <c r="BB207" s="7">
        <v>0</v>
      </c>
      <c r="BC207" s="7">
        <v>0</v>
      </c>
      <c r="BD207" s="7">
        <v>0</v>
      </c>
      <c r="BE207" s="7">
        <v>0</v>
      </c>
      <c r="BF207" s="7">
        <v>0</v>
      </c>
      <c r="BG207" s="7">
        <v>0</v>
      </c>
      <c r="BH207" s="7">
        <v>0</v>
      </c>
      <c r="BI207" s="7">
        <v>0</v>
      </c>
      <c r="BJ207" s="7">
        <v>0</v>
      </c>
      <c r="BK207" s="7">
        <v>0</v>
      </c>
      <c r="BL207" s="7">
        <v>0</v>
      </c>
      <c r="BM207" s="7">
        <v>0</v>
      </c>
      <c r="BN207" s="7">
        <v>0</v>
      </c>
      <c r="BO207" s="7">
        <v>0</v>
      </c>
      <c r="BP207" s="7">
        <v>0</v>
      </c>
      <c r="BQ207" s="7">
        <v>0</v>
      </c>
      <c r="BR207" s="21"/>
    </row>
    <row r="208" spans="1:70" ht="15.75" x14ac:dyDescent="0.25">
      <c r="A208" s="5" t="s">
        <v>383</v>
      </c>
      <c r="B208" s="5" t="s">
        <v>384</v>
      </c>
      <c r="C208" s="7">
        <v>6</v>
      </c>
      <c r="D208" s="7">
        <v>6</v>
      </c>
      <c r="E208" s="7">
        <v>0</v>
      </c>
      <c r="F208" s="7">
        <v>0</v>
      </c>
      <c r="G208" s="7">
        <v>0</v>
      </c>
      <c r="H208" s="7">
        <v>0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0</v>
      </c>
      <c r="AD208" s="7">
        <v>0</v>
      </c>
      <c r="AE208" s="7">
        <v>0</v>
      </c>
      <c r="AF208" s="7">
        <v>0</v>
      </c>
      <c r="AG208" s="7">
        <v>0</v>
      </c>
      <c r="AH208" s="7">
        <v>0</v>
      </c>
      <c r="AI208" s="7">
        <v>0</v>
      </c>
      <c r="AJ208" s="7">
        <v>0</v>
      </c>
      <c r="AK208" s="7">
        <v>0</v>
      </c>
      <c r="AL208" s="7">
        <v>0</v>
      </c>
      <c r="AM208" s="7">
        <v>0</v>
      </c>
      <c r="AN208" s="7">
        <v>0</v>
      </c>
      <c r="AO208" s="7">
        <v>0</v>
      </c>
      <c r="AP208" s="7">
        <v>0</v>
      </c>
      <c r="AQ208" s="7">
        <v>0</v>
      </c>
      <c r="AR208" s="7">
        <v>0</v>
      </c>
      <c r="AS208" s="7">
        <v>0</v>
      </c>
      <c r="AT208" s="7">
        <v>0</v>
      </c>
      <c r="AU208" s="7">
        <v>0</v>
      </c>
      <c r="AV208" s="7">
        <v>0</v>
      </c>
      <c r="AW208" s="7">
        <v>0</v>
      </c>
      <c r="AX208" s="7">
        <v>0</v>
      </c>
      <c r="AY208" s="7">
        <v>0</v>
      </c>
      <c r="AZ208" s="7">
        <v>0</v>
      </c>
      <c r="BA208" s="7">
        <v>0</v>
      </c>
      <c r="BB208" s="7">
        <v>0</v>
      </c>
      <c r="BC208" s="7">
        <v>0</v>
      </c>
      <c r="BD208" s="7">
        <v>0</v>
      </c>
      <c r="BE208" s="7">
        <v>0</v>
      </c>
      <c r="BF208" s="7">
        <v>0</v>
      </c>
      <c r="BG208" s="7">
        <v>0</v>
      </c>
      <c r="BH208" s="7">
        <v>0</v>
      </c>
      <c r="BI208" s="7">
        <v>0</v>
      </c>
      <c r="BJ208" s="7">
        <v>0</v>
      </c>
      <c r="BK208" s="7">
        <v>0</v>
      </c>
      <c r="BL208" s="7">
        <v>0</v>
      </c>
      <c r="BM208" s="7">
        <v>0</v>
      </c>
      <c r="BN208" s="7">
        <v>0</v>
      </c>
      <c r="BO208" s="7">
        <v>0</v>
      </c>
      <c r="BP208" s="7">
        <v>0</v>
      </c>
      <c r="BQ208" s="7">
        <v>0</v>
      </c>
      <c r="BR208" s="21"/>
    </row>
    <row r="209" spans="1:70" ht="15.75" x14ac:dyDescent="0.25">
      <c r="A209" s="5" t="s">
        <v>385</v>
      </c>
      <c r="B209" s="5" t="s">
        <v>386</v>
      </c>
      <c r="C209" s="7">
        <v>6</v>
      </c>
      <c r="D209" s="7">
        <v>6</v>
      </c>
      <c r="E209" s="7">
        <v>0</v>
      </c>
      <c r="F209" s="7">
        <v>0</v>
      </c>
      <c r="G209" s="7">
        <v>0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  <c r="AO209" s="7">
        <v>0</v>
      </c>
      <c r="AP209" s="7">
        <v>0</v>
      </c>
      <c r="AQ209" s="7">
        <v>0</v>
      </c>
      <c r="AR209" s="7">
        <v>0</v>
      </c>
      <c r="AS209" s="7">
        <v>0</v>
      </c>
      <c r="AT209" s="7">
        <v>0</v>
      </c>
      <c r="AU209" s="7">
        <v>0</v>
      </c>
      <c r="AV209" s="7">
        <v>0</v>
      </c>
      <c r="AW209" s="7">
        <v>0</v>
      </c>
      <c r="AX209" s="7">
        <v>0</v>
      </c>
      <c r="AY209" s="7">
        <v>0</v>
      </c>
      <c r="AZ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F209" s="7">
        <v>0</v>
      </c>
      <c r="BG209" s="7">
        <v>0</v>
      </c>
      <c r="BH209" s="7">
        <v>0</v>
      </c>
      <c r="BI209" s="7">
        <v>0</v>
      </c>
      <c r="BJ209" s="7">
        <v>0</v>
      </c>
      <c r="BK209" s="7">
        <v>0</v>
      </c>
      <c r="BL209" s="7">
        <v>0</v>
      </c>
      <c r="BM209" s="7">
        <v>0</v>
      </c>
      <c r="BN209" s="7">
        <v>0</v>
      </c>
      <c r="BO209" s="7">
        <v>0</v>
      </c>
      <c r="BP209" s="7">
        <v>0</v>
      </c>
      <c r="BQ209" s="7">
        <v>0</v>
      </c>
      <c r="BR209" s="21"/>
    </row>
    <row r="210" spans="1:70" ht="15.75" x14ac:dyDescent="0.25">
      <c r="A210" s="5" t="s">
        <v>387</v>
      </c>
      <c r="B210" s="5" t="s">
        <v>388</v>
      </c>
      <c r="C210" s="7">
        <v>6</v>
      </c>
      <c r="D210" s="7">
        <v>6</v>
      </c>
      <c r="E210" s="7">
        <v>0</v>
      </c>
      <c r="F210" s="7">
        <v>0</v>
      </c>
      <c r="G210" s="7">
        <v>0</v>
      </c>
      <c r="H210" s="7">
        <v>0</v>
      </c>
      <c r="I210" s="7">
        <v>0</v>
      </c>
      <c r="J210" s="7">
        <v>0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0</v>
      </c>
      <c r="AE210" s="7">
        <v>0</v>
      </c>
      <c r="AF210" s="7">
        <v>0</v>
      </c>
      <c r="AG210" s="7">
        <v>0</v>
      </c>
      <c r="AH210" s="7">
        <v>0</v>
      </c>
      <c r="AI210" s="7">
        <v>0</v>
      </c>
      <c r="AJ210" s="7">
        <v>0</v>
      </c>
      <c r="AK210" s="7">
        <v>0</v>
      </c>
      <c r="AL210" s="7">
        <v>0</v>
      </c>
      <c r="AM210" s="7">
        <v>0</v>
      </c>
      <c r="AN210" s="7">
        <v>0</v>
      </c>
      <c r="AO210" s="7">
        <v>0</v>
      </c>
      <c r="AP210" s="7">
        <v>0</v>
      </c>
      <c r="AQ210" s="7">
        <v>0</v>
      </c>
      <c r="AR210" s="7">
        <v>0</v>
      </c>
      <c r="AS210" s="7">
        <v>0</v>
      </c>
      <c r="AT210" s="7">
        <v>0</v>
      </c>
      <c r="AU210" s="7">
        <v>0</v>
      </c>
      <c r="AV210" s="7">
        <v>0</v>
      </c>
      <c r="AW210" s="7">
        <v>0</v>
      </c>
      <c r="AX210" s="7">
        <v>0</v>
      </c>
      <c r="AY210" s="7">
        <v>0</v>
      </c>
      <c r="AZ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F210" s="7">
        <v>0</v>
      </c>
      <c r="BG210" s="7">
        <v>0</v>
      </c>
      <c r="BH210" s="7">
        <v>0</v>
      </c>
      <c r="BI210" s="7">
        <v>0</v>
      </c>
      <c r="BJ210" s="7">
        <v>0</v>
      </c>
      <c r="BK210" s="7">
        <v>0</v>
      </c>
      <c r="BL210" s="7">
        <v>0</v>
      </c>
      <c r="BM210" s="7">
        <v>0</v>
      </c>
      <c r="BN210" s="7">
        <v>0</v>
      </c>
      <c r="BO210" s="7">
        <v>0</v>
      </c>
      <c r="BP210" s="7">
        <v>0</v>
      </c>
      <c r="BQ210" s="7">
        <v>0</v>
      </c>
      <c r="BR210" s="21"/>
    </row>
    <row r="211" spans="1:70" ht="15.75" x14ac:dyDescent="0.25">
      <c r="A211" s="5" t="s">
        <v>389</v>
      </c>
      <c r="B211" s="5" t="s">
        <v>390</v>
      </c>
      <c r="C211" s="7">
        <v>6</v>
      </c>
      <c r="D211" s="7">
        <v>6</v>
      </c>
      <c r="E211" s="7">
        <v>0</v>
      </c>
      <c r="F211" s="7">
        <v>0</v>
      </c>
      <c r="G211" s="7">
        <v>0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  <c r="AM211" s="7">
        <v>0</v>
      </c>
      <c r="AN211" s="7">
        <v>0</v>
      </c>
      <c r="AO211" s="7">
        <v>0</v>
      </c>
      <c r="AP211" s="7">
        <v>0</v>
      </c>
      <c r="AQ211" s="7">
        <v>0</v>
      </c>
      <c r="AR211" s="7">
        <v>0</v>
      </c>
      <c r="AS211" s="7">
        <v>0</v>
      </c>
      <c r="AT211" s="7">
        <v>0</v>
      </c>
      <c r="AU211" s="7">
        <v>0</v>
      </c>
      <c r="AV211" s="7">
        <v>0</v>
      </c>
      <c r="AW211" s="7">
        <v>0</v>
      </c>
      <c r="AX211" s="7">
        <v>0</v>
      </c>
      <c r="AY211" s="7">
        <v>0</v>
      </c>
      <c r="AZ211" s="7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0</v>
      </c>
      <c r="BF211" s="7">
        <v>0</v>
      </c>
      <c r="BG211" s="7">
        <v>0</v>
      </c>
      <c r="BH211" s="7">
        <v>0</v>
      </c>
      <c r="BI211" s="7">
        <v>0</v>
      </c>
      <c r="BJ211" s="7">
        <v>0</v>
      </c>
      <c r="BK211" s="7">
        <v>0</v>
      </c>
      <c r="BL211" s="7">
        <v>0</v>
      </c>
      <c r="BM211" s="7">
        <v>0</v>
      </c>
      <c r="BN211" s="7">
        <v>0</v>
      </c>
      <c r="BO211" s="7">
        <v>0</v>
      </c>
      <c r="BP211" s="7">
        <v>0</v>
      </c>
      <c r="BQ211" s="7">
        <v>0</v>
      </c>
      <c r="BR211" s="21"/>
    </row>
    <row r="212" spans="1:70" ht="15.75" x14ac:dyDescent="0.25">
      <c r="A212" s="5" t="s">
        <v>391</v>
      </c>
      <c r="B212" s="5" t="s">
        <v>392</v>
      </c>
      <c r="C212" s="7">
        <v>6</v>
      </c>
      <c r="D212" s="7">
        <v>6</v>
      </c>
      <c r="E212" s="7">
        <v>0</v>
      </c>
      <c r="F212" s="7">
        <v>0</v>
      </c>
      <c r="G212" s="7">
        <v>0</v>
      </c>
      <c r="H212" s="7">
        <v>0</v>
      </c>
      <c r="I212" s="7">
        <v>0</v>
      </c>
      <c r="J212" s="7">
        <v>0</v>
      </c>
      <c r="K212" s="7">
        <v>0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0</v>
      </c>
      <c r="AD212" s="7">
        <v>0</v>
      </c>
      <c r="AE212" s="7">
        <v>0</v>
      </c>
      <c r="AF212" s="7">
        <v>0</v>
      </c>
      <c r="AG212" s="7">
        <v>0</v>
      </c>
      <c r="AH212" s="7">
        <v>0</v>
      </c>
      <c r="AI212" s="7">
        <v>0</v>
      </c>
      <c r="AJ212" s="7">
        <v>0</v>
      </c>
      <c r="AK212" s="7">
        <v>0</v>
      </c>
      <c r="AL212" s="7">
        <v>0</v>
      </c>
      <c r="AM212" s="7">
        <v>0</v>
      </c>
      <c r="AN212" s="7">
        <v>0</v>
      </c>
      <c r="AO212" s="7">
        <v>0</v>
      </c>
      <c r="AP212" s="7">
        <v>0</v>
      </c>
      <c r="AQ212" s="7">
        <v>0</v>
      </c>
      <c r="AR212" s="7">
        <v>0</v>
      </c>
      <c r="AS212" s="7">
        <v>0</v>
      </c>
      <c r="AT212" s="7">
        <v>0</v>
      </c>
      <c r="AU212" s="7">
        <v>0</v>
      </c>
      <c r="AV212" s="7">
        <v>0</v>
      </c>
      <c r="AW212" s="7">
        <v>0</v>
      </c>
      <c r="AX212" s="7">
        <v>0</v>
      </c>
      <c r="AY212" s="7">
        <v>0</v>
      </c>
      <c r="AZ212" s="7">
        <v>0</v>
      </c>
      <c r="BA212" s="7">
        <v>0</v>
      </c>
      <c r="BB212" s="7">
        <v>0</v>
      </c>
      <c r="BC212" s="7">
        <v>0</v>
      </c>
      <c r="BD212" s="7">
        <v>0</v>
      </c>
      <c r="BE212" s="7">
        <v>0</v>
      </c>
      <c r="BF212" s="7">
        <v>0</v>
      </c>
      <c r="BG212" s="7">
        <v>0</v>
      </c>
      <c r="BH212" s="7">
        <v>0</v>
      </c>
      <c r="BI212" s="7">
        <v>0</v>
      </c>
      <c r="BJ212" s="7">
        <v>0</v>
      </c>
      <c r="BK212" s="7">
        <v>0</v>
      </c>
      <c r="BL212" s="7">
        <v>0</v>
      </c>
      <c r="BM212" s="7">
        <v>0</v>
      </c>
      <c r="BN212" s="7">
        <v>0</v>
      </c>
      <c r="BO212" s="7">
        <v>0</v>
      </c>
      <c r="BP212" s="7">
        <v>0</v>
      </c>
      <c r="BQ212" s="7">
        <v>0</v>
      </c>
      <c r="BR212" s="21"/>
    </row>
    <row r="213" spans="1:70" ht="15.75" x14ac:dyDescent="0.25">
      <c r="A213" s="5" t="s">
        <v>393</v>
      </c>
      <c r="B213" s="5" t="s">
        <v>394</v>
      </c>
      <c r="C213" s="7">
        <v>6</v>
      </c>
      <c r="D213" s="7">
        <v>6</v>
      </c>
      <c r="E213" s="7">
        <v>0</v>
      </c>
      <c r="F213" s="7">
        <v>0</v>
      </c>
      <c r="G213" s="7">
        <v>0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7">
        <v>0</v>
      </c>
      <c r="AK213" s="7">
        <v>0</v>
      </c>
      <c r="AL213" s="7">
        <v>0</v>
      </c>
      <c r="AM213" s="7">
        <v>0</v>
      </c>
      <c r="AN213" s="7">
        <v>0</v>
      </c>
      <c r="AO213" s="7">
        <v>0</v>
      </c>
      <c r="AP213" s="7">
        <v>0</v>
      </c>
      <c r="AQ213" s="7">
        <v>0</v>
      </c>
      <c r="AR213" s="7">
        <v>0</v>
      </c>
      <c r="AS213" s="7">
        <v>0</v>
      </c>
      <c r="AT213" s="7">
        <v>0</v>
      </c>
      <c r="AU213" s="7">
        <v>0</v>
      </c>
      <c r="AV213" s="7">
        <v>0</v>
      </c>
      <c r="AW213" s="7">
        <v>0</v>
      </c>
      <c r="AX213" s="7">
        <v>0</v>
      </c>
      <c r="AY213" s="7">
        <v>0</v>
      </c>
      <c r="AZ213" s="7">
        <v>0</v>
      </c>
      <c r="BA213" s="7">
        <v>0</v>
      </c>
      <c r="BB213" s="7">
        <v>0</v>
      </c>
      <c r="BC213" s="7">
        <v>0</v>
      </c>
      <c r="BD213" s="7">
        <v>0</v>
      </c>
      <c r="BE213" s="7">
        <v>0</v>
      </c>
      <c r="BF213" s="7">
        <v>0</v>
      </c>
      <c r="BG213" s="7">
        <v>0</v>
      </c>
      <c r="BH213" s="7">
        <v>0</v>
      </c>
      <c r="BI213" s="7">
        <v>0</v>
      </c>
      <c r="BJ213" s="7">
        <v>0</v>
      </c>
      <c r="BK213" s="7">
        <v>0</v>
      </c>
      <c r="BL213" s="7">
        <v>0</v>
      </c>
      <c r="BM213" s="7">
        <v>0</v>
      </c>
      <c r="BN213" s="7">
        <v>0</v>
      </c>
      <c r="BO213" s="7">
        <v>0</v>
      </c>
      <c r="BP213" s="7">
        <v>0</v>
      </c>
      <c r="BQ213" s="7">
        <v>0</v>
      </c>
      <c r="BR213" s="21"/>
    </row>
    <row r="214" spans="1:70" ht="15.75" x14ac:dyDescent="0.25">
      <c r="A214" s="5" t="s">
        <v>395</v>
      </c>
      <c r="B214" s="5" t="s">
        <v>396</v>
      </c>
      <c r="C214" s="7">
        <v>6</v>
      </c>
      <c r="D214" s="7">
        <v>6</v>
      </c>
      <c r="E214" s="7">
        <v>0</v>
      </c>
      <c r="F214" s="7">
        <v>0</v>
      </c>
      <c r="G214" s="7">
        <v>0</v>
      </c>
      <c r="H214" s="7">
        <v>0</v>
      </c>
      <c r="I214" s="7">
        <v>0</v>
      </c>
      <c r="J214" s="7">
        <v>0</v>
      </c>
      <c r="K214" s="7">
        <v>0</v>
      </c>
      <c r="L214" s="7">
        <v>0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v>0</v>
      </c>
      <c r="AD214" s="7">
        <v>0</v>
      </c>
      <c r="AE214" s="7">
        <v>0</v>
      </c>
      <c r="AF214" s="7">
        <v>0</v>
      </c>
      <c r="AG214" s="7">
        <v>0</v>
      </c>
      <c r="AH214" s="7">
        <v>0</v>
      </c>
      <c r="AI214" s="7">
        <v>0</v>
      </c>
      <c r="AJ214" s="7">
        <v>0</v>
      </c>
      <c r="AK214" s="7">
        <v>0</v>
      </c>
      <c r="AL214" s="7">
        <v>0</v>
      </c>
      <c r="AM214" s="7">
        <v>0</v>
      </c>
      <c r="AN214" s="7">
        <v>0</v>
      </c>
      <c r="AO214" s="7">
        <v>0</v>
      </c>
      <c r="AP214" s="7">
        <v>0</v>
      </c>
      <c r="AQ214" s="7">
        <v>0</v>
      </c>
      <c r="AR214" s="7">
        <v>0</v>
      </c>
      <c r="AS214" s="7">
        <v>0</v>
      </c>
      <c r="AT214" s="7">
        <v>0</v>
      </c>
      <c r="AU214" s="7">
        <v>0</v>
      </c>
      <c r="AV214" s="7">
        <v>0</v>
      </c>
      <c r="AW214" s="7">
        <v>0</v>
      </c>
      <c r="AX214" s="7">
        <v>0</v>
      </c>
      <c r="AY214" s="7">
        <v>0</v>
      </c>
      <c r="AZ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F214" s="7">
        <v>0</v>
      </c>
      <c r="BG214" s="7">
        <v>0</v>
      </c>
      <c r="BH214" s="7">
        <v>0</v>
      </c>
      <c r="BI214" s="7">
        <v>0</v>
      </c>
      <c r="BJ214" s="7">
        <v>0</v>
      </c>
      <c r="BK214" s="7">
        <v>0</v>
      </c>
      <c r="BL214" s="7">
        <v>0</v>
      </c>
      <c r="BM214" s="7">
        <v>0</v>
      </c>
      <c r="BN214" s="7">
        <v>0</v>
      </c>
      <c r="BO214" s="7">
        <v>0</v>
      </c>
      <c r="BP214" s="7">
        <v>0</v>
      </c>
      <c r="BQ214" s="7">
        <v>0</v>
      </c>
      <c r="BR214" s="21"/>
    </row>
    <row r="215" spans="1:70" ht="15.75" x14ac:dyDescent="0.25">
      <c r="A215" s="5" t="s">
        <v>353</v>
      </c>
      <c r="B215" s="5" t="s">
        <v>397</v>
      </c>
      <c r="C215" s="7">
        <v>6</v>
      </c>
      <c r="D215" s="7">
        <v>6</v>
      </c>
      <c r="E215" s="7">
        <v>1452.1990000000001</v>
      </c>
      <c r="F215" s="7">
        <v>132.45599999999999</v>
      </c>
      <c r="G215" s="7">
        <v>196.27500000000001</v>
      </c>
      <c r="H215" s="7">
        <v>0.60299999999999998</v>
      </c>
      <c r="I215" s="7">
        <v>33.100999999999999</v>
      </c>
      <c r="J215" s="7">
        <v>117.395</v>
      </c>
      <c r="K215" s="7">
        <v>0</v>
      </c>
      <c r="L215" s="7">
        <v>0</v>
      </c>
      <c r="M215" s="7">
        <v>1069.816</v>
      </c>
      <c r="N215" s="7">
        <v>527.01800000000003</v>
      </c>
      <c r="O215" s="7">
        <v>0</v>
      </c>
      <c r="P215" s="7">
        <v>0</v>
      </c>
      <c r="Q215" s="7">
        <v>6.1550000000000002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16.593</v>
      </c>
      <c r="X215" s="7">
        <v>50.920999999999999</v>
      </c>
      <c r="Y215" s="7">
        <v>0</v>
      </c>
      <c r="Z215" s="7">
        <v>402.93</v>
      </c>
      <c r="AA215" s="7">
        <v>0</v>
      </c>
      <c r="AB215" s="7">
        <v>142.04499999999999</v>
      </c>
      <c r="AC215" s="7">
        <v>0</v>
      </c>
      <c r="AD215" s="7">
        <v>21.35</v>
      </c>
      <c r="AE215" s="7">
        <v>0</v>
      </c>
      <c r="AF215" s="7">
        <v>1284.7729999999999</v>
      </c>
      <c r="AG215" s="7">
        <v>0</v>
      </c>
      <c r="AH215" s="7">
        <v>0</v>
      </c>
      <c r="AI215" s="7">
        <v>3040.34</v>
      </c>
      <c r="AJ215" s="7">
        <v>0</v>
      </c>
      <c r="AK215" s="7">
        <v>0</v>
      </c>
      <c r="AL215" s="7">
        <v>0</v>
      </c>
      <c r="AM215" s="7">
        <v>0</v>
      </c>
      <c r="AN215" s="7">
        <v>0</v>
      </c>
      <c r="AO215" s="7">
        <v>0</v>
      </c>
      <c r="AP215" s="7">
        <v>0</v>
      </c>
      <c r="AQ215" s="7">
        <v>0</v>
      </c>
      <c r="AR215" s="7">
        <v>0</v>
      </c>
      <c r="AS215" s="7">
        <v>0</v>
      </c>
      <c r="AT215" s="7">
        <v>0</v>
      </c>
      <c r="AU215" s="7">
        <v>0</v>
      </c>
      <c r="AV215" s="7">
        <v>0</v>
      </c>
      <c r="AW215" s="7">
        <v>0</v>
      </c>
      <c r="AX215" s="7">
        <v>0</v>
      </c>
      <c r="AY215" s="7">
        <v>0</v>
      </c>
      <c r="AZ215" s="7">
        <v>0</v>
      </c>
      <c r="BA215" s="7">
        <v>0</v>
      </c>
      <c r="BB215" s="7">
        <v>0</v>
      </c>
      <c r="BC215" s="7">
        <v>0</v>
      </c>
      <c r="BD215" s="7">
        <v>0</v>
      </c>
      <c r="BE215" s="7">
        <v>0</v>
      </c>
      <c r="BF215" s="7">
        <v>0</v>
      </c>
      <c r="BG215" s="7">
        <v>0</v>
      </c>
      <c r="BH215" s="7">
        <v>0</v>
      </c>
      <c r="BI215" s="7">
        <v>0</v>
      </c>
      <c r="BJ215" s="7">
        <v>0</v>
      </c>
      <c r="BK215" s="7">
        <v>0</v>
      </c>
      <c r="BL215" s="7">
        <v>0</v>
      </c>
      <c r="BM215" s="7">
        <v>0</v>
      </c>
      <c r="BN215" s="7">
        <v>0</v>
      </c>
      <c r="BO215" s="7">
        <v>0</v>
      </c>
      <c r="BP215" s="7">
        <v>0</v>
      </c>
      <c r="BQ215" s="7">
        <v>0</v>
      </c>
      <c r="BR215" s="21"/>
    </row>
    <row r="216" spans="1:70" ht="15.75" x14ac:dyDescent="0.25">
      <c r="A216" s="5" t="s">
        <v>355</v>
      </c>
      <c r="B216" s="5" t="s">
        <v>398</v>
      </c>
      <c r="C216" s="7">
        <v>6</v>
      </c>
      <c r="D216" s="7">
        <v>6</v>
      </c>
      <c r="E216" s="7">
        <v>0</v>
      </c>
      <c r="F216" s="7">
        <v>0</v>
      </c>
      <c r="G216" s="7">
        <v>0</v>
      </c>
      <c r="H216" s="7">
        <v>0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0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  <c r="AM216" s="7">
        <v>0</v>
      </c>
      <c r="AN216" s="7">
        <v>0</v>
      </c>
      <c r="AO216" s="7">
        <v>0</v>
      </c>
      <c r="AP216" s="7">
        <v>0</v>
      </c>
      <c r="AQ216" s="7">
        <v>0</v>
      </c>
      <c r="AR216" s="7">
        <v>0</v>
      </c>
      <c r="AS216" s="7">
        <v>0</v>
      </c>
      <c r="AT216" s="7">
        <v>0</v>
      </c>
      <c r="AU216" s="7">
        <v>0</v>
      </c>
      <c r="AV216" s="7">
        <v>0</v>
      </c>
      <c r="AW216" s="7">
        <v>0</v>
      </c>
      <c r="AX216" s="7">
        <v>0</v>
      </c>
      <c r="AY216" s="7">
        <v>0</v>
      </c>
      <c r="AZ216" s="7">
        <v>0</v>
      </c>
      <c r="BA216" s="7">
        <v>0</v>
      </c>
      <c r="BB216" s="7">
        <v>0</v>
      </c>
      <c r="BC216" s="7">
        <v>0</v>
      </c>
      <c r="BD216" s="7">
        <v>0</v>
      </c>
      <c r="BE216" s="7">
        <v>0</v>
      </c>
      <c r="BF216" s="7">
        <v>0</v>
      </c>
      <c r="BG216" s="7">
        <v>0</v>
      </c>
      <c r="BH216" s="7">
        <v>0</v>
      </c>
      <c r="BI216" s="7">
        <v>0</v>
      </c>
      <c r="BJ216" s="7">
        <v>0</v>
      </c>
      <c r="BK216" s="7">
        <v>0</v>
      </c>
      <c r="BL216" s="7">
        <v>0</v>
      </c>
      <c r="BM216" s="7">
        <v>0</v>
      </c>
      <c r="BN216" s="7">
        <v>0</v>
      </c>
      <c r="BO216" s="7">
        <v>0</v>
      </c>
      <c r="BP216" s="7">
        <v>0</v>
      </c>
      <c r="BQ216" s="7">
        <v>0</v>
      </c>
      <c r="BR216" s="21"/>
    </row>
    <row r="217" spans="1:70" ht="15.75" x14ac:dyDescent="0.25">
      <c r="A217" s="5" t="s">
        <v>357</v>
      </c>
      <c r="B217" s="5" t="s">
        <v>399</v>
      </c>
      <c r="C217" s="7">
        <v>6</v>
      </c>
      <c r="D217" s="7">
        <v>6</v>
      </c>
      <c r="E217" s="7">
        <v>0</v>
      </c>
      <c r="F217" s="7">
        <v>0</v>
      </c>
      <c r="G217" s="7">
        <v>0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7">
        <v>0</v>
      </c>
      <c r="AP217" s="7">
        <v>0</v>
      </c>
      <c r="AQ217" s="7">
        <v>0</v>
      </c>
      <c r="AR217" s="7">
        <v>0</v>
      </c>
      <c r="AS217" s="7">
        <v>0</v>
      </c>
      <c r="AT217" s="7">
        <v>0</v>
      </c>
      <c r="AU217" s="7">
        <v>0</v>
      </c>
      <c r="AV217" s="7">
        <v>0</v>
      </c>
      <c r="AW217" s="7">
        <v>0</v>
      </c>
      <c r="AX217" s="7">
        <v>0</v>
      </c>
      <c r="AY217" s="7">
        <v>0</v>
      </c>
      <c r="AZ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F217" s="7">
        <v>0</v>
      </c>
      <c r="BG217" s="7">
        <v>0</v>
      </c>
      <c r="BH217" s="7">
        <v>0</v>
      </c>
      <c r="BI217" s="7">
        <v>0</v>
      </c>
      <c r="BJ217" s="7">
        <v>0</v>
      </c>
      <c r="BK217" s="7">
        <v>0</v>
      </c>
      <c r="BL217" s="7">
        <v>0</v>
      </c>
      <c r="BM217" s="7">
        <v>0</v>
      </c>
      <c r="BN217" s="7">
        <v>0</v>
      </c>
      <c r="BO217" s="7">
        <v>0</v>
      </c>
      <c r="BP217" s="7">
        <v>0</v>
      </c>
      <c r="BQ217" s="7">
        <v>0</v>
      </c>
      <c r="BR217" s="21"/>
    </row>
    <row r="218" spans="1:70" ht="15.75" x14ac:dyDescent="0.25">
      <c r="A218" s="5" t="s">
        <v>359</v>
      </c>
      <c r="B218" s="5" t="s">
        <v>400</v>
      </c>
      <c r="C218" s="7">
        <v>6</v>
      </c>
      <c r="D218" s="7">
        <v>6</v>
      </c>
      <c r="E218" s="7">
        <v>0</v>
      </c>
      <c r="F218" s="7">
        <v>0</v>
      </c>
      <c r="G218" s="7">
        <v>0</v>
      </c>
      <c r="H218" s="7">
        <v>0</v>
      </c>
      <c r="I218" s="7">
        <v>0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0</v>
      </c>
      <c r="AF218" s="7">
        <v>0</v>
      </c>
      <c r="AG218" s="7">
        <v>0</v>
      </c>
      <c r="AH218" s="7">
        <v>0</v>
      </c>
      <c r="AI218" s="7">
        <v>0</v>
      </c>
      <c r="AJ218" s="7">
        <v>0</v>
      </c>
      <c r="AK218" s="7">
        <v>0</v>
      </c>
      <c r="AL218" s="7">
        <v>0</v>
      </c>
      <c r="AM218" s="7">
        <v>0</v>
      </c>
      <c r="AN218" s="7">
        <v>0</v>
      </c>
      <c r="AO218" s="7">
        <v>0</v>
      </c>
      <c r="AP218" s="7">
        <v>0</v>
      </c>
      <c r="AQ218" s="7">
        <v>0</v>
      </c>
      <c r="AR218" s="7">
        <v>0</v>
      </c>
      <c r="AS218" s="7">
        <v>0</v>
      </c>
      <c r="AT218" s="7">
        <v>0</v>
      </c>
      <c r="AU218" s="7">
        <v>0</v>
      </c>
      <c r="AV218" s="7">
        <v>0</v>
      </c>
      <c r="AW218" s="7">
        <v>0</v>
      </c>
      <c r="AX218" s="7">
        <v>0</v>
      </c>
      <c r="AY218" s="7">
        <v>0</v>
      </c>
      <c r="AZ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F218" s="7">
        <v>0</v>
      </c>
      <c r="BG218" s="7">
        <v>0</v>
      </c>
      <c r="BH218" s="7">
        <v>0</v>
      </c>
      <c r="BI218" s="7">
        <v>0</v>
      </c>
      <c r="BJ218" s="7">
        <v>0</v>
      </c>
      <c r="BK218" s="7">
        <v>0</v>
      </c>
      <c r="BL218" s="7">
        <v>0</v>
      </c>
      <c r="BM218" s="7">
        <v>0</v>
      </c>
      <c r="BN218" s="7">
        <v>0</v>
      </c>
      <c r="BO218" s="7">
        <v>0</v>
      </c>
      <c r="BP218" s="7">
        <v>0</v>
      </c>
      <c r="BQ218" s="7">
        <v>0</v>
      </c>
      <c r="BR218" s="21"/>
    </row>
    <row r="219" spans="1:70" ht="15.75" x14ac:dyDescent="0.25">
      <c r="A219" s="5" t="s">
        <v>361</v>
      </c>
      <c r="B219" s="5" t="s">
        <v>401</v>
      </c>
      <c r="C219" s="7">
        <v>6</v>
      </c>
      <c r="D219" s="7">
        <v>6</v>
      </c>
      <c r="E219" s="7">
        <v>0</v>
      </c>
      <c r="F219" s="7">
        <v>0</v>
      </c>
      <c r="G219" s="7">
        <v>0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7">
        <v>0</v>
      </c>
      <c r="AK219" s="7">
        <v>0</v>
      </c>
      <c r="AL219" s="7">
        <v>0</v>
      </c>
      <c r="AM219" s="7">
        <v>0</v>
      </c>
      <c r="AN219" s="7">
        <v>0</v>
      </c>
      <c r="AO219" s="7">
        <v>0</v>
      </c>
      <c r="AP219" s="7">
        <v>0</v>
      </c>
      <c r="AQ219" s="7">
        <v>0</v>
      </c>
      <c r="AR219" s="7">
        <v>0</v>
      </c>
      <c r="AS219" s="7">
        <v>0</v>
      </c>
      <c r="AT219" s="7">
        <v>0</v>
      </c>
      <c r="AU219" s="7">
        <v>0</v>
      </c>
      <c r="AV219" s="7">
        <v>0</v>
      </c>
      <c r="AW219" s="7">
        <v>0</v>
      </c>
      <c r="AX219" s="7">
        <v>0</v>
      </c>
      <c r="AY219" s="7">
        <v>0</v>
      </c>
      <c r="AZ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0</v>
      </c>
      <c r="BF219" s="7">
        <v>0</v>
      </c>
      <c r="BG219" s="7">
        <v>0</v>
      </c>
      <c r="BH219" s="7">
        <v>0</v>
      </c>
      <c r="BI219" s="7">
        <v>0</v>
      </c>
      <c r="BJ219" s="7">
        <v>0</v>
      </c>
      <c r="BK219" s="7">
        <v>0</v>
      </c>
      <c r="BL219" s="7">
        <v>0</v>
      </c>
      <c r="BM219" s="7">
        <v>0</v>
      </c>
      <c r="BN219" s="7">
        <v>0</v>
      </c>
      <c r="BO219" s="7">
        <v>0</v>
      </c>
      <c r="BP219" s="7">
        <v>0</v>
      </c>
      <c r="BQ219" s="7">
        <v>0</v>
      </c>
      <c r="BR219" s="21"/>
    </row>
    <row r="220" spans="1:70" ht="15.75" x14ac:dyDescent="0.25">
      <c r="A220" s="5" t="s">
        <v>363</v>
      </c>
      <c r="B220" s="5" t="s">
        <v>402</v>
      </c>
      <c r="C220" s="7">
        <v>6</v>
      </c>
      <c r="D220" s="7">
        <v>6</v>
      </c>
      <c r="E220" s="7">
        <v>1.7999999999999999E-2</v>
      </c>
      <c r="F220" s="7">
        <v>0</v>
      </c>
      <c r="G220" s="7">
        <v>0</v>
      </c>
      <c r="H220" s="7">
        <v>0</v>
      </c>
      <c r="I220" s="7">
        <v>2.5000000000000001E-2</v>
      </c>
      <c r="J220" s="7">
        <v>0</v>
      </c>
      <c r="K220" s="7">
        <v>0</v>
      </c>
      <c r="L220" s="7">
        <v>0</v>
      </c>
      <c r="M220" s="7">
        <v>0.126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0</v>
      </c>
      <c r="AD220" s="7">
        <v>0</v>
      </c>
      <c r="AE220" s="7">
        <v>0</v>
      </c>
      <c r="AF220" s="7">
        <v>0</v>
      </c>
      <c r="AG220" s="7">
        <v>0</v>
      </c>
      <c r="AH220" s="7">
        <v>0</v>
      </c>
      <c r="AI220" s="7">
        <v>0.32200000000000001</v>
      </c>
      <c r="AJ220" s="7">
        <v>0</v>
      </c>
      <c r="AK220" s="7">
        <v>0</v>
      </c>
      <c r="AL220" s="7">
        <v>0</v>
      </c>
      <c r="AM220" s="7">
        <v>0</v>
      </c>
      <c r="AN220" s="7">
        <v>0</v>
      </c>
      <c r="AO220" s="7">
        <v>0</v>
      </c>
      <c r="AP220" s="7">
        <v>0</v>
      </c>
      <c r="AQ220" s="7">
        <v>0</v>
      </c>
      <c r="AR220" s="7">
        <v>0</v>
      </c>
      <c r="AS220" s="7">
        <v>0</v>
      </c>
      <c r="AT220" s="7">
        <v>0</v>
      </c>
      <c r="AU220" s="7">
        <v>0</v>
      </c>
      <c r="AV220" s="7">
        <v>0</v>
      </c>
      <c r="AW220" s="7">
        <v>0</v>
      </c>
      <c r="AX220" s="7">
        <v>0</v>
      </c>
      <c r="AY220" s="7">
        <v>0</v>
      </c>
      <c r="AZ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F220" s="7">
        <v>0</v>
      </c>
      <c r="BG220" s="7">
        <v>0</v>
      </c>
      <c r="BH220" s="7">
        <v>0</v>
      </c>
      <c r="BI220" s="7">
        <v>0</v>
      </c>
      <c r="BJ220" s="7">
        <v>0</v>
      </c>
      <c r="BK220" s="7">
        <v>0</v>
      </c>
      <c r="BL220" s="7">
        <v>0</v>
      </c>
      <c r="BM220" s="7">
        <v>0</v>
      </c>
      <c r="BN220" s="7">
        <v>0</v>
      </c>
      <c r="BO220" s="7">
        <v>0</v>
      </c>
      <c r="BP220" s="7">
        <v>0</v>
      </c>
      <c r="BQ220" s="7">
        <v>0</v>
      </c>
      <c r="BR220" s="21"/>
    </row>
    <row r="221" spans="1:70" ht="15.75" x14ac:dyDescent="0.25">
      <c r="A221" s="5" t="s">
        <v>365</v>
      </c>
      <c r="B221" s="5" t="s">
        <v>403</v>
      </c>
      <c r="C221" s="7">
        <v>6</v>
      </c>
      <c r="D221" s="7">
        <v>6</v>
      </c>
      <c r="E221" s="7">
        <v>0</v>
      </c>
      <c r="F221" s="7">
        <v>0</v>
      </c>
      <c r="G221" s="7">
        <v>0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7">
        <v>0</v>
      </c>
      <c r="AK221" s="7">
        <v>0</v>
      </c>
      <c r="AL221" s="7">
        <v>0</v>
      </c>
      <c r="AM221" s="7">
        <v>0</v>
      </c>
      <c r="AN221" s="7">
        <v>0</v>
      </c>
      <c r="AO221" s="7">
        <v>0</v>
      </c>
      <c r="AP221" s="7">
        <v>0</v>
      </c>
      <c r="AQ221" s="7">
        <v>0</v>
      </c>
      <c r="AR221" s="7">
        <v>0</v>
      </c>
      <c r="AS221" s="7">
        <v>0</v>
      </c>
      <c r="AT221" s="7">
        <v>0</v>
      </c>
      <c r="AU221" s="7">
        <v>0</v>
      </c>
      <c r="AV221" s="7">
        <v>0</v>
      </c>
      <c r="AW221" s="7">
        <v>0</v>
      </c>
      <c r="AX221" s="7">
        <v>0</v>
      </c>
      <c r="AY221" s="7">
        <v>0</v>
      </c>
      <c r="AZ221" s="7">
        <v>0</v>
      </c>
      <c r="BA221" s="7">
        <v>0</v>
      </c>
      <c r="BB221" s="7">
        <v>0</v>
      </c>
      <c r="BC221" s="7">
        <v>0</v>
      </c>
      <c r="BD221" s="7">
        <v>0</v>
      </c>
      <c r="BE221" s="7">
        <v>0</v>
      </c>
      <c r="BF221" s="7">
        <v>0</v>
      </c>
      <c r="BG221" s="7">
        <v>0</v>
      </c>
      <c r="BH221" s="7">
        <v>0</v>
      </c>
      <c r="BI221" s="7">
        <v>0</v>
      </c>
      <c r="BJ221" s="7">
        <v>0</v>
      </c>
      <c r="BK221" s="7">
        <v>0</v>
      </c>
      <c r="BL221" s="7">
        <v>0</v>
      </c>
      <c r="BM221" s="7">
        <v>0</v>
      </c>
      <c r="BN221" s="7">
        <v>0</v>
      </c>
      <c r="BO221" s="7">
        <v>0</v>
      </c>
      <c r="BP221" s="7">
        <v>0</v>
      </c>
      <c r="BQ221" s="7">
        <v>0</v>
      </c>
      <c r="BR221" s="21"/>
    </row>
    <row r="222" spans="1:70" ht="15.75" x14ac:dyDescent="0.25">
      <c r="A222" s="5" t="s">
        <v>367</v>
      </c>
      <c r="B222" s="5" t="s">
        <v>404</v>
      </c>
      <c r="C222" s="7">
        <v>6</v>
      </c>
      <c r="D222" s="7">
        <v>6</v>
      </c>
      <c r="E222" s="7">
        <v>32697.583999999999</v>
      </c>
      <c r="F222" s="7">
        <v>6722.4340000000002</v>
      </c>
      <c r="G222" s="7">
        <v>0</v>
      </c>
      <c r="H222" s="7">
        <v>0</v>
      </c>
      <c r="I222" s="7">
        <v>352.20699999999999</v>
      </c>
      <c r="J222" s="7">
        <v>0</v>
      </c>
      <c r="K222" s="7">
        <v>0</v>
      </c>
      <c r="L222" s="7">
        <v>0</v>
      </c>
      <c r="M222" s="7">
        <v>82178.487999999998</v>
      </c>
      <c r="N222" s="7">
        <v>8303.268</v>
      </c>
      <c r="O222" s="7">
        <v>0</v>
      </c>
      <c r="P222" s="7">
        <v>0</v>
      </c>
      <c r="Q222" s="7">
        <v>1.1479999999999999</v>
      </c>
      <c r="R222" s="7">
        <v>0</v>
      </c>
      <c r="S222" s="7">
        <v>0</v>
      </c>
      <c r="T222" s="7">
        <v>2027.807</v>
      </c>
      <c r="U222" s="7">
        <v>0</v>
      </c>
      <c r="V222" s="7">
        <v>0</v>
      </c>
      <c r="W222" s="7">
        <v>0</v>
      </c>
      <c r="X222" s="7">
        <v>581.78399999999999</v>
      </c>
      <c r="Y222" s="7">
        <v>0</v>
      </c>
      <c r="Z222" s="7">
        <v>12674.513999999999</v>
      </c>
      <c r="AA222" s="7">
        <v>0</v>
      </c>
      <c r="AB222" s="7">
        <v>0</v>
      </c>
      <c r="AC222" s="7">
        <v>0</v>
      </c>
      <c r="AD222" s="7">
        <v>1224.1400000000001</v>
      </c>
      <c r="AE222" s="7">
        <v>0</v>
      </c>
      <c r="AF222" s="7">
        <v>31733.628000000001</v>
      </c>
      <c r="AG222" s="7">
        <v>16509.036</v>
      </c>
      <c r="AH222" s="7">
        <v>0</v>
      </c>
      <c r="AI222" s="7">
        <v>135717.76300000001</v>
      </c>
      <c r="AJ222" s="7">
        <v>29577.964</v>
      </c>
      <c r="AK222" s="7">
        <v>0</v>
      </c>
      <c r="AL222" s="7">
        <v>0</v>
      </c>
      <c r="AM222" s="7">
        <v>0</v>
      </c>
      <c r="AN222" s="7">
        <v>0</v>
      </c>
      <c r="AO222" s="7">
        <v>0</v>
      </c>
      <c r="AP222" s="7">
        <v>0</v>
      </c>
      <c r="AQ222" s="7">
        <v>225.25399999999999</v>
      </c>
      <c r="AR222" s="7">
        <v>0</v>
      </c>
      <c r="AS222" s="7">
        <v>5029.4549999999999</v>
      </c>
      <c r="AT222" s="7">
        <v>0</v>
      </c>
      <c r="AU222" s="7">
        <v>19.550999999999998</v>
      </c>
      <c r="AV222" s="7">
        <v>0</v>
      </c>
      <c r="AW222" s="7">
        <v>141.142</v>
      </c>
      <c r="AX222" s="7">
        <v>0</v>
      </c>
      <c r="AY222" s="7">
        <v>0</v>
      </c>
      <c r="AZ222" s="7">
        <v>0</v>
      </c>
      <c r="BA222" s="7">
        <v>50.767000000000003</v>
      </c>
      <c r="BB222" s="7">
        <v>307.80900000000003</v>
      </c>
      <c r="BC222" s="7">
        <v>0</v>
      </c>
      <c r="BD222" s="7">
        <v>72.954999999999998</v>
      </c>
      <c r="BE222" s="7">
        <v>0</v>
      </c>
      <c r="BF222" s="7">
        <v>441.57900000000001</v>
      </c>
      <c r="BG222" s="7">
        <v>10.292</v>
      </c>
      <c r="BH222" s="7">
        <v>10.292</v>
      </c>
      <c r="BI222" s="7">
        <v>248.42</v>
      </c>
      <c r="BJ222" s="7">
        <v>0</v>
      </c>
      <c r="BK222" s="7">
        <v>0</v>
      </c>
      <c r="BL222" s="7">
        <v>0</v>
      </c>
      <c r="BM222" s="7">
        <v>0</v>
      </c>
      <c r="BN222" s="7">
        <v>0</v>
      </c>
      <c r="BO222" s="7">
        <v>0</v>
      </c>
      <c r="BP222" s="7">
        <v>0</v>
      </c>
      <c r="BQ222" s="7">
        <v>0</v>
      </c>
      <c r="BR222" s="21"/>
    </row>
    <row r="223" spans="1:70" ht="15.75" x14ac:dyDescent="0.25">
      <c r="A223" s="5" t="s">
        <v>369</v>
      </c>
      <c r="B223" s="5" t="s">
        <v>405</v>
      </c>
      <c r="C223" s="7">
        <v>6</v>
      </c>
      <c r="D223" s="7">
        <v>6</v>
      </c>
      <c r="E223" s="7">
        <v>0</v>
      </c>
      <c r="F223" s="7">
        <v>0</v>
      </c>
      <c r="G223" s="7">
        <v>0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7">
        <v>0</v>
      </c>
      <c r="AK223" s="7">
        <v>0</v>
      </c>
      <c r="AL223" s="7">
        <v>0</v>
      </c>
      <c r="AM223" s="7">
        <v>0</v>
      </c>
      <c r="AN223" s="7">
        <v>0</v>
      </c>
      <c r="AO223" s="7">
        <v>0</v>
      </c>
      <c r="AP223" s="7">
        <v>0</v>
      </c>
      <c r="AQ223" s="7">
        <v>0</v>
      </c>
      <c r="AR223" s="7">
        <v>0</v>
      </c>
      <c r="AS223" s="7">
        <v>0</v>
      </c>
      <c r="AT223" s="7">
        <v>0</v>
      </c>
      <c r="AU223" s="7">
        <v>0</v>
      </c>
      <c r="AV223" s="7">
        <v>0</v>
      </c>
      <c r="AW223" s="7">
        <v>0</v>
      </c>
      <c r="AX223" s="7">
        <v>0</v>
      </c>
      <c r="AY223" s="7">
        <v>0</v>
      </c>
      <c r="AZ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F223" s="7">
        <v>0</v>
      </c>
      <c r="BG223" s="7">
        <v>0</v>
      </c>
      <c r="BH223" s="7">
        <v>0</v>
      </c>
      <c r="BI223" s="7">
        <v>0</v>
      </c>
      <c r="BJ223" s="7">
        <v>0</v>
      </c>
      <c r="BK223" s="7">
        <v>0</v>
      </c>
      <c r="BL223" s="7">
        <v>0</v>
      </c>
      <c r="BM223" s="7">
        <v>0</v>
      </c>
      <c r="BN223" s="7">
        <v>0</v>
      </c>
      <c r="BO223" s="7">
        <v>0</v>
      </c>
      <c r="BP223" s="7">
        <v>0</v>
      </c>
      <c r="BQ223" s="7">
        <v>0</v>
      </c>
      <c r="BR223" s="21"/>
    </row>
    <row r="224" spans="1:70" ht="15.75" x14ac:dyDescent="0.25">
      <c r="A224" s="5" t="s">
        <v>371</v>
      </c>
      <c r="B224" s="5" t="s">
        <v>406</v>
      </c>
      <c r="C224" s="7">
        <v>6</v>
      </c>
      <c r="D224" s="7">
        <v>6</v>
      </c>
      <c r="E224" s="7">
        <v>0</v>
      </c>
      <c r="F224" s="7">
        <v>0</v>
      </c>
      <c r="G224" s="7">
        <v>0</v>
      </c>
      <c r="H224" s="7">
        <v>0</v>
      </c>
      <c r="I224" s="7">
        <v>0</v>
      </c>
      <c r="J224" s="7">
        <v>0</v>
      </c>
      <c r="K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  <c r="AI224" s="7">
        <v>0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  <c r="AO224" s="7">
        <v>0</v>
      </c>
      <c r="AP224" s="7">
        <v>0</v>
      </c>
      <c r="AQ224" s="7">
        <v>0</v>
      </c>
      <c r="AR224" s="7">
        <v>0</v>
      </c>
      <c r="AS224" s="7">
        <v>0</v>
      </c>
      <c r="AT224" s="7">
        <v>0</v>
      </c>
      <c r="AU224" s="7">
        <v>0</v>
      </c>
      <c r="AV224" s="7">
        <v>0</v>
      </c>
      <c r="AW224" s="7">
        <v>0</v>
      </c>
      <c r="AX224" s="7">
        <v>0</v>
      </c>
      <c r="AY224" s="7">
        <v>0</v>
      </c>
      <c r="AZ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0</v>
      </c>
      <c r="BF224" s="7">
        <v>0</v>
      </c>
      <c r="BG224" s="7">
        <v>0</v>
      </c>
      <c r="BH224" s="7">
        <v>0</v>
      </c>
      <c r="BI224" s="7">
        <v>0</v>
      </c>
      <c r="BJ224" s="7">
        <v>0</v>
      </c>
      <c r="BK224" s="7">
        <v>0</v>
      </c>
      <c r="BL224" s="7">
        <v>0</v>
      </c>
      <c r="BM224" s="7">
        <v>0</v>
      </c>
      <c r="BN224" s="7">
        <v>0</v>
      </c>
      <c r="BO224" s="7">
        <v>0</v>
      </c>
      <c r="BP224" s="7">
        <v>0</v>
      </c>
      <c r="BQ224" s="7">
        <v>0</v>
      </c>
      <c r="BR224" s="21"/>
    </row>
    <row r="225" spans="1:70" ht="15.75" x14ac:dyDescent="0.25">
      <c r="A225" s="5" t="s">
        <v>373</v>
      </c>
      <c r="B225" s="5" t="s">
        <v>407</v>
      </c>
      <c r="C225" s="7">
        <v>6</v>
      </c>
      <c r="D225" s="7">
        <v>6</v>
      </c>
      <c r="E225" s="7">
        <v>0</v>
      </c>
      <c r="F225" s="7">
        <v>0</v>
      </c>
      <c r="G225" s="7">
        <v>0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  <c r="AO225" s="7">
        <v>0</v>
      </c>
      <c r="AP225" s="7">
        <v>0</v>
      </c>
      <c r="AQ225" s="7">
        <v>0</v>
      </c>
      <c r="AR225" s="7">
        <v>0</v>
      </c>
      <c r="AS225" s="7">
        <v>0</v>
      </c>
      <c r="AT225" s="7">
        <v>0</v>
      </c>
      <c r="AU225" s="7">
        <v>0</v>
      </c>
      <c r="AV225" s="7">
        <v>0</v>
      </c>
      <c r="AW225" s="7">
        <v>0</v>
      </c>
      <c r="AX225" s="7">
        <v>0</v>
      </c>
      <c r="AY225" s="7">
        <v>0</v>
      </c>
      <c r="AZ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F225" s="7">
        <v>0</v>
      </c>
      <c r="BG225" s="7">
        <v>0</v>
      </c>
      <c r="BH225" s="7">
        <v>0</v>
      </c>
      <c r="BI225" s="7">
        <v>0</v>
      </c>
      <c r="BJ225" s="7">
        <v>0</v>
      </c>
      <c r="BK225" s="7">
        <v>0</v>
      </c>
      <c r="BL225" s="7">
        <v>0</v>
      </c>
      <c r="BM225" s="7">
        <v>0</v>
      </c>
      <c r="BN225" s="7">
        <v>0</v>
      </c>
      <c r="BO225" s="7">
        <v>0</v>
      </c>
      <c r="BP225" s="7">
        <v>0</v>
      </c>
      <c r="BQ225" s="7">
        <v>0</v>
      </c>
      <c r="BR225" s="21"/>
    </row>
    <row r="226" spans="1:70" ht="15.75" x14ac:dyDescent="0.25">
      <c r="A226" s="5" t="s">
        <v>375</v>
      </c>
      <c r="B226" s="5" t="s">
        <v>408</v>
      </c>
      <c r="C226" s="7">
        <v>6</v>
      </c>
      <c r="D226" s="7">
        <v>6</v>
      </c>
      <c r="E226" s="7">
        <v>0</v>
      </c>
      <c r="F226" s="7">
        <v>0</v>
      </c>
      <c r="G226" s="7">
        <v>0</v>
      </c>
      <c r="H226" s="7">
        <v>0</v>
      </c>
      <c r="I226" s="7">
        <v>0</v>
      </c>
      <c r="J226" s="7">
        <v>0</v>
      </c>
      <c r="K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0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  <c r="AO226" s="7">
        <v>0</v>
      </c>
      <c r="AP226" s="7">
        <v>0</v>
      </c>
      <c r="AQ226" s="7">
        <v>0</v>
      </c>
      <c r="AR226" s="7">
        <v>0</v>
      </c>
      <c r="AS226" s="7">
        <v>0</v>
      </c>
      <c r="AT226" s="7">
        <v>0</v>
      </c>
      <c r="AU226" s="7">
        <v>0</v>
      </c>
      <c r="AV226" s="7">
        <v>0</v>
      </c>
      <c r="AW226" s="7">
        <v>0</v>
      </c>
      <c r="AX226" s="7">
        <v>0</v>
      </c>
      <c r="AY226" s="7">
        <v>0</v>
      </c>
      <c r="AZ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F226" s="7">
        <v>0</v>
      </c>
      <c r="BG226" s="7">
        <v>0</v>
      </c>
      <c r="BH226" s="7">
        <v>0</v>
      </c>
      <c r="BI226" s="7">
        <v>0</v>
      </c>
      <c r="BJ226" s="7">
        <v>0</v>
      </c>
      <c r="BK226" s="7">
        <v>0</v>
      </c>
      <c r="BL226" s="7">
        <v>0</v>
      </c>
      <c r="BM226" s="7">
        <v>0</v>
      </c>
      <c r="BN226" s="7">
        <v>0</v>
      </c>
      <c r="BO226" s="7">
        <v>0</v>
      </c>
      <c r="BP226" s="7">
        <v>0</v>
      </c>
      <c r="BQ226" s="7">
        <v>0</v>
      </c>
      <c r="BR226" s="21"/>
    </row>
    <row r="227" spans="1:70" ht="15.75" x14ac:dyDescent="0.25">
      <c r="A227" s="5" t="s">
        <v>377</v>
      </c>
      <c r="B227" s="5" t="s">
        <v>409</v>
      </c>
      <c r="C227" s="7">
        <v>6</v>
      </c>
      <c r="D227" s="7">
        <v>6</v>
      </c>
      <c r="E227" s="7">
        <v>0</v>
      </c>
      <c r="F227" s="7">
        <v>0</v>
      </c>
      <c r="G227" s="7">
        <v>0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0</v>
      </c>
      <c r="AK227" s="7">
        <v>0</v>
      </c>
      <c r="AL227" s="7">
        <v>0</v>
      </c>
      <c r="AM227" s="7">
        <v>0</v>
      </c>
      <c r="AN227" s="7">
        <v>0</v>
      </c>
      <c r="AO227" s="7">
        <v>0</v>
      </c>
      <c r="AP227" s="7">
        <v>0</v>
      </c>
      <c r="AQ227" s="7">
        <v>0</v>
      </c>
      <c r="AR227" s="7">
        <v>0</v>
      </c>
      <c r="AS227" s="7">
        <v>0</v>
      </c>
      <c r="AT227" s="7">
        <v>0</v>
      </c>
      <c r="AU227" s="7">
        <v>0</v>
      </c>
      <c r="AV227" s="7">
        <v>0</v>
      </c>
      <c r="AW227" s="7">
        <v>0</v>
      </c>
      <c r="AX227" s="7">
        <v>0</v>
      </c>
      <c r="AY227" s="7">
        <v>0</v>
      </c>
      <c r="AZ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  <c r="BF227" s="7">
        <v>0</v>
      </c>
      <c r="BG227" s="7">
        <v>0</v>
      </c>
      <c r="BH227" s="7">
        <v>0</v>
      </c>
      <c r="BI227" s="7">
        <v>0</v>
      </c>
      <c r="BJ227" s="7">
        <v>0</v>
      </c>
      <c r="BK227" s="7">
        <v>0</v>
      </c>
      <c r="BL227" s="7">
        <v>0</v>
      </c>
      <c r="BM227" s="7">
        <v>0</v>
      </c>
      <c r="BN227" s="7">
        <v>0</v>
      </c>
      <c r="BO227" s="7">
        <v>0</v>
      </c>
      <c r="BP227" s="7">
        <v>0</v>
      </c>
      <c r="BQ227" s="7">
        <v>0</v>
      </c>
      <c r="BR227" s="21"/>
    </row>
    <row r="228" spans="1:70" ht="15.75" x14ac:dyDescent="0.25">
      <c r="A228" s="5" t="s">
        <v>379</v>
      </c>
      <c r="B228" s="5" t="s">
        <v>410</v>
      </c>
      <c r="C228" s="7">
        <v>6</v>
      </c>
      <c r="D228" s="7">
        <v>6</v>
      </c>
      <c r="E228" s="7">
        <v>0</v>
      </c>
      <c r="F228" s="7">
        <v>0</v>
      </c>
      <c r="G228" s="7">
        <v>0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0</v>
      </c>
      <c r="AE228" s="7">
        <v>0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7">
        <v>0</v>
      </c>
      <c r="AP228" s="7">
        <v>0</v>
      </c>
      <c r="AQ228" s="7">
        <v>0</v>
      </c>
      <c r="AR228" s="7">
        <v>0</v>
      </c>
      <c r="AS228" s="7">
        <v>0</v>
      </c>
      <c r="AT228" s="7">
        <v>0</v>
      </c>
      <c r="AU228" s="7">
        <v>0</v>
      </c>
      <c r="AV228" s="7">
        <v>0</v>
      </c>
      <c r="AW228" s="7">
        <v>0</v>
      </c>
      <c r="AX228" s="7">
        <v>0</v>
      </c>
      <c r="AY228" s="7">
        <v>0</v>
      </c>
      <c r="AZ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F228" s="7">
        <v>0</v>
      </c>
      <c r="BG228" s="7">
        <v>0</v>
      </c>
      <c r="BH228" s="7">
        <v>0</v>
      </c>
      <c r="BI228" s="7">
        <v>0</v>
      </c>
      <c r="BJ228" s="7">
        <v>0</v>
      </c>
      <c r="BK228" s="7">
        <v>0</v>
      </c>
      <c r="BL228" s="7">
        <v>0</v>
      </c>
      <c r="BM228" s="7">
        <v>0</v>
      </c>
      <c r="BN228" s="7">
        <v>0</v>
      </c>
      <c r="BO228" s="7">
        <v>0</v>
      </c>
      <c r="BP228" s="7">
        <v>0</v>
      </c>
      <c r="BQ228" s="7">
        <v>0</v>
      </c>
      <c r="BR228" s="21"/>
    </row>
    <row r="229" spans="1:70" ht="15.75" x14ac:dyDescent="0.25">
      <c r="A229" s="5" t="s">
        <v>381</v>
      </c>
      <c r="B229" s="5" t="s">
        <v>411</v>
      </c>
      <c r="C229" s="7">
        <v>6</v>
      </c>
      <c r="D229" s="7">
        <v>6</v>
      </c>
      <c r="E229" s="7">
        <v>0</v>
      </c>
      <c r="F229" s="7">
        <v>0</v>
      </c>
      <c r="G229" s="7">
        <v>0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7">
        <v>0</v>
      </c>
      <c r="AP229" s="7">
        <v>0</v>
      </c>
      <c r="AQ229" s="7">
        <v>0</v>
      </c>
      <c r="AR229" s="7">
        <v>0</v>
      </c>
      <c r="AS229" s="7">
        <v>0</v>
      </c>
      <c r="AT229" s="7">
        <v>0</v>
      </c>
      <c r="AU229" s="7">
        <v>0</v>
      </c>
      <c r="AV229" s="7">
        <v>0</v>
      </c>
      <c r="AW229" s="7">
        <v>0</v>
      </c>
      <c r="AX229" s="7">
        <v>0</v>
      </c>
      <c r="AY229" s="7">
        <v>0</v>
      </c>
      <c r="AZ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F229" s="7">
        <v>0</v>
      </c>
      <c r="BG229" s="7">
        <v>0</v>
      </c>
      <c r="BH229" s="7">
        <v>0</v>
      </c>
      <c r="BI229" s="7">
        <v>0</v>
      </c>
      <c r="BJ229" s="7">
        <v>0</v>
      </c>
      <c r="BK229" s="7">
        <v>0</v>
      </c>
      <c r="BL229" s="7">
        <v>0</v>
      </c>
      <c r="BM229" s="7">
        <v>0</v>
      </c>
      <c r="BN229" s="7">
        <v>0</v>
      </c>
      <c r="BO229" s="7">
        <v>0</v>
      </c>
      <c r="BP229" s="7">
        <v>0</v>
      </c>
      <c r="BQ229" s="7">
        <v>0</v>
      </c>
      <c r="BR229" s="21"/>
    </row>
    <row r="230" spans="1:70" ht="15.75" x14ac:dyDescent="0.25">
      <c r="A230" s="5" t="s">
        <v>383</v>
      </c>
      <c r="B230" s="5" t="s">
        <v>412</v>
      </c>
      <c r="C230" s="7">
        <v>6</v>
      </c>
      <c r="D230" s="7">
        <v>6</v>
      </c>
      <c r="E230" s="7">
        <v>0</v>
      </c>
      <c r="F230" s="7">
        <v>0</v>
      </c>
      <c r="G230" s="7">
        <v>0</v>
      </c>
      <c r="H230" s="7">
        <v>0</v>
      </c>
      <c r="I230" s="7">
        <v>0</v>
      </c>
      <c r="J230" s="7">
        <v>0</v>
      </c>
      <c r="K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  <c r="AN230" s="7">
        <v>0</v>
      </c>
      <c r="AO230" s="7">
        <v>0</v>
      </c>
      <c r="AP230" s="7">
        <v>0</v>
      </c>
      <c r="AQ230" s="7">
        <v>0</v>
      </c>
      <c r="AR230" s="7">
        <v>0</v>
      </c>
      <c r="AS230" s="7">
        <v>0</v>
      </c>
      <c r="AT230" s="7">
        <v>0</v>
      </c>
      <c r="AU230" s="7">
        <v>0</v>
      </c>
      <c r="AV230" s="7">
        <v>0</v>
      </c>
      <c r="AW230" s="7">
        <v>0</v>
      </c>
      <c r="AX230" s="7">
        <v>0</v>
      </c>
      <c r="AY230" s="7">
        <v>0</v>
      </c>
      <c r="AZ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  <c r="BF230" s="7">
        <v>0</v>
      </c>
      <c r="BG230" s="7">
        <v>0</v>
      </c>
      <c r="BH230" s="7">
        <v>0</v>
      </c>
      <c r="BI230" s="7">
        <v>0</v>
      </c>
      <c r="BJ230" s="7">
        <v>0</v>
      </c>
      <c r="BK230" s="7">
        <v>0</v>
      </c>
      <c r="BL230" s="7">
        <v>0</v>
      </c>
      <c r="BM230" s="7">
        <v>0</v>
      </c>
      <c r="BN230" s="7">
        <v>0</v>
      </c>
      <c r="BO230" s="7">
        <v>0</v>
      </c>
      <c r="BP230" s="7">
        <v>0</v>
      </c>
      <c r="BQ230" s="7">
        <v>0</v>
      </c>
      <c r="BR230" s="21"/>
    </row>
    <row r="231" spans="1:70" ht="15.75" x14ac:dyDescent="0.25">
      <c r="A231" s="5" t="s">
        <v>385</v>
      </c>
      <c r="B231" s="5" t="s">
        <v>413</v>
      </c>
      <c r="C231" s="7">
        <v>6</v>
      </c>
      <c r="D231" s="7">
        <v>6</v>
      </c>
      <c r="E231" s="7">
        <v>0</v>
      </c>
      <c r="F231" s="7">
        <v>0</v>
      </c>
      <c r="G231" s="7">
        <v>0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  <c r="AO231" s="7">
        <v>0</v>
      </c>
      <c r="AP231" s="7">
        <v>0</v>
      </c>
      <c r="AQ231" s="7">
        <v>0</v>
      </c>
      <c r="AR231" s="7">
        <v>0</v>
      </c>
      <c r="AS231" s="7">
        <v>0</v>
      </c>
      <c r="AT231" s="7">
        <v>0</v>
      </c>
      <c r="AU231" s="7">
        <v>0</v>
      </c>
      <c r="AV231" s="7">
        <v>0</v>
      </c>
      <c r="AW231" s="7">
        <v>0</v>
      </c>
      <c r="AX231" s="7">
        <v>0</v>
      </c>
      <c r="AY231" s="7">
        <v>0</v>
      </c>
      <c r="AZ231" s="7">
        <v>0</v>
      </c>
      <c r="BA231" s="7">
        <v>0</v>
      </c>
      <c r="BB231" s="7">
        <v>0</v>
      </c>
      <c r="BC231" s="7">
        <v>0</v>
      </c>
      <c r="BD231" s="7">
        <v>0</v>
      </c>
      <c r="BE231" s="7">
        <v>0</v>
      </c>
      <c r="BF231" s="7">
        <v>0</v>
      </c>
      <c r="BG231" s="7">
        <v>0</v>
      </c>
      <c r="BH231" s="7">
        <v>0</v>
      </c>
      <c r="BI231" s="7">
        <v>0</v>
      </c>
      <c r="BJ231" s="7">
        <v>0</v>
      </c>
      <c r="BK231" s="7">
        <v>0</v>
      </c>
      <c r="BL231" s="7">
        <v>0</v>
      </c>
      <c r="BM231" s="7">
        <v>0</v>
      </c>
      <c r="BN231" s="7">
        <v>0</v>
      </c>
      <c r="BO231" s="7">
        <v>0</v>
      </c>
      <c r="BP231" s="7">
        <v>0</v>
      </c>
      <c r="BQ231" s="7">
        <v>0</v>
      </c>
      <c r="BR231" s="21"/>
    </row>
    <row r="232" spans="1:70" ht="15.75" x14ac:dyDescent="0.25">
      <c r="A232" s="5" t="s">
        <v>387</v>
      </c>
      <c r="B232" s="5" t="s">
        <v>414</v>
      </c>
      <c r="C232" s="7">
        <v>6</v>
      </c>
      <c r="D232" s="7">
        <v>6</v>
      </c>
      <c r="E232" s="7">
        <v>0</v>
      </c>
      <c r="F232" s="7">
        <v>0</v>
      </c>
      <c r="G232" s="7">
        <v>0</v>
      </c>
      <c r="H232" s="7">
        <v>0</v>
      </c>
      <c r="I232" s="7">
        <v>0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0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  <c r="AN232" s="7">
        <v>0</v>
      </c>
      <c r="AO232" s="7">
        <v>0</v>
      </c>
      <c r="AP232" s="7">
        <v>0</v>
      </c>
      <c r="AQ232" s="7">
        <v>0</v>
      </c>
      <c r="AR232" s="7">
        <v>0</v>
      </c>
      <c r="AS232" s="7">
        <v>0</v>
      </c>
      <c r="AT232" s="7">
        <v>0</v>
      </c>
      <c r="AU232" s="7">
        <v>0</v>
      </c>
      <c r="AV232" s="7">
        <v>0</v>
      </c>
      <c r="AW232" s="7">
        <v>0</v>
      </c>
      <c r="AX232" s="7">
        <v>0</v>
      </c>
      <c r="AY232" s="7">
        <v>0</v>
      </c>
      <c r="AZ232" s="7">
        <v>0</v>
      </c>
      <c r="BA232" s="7">
        <v>0</v>
      </c>
      <c r="BB232" s="7">
        <v>0</v>
      </c>
      <c r="BC232" s="7">
        <v>0</v>
      </c>
      <c r="BD232" s="7">
        <v>0</v>
      </c>
      <c r="BE232" s="7">
        <v>0</v>
      </c>
      <c r="BF232" s="7">
        <v>0</v>
      </c>
      <c r="BG232" s="7">
        <v>0</v>
      </c>
      <c r="BH232" s="7">
        <v>0</v>
      </c>
      <c r="BI232" s="7">
        <v>0</v>
      </c>
      <c r="BJ232" s="7">
        <v>0</v>
      </c>
      <c r="BK232" s="7">
        <v>0</v>
      </c>
      <c r="BL232" s="7">
        <v>0</v>
      </c>
      <c r="BM232" s="7">
        <v>0</v>
      </c>
      <c r="BN232" s="7">
        <v>0</v>
      </c>
      <c r="BO232" s="7">
        <v>0</v>
      </c>
      <c r="BP232" s="7">
        <v>0</v>
      </c>
      <c r="BQ232" s="7">
        <v>0</v>
      </c>
      <c r="BR232" s="21"/>
    </row>
    <row r="233" spans="1:70" ht="15.75" x14ac:dyDescent="0.25">
      <c r="A233" s="5" t="s">
        <v>389</v>
      </c>
      <c r="B233" s="5" t="s">
        <v>415</v>
      </c>
      <c r="C233" s="7">
        <v>6</v>
      </c>
      <c r="D233" s="7">
        <v>6</v>
      </c>
      <c r="E233" s="7">
        <v>0</v>
      </c>
      <c r="F233" s="7">
        <v>0</v>
      </c>
      <c r="G233" s="7">
        <v>0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7">
        <v>0</v>
      </c>
      <c r="AP233" s="7">
        <v>0</v>
      </c>
      <c r="AQ233" s="7">
        <v>0</v>
      </c>
      <c r="AR233" s="7">
        <v>0</v>
      </c>
      <c r="AS233" s="7">
        <v>0</v>
      </c>
      <c r="AT233" s="7">
        <v>0</v>
      </c>
      <c r="AU233" s="7">
        <v>0</v>
      </c>
      <c r="AV233" s="7">
        <v>0</v>
      </c>
      <c r="AW233" s="7">
        <v>0</v>
      </c>
      <c r="AX233" s="7">
        <v>0</v>
      </c>
      <c r="AY233" s="7">
        <v>0</v>
      </c>
      <c r="AZ233" s="7">
        <v>0</v>
      </c>
      <c r="BA233" s="7">
        <v>0</v>
      </c>
      <c r="BB233" s="7">
        <v>0</v>
      </c>
      <c r="BC233" s="7">
        <v>0</v>
      </c>
      <c r="BD233" s="7">
        <v>0</v>
      </c>
      <c r="BE233" s="7">
        <v>0</v>
      </c>
      <c r="BF233" s="7">
        <v>0</v>
      </c>
      <c r="BG233" s="7">
        <v>0</v>
      </c>
      <c r="BH233" s="7">
        <v>0</v>
      </c>
      <c r="BI233" s="7">
        <v>0</v>
      </c>
      <c r="BJ233" s="7">
        <v>0</v>
      </c>
      <c r="BK233" s="7">
        <v>0</v>
      </c>
      <c r="BL233" s="7">
        <v>0</v>
      </c>
      <c r="BM233" s="7">
        <v>0</v>
      </c>
      <c r="BN233" s="7">
        <v>0</v>
      </c>
      <c r="BO233" s="7">
        <v>0</v>
      </c>
      <c r="BP233" s="7">
        <v>0</v>
      </c>
      <c r="BQ233" s="7">
        <v>0</v>
      </c>
      <c r="BR233" s="21"/>
    </row>
    <row r="234" spans="1:70" ht="15.75" x14ac:dyDescent="0.25">
      <c r="A234" s="5" t="s">
        <v>391</v>
      </c>
      <c r="B234" s="5" t="s">
        <v>416</v>
      </c>
      <c r="C234" s="7">
        <v>6</v>
      </c>
      <c r="D234" s="7">
        <v>6</v>
      </c>
      <c r="E234" s="7">
        <v>0</v>
      </c>
      <c r="F234" s="7">
        <v>0</v>
      </c>
      <c r="G234" s="7">
        <v>0</v>
      </c>
      <c r="H234" s="7">
        <v>0</v>
      </c>
      <c r="I234" s="7">
        <v>0</v>
      </c>
      <c r="J234" s="7">
        <v>0</v>
      </c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0</v>
      </c>
      <c r="AL234" s="7">
        <v>0</v>
      </c>
      <c r="AM234" s="7">
        <v>0</v>
      </c>
      <c r="AN234" s="7">
        <v>0</v>
      </c>
      <c r="AO234" s="7">
        <v>0</v>
      </c>
      <c r="AP234" s="7">
        <v>0</v>
      </c>
      <c r="AQ234" s="7">
        <v>0</v>
      </c>
      <c r="AR234" s="7">
        <v>0</v>
      </c>
      <c r="AS234" s="7">
        <v>0</v>
      </c>
      <c r="AT234" s="7">
        <v>0</v>
      </c>
      <c r="AU234" s="7">
        <v>0</v>
      </c>
      <c r="AV234" s="7">
        <v>0</v>
      </c>
      <c r="AW234" s="7">
        <v>0</v>
      </c>
      <c r="AX234" s="7">
        <v>0</v>
      </c>
      <c r="AY234" s="7">
        <v>0</v>
      </c>
      <c r="AZ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F234" s="7">
        <v>0</v>
      </c>
      <c r="BG234" s="7">
        <v>0</v>
      </c>
      <c r="BH234" s="7">
        <v>0</v>
      </c>
      <c r="BI234" s="7">
        <v>0</v>
      </c>
      <c r="BJ234" s="7">
        <v>0</v>
      </c>
      <c r="BK234" s="7">
        <v>0</v>
      </c>
      <c r="BL234" s="7">
        <v>0</v>
      </c>
      <c r="BM234" s="7">
        <v>0</v>
      </c>
      <c r="BN234" s="7">
        <v>0</v>
      </c>
      <c r="BO234" s="7">
        <v>0</v>
      </c>
      <c r="BP234" s="7">
        <v>0</v>
      </c>
      <c r="BQ234" s="7">
        <v>0</v>
      </c>
      <c r="BR234" s="21"/>
    </row>
    <row r="235" spans="1:70" ht="15.75" x14ac:dyDescent="0.25">
      <c r="A235" s="5" t="s">
        <v>393</v>
      </c>
      <c r="B235" s="5" t="s">
        <v>417</v>
      </c>
      <c r="C235" s="7">
        <v>6</v>
      </c>
      <c r="D235" s="7">
        <v>6</v>
      </c>
      <c r="E235" s="7">
        <v>0</v>
      </c>
      <c r="F235" s="7">
        <v>0</v>
      </c>
      <c r="G235" s="7">
        <v>0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7">
        <v>0</v>
      </c>
      <c r="AK235" s="7">
        <v>0</v>
      </c>
      <c r="AL235" s="7">
        <v>0</v>
      </c>
      <c r="AM235" s="7">
        <v>0</v>
      </c>
      <c r="AN235" s="7">
        <v>0</v>
      </c>
      <c r="AO235" s="7">
        <v>0</v>
      </c>
      <c r="AP235" s="7">
        <v>0</v>
      </c>
      <c r="AQ235" s="7">
        <v>0</v>
      </c>
      <c r="AR235" s="7">
        <v>0</v>
      </c>
      <c r="AS235" s="7">
        <v>0</v>
      </c>
      <c r="AT235" s="7">
        <v>0</v>
      </c>
      <c r="AU235" s="7">
        <v>0</v>
      </c>
      <c r="AV235" s="7">
        <v>0</v>
      </c>
      <c r="AW235" s="7">
        <v>0</v>
      </c>
      <c r="AX235" s="7">
        <v>0</v>
      </c>
      <c r="AY235" s="7">
        <v>0</v>
      </c>
      <c r="AZ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F235" s="7">
        <v>0</v>
      </c>
      <c r="BG235" s="7">
        <v>0</v>
      </c>
      <c r="BH235" s="7">
        <v>0</v>
      </c>
      <c r="BI235" s="7">
        <v>0</v>
      </c>
      <c r="BJ235" s="7">
        <v>0</v>
      </c>
      <c r="BK235" s="7">
        <v>0</v>
      </c>
      <c r="BL235" s="7">
        <v>0</v>
      </c>
      <c r="BM235" s="7">
        <v>0</v>
      </c>
      <c r="BN235" s="7">
        <v>0</v>
      </c>
      <c r="BO235" s="7">
        <v>0</v>
      </c>
      <c r="BP235" s="7">
        <v>0</v>
      </c>
      <c r="BQ235" s="7">
        <v>0</v>
      </c>
      <c r="BR235" s="21"/>
    </row>
    <row r="236" spans="1:70" ht="15.75" x14ac:dyDescent="0.25">
      <c r="A236" s="5" t="s">
        <v>395</v>
      </c>
      <c r="B236" s="5" t="s">
        <v>418</v>
      </c>
      <c r="C236" s="7">
        <v>6</v>
      </c>
      <c r="D236" s="7">
        <v>6</v>
      </c>
      <c r="E236" s="7">
        <v>0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  <c r="AO236" s="7">
        <v>0</v>
      </c>
      <c r="AP236" s="7">
        <v>0</v>
      </c>
      <c r="AQ236" s="7">
        <v>0</v>
      </c>
      <c r="AR236" s="7">
        <v>0</v>
      </c>
      <c r="AS236" s="7">
        <v>0</v>
      </c>
      <c r="AT236" s="7">
        <v>0</v>
      </c>
      <c r="AU236" s="7">
        <v>0</v>
      </c>
      <c r="AV236" s="7">
        <v>0</v>
      </c>
      <c r="AW236" s="7">
        <v>0</v>
      </c>
      <c r="AX236" s="7">
        <v>0</v>
      </c>
      <c r="AY236" s="7">
        <v>0</v>
      </c>
      <c r="AZ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F236" s="7">
        <v>0</v>
      </c>
      <c r="BG236" s="7">
        <v>0</v>
      </c>
      <c r="BH236" s="7">
        <v>0</v>
      </c>
      <c r="BI236" s="7">
        <v>0</v>
      </c>
      <c r="BJ236" s="7">
        <v>0</v>
      </c>
      <c r="BK236" s="7">
        <v>0</v>
      </c>
      <c r="BL236" s="7">
        <v>0</v>
      </c>
      <c r="BM236" s="7">
        <v>0</v>
      </c>
      <c r="BN236" s="7">
        <v>0</v>
      </c>
      <c r="BO236" s="7">
        <v>0</v>
      </c>
      <c r="BP236" s="7">
        <v>0</v>
      </c>
      <c r="BQ236" s="7">
        <v>0</v>
      </c>
      <c r="BR236" s="21"/>
    </row>
    <row r="237" spans="1:70" ht="15.75" x14ac:dyDescent="0.25">
      <c r="A237" s="5" t="s">
        <v>419</v>
      </c>
      <c r="B237" s="5" t="s">
        <v>420</v>
      </c>
      <c r="C237" s="7">
        <v>6</v>
      </c>
      <c r="D237" s="7">
        <v>6</v>
      </c>
      <c r="E237" s="7">
        <v>0</v>
      </c>
      <c r="F237" s="7">
        <v>0</v>
      </c>
      <c r="G237" s="7">
        <v>0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7">
        <v>0</v>
      </c>
      <c r="AL237" s="7">
        <v>0</v>
      </c>
      <c r="AM237" s="7">
        <v>0</v>
      </c>
      <c r="AN237" s="7">
        <v>0</v>
      </c>
      <c r="AO237" s="7">
        <v>0</v>
      </c>
      <c r="AP237" s="7">
        <v>0</v>
      </c>
      <c r="AQ237" s="7">
        <v>0</v>
      </c>
      <c r="AR237" s="7">
        <v>0</v>
      </c>
      <c r="AS237" s="7">
        <v>0</v>
      </c>
      <c r="AT237" s="7">
        <v>0</v>
      </c>
      <c r="AU237" s="7">
        <v>0</v>
      </c>
      <c r="AV237" s="7">
        <v>0</v>
      </c>
      <c r="AW237" s="7">
        <v>0</v>
      </c>
      <c r="AX237" s="7">
        <v>0</v>
      </c>
      <c r="AY237" s="7">
        <v>0</v>
      </c>
      <c r="AZ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F237" s="7">
        <v>0</v>
      </c>
      <c r="BG237" s="7">
        <v>0</v>
      </c>
      <c r="BH237" s="7">
        <v>0</v>
      </c>
      <c r="BI237" s="7">
        <v>0</v>
      </c>
      <c r="BJ237" s="7">
        <v>0</v>
      </c>
      <c r="BK237" s="7">
        <v>0</v>
      </c>
      <c r="BL237" s="7">
        <v>0</v>
      </c>
      <c r="BM237" s="7">
        <v>0</v>
      </c>
      <c r="BN237" s="7">
        <v>0</v>
      </c>
      <c r="BO237" s="7">
        <v>0</v>
      </c>
      <c r="BP237" s="7">
        <v>0</v>
      </c>
      <c r="BQ237" s="7">
        <v>0</v>
      </c>
      <c r="BR237" s="21"/>
    </row>
    <row r="238" spans="1:70" ht="15.75" x14ac:dyDescent="0.25">
      <c r="A238" s="5" t="s">
        <v>421</v>
      </c>
      <c r="B238" s="5" t="s">
        <v>422</v>
      </c>
      <c r="C238" s="7">
        <v>6</v>
      </c>
      <c r="D238" s="7">
        <v>6</v>
      </c>
      <c r="E238" s="7">
        <v>0</v>
      </c>
      <c r="F238" s="7">
        <v>0</v>
      </c>
      <c r="G238" s="7">
        <v>0</v>
      </c>
      <c r="H238" s="7">
        <v>0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0</v>
      </c>
      <c r="AE238" s="7">
        <v>0</v>
      </c>
      <c r="AF238" s="7">
        <v>0</v>
      </c>
      <c r="AG238" s="7">
        <v>0</v>
      </c>
      <c r="AH238" s="7">
        <v>0</v>
      </c>
      <c r="AI238" s="7">
        <v>0</v>
      </c>
      <c r="AJ238" s="7">
        <v>0</v>
      </c>
      <c r="AK238" s="7">
        <v>0</v>
      </c>
      <c r="AL238" s="7">
        <v>0</v>
      </c>
      <c r="AM238" s="7">
        <v>0</v>
      </c>
      <c r="AN238" s="7">
        <v>0</v>
      </c>
      <c r="AO238" s="7">
        <v>0</v>
      </c>
      <c r="AP238" s="7">
        <v>0</v>
      </c>
      <c r="AQ238" s="7">
        <v>0</v>
      </c>
      <c r="AR238" s="7">
        <v>0</v>
      </c>
      <c r="AS238" s="7">
        <v>0</v>
      </c>
      <c r="AT238" s="7">
        <v>0</v>
      </c>
      <c r="AU238" s="7">
        <v>0</v>
      </c>
      <c r="AV238" s="7">
        <v>0</v>
      </c>
      <c r="AW238" s="7">
        <v>0</v>
      </c>
      <c r="AX238" s="7">
        <v>0</v>
      </c>
      <c r="AY238" s="7">
        <v>0</v>
      </c>
      <c r="AZ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F238" s="7">
        <v>0</v>
      </c>
      <c r="BG238" s="7">
        <v>0</v>
      </c>
      <c r="BH238" s="7">
        <v>0</v>
      </c>
      <c r="BI238" s="7">
        <v>0</v>
      </c>
      <c r="BJ238" s="7">
        <v>0</v>
      </c>
      <c r="BK238" s="7">
        <v>0</v>
      </c>
      <c r="BL238" s="7">
        <v>0</v>
      </c>
      <c r="BM238" s="7">
        <v>0</v>
      </c>
      <c r="BN238" s="7">
        <v>0</v>
      </c>
      <c r="BO238" s="7">
        <v>0</v>
      </c>
      <c r="BP238" s="7">
        <v>0</v>
      </c>
      <c r="BQ238" s="7">
        <v>0</v>
      </c>
      <c r="BR238" s="21"/>
    </row>
    <row r="239" spans="1:70" ht="15.75" x14ac:dyDescent="0.25">
      <c r="A239" s="5" t="s">
        <v>423</v>
      </c>
      <c r="B239" s="5" t="s">
        <v>424</v>
      </c>
      <c r="C239" s="7">
        <v>6</v>
      </c>
      <c r="D239" s="7">
        <v>6</v>
      </c>
      <c r="E239" s="7">
        <v>0</v>
      </c>
      <c r="F239" s="7">
        <v>0</v>
      </c>
      <c r="G239" s="7">
        <v>0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7">
        <v>0</v>
      </c>
      <c r="AP239" s="7">
        <v>0</v>
      </c>
      <c r="AQ239" s="7">
        <v>0</v>
      </c>
      <c r="AR239" s="7">
        <v>0</v>
      </c>
      <c r="AS239" s="7">
        <v>0</v>
      </c>
      <c r="AT239" s="7">
        <v>0</v>
      </c>
      <c r="AU239" s="7">
        <v>0</v>
      </c>
      <c r="AV239" s="7">
        <v>0</v>
      </c>
      <c r="AW239" s="7">
        <v>0</v>
      </c>
      <c r="AX239" s="7">
        <v>0</v>
      </c>
      <c r="AY239" s="7">
        <v>0</v>
      </c>
      <c r="AZ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F239" s="7">
        <v>0</v>
      </c>
      <c r="BG239" s="7">
        <v>0</v>
      </c>
      <c r="BH239" s="7">
        <v>0</v>
      </c>
      <c r="BI239" s="7">
        <v>0</v>
      </c>
      <c r="BJ239" s="7">
        <v>0</v>
      </c>
      <c r="BK239" s="7">
        <v>0</v>
      </c>
      <c r="BL239" s="7">
        <v>0</v>
      </c>
      <c r="BM239" s="7">
        <v>0</v>
      </c>
      <c r="BN239" s="7">
        <v>0</v>
      </c>
      <c r="BO239" s="7">
        <v>0</v>
      </c>
      <c r="BP239" s="7">
        <v>0</v>
      </c>
      <c r="BQ239" s="7">
        <v>0</v>
      </c>
      <c r="BR239" s="21"/>
    </row>
    <row r="240" spans="1:70" ht="15.75" x14ac:dyDescent="0.25">
      <c r="A240" s="5" t="s">
        <v>425</v>
      </c>
      <c r="B240" s="5" t="s">
        <v>426</v>
      </c>
      <c r="C240" s="7">
        <v>6</v>
      </c>
      <c r="D240" s="7">
        <v>6</v>
      </c>
      <c r="E240" s="7">
        <v>0</v>
      </c>
      <c r="F240" s="7">
        <v>0</v>
      </c>
      <c r="G240" s="7">
        <v>0</v>
      </c>
      <c r="H240" s="7">
        <v>0</v>
      </c>
      <c r="I240" s="7">
        <v>0</v>
      </c>
      <c r="J240" s="7">
        <v>0</v>
      </c>
      <c r="K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7">
        <v>0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7">
        <v>0</v>
      </c>
      <c r="AL240" s="7">
        <v>0</v>
      </c>
      <c r="AM240" s="7">
        <v>0</v>
      </c>
      <c r="AN240" s="7">
        <v>0</v>
      </c>
      <c r="AO240" s="7">
        <v>0</v>
      </c>
      <c r="AP240" s="7">
        <v>0</v>
      </c>
      <c r="AQ240" s="7">
        <v>0</v>
      </c>
      <c r="AR240" s="7">
        <v>0</v>
      </c>
      <c r="AS240" s="7">
        <v>0</v>
      </c>
      <c r="AT240" s="7">
        <v>0</v>
      </c>
      <c r="AU240" s="7">
        <v>0</v>
      </c>
      <c r="AV240" s="7">
        <v>0</v>
      </c>
      <c r="AW240" s="7">
        <v>0</v>
      </c>
      <c r="AX240" s="7">
        <v>0</v>
      </c>
      <c r="AY240" s="7">
        <v>0</v>
      </c>
      <c r="AZ240" s="7">
        <v>0</v>
      </c>
      <c r="BA240" s="7">
        <v>0</v>
      </c>
      <c r="BB240" s="7">
        <v>0</v>
      </c>
      <c r="BC240" s="7">
        <v>0</v>
      </c>
      <c r="BD240" s="7">
        <v>0</v>
      </c>
      <c r="BE240" s="7">
        <v>0</v>
      </c>
      <c r="BF240" s="7">
        <v>0</v>
      </c>
      <c r="BG240" s="7">
        <v>0</v>
      </c>
      <c r="BH240" s="7">
        <v>0</v>
      </c>
      <c r="BI240" s="7">
        <v>0</v>
      </c>
      <c r="BJ240" s="7">
        <v>0</v>
      </c>
      <c r="BK240" s="7">
        <v>0</v>
      </c>
      <c r="BL240" s="7">
        <v>0</v>
      </c>
      <c r="BM240" s="7">
        <v>0</v>
      </c>
      <c r="BN240" s="7">
        <v>0</v>
      </c>
      <c r="BO240" s="7">
        <v>0</v>
      </c>
      <c r="BP240" s="7">
        <v>0</v>
      </c>
      <c r="BQ240" s="7">
        <v>0</v>
      </c>
      <c r="BR240" s="21"/>
    </row>
    <row r="241" spans="1:70" ht="15.75" x14ac:dyDescent="0.25">
      <c r="A241" s="5" t="s">
        <v>427</v>
      </c>
      <c r="B241" s="5" t="s">
        <v>428</v>
      </c>
      <c r="C241" s="7">
        <v>6</v>
      </c>
      <c r="D241" s="7">
        <v>6</v>
      </c>
      <c r="E241" s="7">
        <v>0</v>
      </c>
      <c r="F241" s="7">
        <v>0</v>
      </c>
      <c r="G241" s="7">
        <v>0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0</v>
      </c>
      <c r="AO241" s="7">
        <v>0</v>
      </c>
      <c r="AP241" s="7">
        <v>0</v>
      </c>
      <c r="AQ241" s="7">
        <v>0</v>
      </c>
      <c r="AR241" s="7">
        <v>0</v>
      </c>
      <c r="AS241" s="7">
        <v>0</v>
      </c>
      <c r="AT241" s="7">
        <v>0</v>
      </c>
      <c r="AU241" s="7">
        <v>0</v>
      </c>
      <c r="AV241" s="7">
        <v>0</v>
      </c>
      <c r="AW241" s="7">
        <v>0</v>
      </c>
      <c r="AX241" s="7">
        <v>0</v>
      </c>
      <c r="AY241" s="7">
        <v>0</v>
      </c>
      <c r="AZ241" s="7">
        <v>0</v>
      </c>
      <c r="BA241" s="7">
        <v>0</v>
      </c>
      <c r="BB241" s="7">
        <v>0</v>
      </c>
      <c r="BC241" s="7">
        <v>0</v>
      </c>
      <c r="BD241" s="7">
        <v>0</v>
      </c>
      <c r="BE241" s="7">
        <v>0</v>
      </c>
      <c r="BF241" s="7">
        <v>0</v>
      </c>
      <c r="BG241" s="7">
        <v>0</v>
      </c>
      <c r="BH241" s="7">
        <v>0</v>
      </c>
      <c r="BI241" s="7">
        <v>0</v>
      </c>
      <c r="BJ241" s="7">
        <v>0</v>
      </c>
      <c r="BK241" s="7">
        <v>0</v>
      </c>
      <c r="BL241" s="7">
        <v>0</v>
      </c>
      <c r="BM241" s="7">
        <v>0</v>
      </c>
      <c r="BN241" s="7">
        <v>0</v>
      </c>
      <c r="BO241" s="7">
        <v>0</v>
      </c>
      <c r="BP241" s="7">
        <v>0</v>
      </c>
      <c r="BQ241" s="7">
        <v>0</v>
      </c>
      <c r="BR241" s="21"/>
    </row>
    <row r="242" spans="1:70" ht="15.75" x14ac:dyDescent="0.25">
      <c r="A242" s="5" t="s">
        <v>429</v>
      </c>
      <c r="B242" s="5" t="s">
        <v>430</v>
      </c>
      <c r="C242" s="7">
        <v>6</v>
      </c>
      <c r="D242" s="7">
        <v>6</v>
      </c>
      <c r="E242" s="7">
        <v>0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0</v>
      </c>
      <c r="AD242" s="7">
        <v>0</v>
      </c>
      <c r="AE242" s="7">
        <v>0</v>
      </c>
      <c r="AF242" s="7">
        <v>0</v>
      </c>
      <c r="AG242" s="7">
        <v>0</v>
      </c>
      <c r="AH242" s="7">
        <v>0</v>
      </c>
      <c r="AI242" s="7">
        <v>0</v>
      </c>
      <c r="AJ242" s="7">
        <v>0</v>
      </c>
      <c r="AK242" s="7">
        <v>0</v>
      </c>
      <c r="AL242" s="7">
        <v>0</v>
      </c>
      <c r="AM242" s="7">
        <v>0</v>
      </c>
      <c r="AN242" s="7">
        <v>0</v>
      </c>
      <c r="AO242" s="7">
        <v>0</v>
      </c>
      <c r="AP242" s="7">
        <v>0</v>
      </c>
      <c r="AQ242" s="7">
        <v>0</v>
      </c>
      <c r="AR242" s="7">
        <v>0</v>
      </c>
      <c r="AS242" s="7">
        <v>0</v>
      </c>
      <c r="AT242" s="7">
        <v>0</v>
      </c>
      <c r="AU242" s="7">
        <v>0</v>
      </c>
      <c r="AV242" s="7">
        <v>0</v>
      </c>
      <c r="AW242" s="7">
        <v>0</v>
      </c>
      <c r="AX242" s="7">
        <v>0</v>
      </c>
      <c r="AY242" s="7">
        <v>0</v>
      </c>
      <c r="AZ242" s="7">
        <v>0</v>
      </c>
      <c r="BA242" s="7">
        <v>0</v>
      </c>
      <c r="BB242" s="7">
        <v>0</v>
      </c>
      <c r="BC242" s="7">
        <v>0</v>
      </c>
      <c r="BD242" s="7">
        <v>0</v>
      </c>
      <c r="BE242" s="7">
        <v>0</v>
      </c>
      <c r="BF242" s="7">
        <v>0</v>
      </c>
      <c r="BG242" s="7">
        <v>0</v>
      </c>
      <c r="BH242" s="7">
        <v>0</v>
      </c>
      <c r="BI242" s="7">
        <v>0</v>
      </c>
      <c r="BJ242" s="7">
        <v>0</v>
      </c>
      <c r="BK242" s="7">
        <v>0</v>
      </c>
      <c r="BL242" s="7">
        <v>0</v>
      </c>
      <c r="BM242" s="7">
        <v>0</v>
      </c>
      <c r="BN242" s="7">
        <v>0</v>
      </c>
      <c r="BO242" s="7">
        <v>0</v>
      </c>
      <c r="BP242" s="7">
        <v>0</v>
      </c>
      <c r="BQ242" s="7">
        <v>0</v>
      </c>
      <c r="BR242" s="21"/>
    </row>
    <row r="243" spans="1:70" ht="15.75" x14ac:dyDescent="0.25">
      <c r="A243" s="5" t="s">
        <v>431</v>
      </c>
      <c r="B243" s="5" t="s">
        <v>432</v>
      </c>
      <c r="C243" s="7">
        <v>6</v>
      </c>
      <c r="D243" s="7">
        <v>6</v>
      </c>
      <c r="E243" s="7">
        <v>0</v>
      </c>
      <c r="F243" s="7">
        <v>0</v>
      </c>
      <c r="G243" s="7">
        <v>0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7">
        <v>0</v>
      </c>
      <c r="AK243" s="7">
        <v>0</v>
      </c>
      <c r="AL243" s="7">
        <v>0</v>
      </c>
      <c r="AM243" s="7">
        <v>0</v>
      </c>
      <c r="AN243" s="7">
        <v>0</v>
      </c>
      <c r="AO243" s="7">
        <v>0</v>
      </c>
      <c r="AP243" s="7">
        <v>0</v>
      </c>
      <c r="AQ243" s="7">
        <v>0</v>
      </c>
      <c r="AR243" s="7">
        <v>0</v>
      </c>
      <c r="AS243" s="7">
        <v>0</v>
      </c>
      <c r="AT243" s="7">
        <v>0</v>
      </c>
      <c r="AU243" s="7">
        <v>0</v>
      </c>
      <c r="AV243" s="7">
        <v>0</v>
      </c>
      <c r="AW243" s="7">
        <v>0</v>
      </c>
      <c r="AX243" s="7">
        <v>0</v>
      </c>
      <c r="AY243" s="7">
        <v>0</v>
      </c>
      <c r="AZ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F243" s="7">
        <v>0</v>
      </c>
      <c r="BG243" s="7">
        <v>0</v>
      </c>
      <c r="BH243" s="7">
        <v>0</v>
      </c>
      <c r="BI243" s="7">
        <v>0</v>
      </c>
      <c r="BJ243" s="7">
        <v>0</v>
      </c>
      <c r="BK243" s="7">
        <v>0</v>
      </c>
      <c r="BL243" s="7">
        <v>0</v>
      </c>
      <c r="BM243" s="7">
        <v>0</v>
      </c>
      <c r="BN243" s="7">
        <v>0</v>
      </c>
      <c r="BO243" s="7">
        <v>0</v>
      </c>
      <c r="BP243" s="7">
        <v>0</v>
      </c>
      <c r="BQ243" s="7">
        <v>0</v>
      </c>
      <c r="BR243" s="21"/>
    </row>
    <row r="244" spans="1:70" ht="15.75" x14ac:dyDescent="0.25">
      <c r="A244" s="5" t="s">
        <v>433</v>
      </c>
      <c r="B244" s="5" t="s">
        <v>434</v>
      </c>
      <c r="C244" s="7">
        <v>6</v>
      </c>
      <c r="D244" s="7">
        <v>6</v>
      </c>
      <c r="E244" s="7">
        <v>0</v>
      </c>
      <c r="F244" s="7">
        <v>0</v>
      </c>
      <c r="G244" s="7">
        <v>0</v>
      </c>
      <c r="H244" s="7">
        <v>0</v>
      </c>
      <c r="I244" s="7">
        <v>0</v>
      </c>
      <c r="J244" s="7">
        <v>0</v>
      </c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  <c r="AE244" s="7">
        <v>0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7">
        <v>0</v>
      </c>
      <c r="AL244" s="7">
        <v>0</v>
      </c>
      <c r="AM244" s="7">
        <v>0</v>
      </c>
      <c r="AN244" s="7">
        <v>0</v>
      </c>
      <c r="AO244" s="7">
        <v>0</v>
      </c>
      <c r="AP244" s="7">
        <v>0</v>
      </c>
      <c r="AQ244" s="7">
        <v>0</v>
      </c>
      <c r="AR244" s="7">
        <v>0</v>
      </c>
      <c r="AS244" s="7">
        <v>0</v>
      </c>
      <c r="AT244" s="7">
        <v>0</v>
      </c>
      <c r="AU244" s="7">
        <v>0</v>
      </c>
      <c r="AV244" s="7">
        <v>0</v>
      </c>
      <c r="AW244" s="7">
        <v>0</v>
      </c>
      <c r="AX244" s="7">
        <v>0</v>
      </c>
      <c r="AY244" s="7">
        <v>0</v>
      </c>
      <c r="AZ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0</v>
      </c>
      <c r="BF244" s="7">
        <v>0</v>
      </c>
      <c r="BG244" s="7">
        <v>0</v>
      </c>
      <c r="BH244" s="7">
        <v>0</v>
      </c>
      <c r="BI244" s="7">
        <v>0</v>
      </c>
      <c r="BJ244" s="7">
        <v>0</v>
      </c>
      <c r="BK244" s="7">
        <v>0</v>
      </c>
      <c r="BL244" s="7">
        <v>0</v>
      </c>
      <c r="BM244" s="7">
        <v>0</v>
      </c>
      <c r="BN244" s="7">
        <v>0</v>
      </c>
      <c r="BO244" s="7">
        <v>0</v>
      </c>
      <c r="BP244" s="7">
        <v>0</v>
      </c>
      <c r="BQ244" s="7">
        <v>0</v>
      </c>
      <c r="BR244" s="21"/>
    </row>
    <row r="245" spans="1:70" ht="15.75" x14ac:dyDescent="0.25">
      <c r="A245" s="5" t="s">
        <v>435</v>
      </c>
      <c r="B245" s="5" t="s">
        <v>436</v>
      </c>
      <c r="C245" s="7">
        <v>6</v>
      </c>
      <c r="D245" s="7">
        <v>6</v>
      </c>
      <c r="E245" s="7">
        <v>0</v>
      </c>
      <c r="F245" s="7">
        <v>0</v>
      </c>
      <c r="G245" s="7">
        <v>0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7">
        <v>0</v>
      </c>
      <c r="AK245" s="7">
        <v>0</v>
      </c>
      <c r="AL245" s="7">
        <v>0</v>
      </c>
      <c r="AM245" s="7">
        <v>0</v>
      </c>
      <c r="AN245" s="7">
        <v>0</v>
      </c>
      <c r="AO245" s="7">
        <v>0</v>
      </c>
      <c r="AP245" s="7">
        <v>0</v>
      </c>
      <c r="AQ245" s="7">
        <v>0</v>
      </c>
      <c r="AR245" s="7">
        <v>0</v>
      </c>
      <c r="AS245" s="7">
        <v>0</v>
      </c>
      <c r="AT245" s="7">
        <v>0</v>
      </c>
      <c r="AU245" s="7">
        <v>0</v>
      </c>
      <c r="AV245" s="7">
        <v>0</v>
      </c>
      <c r="AW245" s="7">
        <v>0</v>
      </c>
      <c r="AX245" s="7">
        <v>0</v>
      </c>
      <c r="AY245" s="7">
        <v>0</v>
      </c>
      <c r="AZ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F245" s="7">
        <v>0</v>
      </c>
      <c r="BG245" s="7">
        <v>0</v>
      </c>
      <c r="BH245" s="7">
        <v>0</v>
      </c>
      <c r="BI245" s="7">
        <v>0</v>
      </c>
      <c r="BJ245" s="7">
        <v>0</v>
      </c>
      <c r="BK245" s="7">
        <v>0</v>
      </c>
      <c r="BL245" s="7">
        <v>0</v>
      </c>
      <c r="BM245" s="7">
        <v>0</v>
      </c>
      <c r="BN245" s="7">
        <v>0</v>
      </c>
      <c r="BO245" s="7">
        <v>0</v>
      </c>
      <c r="BP245" s="7">
        <v>0</v>
      </c>
      <c r="BQ245" s="7">
        <v>0</v>
      </c>
      <c r="BR245" s="21"/>
    </row>
    <row r="246" spans="1:70" ht="15.75" x14ac:dyDescent="0.25">
      <c r="A246" s="5" t="s">
        <v>437</v>
      </c>
      <c r="B246" s="5" t="s">
        <v>438</v>
      </c>
      <c r="C246" s="7">
        <v>6</v>
      </c>
      <c r="D246" s="7">
        <v>6</v>
      </c>
      <c r="E246" s="7">
        <v>0</v>
      </c>
      <c r="F246" s="7">
        <v>0</v>
      </c>
      <c r="G246" s="7">
        <v>0</v>
      </c>
      <c r="H246" s="7">
        <v>0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0</v>
      </c>
      <c r="AD246" s="7">
        <v>0</v>
      </c>
      <c r="AE246" s="7">
        <v>0</v>
      </c>
      <c r="AF246" s="7">
        <v>0</v>
      </c>
      <c r="AG246" s="7">
        <v>0</v>
      </c>
      <c r="AH246" s="7">
        <v>0</v>
      </c>
      <c r="AI246" s="7">
        <v>0</v>
      </c>
      <c r="AJ246" s="7">
        <v>0</v>
      </c>
      <c r="AK246" s="7">
        <v>0</v>
      </c>
      <c r="AL246" s="7">
        <v>0</v>
      </c>
      <c r="AM246" s="7">
        <v>0</v>
      </c>
      <c r="AN246" s="7">
        <v>0</v>
      </c>
      <c r="AO246" s="7">
        <v>0</v>
      </c>
      <c r="AP246" s="7">
        <v>0</v>
      </c>
      <c r="AQ246" s="7">
        <v>0</v>
      </c>
      <c r="AR246" s="7">
        <v>0</v>
      </c>
      <c r="AS246" s="7">
        <v>0</v>
      </c>
      <c r="AT246" s="7">
        <v>0</v>
      </c>
      <c r="AU246" s="7">
        <v>0</v>
      </c>
      <c r="AV246" s="7">
        <v>0</v>
      </c>
      <c r="AW246" s="7">
        <v>0</v>
      </c>
      <c r="AX246" s="7">
        <v>0</v>
      </c>
      <c r="AY246" s="7">
        <v>0</v>
      </c>
      <c r="AZ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0</v>
      </c>
      <c r="BF246" s="7">
        <v>0</v>
      </c>
      <c r="BG246" s="7">
        <v>0</v>
      </c>
      <c r="BH246" s="7">
        <v>0</v>
      </c>
      <c r="BI246" s="7">
        <v>0</v>
      </c>
      <c r="BJ246" s="7">
        <v>0</v>
      </c>
      <c r="BK246" s="7">
        <v>0</v>
      </c>
      <c r="BL246" s="7">
        <v>0</v>
      </c>
      <c r="BM246" s="7">
        <v>0</v>
      </c>
      <c r="BN246" s="7">
        <v>0</v>
      </c>
      <c r="BO246" s="7">
        <v>0</v>
      </c>
      <c r="BP246" s="7">
        <v>0</v>
      </c>
      <c r="BQ246" s="7">
        <v>0</v>
      </c>
      <c r="BR246" s="21"/>
    </row>
    <row r="247" spans="1:70" ht="15.75" x14ac:dyDescent="0.25">
      <c r="A247" s="5" t="s">
        <v>439</v>
      </c>
      <c r="B247" s="5" t="s">
        <v>440</v>
      </c>
      <c r="C247" s="7">
        <v>6</v>
      </c>
      <c r="D247" s="7">
        <v>6</v>
      </c>
      <c r="E247" s="7">
        <v>0</v>
      </c>
      <c r="F247" s="7">
        <v>0</v>
      </c>
      <c r="G247" s="7">
        <v>0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7">
        <v>0</v>
      </c>
      <c r="AK247" s="7">
        <v>0</v>
      </c>
      <c r="AL247" s="7">
        <v>0</v>
      </c>
      <c r="AM247" s="7">
        <v>0</v>
      </c>
      <c r="AN247" s="7">
        <v>0</v>
      </c>
      <c r="AO247" s="7">
        <v>0</v>
      </c>
      <c r="AP247" s="7">
        <v>0</v>
      </c>
      <c r="AQ247" s="7">
        <v>0</v>
      </c>
      <c r="AR247" s="7">
        <v>0</v>
      </c>
      <c r="AS247" s="7">
        <v>0</v>
      </c>
      <c r="AT247" s="7">
        <v>0</v>
      </c>
      <c r="AU247" s="7">
        <v>0</v>
      </c>
      <c r="AV247" s="7">
        <v>0</v>
      </c>
      <c r="AW247" s="7">
        <v>0</v>
      </c>
      <c r="AX247" s="7">
        <v>0</v>
      </c>
      <c r="AY247" s="7">
        <v>0</v>
      </c>
      <c r="AZ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F247" s="7">
        <v>0</v>
      </c>
      <c r="BG247" s="7">
        <v>0</v>
      </c>
      <c r="BH247" s="7">
        <v>0</v>
      </c>
      <c r="BI247" s="7">
        <v>0</v>
      </c>
      <c r="BJ247" s="7">
        <v>0</v>
      </c>
      <c r="BK247" s="7">
        <v>0</v>
      </c>
      <c r="BL247" s="7">
        <v>0</v>
      </c>
      <c r="BM247" s="7">
        <v>0</v>
      </c>
      <c r="BN247" s="7">
        <v>0</v>
      </c>
      <c r="BO247" s="7">
        <v>0</v>
      </c>
      <c r="BP247" s="7">
        <v>0</v>
      </c>
      <c r="BQ247" s="7">
        <v>0</v>
      </c>
      <c r="BR247" s="21"/>
    </row>
    <row r="248" spans="1:70" ht="15.75" x14ac:dyDescent="0.25">
      <c r="A248" s="5" t="s">
        <v>441</v>
      </c>
      <c r="B248" s="5" t="s">
        <v>442</v>
      </c>
      <c r="C248" s="7">
        <v>6</v>
      </c>
      <c r="D248" s="7">
        <v>6</v>
      </c>
      <c r="E248" s="7">
        <v>0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7">
        <v>0</v>
      </c>
      <c r="AK248" s="7">
        <v>0</v>
      </c>
      <c r="AL248" s="7">
        <v>0</v>
      </c>
      <c r="AM248" s="7">
        <v>0</v>
      </c>
      <c r="AN248" s="7">
        <v>0</v>
      </c>
      <c r="AO248" s="7">
        <v>0</v>
      </c>
      <c r="AP248" s="7">
        <v>0</v>
      </c>
      <c r="AQ248" s="7">
        <v>0</v>
      </c>
      <c r="AR248" s="7">
        <v>0</v>
      </c>
      <c r="AS248" s="7">
        <v>0</v>
      </c>
      <c r="AT248" s="7">
        <v>0</v>
      </c>
      <c r="AU248" s="7">
        <v>0</v>
      </c>
      <c r="AV248" s="7">
        <v>0</v>
      </c>
      <c r="AW248" s="7">
        <v>0</v>
      </c>
      <c r="AX248" s="7">
        <v>0</v>
      </c>
      <c r="AY248" s="7">
        <v>0</v>
      </c>
      <c r="AZ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F248" s="7">
        <v>0</v>
      </c>
      <c r="BG248" s="7">
        <v>0</v>
      </c>
      <c r="BH248" s="7">
        <v>0</v>
      </c>
      <c r="BI248" s="7">
        <v>0</v>
      </c>
      <c r="BJ248" s="7">
        <v>0</v>
      </c>
      <c r="BK248" s="7">
        <v>0</v>
      </c>
      <c r="BL248" s="7">
        <v>0</v>
      </c>
      <c r="BM248" s="7">
        <v>0</v>
      </c>
      <c r="BN248" s="7">
        <v>0</v>
      </c>
      <c r="BO248" s="7">
        <v>0</v>
      </c>
      <c r="BP248" s="7">
        <v>0</v>
      </c>
      <c r="BQ248" s="7">
        <v>0</v>
      </c>
      <c r="BR248" s="21"/>
    </row>
    <row r="249" spans="1:70" ht="15.75" x14ac:dyDescent="0.25">
      <c r="A249" s="5" t="s">
        <v>443</v>
      </c>
      <c r="B249" s="5" t="s">
        <v>444</v>
      </c>
      <c r="C249" s="7">
        <v>6</v>
      </c>
      <c r="D249" s="7">
        <v>6</v>
      </c>
      <c r="E249" s="7">
        <v>0</v>
      </c>
      <c r="F249" s="7">
        <v>0</v>
      </c>
      <c r="G249" s="7">
        <v>0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0</v>
      </c>
      <c r="AK249" s="7">
        <v>0</v>
      </c>
      <c r="AL249" s="7">
        <v>0</v>
      </c>
      <c r="AM249" s="7">
        <v>0</v>
      </c>
      <c r="AN249" s="7">
        <v>0</v>
      </c>
      <c r="AO249" s="7">
        <v>0</v>
      </c>
      <c r="AP249" s="7">
        <v>0</v>
      </c>
      <c r="AQ249" s="7">
        <v>0</v>
      </c>
      <c r="AR249" s="7">
        <v>0</v>
      </c>
      <c r="AS249" s="7">
        <v>0</v>
      </c>
      <c r="AT249" s="7">
        <v>0</v>
      </c>
      <c r="AU249" s="7">
        <v>0</v>
      </c>
      <c r="AV249" s="7">
        <v>0</v>
      </c>
      <c r="AW249" s="7">
        <v>0</v>
      </c>
      <c r="AX249" s="7">
        <v>0</v>
      </c>
      <c r="AY249" s="7">
        <v>0</v>
      </c>
      <c r="AZ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F249" s="7">
        <v>0</v>
      </c>
      <c r="BG249" s="7">
        <v>0</v>
      </c>
      <c r="BH249" s="7">
        <v>0</v>
      </c>
      <c r="BI249" s="7">
        <v>0</v>
      </c>
      <c r="BJ249" s="7">
        <v>0</v>
      </c>
      <c r="BK249" s="7">
        <v>0</v>
      </c>
      <c r="BL249" s="7">
        <v>0</v>
      </c>
      <c r="BM249" s="7">
        <v>0</v>
      </c>
      <c r="BN249" s="7">
        <v>0</v>
      </c>
      <c r="BO249" s="7">
        <v>0</v>
      </c>
      <c r="BP249" s="7">
        <v>0</v>
      </c>
      <c r="BQ249" s="7">
        <v>0</v>
      </c>
      <c r="BR249" s="21"/>
    </row>
    <row r="250" spans="1:70" ht="15.75" x14ac:dyDescent="0.25">
      <c r="A250" s="5" t="s">
        <v>445</v>
      </c>
      <c r="B250" s="5" t="s">
        <v>446</v>
      </c>
      <c r="C250" s="7">
        <v>6</v>
      </c>
      <c r="D250" s="7">
        <v>6</v>
      </c>
      <c r="E250" s="7">
        <v>0</v>
      </c>
      <c r="F250" s="7">
        <v>0</v>
      </c>
      <c r="G250" s="7">
        <v>0</v>
      </c>
      <c r="H250" s="7">
        <v>0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0</v>
      </c>
      <c r="AJ250" s="7">
        <v>0</v>
      </c>
      <c r="AK250" s="7">
        <v>0</v>
      </c>
      <c r="AL250" s="7">
        <v>0</v>
      </c>
      <c r="AM250" s="7">
        <v>0</v>
      </c>
      <c r="AN250" s="7">
        <v>0</v>
      </c>
      <c r="AO250" s="7">
        <v>0</v>
      </c>
      <c r="AP250" s="7">
        <v>0</v>
      </c>
      <c r="AQ250" s="7">
        <v>0</v>
      </c>
      <c r="AR250" s="7">
        <v>0</v>
      </c>
      <c r="AS250" s="7">
        <v>0</v>
      </c>
      <c r="AT250" s="7">
        <v>0</v>
      </c>
      <c r="AU250" s="7">
        <v>0</v>
      </c>
      <c r="AV250" s="7">
        <v>0</v>
      </c>
      <c r="AW250" s="7">
        <v>0</v>
      </c>
      <c r="AX250" s="7">
        <v>0</v>
      </c>
      <c r="AY250" s="7">
        <v>0</v>
      </c>
      <c r="AZ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F250" s="7">
        <v>0</v>
      </c>
      <c r="BG250" s="7">
        <v>0</v>
      </c>
      <c r="BH250" s="7">
        <v>0</v>
      </c>
      <c r="BI250" s="7">
        <v>0</v>
      </c>
      <c r="BJ250" s="7">
        <v>0</v>
      </c>
      <c r="BK250" s="7">
        <v>0</v>
      </c>
      <c r="BL250" s="7">
        <v>0</v>
      </c>
      <c r="BM250" s="7">
        <v>0</v>
      </c>
      <c r="BN250" s="7">
        <v>0</v>
      </c>
      <c r="BO250" s="7">
        <v>0</v>
      </c>
      <c r="BP250" s="7">
        <v>0</v>
      </c>
      <c r="BQ250" s="7">
        <v>0</v>
      </c>
      <c r="BR250" s="21"/>
    </row>
    <row r="251" spans="1:70" ht="15.75" x14ac:dyDescent="0.25">
      <c r="A251" s="5" t="s">
        <v>447</v>
      </c>
      <c r="B251" s="5" t="s">
        <v>448</v>
      </c>
      <c r="C251" s="7">
        <v>6</v>
      </c>
      <c r="D251" s="7">
        <v>6</v>
      </c>
      <c r="E251" s="7">
        <v>0</v>
      </c>
      <c r="F251" s="7">
        <v>0</v>
      </c>
      <c r="G251" s="7">
        <v>0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7">
        <v>0</v>
      </c>
      <c r="AK251" s="7">
        <v>0</v>
      </c>
      <c r="AL251" s="7">
        <v>0</v>
      </c>
      <c r="AM251" s="7">
        <v>0</v>
      </c>
      <c r="AN251" s="7">
        <v>0</v>
      </c>
      <c r="AO251" s="7">
        <v>0</v>
      </c>
      <c r="AP251" s="7">
        <v>0</v>
      </c>
      <c r="AQ251" s="7">
        <v>0</v>
      </c>
      <c r="AR251" s="7">
        <v>0</v>
      </c>
      <c r="AS251" s="7">
        <v>0</v>
      </c>
      <c r="AT251" s="7">
        <v>0</v>
      </c>
      <c r="AU251" s="7">
        <v>0</v>
      </c>
      <c r="AV251" s="7">
        <v>0</v>
      </c>
      <c r="AW251" s="7">
        <v>0</v>
      </c>
      <c r="AX251" s="7">
        <v>0</v>
      </c>
      <c r="AY251" s="7">
        <v>0</v>
      </c>
      <c r="AZ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F251" s="7">
        <v>0</v>
      </c>
      <c r="BG251" s="7">
        <v>0</v>
      </c>
      <c r="BH251" s="7">
        <v>0</v>
      </c>
      <c r="BI251" s="7">
        <v>0</v>
      </c>
      <c r="BJ251" s="7">
        <v>0</v>
      </c>
      <c r="BK251" s="7">
        <v>0</v>
      </c>
      <c r="BL251" s="7">
        <v>0</v>
      </c>
      <c r="BM251" s="7">
        <v>0</v>
      </c>
      <c r="BN251" s="7">
        <v>0</v>
      </c>
      <c r="BO251" s="7">
        <v>0</v>
      </c>
      <c r="BP251" s="7">
        <v>0</v>
      </c>
      <c r="BQ251" s="7">
        <v>0</v>
      </c>
      <c r="BR251" s="21"/>
    </row>
    <row r="252" spans="1:70" ht="15.75" x14ac:dyDescent="0.25">
      <c r="A252" s="5" t="s">
        <v>449</v>
      </c>
      <c r="B252" s="5" t="s">
        <v>450</v>
      </c>
      <c r="C252" s="7">
        <v>6</v>
      </c>
      <c r="D252" s="7">
        <v>6</v>
      </c>
      <c r="E252" s="7">
        <v>0</v>
      </c>
      <c r="F252" s="7">
        <v>0</v>
      </c>
      <c r="G252" s="7">
        <v>0</v>
      </c>
      <c r="H252" s="7">
        <v>0</v>
      </c>
      <c r="I252" s="7">
        <v>0</v>
      </c>
      <c r="J252" s="7">
        <v>0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0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O252" s="7">
        <v>0</v>
      </c>
      <c r="AP252" s="7">
        <v>0</v>
      </c>
      <c r="AQ252" s="7">
        <v>0</v>
      </c>
      <c r="AR252" s="7">
        <v>0</v>
      </c>
      <c r="AS252" s="7">
        <v>0</v>
      </c>
      <c r="AT252" s="7">
        <v>0</v>
      </c>
      <c r="AU252" s="7">
        <v>0</v>
      </c>
      <c r="AV252" s="7">
        <v>0</v>
      </c>
      <c r="AW252" s="7">
        <v>0</v>
      </c>
      <c r="AX252" s="7">
        <v>0</v>
      </c>
      <c r="AY252" s="7">
        <v>0</v>
      </c>
      <c r="AZ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  <c r="BF252" s="7">
        <v>0</v>
      </c>
      <c r="BG252" s="7">
        <v>0</v>
      </c>
      <c r="BH252" s="7">
        <v>0</v>
      </c>
      <c r="BI252" s="7">
        <v>0</v>
      </c>
      <c r="BJ252" s="7">
        <v>0</v>
      </c>
      <c r="BK252" s="7">
        <v>0</v>
      </c>
      <c r="BL252" s="7">
        <v>0</v>
      </c>
      <c r="BM252" s="7">
        <v>0</v>
      </c>
      <c r="BN252" s="7">
        <v>0</v>
      </c>
      <c r="BO252" s="7">
        <v>0</v>
      </c>
      <c r="BP252" s="7">
        <v>0</v>
      </c>
      <c r="BQ252" s="7">
        <v>0</v>
      </c>
      <c r="BR252" s="21"/>
    </row>
    <row r="253" spans="1:70" ht="15.75" x14ac:dyDescent="0.25">
      <c r="A253" s="5" t="s">
        <v>451</v>
      </c>
      <c r="B253" s="5" t="s">
        <v>452</v>
      </c>
      <c r="C253" s="7">
        <v>6</v>
      </c>
      <c r="D253" s="7">
        <v>6</v>
      </c>
      <c r="E253" s="7">
        <v>0</v>
      </c>
      <c r="F253" s="7">
        <v>0</v>
      </c>
      <c r="G253" s="7">
        <v>0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  <c r="AO253" s="7">
        <v>0</v>
      </c>
      <c r="AP253" s="7">
        <v>0</v>
      </c>
      <c r="AQ253" s="7">
        <v>0</v>
      </c>
      <c r="AR253" s="7">
        <v>0</v>
      </c>
      <c r="AS253" s="7">
        <v>0</v>
      </c>
      <c r="AT253" s="7">
        <v>0</v>
      </c>
      <c r="AU253" s="7">
        <v>0</v>
      </c>
      <c r="AV253" s="7">
        <v>0</v>
      </c>
      <c r="AW253" s="7">
        <v>0</v>
      </c>
      <c r="AX253" s="7">
        <v>0</v>
      </c>
      <c r="AY253" s="7">
        <v>0</v>
      </c>
      <c r="AZ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F253" s="7">
        <v>0</v>
      </c>
      <c r="BG253" s="7">
        <v>0</v>
      </c>
      <c r="BH253" s="7">
        <v>0</v>
      </c>
      <c r="BI253" s="7">
        <v>0</v>
      </c>
      <c r="BJ253" s="7">
        <v>0</v>
      </c>
      <c r="BK253" s="7">
        <v>0</v>
      </c>
      <c r="BL253" s="7">
        <v>0</v>
      </c>
      <c r="BM253" s="7">
        <v>0</v>
      </c>
      <c r="BN253" s="7">
        <v>0</v>
      </c>
      <c r="BO253" s="7">
        <v>0</v>
      </c>
      <c r="BP253" s="7">
        <v>0</v>
      </c>
      <c r="BQ253" s="7">
        <v>0</v>
      </c>
      <c r="BR253" s="21"/>
    </row>
    <row r="254" spans="1:70" ht="15.75" x14ac:dyDescent="0.25">
      <c r="A254" s="5" t="s">
        <v>453</v>
      </c>
      <c r="B254" s="5" t="s">
        <v>454</v>
      </c>
      <c r="C254" s="7">
        <v>6</v>
      </c>
      <c r="D254" s="7">
        <v>6</v>
      </c>
      <c r="E254" s="7">
        <v>0</v>
      </c>
      <c r="F254" s="7">
        <v>0</v>
      </c>
      <c r="G254" s="7">
        <v>0</v>
      </c>
      <c r="H254" s="7">
        <v>0</v>
      </c>
      <c r="I254" s="7">
        <v>0</v>
      </c>
      <c r="J254" s="7">
        <v>0</v>
      </c>
      <c r="K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0</v>
      </c>
      <c r="AF254" s="7">
        <v>0</v>
      </c>
      <c r="AG254" s="7">
        <v>0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  <c r="AO254" s="7">
        <v>0</v>
      </c>
      <c r="AP254" s="7">
        <v>0</v>
      </c>
      <c r="AQ254" s="7">
        <v>0</v>
      </c>
      <c r="AR254" s="7">
        <v>0</v>
      </c>
      <c r="AS254" s="7">
        <v>0</v>
      </c>
      <c r="AT254" s="7">
        <v>0</v>
      </c>
      <c r="AU254" s="7">
        <v>0</v>
      </c>
      <c r="AV254" s="7">
        <v>0</v>
      </c>
      <c r="AW254" s="7">
        <v>0</v>
      </c>
      <c r="AX254" s="7">
        <v>0</v>
      </c>
      <c r="AY254" s="7">
        <v>0</v>
      </c>
      <c r="AZ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  <c r="BF254" s="7">
        <v>0</v>
      </c>
      <c r="BG254" s="7">
        <v>0</v>
      </c>
      <c r="BH254" s="7">
        <v>0</v>
      </c>
      <c r="BI254" s="7">
        <v>0</v>
      </c>
      <c r="BJ254" s="7">
        <v>0</v>
      </c>
      <c r="BK254" s="7">
        <v>0</v>
      </c>
      <c r="BL254" s="7">
        <v>0</v>
      </c>
      <c r="BM254" s="7">
        <v>0</v>
      </c>
      <c r="BN254" s="7">
        <v>0</v>
      </c>
      <c r="BO254" s="7">
        <v>0</v>
      </c>
      <c r="BP254" s="7">
        <v>0</v>
      </c>
      <c r="BQ254" s="7">
        <v>0</v>
      </c>
      <c r="BR254" s="21"/>
    </row>
    <row r="255" spans="1:70" ht="15.75" x14ac:dyDescent="0.25">
      <c r="A255" s="5" t="s">
        <v>455</v>
      </c>
      <c r="B255" s="5" t="s">
        <v>456</v>
      </c>
      <c r="C255" s="7">
        <v>6</v>
      </c>
      <c r="D255" s="7">
        <v>6</v>
      </c>
      <c r="E255" s="7">
        <v>0</v>
      </c>
      <c r="F255" s="7">
        <v>0</v>
      </c>
      <c r="G255" s="7">
        <v>0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  <c r="AO255" s="7">
        <v>0</v>
      </c>
      <c r="AP255" s="7">
        <v>0</v>
      </c>
      <c r="AQ255" s="7">
        <v>0</v>
      </c>
      <c r="AR255" s="7">
        <v>0</v>
      </c>
      <c r="AS255" s="7">
        <v>0</v>
      </c>
      <c r="AT255" s="7">
        <v>0</v>
      </c>
      <c r="AU255" s="7">
        <v>0</v>
      </c>
      <c r="AV255" s="7">
        <v>0</v>
      </c>
      <c r="AW255" s="7">
        <v>0</v>
      </c>
      <c r="AX255" s="7">
        <v>0</v>
      </c>
      <c r="AY255" s="7">
        <v>0</v>
      </c>
      <c r="AZ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F255" s="7">
        <v>0</v>
      </c>
      <c r="BG255" s="7">
        <v>0</v>
      </c>
      <c r="BH255" s="7">
        <v>0</v>
      </c>
      <c r="BI255" s="7">
        <v>0</v>
      </c>
      <c r="BJ255" s="7">
        <v>0</v>
      </c>
      <c r="BK255" s="7">
        <v>0</v>
      </c>
      <c r="BL255" s="7">
        <v>0</v>
      </c>
      <c r="BM255" s="7">
        <v>0</v>
      </c>
      <c r="BN255" s="7">
        <v>0</v>
      </c>
      <c r="BO255" s="7">
        <v>0</v>
      </c>
      <c r="BP255" s="7">
        <v>0</v>
      </c>
      <c r="BQ255" s="7">
        <v>0</v>
      </c>
      <c r="BR255" s="21"/>
    </row>
    <row r="256" spans="1:70" ht="15.75" x14ac:dyDescent="0.25">
      <c r="A256" s="5" t="s">
        <v>457</v>
      </c>
      <c r="B256" s="5" t="s">
        <v>458</v>
      </c>
      <c r="C256" s="7">
        <v>6</v>
      </c>
      <c r="D256" s="7">
        <v>6</v>
      </c>
      <c r="E256" s="7">
        <v>0</v>
      </c>
      <c r="F256" s="7">
        <v>0</v>
      </c>
      <c r="G256" s="7">
        <v>0</v>
      </c>
      <c r="H256" s="7">
        <v>0</v>
      </c>
      <c r="I256" s="7">
        <v>0</v>
      </c>
      <c r="J256" s="7">
        <v>0</v>
      </c>
      <c r="K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  <c r="AE256" s="7">
        <v>0</v>
      </c>
      <c r="AF256" s="7">
        <v>0</v>
      </c>
      <c r="AG256" s="7">
        <v>0</v>
      </c>
      <c r="AH256" s="7">
        <v>0</v>
      </c>
      <c r="AI256" s="7">
        <v>0</v>
      </c>
      <c r="AJ256" s="7">
        <v>0</v>
      </c>
      <c r="AK256" s="7">
        <v>0</v>
      </c>
      <c r="AL256" s="7">
        <v>0</v>
      </c>
      <c r="AM256" s="7">
        <v>0</v>
      </c>
      <c r="AN256" s="7">
        <v>0</v>
      </c>
      <c r="AO256" s="7">
        <v>0</v>
      </c>
      <c r="AP256" s="7">
        <v>0</v>
      </c>
      <c r="AQ256" s="7">
        <v>0</v>
      </c>
      <c r="AR256" s="7">
        <v>0</v>
      </c>
      <c r="AS256" s="7">
        <v>0</v>
      </c>
      <c r="AT256" s="7">
        <v>0</v>
      </c>
      <c r="AU256" s="7">
        <v>0</v>
      </c>
      <c r="AV256" s="7">
        <v>0</v>
      </c>
      <c r="AW256" s="7">
        <v>0</v>
      </c>
      <c r="AX256" s="7">
        <v>0</v>
      </c>
      <c r="AY256" s="7">
        <v>0</v>
      </c>
      <c r="AZ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F256" s="7">
        <v>0</v>
      </c>
      <c r="BG256" s="7">
        <v>0</v>
      </c>
      <c r="BH256" s="7">
        <v>0</v>
      </c>
      <c r="BI256" s="7">
        <v>0</v>
      </c>
      <c r="BJ256" s="7">
        <v>0</v>
      </c>
      <c r="BK256" s="7">
        <v>0</v>
      </c>
      <c r="BL256" s="7">
        <v>0</v>
      </c>
      <c r="BM256" s="7">
        <v>0</v>
      </c>
      <c r="BN256" s="7">
        <v>0</v>
      </c>
      <c r="BO256" s="7">
        <v>0</v>
      </c>
      <c r="BP256" s="7">
        <v>0</v>
      </c>
      <c r="BQ256" s="7">
        <v>0</v>
      </c>
      <c r="BR256" s="21"/>
    </row>
    <row r="257" spans="1:70" ht="15.75" x14ac:dyDescent="0.25">
      <c r="A257" s="5" t="s">
        <v>459</v>
      </c>
      <c r="B257" s="5" t="s">
        <v>460</v>
      </c>
      <c r="C257" s="7">
        <v>6</v>
      </c>
      <c r="D257" s="7">
        <v>6</v>
      </c>
      <c r="E257" s="7">
        <v>0</v>
      </c>
      <c r="F257" s="7">
        <v>0</v>
      </c>
      <c r="G257" s="7">
        <v>0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4016.8980000000001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7">
        <v>0</v>
      </c>
      <c r="AK257" s="7">
        <v>0</v>
      </c>
      <c r="AL257" s="7">
        <v>0</v>
      </c>
      <c r="AM257" s="7">
        <v>0</v>
      </c>
      <c r="AN257" s="7">
        <v>0</v>
      </c>
      <c r="AO257" s="7">
        <v>0</v>
      </c>
      <c r="AP257" s="7">
        <v>0</v>
      </c>
      <c r="AQ257" s="7">
        <v>0</v>
      </c>
      <c r="AR257" s="7">
        <v>0</v>
      </c>
      <c r="AS257" s="7">
        <v>0</v>
      </c>
      <c r="AT257" s="7">
        <v>0</v>
      </c>
      <c r="AU257" s="7">
        <v>0</v>
      </c>
      <c r="AV257" s="7">
        <v>0</v>
      </c>
      <c r="AW257" s="7">
        <v>0</v>
      </c>
      <c r="AX257" s="7">
        <v>0</v>
      </c>
      <c r="AY257" s="7">
        <v>0</v>
      </c>
      <c r="AZ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F257" s="7">
        <v>0</v>
      </c>
      <c r="BG257" s="7">
        <v>0</v>
      </c>
      <c r="BH257" s="7">
        <v>0</v>
      </c>
      <c r="BI257" s="7">
        <v>0</v>
      </c>
      <c r="BJ257" s="7">
        <v>0</v>
      </c>
      <c r="BK257" s="7">
        <v>0</v>
      </c>
      <c r="BL257" s="7">
        <v>0</v>
      </c>
      <c r="BM257" s="7">
        <v>0</v>
      </c>
      <c r="BN257" s="7">
        <v>0</v>
      </c>
      <c r="BO257" s="7">
        <v>0</v>
      </c>
      <c r="BP257" s="7">
        <v>0</v>
      </c>
      <c r="BQ257" s="7">
        <v>0</v>
      </c>
      <c r="BR257" s="21"/>
    </row>
    <row r="258" spans="1:70" ht="15.75" x14ac:dyDescent="0.25">
      <c r="A258" s="5" t="s">
        <v>461</v>
      </c>
      <c r="B258" s="5" t="s">
        <v>462</v>
      </c>
      <c r="C258" s="7">
        <v>6</v>
      </c>
      <c r="D258" s="7">
        <v>6</v>
      </c>
      <c r="E258" s="7">
        <v>0</v>
      </c>
      <c r="F258" s="7">
        <v>0</v>
      </c>
      <c r="G258" s="7">
        <v>0</v>
      </c>
      <c r="H258" s="7">
        <v>0</v>
      </c>
      <c r="I258" s="7">
        <v>0</v>
      </c>
      <c r="J258" s="7">
        <v>0</v>
      </c>
      <c r="K258" s="7">
        <v>0</v>
      </c>
      <c r="L258" s="7">
        <v>0</v>
      </c>
      <c r="M258" s="7">
        <v>526.58799999999997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0</v>
      </c>
      <c r="AE258" s="7">
        <v>0</v>
      </c>
      <c r="AF258" s="7">
        <v>0</v>
      </c>
      <c r="AG258" s="7">
        <v>0</v>
      </c>
      <c r="AH258" s="7">
        <v>0</v>
      </c>
      <c r="AI258" s="7">
        <v>413.16899999999998</v>
      </c>
      <c r="AJ258" s="7">
        <v>0</v>
      </c>
      <c r="AK258" s="7">
        <v>0</v>
      </c>
      <c r="AL258" s="7">
        <v>0</v>
      </c>
      <c r="AM258" s="7">
        <v>0</v>
      </c>
      <c r="AN258" s="7">
        <v>0</v>
      </c>
      <c r="AO258" s="7">
        <v>0</v>
      </c>
      <c r="AP258" s="7">
        <v>0</v>
      </c>
      <c r="AQ258" s="7">
        <v>0</v>
      </c>
      <c r="AR258" s="7">
        <v>0</v>
      </c>
      <c r="AS258" s="7">
        <v>0</v>
      </c>
      <c r="AT258" s="7">
        <v>0</v>
      </c>
      <c r="AU258" s="7">
        <v>0</v>
      </c>
      <c r="AV258" s="7">
        <v>0</v>
      </c>
      <c r="AW258" s="7">
        <v>0</v>
      </c>
      <c r="AX258" s="7">
        <v>0</v>
      </c>
      <c r="AY258" s="7">
        <v>0</v>
      </c>
      <c r="AZ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0</v>
      </c>
      <c r="BF258" s="7">
        <v>0</v>
      </c>
      <c r="BG258" s="7">
        <v>0</v>
      </c>
      <c r="BH258" s="7">
        <v>0</v>
      </c>
      <c r="BI258" s="7">
        <v>0</v>
      </c>
      <c r="BJ258" s="7">
        <v>0</v>
      </c>
      <c r="BK258" s="7">
        <v>0</v>
      </c>
      <c r="BL258" s="7">
        <v>0</v>
      </c>
      <c r="BM258" s="7">
        <v>0</v>
      </c>
      <c r="BN258" s="7">
        <v>0</v>
      </c>
      <c r="BO258" s="7">
        <v>0</v>
      </c>
      <c r="BP258" s="7">
        <v>0</v>
      </c>
      <c r="BQ258" s="7">
        <v>0</v>
      </c>
      <c r="BR258" s="21"/>
    </row>
    <row r="259" spans="1:70" ht="15.75" x14ac:dyDescent="0.25">
      <c r="A259" s="5" t="s">
        <v>419</v>
      </c>
      <c r="B259" s="5" t="s">
        <v>463</v>
      </c>
      <c r="C259" s="7">
        <v>6</v>
      </c>
      <c r="D259" s="7">
        <v>6</v>
      </c>
      <c r="E259" s="7">
        <v>0</v>
      </c>
      <c r="F259" s="7">
        <v>0</v>
      </c>
      <c r="G259" s="7">
        <v>0</v>
      </c>
      <c r="H259" s="7">
        <v>0</v>
      </c>
      <c r="I259" s="7">
        <v>7.0000000000000001E-3</v>
      </c>
      <c r="J259" s="7">
        <v>0</v>
      </c>
      <c r="K259" s="7">
        <v>0</v>
      </c>
      <c r="L259" s="7">
        <v>0</v>
      </c>
      <c r="M259" s="7">
        <v>0.04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4.5999999999999999E-2</v>
      </c>
      <c r="AJ259" s="7">
        <v>0</v>
      </c>
      <c r="AK259" s="7">
        <v>0</v>
      </c>
      <c r="AL259" s="7">
        <v>0</v>
      </c>
      <c r="AM259" s="7">
        <v>0</v>
      </c>
      <c r="AN259" s="7">
        <v>0</v>
      </c>
      <c r="AO259" s="7">
        <v>0</v>
      </c>
      <c r="AP259" s="7">
        <v>0</v>
      </c>
      <c r="AQ259" s="7">
        <v>0</v>
      </c>
      <c r="AR259" s="7">
        <v>0</v>
      </c>
      <c r="AS259" s="7">
        <v>0</v>
      </c>
      <c r="AT259" s="7">
        <v>0</v>
      </c>
      <c r="AU259" s="7">
        <v>0</v>
      </c>
      <c r="AV259" s="7">
        <v>0</v>
      </c>
      <c r="AW259" s="7">
        <v>0</v>
      </c>
      <c r="AX259" s="7">
        <v>0</v>
      </c>
      <c r="AY259" s="7">
        <v>0</v>
      </c>
      <c r="AZ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F259" s="7">
        <v>0</v>
      </c>
      <c r="BG259" s="7">
        <v>0</v>
      </c>
      <c r="BH259" s="7">
        <v>0</v>
      </c>
      <c r="BI259" s="7">
        <v>0</v>
      </c>
      <c r="BJ259" s="7">
        <v>0</v>
      </c>
      <c r="BK259" s="7">
        <v>0</v>
      </c>
      <c r="BL259" s="7">
        <v>0</v>
      </c>
      <c r="BM259" s="7">
        <v>0</v>
      </c>
      <c r="BN259" s="7">
        <v>0</v>
      </c>
      <c r="BO259" s="7">
        <v>0</v>
      </c>
      <c r="BP259" s="7">
        <v>0</v>
      </c>
      <c r="BQ259" s="7">
        <v>0</v>
      </c>
      <c r="BR259" s="21"/>
    </row>
    <row r="260" spans="1:70" ht="15.75" x14ac:dyDescent="0.25">
      <c r="A260" s="5" t="s">
        <v>421</v>
      </c>
      <c r="B260" s="5" t="s">
        <v>464</v>
      </c>
      <c r="C260" s="7">
        <v>6</v>
      </c>
      <c r="D260" s="7">
        <v>6</v>
      </c>
      <c r="E260" s="7">
        <v>0</v>
      </c>
      <c r="F260" s="7">
        <v>0</v>
      </c>
      <c r="G260" s="7">
        <v>0</v>
      </c>
      <c r="H260" s="7">
        <v>0</v>
      </c>
      <c r="I260" s="7">
        <v>0</v>
      </c>
      <c r="J260" s="7">
        <v>0</v>
      </c>
      <c r="K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7">
        <v>0</v>
      </c>
      <c r="AE260" s="7">
        <v>0</v>
      </c>
      <c r="AF260" s="7">
        <v>0</v>
      </c>
      <c r="AG260" s="7">
        <v>0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0</v>
      </c>
      <c r="AN260" s="7">
        <v>0</v>
      </c>
      <c r="AO260" s="7">
        <v>0</v>
      </c>
      <c r="AP260" s="7">
        <v>0</v>
      </c>
      <c r="AQ260" s="7">
        <v>0</v>
      </c>
      <c r="AR260" s="7">
        <v>0</v>
      </c>
      <c r="AS260" s="7">
        <v>0</v>
      </c>
      <c r="AT260" s="7">
        <v>0</v>
      </c>
      <c r="AU260" s="7">
        <v>0</v>
      </c>
      <c r="AV260" s="7">
        <v>0</v>
      </c>
      <c r="AW260" s="7">
        <v>0</v>
      </c>
      <c r="AX260" s="7">
        <v>0</v>
      </c>
      <c r="AY260" s="7">
        <v>0</v>
      </c>
      <c r="AZ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F260" s="7">
        <v>0</v>
      </c>
      <c r="BG260" s="7">
        <v>0</v>
      </c>
      <c r="BH260" s="7">
        <v>0</v>
      </c>
      <c r="BI260" s="7">
        <v>0</v>
      </c>
      <c r="BJ260" s="7">
        <v>0</v>
      </c>
      <c r="BK260" s="7">
        <v>0</v>
      </c>
      <c r="BL260" s="7">
        <v>0</v>
      </c>
      <c r="BM260" s="7">
        <v>0</v>
      </c>
      <c r="BN260" s="7">
        <v>0</v>
      </c>
      <c r="BO260" s="7">
        <v>0</v>
      </c>
      <c r="BP260" s="7">
        <v>0</v>
      </c>
      <c r="BQ260" s="7">
        <v>0</v>
      </c>
      <c r="BR260" s="21"/>
    </row>
    <row r="261" spans="1:70" ht="15.75" x14ac:dyDescent="0.25">
      <c r="A261" s="5" t="s">
        <v>423</v>
      </c>
      <c r="B261" s="5" t="s">
        <v>465</v>
      </c>
      <c r="C261" s="7">
        <v>6</v>
      </c>
      <c r="D261" s="7">
        <v>6</v>
      </c>
      <c r="E261" s="7">
        <v>0</v>
      </c>
      <c r="F261" s="7">
        <v>0</v>
      </c>
      <c r="G261" s="7">
        <v>0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7">
        <v>0</v>
      </c>
      <c r="AP261" s="7">
        <v>0</v>
      </c>
      <c r="AQ261" s="7">
        <v>0</v>
      </c>
      <c r="AR261" s="7">
        <v>0</v>
      </c>
      <c r="AS261" s="7">
        <v>0</v>
      </c>
      <c r="AT261" s="7">
        <v>0</v>
      </c>
      <c r="AU261" s="7">
        <v>0</v>
      </c>
      <c r="AV261" s="7">
        <v>0</v>
      </c>
      <c r="AW261" s="7">
        <v>0</v>
      </c>
      <c r="AX261" s="7">
        <v>0</v>
      </c>
      <c r="AY261" s="7">
        <v>0</v>
      </c>
      <c r="AZ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0</v>
      </c>
      <c r="BF261" s="7">
        <v>0</v>
      </c>
      <c r="BG261" s="7">
        <v>0</v>
      </c>
      <c r="BH261" s="7">
        <v>0</v>
      </c>
      <c r="BI261" s="7">
        <v>0</v>
      </c>
      <c r="BJ261" s="7">
        <v>0</v>
      </c>
      <c r="BK261" s="7">
        <v>0</v>
      </c>
      <c r="BL261" s="7">
        <v>0</v>
      </c>
      <c r="BM261" s="7">
        <v>0</v>
      </c>
      <c r="BN261" s="7">
        <v>0</v>
      </c>
      <c r="BO261" s="7">
        <v>0</v>
      </c>
      <c r="BP261" s="7">
        <v>0</v>
      </c>
      <c r="BQ261" s="7">
        <v>0</v>
      </c>
      <c r="BR261" s="21"/>
    </row>
    <row r="262" spans="1:70" ht="15.75" x14ac:dyDescent="0.25">
      <c r="A262" s="5" t="s">
        <v>425</v>
      </c>
      <c r="B262" s="5" t="s">
        <v>466</v>
      </c>
      <c r="C262" s="7">
        <v>6</v>
      </c>
      <c r="D262" s="7">
        <v>6</v>
      </c>
      <c r="E262" s="7">
        <v>0</v>
      </c>
      <c r="F262" s="7">
        <v>0</v>
      </c>
      <c r="G262" s="7">
        <v>0</v>
      </c>
      <c r="H262" s="7">
        <v>0</v>
      </c>
      <c r="I262" s="7">
        <v>0</v>
      </c>
      <c r="J262" s="7">
        <v>0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0</v>
      </c>
      <c r="AF262" s="7">
        <v>0</v>
      </c>
      <c r="AG262" s="7">
        <v>0</v>
      </c>
      <c r="AH262" s="7">
        <v>0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  <c r="AO262" s="7">
        <v>0</v>
      </c>
      <c r="AP262" s="7">
        <v>0</v>
      </c>
      <c r="AQ262" s="7">
        <v>0</v>
      </c>
      <c r="AR262" s="7">
        <v>0</v>
      </c>
      <c r="AS262" s="7">
        <v>0</v>
      </c>
      <c r="AT262" s="7">
        <v>0</v>
      </c>
      <c r="AU262" s="7">
        <v>0</v>
      </c>
      <c r="AV262" s="7">
        <v>0</v>
      </c>
      <c r="AW262" s="7">
        <v>0</v>
      </c>
      <c r="AX262" s="7">
        <v>0</v>
      </c>
      <c r="AY262" s="7">
        <v>0</v>
      </c>
      <c r="AZ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F262" s="7">
        <v>0</v>
      </c>
      <c r="BG262" s="7">
        <v>0</v>
      </c>
      <c r="BH262" s="7">
        <v>0</v>
      </c>
      <c r="BI262" s="7">
        <v>0</v>
      </c>
      <c r="BJ262" s="7">
        <v>0</v>
      </c>
      <c r="BK262" s="7">
        <v>0</v>
      </c>
      <c r="BL262" s="7">
        <v>0</v>
      </c>
      <c r="BM262" s="7">
        <v>0</v>
      </c>
      <c r="BN262" s="7">
        <v>0</v>
      </c>
      <c r="BO262" s="7">
        <v>0</v>
      </c>
      <c r="BP262" s="7">
        <v>0</v>
      </c>
      <c r="BQ262" s="7">
        <v>0</v>
      </c>
      <c r="BR262" s="21"/>
    </row>
    <row r="263" spans="1:70" ht="15.75" x14ac:dyDescent="0.25">
      <c r="A263" s="5" t="s">
        <v>427</v>
      </c>
      <c r="B263" s="5" t="s">
        <v>467</v>
      </c>
      <c r="C263" s="7">
        <v>6</v>
      </c>
      <c r="D263" s="7">
        <v>6</v>
      </c>
      <c r="E263" s="7">
        <v>0</v>
      </c>
      <c r="F263" s="7">
        <v>0</v>
      </c>
      <c r="G263" s="7">
        <v>0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0</v>
      </c>
      <c r="AO263" s="7">
        <v>0</v>
      </c>
      <c r="AP263" s="7">
        <v>0</v>
      </c>
      <c r="AQ263" s="7">
        <v>0</v>
      </c>
      <c r="AR263" s="7">
        <v>0</v>
      </c>
      <c r="AS263" s="7">
        <v>0</v>
      </c>
      <c r="AT263" s="7">
        <v>0</v>
      </c>
      <c r="AU263" s="7">
        <v>0</v>
      </c>
      <c r="AV263" s="7">
        <v>0</v>
      </c>
      <c r="AW263" s="7">
        <v>0</v>
      </c>
      <c r="AX263" s="7">
        <v>0</v>
      </c>
      <c r="AY263" s="7">
        <v>0</v>
      </c>
      <c r="AZ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0</v>
      </c>
      <c r="BF263" s="7">
        <v>0</v>
      </c>
      <c r="BG263" s="7">
        <v>0</v>
      </c>
      <c r="BH263" s="7">
        <v>0</v>
      </c>
      <c r="BI263" s="7">
        <v>0</v>
      </c>
      <c r="BJ263" s="7">
        <v>0</v>
      </c>
      <c r="BK263" s="7">
        <v>0</v>
      </c>
      <c r="BL263" s="7">
        <v>0</v>
      </c>
      <c r="BM263" s="7">
        <v>0</v>
      </c>
      <c r="BN263" s="7">
        <v>0</v>
      </c>
      <c r="BO263" s="7">
        <v>0</v>
      </c>
      <c r="BP263" s="7">
        <v>0</v>
      </c>
      <c r="BQ263" s="7">
        <v>0</v>
      </c>
      <c r="BR263" s="21"/>
    </row>
    <row r="264" spans="1:70" ht="15.75" x14ac:dyDescent="0.25">
      <c r="A264" s="5" t="s">
        <v>429</v>
      </c>
      <c r="B264" s="5" t="s">
        <v>468</v>
      </c>
      <c r="C264" s="7">
        <v>6</v>
      </c>
      <c r="D264" s="7">
        <v>6</v>
      </c>
      <c r="E264" s="7">
        <v>0</v>
      </c>
      <c r="F264" s="7">
        <v>0</v>
      </c>
      <c r="G264" s="7">
        <v>0</v>
      </c>
      <c r="H264" s="7">
        <v>0</v>
      </c>
      <c r="I264" s="7">
        <v>0</v>
      </c>
      <c r="J264" s="7">
        <v>0</v>
      </c>
      <c r="K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7">
        <v>0</v>
      </c>
      <c r="AE264" s="7">
        <v>0</v>
      </c>
      <c r="AF264" s="7">
        <v>0</v>
      </c>
      <c r="AG264" s="7">
        <v>0</v>
      </c>
      <c r="AH264" s="7">
        <v>0</v>
      </c>
      <c r="AI264" s="7">
        <v>0</v>
      </c>
      <c r="AJ264" s="7">
        <v>0</v>
      </c>
      <c r="AK264" s="7">
        <v>0</v>
      </c>
      <c r="AL264" s="7">
        <v>0</v>
      </c>
      <c r="AM264" s="7">
        <v>0</v>
      </c>
      <c r="AN264" s="7">
        <v>0</v>
      </c>
      <c r="AO264" s="7">
        <v>0</v>
      </c>
      <c r="AP264" s="7">
        <v>0</v>
      </c>
      <c r="AQ264" s="7">
        <v>0</v>
      </c>
      <c r="AR264" s="7">
        <v>0</v>
      </c>
      <c r="AS264" s="7">
        <v>0</v>
      </c>
      <c r="AT264" s="7">
        <v>0</v>
      </c>
      <c r="AU264" s="7">
        <v>0</v>
      </c>
      <c r="AV264" s="7">
        <v>0</v>
      </c>
      <c r="AW264" s="7">
        <v>0</v>
      </c>
      <c r="AX264" s="7">
        <v>0</v>
      </c>
      <c r="AY264" s="7">
        <v>0</v>
      </c>
      <c r="AZ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0</v>
      </c>
      <c r="BF264" s="7">
        <v>0</v>
      </c>
      <c r="BG264" s="7">
        <v>0</v>
      </c>
      <c r="BH264" s="7">
        <v>0</v>
      </c>
      <c r="BI264" s="7">
        <v>0</v>
      </c>
      <c r="BJ264" s="7">
        <v>0</v>
      </c>
      <c r="BK264" s="7">
        <v>0</v>
      </c>
      <c r="BL264" s="7">
        <v>0</v>
      </c>
      <c r="BM264" s="7">
        <v>0</v>
      </c>
      <c r="BN264" s="7">
        <v>0</v>
      </c>
      <c r="BO264" s="7">
        <v>0</v>
      </c>
      <c r="BP264" s="7">
        <v>0</v>
      </c>
      <c r="BQ264" s="7">
        <v>0</v>
      </c>
      <c r="BR264" s="21"/>
    </row>
    <row r="265" spans="1:70" ht="15.75" x14ac:dyDescent="0.25">
      <c r="A265" s="5" t="s">
        <v>431</v>
      </c>
      <c r="B265" s="5" t="s">
        <v>469</v>
      </c>
      <c r="C265" s="7">
        <v>6</v>
      </c>
      <c r="D265" s="7">
        <v>6</v>
      </c>
      <c r="E265" s="7">
        <v>0</v>
      </c>
      <c r="F265" s="7">
        <v>0</v>
      </c>
      <c r="G265" s="7">
        <v>0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7">
        <v>0</v>
      </c>
      <c r="AK265" s="7">
        <v>0</v>
      </c>
      <c r="AL265" s="7">
        <v>0</v>
      </c>
      <c r="AM265" s="7">
        <v>0</v>
      </c>
      <c r="AN265" s="7">
        <v>0</v>
      </c>
      <c r="AO265" s="7">
        <v>0</v>
      </c>
      <c r="AP265" s="7">
        <v>0</v>
      </c>
      <c r="AQ265" s="7">
        <v>0</v>
      </c>
      <c r="AR265" s="7">
        <v>0</v>
      </c>
      <c r="AS265" s="7">
        <v>0</v>
      </c>
      <c r="AT265" s="7">
        <v>0</v>
      </c>
      <c r="AU265" s="7">
        <v>0</v>
      </c>
      <c r="AV265" s="7">
        <v>0</v>
      </c>
      <c r="AW265" s="7">
        <v>0</v>
      </c>
      <c r="AX265" s="7">
        <v>0</v>
      </c>
      <c r="AY265" s="7">
        <v>0</v>
      </c>
      <c r="AZ265" s="7">
        <v>0</v>
      </c>
      <c r="BA265" s="7">
        <v>0</v>
      </c>
      <c r="BB265" s="7">
        <v>0</v>
      </c>
      <c r="BC265" s="7">
        <v>0</v>
      </c>
      <c r="BD265" s="7">
        <v>0</v>
      </c>
      <c r="BE265" s="7">
        <v>0</v>
      </c>
      <c r="BF265" s="7">
        <v>0</v>
      </c>
      <c r="BG265" s="7">
        <v>0</v>
      </c>
      <c r="BH265" s="7">
        <v>0</v>
      </c>
      <c r="BI265" s="7">
        <v>0</v>
      </c>
      <c r="BJ265" s="7">
        <v>0</v>
      </c>
      <c r="BK265" s="7">
        <v>0</v>
      </c>
      <c r="BL265" s="7">
        <v>0</v>
      </c>
      <c r="BM265" s="7">
        <v>0</v>
      </c>
      <c r="BN265" s="7">
        <v>0</v>
      </c>
      <c r="BO265" s="7">
        <v>0</v>
      </c>
      <c r="BP265" s="7">
        <v>0</v>
      </c>
      <c r="BQ265" s="7">
        <v>0</v>
      </c>
      <c r="BR265" s="21"/>
    </row>
    <row r="266" spans="1:70" ht="15.75" x14ac:dyDescent="0.25">
      <c r="A266" s="5" t="s">
        <v>433</v>
      </c>
      <c r="B266" s="5" t="s">
        <v>470</v>
      </c>
      <c r="C266" s="7">
        <v>6</v>
      </c>
      <c r="D266" s="7">
        <v>6</v>
      </c>
      <c r="E266" s="7">
        <v>0</v>
      </c>
      <c r="F266" s="7">
        <v>0</v>
      </c>
      <c r="G266" s="7">
        <v>0</v>
      </c>
      <c r="H266" s="7">
        <v>0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7">
        <v>0</v>
      </c>
      <c r="AD266" s="7">
        <v>0</v>
      </c>
      <c r="AE266" s="7">
        <v>0</v>
      </c>
      <c r="AF266" s="7">
        <v>0</v>
      </c>
      <c r="AG266" s="7">
        <v>0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  <c r="AM266" s="7">
        <v>0</v>
      </c>
      <c r="AN266" s="7">
        <v>0</v>
      </c>
      <c r="AO266" s="7">
        <v>0</v>
      </c>
      <c r="AP266" s="7">
        <v>0</v>
      </c>
      <c r="AQ266" s="7">
        <v>0</v>
      </c>
      <c r="AR266" s="7">
        <v>0</v>
      </c>
      <c r="AS266" s="7">
        <v>0</v>
      </c>
      <c r="AT266" s="7">
        <v>0</v>
      </c>
      <c r="AU266" s="7">
        <v>0</v>
      </c>
      <c r="AV266" s="7">
        <v>0</v>
      </c>
      <c r="AW266" s="7">
        <v>0</v>
      </c>
      <c r="AX266" s="7">
        <v>0</v>
      </c>
      <c r="AY266" s="7">
        <v>0</v>
      </c>
      <c r="AZ266" s="7">
        <v>0</v>
      </c>
      <c r="BA266" s="7">
        <v>0</v>
      </c>
      <c r="BB266" s="7">
        <v>0</v>
      </c>
      <c r="BC266" s="7">
        <v>0</v>
      </c>
      <c r="BD266" s="7">
        <v>0</v>
      </c>
      <c r="BE266" s="7">
        <v>0</v>
      </c>
      <c r="BF266" s="7">
        <v>0</v>
      </c>
      <c r="BG266" s="7">
        <v>0</v>
      </c>
      <c r="BH266" s="7">
        <v>0</v>
      </c>
      <c r="BI266" s="7">
        <v>0</v>
      </c>
      <c r="BJ266" s="7">
        <v>0</v>
      </c>
      <c r="BK266" s="7">
        <v>0</v>
      </c>
      <c r="BL266" s="7">
        <v>0</v>
      </c>
      <c r="BM266" s="7">
        <v>0</v>
      </c>
      <c r="BN266" s="7">
        <v>0</v>
      </c>
      <c r="BO266" s="7">
        <v>0</v>
      </c>
      <c r="BP266" s="7">
        <v>0</v>
      </c>
      <c r="BQ266" s="7">
        <v>0</v>
      </c>
      <c r="BR266" s="21"/>
    </row>
    <row r="267" spans="1:70" ht="15.75" x14ac:dyDescent="0.25">
      <c r="A267" s="5" t="s">
        <v>435</v>
      </c>
      <c r="B267" s="5" t="s">
        <v>471</v>
      </c>
      <c r="C267" s="7">
        <v>6</v>
      </c>
      <c r="D267" s="7">
        <v>6</v>
      </c>
      <c r="E267" s="7">
        <v>0</v>
      </c>
      <c r="F267" s="7">
        <v>0</v>
      </c>
      <c r="G267" s="7">
        <v>0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7">
        <v>0</v>
      </c>
      <c r="AP267" s="7">
        <v>0</v>
      </c>
      <c r="AQ267" s="7">
        <v>0</v>
      </c>
      <c r="AR267" s="7">
        <v>0</v>
      </c>
      <c r="AS267" s="7">
        <v>0</v>
      </c>
      <c r="AT267" s="7">
        <v>0</v>
      </c>
      <c r="AU267" s="7">
        <v>0</v>
      </c>
      <c r="AV267" s="7">
        <v>0</v>
      </c>
      <c r="AW267" s="7">
        <v>0</v>
      </c>
      <c r="AX267" s="7">
        <v>0</v>
      </c>
      <c r="AY267" s="7">
        <v>0</v>
      </c>
      <c r="AZ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F267" s="7">
        <v>0</v>
      </c>
      <c r="BG267" s="7">
        <v>0</v>
      </c>
      <c r="BH267" s="7">
        <v>0</v>
      </c>
      <c r="BI267" s="7">
        <v>0</v>
      </c>
      <c r="BJ267" s="7">
        <v>0</v>
      </c>
      <c r="BK267" s="7">
        <v>0</v>
      </c>
      <c r="BL267" s="7">
        <v>0</v>
      </c>
      <c r="BM267" s="7">
        <v>0</v>
      </c>
      <c r="BN267" s="7">
        <v>0</v>
      </c>
      <c r="BO267" s="7">
        <v>0</v>
      </c>
      <c r="BP267" s="7">
        <v>0</v>
      </c>
      <c r="BQ267" s="7">
        <v>0</v>
      </c>
      <c r="BR267" s="21"/>
    </row>
    <row r="268" spans="1:70" ht="15.75" x14ac:dyDescent="0.25">
      <c r="A268" s="5" t="s">
        <v>437</v>
      </c>
      <c r="B268" s="5" t="s">
        <v>472</v>
      </c>
      <c r="C268" s="7">
        <v>6</v>
      </c>
      <c r="D268" s="7">
        <v>6</v>
      </c>
      <c r="E268" s="7">
        <v>0</v>
      </c>
      <c r="F268" s="7">
        <v>0</v>
      </c>
      <c r="G268" s="7">
        <v>0</v>
      </c>
      <c r="H268" s="7">
        <v>0</v>
      </c>
      <c r="I268" s="7">
        <v>0</v>
      </c>
      <c r="J268" s="7">
        <v>0</v>
      </c>
      <c r="K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0</v>
      </c>
      <c r="AD268" s="7">
        <v>0</v>
      </c>
      <c r="AE268" s="7">
        <v>0</v>
      </c>
      <c r="AF268" s="7">
        <v>0</v>
      </c>
      <c r="AG268" s="7">
        <v>0</v>
      </c>
      <c r="AH268" s="7">
        <v>0</v>
      </c>
      <c r="AI268" s="7">
        <v>0</v>
      </c>
      <c r="AJ268" s="7">
        <v>0</v>
      </c>
      <c r="AK268" s="7">
        <v>0</v>
      </c>
      <c r="AL268" s="7">
        <v>0</v>
      </c>
      <c r="AM268" s="7">
        <v>0</v>
      </c>
      <c r="AN268" s="7">
        <v>0</v>
      </c>
      <c r="AO268" s="7">
        <v>0</v>
      </c>
      <c r="AP268" s="7">
        <v>0</v>
      </c>
      <c r="AQ268" s="7">
        <v>0</v>
      </c>
      <c r="AR268" s="7">
        <v>0</v>
      </c>
      <c r="AS268" s="7">
        <v>0</v>
      </c>
      <c r="AT268" s="7">
        <v>0</v>
      </c>
      <c r="AU268" s="7">
        <v>0</v>
      </c>
      <c r="AV268" s="7">
        <v>0</v>
      </c>
      <c r="AW268" s="7">
        <v>0</v>
      </c>
      <c r="AX268" s="7">
        <v>0</v>
      </c>
      <c r="AY268" s="7">
        <v>0</v>
      </c>
      <c r="AZ268" s="7">
        <v>0</v>
      </c>
      <c r="BA268" s="7">
        <v>0</v>
      </c>
      <c r="BB268" s="7">
        <v>0</v>
      </c>
      <c r="BC268" s="7">
        <v>0</v>
      </c>
      <c r="BD268" s="7">
        <v>0</v>
      </c>
      <c r="BE268" s="7">
        <v>0</v>
      </c>
      <c r="BF268" s="7">
        <v>0</v>
      </c>
      <c r="BG268" s="7">
        <v>0</v>
      </c>
      <c r="BH268" s="7">
        <v>0</v>
      </c>
      <c r="BI268" s="7">
        <v>0</v>
      </c>
      <c r="BJ268" s="7">
        <v>0</v>
      </c>
      <c r="BK268" s="7">
        <v>0</v>
      </c>
      <c r="BL268" s="7">
        <v>0</v>
      </c>
      <c r="BM268" s="7">
        <v>0</v>
      </c>
      <c r="BN268" s="7">
        <v>0</v>
      </c>
      <c r="BO268" s="7">
        <v>0</v>
      </c>
      <c r="BP268" s="7">
        <v>0</v>
      </c>
      <c r="BQ268" s="7">
        <v>0</v>
      </c>
      <c r="BR268" s="21"/>
    </row>
    <row r="269" spans="1:70" ht="15.75" x14ac:dyDescent="0.25">
      <c r="A269" s="5" t="s">
        <v>439</v>
      </c>
      <c r="B269" s="5" t="s">
        <v>473</v>
      </c>
      <c r="C269" s="7">
        <v>6</v>
      </c>
      <c r="D269" s="7">
        <v>6</v>
      </c>
      <c r="E269" s="7">
        <v>0</v>
      </c>
      <c r="F269" s="7">
        <v>0</v>
      </c>
      <c r="G269" s="7">
        <v>0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  <c r="AO269" s="7">
        <v>0</v>
      </c>
      <c r="AP269" s="7">
        <v>0</v>
      </c>
      <c r="AQ269" s="7">
        <v>0</v>
      </c>
      <c r="AR269" s="7">
        <v>0</v>
      </c>
      <c r="AS269" s="7">
        <v>0</v>
      </c>
      <c r="AT269" s="7">
        <v>0</v>
      </c>
      <c r="AU269" s="7">
        <v>0</v>
      </c>
      <c r="AV269" s="7">
        <v>0</v>
      </c>
      <c r="AW269" s="7">
        <v>0</v>
      </c>
      <c r="AX269" s="7">
        <v>0</v>
      </c>
      <c r="AY269" s="7">
        <v>0</v>
      </c>
      <c r="AZ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  <c r="BF269" s="7">
        <v>0</v>
      </c>
      <c r="BG269" s="7">
        <v>0</v>
      </c>
      <c r="BH269" s="7">
        <v>0</v>
      </c>
      <c r="BI269" s="7">
        <v>0</v>
      </c>
      <c r="BJ269" s="7">
        <v>0</v>
      </c>
      <c r="BK269" s="7">
        <v>0</v>
      </c>
      <c r="BL269" s="7">
        <v>0</v>
      </c>
      <c r="BM269" s="7">
        <v>0</v>
      </c>
      <c r="BN269" s="7">
        <v>0</v>
      </c>
      <c r="BO269" s="7">
        <v>0</v>
      </c>
      <c r="BP269" s="7">
        <v>0</v>
      </c>
      <c r="BQ269" s="7">
        <v>0</v>
      </c>
      <c r="BR269" s="21"/>
    </row>
    <row r="270" spans="1:70" ht="15.75" x14ac:dyDescent="0.25">
      <c r="A270" s="5" t="s">
        <v>441</v>
      </c>
      <c r="B270" s="5" t="s">
        <v>474</v>
      </c>
      <c r="C270" s="7">
        <v>6</v>
      </c>
      <c r="D270" s="7">
        <v>6</v>
      </c>
      <c r="E270" s="7">
        <v>0</v>
      </c>
      <c r="F270" s="7">
        <v>0</v>
      </c>
      <c r="G270" s="7">
        <v>0</v>
      </c>
      <c r="H270" s="7">
        <v>0</v>
      </c>
      <c r="I270" s="7">
        <v>0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0</v>
      </c>
      <c r="AC270" s="7">
        <v>0</v>
      </c>
      <c r="AD270" s="7">
        <v>0</v>
      </c>
      <c r="AE270" s="7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0</v>
      </c>
      <c r="AL270" s="7">
        <v>0</v>
      </c>
      <c r="AM270" s="7">
        <v>0</v>
      </c>
      <c r="AN270" s="7">
        <v>0</v>
      </c>
      <c r="AO270" s="7">
        <v>0</v>
      </c>
      <c r="AP270" s="7">
        <v>0</v>
      </c>
      <c r="AQ270" s="7">
        <v>0</v>
      </c>
      <c r="AR270" s="7">
        <v>0</v>
      </c>
      <c r="AS270" s="7">
        <v>0</v>
      </c>
      <c r="AT270" s="7">
        <v>0</v>
      </c>
      <c r="AU270" s="7">
        <v>0</v>
      </c>
      <c r="AV270" s="7">
        <v>0</v>
      </c>
      <c r="AW270" s="7">
        <v>0</v>
      </c>
      <c r="AX270" s="7">
        <v>0</v>
      </c>
      <c r="AY270" s="7">
        <v>0</v>
      </c>
      <c r="AZ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F270" s="7">
        <v>0</v>
      </c>
      <c r="BG270" s="7">
        <v>0</v>
      </c>
      <c r="BH270" s="7">
        <v>0</v>
      </c>
      <c r="BI270" s="7">
        <v>0</v>
      </c>
      <c r="BJ270" s="7">
        <v>0</v>
      </c>
      <c r="BK270" s="7">
        <v>0</v>
      </c>
      <c r="BL270" s="7">
        <v>0</v>
      </c>
      <c r="BM270" s="7">
        <v>0</v>
      </c>
      <c r="BN270" s="7">
        <v>0</v>
      </c>
      <c r="BO270" s="7">
        <v>0</v>
      </c>
      <c r="BP270" s="7">
        <v>0</v>
      </c>
      <c r="BQ270" s="7">
        <v>0</v>
      </c>
      <c r="BR270" s="21"/>
    </row>
    <row r="271" spans="1:70" ht="15.75" x14ac:dyDescent="0.25">
      <c r="A271" s="5" t="s">
        <v>443</v>
      </c>
      <c r="B271" s="5" t="s">
        <v>475</v>
      </c>
      <c r="C271" s="7">
        <v>6</v>
      </c>
      <c r="D271" s="7">
        <v>6</v>
      </c>
      <c r="E271" s="7">
        <v>0</v>
      </c>
      <c r="F271" s="7">
        <v>0</v>
      </c>
      <c r="G271" s="7">
        <v>0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0</v>
      </c>
      <c r="AL271" s="7">
        <v>0</v>
      </c>
      <c r="AM271" s="7">
        <v>0</v>
      </c>
      <c r="AN271" s="7">
        <v>0</v>
      </c>
      <c r="AO271" s="7">
        <v>0</v>
      </c>
      <c r="AP271" s="7">
        <v>0</v>
      </c>
      <c r="AQ271" s="7">
        <v>0</v>
      </c>
      <c r="AR271" s="7">
        <v>0</v>
      </c>
      <c r="AS271" s="7">
        <v>0</v>
      </c>
      <c r="AT271" s="7">
        <v>0</v>
      </c>
      <c r="AU271" s="7">
        <v>0</v>
      </c>
      <c r="AV271" s="7">
        <v>0</v>
      </c>
      <c r="AW271" s="7">
        <v>0</v>
      </c>
      <c r="AX271" s="7">
        <v>0</v>
      </c>
      <c r="AY271" s="7">
        <v>0</v>
      </c>
      <c r="AZ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F271" s="7">
        <v>0</v>
      </c>
      <c r="BG271" s="7">
        <v>0</v>
      </c>
      <c r="BH271" s="7">
        <v>0</v>
      </c>
      <c r="BI271" s="7">
        <v>0</v>
      </c>
      <c r="BJ271" s="7">
        <v>0</v>
      </c>
      <c r="BK271" s="7">
        <v>0</v>
      </c>
      <c r="BL271" s="7">
        <v>0</v>
      </c>
      <c r="BM271" s="7">
        <v>0</v>
      </c>
      <c r="BN271" s="7">
        <v>0</v>
      </c>
      <c r="BO271" s="7">
        <v>0</v>
      </c>
      <c r="BP271" s="7">
        <v>0</v>
      </c>
      <c r="BQ271" s="7">
        <v>0</v>
      </c>
      <c r="BR271" s="21"/>
    </row>
    <row r="272" spans="1:70" ht="15.75" x14ac:dyDescent="0.25">
      <c r="A272" s="5" t="s">
        <v>445</v>
      </c>
      <c r="B272" s="5" t="s">
        <v>476</v>
      </c>
      <c r="C272" s="7">
        <v>6</v>
      </c>
      <c r="D272" s="7">
        <v>6</v>
      </c>
      <c r="E272" s="7">
        <v>0</v>
      </c>
      <c r="F272" s="7">
        <v>0</v>
      </c>
      <c r="G272" s="7">
        <v>0</v>
      </c>
      <c r="H272" s="7">
        <v>0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0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0</v>
      </c>
      <c r="AL272" s="7">
        <v>0</v>
      </c>
      <c r="AM272" s="7">
        <v>0</v>
      </c>
      <c r="AN272" s="7">
        <v>0</v>
      </c>
      <c r="AO272" s="7">
        <v>0</v>
      </c>
      <c r="AP272" s="7">
        <v>0</v>
      </c>
      <c r="AQ272" s="7">
        <v>0</v>
      </c>
      <c r="AR272" s="7">
        <v>0</v>
      </c>
      <c r="AS272" s="7">
        <v>0</v>
      </c>
      <c r="AT272" s="7">
        <v>0</v>
      </c>
      <c r="AU272" s="7">
        <v>0</v>
      </c>
      <c r="AV272" s="7">
        <v>0</v>
      </c>
      <c r="AW272" s="7">
        <v>0</v>
      </c>
      <c r="AX272" s="7">
        <v>0</v>
      </c>
      <c r="AY272" s="7">
        <v>0</v>
      </c>
      <c r="AZ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F272" s="7">
        <v>0</v>
      </c>
      <c r="BG272" s="7">
        <v>0</v>
      </c>
      <c r="BH272" s="7">
        <v>0</v>
      </c>
      <c r="BI272" s="7">
        <v>0</v>
      </c>
      <c r="BJ272" s="7">
        <v>0</v>
      </c>
      <c r="BK272" s="7">
        <v>0</v>
      </c>
      <c r="BL272" s="7">
        <v>0</v>
      </c>
      <c r="BM272" s="7">
        <v>0</v>
      </c>
      <c r="BN272" s="7">
        <v>0</v>
      </c>
      <c r="BO272" s="7">
        <v>0</v>
      </c>
      <c r="BP272" s="7">
        <v>0</v>
      </c>
      <c r="BQ272" s="7">
        <v>0</v>
      </c>
      <c r="BR272" s="21"/>
    </row>
    <row r="273" spans="1:70" ht="15.75" x14ac:dyDescent="0.25">
      <c r="A273" s="5" t="s">
        <v>447</v>
      </c>
      <c r="B273" s="5" t="s">
        <v>477</v>
      </c>
      <c r="C273" s="7">
        <v>6</v>
      </c>
      <c r="D273" s="7">
        <v>6</v>
      </c>
      <c r="E273" s="7">
        <v>0</v>
      </c>
      <c r="F273" s="7">
        <v>0</v>
      </c>
      <c r="G273" s="7">
        <v>0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0</v>
      </c>
      <c r="AL273" s="7">
        <v>0</v>
      </c>
      <c r="AM273" s="7">
        <v>0</v>
      </c>
      <c r="AN273" s="7">
        <v>0</v>
      </c>
      <c r="AO273" s="7">
        <v>0</v>
      </c>
      <c r="AP273" s="7">
        <v>0</v>
      </c>
      <c r="AQ273" s="7">
        <v>0</v>
      </c>
      <c r="AR273" s="7">
        <v>0</v>
      </c>
      <c r="AS273" s="7">
        <v>0</v>
      </c>
      <c r="AT273" s="7">
        <v>0</v>
      </c>
      <c r="AU273" s="7">
        <v>0</v>
      </c>
      <c r="AV273" s="7">
        <v>0</v>
      </c>
      <c r="AW273" s="7">
        <v>0</v>
      </c>
      <c r="AX273" s="7">
        <v>0</v>
      </c>
      <c r="AY273" s="7">
        <v>0</v>
      </c>
      <c r="AZ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F273" s="7">
        <v>0</v>
      </c>
      <c r="BG273" s="7">
        <v>0</v>
      </c>
      <c r="BH273" s="7">
        <v>0</v>
      </c>
      <c r="BI273" s="7">
        <v>0</v>
      </c>
      <c r="BJ273" s="7">
        <v>0</v>
      </c>
      <c r="BK273" s="7">
        <v>0</v>
      </c>
      <c r="BL273" s="7">
        <v>0</v>
      </c>
      <c r="BM273" s="7">
        <v>0</v>
      </c>
      <c r="BN273" s="7">
        <v>0</v>
      </c>
      <c r="BO273" s="7">
        <v>0</v>
      </c>
      <c r="BP273" s="7">
        <v>0</v>
      </c>
      <c r="BQ273" s="7">
        <v>0</v>
      </c>
      <c r="BR273" s="21"/>
    </row>
    <row r="274" spans="1:70" ht="15.75" x14ac:dyDescent="0.25">
      <c r="A274" s="5" t="s">
        <v>449</v>
      </c>
      <c r="B274" s="5" t="s">
        <v>478</v>
      </c>
      <c r="C274" s="7">
        <v>6</v>
      </c>
      <c r="D274" s="7">
        <v>6</v>
      </c>
      <c r="E274" s="7">
        <v>0</v>
      </c>
      <c r="F274" s="7">
        <v>0</v>
      </c>
      <c r="G274" s="7">
        <v>0</v>
      </c>
      <c r="H274" s="7">
        <v>0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7">
        <v>0</v>
      </c>
      <c r="AD274" s="7">
        <v>0</v>
      </c>
      <c r="AE274" s="7">
        <v>0</v>
      </c>
      <c r="AF274" s="7">
        <v>0</v>
      </c>
      <c r="AG274" s="7">
        <v>0</v>
      </c>
      <c r="AH274" s="7">
        <v>0</v>
      </c>
      <c r="AI274" s="7">
        <v>0</v>
      </c>
      <c r="AJ274" s="7">
        <v>0</v>
      </c>
      <c r="AK274" s="7">
        <v>0</v>
      </c>
      <c r="AL274" s="7">
        <v>0</v>
      </c>
      <c r="AM274" s="7">
        <v>0</v>
      </c>
      <c r="AN274" s="7">
        <v>0</v>
      </c>
      <c r="AO274" s="7">
        <v>0</v>
      </c>
      <c r="AP274" s="7">
        <v>0</v>
      </c>
      <c r="AQ274" s="7">
        <v>0</v>
      </c>
      <c r="AR274" s="7">
        <v>0</v>
      </c>
      <c r="AS274" s="7">
        <v>0</v>
      </c>
      <c r="AT274" s="7">
        <v>0</v>
      </c>
      <c r="AU274" s="7">
        <v>0</v>
      </c>
      <c r="AV274" s="7">
        <v>0</v>
      </c>
      <c r="AW274" s="7">
        <v>0</v>
      </c>
      <c r="AX274" s="7">
        <v>0</v>
      </c>
      <c r="AY274" s="7">
        <v>0</v>
      </c>
      <c r="AZ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F274" s="7">
        <v>0</v>
      </c>
      <c r="BG274" s="7">
        <v>0</v>
      </c>
      <c r="BH274" s="7">
        <v>0</v>
      </c>
      <c r="BI274" s="7">
        <v>0</v>
      </c>
      <c r="BJ274" s="7">
        <v>0</v>
      </c>
      <c r="BK274" s="7">
        <v>0</v>
      </c>
      <c r="BL274" s="7">
        <v>0</v>
      </c>
      <c r="BM274" s="7">
        <v>0</v>
      </c>
      <c r="BN274" s="7">
        <v>0</v>
      </c>
      <c r="BO274" s="7">
        <v>0</v>
      </c>
      <c r="BP274" s="7">
        <v>0</v>
      </c>
      <c r="BQ274" s="7">
        <v>0</v>
      </c>
      <c r="BR274" s="21"/>
    </row>
    <row r="275" spans="1:70" ht="15.75" x14ac:dyDescent="0.25">
      <c r="A275" s="5" t="s">
        <v>451</v>
      </c>
      <c r="B275" s="5" t="s">
        <v>479</v>
      </c>
      <c r="C275" s="7">
        <v>6</v>
      </c>
      <c r="D275" s="7">
        <v>6</v>
      </c>
      <c r="E275" s="7">
        <v>0</v>
      </c>
      <c r="F275" s="7">
        <v>0</v>
      </c>
      <c r="G275" s="7">
        <v>0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  <c r="AK275" s="7">
        <v>0</v>
      </c>
      <c r="AL275" s="7">
        <v>0</v>
      </c>
      <c r="AM275" s="7">
        <v>0</v>
      </c>
      <c r="AN275" s="7">
        <v>0</v>
      </c>
      <c r="AO275" s="7">
        <v>0</v>
      </c>
      <c r="AP275" s="7">
        <v>0</v>
      </c>
      <c r="AQ275" s="7">
        <v>0</v>
      </c>
      <c r="AR275" s="7">
        <v>0</v>
      </c>
      <c r="AS275" s="7">
        <v>0</v>
      </c>
      <c r="AT275" s="7">
        <v>0</v>
      </c>
      <c r="AU275" s="7">
        <v>0</v>
      </c>
      <c r="AV275" s="7">
        <v>0</v>
      </c>
      <c r="AW275" s="7">
        <v>0</v>
      </c>
      <c r="AX275" s="7">
        <v>0</v>
      </c>
      <c r="AY275" s="7">
        <v>0</v>
      </c>
      <c r="AZ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F275" s="7">
        <v>0</v>
      </c>
      <c r="BG275" s="7">
        <v>0</v>
      </c>
      <c r="BH275" s="7">
        <v>0</v>
      </c>
      <c r="BI275" s="7">
        <v>0</v>
      </c>
      <c r="BJ275" s="7">
        <v>0</v>
      </c>
      <c r="BK275" s="7">
        <v>0</v>
      </c>
      <c r="BL275" s="7">
        <v>0</v>
      </c>
      <c r="BM275" s="7">
        <v>0</v>
      </c>
      <c r="BN275" s="7">
        <v>0</v>
      </c>
      <c r="BO275" s="7">
        <v>0</v>
      </c>
      <c r="BP275" s="7">
        <v>0</v>
      </c>
      <c r="BQ275" s="7">
        <v>0</v>
      </c>
      <c r="BR275" s="21"/>
    </row>
    <row r="276" spans="1:70" ht="15.75" x14ac:dyDescent="0.25">
      <c r="A276" s="5" t="s">
        <v>453</v>
      </c>
      <c r="B276" s="5" t="s">
        <v>480</v>
      </c>
      <c r="C276" s="7">
        <v>6</v>
      </c>
      <c r="D276" s="7">
        <v>6</v>
      </c>
      <c r="E276" s="7">
        <v>0</v>
      </c>
      <c r="F276" s="7">
        <v>0</v>
      </c>
      <c r="G276" s="7">
        <v>0</v>
      </c>
      <c r="H276" s="7">
        <v>0</v>
      </c>
      <c r="I276" s="7">
        <v>0</v>
      </c>
      <c r="J276" s="7">
        <v>0</v>
      </c>
      <c r="K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  <c r="AI276" s="7">
        <v>0</v>
      </c>
      <c r="AJ276" s="7">
        <v>0</v>
      </c>
      <c r="AK276" s="7">
        <v>0</v>
      </c>
      <c r="AL276" s="7">
        <v>0</v>
      </c>
      <c r="AM276" s="7">
        <v>0</v>
      </c>
      <c r="AN276" s="7">
        <v>0</v>
      </c>
      <c r="AO276" s="7">
        <v>0</v>
      </c>
      <c r="AP276" s="7">
        <v>0</v>
      </c>
      <c r="AQ276" s="7">
        <v>0</v>
      </c>
      <c r="AR276" s="7">
        <v>0</v>
      </c>
      <c r="AS276" s="7">
        <v>0</v>
      </c>
      <c r="AT276" s="7">
        <v>0</v>
      </c>
      <c r="AU276" s="7">
        <v>0</v>
      </c>
      <c r="AV276" s="7">
        <v>0</v>
      </c>
      <c r="AW276" s="7">
        <v>0</v>
      </c>
      <c r="AX276" s="7">
        <v>0</v>
      </c>
      <c r="AY276" s="7">
        <v>0</v>
      </c>
      <c r="AZ276" s="7">
        <v>0</v>
      </c>
      <c r="BA276" s="7">
        <v>0</v>
      </c>
      <c r="BB276" s="7">
        <v>0</v>
      </c>
      <c r="BC276" s="7">
        <v>0</v>
      </c>
      <c r="BD276" s="7">
        <v>0</v>
      </c>
      <c r="BE276" s="7">
        <v>0</v>
      </c>
      <c r="BF276" s="7">
        <v>0</v>
      </c>
      <c r="BG276" s="7">
        <v>0</v>
      </c>
      <c r="BH276" s="7">
        <v>0</v>
      </c>
      <c r="BI276" s="7">
        <v>0</v>
      </c>
      <c r="BJ276" s="7">
        <v>0</v>
      </c>
      <c r="BK276" s="7">
        <v>0</v>
      </c>
      <c r="BL276" s="7">
        <v>0</v>
      </c>
      <c r="BM276" s="7">
        <v>0</v>
      </c>
      <c r="BN276" s="7">
        <v>0</v>
      </c>
      <c r="BO276" s="7">
        <v>0</v>
      </c>
      <c r="BP276" s="7">
        <v>0</v>
      </c>
      <c r="BQ276" s="7">
        <v>0</v>
      </c>
      <c r="BR276" s="21"/>
    </row>
    <row r="277" spans="1:70" ht="15.75" x14ac:dyDescent="0.25">
      <c r="A277" s="5" t="s">
        <v>455</v>
      </c>
      <c r="B277" s="5" t="s">
        <v>481</v>
      </c>
      <c r="C277" s="7">
        <v>6</v>
      </c>
      <c r="D277" s="7">
        <v>6</v>
      </c>
      <c r="E277" s="7">
        <v>0</v>
      </c>
      <c r="F277" s="7">
        <v>0</v>
      </c>
      <c r="G277" s="7">
        <v>0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  <c r="AK277" s="7">
        <v>0</v>
      </c>
      <c r="AL277" s="7">
        <v>0</v>
      </c>
      <c r="AM277" s="7">
        <v>0</v>
      </c>
      <c r="AN277" s="7">
        <v>0</v>
      </c>
      <c r="AO277" s="7">
        <v>0</v>
      </c>
      <c r="AP277" s="7">
        <v>0</v>
      </c>
      <c r="AQ277" s="7">
        <v>0</v>
      </c>
      <c r="AR277" s="7">
        <v>0</v>
      </c>
      <c r="AS277" s="7">
        <v>0</v>
      </c>
      <c r="AT277" s="7">
        <v>0</v>
      </c>
      <c r="AU277" s="7">
        <v>0</v>
      </c>
      <c r="AV277" s="7">
        <v>0</v>
      </c>
      <c r="AW277" s="7">
        <v>0</v>
      </c>
      <c r="AX277" s="7">
        <v>0</v>
      </c>
      <c r="AY277" s="7">
        <v>0</v>
      </c>
      <c r="AZ277" s="7">
        <v>0</v>
      </c>
      <c r="BA277" s="7">
        <v>0</v>
      </c>
      <c r="BB277" s="7">
        <v>0</v>
      </c>
      <c r="BC277" s="7">
        <v>0</v>
      </c>
      <c r="BD277" s="7">
        <v>0</v>
      </c>
      <c r="BE277" s="7">
        <v>0</v>
      </c>
      <c r="BF277" s="7">
        <v>0</v>
      </c>
      <c r="BG277" s="7">
        <v>0</v>
      </c>
      <c r="BH277" s="7">
        <v>0</v>
      </c>
      <c r="BI277" s="7">
        <v>0</v>
      </c>
      <c r="BJ277" s="7">
        <v>0</v>
      </c>
      <c r="BK277" s="7">
        <v>0</v>
      </c>
      <c r="BL277" s="7">
        <v>0</v>
      </c>
      <c r="BM277" s="7">
        <v>0</v>
      </c>
      <c r="BN277" s="7">
        <v>0</v>
      </c>
      <c r="BO277" s="7">
        <v>0</v>
      </c>
      <c r="BP277" s="7">
        <v>0</v>
      </c>
      <c r="BQ277" s="7">
        <v>0</v>
      </c>
      <c r="BR277" s="21"/>
    </row>
    <row r="278" spans="1:70" ht="15.75" x14ac:dyDescent="0.25">
      <c r="A278" s="5" t="s">
        <v>457</v>
      </c>
      <c r="B278" s="5" t="s">
        <v>482</v>
      </c>
      <c r="C278" s="7">
        <v>6</v>
      </c>
      <c r="D278" s="7">
        <v>6</v>
      </c>
      <c r="E278" s="7">
        <v>0</v>
      </c>
      <c r="F278" s="7">
        <v>0</v>
      </c>
      <c r="G278" s="7">
        <v>0</v>
      </c>
      <c r="H278" s="7">
        <v>0</v>
      </c>
      <c r="I278" s="7">
        <v>0</v>
      </c>
      <c r="J278" s="7">
        <v>0</v>
      </c>
      <c r="K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0</v>
      </c>
      <c r="AB278" s="7">
        <v>0</v>
      </c>
      <c r="AC278" s="7">
        <v>0</v>
      </c>
      <c r="AD278" s="7">
        <v>0</v>
      </c>
      <c r="AE278" s="7">
        <v>0</v>
      </c>
      <c r="AF278" s="7">
        <v>0</v>
      </c>
      <c r="AG278" s="7">
        <v>0</v>
      </c>
      <c r="AH278" s="7">
        <v>0</v>
      </c>
      <c r="AI278" s="7">
        <v>0</v>
      </c>
      <c r="AJ278" s="7">
        <v>0</v>
      </c>
      <c r="AK278" s="7">
        <v>0</v>
      </c>
      <c r="AL278" s="7">
        <v>0</v>
      </c>
      <c r="AM278" s="7">
        <v>0</v>
      </c>
      <c r="AN278" s="7">
        <v>0</v>
      </c>
      <c r="AO278" s="7">
        <v>0</v>
      </c>
      <c r="AP278" s="7">
        <v>0</v>
      </c>
      <c r="AQ278" s="7">
        <v>0</v>
      </c>
      <c r="AR278" s="7">
        <v>0</v>
      </c>
      <c r="AS278" s="7">
        <v>0</v>
      </c>
      <c r="AT278" s="7">
        <v>0</v>
      </c>
      <c r="AU278" s="7">
        <v>0</v>
      </c>
      <c r="AV278" s="7">
        <v>0</v>
      </c>
      <c r="AW278" s="7">
        <v>0</v>
      </c>
      <c r="AX278" s="7">
        <v>0</v>
      </c>
      <c r="AY278" s="7">
        <v>0</v>
      </c>
      <c r="AZ278" s="7">
        <v>0</v>
      </c>
      <c r="BA278" s="7">
        <v>0</v>
      </c>
      <c r="BB278" s="7">
        <v>0</v>
      </c>
      <c r="BC278" s="7">
        <v>0</v>
      </c>
      <c r="BD278" s="7">
        <v>0</v>
      </c>
      <c r="BE278" s="7">
        <v>0</v>
      </c>
      <c r="BF278" s="7">
        <v>0</v>
      </c>
      <c r="BG278" s="7">
        <v>0</v>
      </c>
      <c r="BH278" s="7">
        <v>0</v>
      </c>
      <c r="BI278" s="7">
        <v>0</v>
      </c>
      <c r="BJ278" s="7">
        <v>0</v>
      </c>
      <c r="BK278" s="7">
        <v>0</v>
      </c>
      <c r="BL278" s="7">
        <v>0</v>
      </c>
      <c r="BM278" s="7">
        <v>0</v>
      </c>
      <c r="BN278" s="7">
        <v>0</v>
      </c>
      <c r="BO278" s="7">
        <v>0</v>
      </c>
      <c r="BP278" s="7">
        <v>0</v>
      </c>
      <c r="BQ278" s="7">
        <v>0</v>
      </c>
      <c r="BR278" s="21"/>
    </row>
    <row r="279" spans="1:70" ht="15.75" x14ac:dyDescent="0.25">
      <c r="A279" s="5" t="s">
        <v>459</v>
      </c>
      <c r="B279" s="5" t="s">
        <v>483</v>
      </c>
      <c r="C279" s="7">
        <v>6</v>
      </c>
      <c r="D279" s="7">
        <v>6</v>
      </c>
      <c r="E279" s="7">
        <v>4300.4639999999999</v>
      </c>
      <c r="F279" s="7">
        <v>2628.3429999999998</v>
      </c>
      <c r="G279" s="7">
        <v>183.83</v>
      </c>
      <c r="H279" s="7">
        <v>405.334</v>
      </c>
      <c r="I279" s="7">
        <v>232.596</v>
      </c>
      <c r="J279" s="7">
        <v>1952.2560000000001</v>
      </c>
      <c r="K279" s="7">
        <v>0</v>
      </c>
      <c r="L279" s="7">
        <v>0</v>
      </c>
      <c r="M279" s="7">
        <v>6096.7129999999997</v>
      </c>
      <c r="N279" s="7">
        <v>2932.473</v>
      </c>
      <c r="O279" s="7">
        <v>0</v>
      </c>
      <c r="P279" s="7">
        <v>0</v>
      </c>
      <c r="Q279" s="7">
        <v>8.0000000000000002E-3</v>
      </c>
      <c r="R279" s="7">
        <v>0</v>
      </c>
      <c r="S279" s="7">
        <v>0</v>
      </c>
      <c r="T279" s="7">
        <v>1053.3309999999999</v>
      </c>
      <c r="U279" s="7">
        <v>0</v>
      </c>
      <c r="V279" s="7">
        <v>0</v>
      </c>
      <c r="W279" s="7">
        <v>189.065</v>
      </c>
      <c r="X279" s="7">
        <v>3.476</v>
      </c>
      <c r="Y279" s="7">
        <v>0</v>
      </c>
      <c r="Z279" s="7">
        <v>0.191</v>
      </c>
      <c r="AA279" s="7">
        <v>0</v>
      </c>
      <c r="AB279" s="7">
        <v>4358.2430000000004</v>
      </c>
      <c r="AC279" s="7">
        <v>0</v>
      </c>
      <c r="AD279" s="7">
        <v>461.66800000000001</v>
      </c>
      <c r="AE279" s="7">
        <v>0</v>
      </c>
      <c r="AF279" s="7">
        <v>8.49</v>
      </c>
      <c r="AG279" s="7">
        <v>48.180999999999997</v>
      </c>
      <c r="AH279" s="7">
        <v>0</v>
      </c>
      <c r="AI279" s="7">
        <v>14480.13</v>
      </c>
      <c r="AJ279" s="7">
        <v>3.5999999999999997E-2</v>
      </c>
      <c r="AK279" s="7">
        <v>0</v>
      </c>
      <c r="AL279" s="7">
        <v>0</v>
      </c>
      <c r="AM279" s="7">
        <v>0</v>
      </c>
      <c r="AN279" s="7">
        <v>0</v>
      </c>
      <c r="AO279" s="7">
        <v>0</v>
      </c>
      <c r="AP279" s="7">
        <v>0</v>
      </c>
      <c r="AQ279" s="7">
        <v>161.358</v>
      </c>
      <c r="AR279" s="7">
        <v>0</v>
      </c>
      <c r="AS279" s="7">
        <v>6.7560000000000002</v>
      </c>
      <c r="AT279" s="7">
        <v>0</v>
      </c>
      <c r="AU279" s="7">
        <v>3.6720000000000002</v>
      </c>
      <c r="AV279" s="7">
        <v>0</v>
      </c>
      <c r="AW279" s="7">
        <v>0.5</v>
      </c>
      <c r="AX279" s="7">
        <v>0</v>
      </c>
      <c r="AY279" s="7">
        <v>0</v>
      </c>
      <c r="AZ279" s="7">
        <v>0</v>
      </c>
      <c r="BA279" s="7">
        <v>126.61799999999999</v>
      </c>
      <c r="BB279" s="7">
        <v>0</v>
      </c>
      <c r="BC279" s="7">
        <v>0</v>
      </c>
      <c r="BD279" s="7">
        <v>43.186999999999998</v>
      </c>
      <c r="BE279" s="7">
        <v>109.255</v>
      </c>
      <c r="BF279" s="7">
        <v>0</v>
      </c>
      <c r="BG279" s="7">
        <v>6.5220000000000002</v>
      </c>
      <c r="BH279" s="7">
        <v>6.5220000000000002</v>
      </c>
      <c r="BI279" s="7">
        <v>0</v>
      </c>
      <c r="BJ279" s="7">
        <v>0</v>
      </c>
      <c r="BK279" s="7">
        <v>44.3</v>
      </c>
      <c r="BL279" s="7">
        <v>0</v>
      </c>
      <c r="BM279" s="7">
        <v>0</v>
      </c>
      <c r="BN279" s="7">
        <v>0</v>
      </c>
      <c r="BO279" s="7">
        <v>0</v>
      </c>
      <c r="BP279" s="7">
        <v>0</v>
      </c>
      <c r="BQ279" s="7">
        <v>0</v>
      </c>
      <c r="BR279" s="21"/>
    </row>
    <row r="280" spans="1:70" ht="15.75" x14ac:dyDescent="0.25">
      <c r="A280" s="5" t="s">
        <v>461</v>
      </c>
      <c r="B280" s="5" t="s">
        <v>484</v>
      </c>
      <c r="C280" s="7">
        <v>6</v>
      </c>
      <c r="D280" s="7">
        <v>6</v>
      </c>
      <c r="E280" s="7">
        <v>0</v>
      </c>
      <c r="F280" s="7">
        <v>0</v>
      </c>
      <c r="G280" s="7">
        <v>0</v>
      </c>
      <c r="H280" s="7">
        <v>0</v>
      </c>
      <c r="I280" s="7">
        <v>0</v>
      </c>
      <c r="J280" s="7">
        <v>0</v>
      </c>
      <c r="K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7">
        <v>0</v>
      </c>
      <c r="AB280" s="7">
        <v>0</v>
      </c>
      <c r="AC280" s="7">
        <v>0</v>
      </c>
      <c r="AD280" s="7">
        <v>0</v>
      </c>
      <c r="AE280" s="7">
        <v>0</v>
      </c>
      <c r="AF280" s="7">
        <v>0</v>
      </c>
      <c r="AG280" s="7">
        <v>0</v>
      </c>
      <c r="AH280" s="7">
        <v>0</v>
      </c>
      <c r="AI280" s="7">
        <v>0</v>
      </c>
      <c r="AJ280" s="7">
        <v>0</v>
      </c>
      <c r="AK280" s="7">
        <v>0</v>
      </c>
      <c r="AL280" s="7">
        <v>0</v>
      </c>
      <c r="AM280" s="7">
        <v>0</v>
      </c>
      <c r="AN280" s="7">
        <v>0</v>
      </c>
      <c r="AO280" s="7">
        <v>0</v>
      </c>
      <c r="AP280" s="7">
        <v>0</v>
      </c>
      <c r="AQ280" s="7">
        <v>0</v>
      </c>
      <c r="AR280" s="7">
        <v>0</v>
      </c>
      <c r="AS280" s="7">
        <v>0</v>
      </c>
      <c r="AT280" s="7">
        <v>0</v>
      </c>
      <c r="AU280" s="7">
        <v>0</v>
      </c>
      <c r="AV280" s="7">
        <v>0</v>
      </c>
      <c r="AW280" s="7">
        <v>0</v>
      </c>
      <c r="AX280" s="7">
        <v>0</v>
      </c>
      <c r="AY280" s="7">
        <v>0</v>
      </c>
      <c r="AZ280" s="7">
        <v>0</v>
      </c>
      <c r="BA280" s="7">
        <v>0</v>
      </c>
      <c r="BB280" s="7">
        <v>0</v>
      </c>
      <c r="BC280" s="7">
        <v>0</v>
      </c>
      <c r="BD280" s="7">
        <v>0</v>
      </c>
      <c r="BE280" s="7">
        <v>0</v>
      </c>
      <c r="BF280" s="7">
        <v>0</v>
      </c>
      <c r="BG280" s="7">
        <v>0</v>
      </c>
      <c r="BH280" s="7">
        <v>0</v>
      </c>
      <c r="BI280" s="7">
        <v>0</v>
      </c>
      <c r="BJ280" s="7">
        <v>0</v>
      </c>
      <c r="BK280" s="7">
        <v>0</v>
      </c>
      <c r="BL280" s="7">
        <v>0</v>
      </c>
      <c r="BM280" s="7">
        <v>0</v>
      </c>
      <c r="BN280" s="7">
        <v>0</v>
      </c>
      <c r="BO280" s="7">
        <v>0</v>
      </c>
      <c r="BP280" s="7">
        <v>0</v>
      </c>
      <c r="BQ280" s="7">
        <v>0</v>
      </c>
      <c r="BR280" s="21"/>
    </row>
    <row r="281" spans="1:70" ht="15.75" x14ac:dyDescent="0.25">
      <c r="A281" s="5" t="s">
        <v>485</v>
      </c>
      <c r="B281" s="5" t="s">
        <v>486</v>
      </c>
      <c r="C281" s="7">
        <v>5</v>
      </c>
      <c r="D281" s="7">
        <v>5</v>
      </c>
      <c r="E281" s="7">
        <v>136901.74400000001</v>
      </c>
      <c r="F281" s="7">
        <v>0</v>
      </c>
      <c r="G281" s="7">
        <v>13951.119000000001</v>
      </c>
      <c r="H281" s="7">
        <v>309.64</v>
      </c>
      <c r="I281" s="7">
        <v>0</v>
      </c>
      <c r="J281" s="7">
        <v>23701.046999999999</v>
      </c>
      <c r="K281" s="7">
        <v>0</v>
      </c>
      <c r="L281" s="7">
        <v>6635.0290000000005</v>
      </c>
      <c r="M281" s="7">
        <v>163411.73199999999</v>
      </c>
      <c r="N281" s="7">
        <v>148284.88200000001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2635.6959999999999</v>
      </c>
      <c r="W281" s="7">
        <v>810.94200000000001</v>
      </c>
      <c r="X281" s="7">
        <v>5251.5709999999999</v>
      </c>
      <c r="Y281" s="7">
        <v>0</v>
      </c>
      <c r="Z281" s="7">
        <v>34223.612000000001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84702.093999999997</v>
      </c>
      <c r="AG281" s="7">
        <v>12681.03</v>
      </c>
      <c r="AH281" s="7">
        <v>3514.8850000000002</v>
      </c>
      <c r="AI281" s="7">
        <v>537316.00300000003</v>
      </c>
      <c r="AJ281" s="7">
        <v>137056.58100000001</v>
      </c>
      <c r="AK281" s="7">
        <v>22.82</v>
      </c>
      <c r="AL281" s="7">
        <v>32.72</v>
      </c>
      <c r="AM281" s="7">
        <v>0</v>
      </c>
      <c r="AN281" s="7">
        <v>116.119</v>
      </c>
      <c r="AO281" s="7">
        <v>565.06200000000001</v>
      </c>
      <c r="AP281" s="7">
        <v>634.17600000000004</v>
      </c>
      <c r="AQ281" s="7">
        <v>0</v>
      </c>
      <c r="AR281" s="7">
        <v>0</v>
      </c>
      <c r="AS281" s="7">
        <v>5034.9440000000004</v>
      </c>
      <c r="AT281" s="7">
        <v>0</v>
      </c>
      <c r="AU281" s="7">
        <v>0</v>
      </c>
      <c r="AV281" s="7">
        <v>0</v>
      </c>
      <c r="AW281" s="7">
        <v>0</v>
      </c>
      <c r="AX281" s="7">
        <v>0</v>
      </c>
      <c r="AY281" s="7">
        <v>0</v>
      </c>
      <c r="AZ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F281" s="7">
        <v>0</v>
      </c>
      <c r="BG281" s="7">
        <v>0</v>
      </c>
      <c r="BH281" s="7">
        <v>0</v>
      </c>
      <c r="BI281" s="7">
        <v>0</v>
      </c>
      <c r="BJ281" s="7">
        <v>0</v>
      </c>
      <c r="BK281" s="7">
        <v>0</v>
      </c>
      <c r="BL281" s="7">
        <v>0</v>
      </c>
      <c r="BM281" s="7">
        <v>0</v>
      </c>
      <c r="BN281" s="7">
        <v>0</v>
      </c>
      <c r="BO281" s="7">
        <v>0</v>
      </c>
      <c r="BP281" s="7">
        <v>0</v>
      </c>
      <c r="BQ281" s="7">
        <v>0</v>
      </c>
      <c r="BR281" s="21"/>
    </row>
    <row r="282" spans="1:70" ht="15.75" x14ac:dyDescent="0.25">
      <c r="A282" s="5" t="s">
        <v>487</v>
      </c>
      <c r="B282" s="5" t="s">
        <v>488</v>
      </c>
      <c r="C282" s="7">
        <v>5</v>
      </c>
      <c r="D282" s="7">
        <v>5</v>
      </c>
      <c r="E282" s="7">
        <v>0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v>0</v>
      </c>
      <c r="AE282" s="7">
        <v>0</v>
      </c>
      <c r="AF282" s="7">
        <v>0</v>
      </c>
      <c r="AG282" s="7">
        <v>0</v>
      </c>
      <c r="AH282" s="7">
        <v>0</v>
      </c>
      <c r="AI282" s="7">
        <v>0</v>
      </c>
      <c r="AJ282" s="7">
        <v>0</v>
      </c>
      <c r="AK282" s="7">
        <v>0</v>
      </c>
      <c r="AL282" s="7">
        <v>0</v>
      </c>
      <c r="AM282" s="7">
        <v>0</v>
      </c>
      <c r="AN282" s="7">
        <v>0</v>
      </c>
      <c r="AO282" s="7">
        <v>0</v>
      </c>
      <c r="AP282" s="7">
        <v>0</v>
      </c>
      <c r="AQ282" s="7">
        <v>0</v>
      </c>
      <c r="AR282" s="7">
        <v>0</v>
      </c>
      <c r="AS282" s="7">
        <v>0</v>
      </c>
      <c r="AT282" s="7">
        <v>0</v>
      </c>
      <c r="AU282" s="7">
        <v>0</v>
      </c>
      <c r="AV282" s="7">
        <v>0</v>
      </c>
      <c r="AW282" s="7">
        <v>0</v>
      </c>
      <c r="AX282" s="7">
        <v>0</v>
      </c>
      <c r="AY282" s="7">
        <v>0</v>
      </c>
      <c r="AZ282" s="7">
        <v>0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  <c r="BF282" s="7">
        <v>0</v>
      </c>
      <c r="BG282" s="7">
        <v>0</v>
      </c>
      <c r="BH282" s="7">
        <v>0</v>
      </c>
      <c r="BI282" s="7">
        <v>0</v>
      </c>
      <c r="BJ282" s="7">
        <v>0</v>
      </c>
      <c r="BK282" s="7">
        <v>0</v>
      </c>
      <c r="BL282" s="7">
        <v>0</v>
      </c>
      <c r="BM282" s="7">
        <v>0</v>
      </c>
      <c r="BN282" s="7">
        <v>0</v>
      </c>
      <c r="BO282" s="7">
        <v>0</v>
      </c>
      <c r="BP282" s="7">
        <v>0</v>
      </c>
      <c r="BQ282" s="7">
        <v>0</v>
      </c>
      <c r="BR282" s="21"/>
    </row>
    <row r="283" spans="1:70" ht="15.75" x14ac:dyDescent="0.25">
      <c r="A283" s="5" t="s">
        <v>489</v>
      </c>
      <c r="B283" s="5" t="s">
        <v>490</v>
      </c>
      <c r="C283" s="7">
        <v>5</v>
      </c>
      <c r="D283" s="7">
        <v>5</v>
      </c>
      <c r="E283" s="7">
        <v>16953.666000000001</v>
      </c>
      <c r="F283" s="7">
        <v>1561.89</v>
      </c>
      <c r="G283" s="7">
        <v>2226.4830000000002</v>
      </c>
      <c r="H283" s="7">
        <v>0</v>
      </c>
      <c r="I283" s="7">
        <v>390.32299999999998</v>
      </c>
      <c r="J283" s="7">
        <v>1359.4649999999999</v>
      </c>
      <c r="K283" s="7">
        <v>0</v>
      </c>
      <c r="L283" s="7">
        <v>0</v>
      </c>
      <c r="M283" s="7">
        <v>12420.294</v>
      </c>
      <c r="N283" s="7">
        <v>6063.0309999999999</v>
      </c>
      <c r="O283" s="7">
        <v>0</v>
      </c>
      <c r="P283" s="7">
        <v>0</v>
      </c>
      <c r="Q283" s="7">
        <v>72.578000000000003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195.66300000000001</v>
      </c>
      <c r="X283" s="7">
        <v>600.447</v>
      </c>
      <c r="Y283" s="7">
        <v>0</v>
      </c>
      <c r="Z283" s="7">
        <v>4751.2460000000001</v>
      </c>
      <c r="AA283" s="7">
        <v>0</v>
      </c>
      <c r="AB283" s="7">
        <v>1674.952</v>
      </c>
      <c r="AC283" s="7">
        <v>0</v>
      </c>
      <c r="AD283" s="7">
        <v>251.75899999999999</v>
      </c>
      <c r="AE283" s="7">
        <v>0</v>
      </c>
      <c r="AF283" s="7">
        <v>15149.701999999999</v>
      </c>
      <c r="AG283" s="7">
        <v>0</v>
      </c>
      <c r="AH283" s="7">
        <v>0</v>
      </c>
      <c r="AI283" s="7">
        <v>35606.071000000004</v>
      </c>
      <c r="AJ283" s="7">
        <v>0</v>
      </c>
      <c r="AK283" s="7">
        <v>0</v>
      </c>
      <c r="AL283" s="7">
        <v>0</v>
      </c>
      <c r="AM283" s="7">
        <v>0</v>
      </c>
      <c r="AN283" s="7">
        <v>0</v>
      </c>
      <c r="AO283" s="7">
        <v>0</v>
      </c>
      <c r="AP283" s="7">
        <v>0</v>
      </c>
      <c r="AQ283" s="7">
        <v>0</v>
      </c>
      <c r="AR283" s="7">
        <v>0</v>
      </c>
      <c r="AS283" s="7">
        <v>0</v>
      </c>
      <c r="AT283" s="7">
        <v>0</v>
      </c>
      <c r="AU283" s="7">
        <v>0</v>
      </c>
      <c r="AV283" s="7">
        <v>0</v>
      </c>
      <c r="AW283" s="7">
        <v>0</v>
      </c>
      <c r="AX283" s="7">
        <v>0</v>
      </c>
      <c r="AY283" s="7">
        <v>0</v>
      </c>
      <c r="AZ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  <c r="BF283" s="7">
        <v>0</v>
      </c>
      <c r="BG283" s="7">
        <v>0</v>
      </c>
      <c r="BH283" s="7">
        <v>0</v>
      </c>
      <c r="BI283" s="7">
        <v>0</v>
      </c>
      <c r="BJ283" s="7">
        <v>0</v>
      </c>
      <c r="BK283" s="7">
        <v>0</v>
      </c>
      <c r="BL283" s="7">
        <v>0</v>
      </c>
      <c r="BM283" s="7">
        <v>0</v>
      </c>
      <c r="BN283" s="7">
        <v>0</v>
      </c>
      <c r="BO283" s="7">
        <v>0</v>
      </c>
      <c r="BP283" s="7">
        <v>0</v>
      </c>
      <c r="BQ283" s="7">
        <v>0</v>
      </c>
      <c r="BR283" s="21"/>
    </row>
    <row r="284" spans="1:70" ht="15.75" x14ac:dyDescent="0.25">
      <c r="A284" s="5" t="s">
        <v>491</v>
      </c>
      <c r="B284" s="5" t="s">
        <v>492</v>
      </c>
      <c r="C284" s="7">
        <v>5</v>
      </c>
      <c r="D284" s="7">
        <v>5</v>
      </c>
      <c r="E284" s="7">
        <v>0</v>
      </c>
      <c r="F284" s="7">
        <v>0</v>
      </c>
      <c r="G284" s="7">
        <v>0</v>
      </c>
      <c r="H284" s="7">
        <v>0</v>
      </c>
      <c r="I284" s="7">
        <v>0</v>
      </c>
      <c r="J284" s="7">
        <v>0</v>
      </c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7">
        <v>0</v>
      </c>
      <c r="AC284" s="7">
        <v>0</v>
      </c>
      <c r="AD284" s="7">
        <v>0</v>
      </c>
      <c r="AE284" s="7">
        <v>0</v>
      </c>
      <c r="AF284" s="7">
        <v>0</v>
      </c>
      <c r="AG284" s="7">
        <v>0</v>
      </c>
      <c r="AH284" s="7">
        <v>0</v>
      </c>
      <c r="AI284" s="7">
        <v>0</v>
      </c>
      <c r="AJ284" s="7">
        <v>0</v>
      </c>
      <c r="AK284" s="7">
        <v>0</v>
      </c>
      <c r="AL284" s="7">
        <v>0</v>
      </c>
      <c r="AM284" s="7">
        <v>0</v>
      </c>
      <c r="AN284" s="7">
        <v>0</v>
      </c>
      <c r="AO284" s="7">
        <v>0</v>
      </c>
      <c r="AP284" s="7">
        <v>0</v>
      </c>
      <c r="AQ284" s="7">
        <v>0</v>
      </c>
      <c r="AR284" s="7">
        <v>0</v>
      </c>
      <c r="AS284" s="7">
        <v>0</v>
      </c>
      <c r="AT284" s="7">
        <v>0</v>
      </c>
      <c r="AU284" s="7">
        <v>0</v>
      </c>
      <c r="AV284" s="7">
        <v>0</v>
      </c>
      <c r="AW284" s="7">
        <v>0</v>
      </c>
      <c r="AX284" s="7">
        <v>0</v>
      </c>
      <c r="AY284" s="7">
        <v>0</v>
      </c>
      <c r="AZ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F284" s="7">
        <v>0</v>
      </c>
      <c r="BG284" s="7">
        <v>0</v>
      </c>
      <c r="BH284" s="7">
        <v>0</v>
      </c>
      <c r="BI284" s="7">
        <v>0</v>
      </c>
      <c r="BJ284" s="7">
        <v>0</v>
      </c>
      <c r="BK284" s="7">
        <v>0</v>
      </c>
      <c r="BL284" s="7">
        <v>0</v>
      </c>
      <c r="BM284" s="7">
        <v>0</v>
      </c>
      <c r="BN284" s="7">
        <v>0</v>
      </c>
      <c r="BO284" s="7">
        <v>0</v>
      </c>
      <c r="BP284" s="7">
        <v>0</v>
      </c>
      <c r="BQ284" s="7">
        <v>0</v>
      </c>
      <c r="BR284" s="21"/>
    </row>
    <row r="285" spans="1:70" ht="15.75" x14ac:dyDescent="0.25">
      <c r="A285" s="5" t="s">
        <v>493</v>
      </c>
      <c r="B285" s="5" t="s">
        <v>494</v>
      </c>
      <c r="C285" s="7">
        <v>5</v>
      </c>
      <c r="D285" s="7">
        <v>5</v>
      </c>
      <c r="E285" s="7">
        <v>0</v>
      </c>
      <c r="F285" s="7">
        <v>0</v>
      </c>
      <c r="G285" s="7">
        <v>0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7">
        <v>0</v>
      </c>
      <c r="AK285" s="7">
        <v>0</v>
      </c>
      <c r="AL285" s="7">
        <v>0</v>
      </c>
      <c r="AM285" s="7">
        <v>0</v>
      </c>
      <c r="AN285" s="7">
        <v>0</v>
      </c>
      <c r="AO285" s="7">
        <v>0</v>
      </c>
      <c r="AP285" s="7">
        <v>0</v>
      </c>
      <c r="AQ285" s="7">
        <v>0</v>
      </c>
      <c r="AR285" s="7">
        <v>0</v>
      </c>
      <c r="AS285" s="7">
        <v>0</v>
      </c>
      <c r="AT285" s="7">
        <v>0</v>
      </c>
      <c r="AU285" s="7">
        <v>0</v>
      </c>
      <c r="AV285" s="7">
        <v>0</v>
      </c>
      <c r="AW285" s="7">
        <v>0</v>
      </c>
      <c r="AX285" s="7">
        <v>0</v>
      </c>
      <c r="AY285" s="7">
        <v>0</v>
      </c>
      <c r="AZ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F285" s="7">
        <v>0</v>
      </c>
      <c r="BG285" s="7">
        <v>0</v>
      </c>
      <c r="BH285" s="7">
        <v>0</v>
      </c>
      <c r="BI285" s="7">
        <v>0</v>
      </c>
      <c r="BJ285" s="7">
        <v>0</v>
      </c>
      <c r="BK285" s="7">
        <v>0</v>
      </c>
      <c r="BL285" s="7">
        <v>0</v>
      </c>
      <c r="BM285" s="7">
        <v>0</v>
      </c>
      <c r="BN285" s="7">
        <v>0</v>
      </c>
      <c r="BO285" s="7">
        <v>0</v>
      </c>
      <c r="BP285" s="7">
        <v>0</v>
      </c>
      <c r="BQ285" s="7">
        <v>0</v>
      </c>
      <c r="BR285" s="21"/>
    </row>
    <row r="286" spans="1:70" ht="15.75" x14ac:dyDescent="0.25">
      <c r="A286" s="5" t="s">
        <v>495</v>
      </c>
      <c r="B286" s="5" t="s">
        <v>496</v>
      </c>
      <c r="C286" s="7">
        <v>5</v>
      </c>
      <c r="D286" s="7">
        <v>5</v>
      </c>
      <c r="E286" s="7">
        <v>0</v>
      </c>
      <c r="F286" s="7">
        <v>0</v>
      </c>
      <c r="G286" s="7">
        <v>0</v>
      </c>
      <c r="H286" s="7">
        <v>0</v>
      </c>
      <c r="I286" s="7">
        <v>0</v>
      </c>
      <c r="J286" s="7">
        <v>0</v>
      </c>
      <c r="K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7">
        <v>0</v>
      </c>
      <c r="AA286" s="7">
        <v>0</v>
      </c>
      <c r="AB286" s="7">
        <v>0</v>
      </c>
      <c r="AC286" s="7">
        <v>0</v>
      </c>
      <c r="AD286" s="7">
        <v>0</v>
      </c>
      <c r="AE286" s="7">
        <v>0</v>
      </c>
      <c r="AF286" s="7">
        <v>0</v>
      </c>
      <c r="AG286" s="7">
        <v>0</v>
      </c>
      <c r="AH286" s="7">
        <v>0</v>
      </c>
      <c r="AI286" s="7">
        <v>0</v>
      </c>
      <c r="AJ286" s="7">
        <v>0</v>
      </c>
      <c r="AK286" s="7">
        <v>0</v>
      </c>
      <c r="AL286" s="7">
        <v>0</v>
      </c>
      <c r="AM286" s="7">
        <v>0</v>
      </c>
      <c r="AN286" s="7">
        <v>0</v>
      </c>
      <c r="AO286" s="7">
        <v>0</v>
      </c>
      <c r="AP286" s="7">
        <v>0</v>
      </c>
      <c r="AQ286" s="7">
        <v>0</v>
      </c>
      <c r="AR286" s="7">
        <v>0</v>
      </c>
      <c r="AS286" s="7">
        <v>0</v>
      </c>
      <c r="AT286" s="7">
        <v>0</v>
      </c>
      <c r="AU286" s="7">
        <v>0</v>
      </c>
      <c r="AV286" s="7">
        <v>0</v>
      </c>
      <c r="AW286" s="7">
        <v>0</v>
      </c>
      <c r="AX286" s="7">
        <v>0</v>
      </c>
      <c r="AY286" s="7">
        <v>0</v>
      </c>
      <c r="AZ286" s="7">
        <v>0</v>
      </c>
      <c r="BA286" s="7">
        <v>0</v>
      </c>
      <c r="BB286" s="7">
        <v>0</v>
      </c>
      <c r="BC286" s="7">
        <v>0</v>
      </c>
      <c r="BD286" s="7">
        <v>0</v>
      </c>
      <c r="BE286" s="7">
        <v>0</v>
      </c>
      <c r="BF286" s="7">
        <v>0</v>
      </c>
      <c r="BG286" s="7">
        <v>0</v>
      </c>
      <c r="BH286" s="7">
        <v>0</v>
      </c>
      <c r="BI286" s="7">
        <v>0</v>
      </c>
      <c r="BJ286" s="7">
        <v>0</v>
      </c>
      <c r="BK286" s="7">
        <v>0</v>
      </c>
      <c r="BL286" s="7">
        <v>0</v>
      </c>
      <c r="BM286" s="7">
        <v>0</v>
      </c>
      <c r="BN286" s="7">
        <v>0</v>
      </c>
      <c r="BO286" s="7">
        <v>0</v>
      </c>
      <c r="BP286" s="7">
        <v>0</v>
      </c>
      <c r="BQ286" s="7">
        <v>0</v>
      </c>
      <c r="BR286" s="21"/>
    </row>
    <row r="287" spans="1:70" ht="15.75" x14ac:dyDescent="0.25">
      <c r="A287" s="5" t="s">
        <v>497</v>
      </c>
      <c r="B287" s="5" t="s">
        <v>498</v>
      </c>
      <c r="C287" s="7">
        <v>5</v>
      </c>
      <c r="D287" s="7">
        <v>5</v>
      </c>
      <c r="E287" s="7">
        <v>76592.819000000003</v>
      </c>
      <c r="F287" s="7">
        <v>7345.2460000000001</v>
      </c>
      <c r="G287" s="7">
        <v>11589.053</v>
      </c>
      <c r="H287" s="7">
        <v>0</v>
      </c>
      <c r="I287" s="7">
        <v>1898.5809999999999</v>
      </c>
      <c r="J287" s="7">
        <v>6635.6719999999996</v>
      </c>
      <c r="K287" s="7">
        <v>0</v>
      </c>
      <c r="L287" s="7">
        <v>0</v>
      </c>
      <c r="M287" s="7">
        <v>68731.592000000004</v>
      </c>
      <c r="N287" s="7">
        <v>31593.898000000001</v>
      </c>
      <c r="O287" s="7">
        <v>0</v>
      </c>
      <c r="P287" s="7">
        <v>0</v>
      </c>
      <c r="Q287" s="7">
        <v>379.49299999999999</v>
      </c>
      <c r="R287" s="7">
        <v>0</v>
      </c>
      <c r="S287" s="7">
        <v>0</v>
      </c>
      <c r="T287" s="7">
        <v>0.17699999999999999</v>
      </c>
      <c r="U287" s="7">
        <v>0</v>
      </c>
      <c r="V287" s="7">
        <v>0</v>
      </c>
      <c r="W287" s="7">
        <v>769.87400000000002</v>
      </c>
      <c r="X287" s="7">
        <v>2362.4830000000002</v>
      </c>
      <c r="Y287" s="7">
        <v>0</v>
      </c>
      <c r="Z287" s="7">
        <v>19592.115000000002</v>
      </c>
      <c r="AA287" s="7">
        <v>0</v>
      </c>
      <c r="AB287" s="7">
        <v>6590.33</v>
      </c>
      <c r="AC287" s="7">
        <v>0</v>
      </c>
      <c r="AD287" s="7">
        <v>990.56600000000003</v>
      </c>
      <c r="AE287" s="7">
        <v>0</v>
      </c>
      <c r="AF287" s="7">
        <v>63182.044000000002</v>
      </c>
      <c r="AG287" s="7">
        <v>0</v>
      </c>
      <c r="AH287" s="7">
        <v>0</v>
      </c>
      <c r="AI287" s="7">
        <v>177316.76699999999</v>
      </c>
      <c r="AJ287" s="7">
        <v>0</v>
      </c>
      <c r="AK287" s="7">
        <v>0</v>
      </c>
      <c r="AL287" s="7">
        <v>0</v>
      </c>
      <c r="AM287" s="7">
        <v>0</v>
      </c>
      <c r="AN287" s="7">
        <v>0</v>
      </c>
      <c r="AO287" s="7">
        <v>0</v>
      </c>
      <c r="AP287" s="7">
        <v>0</v>
      </c>
      <c r="AQ287" s="7">
        <v>1.0999999999999999E-2</v>
      </c>
      <c r="AR287" s="7">
        <v>0</v>
      </c>
      <c r="AS287" s="7">
        <v>0</v>
      </c>
      <c r="AT287" s="7">
        <v>0</v>
      </c>
      <c r="AU287" s="7">
        <v>2E-3</v>
      </c>
      <c r="AV287" s="7">
        <v>0</v>
      </c>
      <c r="AW287" s="7">
        <v>4.4999999999999998E-2</v>
      </c>
      <c r="AX287" s="7">
        <v>0</v>
      </c>
      <c r="AY287" s="7">
        <v>0</v>
      </c>
      <c r="AZ287" s="7">
        <v>0</v>
      </c>
      <c r="BA287" s="7">
        <v>0.01</v>
      </c>
      <c r="BB287" s="7">
        <v>0</v>
      </c>
      <c r="BC287" s="7">
        <v>0</v>
      </c>
      <c r="BD287" s="7">
        <v>3.0000000000000001E-3</v>
      </c>
      <c r="BE287" s="7">
        <v>1.2E-2</v>
      </c>
      <c r="BF287" s="7">
        <v>0</v>
      </c>
      <c r="BG287" s="7">
        <v>0</v>
      </c>
      <c r="BH287" s="7">
        <v>0</v>
      </c>
      <c r="BI287" s="7">
        <v>0</v>
      </c>
      <c r="BJ287" s="7">
        <v>0</v>
      </c>
      <c r="BK287" s="7">
        <v>4.0000000000000001E-3</v>
      </c>
      <c r="BL287" s="7">
        <v>0</v>
      </c>
      <c r="BM287" s="7">
        <v>0</v>
      </c>
      <c r="BN287" s="7">
        <v>0</v>
      </c>
      <c r="BO287" s="7">
        <v>0</v>
      </c>
      <c r="BP287" s="7">
        <v>0</v>
      </c>
      <c r="BQ287" s="7">
        <v>0</v>
      </c>
      <c r="BR287" s="21"/>
    </row>
    <row r="288" spans="1:70" ht="15.75" x14ac:dyDescent="0.25">
      <c r="A288" s="5" t="s">
        <v>499</v>
      </c>
      <c r="B288" s="5" t="s">
        <v>500</v>
      </c>
      <c r="C288" s="7">
        <v>5</v>
      </c>
      <c r="D288" s="7">
        <v>5</v>
      </c>
      <c r="E288" s="7">
        <v>189029.63099999999</v>
      </c>
      <c r="F288" s="7">
        <v>18733.217000000001</v>
      </c>
      <c r="G288" s="7">
        <v>28077.037</v>
      </c>
      <c r="H288" s="7">
        <v>14203.913</v>
      </c>
      <c r="I288" s="7">
        <v>4927.9110000000001</v>
      </c>
      <c r="J288" s="7">
        <v>16576.605</v>
      </c>
      <c r="K288" s="7">
        <v>0</v>
      </c>
      <c r="L288" s="7">
        <v>0</v>
      </c>
      <c r="M288" s="7">
        <v>146322.67000000001</v>
      </c>
      <c r="N288" s="7">
        <v>75292.120999999999</v>
      </c>
      <c r="O288" s="7">
        <v>0</v>
      </c>
      <c r="P288" s="7">
        <v>0</v>
      </c>
      <c r="Q288" s="7">
        <v>912.95399999999995</v>
      </c>
      <c r="R288" s="7">
        <v>0</v>
      </c>
      <c r="S288" s="7">
        <v>55.029000000000003</v>
      </c>
      <c r="T288" s="7">
        <v>0</v>
      </c>
      <c r="U288" s="7">
        <v>0</v>
      </c>
      <c r="V288" s="7">
        <v>0</v>
      </c>
      <c r="W288" s="7">
        <v>1997.165</v>
      </c>
      <c r="X288" s="7">
        <v>6214.9309999999996</v>
      </c>
      <c r="Y288" s="7">
        <v>0</v>
      </c>
      <c r="Z288" s="7">
        <v>48841.034</v>
      </c>
      <c r="AA288" s="7">
        <v>0</v>
      </c>
      <c r="AB288" s="7">
        <v>17369.57</v>
      </c>
      <c r="AC288" s="7">
        <v>0</v>
      </c>
      <c r="AD288" s="7">
        <v>2569.7440000000001</v>
      </c>
      <c r="AE288" s="7">
        <v>0</v>
      </c>
      <c r="AF288" s="7">
        <v>156374.318</v>
      </c>
      <c r="AG288" s="7">
        <v>0</v>
      </c>
      <c r="AH288" s="7">
        <v>0</v>
      </c>
      <c r="AI288" s="7">
        <v>393179.00799999997</v>
      </c>
      <c r="AJ288" s="7">
        <v>0</v>
      </c>
      <c r="AK288" s="7">
        <v>0</v>
      </c>
      <c r="AL288" s="7">
        <v>0</v>
      </c>
      <c r="AM288" s="7">
        <v>0</v>
      </c>
      <c r="AN288" s="7">
        <v>0</v>
      </c>
      <c r="AO288" s="7">
        <v>0</v>
      </c>
      <c r="AP288" s="7">
        <v>0</v>
      </c>
      <c r="AQ288" s="7">
        <v>0</v>
      </c>
      <c r="AR288" s="7">
        <v>0</v>
      </c>
      <c r="AS288" s="7">
        <v>0</v>
      </c>
      <c r="AT288" s="7">
        <v>0</v>
      </c>
      <c r="AU288" s="7">
        <v>0</v>
      </c>
      <c r="AV288" s="7">
        <v>0</v>
      </c>
      <c r="AW288" s="7">
        <v>51.203000000000003</v>
      </c>
      <c r="AX288" s="7">
        <v>0</v>
      </c>
      <c r="AY288" s="7">
        <v>0</v>
      </c>
      <c r="AZ288" s="7">
        <v>0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  <c r="BF288" s="7">
        <v>0</v>
      </c>
      <c r="BG288" s="7">
        <v>0</v>
      </c>
      <c r="BH288" s="7">
        <v>0</v>
      </c>
      <c r="BI288" s="7">
        <v>0</v>
      </c>
      <c r="BJ288" s="7">
        <v>0</v>
      </c>
      <c r="BK288" s="7">
        <v>0</v>
      </c>
      <c r="BL288" s="7">
        <v>0</v>
      </c>
      <c r="BM288" s="7">
        <v>0</v>
      </c>
      <c r="BN288" s="7">
        <v>0</v>
      </c>
      <c r="BO288" s="7">
        <v>0</v>
      </c>
      <c r="BP288" s="7">
        <v>0</v>
      </c>
      <c r="BQ288" s="7">
        <v>0</v>
      </c>
      <c r="BR288" s="21"/>
    </row>
    <row r="289" spans="1:70" ht="15.75" x14ac:dyDescent="0.25">
      <c r="A289" s="5" t="s">
        <v>501</v>
      </c>
      <c r="B289" s="5" t="s">
        <v>502</v>
      </c>
      <c r="C289" s="7">
        <v>5</v>
      </c>
      <c r="D289" s="7">
        <v>5</v>
      </c>
      <c r="E289" s="7">
        <v>2088.866</v>
      </c>
      <c r="F289" s="7">
        <v>0</v>
      </c>
      <c r="G289" s="7">
        <v>0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6011.9610000000002</v>
      </c>
      <c r="N289" s="7">
        <v>284.13400000000001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Z289" s="7">
        <v>2386.7420000000002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4881.2790000000005</v>
      </c>
      <c r="AG289" s="7">
        <v>0</v>
      </c>
      <c r="AH289" s="7">
        <v>0</v>
      </c>
      <c r="AI289" s="7">
        <v>12020.606</v>
      </c>
      <c r="AJ289" s="7">
        <v>0</v>
      </c>
      <c r="AK289" s="7">
        <v>0</v>
      </c>
      <c r="AL289" s="7">
        <v>0</v>
      </c>
      <c r="AM289" s="7">
        <v>0</v>
      </c>
      <c r="AN289" s="7">
        <v>0</v>
      </c>
      <c r="AO289" s="7">
        <v>0</v>
      </c>
      <c r="AP289" s="7">
        <v>0</v>
      </c>
      <c r="AQ289" s="7">
        <v>0</v>
      </c>
      <c r="AR289" s="7">
        <v>0</v>
      </c>
      <c r="AS289" s="7">
        <v>0</v>
      </c>
      <c r="AT289" s="7">
        <v>0</v>
      </c>
      <c r="AU289" s="7">
        <v>0</v>
      </c>
      <c r="AV289" s="7">
        <v>0</v>
      </c>
      <c r="AW289" s="7">
        <v>0</v>
      </c>
      <c r="AX289" s="7">
        <v>0</v>
      </c>
      <c r="AY289" s="7">
        <v>0</v>
      </c>
      <c r="AZ289" s="7">
        <v>0</v>
      </c>
      <c r="BA289" s="7">
        <v>0</v>
      </c>
      <c r="BB289" s="7">
        <v>0</v>
      </c>
      <c r="BC289" s="7">
        <v>0</v>
      </c>
      <c r="BD289" s="7">
        <v>0</v>
      </c>
      <c r="BE289" s="7">
        <v>0</v>
      </c>
      <c r="BF289" s="7">
        <v>0</v>
      </c>
      <c r="BG289" s="7">
        <v>0</v>
      </c>
      <c r="BH289" s="7">
        <v>0</v>
      </c>
      <c r="BI289" s="7">
        <v>0</v>
      </c>
      <c r="BJ289" s="7">
        <v>0</v>
      </c>
      <c r="BK289" s="7">
        <v>0</v>
      </c>
      <c r="BL289" s="7">
        <v>0</v>
      </c>
      <c r="BM289" s="7">
        <v>0</v>
      </c>
      <c r="BN289" s="7">
        <v>0</v>
      </c>
      <c r="BO289" s="7">
        <v>0</v>
      </c>
      <c r="BP289" s="7">
        <v>0</v>
      </c>
      <c r="BQ289" s="7">
        <v>0</v>
      </c>
      <c r="BR289" s="21"/>
    </row>
    <row r="290" spans="1:70" ht="15.75" x14ac:dyDescent="0.25">
      <c r="A290" s="5" t="s">
        <v>503</v>
      </c>
      <c r="B290" s="5" t="s">
        <v>504</v>
      </c>
      <c r="C290" s="7">
        <v>5</v>
      </c>
      <c r="D290" s="7">
        <v>5</v>
      </c>
      <c r="E290" s="7">
        <v>42370.144</v>
      </c>
      <c r="F290" s="7">
        <v>3580.7890000000002</v>
      </c>
      <c r="G290" s="7">
        <v>5104.4350000000004</v>
      </c>
      <c r="H290" s="7">
        <v>102.88800000000001</v>
      </c>
      <c r="I290" s="7">
        <v>894.85400000000004</v>
      </c>
      <c r="J290" s="7">
        <v>3116.7089999999998</v>
      </c>
      <c r="K290" s="7">
        <v>0</v>
      </c>
      <c r="L290" s="7">
        <v>0</v>
      </c>
      <c r="M290" s="7">
        <v>35997.646999999997</v>
      </c>
      <c r="N290" s="7">
        <v>15048.246999999999</v>
      </c>
      <c r="O290" s="7">
        <v>0</v>
      </c>
      <c r="P290" s="7">
        <v>0</v>
      </c>
      <c r="Q290" s="7">
        <v>166.39099999999999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448.577</v>
      </c>
      <c r="X290" s="7">
        <v>1376.5840000000001</v>
      </c>
      <c r="Y290" s="7">
        <v>0</v>
      </c>
      <c r="Z290" s="7">
        <v>13657.82</v>
      </c>
      <c r="AA290" s="7">
        <v>0</v>
      </c>
      <c r="AB290" s="7">
        <v>3839.9960000000001</v>
      </c>
      <c r="AC290" s="7">
        <v>0</v>
      </c>
      <c r="AD290" s="7">
        <v>577.18200000000002</v>
      </c>
      <c r="AE290" s="7">
        <v>0</v>
      </c>
      <c r="AF290" s="7">
        <v>40252.593999999997</v>
      </c>
      <c r="AG290" s="7">
        <v>0</v>
      </c>
      <c r="AH290" s="7">
        <v>0</v>
      </c>
      <c r="AI290" s="7">
        <v>94214.849000000002</v>
      </c>
      <c r="AJ290" s="7">
        <v>0</v>
      </c>
      <c r="AK290" s="7">
        <v>0</v>
      </c>
      <c r="AL290" s="7">
        <v>0</v>
      </c>
      <c r="AM290" s="7">
        <v>0</v>
      </c>
      <c r="AN290" s="7">
        <v>0</v>
      </c>
      <c r="AO290" s="7">
        <v>0</v>
      </c>
      <c r="AP290" s="7">
        <v>0</v>
      </c>
      <c r="AQ290" s="7">
        <v>0</v>
      </c>
      <c r="AR290" s="7">
        <v>0</v>
      </c>
      <c r="AS290" s="7">
        <v>0</v>
      </c>
      <c r="AT290" s="7">
        <v>0</v>
      </c>
      <c r="AU290" s="7">
        <v>0</v>
      </c>
      <c r="AV290" s="7">
        <v>0</v>
      </c>
      <c r="AW290" s="7">
        <v>0</v>
      </c>
      <c r="AX290" s="7">
        <v>0</v>
      </c>
      <c r="AY290" s="7">
        <v>0</v>
      </c>
      <c r="AZ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F290" s="7">
        <v>0</v>
      </c>
      <c r="BG290" s="7">
        <v>0</v>
      </c>
      <c r="BH290" s="7">
        <v>0</v>
      </c>
      <c r="BI290" s="7">
        <v>0</v>
      </c>
      <c r="BJ290" s="7">
        <v>0</v>
      </c>
      <c r="BK290" s="7">
        <v>0</v>
      </c>
      <c r="BL290" s="7">
        <v>0</v>
      </c>
      <c r="BM290" s="7">
        <v>0</v>
      </c>
      <c r="BN290" s="7">
        <v>0</v>
      </c>
      <c r="BO290" s="7">
        <v>0</v>
      </c>
      <c r="BP290" s="7">
        <v>0</v>
      </c>
      <c r="BQ290" s="7">
        <v>0</v>
      </c>
      <c r="BR290" s="21"/>
    </row>
    <row r="291" spans="1:70" ht="15.75" x14ac:dyDescent="0.25">
      <c r="A291" s="5" t="s">
        <v>505</v>
      </c>
      <c r="B291" s="5" t="s">
        <v>506</v>
      </c>
      <c r="C291" s="7">
        <v>5</v>
      </c>
      <c r="D291" s="7">
        <v>5</v>
      </c>
      <c r="E291" s="7">
        <v>48842.052000000003</v>
      </c>
      <c r="F291" s="7">
        <v>1156.2650000000001</v>
      </c>
      <c r="G291" s="7">
        <v>1648.2619999999999</v>
      </c>
      <c r="H291" s="7">
        <v>9511.3240000000005</v>
      </c>
      <c r="I291" s="7">
        <v>288.95499999999998</v>
      </c>
      <c r="J291" s="7">
        <v>1006.41</v>
      </c>
      <c r="K291" s="7">
        <v>0</v>
      </c>
      <c r="L291" s="7">
        <v>0</v>
      </c>
      <c r="M291" s="7">
        <v>61128.682999999997</v>
      </c>
      <c r="N291" s="7">
        <v>13528.540999999999</v>
      </c>
      <c r="O291" s="7">
        <v>0</v>
      </c>
      <c r="P291" s="7">
        <v>0</v>
      </c>
      <c r="Q291" s="7">
        <v>53.728999999999999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144.84899999999999</v>
      </c>
      <c r="X291" s="7">
        <v>444.51</v>
      </c>
      <c r="Y291" s="7">
        <v>0</v>
      </c>
      <c r="Z291" s="7">
        <v>16680.888999999999</v>
      </c>
      <c r="AA291" s="7">
        <v>0</v>
      </c>
      <c r="AB291" s="7">
        <v>1239.9649999999999</v>
      </c>
      <c r="AC291" s="7">
        <v>0</v>
      </c>
      <c r="AD291" s="7">
        <v>186.37700000000001</v>
      </c>
      <c r="AE291" s="7">
        <v>0</v>
      </c>
      <c r="AF291" s="7">
        <v>62747.868999999999</v>
      </c>
      <c r="AG291" s="7">
        <v>0</v>
      </c>
      <c r="AH291" s="7">
        <v>0</v>
      </c>
      <c r="AI291" s="7">
        <v>139706.117</v>
      </c>
      <c r="AJ291" s="7">
        <v>0</v>
      </c>
      <c r="AK291" s="7">
        <v>0</v>
      </c>
      <c r="AL291" s="7">
        <v>0</v>
      </c>
      <c r="AM291" s="7">
        <v>0</v>
      </c>
      <c r="AN291" s="7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7">
        <v>0</v>
      </c>
      <c r="AV291" s="7">
        <v>0</v>
      </c>
      <c r="AW291" s="7">
        <v>0</v>
      </c>
      <c r="AX291" s="7">
        <v>0</v>
      </c>
      <c r="AY291" s="7">
        <v>0</v>
      </c>
      <c r="AZ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0</v>
      </c>
      <c r="BF291" s="7">
        <v>0</v>
      </c>
      <c r="BG291" s="7">
        <v>0</v>
      </c>
      <c r="BH291" s="7">
        <v>0</v>
      </c>
      <c r="BI291" s="7">
        <v>0</v>
      </c>
      <c r="BJ291" s="7">
        <v>0</v>
      </c>
      <c r="BK291" s="7">
        <v>0</v>
      </c>
      <c r="BL291" s="7">
        <v>0</v>
      </c>
      <c r="BM291" s="7">
        <v>0</v>
      </c>
      <c r="BN291" s="7">
        <v>0</v>
      </c>
      <c r="BO291" s="7">
        <v>0</v>
      </c>
      <c r="BP291" s="7">
        <v>0</v>
      </c>
      <c r="BQ291" s="7">
        <v>0</v>
      </c>
      <c r="BR291" s="21"/>
    </row>
    <row r="292" spans="1:70" ht="15.75" x14ac:dyDescent="0.25">
      <c r="A292" s="5" t="s">
        <v>507</v>
      </c>
      <c r="B292" s="5" t="s">
        <v>508</v>
      </c>
      <c r="C292" s="7">
        <v>5</v>
      </c>
      <c r="D292" s="7">
        <v>5</v>
      </c>
      <c r="E292" s="7">
        <v>0</v>
      </c>
      <c r="F292" s="7">
        <v>0</v>
      </c>
      <c r="G292" s="7">
        <v>0</v>
      </c>
      <c r="H292" s="7">
        <v>0</v>
      </c>
      <c r="I292" s="7">
        <v>0</v>
      </c>
      <c r="J292" s="7">
        <v>0</v>
      </c>
      <c r="K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  <c r="AB292" s="7">
        <v>0</v>
      </c>
      <c r="AC292" s="7">
        <v>0</v>
      </c>
      <c r="AD292" s="7">
        <v>0</v>
      </c>
      <c r="AE292" s="7">
        <v>0</v>
      </c>
      <c r="AF292" s="7">
        <v>0</v>
      </c>
      <c r="AG292" s="7">
        <v>0</v>
      </c>
      <c r="AH292" s="7">
        <v>0</v>
      </c>
      <c r="AI292" s="7">
        <v>0</v>
      </c>
      <c r="AJ292" s="7">
        <v>0</v>
      </c>
      <c r="AK292" s="7">
        <v>0</v>
      </c>
      <c r="AL292" s="7">
        <v>0</v>
      </c>
      <c r="AM292" s="7">
        <v>0</v>
      </c>
      <c r="AN292" s="7">
        <v>0</v>
      </c>
      <c r="AO292" s="7">
        <v>0</v>
      </c>
      <c r="AP292" s="7">
        <v>0</v>
      </c>
      <c r="AQ292" s="7">
        <v>0</v>
      </c>
      <c r="AR292" s="7">
        <v>0</v>
      </c>
      <c r="AS292" s="7">
        <v>0</v>
      </c>
      <c r="AT292" s="7">
        <v>0</v>
      </c>
      <c r="AU292" s="7">
        <v>0</v>
      </c>
      <c r="AV292" s="7">
        <v>0</v>
      </c>
      <c r="AW292" s="7">
        <v>0</v>
      </c>
      <c r="AX292" s="7">
        <v>0</v>
      </c>
      <c r="AY292" s="7">
        <v>0</v>
      </c>
      <c r="AZ292" s="7">
        <v>0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  <c r="BF292" s="7">
        <v>0</v>
      </c>
      <c r="BG292" s="7">
        <v>0</v>
      </c>
      <c r="BH292" s="7">
        <v>0</v>
      </c>
      <c r="BI292" s="7">
        <v>0</v>
      </c>
      <c r="BJ292" s="7">
        <v>0</v>
      </c>
      <c r="BK292" s="7">
        <v>0</v>
      </c>
      <c r="BL292" s="7">
        <v>0</v>
      </c>
      <c r="BM292" s="7">
        <v>0</v>
      </c>
      <c r="BN292" s="7">
        <v>0</v>
      </c>
      <c r="BO292" s="7">
        <v>0</v>
      </c>
      <c r="BP292" s="7">
        <v>0</v>
      </c>
      <c r="BQ292" s="7">
        <v>0</v>
      </c>
      <c r="BR292" s="21"/>
    </row>
    <row r="293" spans="1:70" ht="15.75" x14ac:dyDescent="0.25">
      <c r="A293" s="5" t="s">
        <v>509</v>
      </c>
      <c r="B293" s="5" t="s">
        <v>510</v>
      </c>
      <c r="C293" s="7">
        <v>5</v>
      </c>
      <c r="D293" s="7">
        <v>5</v>
      </c>
      <c r="E293" s="7">
        <v>0</v>
      </c>
      <c r="F293" s="7">
        <v>0</v>
      </c>
      <c r="G293" s="7">
        <v>0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7">
        <v>0</v>
      </c>
      <c r="AK293" s="7">
        <v>0</v>
      </c>
      <c r="AL293" s="7">
        <v>0</v>
      </c>
      <c r="AM293" s="7">
        <v>0</v>
      </c>
      <c r="AN293" s="7">
        <v>0</v>
      </c>
      <c r="AO293" s="7">
        <v>0</v>
      </c>
      <c r="AP293" s="7">
        <v>0</v>
      </c>
      <c r="AQ293" s="7">
        <v>0</v>
      </c>
      <c r="AR293" s="7">
        <v>0</v>
      </c>
      <c r="AS293" s="7">
        <v>0</v>
      </c>
      <c r="AT293" s="7">
        <v>0</v>
      </c>
      <c r="AU293" s="7">
        <v>0</v>
      </c>
      <c r="AV293" s="7">
        <v>0</v>
      </c>
      <c r="AW293" s="7">
        <v>0</v>
      </c>
      <c r="AX293" s="7">
        <v>0</v>
      </c>
      <c r="AY293" s="7">
        <v>0</v>
      </c>
      <c r="AZ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F293" s="7">
        <v>0</v>
      </c>
      <c r="BG293" s="7">
        <v>0</v>
      </c>
      <c r="BH293" s="7">
        <v>0</v>
      </c>
      <c r="BI293" s="7">
        <v>0</v>
      </c>
      <c r="BJ293" s="7">
        <v>0</v>
      </c>
      <c r="BK293" s="7">
        <v>0</v>
      </c>
      <c r="BL293" s="7">
        <v>0</v>
      </c>
      <c r="BM293" s="7">
        <v>0</v>
      </c>
      <c r="BN293" s="7">
        <v>0</v>
      </c>
      <c r="BO293" s="7">
        <v>0</v>
      </c>
      <c r="BP293" s="7">
        <v>0</v>
      </c>
      <c r="BQ293" s="7">
        <v>0</v>
      </c>
      <c r="BR293" s="21"/>
    </row>
    <row r="294" spans="1:70" ht="15.75" x14ac:dyDescent="0.25">
      <c r="A294" s="5" t="s">
        <v>511</v>
      </c>
      <c r="B294" s="5" t="s">
        <v>512</v>
      </c>
      <c r="C294" s="7">
        <v>5</v>
      </c>
      <c r="D294" s="7">
        <v>5</v>
      </c>
      <c r="E294" s="7">
        <v>218708.557</v>
      </c>
      <c r="F294" s="7">
        <v>17240.025000000001</v>
      </c>
      <c r="G294" s="7">
        <v>24083.032999999999</v>
      </c>
      <c r="H294" s="7">
        <v>0</v>
      </c>
      <c r="I294" s="7">
        <v>3763.81</v>
      </c>
      <c r="J294" s="7">
        <v>15298.455</v>
      </c>
      <c r="K294" s="7">
        <v>0</v>
      </c>
      <c r="L294" s="7">
        <v>0</v>
      </c>
      <c r="M294" s="7">
        <v>144875.182</v>
      </c>
      <c r="N294" s="7">
        <v>65318.97</v>
      </c>
      <c r="O294" s="7">
        <v>0</v>
      </c>
      <c r="P294" s="7">
        <v>0</v>
      </c>
      <c r="Q294" s="7">
        <v>702.17600000000004</v>
      </c>
      <c r="R294" s="7">
        <v>0</v>
      </c>
      <c r="S294" s="7">
        <v>34.499000000000002</v>
      </c>
      <c r="T294" s="7">
        <v>0</v>
      </c>
      <c r="U294" s="7">
        <v>0</v>
      </c>
      <c r="V294" s="7">
        <v>0</v>
      </c>
      <c r="W294" s="7">
        <v>2738.8809999999999</v>
      </c>
      <c r="X294" s="7">
        <v>8464.41</v>
      </c>
      <c r="Y294" s="7">
        <v>0</v>
      </c>
      <c r="Z294" s="7">
        <v>68950.145999999993</v>
      </c>
      <c r="AA294" s="7">
        <v>0</v>
      </c>
      <c r="AB294" s="7">
        <v>25245.830999999998</v>
      </c>
      <c r="AC294" s="7">
        <v>0</v>
      </c>
      <c r="AD294" s="7">
        <v>4058.2750000000001</v>
      </c>
      <c r="AE294" s="7">
        <v>0</v>
      </c>
      <c r="AF294" s="7">
        <v>210725.20600000001</v>
      </c>
      <c r="AG294" s="7">
        <v>0</v>
      </c>
      <c r="AH294" s="7">
        <v>0</v>
      </c>
      <c r="AI294" s="7">
        <v>464848.57900000003</v>
      </c>
      <c r="AJ294" s="7">
        <v>0</v>
      </c>
      <c r="AK294" s="7">
        <v>0</v>
      </c>
      <c r="AL294" s="7">
        <v>0</v>
      </c>
      <c r="AM294" s="7">
        <v>0</v>
      </c>
      <c r="AN294" s="7">
        <v>0</v>
      </c>
      <c r="AO294" s="7">
        <v>0</v>
      </c>
      <c r="AP294" s="7">
        <v>0</v>
      </c>
      <c r="AQ294" s="7">
        <v>0</v>
      </c>
      <c r="AR294" s="7">
        <v>0</v>
      </c>
      <c r="AS294" s="7">
        <v>0</v>
      </c>
      <c r="AT294" s="7">
        <v>0</v>
      </c>
      <c r="AU294" s="7">
        <v>0</v>
      </c>
      <c r="AV294" s="7">
        <v>0</v>
      </c>
      <c r="AW294" s="7">
        <v>0</v>
      </c>
      <c r="AX294" s="7">
        <v>0</v>
      </c>
      <c r="AY294" s="7">
        <v>0</v>
      </c>
      <c r="AZ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F294" s="7">
        <v>0</v>
      </c>
      <c r="BG294" s="7">
        <v>0</v>
      </c>
      <c r="BH294" s="7">
        <v>0</v>
      </c>
      <c r="BI294" s="7">
        <v>0</v>
      </c>
      <c r="BJ294" s="7">
        <v>0</v>
      </c>
      <c r="BK294" s="7">
        <v>0</v>
      </c>
      <c r="BL294" s="7">
        <v>0</v>
      </c>
      <c r="BM294" s="7">
        <v>0</v>
      </c>
      <c r="BN294" s="7">
        <v>0</v>
      </c>
      <c r="BO294" s="7">
        <v>0</v>
      </c>
      <c r="BP294" s="7">
        <v>0</v>
      </c>
      <c r="BQ294" s="7">
        <v>0</v>
      </c>
      <c r="BR294" s="21"/>
    </row>
    <row r="295" spans="1:70" ht="15.75" x14ac:dyDescent="0.25">
      <c r="A295" s="5" t="s">
        <v>513</v>
      </c>
      <c r="B295" s="5" t="s">
        <v>514</v>
      </c>
      <c r="C295" s="7">
        <v>5</v>
      </c>
      <c r="D295" s="7">
        <v>5</v>
      </c>
      <c r="E295" s="7">
        <v>16687.335999999999</v>
      </c>
      <c r="F295" s="7">
        <v>301.70699999999999</v>
      </c>
      <c r="G295" s="7">
        <v>386.25400000000002</v>
      </c>
      <c r="H295" s="7">
        <v>0</v>
      </c>
      <c r="I295" s="7">
        <v>26.957999999999998</v>
      </c>
      <c r="J295" s="7">
        <v>288.649</v>
      </c>
      <c r="K295" s="7">
        <v>0</v>
      </c>
      <c r="L295" s="7">
        <v>0</v>
      </c>
      <c r="M295" s="7">
        <v>22608.300999999999</v>
      </c>
      <c r="N295" s="7">
        <v>4581.5810000000001</v>
      </c>
      <c r="O295" s="7">
        <v>0</v>
      </c>
      <c r="P295" s="7">
        <v>0</v>
      </c>
      <c r="Q295" s="7">
        <v>5.2190000000000003</v>
      </c>
      <c r="R295" s="7">
        <v>0</v>
      </c>
      <c r="S295" s="7">
        <v>3.069</v>
      </c>
      <c r="T295" s="7">
        <v>0</v>
      </c>
      <c r="U295" s="7">
        <v>0</v>
      </c>
      <c r="V295" s="7">
        <v>0</v>
      </c>
      <c r="W295" s="7">
        <v>89.316000000000003</v>
      </c>
      <c r="X295" s="7">
        <v>279.37299999999999</v>
      </c>
      <c r="Y295" s="7">
        <v>0</v>
      </c>
      <c r="Z295" s="7">
        <v>2308.6950000000002</v>
      </c>
      <c r="AA295" s="7">
        <v>0</v>
      </c>
      <c r="AB295" s="7">
        <v>924.69100000000003</v>
      </c>
      <c r="AC295" s="7">
        <v>0</v>
      </c>
      <c r="AD295" s="7">
        <v>162.43899999999999</v>
      </c>
      <c r="AE295" s="7">
        <v>0</v>
      </c>
      <c r="AF295" s="7">
        <v>9002.5020000000004</v>
      </c>
      <c r="AG295" s="7">
        <v>0</v>
      </c>
      <c r="AH295" s="7">
        <v>0</v>
      </c>
      <c r="AI295" s="7">
        <v>25726.972000000002</v>
      </c>
      <c r="AJ295" s="7">
        <v>0</v>
      </c>
      <c r="AK295" s="7">
        <v>0</v>
      </c>
      <c r="AL295" s="7">
        <v>0</v>
      </c>
      <c r="AM295" s="7">
        <v>0</v>
      </c>
      <c r="AN295" s="7">
        <v>0</v>
      </c>
      <c r="AO295" s="7">
        <v>0</v>
      </c>
      <c r="AP295" s="7">
        <v>0</v>
      </c>
      <c r="AQ295" s="7">
        <v>0</v>
      </c>
      <c r="AR295" s="7">
        <v>0</v>
      </c>
      <c r="AS295" s="7">
        <v>0</v>
      </c>
      <c r="AT295" s="7">
        <v>0</v>
      </c>
      <c r="AU295" s="7">
        <v>0</v>
      </c>
      <c r="AV295" s="7">
        <v>0</v>
      </c>
      <c r="AW295" s="7">
        <v>0</v>
      </c>
      <c r="AX295" s="7">
        <v>0</v>
      </c>
      <c r="AY295" s="7">
        <v>0</v>
      </c>
      <c r="AZ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  <c r="BF295" s="7">
        <v>0</v>
      </c>
      <c r="BG295" s="7">
        <v>0</v>
      </c>
      <c r="BH295" s="7">
        <v>0</v>
      </c>
      <c r="BI295" s="7">
        <v>0</v>
      </c>
      <c r="BJ295" s="7">
        <v>0</v>
      </c>
      <c r="BK295" s="7">
        <v>0</v>
      </c>
      <c r="BL295" s="7">
        <v>0</v>
      </c>
      <c r="BM295" s="7">
        <v>0</v>
      </c>
      <c r="BN295" s="7">
        <v>0</v>
      </c>
      <c r="BO295" s="7">
        <v>0</v>
      </c>
      <c r="BP295" s="7">
        <v>0</v>
      </c>
      <c r="BQ295" s="7">
        <v>0</v>
      </c>
      <c r="BR295" s="21"/>
    </row>
    <row r="296" spans="1:70" ht="15.75" x14ac:dyDescent="0.25">
      <c r="A296" s="5" t="s">
        <v>515</v>
      </c>
      <c r="B296" s="5" t="s">
        <v>516</v>
      </c>
      <c r="C296" s="7">
        <v>5</v>
      </c>
      <c r="D296" s="7">
        <v>5</v>
      </c>
      <c r="E296" s="7">
        <v>0</v>
      </c>
      <c r="F296" s="7">
        <v>0</v>
      </c>
      <c r="G296" s="7">
        <v>0</v>
      </c>
      <c r="H296" s="7">
        <v>0</v>
      </c>
      <c r="I296" s="7">
        <v>0</v>
      </c>
      <c r="J296" s="7">
        <v>0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0</v>
      </c>
      <c r="AF296" s="7">
        <v>0</v>
      </c>
      <c r="AG296" s="7">
        <v>0</v>
      </c>
      <c r="AH296" s="7">
        <v>0</v>
      </c>
      <c r="AI296" s="7">
        <v>0</v>
      </c>
      <c r="AJ296" s="7">
        <v>0</v>
      </c>
      <c r="AK296" s="7">
        <v>0</v>
      </c>
      <c r="AL296" s="7">
        <v>0</v>
      </c>
      <c r="AM296" s="7">
        <v>0</v>
      </c>
      <c r="AN296" s="7">
        <v>0</v>
      </c>
      <c r="AO296" s="7">
        <v>0</v>
      </c>
      <c r="AP296" s="7">
        <v>0</v>
      </c>
      <c r="AQ296" s="7">
        <v>0</v>
      </c>
      <c r="AR296" s="7">
        <v>0</v>
      </c>
      <c r="AS296" s="7">
        <v>0</v>
      </c>
      <c r="AT296" s="7">
        <v>0</v>
      </c>
      <c r="AU296" s="7">
        <v>0</v>
      </c>
      <c r="AV296" s="7">
        <v>0</v>
      </c>
      <c r="AW296" s="7">
        <v>0</v>
      </c>
      <c r="AX296" s="7">
        <v>0</v>
      </c>
      <c r="AY296" s="7">
        <v>0</v>
      </c>
      <c r="AZ296" s="7">
        <v>0</v>
      </c>
      <c r="BA296" s="7">
        <v>0</v>
      </c>
      <c r="BB296" s="7">
        <v>0</v>
      </c>
      <c r="BC296" s="7">
        <v>0</v>
      </c>
      <c r="BD296" s="7">
        <v>0</v>
      </c>
      <c r="BE296" s="7">
        <v>0</v>
      </c>
      <c r="BF296" s="7">
        <v>0</v>
      </c>
      <c r="BG296" s="7">
        <v>0</v>
      </c>
      <c r="BH296" s="7">
        <v>0</v>
      </c>
      <c r="BI296" s="7">
        <v>0</v>
      </c>
      <c r="BJ296" s="7">
        <v>0</v>
      </c>
      <c r="BK296" s="7">
        <v>0</v>
      </c>
      <c r="BL296" s="7">
        <v>0</v>
      </c>
      <c r="BM296" s="7">
        <v>0</v>
      </c>
      <c r="BN296" s="7">
        <v>0</v>
      </c>
      <c r="BO296" s="7">
        <v>0</v>
      </c>
      <c r="BP296" s="7">
        <v>0</v>
      </c>
      <c r="BQ296" s="7">
        <v>0</v>
      </c>
      <c r="BR296" s="21"/>
    </row>
    <row r="297" spans="1:70" ht="15.75" x14ac:dyDescent="0.25">
      <c r="A297" s="5" t="s">
        <v>517</v>
      </c>
      <c r="B297" s="5" t="s">
        <v>518</v>
      </c>
      <c r="C297" s="7">
        <v>5</v>
      </c>
      <c r="D297" s="7">
        <v>5</v>
      </c>
      <c r="E297" s="7">
        <v>0</v>
      </c>
      <c r="F297" s="7">
        <v>0</v>
      </c>
      <c r="G297" s="7">
        <v>0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7">
        <v>0</v>
      </c>
      <c r="AK297" s="7">
        <v>0</v>
      </c>
      <c r="AL297" s="7">
        <v>0</v>
      </c>
      <c r="AM297" s="7">
        <v>0</v>
      </c>
      <c r="AN297" s="7">
        <v>0</v>
      </c>
      <c r="AO297" s="7">
        <v>0</v>
      </c>
      <c r="AP297" s="7">
        <v>0</v>
      </c>
      <c r="AQ297" s="7">
        <v>0</v>
      </c>
      <c r="AR297" s="7">
        <v>0</v>
      </c>
      <c r="AS297" s="7">
        <v>0</v>
      </c>
      <c r="AT297" s="7">
        <v>0</v>
      </c>
      <c r="AU297" s="7">
        <v>0</v>
      </c>
      <c r="AV297" s="7">
        <v>0</v>
      </c>
      <c r="AW297" s="7">
        <v>0</v>
      </c>
      <c r="AX297" s="7">
        <v>0</v>
      </c>
      <c r="AY297" s="7">
        <v>0</v>
      </c>
      <c r="AZ297" s="7">
        <v>0</v>
      </c>
      <c r="BA297" s="7">
        <v>0</v>
      </c>
      <c r="BB297" s="7">
        <v>0</v>
      </c>
      <c r="BC297" s="7">
        <v>0</v>
      </c>
      <c r="BD297" s="7">
        <v>0</v>
      </c>
      <c r="BE297" s="7">
        <v>0</v>
      </c>
      <c r="BF297" s="7">
        <v>0</v>
      </c>
      <c r="BG297" s="7">
        <v>0</v>
      </c>
      <c r="BH297" s="7">
        <v>0</v>
      </c>
      <c r="BI297" s="7">
        <v>0</v>
      </c>
      <c r="BJ297" s="7">
        <v>0</v>
      </c>
      <c r="BK297" s="7">
        <v>0</v>
      </c>
      <c r="BL297" s="7">
        <v>0</v>
      </c>
      <c r="BM297" s="7">
        <v>0</v>
      </c>
      <c r="BN297" s="7">
        <v>0</v>
      </c>
      <c r="BO297" s="7">
        <v>0</v>
      </c>
      <c r="BP297" s="7">
        <v>0</v>
      </c>
      <c r="BQ297" s="7">
        <v>0</v>
      </c>
      <c r="BR297" s="21"/>
    </row>
    <row r="298" spans="1:70" ht="15.75" x14ac:dyDescent="0.25">
      <c r="A298" s="5" t="s">
        <v>519</v>
      </c>
      <c r="B298" s="5" t="s">
        <v>520</v>
      </c>
      <c r="C298" s="7">
        <v>5</v>
      </c>
      <c r="D298" s="7">
        <v>5</v>
      </c>
      <c r="E298" s="7">
        <v>0</v>
      </c>
      <c r="F298" s="7">
        <v>0</v>
      </c>
      <c r="G298" s="7">
        <v>0</v>
      </c>
      <c r="H298" s="7">
        <v>0</v>
      </c>
      <c r="I298" s="7">
        <v>0</v>
      </c>
      <c r="J298" s="7">
        <v>0</v>
      </c>
      <c r="K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7">
        <v>0</v>
      </c>
      <c r="AE298" s="7">
        <v>0</v>
      </c>
      <c r="AF298" s="7">
        <v>0</v>
      </c>
      <c r="AG298" s="7">
        <v>0</v>
      </c>
      <c r="AH298" s="7">
        <v>0</v>
      </c>
      <c r="AI298" s="7">
        <v>0</v>
      </c>
      <c r="AJ298" s="7">
        <v>0</v>
      </c>
      <c r="AK298" s="7">
        <v>0</v>
      </c>
      <c r="AL298" s="7">
        <v>0</v>
      </c>
      <c r="AM298" s="7">
        <v>0</v>
      </c>
      <c r="AN298" s="7">
        <v>0</v>
      </c>
      <c r="AO298" s="7">
        <v>0</v>
      </c>
      <c r="AP298" s="7">
        <v>0</v>
      </c>
      <c r="AQ298" s="7">
        <v>0</v>
      </c>
      <c r="AR298" s="7">
        <v>0</v>
      </c>
      <c r="AS298" s="7">
        <v>0</v>
      </c>
      <c r="AT298" s="7">
        <v>0</v>
      </c>
      <c r="AU298" s="7">
        <v>0</v>
      </c>
      <c r="AV298" s="7">
        <v>0</v>
      </c>
      <c r="AW298" s="7">
        <v>0</v>
      </c>
      <c r="AX298" s="7">
        <v>0</v>
      </c>
      <c r="AY298" s="7">
        <v>0</v>
      </c>
      <c r="AZ298" s="7">
        <v>0</v>
      </c>
      <c r="BA298" s="7">
        <v>0</v>
      </c>
      <c r="BB298" s="7">
        <v>0</v>
      </c>
      <c r="BC298" s="7">
        <v>0</v>
      </c>
      <c r="BD298" s="7">
        <v>0</v>
      </c>
      <c r="BE298" s="7">
        <v>0</v>
      </c>
      <c r="BF298" s="7">
        <v>0</v>
      </c>
      <c r="BG298" s="7">
        <v>0</v>
      </c>
      <c r="BH298" s="7">
        <v>0</v>
      </c>
      <c r="BI298" s="7">
        <v>0</v>
      </c>
      <c r="BJ298" s="7">
        <v>0</v>
      </c>
      <c r="BK298" s="7">
        <v>0</v>
      </c>
      <c r="BL298" s="7">
        <v>0</v>
      </c>
      <c r="BM298" s="7">
        <v>0</v>
      </c>
      <c r="BN298" s="7">
        <v>0</v>
      </c>
      <c r="BO298" s="7">
        <v>0</v>
      </c>
      <c r="BP298" s="7">
        <v>0</v>
      </c>
      <c r="BQ298" s="7">
        <v>0</v>
      </c>
      <c r="BR298" s="21"/>
    </row>
    <row r="299" spans="1:70" ht="15.75" x14ac:dyDescent="0.25">
      <c r="A299" s="5" t="s">
        <v>521</v>
      </c>
      <c r="B299" s="5" t="s">
        <v>522</v>
      </c>
      <c r="C299" s="7">
        <v>5</v>
      </c>
      <c r="D299" s="7">
        <v>5</v>
      </c>
      <c r="E299" s="7">
        <v>0</v>
      </c>
      <c r="F299" s="7">
        <v>0</v>
      </c>
      <c r="G299" s="7">
        <v>0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7">
        <v>0</v>
      </c>
      <c r="AK299" s="7">
        <v>0</v>
      </c>
      <c r="AL299" s="7">
        <v>0</v>
      </c>
      <c r="AM299" s="7">
        <v>0</v>
      </c>
      <c r="AN299" s="7">
        <v>0</v>
      </c>
      <c r="AO299" s="7">
        <v>0</v>
      </c>
      <c r="AP299" s="7">
        <v>0</v>
      </c>
      <c r="AQ299" s="7">
        <v>0</v>
      </c>
      <c r="AR299" s="7">
        <v>0</v>
      </c>
      <c r="AS299" s="7">
        <v>0</v>
      </c>
      <c r="AT299" s="7">
        <v>0</v>
      </c>
      <c r="AU299" s="7">
        <v>0</v>
      </c>
      <c r="AV299" s="7">
        <v>0</v>
      </c>
      <c r="AW299" s="7">
        <v>0</v>
      </c>
      <c r="AX299" s="7">
        <v>0</v>
      </c>
      <c r="AY299" s="7">
        <v>0</v>
      </c>
      <c r="AZ299" s="7">
        <v>0</v>
      </c>
      <c r="BA299" s="7">
        <v>0</v>
      </c>
      <c r="BB299" s="7">
        <v>0</v>
      </c>
      <c r="BC299" s="7">
        <v>0</v>
      </c>
      <c r="BD299" s="7">
        <v>0</v>
      </c>
      <c r="BE299" s="7">
        <v>0</v>
      </c>
      <c r="BF299" s="7">
        <v>0</v>
      </c>
      <c r="BG299" s="7">
        <v>0</v>
      </c>
      <c r="BH299" s="7">
        <v>0</v>
      </c>
      <c r="BI299" s="7">
        <v>0</v>
      </c>
      <c r="BJ299" s="7">
        <v>0</v>
      </c>
      <c r="BK299" s="7">
        <v>0</v>
      </c>
      <c r="BL299" s="7">
        <v>0</v>
      </c>
      <c r="BM299" s="7">
        <v>0</v>
      </c>
      <c r="BN299" s="7">
        <v>0</v>
      </c>
      <c r="BO299" s="7">
        <v>0</v>
      </c>
      <c r="BP299" s="7">
        <v>0</v>
      </c>
      <c r="BQ299" s="7">
        <v>0</v>
      </c>
      <c r="BR299" s="21"/>
    </row>
    <row r="300" spans="1:70" ht="15.75" x14ac:dyDescent="0.25">
      <c r="A300" s="5" t="s">
        <v>523</v>
      </c>
      <c r="B300" s="5" t="s">
        <v>524</v>
      </c>
      <c r="C300" s="7">
        <v>5</v>
      </c>
      <c r="D300" s="7">
        <v>5</v>
      </c>
      <c r="E300" s="7">
        <v>0</v>
      </c>
      <c r="F300" s="7">
        <v>0</v>
      </c>
      <c r="G300" s="7">
        <v>0</v>
      </c>
      <c r="H300" s="7">
        <v>0</v>
      </c>
      <c r="I300" s="7">
        <v>0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  <c r="AB300" s="7">
        <v>0</v>
      </c>
      <c r="AC300" s="7">
        <v>0</v>
      </c>
      <c r="AD300" s="7">
        <v>0</v>
      </c>
      <c r="AE300" s="7">
        <v>0</v>
      </c>
      <c r="AF300" s="7">
        <v>0</v>
      </c>
      <c r="AG300" s="7">
        <v>0</v>
      </c>
      <c r="AH300" s="7">
        <v>0</v>
      </c>
      <c r="AI300" s="7">
        <v>0</v>
      </c>
      <c r="AJ300" s="7">
        <v>0</v>
      </c>
      <c r="AK300" s="7">
        <v>0</v>
      </c>
      <c r="AL300" s="7">
        <v>0</v>
      </c>
      <c r="AM300" s="7">
        <v>0</v>
      </c>
      <c r="AN300" s="7">
        <v>0</v>
      </c>
      <c r="AO300" s="7">
        <v>0</v>
      </c>
      <c r="AP300" s="7">
        <v>0</v>
      </c>
      <c r="AQ300" s="7">
        <v>0</v>
      </c>
      <c r="AR300" s="7">
        <v>0</v>
      </c>
      <c r="AS300" s="7">
        <v>0</v>
      </c>
      <c r="AT300" s="7">
        <v>0</v>
      </c>
      <c r="AU300" s="7">
        <v>0</v>
      </c>
      <c r="AV300" s="7">
        <v>0</v>
      </c>
      <c r="AW300" s="7">
        <v>0</v>
      </c>
      <c r="AX300" s="7">
        <v>0</v>
      </c>
      <c r="AY300" s="7">
        <v>0</v>
      </c>
      <c r="AZ300" s="7">
        <v>0</v>
      </c>
      <c r="BA300" s="7">
        <v>0</v>
      </c>
      <c r="BB300" s="7">
        <v>0</v>
      </c>
      <c r="BC300" s="7">
        <v>0</v>
      </c>
      <c r="BD300" s="7">
        <v>0</v>
      </c>
      <c r="BE300" s="7">
        <v>0</v>
      </c>
      <c r="BF300" s="7">
        <v>0</v>
      </c>
      <c r="BG300" s="7">
        <v>0</v>
      </c>
      <c r="BH300" s="7">
        <v>0</v>
      </c>
      <c r="BI300" s="7">
        <v>0</v>
      </c>
      <c r="BJ300" s="7">
        <v>0</v>
      </c>
      <c r="BK300" s="7">
        <v>0</v>
      </c>
      <c r="BL300" s="7">
        <v>0</v>
      </c>
      <c r="BM300" s="7">
        <v>0</v>
      </c>
      <c r="BN300" s="7">
        <v>0</v>
      </c>
      <c r="BO300" s="7">
        <v>0</v>
      </c>
      <c r="BP300" s="7">
        <v>0</v>
      </c>
      <c r="BQ300" s="7">
        <v>0</v>
      </c>
      <c r="BR300" s="21"/>
    </row>
    <row r="301" spans="1:70" ht="15.75" x14ac:dyDescent="0.25">
      <c r="A301" s="5" t="s">
        <v>525</v>
      </c>
      <c r="B301" s="5" t="s">
        <v>526</v>
      </c>
      <c r="C301" s="7">
        <v>5</v>
      </c>
      <c r="D301" s="7">
        <v>5</v>
      </c>
      <c r="E301" s="7">
        <v>0</v>
      </c>
      <c r="F301" s="7">
        <v>0</v>
      </c>
      <c r="G301" s="7">
        <v>0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7">
        <v>0</v>
      </c>
      <c r="AK301" s="7">
        <v>0</v>
      </c>
      <c r="AL301" s="7">
        <v>0</v>
      </c>
      <c r="AM301" s="7">
        <v>0</v>
      </c>
      <c r="AN301" s="7">
        <v>0</v>
      </c>
      <c r="AO301" s="7">
        <v>0</v>
      </c>
      <c r="AP301" s="7">
        <v>0</v>
      </c>
      <c r="AQ301" s="7">
        <v>0</v>
      </c>
      <c r="AR301" s="7">
        <v>0</v>
      </c>
      <c r="AS301" s="7">
        <v>0</v>
      </c>
      <c r="AT301" s="7">
        <v>0</v>
      </c>
      <c r="AU301" s="7">
        <v>0</v>
      </c>
      <c r="AV301" s="7">
        <v>0</v>
      </c>
      <c r="AW301" s="7">
        <v>0</v>
      </c>
      <c r="AX301" s="7">
        <v>0</v>
      </c>
      <c r="AY301" s="7">
        <v>0</v>
      </c>
      <c r="AZ301" s="7">
        <v>0</v>
      </c>
      <c r="BA301" s="7">
        <v>0</v>
      </c>
      <c r="BB301" s="7">
        <v>0</v>
      </c>
      <c r="BC301" s="7">
        <v>0</v>
      </c>
      <c r="BD301" s="7">
        <v>0</v>
      </c>
      <c r="BE301" s="7">
        <v>0</v>
      </c>
      <c r="BF301" s="7">
        <v>0</v>
      </c>
      <c r="BG301" s="7">
        <v>0</v>
      </c>
      <c r="BH301" s="7">
        <v>0</v>
      </c>
      <c r="BI301" s="7">
        <v>0</v>
      </c>
      <c r="BJ301" s="7">
        <v>0</v>
      </c>
      <c r="BK301" s="7">
        <v>0</v>
      </c>
      <c r="BL301" s="7">
        <v>0</v>
      </c>
      <c r="BM301" s="7">
        <v>0</v>
      </c>
      <c r="BN301" s="7">
        <v>0</v>
      </c>
      <c r="BO301" s="7">
        <v>0</v>
      </c>
      <c r="BP301" s="7">
        <v>0</v>
      </c>
      <c r="BQ301" s="7">
        <v>0</v>
      </c>
      <c r="BR301" s="21"/>
    </row>
    <row r="302" spans="1:70" ht="15.75" x14ac:dyDescent="0.25">
      <c r="A302" s="5" t="s">
        <v>527</v>
      </c>
      <c r="B302" s="5" t="s">
        <v>528</v>
      </c>
      <c r="C302" s="7">
        <v>5</v>
      </c>
      <c r="D302" s="7">
        <v>5</v>
      </c>
      <c r="E302" s="7">
        <v>0</v>
      </c>
      <c r="F302" s="7">
        <v>0</v>
      </c>
      <c r="G302" s="7">
        <v>0</v>
      </c>
      <c r="H302" s="7">
        <v>0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0</v>
      </c>
      <c r="AD302" s="7">
        <v>0</v>
      </c>
      <c r="AE302" s="7">
        <v>0</v>
      </c>
      <c r="AF302" s="7">
        <v>0</v>
      </c>
      <c r="AG302" s="7">
        <v>0</v>
      </c>
      <c r="AH302" s="7">
        <v>0</v>
      </c>
      <c r="AI302" s="7">
        <v>0</v>
      </c>
      <c r="AJ302" s="7">
        <v>0</v>
      </c>
      <c r="AK302" s="7">
        <v>0</v>
      </c>
      <c r="AL302" s="7">
        <v>0</v>
      </c>
      <c r="AM302" s="7">
        <v>0</v>
      </c>
      <c r="AN302" s="7">
        <v>0</v>
      </c>
      <c r="AO302" s="7">
        <v>0</v>
      </c>
      <c r="AP302" s="7">
        <v>0</v>
      </c>
      <c r="AQ302" s="7">
        <v>0</v>
      </c>
      <c r="AR302" s="7">
        <v>0</v>
      </c>
      <c r="AS302" s="7">
        <v>0</v>
      </c>
      <c r="AT302" s="7">
        <v>0</v>
      </c>
      <c r="AU302" s="7">
        <v>0</v>
      </c>
      <c r="AV302" s="7">
        <v>0</v>
      </c>
      <c r="AW302" s="7">
        <v>0</v>
      </c>
      <c r="AX302" s="7">
        <v>0</v>
      </c>
      <c r="AY302" s="7">
        <v>0</v>
      </c>
      <c r="AZ302" s="7">
        <v>0</v>
      </c>
      <c r="BA302" s="7">
        <v>0</v>
      </c>
      <c r="BB302" s="7">
        <v>0</v>
      </c>
      <c r="BC302" s="7">
        <v>0</v>
      </c>
      <c r="BD302" s="7">
        <v>0</v>
      </c>
      <c r="BE302" s="7">
        <v>0</v>
      </c>
      <c r="BF302" s="7">
        <v>0</v>
      </c>
      <c r="BG302" s="7">
        <v>0</v>
      </c>
      <c r="BH302" s="7">
        <v>0</v>
      </c>
      <c r="BI302" s="7">
        <v>0</v>
      </c>
      <c r="BJ302" s="7">
        <v>0</v>
      </c>
      <c r="BK302" s="7">
        <v>0</v>
      </c>
      <c r="BL302" s="7">
        <v>0</v>
      </c>
      <c r="BM302" s="7">
        <v>0</v>
      </c>
      <c r="BN302" s="7">
        <v>0</v>
      </c>
      <c r="BO302" s="7">
        <v>0</v>
      </c>
      <c r="BP302" s="7">
        <v>0</v>
      </c>
      <c r="BQ302" s="7">
        <v>0</v>
      </c>
      <c r="BR302" s="21"/>
    </row>
    <row r="303" spans="1:70" ht="15.75" x14ac:dyDescent="0.25">
      <c r="A303" s="5" t="s">
        <v>529</v>
      </c>
      <c r="B303" s="5" t="s">
        <v>530</v>
      </c>
      <c r="C303" s="7">
        <v>5</v>
      </c>
      <c r="D303" s="7">
        <v>5</v>
      </c>
      <c r="E303" s="7">
        <v>0</v>
      </c>
      <c r="F303" s="7">
        <v>0</v>
      </c>
      <c r="G303" s="7">
        <v>0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7">
        <v>0</v>
      </c>
      <c r="AK303" s="7">
        <v>0</v>
      </c>
      <c r="AL303" s="7">
        <v>0</v>
      </c>
      <c r="AM303" s="7">
        <v>0</v>
      </c>
      <c r="AN303" s="7">
        <v>0</v>
      </c>
      <c r="AO303" s="7">
        <v>0</v>
      </c>
      <c r="AP303" s="7">
        <v>0</v>
      </c>
      <c r="AQ303" s="7">
        <v>0</v>
      </c>
      <c r="AR303" s="7">
        <v>0</v>
      </c>
      <c r="AS303" s="7">
        <v>0</v>
      </c>
      <c r="AT303" s="7">
        <v>0</v>
      </c>
      <c r="AU303" s="7">
        <v>0</v>
      </c>
      <c r="AV303" s="7">
        <v>0</v>
      </c>
      <c r="AW303" s="7">
        <v>0</v>
      </c>
      <c r="AX303" s="7">
        <v>0</v>
      </c>
      <c r="AY303" s="7">
        <v>0</v>
      </c>
      <c r="AZ303" s="7">
        <v>0</v>
      </c>
      <c r="BA303" s="7">
        <v>0</v>
      </c>
      <c r="BB303" s="7">
        <v>0</v>
      </c>
      <c r="BC303" s="7">
        <v>0</v>
      </c>
      <c r="BD303" s="7">
        <v>0</v>
      </c>
      <c r="BE303" s="7">
        <v>0</v>
      </c>
      <c r="BF303" s="7">
        <v>0</v>
      </c>
      <c r="BG303" s="7">
        <v>0</v>
      </c>
      <c r="BH303" s="7">
        <v>0</v>
      </c>
      <c r="BI303" s="7">
        <v>0</v>
      </c>
      <c r="BJ303" s="7">
        <v>0</v>
      </c>
      <c r="BK303" s="7">
        <v>0</v>
      </c>
      <c r="BL303" s="7">
        <v>0</v>
      </c>
      <c r="BM303" s="7">
        <v>0</v>
      </c>
      <c r="BN303" s="7">
        <v>0</v>
      </c>
      <c r="BO303" s="7">
        <v>0</v>
      </c>
      <c r="BP303" s="7">
        <v>0</v>
      </c>
      <c r="BQ303" s="7">
        <v>0</v>
      </c>
      <c r="BR303" s="21"/>
    </row>
    <row r="304" spans="1:70" ht="15.75" x14ac:dyDescent="0.25">
      <c r="A304" s="5" t="s">
        <v>531</v>
      </c>
      <c r="B304" s="5" t="s">
        <v>532</v>
      </c>
      <c r="C304" s="7">
        <v>5</v>
      </c>
      <c r="D304" s="7">
        <v>5</v>
      </c>
      <c r="E304" s="7">
        <v>0</v>
      </c>
      <c r="F304" s="7">
        <v>0</v>
      </c>
      <c r="G304" s="7">
        <v>0</v>
      </c>
      <c r="H304" s="7">
        <v>0</v>
      </c>
      <c r="I304" s="7">
        <v>0</v>
      </c>
      <c r="J304" s="7">
        <v>0</v>
      </c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7">
        <v>0</v>
      </c>
      <c r="AA304" s="7">
        <v>0</v>
      </c>
      <c r="AB304" s="7">
        <v>0</v>
      </c>
      <c r="AC304" s="7">
        <v>0</v>
      </c>
      <c r="AD304" s="7">
        <v>0</v>
      </c>
      <c r="AE304" s="7">
        <v>0</v>
      </c>
      <c r="AF304" s="7">
        <v>0</v>
      </c>
      <c r="AG304" s="7">
        <v>0</v>
      </c>
      <c r="AH304" s="7">
        <v>0</v>
      </c>
      <c r="AI304" s="7">
        <v>0</v>
      </c>
      <c r="AJ304" s="7">
        <v>0</v>
      </c>
      <c r="AK304" s="7">
        <v>0</v>
      </c>
      <c r="AL304" s="7">
        <v>0</v>
      </c>
      <c r="AM304" s="7">
        <v>0</v>
      </c>
      <c r="AN304" s="7">
        <v>0</v>
      </c>
      <c r="AO304" s="7">
        <v>0</v>
      </c>
      <c r="AP304" s="7">
        <v>0</v>
      </c>
      <c r="AQ304" s="7">
        <v>0</v>
      </c>
      <c r="AR304" s="7">
        <v>0</v>
      </c>
      <c r="AS304" s="7">
        <v>0</v>
      </c>
      <c r="AT304" s="7">
        <v>0</v>
      </c>
      <c r="AU304" s="7">
        <v>0</v>
      </c>
      <c r="AV304" s="7">
        <v>0</v>
      </c>
      <c r="AW304" s="7">
        <v>0</v>
      </c>
      <c r="AX304" s="7">
        <v>0</v>
      </c>
      <c r="AY304" s="7">
        <v>0</v>
      </c>
      <c r="AZ304" s="7">
        <v>0</v>
      </c>
      <c r="BA304" s="7">
        <v>0</v>
      </c>
      <c r="BB304" s="7">
        <v>0</v>
      </c>
      <c r="BC304" s="7">
        <v>0</v>
      </c>
      <c r="BD304" s="7">
        <v>0</v>
      </c>
      <c r="BE304" s="7">
        <v>0</v>
      </c>
      <c r="BF304" s="7">
        <v>0</v>
      </c>
      <c r="BG304" s="7">
        <v>0</v>
      </c>
      <c r="BH304" s="7">
        <v>0</v>
      </c>
      <c r="BI304" s="7">
        <v>0</v>
      </c>
      <c r="BJ304" s="7">
        <v>0</v>
      </c>
      <c r="BK304" s="7">
        <v>0</v>
      </c>
      <c r="BL304" s="7">
        <v>0</v>
      </c>
      <c r="BM304" s="7">
        <v>0</v>
      </c>
      <c r="BN304" s="7">
        <v>0</v>
      </c>
      <c r="BO304" s="7">
        <v>0</v>
      </c>
      <c r="BP304" s="7">
        <v>0</v>
      </c>
      <c r="BQ304" s="7">
        <v>0</v>
      </c>
      <c r="BR304" s="21"/>
    </row>
    <row r="305" spans="1:70" ht="15.75" x14ac:dyDescent="0.25">
      <c r="A305" s="5" t="s">
        <v>533</v>
      </c>
      <c r="B305" s="5" t="s">
        <v>534</v>
      </c>
      <c r="C305" s="7">
        <v>5</v>
      </c>
      <c r="D305" s="7">
        <v>5</v>
      </c>
      <c r="E305" s="7">
        <v>0</v>
      </c>
      <c r="F305" s="7">
        <v>0</v>
      </c>
      <c r="G305" s="7">
        <v>0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7">
        <v>0</v>
      </c>
      <c r="AK305" s="7">
        <v>0</v>
      </c>
      <c r="AL305" s="7">
        <v>0</v>
      </c>
      <c r="AM305" s="7">
        <v>0</v>
      </c>
      <c r="AN305" s="7">
        <v>0</v>
      </c>
      <c r="AO305" s="7">
        <v>0</v>
      </c>
      <c r="AP305" s="7">
        <v>0</v>
      </c>
      <c r="AQ305" s="7">
        <v>0</v>
      </c>
      <c r="AR305" s="7">
        <v>0</v>
      </c>
      <c r="AS305" s="7">
        <v>0</v>
      </c>
      <c r="AT305" s="7">
        <v>0</v>
      </c>
      <c r="AU305" s="7">
        <v>0</v>
      </c>
      <c r="AV305" s="7">
        <v>0</v>
      </c>
      <c r="AW305" s="7">
        <v>0</v>
      </c>
      <c r="AX305" s="7">
        <v>0</v>
      </c>
      <c r="AY305" s="7">
        <v>0</v>
      </c>
      <c r="AZ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  <c r="BF305" s="7">
        <v>0</v>
      </c>
      <c r="BG305" s="7">
        <v>0</v>
      </c>
      <c r="BH305" s="7">
        <v>0</v>
      </c>
      <c r="BI305" s="7">
        <v>0</v>
      </c>
      <c r="BJ305" s="7">
        <v>0</v>
      </c>
      <c r="BK305" s="7">
        <v>0</v>
      </c>
      <c r="BL305" s="7">
        <v>0</v>
      </c>
      <c r="BM305" s="7">
        <v>0</v>
      </c>
      <c r="BN305" s="7">
        <v>0</v>
      </c>
      <c r="BO305" s="7">
        <v>0</v>
      </c>
      <c r="BP305" s="7">
        <v>0</v>
      </c>
      <c r="BQ305" s="7">
        <v>0</v>
      </c>
      <c r="BR305" s="21"/>
    </row>
    <row r="306" spans="1:70" ht="15.75" x14ac:dyDescent="0.25">
      <c r="A306" s="5" t="s">
        <v>535</v>
      </c>
      <c r="B306" s="5" t="s">
        <v>536</v>
      </c>
      <c r="C306" s="7">
        <v>5</v>
      </c>
      <c r="D306" s="7">
        <v>5</v>
      </c>
      <c r="E306" s="7">
        <v>0</v>
      </c>
      <c r="F306" s="7">
        <v>0</v>
      </c>
      <c r="G306" s="7">
        <v>0</v>
      </c>
      <c r="H306" s="7">
        <v>0</v>
      </c>
      <c r="I306" s="7">
        <v>0</v>
      </c>
      <c r="J306" s="7">
        <v>0</v>
      </c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0</v>
      </c>
      <c r="AB306" s="7">
        <v>0</v>
      </c>
      <c r="AC306" s="7">
        <v>0</v>
      </c>
      <c r="AD306" s="7">
        <v>0</v>
      </c>
      <c r="AE306" s="7">
        <v>0</v>
      </c>
      <c r="AF306" s="7">
        <v>0</v>
      </c>
      <c r="AG306" s="7">
        <v>0</v>
      </c>
      <c r="AH306" s="7">
        <v>0</v>
      </c>
      <c r="AI306" s="7">
        <v>0</v>
      </c>
      <c r="AJ306" s="7">
        <v>0</v>
      </c>
      <c r="AK306" s="7">
        <v>0</v>
      </c>
      <c r="AL306" s="7">
        <v>0</v>
      </c>
      <c r="AM306" s="7">
        <v>0</v>
      </c>
      <c r="AN306" s="7">
        <v>0</v>
      </c>
      <c r="AO306" s="7">
        <v>0</v>
      </c>
      <c r="AP306" s="7">
        <v>0</v>
      </c>
      <c r="AQ306" s="7">
        <v>0</v>
      </c>
      <c r="AR306" s="7">
        <v>0</v>
      </c>
      <c r="AS306" s="7">
        <v>0</v>
      </c>
      <c r="AT306" s="7">
        <v>0</v>
      </c>
      <c r="AU306" s="7">
        <v>0</v>
      </c>
      <c r="AV306" s="7">
        <v>0</v>
      </c>
      <c r="AW306" s="7">
        <v>0</v>
      </c>
      <c r="AX306" s="7">
        <v>0</v>
      </c>
      <c r="AY306" s="7">
        <v>0</v>
      </c>
      <c r="AZ306" s="7">
        <v>0</v>
      </c>
      <c r="BA306" s="7">
        <v>0</v>
      </c>
      <c r="BB306" s="7">
        <v>0</v>
      </c>
      <c r="BC306" s="7">
        <v>0</v>
      </c>
      <c r="BD306" s="7">
        <v>0</v>
      </c>
      <c r="BE306" s="7">
        <v>0</v>
      </c>
      <c r="BF306" s="7">
        <v>0</v>
      </c>
      <c r="BG306" s="7">
        <v>0</v>
      </c>
      <c r="BH306" s="7">
        <v>0</v>
      </c>
      <c r="BI306" s="7">
        <v>0</v>
      </c>
      <c r="BJ306" s="7">
        <v>0</v>
      </c>
      <c r="BK306" s="7">
        <v>0</v>
      </c>
      <c r="BL306" s="7">
        <v>0</v>
      </c>
      <c r="BM306" s="7">
        <v>0</v>
      </c>
      <c r="BN306" s="7">
        <v>0</v>
      </c>
      <c r="BO306" s="7">
        <v>0</v>
      </c>
      <c r="BP306" s="7">
        <v>0</v>
      </c>
      <c r="BQ306" s="7">
        <v>0</v>
      </c>
      <c r="BR306" s="21"/>
    </row>
    <row r="307" spans="1:70" ht="15.75" x14ac:dyDescent="0.25">
      <c r="A307" s="5" t="s">
        <v>537</v>
      </c>
      <c r="B307" s="5" t="s">
        <v>538</v>
      </c>
      <c r="C307" s="7">
        <v>5</v>
      </c>
      <c r="D307" s="7">
        <v>5</v>
      </c>
      <c r="E307" s="7">
        <v>0</v>
      </c>
      <c r="F307" s="7">
        <v>0</v>
      </c>
      <c r="G307" s="7">
        <v>0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7">
        <v>0</v>
      </c>
      <c r="AK307" s="7">
        <v>0</v>
      </c>
      <c r="AL307" s="7">
        <v>0</v>
      </c>
      <c r="AM307" s="7">
        <v>0</v>
      </c>
      <c r="AN307" s="7">
        <v>0</v>
      </c>
      <c r="AO307" s="7">
        <v>0</v>
      </c>
      <c r="AP307" s="7">
        <v>0</v>
      </c>
      <c r="AQ307" s="7">
        <v>0</v>
      </c>
      <c r="AR307" s="7">
        <v>0</v>
      </c>
      <c r="AS307" s="7">
        <v>0</v>
      </c>
      <c r="AT307" s="7">
        <v>0</v>
      </c>
      <c r="AU307" s="7">
        <v>0</v>
      </c>
      <c r="AV307" s="7">
        <v>0</v>
      </c>
      <c r="AW307" s="7">
        <v>0</v>
      </c>
      <c r="AX307" s="7">
        <v>0</v>
      </c>
      <c r="AY307" s="7">
        <v>0</v>
      </c>
      <c r="AZ307" s="7">
        <v>0</v>
      </c>
      <c r="BA307" s="7">
        <v>0</v>
      </c>
      <c r="BB307" s="7">
        <v>0</v>
      </c>
      <c r="BC307" s="7">
        <v>0</v>
      </c>
      <c r="BD307" s="7">
        <v>0</v>
      </c>
      <c r="BE307" s="7">
        <v>0</v>
      </c>
      <c r="BF307" s="7">
        <v>0</v>
      </c>
      <c r="BG307" s="7">
        <v>0</v>
      </c>
      <c r="BH307" s="7">
        <v>0</v>
      </c>
      <c r="BI307" s="7">
        <v>0</v>
      </c>
      <c r="BJ307" s="7">
        <v>0</v>
      </c>
      <c r="BK307" s="7">
        <v>0</v>
      </c>
      <c r="BL307" s="7">
        <v>0</v>
      </c>
      <c r="BM307" s="7">
        <v>0</v>
      </c>
      <c r="BN307" s="7">
        <v>0</v>
      </c>
      <c r="BO307" s="7">
        <v>0</v>
      </c>
      <c r="BP307" s="7">
        <v>0</v>
      </c>
      <c r="BQ307" s="7">
        <v>0</v>
      </c>
      <c r="BR307" s="21"/>
    </row>
    <row r="308" spans="1:70" ht="15.75" x14ac:dyDescent="0.25">
      <c r="A308" s="5" t="s">
        <v>539</v>
      </c>
      <c r="B308" s="5" t="s">
        <v>540</v>
      </c>
      <c r="C308" s="7">
        <v>5</v>
      </c>
      <c r="D308" s="7">
        <v>5</v>
      </c>
      <c r="E308" s="7">
        <v>0</v>
      </c>
      <c r="F308" s="7">
        <v>0</v>
      </c>
      <c r="G308" s="7">
        <v>0</v>
      </c>
      <c r="H308" s="7">
        <v>0</v>
      </c>
      <c r="I308" s="7">
        <v>0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  <c r="AB308" s="7">
        <v>0</v>
      </c>
      <c r="AC308" s="7">
        <v>0</v>
      </c>
      <c r="AD308" s="7">
        <v>0</v>
      </c>
      <c r="AE308" s="7">
        <v>0</v>
      </c>
      <c r="AF308" s="7">
        <v>0</v>
      </c>
      <c r="AG308" s="7">
        <v>0</v>
      </c>
      <c r="AH308" s="7">
        <v>0</v>
      </c>
      <c r="AI308" s="7">
        <v>0</v>
      </c>
      <c r="AJ308" s="7">
        <v>0</v>
      </c>
      <c r="AK308" s="7">
        <v>0</v>
      </c>
      <c r="AL308" s="7">
        <v>0</v>
      </c>
      <c r="AM308" s="7">
        <v>0</v>
      </c>
      <c r="AN308" s="7">
        <v>0</v>
      </c>
      <c r="AO308" s="7">
        <v>0</v>
      </c>
      <c r="AP308" s="7">
        <v>0</v>
      </c>
      <c r="AQ308" s="7">
        <v>0</v>
      </c>
      <c r="AR308" s="7">
        <v>0</v>
      </c>
      <c r="AS308" s="7">
        <v>0</v>
      </c>
      <c r="AT308" s="7">
        <v>0</v>
      </c>
      <c r="AU308" s="7">
        <v>0</v>
      </c>
      <c r="AV308" s="7">
        <v>0</v>
      </c>
      <c r="AW308" s="7">
        <v>0</v>
      </c>
      <c r="AX308" s="7">
        <v>0</v>
      </c>
      <c r="AY308" s="7">
        <v>0</v>
      </c>
      <c r="AZ308" s="7">
        <v>0</v>
      </c>
      <c r="BA308" s="7">
        <v>0</v>
      </c>
      <c r="BB308" s="7">
        <v>0</v>
      </c>
      <c r="BC308" s="7">
        <v>0</v>
      </c>
      <c r="BD308" s="7">
        <v>0</v>
      </c>
      <c r="BE308" s="7">
        <v>0</v>
      </c>
      <c r="BF308" s="7">
        <v>0</v>
      </c>
      <c r="BG308" s="7">
        <v>0</v>
      </c>
      <c r="BH308" s="7">
        <v>0</v>
      </c>
      <c r="BI308" s="7">
        <v>0</v>
      </c>
      <c r="BJ308" s="7">
        <v>0</v>
      </c>
      <c r="BK308" s="7">
        <v>0</v>
      </c>
      <c r="BL308" s="7">
        <v>0</v>
      </c>
      <c r="BM308" s="7">
        <v>0</v>
      </c>
      <c r="BN308" s="7">
        <v>0</v>
      </c>
      <c r="BO308" s="7">
        <v>0</v>
      </c>
      <c r="BP308" s="7">
        <v>0</v>
      </c>
      <c r="BQ308" s="7">
        <v>0</v>
      </c>
      <c r="BR308" s="21"/>
    </row>
    <row r="309" spans="1:70" ht="15.75" x14ac:dyDescent="0.25">
      <c r="A309" s="5" t="s">
        <v>541</v>
      </c>
      <c r="B309" s="5" t="s">
        <v>542</v>
      </c>
      <c r="C309" s="7">
        <v>5</v>
      </c>
      <c r="D309" s="7">
        <v>5</v>
      </c>
      <c r="E309" s="7">
        <v>0</v>
      </c>
      <c r="F309" s="7">
        <v>0</v>
      </c>
      <c r="G309" s="7">
        <v>0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7">
        <v>0</v>
      </c>
      <c r="AK309" s="7">
        <v>0</v>
      </c>
      <c r="AL309" s="7">
        <v>0</v>
      </c>
      <c r="AM309" s="7">
        <v>0</v>
      </c>
      <c r="AN309" s="7">
        <v>0</v>
      </c>
      <c r="AO309" s="7">
        <v>0</v>
      </c>
      <c r="AP309" s="7">
        <v>0</v>
      </c>
      <c r="AQ309" s="7">
        <v>0</v>
      </c>
      <c r="AR309" s="7">
        <v>0</v>
      </c>
      <c r="AS309" s="7">
        <v>0</v>
      </c>
      <c r="AT309" s="7">
        <v>0</v>
      </c>
      <c r="AU309" s="7">
        <v>0</v>
      </c>
      <c r="AV309" s="7">
        <v>0</v>
      </c>
      <c r="AW309" s="7">
        <v>0</v>
      </c>
      <c r="AX309" s="7">
        <v>0</v>
      </c>
      <c r="AY309" s="7">
        <v>0</v>
      </c>
      <c r="AZ309" s="7">
        <v>0</v>
      </c>
      <c r="BA309" s="7">
        <v>0</v>
      </c>
      <c r="BB309" s="7">
        <v>0</v>
      </c>
      <c r="BC309" s="7">
        <v>0</v>
      </c>
      <c r="BD309" s="7">
        <v>0</v>
      </c>
      <c r="BE309" s="7">
        <v>0</v>
      </c>
      <c r="BF309" s="7">
        <v>0</v>
      </c>
      <c r="BG309" s="7">
        <v>0</v>
      </c>
      <c r="BH309" s="7">
        <v>0</v>
      </c>
      <c r="BI309" s="7">
        <v>0</v>
      </c>
      <c r="BJ309" s="7">
        <v>0</v>
      </c>
      <c r="BK309" s="7">
        <v>0</v>
      </c>
      <c r="BL309" s="7">
        <v>0</v>
      </c>
      <c r="BM309" s="7">
        <v>0</v>
      </c>
      <c r="BN309" s="7">
        <v>0</v>
      </c>
      <c r="BO309" s="7">
        <v>0</v>
      </c>
      <c r="BP309" s="7">
        <v>0</v>
      </c>
      <c r="BQ309" s="7">
        <v>0</v>
      </c>
      <c r="BR309" s="21"/>
    </row>
    <row r="310" spans="1:70" ht="15.75" x14ac:dyDescent="0.25">
      <c r="A310" s="5" t="s">
        <v>543</v>
      </c>
      <c r="B310" s="5" t="s">
        <v>544</v>
      </c>
      <c r="C310" s="7">
        <v>5</v>
      </c>
      <c r="D310" s="7">
        <v>5</v>
      </c>
      <c r="E310" s="7">
        <v>0</v>
      </c>
      <c r="F310" s="7">
        <v>0</v>
      </c>
      <c r="G310" s="7">
        <v>0</v>
      </c>
      <c r="H310" s="7">
        <v>0</v>
      </c>
      <c r="I310" s="7">
        <v>0</v>
      </c>
      <c r="J310" s="7">
        <v>0</v>
      </c>
      <c r="K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  <c r="AB310" s="7">
        <v>0</v>
      </c>
      <c r="AC310" s="7">
        <v>0</v>
      </c>
      <c r="AD310" s="7">
        <v>0</v>
      </c>
      <c r="AE310" s="7">
        <v>0</v>
      </c>
      <c r="AF310" s="7">
        <v>0</v>
      </c>
      <c r="AG310" s="7">
        <v>0</v>
      </c>
      <c r="AH310" s="7">
        <v>0</v>
      </c>
      <c r="AI310" s="7">
        <v>0</v>
      </c>
      <c r="AJ310" s="7">
        <v>0</v>
      </c>
      <c r="AK310" s="7">
        <v>0</v>
      </c>
      <c r="AL310" s="7">
        <v>0</v>
      </c>
      <c r="AM310" s="7">
        <v>0</v>
      </c>
      <c r="AN310" s="7">
        <v>0</v>
      </c>
      <c r="AO310" s="7">
        <v>0</v>
      </c>
      <c r="AP310" s="7">
        <v>0</v>
      </c>
      <c r="AQ310" s="7">
        <v>0</v>
      </c>
      <c r="AR310" s="7">
        <v>0</v>
      </c>
      <c r="AS310" s="7">
        <v>0</v>
      </c>
      <c r="AT310" s="7">
        <v>0</v>
      </c>
      <c r="AU310" s="7">
        <v>0</v>
      </c>
      <c r="AV310" s="7">
        <v>0</v>
      </c>
      <c r="AW310" s="7">
        <v>0</v>
      </c>
      <c r="AX310" s="7">
        <v>0</v>
      </c>
      <c r="AY310" s="7">
        <v>0</v>
      </c>
      <c r="AZ310" s="7">
        <v>0</v>
      </c>
      <c r="BA310" s="7">
        <v>0</v>
      </c>
      <c r="BB310" s="7">
        <v>0</v>
      </c>
      <c r="BC310" s="7">
        <v>0</v>
      </c>
      <c r="BD310" s="7">
        <v>0</v>
      </c>
      <c r="BE310" s="7">
        <v>0</v>
      </c>
      <c r="BF310" s="7">
        <v>0</v>
      </c>
      <c r="BG310" s="7">
        <v>0</v>
      </c>
      <c r="BH310" s="7">
        <v>0</v>
      </c>
      <c r="BI310" s="7">
        <v>0</v>
      </c>
      <c r="BJ310" s="7">
        <v>0</v>
      </c>
      <c r="BK310" s="7">
        <v>0</v>
      </c>
      <c r="BL310" s="7">
        <v>0</v>
      </c>
      <c r="BM310" s="7">
        <v>0</v>
      </c>
      <c r="BN310" s="7">
        <v>0</v>
      </c>
      <c r="BO310" s="7">
        <v>0</v>
      </c>
      <c r="BP310" s="7">
        <v>0</v>
      </c>
      <c r="BQ310" s="7">
        <v>0</v>
      </c>
      <c r="BR310" s="21"/>
    </row>
    <row r="311" spans="1:70" ht="15.75" x14ac:dyDescent="0.25">
      <c r="A311" s="5" t="s">
        <v>545</v>
      </c>
      <c r="B311" s="5" t="s">
        <v>546</v>
      </c>
      <c r="C311" s="7">
        <v>5</v>
      </c>
      <c r="D311" s="7">
        <v>5</v>
      </c>
      <c r="E311" s="7">
        <v>0</v>
      </c>
      <c r="F311" s="7">
        <v>0</v>
      </c>
      <c r="G311" s="7">
        <v>0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7">
        <v>0</v>
      </c>
      <c r="AK311" s="7">
        <v>0</v>
      </c>
      <c r="AL311" s="7">
        <v>0</v>
      </c>
      <c r="AM311" s="7">
        <v>0</v>
      </c>
      <c r="AN311" s="7">
        <v>0</v>
      </c>
      <c r="AO311" s="7">
        <v>0</v>
      </c>
      <c r="AP311" s="7">
        <v>0</v>
      </c>
      <c r="AQ311" s="7">
        <v>0</v>
      </c>
      <c r="AR311" s="7">
        <v>0</v>
      </c>
      <c r="AS311" s="7">
        <v>0</v>
      </c>
      <c r="AT311" s="7">
        <v>0</v>
      </c>
      <c r="AU311" s="7">
        <v>0</v>
      </c>
      <c r="AV311" s="7">
        <v>0</v>
      </c>
      <c r="AW311" s="7">
        <v>0</v>
      </c>
      <c r="AX311" s="7">
        <v>0</v>
      </c>
      <c r="AY311" s="7">
        <v>0</v>
      </c>
      <c r="AZ311" s="7">
        <v>0</v>
      </c>
      <c r="BA311" s="7">
        <v>0</v>
      </c>
      <c r="BB311" s="7">
        <v>0</v>
      </c>
      <c r="BC311" s="7">
        <v>0</v>
      </c>
      <c r="BD311" s="7">
        <v>0</v>
      </c>
      <c r="BE311" s="7">
        <v>0</v>
      </c>
      <c r="BF311" s="7">
        <v>0</v>
      </c>
      <c r="BG311" s="7">
        <v>0</v>
      </c>
      <c r="BH311" s="7">
        <v>0</v>
      </c>
      <c r="BI311" s="7">
        <v>0</v>
      </c>
      <c r="BJ311" s="7">
        <v>0</v>
      </c>
      <c r="BK311" s="7">
        <v>0</v>
      </c>
      <c r="BL311" s="7">
        <v>0</v>
      </c>
      <c r="BM311" s="7">
        <v>0</v>
      </c>
      <c r="BN311" s="7">
        <v>0</v>
      </c>
      <c r="BO311" s="7">
        <v>0</v>
      </c>
      <c r="BP311" s="7">
        <v>0</v>
      </c>
      <c r="BQ311" s="7">
        <v>0</v>
      </c>
      <c r="BR311" s="21"/>
    </row>
    <row r="312" spans="1:70" ht="15.75" x14ac:dyDescent="0.25">
      <c r="A312" s="5" t="s">
        <v>547</v>
      </c>
      <c r="B312" s="5" t="s">
        <v>548</v>
      </c>
      <c r="C312" s="7">
        <v>5</v>
      </c>
      <c r="D312" s="7">
        <v>5</v>
      </c>
      <c r="E312" s="7">
        <v>0</v>
      </c>
      <c r="F312" s="7">
        <v>0</v>
      </c>
      <c r="G312" s="7">
        <v>0</v>
      </c>
      <c r="H312" s="7">
        <v>0</v>
      </c>
      <c r="I312" s="7">
        <v>0</v>
      </c>
      <c r="J312" s="7">
        <v>0</v>
      </c>
      <c r="K312" s="7">
        <v>0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A312" s="7">
        <v>0</v>
      </c>
      <c r="AB312" s="7">
        <v>0</v>
      </c>
      <c r="AC312" s="7">
        <v>0</v>
      </c>
      <c r="AD312" s="7">
        <v>0</v>
      </c>
      <c r="AE312" s="7">
        <v>0</v>
      </c>
      <c r="AF312" s="7">
        <v>0</v>
      </c>
      <c r="AG312" s="7">
        <v>0</v>
      </c>
      <c r="AH312" s="7">
        <v>0</v>
      </c>
      <c r="AI312" s="7">
        <v>0</v>
      </c>
      <c r="AJ312" s="7">
        <v>0</v>
      </c>
      <c r="AK312" s="7">
        <v>0</v>
      </c>
      <c r="AL312" s="7">
        <v>0</v>
      </c>
      <c r="AM312" s="7">
        <v>0</v>
      </c>
      <c r="AN312" s="7">
        <v>0</v>
      </c>
      <c r="AO312" s="7">
        <v>0</v>
      </c>
      <c r="AP312" s="7">
        <v>0</v>
      </c>
      <c r="AQ312" s="7">
        <v>0</v>
      </c>
      <c r="AR312" s="7">
        <v>0</v>
      </c>
      <c r="AS312" s="7">
        <v>0</v>
      </c>
      <c r="AT312" s="7">
        <v>0</v>
      </c>
      <c r="AU312" s="7">
        <v>0</v>
      </c>
      <c r="AV312" s="7">
        <v>0</v>
      </c>
      <c r="AW312" s="7">
        <v>0</v>
      </c>
      <c r="AX312" s="7">
        <v>0</v>
      </c>
      <c r="AY312" s="7">
        <v>0</v>
      </c>
      <c r="AZ312" s="7">
        <v>0</v>
      </c>
      <c r="BA312" s="7">
        <v>0</v>
      </c>
      <c r="BB312" s="7">
        <v>0</v>
      </c>
      <c r="BC312" s="7">
        <v>0</v>
      </c>
      <c r="BD312" s="7">
        <v>0</v>
      </c>
      <c r="BE312" s="7">
        <v>0</v>
      </c>
      <c r="BF312" s="7">
        <v>0</v>
      </c>
      <c r="BG312" s="7">
        <v>0</v>
      </c>
      <c r="BH312" s="7">
        <v>0</v>
      </c>
      <c r="BI312" s="7">
        <v>0</v>
      </c>
      <c r="BJ312" s="7">
        <v>0</v>
      </c>
      <c r="BK312" s="7">
        <v>0</v>
      </c>
      <c r="BL312" s="7">
        <v>0</v>
      </c>
      <c r="BM312" s="7">
        <v>0</v>
      </c>
      <c r="BN312" s="7">
        <v>0</v>
      </c>
      <c r="BO312" s="7">
        <v>0</v>
      </c>
      <c r="BP312" s="7">
        <v>0</v>
      </c>
      <c r="BQ312" s="7">
        <v>0</v>
      </c>
      <c r="BR312" s="21"/>
    </row>
    <row r="313" spans="1:70" ht="15.75" x14ac:dyDescent="0.25">
      <c r="A313" s="5" t="s">
        <v>549</v>
      </c>
      <c r="B313" s="5" t="s">
        <v>550</v>
      </c>
      <c r="C313" s="7">
        <v>5</v>
      </c>
      <c r="D313" s="7">
        <v>5</v>
      </c>
      <c r="E313" s="7">
        <v>0</v>
      </c>
      <c r="F313" s="7">
        <v>0</v>
      </c>
      <c r="G313" s="7">
        <v>0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7">
        <v>0</v>
      </c>
      <c r="AK313" s="7">
        <v>0</v>
      </c>
      <c r="AL313" s="7">
        <v>0</v>
      </c>
      <c r="AM313" s="7">
        <v>0</v>
      </c>
      <c r="AN313" s="7">
        <v>0</v>
      </c>
      <c r="AO313" s="7">
        <v>0</v>
      </c>
      <c r="AP313" s="7">
        <v>0</v>
      </c>
      <c r="AQ313" s="7">
        <v>0</v>
      </c>
      <c r="AR313" s="7">
        <v>0</v>
      </c>
      <c r="AS313" s="7">
        <v>0</v>
      </c>
      <c r="AT313" s="7">
        <v>0</v>
      </c>
      <c r="AU313" s="7">
        <v>0</v>
      </c>
      <c r="AV313" s="7">
        <v>0</v>
      </c>
      <c r="AW313" s="7">
        <v>0</v>
      </c>
      <c r="AX313" s="7">
        <v>0</v>
      </c>
      <c r="AY313" s="7">
        <v>0</v>
      </c>
      <c r="AZ313" s="7">
        <v>0</v>
      </c>
      <c r="BA313" s="7">
        <v>0</v>
      </c>
      <c r="BB313" s="7">
        <v>0</v>
      </c>
      <c r="BC313" s="7">
        <v>0</v>
      </c>
      <c r="BD313" s="7">
        <v>0</v>
      </c>
      <c r="BE313" s="7">
        <v>0</v>
      </c>
      <c r="BF313" s="7">
        <v>0</v>
      </c>
      <c r="BG313" s="7">
        <v>0</v>
      </c>
      <c r="BH313" s="7">
        <v>0</v>
      </c>
      <c r="BI313" s="7">
        <v>0</v>
      </c>
      <c r="BJ313" s="7">
        <v>0</v>
      </c>
      <c r="BK313" s="7">
        <v>0</v>
      </c>
      <c r="BL313" s="7">
        <v>0</v>
      </c>
      <c r="BM313" s="7">
        <v>0</v>
      </c>
      <c r="BN313" s="7">
        <v>0</v>
      </c>
      <c r="BO313" s="7">
        <v>0</v>
      </c>
      <c r="BP313" s="7">
        <v>0</v>
      </c>
      <c r="BQ313" s="7">
        <v>0</v>
      </c>
      <c r="BR313" s="21"/>
    </row>
    <row r="314" spans="1:70" ht="15.75" x14ac:dyDescent="0.25">
      <c r="A314" s="5" t="s">
        <v>551</v>
      </c>
      <c r="B314" s="5" t="s">
        <v>552</v>
      </c>
      <c r="C314" s="7">
        <v>5</v>
      </c>
      <c r="D314" s="7">
        <v>5</v>
      </c>
      <c r="E314" s="7">
        <v>0</v>
      </c>
      <c r="F314" s="7">
        <v>0</v>
      </c>
      <c r="G314" s="7">
        <v>0</v>
      </c>
      <c r="H314" s="7">
        <v>0</v>
      </c>
      <c r="I314" s="7">
        <v>0</v>
      </c>
      <c r="J314" s="7">
        <v>0</v>
      </c>
      <c r="K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  <c r="AB314" s="7">
        <v>0</v>
      </c>
      <c r="AC314" s="7">
        <v>0</v>
      </c>
      <c r="AD314" s="7">
        <v>0</v>
      </c>
      <c r="AE314" s="7">
        <v>0</v>
      </c>
      <c r="AF314" s="7">
        <v>0</v>
      </c>
      <c r="AG314" s="7">
        <v>0</v>
      </c>
      <c r="AH314" s="7">
        <v>0</v>
      </c>
      <c r="AI314" s="7">
        <v>0</v>
      </c>
      <c r="AJ314" s="7">
        <v>0</v>
      </c>
      <c r="AK314" s="7">
        <v>0</v>
      </c>
      <c r="AL314" s="7">
        <v>0</v>
      </c>
      <c r="AM314" s="7">
        <v>0</v>
      </c>
      <c r="AN314" s="7">
        <v>0</v>
      </c>
      <c r="AO314" s="7">
        <v>0</v>
      </c>
      <c r="AP314" s="7">
        <v>0</v>
      </c>
      <c r="AQ314" s="7">
        <v>0</v>
      </c>
      <c r="AR314" s="7">
        <v>0</v>
      </c>
      <c r="AS314" s="7">
        <v>0</v>
      </c>
      <c r="AT314" s="7">
        <v>0</v>
      </c>
      <c r="AU314" s="7">
        <v>0</v>
      </c>
      <c r="AV314" s="7">
        <v>0</v>
      </c>
      <c r="AW314" s="7">
        <v>0</v>
      </c>
      <c r="AX314" s="7">
        <v>0</v>
      </c>
      <c r="AY314" s="7">
        <v>0</v>
      </c>
      <c r="AZ314" s="7">
        <v>0</v>
      </c>
      <c r="BA314" s="7">
        <v>0</v>
      </c>
      <c r="BB314" s="7">
        <v>0</v>
      </c>
      <c r="BC314" s="7">
        <v>0</v>
      </c>
      <c r="BD314" s="7">
        <v>0</v>
      </c>
      <c r="BE314" s="7">
        <v>0</v>
      </c>
      <c r="BF314" s="7">
        <v>0</v>
      </c>
      <c r="BG314" s="7">
        <v>0</v>
      </c>
      <c r="BH314" s="7">
        <v>0</v>
      </c>
      <c r="BI314" s="7">
        <v>0</v>
      </c>
      <c r="BJ314" s="7">
        <v>0</v>
      </c>
      <c r="BK314" s="7">
        <v>0</v>
      </c>
      <c r="BL314" s="7">
        <v>0</v>
      </c>
      <c r="BM314" s="7">
        <v>0</v>
      </c>
      <c r="BN314" s="7">
        <v>0</v>
      </c>
      <c r="BO314" s="7">
        <v>0</v>
      </c>
      <c r="BP314" s="7">
        <v>0</v>
      </c>
      <c r="BQ314" s="7">
        <v>0</v>
      </c>
      <c r="BR314" s="21"/>
    </row>
    <row r="315" spans="1:70" ht="15.75" x14ac:dyDescent="0.25">
      <c r="A315" s="5" t="s">
        <v>553</v>
      </c>
      <c r="B315" s="5" t="s">
        <v>554</v>
      </c>
      <c r="C315" s="7">
        <v>5</v>
      </c>
      <c r="D315" s="7">
        <v>5</v>
      </c>
      <c r="E315" s="7">
        <v>0</v>
      </c>
      <c r="F315" s="7">
        <v>0</v>
      </c>
      <c r="G315" s="7">
        <v>0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7">
        <v>0</v>
      </c>
      <c r="AK315" s="7">
        <v>0</v>
      </c>
      <c r="AL315" s="7">
        <v>0</v>
      </c>
      <c r="AM315" s="7">
        <v>0</v>
      </c>
      <c r="AN315" s="7">
        <v>0</v>
      </c>
      <c r="AO315" s="7">
        <v>0</v>
      </c>
      <c r="AP315" s="7">
        <v>0</v>
      </c>
      <c r="AQ315" s="7">
        <v>0</v>
      </c>
      <c r="AR315" s="7">
        <v>0</v>
      </c>
      <c r="AS315" s="7">
        <v>0</v>
      </c>
      <c r="AT315" s="7">
        <v>0</v>
      </c>
      <c r="AU315" s="7">
        <v>0</v>
      </c>
      <c r="AV315" s="7">
        <v>0</v>
      </c>
      <c r="AW315" s="7">
        <v>0</v>
      </c>
      <c r="AX315" s="7">
        <v>0</v>
      </c>
      <c r="AY315" s="7">
        <v>0</v>
      </c>
      <c r="AZ315" s="7">
        <v>0</v>
      </c>
      <c r="BA315" s="7">
        <v>0</v>
      </c>
      <c r="BB315" s="7">
        <v>0</v>
      </c>
      <c r="BC315" s="7">
        <v>0</v>
      </c>
      <c r="BD315" s="7">
        <v>0</v>
      </c>
      <c r="BE315" s="7">
        <v>0</v>
      </c>
      <c r="BF315" s="7">
        <v>0</v>
      </c>
      <c r="BG315" s="7">
        <v>0</v>
      </c>
      <c r="BH315" s="7">
        <v>0</v>
      </c>
      <c r="BI315" s="7">
        <v>0</v>
      </c>
      <c r="BJ315" s="7">
        <v>0</v>
      </c>
      <c r="BK315" s="7">
        <v>0</v>
      </c>
      <c r="BL315" s="7">
        <v>0</v>
      </c>
      <c r="BM315" s="7">
        <v>0</v>
      </c>
      <c r="BN315" s="7">
        <v>0</v>
      </c>
      <c r="BO315" s="7">
        <v>0</v>
      </c>
      <c r="BP315" s="7">
        <v>0</v>
      </c>
      <c r="BQ315" s="7">
        <v>0</v>
      </c>
      <c r="BR315" s="21"/>
    </row>
    <row r="316" spans="1:70" ht="15.75" x14ac:dyDescent="0.25">
      <c r="A316" s="5" t="s">
        <v>555</v>
      </c>
      <c r="B316" s="5" t="s">
        <v>556</v>
      </c>
      <c r="C316" s="7">
        <v>5</v>
      </c>
      <c r="D316" s="7">
        <v>5</v>
      </c>
      <c r="E316" s="7">
        <v>0</v>
      </c>
      <c r="F316" s="7">
        <v>0</v>
      </c>
      <c r="G316" s="7">
        <v>0</v>
      </c>
      <c r="H316" s="7">
        <v>0</v>
      </c>
      <c r="I316" s="7">
        <v>0</v>
      </c>
      <c r="J316" s="7">
        <v>0</v>
      </c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0</v>
      </c>
      <c r="AA316" s="7">
        <v>0</v>
      </c>
      <c r="AB316" s="7">
        <v>0</v>
      </c>
      <c r="AC316" s="7">
        <v>0</v>
      </c>
      <c r="AD316" s="7">
        <v>0</v>
      </c>
      <c r="AE316" s="7">
        <v>0</v>
      </c>
      <c r="AF316" s="7">
        <v>0</v>
      </c>
      <c r="AG316" s="7">
        <v>0</v>
      </c>
      <c r="AH316" s="7">
        <v>0</v>
      </c>
      <c r="AI316" s="7">
        <v>0</v>
      </c>
      <c r="AJ316" s="7">
        <v>0</v>
      </c>
      <c r="AK316" s="7">
        <v>0</v>
      </c>
      <c r="AL316" s="7">
        <v>0</v>
      </c>
      <c r="AM316" s="7">
        <v>0</v>
      </c>
      <c r="AN316" s="7">
        <v>0</v>
      </c>
      <c r="AO316" s="7">
        <v>0</v>
      </c>
      <c r="AP316" s="7">
        <v>0</v>
      </c>
      <c r="AQ316" s="7">
        <v>0</v>
      </c>
      <c r="AR316" s="7">
        <v>0</v>
      </c>
      <c r="AS316" s="7">
        <v>0</v>
      </c>
      <c r="AT316" s="7">
        <v>0</v>
      </c>
      <c r="AU316" s="7">
        <v>0</v>
      </c>
      <c r="AV316" s="7">
        <v>0</v>
      </c>
      <c r="AW316" s="7">
        <v>0</v>
      </c>
      <c r="AX316" s="7">
        <v>0</v>
      </c>
      <c r="AY316" s="7">
        <v>0</v>
      </c>
      <c r="AZ316" s="7">
        <v>0</v>
      </c>
      <c r="BA316" s="7">
        <v>0</v>
      </c>
      <c r="BB316" s="7">
        <v>0</v>
      </c>
      <c r="BC316" s="7">
        <v>0</v>
      </c>
      <c r="BD316" s="7">
        <v>0</v>
      </c>
      <c r="BE316" s="7">
        <v>0</v>
      </c>
      <c r="BF316" s="7">
        <v>0</v>
      </c>
      <c r="BG316" s="7">
        <v>0</v>
      </c>
      <c r="BH316" s="7">
        <v>0</v>
      </c>
      <c r="BI316" s="7">
        <v>0</v>
      </c>
      <c r="BJ316" s="7">
        <v>0</v>
      </c>
      <c r="BK316" s="7">
        <v>0</v>
      </c>
      <c r="BL316" s="7">
        <v>0</v>
      </c>
      <c r="BM316" s="7">
        <v>0</v>
      </c>
      <c r="BN316" s="7">
        <v>0</v>
      </c>
      <c r="BO316" s="7">
        <v>0</v>
      </c>
      <c r="BP316" s="7">
        <v>0</v>
      </c>
      <c r="BQ316" s="7">
        <v>0</v>
      </c>
      <c r="BR316" s="21"/>
    </row>
    <row r="317" spans="1:70" ht="15.75" x14ac:dyDescent="0.25">
      <c r="A317" s="5" t="s">
        <v>557</v>
      </c>
      <c r="B317" s="5" t="s">
        <v>558</v>
      </c>
      <c r="C317" s="7">
        <v>5</v>
      </c>
      <c r="D317" s="7">
        <v>5</v>
      </c>
      <c r="E317" s="7">
        <v>0</v>
      </c>
      <c r="F317" s="7">
        <v>0</v>
      </c>
      <c r="G317" s="7">
        <v>0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7">
        <v>0</v>
      </c>
      <c r="AK317" s="7">
        <v>0</v>
      </c>
      <c r="AL317" s="7">
        <v>0</v>
      </c>
      <c r="AM317" s="7">
        <v>0</v>
      </c>
      <c r="AN317" s="7">
        <v>0</v>
      </c>
      <c r="AO317" s="7">
        <v>0</v>
      </c>
      <c r="AP317" s="7">
        <v>0</v>
      </c>
      <c r="AQ317" s="7">
        <v>0</v>
      </c>
      <c r="AR317" s="7">
        <v>0</v>
      </c>
      <c r="AS317" s="7">
        <v>0</v>
      </c>
      <c r="AT317" s="7">
        <v>0</v>
      </c>
      <c r="AU317" s="7">
        <v>0</v>
      </c>
      <c r="AV317" s="7">
        <v>0</v>
      </c>
      <c r="AW317" s="7">
        <v>0</v>
      </c>
      <c r="AX317" s="7">
        <v>0</v>
      </c>
      <c r="AY317" s="7">
        <v>0</v>
      </c>
      <c r="AZ317" s="7">
        <v>0</v>
      </c>
      <c r="BA317" s="7">
        <v>0</v>
      </c>
      <c r="BB317" s="7">
        <v>0</v>
      </c>
      <c r="BC317" s="7">
        <v>0</v>
      </c>
      <c r="BD317" s="7">
        <v>0</v>
      </c>
      <c r="BE317" s="7">
        <v>0</v>
      </c>
      <c r="BF317" s="7">
        <v>0</v>
      </c>
      <c r="BG317" s="7">
        <v>0</v>
      </c>
      <c r="BH317" s="7">
        <v>0</v>
      </c>
      <c r="BI317" s="7">
        <v>0</v>
      </c>
      <c r="BJ317" s="7">
        <v>0</v>
      </c>
      <c r="BK317" s="7">
        <v>0</v>
      </c>
      <c r="BL317" s="7">
        <v>0</v>
      </c>
      <c r="BM317" s="7">
        <v>0</v>
      </c>
      <c r="BN317" s="7">
        <v>0</v>
      </c>
      <c r="BO317" s="7">
        <v>0</v>
      </c>
      <c r="BP317" s="7">
        <v>0</v>
      </c>
      <c r="BQ317" s="7">
        <v>0</v>
      </c>
      <c r="BR317" s="21"/>
    </row>
    <row r="318" spans="1:70" ht="15.75" x14ac:dyDescent="0.25">
      <c r="A318" s="5" t="s">
        <v>559</v>
      </c>
      <c r="B318" s="5" t="s">
        <v>560</v>
      </c>
      <c r="C318" s="7">
        <v>5</v>
      </c>
      <c r="D318" s="7">
        <v>5</v>
      </c>
      <c r="E318" s="7">
        <v>0</v>
      </c>
      <c r="F318" s="7">
        <v>0</v>
      </c>
      <c r="G318" s="7">
        <v>0</v>
      </c>
      <c r="H318" s="7">
        <v>0</v>
      </c>
      <c r="I318" s="7">
        <v>0</v>
      </c>
      <c r="J318" s="7">
        <v>0</v>
      </c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7">
        <v>0</v>
      </c>
      <c r="AA318" s="7">
        <v>0</v>
      </c>
      <c r="AB318" s="7">
        <v>0</v>
      </c>
      <c r="AC318" s="7">
        <v>0</v>
      </c>
      <c r="AD318" s="7">
        <v>0</v>
      </c>
      <c r="AE318" s="7">
        <v>0</v>
      </c>
      <c r="AF318" s="7">
        <v>0</v>
      </c>
      <c r="AG318" s="7">
        <v>0</v>
      </c>
      <c r="AH318" s="7">
        <v>0</v>
      </c>
      <c r="AI318" s="7">
        <v>0</v>
      </c>
      <c r="AJ318" s="7">
        <v>0</v>
      </c>
      <c r="AK318" s="7">
        <v>0</v>
      </c>
      <c r="AL318" s="7">
        <v>0</v>
      </c>
      <c r="AM318" s="7">
        <v>0</v>
      </c>
      <c r="AN318" s="7">
        <v>0</v>
      </c>
      <c r="AO318" s="7">
        <v>0</v>
      </c>
      <c r="AP318" s="7">
        <v>0</v>
      </c>
      <c r="AQ318" s="7">
        <v>0</v>
      </c>
      <c r="AR318" s="7">
        <v>0</v>
      </c>
      <c r="AS318" s="7">
        <v>0</v>
      </c>
      <c r="AT318" s="7">
        <v>0</v>
      </c>
      <c r="AU318" s="7">
        <v>0</v>
      </c>
      <c r="AV318" s="7">
        <v>0</v>
      </c>
      <c r="AW318" s="7">
        <v>0</v>
      </c>
      <c r="AX318" s="7">
        <v>0</v>
      </c>
      <c r="AY318" s="7">
        <v>0</v>
      </c>
      <c r="AZ318" s="7">
        <v>0</v>
      </c>
      <c r="BA318" s="7">
        <v>0</v>
      </c>
      <c r="BB318" s="7">
        <v>0</v>
      </c>
      <c r="BC318" s="7">
        <v>0</v>
      </c>
      <c r="BD318" s="7">
        <v>0</v>
      </c>
      <c r="BE318" s="7">
        <v>0</v>
      </c>
      <c r="BF318" s="7">
        <v>0</v>
      </c>
      <c r="BG318" s="7">
        <v>0</v>
      </c>
      <c r="BH318" s="7">
        <v>0</v>
      </c>
      <c r="BI318" s="7">
        <v>0</v>
      </c>
      <c r="BJ318" s="7">
        <v>0</v>
      </c>
      <c r="BK318" s="7">
        <v>0</v>
      </c>
      <c r="BL318" s="7">
        <v>0</v>
      </c>
      <c r="BM318" s="7">
        <v>0</v>
      </c>
      <c r="BN318" s="7">
        <v>0</v>
      </c>
      <c r="BO318" s="7">
        <v>0</v>
      </c>
      <c r="BP318" s="7">
        <v>0</v>
      </c>
      <c r="BQ318" s="7">
        <v>0</v>
      </c>
      <c r="BR318" s="21"/>
    </row>
    <row r="319" spans="1:70" ht="15.75" x14ac:dyDescent="0.25">
      <c r="A319" s="5" t="s">
        <v>561</v>
      </c>
      <c r="B319" s="5" t="s">
        <v>562</v>
      </c>
      <c r="C319" s="7">
        <v>5</v>
      </c>
      <c r="D319" s="7">
        <v>5</v>
      </c>
      <c r="E319" s="7">
        <v>0</v>
      </c>
      <c r="F319" s="7">
        <v>0</v>
      </c>
      <c r="G319" s="7">
        <v>0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7">
        <v>0</v>
      </c>
      <c r="AK319" s="7">
        <v>0</v>
      </c>
      <c r="AL319" s="7">
        <v>0</v>
      </c>
      <c r="AM319" s="7">
        <v>0</v>
      </c>
      <c r="AN319" s="7">
        <v>0</v>
      </c>
      <c r="AO319" s="7">
        <v>0</v>
      </c>
      <c r="AP319" s="7">
        <v>0</v>
      </c>
      <c r="AQ319" s="7">
        <v>0</v>
      </c>
      <c r="AR319" s="7">
        <v>0</v>
      </c>
      <c r="AS319" s="7">
        <v>0</v>
      </c>
      <c r="AT319" s="7">
        <v>0</v>
      </c>
      <c r="AU319" s="7">
        <v>0</v>
      </c>
      <c r="AV319" s="7">
        <v>0</v>
      </c>
      <c r="AW319" s="7">
        <v>0</v>
      </c>
      <c r="AX319" s="7">
        <v>0</v>
      </c>
      <c r="AY319" s="7">
        <v>0</v>
      </c>
      <c r="AZ319" s="7">
        <v>0</v>
      </c>
      <c r="BA319" s="7">
        <v>0</v>
      </c>
      <c r="BB319" s="7">
        <v>0</v>
      </c>
      <c r="BC319" s="7">
        <v>0</v>
      </c>
      <c r="BD319" s="7">
        <v>0</v>
      </c>
      <c r="BE319" s="7">
        <v>0</v>
      </c>
      <c r="BF319" s="7">
        <v>0</v>
      </c>
      <c r="BG319" s="7">
        <v>0</v>
      </c>
      <c r="BH319" s="7">
        <v>0</v>
      </c>
      <c r="BI319" s="7">
        <v>0</v>
      </c>
      <c r="BJ319" s="7">
        <v>0</v>
      </c>
      <c r="BK319" s="7">
        <v>0</v>
      </c>
      <c r="BL319" s="7">
        <v>0</v>
      </c>
      <c r="BM319" s="7">
        <v>0</v>
      </c>
      <c r="BN319" s="7">
        <v>0</v>
      </c>
      <c r="BO319" s="7">
        <v>0</v>
      </c>
      <c r="BP319" s="7">
        <v>0</v>
      </c>
      <c r="BQ319" s="7">
        <v>0</v>
      </c>
      <c r="BR319" s="21"/>
    </row>
    <row r="320" spans="1:70" ht="15.75" x14ac:dyDescent="0.25">
      <c r="A320" s="5" t="s">
        <v>563</v>
      </c>
      <c r="B320" s="5" t="s">
        <v>564</v>
      </c>
      <c r="C320" s="7">
        <v>5</v>
      </c>
      <c r="D320" s="7">
        <v>5</v>
      </c>
      <c r="E320" s="7">
        <v>0</v>
      </c>
      <c r="F320" s="7">
        <v>0</v>
      </c>
      <c r="G320" s="7">
        <v>0</v>
      </c>
      <c r="H320" s="7">
        <v>0</v>
      </c>
      <c r="I320" s="7">
        <v>0</v>
      </c>
      <c r="J320" s="7">
        <v>0</v>
      </c>
      <c r="K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7">
        <v>0</v>
      </c>
      <c r="AA320" s="7">
        <v>0</v>
      </c>
      <c r="AB320" s="7">
        <v>0</v>
      </c>
      <c r="AC320" s="7">
        <v>0</v>
      </c>
      <c r="AD320" s="7">
        <v>0</v>
      </c>
      <c r="AE320" s="7">
        <v>0</v>
      </c>
      <c r="AF320" s="7">
        <v>0</v>
      </c>
      <c r="AG320" s="7">
        <v>0</v>
      </c>
      <c r="AH320" s="7">
        <v>0</v>
      </c>
      <c r="AI320" s="7">
        <v>0</v>
      </c>
      <c r="AJ320" s="7">
        <v>0</v>
      </c>
      <c r="AK320" s="7">
        <v>0</v>
      </c>
      <c r="AL320" s="7">
        <v>0</v>
      </c>
      <c r="AM320" s="7">
        <v>0</v>
      </c>
      <c r="AN320" s="7">
        <v>0</v>
      </c>
      <c r="AO320" s="7">
        <v>0</v>
      </c>
      <c r="AP320" s="7">
        <v>0</v>
      </c>
      <c r="AQ320" s="7">
        <v>0</v>
      </c>
      <c r="AR320" s="7">
        <v>0</v>
      </c>
      <c r="AS320" s="7">
        <v>0</v>
      </c>
      <c r="AT320" s="7">
        <v>0</v>
      </c>
      <c r="AU320" s="7">
        <v>0</v>
      </c>
      <c r="AV320" s="7">
        <v>0</v>
      </c>
      <c r="AW320" s="7">
        <v>0</v>
      </c>
      <c r="AX320" s="7">
        <v>0</v>
      </c>
      <c r="AY320" s="7">
        <v>0</v>
      </c>
      <c r="AZ320" s="7">
        <v>0</v>
      </c>
      <c r="BA320" s="7">
        <v>0</v>
      </c>
      <c r="BB320" s="7">
        <v>0</v>
      </c>
      <c r="BC320" s="7">
        <v>0</v>
      </c>
      <c r="BD320" s="7">
        <v>0</v>
      </c>
      <c r="BE320" s="7">
        <v>0</v>
      </c>
      <c r="BF320" s="7">
        <v>0</v>
      </c>
      <c r="BG320" s="7">
        <v>0</v>
      </c>
      <c r="BH320" s="7">
        <v>0</v>
      </c>
      <c r="BI320" s="7">
        <v>0</v>
      </c>
      <c r="BJ320" s="7">
        <v>0</v>
      </c>
      <c r="BK320" s="7">
        <v>0</v>
      </c>
      <c r="BL320" s="7">
        <v>0</v>
      </c>
      <c r="BM320" s="7">
        <v>0</v>
      </c>
      <c r="BN320" s="7">
        <v>0</v>
      </c>
      <c r="BO320" s="7">
        <v>0</v>
      </c>
      <c r="BP320" s="7">
        <v>0</v>
      </c>
      <c r="BQ320" s="7">
        <v>0</v>
      </c>
      <c r="BR320" s="21"/>
    </row>
    <row r="321" spans="1:70" ht="15.75" x14ac:dyDescent="0.25">
      <c r="A321" s="5" t="s">
        <v>565</v>
      </c>
      <c r="B321" s="5" t="s">
        <v>566</v>
      </c>
      <c r="C321" s="7">
        <v>5</v>
      </c>
      <c r="D321" s="7">
        <v>5</v>
      </c>
      <c r="E321" s="7">
        <v>0</v>
      </c>
      <c r="F321" s="7">
        <v>0</v>
      </c>
      <c r="G321" s="7">
        <v>0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7">
        <v>0</v>
      </c>
      <c r="AK321" s="7">
        <v>0</v>
      </c>
      <c r="AL321" s="7">
        <v>0</v>
      </c>
      <c r="AM321" s="7">
        <v>0</v>
      </c>
      <c r="AN321" s="7">
        <v>0</v>
      </c>
      <c r="AO321" s="7">
        <v>0</v>
      </c>
      <c r="AP321" s="7">
        <v>0</v>
      </c>
      <c r="AQ321" s="7">
        <v>0</v>
      </c>
      <c r="AR321" s="7">
        <v>0</v>
      </c>
      <c r="AS321" s="7">
        <v>0</v>
      </c>
      <c r="AT321" s="7">
        <v>0</v>
      </c>
      <c r="AU321" s="7">
        <v>0</v>
      </c>
      <c r="AV321" s="7">
        <v>0</v>
      </c>
      <c r="AW321" s="7">
        <v>0</v>
      </c>
      <c r="AX321" s="7">
        <v>0</v>
      </c>
      <c r="AY321" s="7">
        <v>0</v>
      </c>
      <c r="AZ321" s="7">
        <v>0</v>
      </c>
      <c r="BA321" s="7">
        <v>0</v>
      </c>
      <c r="BB321" s="7">
        <v>0</v>
      </c>
      <c r="BC321" s="7">
        <v>0</v>
      </c>
      <c r="BD321" s="7">
        <v>0</v>
      </c>
      <c r="BE321" s="7">
        <v>0</v>
      </c>
      <c r="BF321" s="7">
        <v>0</v>
      </c>
      <c r="BG321" s="7">
        <v>0</v>
      </c>
      <c r="BH321" s="7">
        <v>0</v>
      </c>
      <c r="BI321" s="7">
        <v>0</v>
      </c>
      <c r="BJ321" s="7">
        <v>0</v>
      </c>
      <c r="BK321" s="7">
        <v>0</v>
      </c>
      <c r="BL321" s="7">
        <v>0</v>
      </c>
      <c r="BM321" s="7">
        <v>0</v>
      </c>
      <c r="BN321" s="7">
        <v>0</v>
      </c>
      <c r="BO321" s="7">
        <v>0</v>
      </c>
      <c r="BP321" s="7">
        <v>0</v>
      </c>
      <c r="BQ321" s="7">
        <v>0</v>
      </c>
      <c r="BR321" s="21"/>
    </row>
    <row r="322" spans="1:70" ht="15.75" x14ac:dyDescent="0.25">
      <c r="A322" s="5" t="s">
        <v>567</v>
      </c>
      <c r="B322" s="5" t="s">
        <v>568</v>
      </c>
      <c r="C322" s="7">
        <v>5</v>
      </c>
      <c r="D322" s="7">
        <v>5</v>
      </c>
      <c r="E322" s="7">
        <v>0</v>
      </c>
      <c r="F322" s="7">
        <v>0</v>
      </c>
      <c r="G322" s="7">
        <v>0</v>
      </c>
      <c r="H322" s="7">
        <v>0</v>
      </c>
      <c r="I322" s="7">
        <v>0</v>
      </c>
      <c r="J322" s="7">
        <v>0</v>
      </c>
      <c r="K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Z322" s="7">
        <v>0</v>
      </c>
      <c r="AA322" s="7">
        <v>0</v>
      </c>
      <c r="AB322" s="7">
        <v>0</v>
      </c>
      <c r="AC322" s="7">
        <v>0</v>
      </c>
      <c r="AD322" s="7">
        <v>0</v>
      </c>
      <c r="AE322" s="7">
        <v>0</v>
      </c>
      <c r="AF322" s="7">
        <v>0</v>
      </c>
      <c r="AG322" s="7">
        <v>0</v>
      </c>
      <c r="AH322" s="7">
        <v>0</v>
      </c>
      <c r="AI322" s="7">
        <v>0</v>
      </c>
      <c r="AJ322" s="7">
        <v>0</v>
      </c>
      <c r="AK322" s="7">
        <v>0</v>
      </c>
      <c r="AL322" s="7">
        <v>0</v>
      </c>
      <c r="AM322" s="7">
        <v>0</v>
      </c>
      <c r="AN322" s="7">
        <v>0</v>
      </c>
      <c r="AO322" s="7">
        <v>0</v>
      </c>
      <c r="AP322" s="7">
        <v>0</v>
      </c>
      <c r="AQ322" s="7">
        <v>0</v>
      </c>
      <c r="AR322" s="7">
        <v>0</v>
      </c>
      <c r="AS322" s="7">
        <v>0</v>
      </c>
      <c r="AT322" s="7">
        <v>0</v>
      </c>
      <c r="AU322" s="7">
        <v>0</v>
      </c>
      <c r="AV322" s="7">
        <v>0</v>
      </c>
      <c r="AW322" s="7">
        <v>0</v>
      </c>
      <c r="AX322" s="7">
        <v>0</v>
      </c>
      <c r="AY322" s="7">
        <v>0</v>
      </c>
      <c r="AZ322" s="7">
        <v>0</v>
      </c>
      <c r="BA322" s="7">
        <v>0</v>
      </c>
      <c r="BB322" s="7">
        <v>0</v>
      </c>
      <c r="BC322" s="7">
        <v>0</v>
      </c>
      <c r="BD322" s="7">
        <v>0</v>
      </c>
      <c r="BE322" s="7">
        <v>0</v>
      </c>
      <c r="BF322" s="7">
        <v>0</v>
      </c>
      <c r="BG322" s="7">
        <v>0</v>
      </c>
      <c r="BH322" s="7">
        <v>0</v>
      </c>
      <c r="BI322" s="7">
        <v>0</v>
      </c>
      <c r="BJ322" s="7">
        <v>0</v>
      </c>
      <c r="BK322" s="7">
        <v>0</v>
      </c>
      <c r="BL322" s="7">
        <v>0</v>
      </c>
      <c r="BM322" s="7">
        <v>0</v>
      </c>
      <c r="BN322" s="7">
        <v>0</v>
      </c>
      <c r="BO322" s="7">
        <v>0</v>
      </c>
      <c r="BP322" s="7">
        <v>0</v>
      </c>
      <c r="BQ322" s="7">
        <v>0</v>
      </c>
      <c r="BR322" s="21"/>
    </row>
    <row r="323" spans="1:70" ht="15.75" x14ac:dyDescent="0.25">
      <c r="A323" s="5" t="s">
        <v>569</v>
      </c>
      <c r="B323" s="5" t="s">
        <v>570</v>
      </c>
      <c r="C323" s="7">
        <v>5</v>
      </c>
      <c r="D323" s="7">
        <v>5</v>
      </c>
      <c r="E323" s="7">
        <v>-38642.9</v>
      </c>
      <c r="F323" s="7">
        <v>-8803.8080000000009</v>
      </c>
      <c r="G323" s="7">
        <v>0</v>
      </c>
      <c r="H323" s="7">
        <v>0</v>
      </c>
      <c r="I323" s="7">
        <v>-375.41500000000002</v>
      </c>
      <c r="J323" s="7">
        <v>0</v>
      </c>
      <c r="K323" s="7">
        <v>0</v>
      </c>
      <c r="L323" s="7">
        <v>0</v>
      </c>
      <c r="M323" s="7">
        <v>-107215.389</v>
      </c>
      <c r="N323" s="7">
        <v>-8318.5750000000007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7">
        <v>-2777.7750000000001</v>
      </c>
      <c r="U323" s="7">
        <v>0</v>
      </c>
      <c r="V323" s="7">
        <v>0</v>
      </c>
      <c r="W323" s="7">
        <v>0</v>
      </c>
      <c r="X323" s="7">
        <v>-724.923</v>
      </c>
      <c r="Y323" s="7">
        <v>0</v>
      </c>
      <c r="Z323" s="7">
        <v>-18085.77</v>
      </c>
      <c r="AA323" s="7">
        <v>0</v>
      </c>
      <c r="AB323" s="7">
        <v>0</v>
      </c>
      <c r="AC323" s="7">
        <v>-6.9290000000000003</v>
      </c>
      <c r="AD323" s="7">
        <v>-1626.046</v>
      </c>
      <c r="AE323" s="7">
        <v>0</v>
      </c>
      <c r="AF323" s="7">
        <v>-46039.267</v>
      </c>
      <c r="AG323" s="7">
        <v>-21957.043000000001</v>
      </c>
      <c r="AH323" s="7">
        <v>0</v>
      </c>
      <c r="AI323" s="7">
        <v>-174878.30100000001</v>
      </c>
      <c r="AJ323" s="7">
        <v>-37584.180999999997</v>
      </c>
      <c r="AK323" s="7">
        <v>0</v>
      </c>
      <c r="AL323" s="7">
        <v>0</v>
      </c>
      <c r="AM323" s="7">
        <v>0</v>
      </c>
      <c r="AN323" s="7">
        <v>0</v>
      </c>
      <c r="AO323" s="7">
        <v>0</v>
      </c>
      <c r="AP323" s="7">
        <v>0</v>
      </c>
      <c r="AQ323" s="7">
        <v>-382.69299999999998</v>
      </c>
      <c r="AR323" s="7">
        <v>0</v>
      </c>
      <c r="AS323" s="7">
        <v>-6728.0360000000001</v>
      </c>
      <c r="AT323" s="7">
        <v>0</v>
      </c>
      <c r="AU323" s="7">
        <v>-29.343</v>
      </c>
      <c r="AV323" s="7">
        <v>0</v>
      </c>
      <c r="AW323" s="7">
        <v>-205.17</v>
      </c>
      <c r="AX323" s="7">
        <v>0</v>
      </c>
      <c r="AY323" s="7">
        <v>0</v>
      </c>
      <c r="AZ323" s="7">
        <v>0</v>
      </c>
      <c r="BA323" s="7">
        <v>-66.149000000000001</v>
      </c>
      <c r="BB323" s="7">
        <v>0</v>
      </c>
      <c r="BC323" s="7">
        <v>0</v>
      </c>
      <c r="BD323" s="7">
        <v>-91.977999999999994</v>
      </c>
      <c r="BE323" s="7">
        <v>0</v>
      </c>
      <c r="BF323" s="7">
        <v>0</v>
      </c>
      <c r="BG323" s="7">
        <v>-14.012</v>
      </c>
      <c r="BH323" s="7">
        <v>-14.012</v>
      </c>
      <c r="BI323" s="7">
        <v>0</v>
      </c>
      <c r="BJ323" s="7">
        <v>0</v>
      </c>
      <c r="BK323" s="7">
        <v>0</v>
      </c>
      <c r="BL323" s="7">
        <v>0</v>
      </c>
      <c r="BM323" s="7">
        <v>0</v>
      </c>
      <c r="BN323" s="7">
        <v>0</v>
      </c>
      <c r="BO323" s="7">
        <v>0</v>
      </c>
      <c r="BP323" s="7">
        <v>0</v>
      </c>
      <c r="BQ323" s="7">
        <v>0</v>
      </c>
      <c r="BR323" s="21"/>
    </row>
    <row r="324" spans="1:70" ht="15.75" x14ac:dyDescent="0.25">
      <c r="A324" s="5" t="s">
        <v>571</v>
      </c>
      <c r="B324" s="5" t="s">
        <v>572</v>
      </c>
      <c r="C324" s="7">
        <v>5</v>
      </c>
      <c r="D324" s="7">
        <v>5</v>
      </c>
      <c r="E324" s="7">
        <v>0</v>
      </c>
      <c r="F324" s="7">
        <v>0</v>
      </c>
      <c r="G324" s="7">
        <v>0</v>
      </c>
      <c r="H324" s="7">
        <v>0</v>
      </c>
      <c r="I324" s="7">
        <v>0</v>
      </c>
      <c r="J324" s="7">
        <v>0</v>
      </c>
      <c r="K324" s="7">
        <v>0</v>
      </c>
      <c r="L324" s="7">
        <v>0</v>
      </c>
      <c r="M324" s="7">
        <v>0</v>
      </c>
      <c r="N324" s="7">
        <v>0</v>
      </c>
      <c r="O324" s="7">
        <v>0</v>
      </c>
      <c r="P324" s="7">
        <v>0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V324" s="7">
        <v>0</v>
      </c>
      <c r="W324" s="7">
        <v>0</v>
      </c>
      <c r="X324" s="7">
        <v>0</v>
      </c>
      <c r="Y324" s="7">
        <v>0</v>
      </c>
      <c r="Z324" s="7">
        <v>0</v>
      </c>
      <c r="AA324" s="7">
        <v>0</v>
      </c>
      <c r="AB324" s="7">
        <v>0</v>
      </c>
      <c r="AC324" s="7">
        <v>0</v>
      </c>
      <c r="AD324" s="7">
        <v>0</v>
      </c>
      <c r="AE324" s="7">
        <v>0</v>
      </c>
      <c r="AF324" s="7">
        <v>0</v>
      </c>
      <c r="AG324" s="7">
        <v>0</v>
      </c>
      <c r="AH324" s="7">
        <v>0</v>
      </c>
      <c r="AI324" s="7">
        <v>0</v>
      </c>
      <c r="AJ324" s="7">
        <v>0</v>
      </c>
      <c r="AK324" s="7">
        <v>0</v>
      </c>
      <c r="AL324" s="7">
        <v>0</v>
      </c>
      <c r="AM324" s="7">
        <v>0</v>
      </c>
      <c r="AN324" s="7">
        <v>0</v>
      </c>
      <c r="AO324" s="7">
        <v>0</v>
      </c>
      <c r="AP324" s="7">
        <v>0</v>
      </c>
      <c r="AQ324" s="7">
        <v>0</v>
      </c>
      <c r="AR324" s="7">
        <v>0</v>
      </c>
      <c r="AS324" s="7">
        <v>0</v>
      </c>
      <c r="AT324" s="7">
        <v>0</v>
      </c>
      <c r="AU324" s="7">
        <v>0</v>
      </c>
      <c r="AV324" s="7">
        <v>0</v>
      </c>
      <c r="AW324" s="7">
        <v>0</v>
      </c>
      <c r="AX324" s="7">
        <v>0</v>
      </c>
      <c r="AY324" s="7">
        <v>0</v>
      </c>
      <c r="AZ324" s="7">
        <v>0</v>
      </c>
      <c r="BA324" s="7">
        <v>0</v>
      </c>
      <c r="BB324" s="7">
        <v>0</v>
      </c>
      <c r="BC324" s="7">
        <v>0</v>
      </c>
      <c r="BD324" s="7">
        <v>0</v>
      </c>
      <c r="BE324" s="7">
        <v>0</v>
      </c>
      <c r="BF324" s="7">
        <v>0</v>
      </c>
      <c r="BG324" s="7">
        <v>0</v>
      </c>
      <c r="BH324" s="7">
        <v>0</v>
      </c>
      <c r="BI324" s="7">
        <v>0</v>
      </c>
      <c r="BJ324" s="7">
        <v>0</v>
      </c>
      <c r="BK324" s="7">
        <v>0</v>
      </c>
      <c r="BL324" s="7">
        <v>0</v>
      </c>
      <c r="BM324" s="7">
        <v>0</v>
      </c>
      <c r="BN324" s="7">
        <v>0</v>
      </c>
      <c r="BO324" s="7">
        <v>0</v>
      </c>
      <c r="BP324" s="7">
        <v>0</v>
      </c>
      <c r="BQ324" s="7">
        <v>0</v>
      </c>
      <c r="BR324" s="21"/>
    </row>
    <row r="325" spans="1:70" ht="15.75" x14ac:dyDescent="0.25">
      <c r="A325" s="5" t="s">
        <v>573</v>
      </c>
      <c r="B325" s="5" t="s">
        <v>574</v>
      </c>
      <c r="C325" s="7">
        <v>5</v>
      </c>
      <c r="D325" s="7">
        <v>5</v>
      </c>
      <c r="E325" s="7">
        <v>-11180.427</v>
      </c>
      <c r="F325" s="7">
        <v>-2547.1779999999999</v>
      </c>
      <c r="G325" s="7">
        <v>0</v>
      </c>
      <c r="H325" s="7">
        <v>0</v>
      </c>
      <c r="I325" s="7">
        <v>-108.61799999999999</v>
      </c>
      <c r="J325" s="7">
        <v>0</v>
      </c>
      <c r="K325" s="7">
        <v>0</v>
      </c>
      <c r="L325" s="7">
        <v>0</v>
      </c>
      <c r="M325" s="7">
        <v>-31020.287</v>
      </c>
      <c r="N325" s="7">
        <v>-2406.7869999999998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7">
        <v>-803.68499999999995</v>
      </c>
      <c r="U325" s="7">
        <v>0</v>
      </c>
      <c r="V325" s="7">
        <v>0</v>
      </c>
      <c r="W325" s="7">
        <v>0</v>
      </c>
      <c r="X325" s="7">
        <v>-209.74</v>
      </c>
      <c r="Y325" s="7">
        <v>0</v>
      </c>
      <c r="Z325" s="7">
        <v>-5232.6980000000003</v>
      </c>
      <c r="AA325" s="7">
        <v>0</v>
      </c>
      <c r="AB325" s="7">
        <v>0</v>
      </c>
      <c r="AC325" s="7">
        <v>-2.0049999999999999</v>
      </c>
      <c r="AD325" s="7">
        <v>-470.459</v>
      </c>
      <c r="AE325" s="7">
        <v>0</v>
      </c>
      <c r="AF325" s="7">
        <v>-13320.395</v>
      </c>
      <c r="AG325" s="7">
        <v>-6352.7610000000004</v>
      </c>
      <c r="AH325" s="7">
        <v>0</v>
      </c>
      <c r="AI325" s="7">
        <v>-50596.983</v>
      </c>
      <c r="AJ325" s="7">
        <v>-10874.111999999999</v>
      </c>
      <c r="AK325" s="7">
        <v>0</v>
      </c>
      <c r="AL325" s="7">
        <v>0</v>
      </c>
      <c r="AM325" s="7">
        <v>0</v>
      </c>
      <c r="AN325" s="7">
        <v>0</v>
      </c>
      <c r="AO325" s="7">
        <v>0</v>
      </c>
      <c r="AP325" s="7">
        <v>0</v>
      </c>
      <c r="AQ325" s="7">
        <v>-110.723</v>
      </c>
      <c r="AR325" s="7">
        <v>0</v>
      </c>
      <c r="AS325" s="7">
        <v>-1946.6010000000001</v>
      </c>
      <c r="AT325" s="7">
        <v>0</v>
      </c>
      <c r="AU325" s="7">
        <v>-8.49</v>
      </c>
      <c r="AV325" s="7">
        <v>0</v>
      </c>
      <c r="AW325" s="7">
        <v>-59.360999999999997</v>
      </c>
      <c r="AX325" s="7">
        <v>0</v>
      </c>
      <c r="AY325" s="7">
        <v>0</v>
      </c>
      <c r="AZ325" s="7">
        <v>0</v>
      </c>
      <c r="BA325" s="7">
        <v>-19.138999999999999</v>
      </c>
      <c r="BB325" s="7">
        <v>0</v>
      </c>
      <c r="BC325" s="7">
        <v>0</v>
      </c>
      <c r="BD325" s="7">
        <v>-26.611999999999998</v>
      </c>
      <c r="BE325" s="7">
        <v>0</v>
      </c>
      <c r="BF325" s="7">
        <v>0</v>
      </c>
      <c r="BG325" s="7">
        <v>-4.0540000000000003</v>
      </c>
      <c r="BH325" s="7">
        <v>-4.0540000000000003</v>
      </c>
      <c r="BI325" s="7">
        <v>0</v>
      </c>
      <c r="BJ325" s="7">
        <v>0</v>
      </c>
      <c r="BK325" s="7">
        <v>0</v>
      </c>
      <c r="BL325" s="7">
        <v>0</v>
      </c>
      <c r="BM325" s="7">
        <v>0</v>
      </c>
      <c r="BN325" s="7">
        <v>0</v>
      </c>
      <c r="BO325" s="7">
        <v>0</v>
      </c>
      <c r="BP325" s="7">
        <v>0</v>
      </c>
      <c r="BQ325" s="7">
        <v>0</v>
      </c>
      <c r="BR325" s="21"/>
    </row>
    <row r="326" spans="1:70" ht="15.75" x14ac:dyDescent="0.25">
      <c r="A326" s="5" t="s">
        <v>575</v>
      </c>
      <c r="B326" s="5" t="s">
        <v>576</v>
      </c>
      <c r="C326" s="7">
        <v>6</v>
      </c>
      <c r="D326" s="7">
        <v>6</v>
      </c>
      <c r="E326" s="7">
        <v>71.831000000000003</v>
      </c>
      <c r="F326" s="7">
        <v>0</v>
      </c>
      <c r="G326" s="7">
        <v>0</v>
      </c>
      <c r="H326" s="7">
        <v>0</v>
      </c>
      <c r="I326" s="7">
        <v>101.312</v>
      </c>
      <c r="J326" s="7">
        <v>0</v>
      </c>
      <c r="K326" s="7">
        <v>0</v>
      </c>
      <c r="L326" s="7">
        <v>0</v>
      </c>
      <c r="M326" s="7">
        <v>10629.35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  <c r="Z326" s="7">
        <v>0</v>
      </c>
      <c r="AA326" s="7">
        <v>0</v>
      </c>
      <c r="AB326" s="7">
        <v>0</v>
      </c>
      <c r="AC326" s="7">
        <v>0</v>
      </c>
      <c r="AD326" s="7">
        <v>0</v>
      </c>
      <c r="AE326" s="7">
        <v>0</v>
      </c>
      <c r="AF326" s="7">
        <v>0</v>
      </c>
      <c r="AG326" s="7">
        <v>0</v>
      </c>
      <c r="AH326" s="7">
        <v>0</v>
      </c>
      <c r="AI326" s="7">
        <v>0</v>
      </c>
      <c r="AJ326" s="7">
        <v>0</v>
      </c>
      <c r="AK326" s="7">
        <v>0</v>
      </c>
      <c r="AL326" s="7">
        <v>0</v>
      </c>
      <c r="AM326" s="7">
        <v>0</v>
      </c>
      <c r="AN326" s="7">
        <v>0</v>
      </c>
      <c r="AO326" s="7">
        <v>0</v>
      </c>
      <c r="AP326" s="7">
        <v>0</v>
      </c>
      <c r="AQ326" s="7">
        <v>0</v>
      </c>
      <c r="AR326" s="7">
        <v>0</v>
      </c>
      <c r="AS326" s="7">
        <v>0</v>
      </c>
      <c r="AT326" s="7">
        <v>0</v>
      </c>
      <c r="AU326" s="7">
        <v>0</v>
      </c>
      <c r="AV326" s="7">
        <v>0</v>
      </c>
      <c r="AW326" s="7">
        <v>0</v>
      </c>
      <c r="AX326" s="7">
        <v>0</v>
      </c>
      <c r="AY326" s="7">
        <v>0</v>
      </c>
      <c r="AZ326" s="7">
        <v>0</v>
      </c>
      <c r="BA326" s="7">
        <v>0</v>
      </c>
      <c r="BB326" s="7">
        <v>0</v>
      </c>
      <c r="BC326" s="7">
        <v>0</v>
      </c>
      <c r="BD326" s="7">
        <v>0</v>
      </c>
      <c r="BE326" s="7">
        <v>0</v>
      </c>
      <c r="BF326" s="7">
        <v>0</v>
      </c>
      <c r="BG326" s="7">
        <v>0</v>
      </c>
      <c r="BH326" s="7">
        <v>0</v>
      </c>
      <c r="BI326" s="7">
        <v>0</v>
      </c>
      <c r="BJ326" s="7">
        <v>0</v>
      </c>
      <c r="BK326" s="7">
        <v>0</v>
      </c>
      <c r="BL326" s="7">
        <v>0</v>
      </c>
      <c r="BM326" s="7">
        <v>0</v>
      </c>
      <c r="BN326" s="7">
        <v>0</v>
      </c>
      <c r="BO326" s="7">
        <v>0</v>
      </c>
      <c r="BP326" s="7">
        <v>0</v>
      </c>
      <c r="BQ326" s="7">
        <v>0</v>
      </c>
      <c r="BR326" s="21"/>
    </row>
    <row r="327" spans="1:70" ht="15.75" x14ac:dyDescent="0.25">
      <c r="A327" s="5" t="s">
        <v>577</v>
      </c>
      <c r="B327" s="5" t="s">
        <v>578</v>
      </c>
      <c r="C327" s="7">
        <v>6</v>
      </c>
      <c r="D327" s="7">
        <v>6</v>
      </c>
      <c r="E327" s="7">
        <v>0</v>
      </c>
      <c r="F327" s="7">
        <v>0</v>
      </c>
      <c r="G327" s="7">
        <v>0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7">
        <v>0</v>
      </c>
      <c r="AK327" s="7">
        <v>0</v>
      </c>
      <c r="AL327" s="7">
        <v>0</v>
      </c>
      <c r="AM327" s="7">
        <v>0</v>
      </c>
      <c r="AN327" s="7">
        <v>0</v>
      </c>
      <c r="AO327" s="7">
        <v>0</v>
      </c>
      <c r="AP327" s="7">
        <v>0</v>
      </c>
      <c r="AQ327" s="7">
        <v>0</v>
      </c>
      <c r="AR327" s="7">
        <v>0</v>
      </c>
      <c r="AS327" s="7">
        <v>0</v>
      </c>
      <c r="AT327" s="7">
        <v>0</v>
      </c>
      <c r="AU327" s="7">
        <v>0</v>
      </c>
      <c r="AV327" s="7">
        <v>0</v>
      </c>
      <c r="AW327" s="7">
        <v>0</v>
      </c>
      <c r="AX327" s="7">
        <v>0</v>
      </c>
      <c r="AY327" s="7">
        <v>0</v>
      </c>
      <c r="AZ327" s="7">
        <v>0</v>
      </c>
      <c r="BA327" s="7">
        <v>0</v>
      </c>
      <c r="BB327" s="7">
        <v>0</v>
      </c>
      <c r="BC327" s="7">
        <v>0</v>
      </c>
      <c r="BD327" s="7">
        <v>0</v>
      </c>
      <c r="BE327" s="7">
        <v>0</v>
      </c>
      <c r="BF327" s="7">
        <v>0</v>
      </c>
      <c r="BG327" s="7">
        <v>0</v>
      </c>
      <c r="BH327" s="7">
        <v>0</v>
      </c>
      <c r="BI327" s="7">
        <v>0</v>
      </c>
      <c r="BJ327" s="7">
        <v>0</v>
      </c>
      <c r="BK327" s="7">
        <v>0</v>
      </c>
      <c r="BL327" s="7">
        <v>0</v>
      </c>
      <c r="BM327" s="7">
        <v>0</v>
      </c>
      <c r="BN327" s="7">
        <v>0</v>
      </c>
      <c r="BO327" s="7">
        <v>0</v>
      </c>
      <c r="BP327" s="7">
        <v>0</v>
      </c>
      <c r="BQ327" s="7">
        <v>0</v>
      </c>
      <c r="BR327" s="21"/>
    </row>
    <row r="328" spans="1:70" ht="15.75" x14ac:dyDescent="0.25">
      <c r="A328" s="5" t="s">
        <v>579</v>
      </c>
      <c r="B328" s="5" t="s">
        <v>580</v>
      </c>
      <c r="C328" s="7">
        <v>6</v>
      </c>
      <c r="D328" s="7">
        <v>6</v>
      </c>
      <c r="E328" s="7">
        <v>0</v>
      </c>
      <c r="F328" s="7">
        <v>0</v>
      </c>
      <c r="G328" s="7">
        <v>0</v>
      </c>
      <c r="H328" s="7">
        <v>0</v>
      </c>
      <c r="I328" s="7">
        <v>0</v>
      </c>
      <c r="J328" s="7">
        <v>0</v>
      </c>
      <c r="K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Z328" s="7">
        <v>0</v>
      </c>
      <c r="AA328" s="7">
        <v>0</v>
      </c>
      <c r="AB328" s="7">
        <v>0</v>
      </c>
      <c r="AC328" s="7">
        <v>0</v>
      </c>
      <c r="AD328" s="7">
        <v>0</v>
      </c>
      <c r="AE328" s="7">
        <v>0</v>
      </c>
      <c r="AF328" s="7">
        <v>0</v>
      </c>
      <c r="AG328" s="7">
        <v>0</v>
      </c>
      <c r="AH328" s="7">
        <v>0</v>
      </c>
      <c r="AI328" s="7">
        <v>0</v>
      </c>
      <c r="AJ328" s="7">
        <v>0</v>
      </c>
      <c r="AK328" s="7">
        <v>0</v>
      </c>
      <c r="AL328" s="7">
        <v>0</v>
      </c>
      <c r="AM328" s="7">
        <v>0</v>
      </c>
      <c r="AN328" s="7">
        <v>0</v>
      </c>
      <c r="AO328" s="7">
        <v>0</v>
      </c>
      <c r="AP328" s="7">
        <v>0</v>
      </c>
      <c r="AQ328" s="7">
        <v>0</v>
      </c>
      <c r="AR328" s="7">
        <v>0</v>
      </c>
      <c r="AS328" s="7">
        <v>0</v>
      </c>
      <c r="AT328" s="7">
        <v>0</v>
      </c>
      <c r="AU328" s="7">
        <v>0</v>
      </c>
      <c r="AV328" s="7">
        <v>0</v>
      </c>
      <c r="AW328" s="7">
        <v>0</v>
      </c>
      <c r="AX328" s="7">
        <v>0</v>
      </c>
      <c r="AY328" s="7">
        <v>0</v>
      </c>
      <c r="AZ328" s="7">
        <v>0</v>
      </c>
      <c r="BA328" s="7">
        <v>0</v>
      </c>
      <c r="BB328" s="7">
        <v>0</v>
      </c>
      <c r="BC328" s="7">
        <v>0</v>
      </c>
      <c r="BD328" s="7">
        <v>0</v>
      </c>
      <c r="BE328" s="7">
        <v>0</v>
      </c>
      <c r="BF328" s="7">
        <v>0</v>
      </c>
      <c r="BG328" s="7">
        <v>0</v>
      </c>
      <c r="BH328" s="7">
        <v>0</v>
      </c>
      <c r="BI328" s="7">
        <v>0</v>
      </c>
      <c r="BJ328" s="7">
        <v>0</v>
      </c>
      <c r="BK328" s="7">
        <v>0</v>
      </c>
      <c r="BL328" s="7">
        <v>0</v>
      </c>
      <c r="BM328" s="7">
        <v>0</v>
      </c>
      <c r="BN328" s="7">
        <v>0</v>
      </c>
      <c r="BO328" s="7">
        <v>0</v>
      </c>
      <c r="BP328" s="7">
        <v>0</v>
      </c>
      <c r="BQ328" s="7">
        <v>0</v>
      </c>
      <c r="BR328" s="21"/>
    </row>
    <row r="329" spans="1:70" ht="15.75" x14ac:dyDescent="0.25">
      <c r="A329" s="5" t="s">
        <v>581</v>
      </c>
      <c r="B329" s="5" t="s">
        <v>582</v>
      </c>
      <c r="C329" s="7">
        <v>6</v>
      </c>
      <c r="D329" s="7">
        <v>6</v>
      </c>
      <c r="E329" s="7">
        <v>0</v>
      </c>
      <c r="F329" s="7">
        <v>0</v>
      </c>
      <c r="G329" s="7">
        <v>0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7">
        <v>0</v>
      </c>
      <c r="AK329" s="7">
        <v>0</v>
      </c>
      <c r="AL329" s="7">
        <v>0</v>
      </c>
      <c r="AM329" s="7">
        <v>0</v>
      </c>
      <c r="AN329" s="7">
        <v>0</v>
      </c>
      <c r="AO329" s="7">
        <v>0</v>
      </c>
      <c r="AP329" s="7">
        <v>0</v>
      </c>
      <c r="AQ329" s="7">
        <v>0</v>
      </c>
      <c r="AR329" s="7">
        <v>0</v>
      </c>
      <c r="AS329" s="7">
        <v>0</v>
      </c>
      <c r="AT329" s="7">
        <v>0</v>
      </c>
      <c r="AU329" s="7">
        <v>0</v>
      </c>
      <c r="AV329" s="7">
        <v>0</v>
      </c>
      <c r="AW329" s="7">
        <v>0</v>
      </c>
      <c r="AX329" s="7">
        <v>0</v>
      </c>
      <c r="AY329" s="7">
        <v>0</v>
      </c>
      <c r="AZ329" s="7">
        <v>0</v>
      </c>
      <c r="BA329" s="7">
        <v>0</v>
      </c>
      <c r="BB329" s="7">
        <v>0</v>
      </c>
      <c r="BC329" s="7">
        <v>0</v>
      </c>
      <c r="BD329" s="7">
        <v>0</v>
      </c>
      <c r="BE329" s="7">
        <v>0</v>
      </c>
      <c r="BF329" s="7">
        <v>0</v>
      </c>
      <c r="BG329" s="7">
        <v>0</v>
      </c>
      <c r="BH329" s="7">
        <v>0</v>
      </c>
      <c r="BI329" s="7">
        <v>0</v>
      </c>
      <c r="BJ329" s="7">
        <v>0</v>
      </c>
      <c r="BK329" s="7">
        <v>0</v>
      </c>
      <c r="BL329" s="7">
        <v>0</v>
      </c>
      <c r="BM329" s="7">
        <v>0</v>
      </c>
      <c r="BN329" s="7">
        <v>0</v>
      </c>
      <c r="BO329" s="7">
        <v>0</v>
      </c>
      <c r="BP329" s="7">
        <v>0</v>
      </c>
      <c r="BQ329" s="7">
        <v>0</v>
      </c>
      <c r="BR329" s="21"/>
    </row>
    <row r="330" spans="1:70" ht="15.75" x14ac:dyDescent="0.25">
      <c r="A330" s="5" t="s">
        <v>583</v>
      </c>
      <c r="B330" s="5" t="s">
        <v>584</v>
      </c>
      <c r="C330" s="7">
        <v>6</v>
      </c>
      <c r="D330" s="7">
        <v>6</v>
      </c>
      <c r="E330" s="7">
        <v>0</v>
      </c>
      <c r="F330" s="7">
        <v>0</v>
      </c>
      <c r="G330" s="7">
        <v>0</v>
      </c>
      <c r="H330" s="7">
        <v>0</v>
      </c>
      <c r="I330" s="7">
        <v>0</v>
      </c>
      <c r="J330" s="7">
        <v>0</v>
      </c>
      <c r="K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0</v>
      </c>
      <c r="AB330" s="7">
        <v>0</v>
      </c>
      <c r="AC330" s="7">
        <v>0</v>
      </c>
      <c r="AD330" s="7">
        <v>0</v>
      </c>
      <c r="AE330" s="7">
        <v>0</v>
      </c>
      <c r="AF330" s="7">
        <v>0</v>
      </c>
      <c r="AG330" s="7">
        <v>0</v>
      </c>
      <c r="AH330" s="7">
        <v>0</v>
      </c>
      <c r="AI330" s="7">
        <v>0</v>
      </c>
      <c r="AJ330" s="7">
        <v>0</v>
      </c>
      <c r="AK330" s="7">
        <v>0</v>
      </c>
      <c r="AL330" s="7">
        <v>0</v>
      </c>
      <c r="AM330" s="7">
        <v>0</v>
      </c>
      <c r="AN330" s="7">
        <v>0</v>
      </c>
      <c r="AO330" s="7">
        <v>0</v>
      </c>
      <c r="AP330" s="7">
        <v>0</v>
      </c>
      <c r="AQ330" s="7">
        <v>0</v>
      </c>
      <c r="AR330" s="7">
        <v>0</v>
      </c>
      <c r="AS330" s="7">
        <v>0</v>
      </c>
      <c r="AT330" s="7">
        <v>0</v>
      </c>
      <c r="AU330" s="7">
        <v>0</v>
      </c>
      <c r="AV330" s="7">
        <v>0</v>
      </c>
      <c r="AW330" s="7">
        <v>0</v>
      </c>
      <c r="AX330" s="7">
        <v>0</v>
      </c>
      <c r="AY330" s="7">
        <v>0</v>
      </c>
      <c r="AZ330" s="7">
        <v>0</v>
      </c>
      <c r="BA330" s="7">
        <v>0</v>
      </c>
      <c r="BB330" s="7">
        <v>0</v>
      </c>
      <c r="BC330" s="7">
        <v>0</v>
      </c>
      <c r="BD330" s="7">
        <v>0</v>
      </c>
      <c r="BE330" s="7">
        <v>0</v>
      </c>
      <c r="BF330" s="7">
        <v>0</v>
      </c>
      <c r="BG330" s="7">
        <v>0</v>
      </c>
      <c r="BH330" s="7">
        <v>0</v>
      </c>
      <c r="BI330" s="7">
        <v>0</v>
      </c>
      <c r="BJ330" s="7">
        <v>0</v>
      </c>
      <c r="BK330" s="7">
        <v>0</v>
      </c>
      <c r="BL330" s="7">
        <v>0</v>
      </c>
      <c r="BM330" s="7">
        <v>0</v>
      </c>
      <c r="BN330" s="7">
        <v>0</v>
      </c>
      <c r="BO330" s="7">
        <v>0</v>
      </c>
      <c r="BP330" s="7">
        <v>0</v>
      </c>
      <c r="BQ330" s="7">
        <v>0</v>
      </c>
      <c r="BR330" s="21"/>
    </row>
    <row r="331" spans="1:70" ht="15.75" x14ac:dyDescent="0.25">
      <c r="A331" s="5" t="s">
        <v>585</v>
      </c>
      <c r="B331" s="5" t="s">
        <v>586</v>
      </c>
      <c r="C331" s="7">
        <v>6</v>
      </c>
      <c r="D331" s="7">
        <v>6</v>
      </c>
      <c r="E331" s="7">
        <v>0</v>
      </c>
      <c r="F331" s="7">
        <v>0</v>
      </c>
      <c r="G331" s="7">
        <v>0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7">
        <v>0</v>
      </c>
      <c r="AK331" s="7">
        <v>0</v>
      </c>
      <c r="AL331" s="7">
        <v>0</v>
      </c>
      <c r="AM331" s="7">
        <v>0</v>
      </c>
      <c r="AN331" s="7">
        <v>0</v>
      </c>
      <c r="AO331" s="7">
        <v>0</v>
      </c>
      <c r="AP331" s="7">
        <v>0</v>
      </c>
      <c r="AQ331" s="7">
        <v>0</v>
      </c>
      <c r="AR331" s="7">
        <v>0</v>
      </c>
      <c r="AS331" s="7">
        <v>0</v>
      </c>
      <c r="AT331" s="7">
        <v>0</v>
      </c>
      <c r="AU331" s="7">
        <v>0</v>
      </c>
      <c r="AV331" s="7">
        <v>0</v>
      </c>
      <c r="AW331" s="7">
        <v>0</v>
      </c>
      <c r="AX331" s="7">
        <v>0</v>
      </c>
      <c r="AY331" s="7">
        <v>0</v>
      </c>
      <c r="AZ331" s="7">
        <v>0</v>
      </c>
      <c r="BA331" s="7">
        <v>0</v>
      </c>
      <c r="BB331" s="7">
        <v>0</v>
      </c>
      <c r="BC331" s="7">
        <v>0</v>
      </c>
      <c r="BD331" s="7">
        <v>0</v>
      </c>
      <c r="BE331" s="7">
        <v>0</v>
      </c>
      <c r="BF331" s="7">
        <v>0</v>
      </c>
      <c r="BG331" s="7">
        <v>0</v>
      </c>
      <c r="BH331" s="7">
        <v>0</v>
      </c>
      <c r="BI331" s="7">
        <v>0</v>
      </c>
      <c r="BJ331" s="7">
        <v>0</v>
      </c>
      <c r="BK331" s="7">
        <v>0</v>
      </c>
      <c r="BL331" s="7">
        <v>0</v>
      </c>
      <c r="BM331" s="7">
        <v>0</v>
      </c>
      <c r="BN331" s="7">
        <v>0</v>
      </c>
      <c r="BO331" s="7">
        <v>0</v>
      </c>
      <c r="BP331" s="7">
        <v>0</v>
      </c>
      <c r="BQ331" s="7">
        <v>0</v>
      </c>
      <c r="BR331" s="21"/>
    </row>
    <row r="332" spans="1:70" ht="15.75" x14ac:dyDescent="0.25">
      <c r="A332" s="5" t="s">
        <v>587</v>
      </c>
      <c r="B332" s="5" t="s">
        <v>588</v>
      </c>
      <c r="C332" s="7">
        <v>6</v>
      </c>
      <c r="D332" s="7">
        <v>6</v>
      </c>
      <c r="E332" s="7">
        <v>0</v>
      </c>
      <c r="F332" s="7">
        <v>0</v>
      </c>
      <c r="G332" s="7">
        <v>0</v>
      </c>
      <c r="H332" s="7">
        <v>0</v>
      </c>
      <c r="I332" s="7">
        <v>0</v>
      </c>
      <c r="J332" s="7">
        <v>0</v>
      </c>
      <c r="K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7">
        <v>0</v>
      </c>
      <c r="AA332" s="7">
        <v>0</v>
      </c>
      <c r="AB332" s="7">
        <v>0</v>
      </c>
      <c r="AC332" s="7">
        <v>0</v>
      </c>
      <c r="AD332" s="7">
        <v>0</v>
      </c>
      <c r="AE332" s="7">
        <v>0</v>
      </c>
      <c r="AF332" s="7">
        <v>0</v>
      </c>
      <c r="AG332" s="7">
        <v>0</v>
      </c>
      <c r="AH332" s="7">
        <v>0</v>
      </c>
      <c r="AI332" s="7">
        <v>0</v>
      </c>
      <c r="AJ332" s="7">
        <v>0</v>
      </c>
      <c r="AK332" s="7">
        <v>0</v>
      </c>
      <c r="AL332" s="7">
        <v>0</v>
      </c>
      <c r="AM332" s="7">
        <v>0</v>
      </c>
      <c r="AN332" s="7">
        <v>0</v>
      </c>
      <c r="AO332" s="7">
        <v>0</v>
      </c>
      <c r="AP332" s="7">
        <v>0</v>
      </c>
      <c r="AQ332" s="7">
        <v>0</v>
      </c>
      <c r="AR332" s="7">
        <v>0</v>
      </c>
      <c r="AS332" s="7">
        <v>0</v>
      </c>
      <c r="AT332" s="7">
        <v>0</v>
      </c>
      <c r="AU332" s="7">
        <v>0</v>
      </c>
      <c r="AV332" s="7">
        <v>0</v>
      </c>
      <c r="AW332" s="7">
        <v>0</v>
      </c>
      <c r="AX332" s="7">
        <v>0</v>
      </c>
      <c r="AY332" s="7">
        <v>0</v>
      </c>
      <c r="AZ332" s="7">
        <v>0</v>
      </c>
      <c r="BA332" s="7">
        <v>0</v>
      </c>
      <c r="BB332" s="7">
        <v>0</v>
      </c>
      <c r="BC332" s="7">
        <v>0</v>
      </c>
      <c r="BD332" s="7">
        <v>0</v>
      </c>
      <c r="BE332" s="7">
        <v>0</v>
      </c>
      <c r="BF332" s="7">
        <v>0</v>
      </c>
      <c r="BG332" s="7">
        <v>0</v>
      </c>
      <c r="BH332" s="7">
        <v>0</v>
      </c>
      <c r="BI332" s="7">
        <v>0</v>
      </c>
      <c r="BJ332" s="7">
        <v>0</v>
      </c>
      <c r="BK332" s="7">
        <v>0</v>
      </c>
      <c r="BL332" s="7">
        <v>0</v>
      </c>
      <c r="BM332" s="7">
        <v>0</v>
      </c>
      <c r="BN332" s="7">
        <v>0</v>
      </c>
      <c r="BO332" s="7">
        <v>0</v>
      </c>
      <c r="BP332" s="7">
        <v>0</v>
      </c>
      <c r="BQ332" s="7">
        <v>0</v>
      </c>
      <c r="BR332" s="21"/>
    </row>
    <row r="333" spans="1:70" ht="15.75" x14ac:dyDescent="0.25">
      <c r="A333" s="5" t="s">
        <v>589</v>
      </c>
      <c r="B333" s="5" t="s">
        <v>590</v>
      </c>
      <c r="C333" s="7">
        <v>6</v>
      </c>
      <c r="D333" s="7">
        <v>6</v>
      </c>
      <c r="E333" s="7">
        <v>0</v>
      </c>
      <c r="F333" s="7">
        <v>0</v>
      </c>
      <c r="G333" s="7">
        <v>0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7">
        <v>0</v>
      </c>
      <c r="AK333" s="7">
        <v>0</v>
      </c>
      <c r="AL333" s="7">
        <v>0</v>
      </c>
      <c r="AM333" s="7">
        <v>0</v>
      </c>
      <c r="AN333" s="7">
        <v>0</v>
      </c>
      <c r="AO333" s="7">
        <v>0</v>
      </c>
      <c r="AP333" s="7">
        <v>0</v>
      </c>
      <c r="AQ333" s="7">
        <v>0</v>
      </c>
      <c r="AR333" s="7">
        <v>0</v>
      </c>
      <c r="AS333" s="7">
        <v>0</v>
      </c>
      <c r="AT333" s="7">
        <v>0</v>
      </c>
      <c r="AU333" s="7">
        <v>0</v>
      </c>
      <c r="AV333" s="7">
        <v>0</v>
      </c>
      <c r="AW333" s="7">
        <v>0</v>
      </c>
      <c r="AX333" s="7">
        <v>0</v>
      </c>
      <c r="AY333" s="7">
        <v>0</v>
      </c>
      <c r="AZ333" s="7">
        <v>0</v>
      </c>
      <c r="BA333" s="7">
        <v>0</v>
      </c>
      <c r="BB333" s="7">
        <v>0</v>
      </c>
      <c r="BC333" s="7">
        <v>0</v>
      </c>
      <c r="BD333" s="7">
        <v>0</v>
      </c>
      <c r="BE333" s="7">
        <v>0</v>
      </c>
      <c r="BF333" s="7">
        <v>0</v>
      </c>
      <c r="BG333" s="7">
        <v>0</v>
      </c>
      <c r="BH333" s="7">
        <v>0</v>
      </c>
      <c r="BI333" s="7">
        <v>0</v>
      </c>
      <c r="BJ333" s="7">
        <v>0</v>
      </c>
      <c r="BK333" s="7">
        <v>0</v>
      </c>
      <c r="BL333" s="7">
        <v>0</v>
      </c>
      <c r="BM333" s="7">
        <v>0</v>
      </c>
      <c r="BN333" s="7">
        <v>0</v>
      </c>
      <c r="BO333" s="7">
        <v>0</v>
      </c>
      <c r="BP333" s="7">
        <v>0</v>
      </c>
      <c r="BQ333" s="7">
        <v>0</v>
      </c>
      <c r="BR333" s="21"/>
    </row>
    <row r="334" spans="1:70" ht="15.75" x14ac:dyDescent="0.25">
      <c r="A334" s="5" t="s">
        <v>591</v>
      </c>
      <c r="B334" s="5" t="s">
        <v>592</v>
      </c>
      <c r="C334" s="7">
        <v>6</v>
      </c>
      <c r="D334" s="7">
        <v>6</v>
      </c>
      <c r="E334" s="7">
        <v>0</v>
      </c>
      <c r="F334" s="7">
        <v>0</v>
      </c>
      <c r="G334" s="7">
        <v>0</v>
      </c>
      <c r="H334" s="7">
        <v>0</v>
      </c>
      <c r="I334" s="7">
        <v>0</v>
      </c>
      <c r="J334" s="7">
        <v>0</v>
      </c>
      <c r="K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Z334" s="7">
        <v>0</v>
      </c>
      <c r="AA334" s="7">
        <v>0</v>
      </c>
      <c r="AB334" s="7">
        <v>0</v>
      </c>
      <c r="AC334" s="7">
        <v>0</v>
      </c>
      <c r="AD334" s="7">
        <v>0</v>
      </c>
      <c r="AE334" s="7">
        <v>0</v>
      </c>
      <c r="AF334" s="7">
        <v>0</v>
      </c>
      <c r="AG334" s="7">
        <v>0</v>
      </c>
      <c r="AH334" s="7">
        <v>0</v>
      </c>
      <c r="AI334" s="7">
        <v>0</v>
      </c>
      <c r="AJ334" s="7">
        <v>0</v>
      </c>
      <c r="AK334" s="7">
        <v>0</v>
      </c>
      <c r="AL334" s="7">
        <v>0</v>
      </c>
      <c r="AM334" s="7">
        <v>0</v>
      </c>
      <c r="AN334" s="7">
        <v>0</v>
      </c>
      <c r="AO334" s="7">
        <v>0</v>
      </c>
      <c r="AP334" s="7">
        <v>0</v>
      </c>
      <c r="AQ334" s="7">
        <v>0</v>
      </c>
      <c r="AR334" s="7">
        <v>0</v>
      </c>
      <c r="AS334" s="7">
        <v>0</v>
      </c>
      <c r="AT334" s="7">
        <v>0</v>
      </c>
      <c r="AU334" s="7">
        <v>0</v>
      </c>
      <c r="AV334" s="7">
        <v>0</v>
      </c>
      <c r="AW334" s="7">
        <v>0</v>
      </c>
      <c r="AX334" s="7">
        <v>0</v>
      </c>
      <c r="AY334" s="7">
        <v>0</v>
      </c>
      <c r="AZ334" s="7">
        <v>0</v>
      </c>
      <c r="BA334" s="7">
        <v>0</v>
      </c>
      <c r="BB334" s="7">
        <v>0</v>
      </c>
      <c r="BC334" s="7">
        <v>0</v>
      </c>
      <c r="BD334" s="7">
        <v>0</v>
      </c>
      <c r="BE334" s="7">
        <v>0</v>
      </c>
      <c r="BF334" s="7">
        <v>0</v>
      </c>
      <c r="BG334" s="7">
        <v>0</v>
      </c>
      <c r="BH334" s="7">
        <v>0</v>
      </c>
      <c r="BI334" s="7">
        <v>0</v>
      </c>
      <c r="BJ334" s="7">
        <v>0</v>
      </c>
      <c r="BK334" s="7">
        <v>0</v>
      </c>
      <c r="BL334" s="7">
        <v>0</v>
      </c>
      <c r="BM334" s="7">
        <v>0</v>
      </c>
      <c r="BN334" s="7">
        <v>0</v>
      </c>
      <c r="BO334" s="7">
        <v>0</v>
      </c>
      <c r="BP334" s="7">
        <v>0</v>
      </c>
      <c r="BQ334" s="7">
        <v>0</v>
      </c>
      <c r="BR334" s="21"/>
    </row>
    <row r="335" spans="1:70" ht="15.75" x14ac:dyDescent="0.25">
      <c r="A335" s="5" t="s">
        <v>593</v>
      </c>
      <c r="B335" s="5" t="s">
        <v>594</v>
      </c>
      <c r="C335" s="7">
        <v>6</v>
      </c>
      <c r="D335" s="7">
        <v>6</v>
      </c>
      <c r="E335" s="7">
        <v>0</v>
      </c>
      <c r="F335" s="7">
        <v>0</v>
      </c>
      <c r="G335" s="7">
        <v>0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V335" s="7">
        <v>0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7">
        <v>0</v>
      </c>
      <c r="AK335" s="7">
        <v>0</v>
      </c>
      <c r="AL335" s="7">
        <v>0</v>
      </c>
      <c r="AM335" s="7">
        <v>0</v>
      </c>
      <c r="AN335" s="7">
        <v>0</v>
      </c>
      <c r="AO335" s="7">
        <v>0</v>
      </c>
      <c r="AP335" s="7">
        <v>0</v>
      </c>
      <c r="AQ335" s="7">
        <v>0</v>
      </c>
      <c r="AR335" s="7">
        <v>0</v>
      </c>
      <c r="AS335" s="7">
        <v>0</v>
      </c>
      <c r="AT335" s="7">
        <v>0</v>
      </c>
      <c r="AU335" s="7">
        <v>0</v>
      </c>
      <c r="AV335" s="7">
        <v>0</v>
      </c>
      <c r="AW335" s="7">
        <v>0</v>
      </c>
      <c r="AX335" s="7">
        <v>0</v>
      </c>
      <c r="AY335" s="7">
        <v>0</v>
      </c>
      <c r="AZ335" s="7">
        <v>0</v>
      </c>
      <c r="BA335" s="7">
        <v>0</v>
      </c>
      <c r="BB335" s="7">
        <v>0</v>
      </c>
      <c r="BC335" s="7">
        <v>0</v>
      </c>
      <c r="BD335" s="7">
        <v>0</v>
      </c>
      <c r="BE335" s="7">
        <v>0</v>
      </c>
      <c r="BF335" s="7">
        <v>0</v>
      </c>
      <c r="BG335" s="7">
        <v>0</v>
      </c>
      <c r="BH335" s="7">
        <v>0</v>
      </c>
      <c r="BI335" s="7">
        <v>0</v>
      </c>
      <c r="BJ335" s="7">
        <v>0</v>
      </c>
      <c r="BK335" s="7">
        <v>0</v>
      </c>
      <c r="BL335" s="7">
        <v>0</v>
      </c>
      <c r="BM335" s="7">
        <v>0</v>
      </c>
      <c r="BN335" s="7">
        <v>0</v>
      </c>
      <c r="BO335" s="7">
        <v>0</v>
      </c>
      <c r="BP335" s="7">
        <v>0</v>
      </c>
      <c r="BQ335" s="7">
        <v>0</v>
      </c>
      <c r="BR335" s="21"/>
    </row>
    <row r="336" spans="1:70" ht="15.75" x14ac:dyDescent="0.25">
      <c r="A336" s="5" t="s">
        <v>595</v>
      </c>
      <c r="B336" s="5" t="s">
        <v>596</v>
      </c>
      <c r="C336" s="7">
        <v>6</v>
      </c>
      <c r="D336" s="7">
        <v>6</v>
      </c>
      <c r="E336" s="7">
        <v>8502.9959999999992</v>
      </c>
      <c r="F336" s="7">
        <v>1255.547</v>
      </c>
      <c r="G336" s="7">
        <v>1171.393</v>
      </c>
      <c r="H336" s="7">
        <v>1986.4590000000001</v>
      </c>
      <c r="I336" s="7">
        <v>136.17500000000001</v>
      </c>
      <c r="J336" s="7">
        <v>1454.2</v>
      </c>
      <c r="K336" s="7">
        <v>0</v>
      </c>
      <c r="L336" s="7">
        <v>63.424999999999997</v>
      </c>
      <c r="M336" s="7">
        <v>17024.588</v>
      </c>
      <c r="N336" s="7">
        <v>2543.127</v>
      </c>
      <c r="O336" s="7">
        <v>2.7509999999999999</v>
      </c>
      <c r="P336" s="7">
        <v>7.2999999999999995E-2</v>
      </c>
      <c r="Q336" s="7">
        <v>20.177</v>
      </c>
      <c r="R336" s="7">
        <v>1.7130000000000001</v>
      </c>
      <c r="S336" s="7">
        <v>60.371000000000002</v>
      </c>
      <c r="T336" s="7">
        <v>167.9</v>
      </c>
      <c r="U336" s="7">
        <v>0</v>
      </c>
      <c r="V336" s="7">
        <v>50.731000000000002</v>
      </c>
      <c r="W336" s="7">
        <v>107.486</v>
      </c>
      <c r="X336" s="7">
        <v>317.048</v>
      </c>
      <c r="Y336" s="7">
        <v>31.213000000000001</v>
      </c>
      <c r="Z336" s="7">
        <v>13995.201999999999</v>
      </c>
      <c r="AA336" s="7">
        <v>0</v>
      </c>
      <c r="AB336" s="7">
        <v>1103.2380000000001</v>
      </c>
      <c r="AC336" s="7">
        <v>6.3019999999999996</v>
      </c>
      <c r="AD336" s="7">
        <v>216.82499999999999</v>
      </c>
      <c r="AE336" s="7">
        <v>0.97899999999999998</v>
      </c>
      <c r="AF336" s="7">
        <v>7860.0829999999996</v>
      </c>
      <c r="AG336" s="7">
        <v>1485.193</v>
      </c>
      <c r="AH336" s="7">
        <v>2.1560000000000001</v>
      </c>
      <c r="AI336" s="7">
        <v>22818.593000000001</v>
      </c>
      <c r="AJ336" s="7">
        <v>1221.894</v>
      </c>
      <c r="AK336" s="7">
        <v>364.33199999999999</v>
      </c>
      <c r="AL336" s="7">
        <v>0</v>
      </c>
      <c r="AM336" s="7">
        <v>0</v>
      </c>
      <c r="AN336" s="7">
        <v>0</v>
      </c>
      <c r="AO336" s="7">
        <v>8.7870000000000008</v>
      </c>
      <c r="AP336" s="7">
        <v>0</v>
      </c>
      <c r="AQ336" s="7">
        <v>26.600999999999999</v>
      </c>
      <c r="AR336" s="7">
        <v>17.448</v>
      </c>
      <c r="AS336" s="7">
        <v>406.54500000000002</v>
      </c>
      <c r="AT336" s="7">
        <v>4.7140000000000004</v>
      </c>
      <c r="AU336" s="7">
        <v>1.42</v>
      </c>
      <c r="AV336" s="7">
        <v>0</v>
      </c>
      <c r="AW336" s="7">
        <v>27.326000000000001</v>
      </c>
      <c r="AX336" s="7">
        <v>16.420000000000002</v>
      </c>
      <c r="AY336" s="7">
        <v>40.735999999999997</v>
      </c>
      <c r="AZ336" s="7">
        <v>17.021000000000001</v>
      </c>
      <c r="BA336" s="7">
        <v>9.1270000000000007</v>
      </c>
      <c r="BB336" s="7">
        <v>3.4039999999999999</v>
      </c>
      <c r="BC336" s="7">
        <v>9.5489999999999995</v>
      </c>
      <c r="BD336" s="7">
        <v>5.3680000000000003</v>
      </c>
      <c r="BE336" s="7">
        <v>6.6040000000000001</v>
      </c>
      <c r="BF336" s="7">
        <v>4.883</v>
      </c>
      <c r="BG336" s="7">
        <v>0.80800000000000005</v>
      </c>
      <c r="BH336" s="7">
        <v>0.80800000000000005</v>
      </c>
      <c r="BI336" s="7">
        <v>2.7469999999999999</v>
      </c>
      <c r="BJ336" s="7">
        <v>21.96</v>
      </c>
      <c r="BK336" s="7">
        <v>2.532</v>
      </c>
      <c r="BL336" s="7">
        <v>0</v>
      </c>
      <c r="BM336" s="7">
        <v>0</v>
      </c>
      <c r="BN336" s="7">
        <v>0</v>
      </c>
      <c r="BO336" s="7">
        <v>0</v>
      </c>
      <c r="BP336" s="7">
        <v>0</v>
      </c>
      <c r="BQ336" s="7">
        <v>0</v>
      </c>
      <c r="BR336" s="21"/>
    </row>
    <row r="337" spans="1:70" ht="15.75" x14ac:dyDescent="0.25">
      <c r="A337" s="5" t="s">
        <v>597</v>
      </c>
      <c r="B337" s="5" t="s">
        <v>598</v>
      </c>
      <c r="C337" s="7">
        <v>6</v>
      </c>
      <c r="D337" s="7">
        <v>6</v>
      </c>
      <c r="E337" s="7">
        <v>-13999.714</v>
      </c>
      <c r="F337" s="7">
        <v>-2254.9589999999998</v>
      </c>
      <c r="G337" s="7">
        <v>-1138.8710000000001</v>
      </c>
      <c r="H337" s="7">
        <v>-11819.653</v>
      </c>
      <c r="I337" s="7">
        <v>-370.01400000000001</v>
      </c>
      <c r="J337" s="7">
        <v>-1003.484</v>
      </c>
      <c r="K337" s="7">
        <v>0</v>
      </c>
      <c r="L337" s="7">
        <v>-150.161</v>
      </c>
      <c r="M337" s="7">
        <v>-21474.401999999998</v>
      </c>
      <c r="N337" s="7">
        <v>-5742.1790000000001</v>
      </c>
      <c r="O337" s="7">
        <v>-5.9050000000000002</v>
      </c>
      <c r="P337" s="7">
        <v>-11.765000000000001</v>
      </c>
      <c r="Q337" s="7">
        <v>-78.73</v>
      </c>
      <c r="R337" s="7">
        <v>-11.427</v>
      </c>
      <c r="S337" s="7">
        <v>-146.55099999999999</v>
      </c>
      <c r="T337" s="7">
        <v>-57.045000000000002</v>
      </c>
      <c r="U337" s="7">
        <v>-1.516</v>
      </c>
      <c r="V337" s="7">
        <v>-106.18600000000001</v>
      </c>
      <c r="W337" s="7">
        <v>-302.15600000000001</v>
      </c>
      <c r="X337" s="7">
        <v>-935.553</v>
      </c>
      <c r="Y337" s="7">
        <v>-653.91999999999996</v>
      </c>
      <c r="Z337" s="7">
        <v>-2206.895</v>
      </c>
      <c r="AA337" s="7">
        <v>-336.08800000000002</v>
      </c>
      <c r="AB337" s="7">
        <v>-299.75200000000001</v>
      </c>
      <c r="AC337" s="7">
        <v>-2.4849999999999999</v>
      </c>
      <c r="AD337" s="7">
        <v>-54.679000000000002</v>
      </c>
      <c r="AE337" s="7">
        <v>-0.433</v>
      </c>
      <c r="AF337" s="7">
        <v>-7020.9530000000004</v>
      </c>
      <c r="AG337" s="7">
        <v>-585.58900000000006</v>
      </c>
      <c r="AH337" s="7">
        <v>-168.751</v>
      </c>
      <c r="AI337" s="7">
        <v>-33170.862000000001</v>
      </c>
      <c r="AJ337" s="7">
        <v>-1726.354</v>
      </c>
      <c r="AK337" s="7">
        <v>-346.63299999999998</v>
      </c>
      <c r="AL337" s="7">
        <v>-10093.343000000001</v>
      </c>
      <c r="AM337" s="7">
        <v>0</v>
      </c>
      <c r="AN337" s="7">
        <v>-3443.4960000000001</v>
      </c>
      <c r="AO337" s="7">
        <v>-1079.607</v>
      </c>
      <c r="AP337" s="7">
        <v>-10124.031000000001</v>
      </c>
      <c r="AQ337" s="7">
        <v>-16.384</v>
      </c>
      <c r="AR337" s="7">
        <v>-19.827000000000002</v>
      </c>
      <c r="AS337" s="7">
        <v>-180.30500000000001</v>
      </c>
      <c r="AT337" s="7">
        <v>-85.79</v>
      </c>
      <c r="AU337" s="7">
        <v>-3.8780000000000001</v>
      </c>
      <c r="AV337" s="7">
        <v>0</v>
      </c>
      <c r="AW337" s="7">
        <v>-27.994</v>
      </c>
      <c r="AX337" s="7">
        <v>-0.221</v>
      </c>
      <c r="AY337" s="7">
        <v>-44.542999999999999</v>
      </c>
      <c r="AZ337" s="7">
        <v>-50.871000000000002</v>
      </c>
      <c r="BA337" s="7">
        <v>-7.4379999999999997</v>
      </c>
      <c r="BB337" s="7">
        <v>-3.028</v>
      </c>
      <c r="BC337" s="7">
        <v>-27.564</v>
      </c>
      <c r="BD337" s="7">
        <v>-4.1779999999999999</v>
      </c>
      <c r="BE337" s="7">
        <v>-6.1639999999999997</v>
      </c>
      <c r="BF337" s="7">
        <v>-4.4770000000000003</v>
      </c>
      <c r="BG337" s="7">
        <v>-0.80600000000000005</v>
      </c>
      <c r="BH337" s="7">
        <v>-0.80600000000000005</v>
      </c>
      <c r="BI337" s="7">
        <v>-2.4750000000000001</v>
      </c>
      <c r="BJ337" s="7">
        <v>-247.23599999999999</v>
      </c>
      <c r="BK337" s="7">
        <v>-2.0870000000000002</v>
      </c>
      <c r="BL337" s="7">
        <v>0</v>
      </c>
      <c r="BM337" s="7">
        <v>0</v>
      </c>
      <c r="BN337" s="7">
        <v>0</v>
      </c>
      <c r="BO337" s="7">
        <v>0</v>
      </c>
      <c r="BP337" s="7">
        <v>0</v>
      </c>
      <c r="BQ337" s="7">
        <v>0</v>
      </c>
      <c r="BR337" s="21"/>
    </row>
    <row r="338" spans="1:70" ht="15.75" x14ac:dyDescent="0.25">
      <c r="A338" s="5" t="s">
        <v>599</v>
      </c>
      <c r="B338" s="5" t="s">
        <v>600</v>
      </c>
      <c r="C338" s="7">
        <v>6</v>
      </c>
      <c r="D338" s="7">
        <v>6</v>
      </c>
      <c r="E338" s="7">
        <v>-729.42100000000005</v>
      </c>
      <c r="F338" s="7">
        <v>-240.60599999999999</v>
      </c>
      <c r="G338" s="7">
        <v>-107.86799999999999</v>
      </c>
      <c r="H338" s="7">
        <v>-34.418999999999997</v>
      </c>
      <c r="I338" s="7">
        <v>0</v>
      </c>
      <c r="J338" s="7">
        <v>-39.448</v>
      </c>
      <c r="K338" s="7">
        <v>-183.89</v>
      </c>
      <c r="L338" s="7">
        <v>-5.3540000000000001</v>
      </c>
      <c r="M338" s="7">
        <v>-1326.079</v>
      </c>
      <c r="N338" s="7">
        <v>-140.76400000000001</v>
      </c>
      <c r="O338" s="7">
        <v>0</v>
      </c>
      <c r="P338" s="7">
        <v>0</v>
      </c>
      <c r="Q338" s="7">
        <v>0</v>
      </c>
      <c r="R338" s="7">
        <v>0</v>
      </c>
      <c r="S338" s="7">
        <v>-13.667999999999999</v>
      </c>
      <c r="T338" s="7">
        <v>0</v>
      </c>
      <c r="U338" s="7">
        <v>0</v>
      </c>
      <c r="V338" s="7">
        <v>-12.419</v>
      </c>
      <c r="W338" s="7">
        <v>-2.532</v>
      </c>
      <c r="X338" s="7">
        <v>-4.99</v>
      </c>
      <c r="Y338" s="7">
        <v>-11.962999999999999</v>
      </c>
      <c r="Z338" s="7">
        <v>-159.66</v>
      </c>
      <c r="AA338" s="7">
        <v>-3.7240000000000002</v>
      </c>
      <c r="AB338" s="7">
        <v>-1.141</v>
      </c>
      <c r="AC338" s="7">
        <v>-33.613</v>
      </c>
      <c r="AD338" s="7">
        <v>-17.623000000000001</v>
      </c>
      <c r="AE338" s="7">
        <v>-2.5110000000000001</v>
      </c>
      <c r="AF338" s="7">
        <v>-557.101</v>
      </c>
      <c r="AG338" s="7">
        <v>-102.148</v>
      </c>
      <c r="AH338" s="7">
        <v>-3.0379999999999998</v>
      </c>
      <c r="AI338" s="7">
        <v>-1812.346</v>
      </c>
      <c r="AJ338" s="7">
        <v>-289.72899999999998</v>
      </c>
      <c r="AK338" s="7">
        <v>-59.965000000000003</v>
      </c>
      <c r="AL338" s="7">
        <v>-829.61199999999997</v>
      </c>
      <c r="AM338" s="7">
        <v>-28.846</v>
      </c>
      <c r="AN338" s="7">
        <v>-1108.049</v>
      </c>
      <c r="AO338" s="7">
        <v>-22.5</v>
      </c>
      <c r="AP338" s="7">
        <v>-937.93399999999997</v>
      </c>
      <c r="AQ338" s="7">
        <v>0</v>
      </c>
      <c r="AR338" s="7">
        <v>0</v>
      </c>
      <c r="AS338" s="7">
        <v>-34.311999999999998</v>
      </c>
      <c r="AT338" s="7">
        <v>-1.748</v>
      </c>
      <c r="AU338" s="7">
        <v>0</v>
      </c>
      <c r="AV338" s="7">
        <v>0</v>
      </c>
      <c r="AW338" s="7">
        <v>0</v>
      </c>
      <c r="AX338" s="7">
        <v>-16.748000000000001</v>
      </c>
      <c r="AY338" s="7">
        <v>-12.135</v>
      </c>
      <c r="AZ338" s="7">
        <v>-7.9000000000000001E-2</v>
      </c>
      <c r="BA338" s="7">
        <v>0</v>
      </c>
      <c r="BB338" s="7">
        <v>0</v>
      </c>
      <c r="BC338" s="7">
        <v>0</v>
      </c>
      <c r="BD338" s="7">
        <v>0</v>
      </c>
      <c r="BE338" s="7">
        <v>-20.699000000000002</v>
      </c>
      <c r="BF338" s="7">
        <v>0</v>
      </c>
      <c r="BG338" s="7">
        <v>0</v>
      </c>
      <c r="BH338" s="7">
        <v>0</v>
      </c>
      <c r="BI338" s="7">
        <v>-2E-3</v>
      </c>
      <c r="BJ338" s="7">
        <v>-25.861000000000001</v>
      </c>
      <c r="BK338" s="7">
        <v>-4.1050000000000004</v>
      </c>
      <c r="BL338" s="7">
        <v>-4.8579999999999997</v>
      </c>
      <c r="BM338" s="7">
        <v>-1.1220000000000001</v>
      </c>
      <c r="BN338" s="7">
        <v>-326.28800000000001</v>
      </c>
      <c r="BO338" s="7">
        <v>-61.420999999999999</v>
      </c>
      <c r="BP338" s="7">
        <v>-17.122</v>
      </c>
      <c r="BQ338" s="7">
        <v>-86.238</v>
      </c>
      <c r="BR338" s="21"/>
    </row>
    <row r="339" spans="1:70" ht="15.75" x14ac:dyDescent="0.25">
      <c r="A339" s="5" t="s">
        <v>601</v>
      </c>
      <c r="B339" s="5" t="s">
        <v>602</v>
      </c>
      <c r="C339" s="7">
        <v>6</v>
      </c>
      <c r="D339" s="7">
        <v>6</v>
      </c>
      <c r="E339" s="7">
        <v>0</v>
      </c>
      <c r="F339" s="7">
        <v>0</v>
      </c>
      <c r="G339" s="7">
        <v>0</v>
      </c>
      <c r="H339" s="7">
        <v>0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7">
        <v>0</v>
      </c>
      <c r="AK339" s="7">
        <v>0</v>
      </c>
      <c r="AL339" s="7">
        <v>0</v>
      </c>
      <c r="AM339" s="7">
        <v>0</v>
      </c>
      <c r="AN339" s="7">
        <v>0</v>
      </c>
      <c r="AO339" s="7">
        <v>0</v>
      </c>
      <c r="AP339" s="7">
        <v>0</v>
      </c>
      <c r="AQ339" s="7">
        <v>0</v>
      </c>
      <c r="AR339" s="7">
        <v>0</v>
      </c>
      <c r="AS339" s="7">
        <v>0</v>
      </c>
      <c r="AT339" s="7">
        <v>0</v>
      </c>
      <c r="AU339" s="7">
        <v>0</v>
      </c>
      <c r="AV339" s="7">
        <v>0</v>
      </c>
      <c r="AW339" s="7">
        <v>0</v>
      </c>
      <c r="AX339" s="7">
        <v>0</v>
      </c>
      <c r="AY339" s="7">
        <v>0</v>
      </c>
      <c r="AZ339" s="7">
        <v>0</v>
      </c>
      <c r="BA339" s="7">
        <v>0</v>
      </c>
      <c r="BB339" s="7">
        <v>0</v>
      </c>
      <c r="BC339" s="7">
        <v>0</v>
      </c>
      <c r="BD339" s="7">
        <v>0</v>
      </c>
      <c r="BE339" s="7">
        <v>0</v>
      </c>
      <c r="BF339" s="7">
        <v>0</v>
      </c>
      <c r="BG339" s="7">
        <v>3.0000000000000001E-3</v>
      </c>
      <c r="BH339" s="7">
        <v>3.0000000000000001E-3</v>
      </c>
      <c r="BI339" s="7">
        <v>0</v>
      </c>
      <c r="BJ339" s="7">
        <v>0</v>
      </c>
      <c r="BK339" s="7">
        <v>0</v>
      </c>
      <c r="BL339" s="7">
        <v>0</v>
      </c>
      <c r="BM339" s="7">
        <v>0</v>
      </c>
      <c r="BN339" s="7">
        <v>0</v>
      </c>
      <c r="BO339" s="7">
        <v>0</v>
      </c>
      <c r="BP339" s="7">
        <v>0</v>
      </c>
      <c r="BQ339" s="7">
        <v>0</v>
      </c>
      <c r="BR339" s="21"/>
    </row>
    <row r="340" spans="1:70" ht="15.75" x14ac:dyDescent="0.25">
      <c r="A340" s="5" t="s">
        <v>603</v>
      </c>
      <c r="B340" s="5" t="s">
        <v>604</v>
      </c>
      <c r="C340" s="7">
        <v>6</v>
      </c>
      <c r="D340" s="7">
        <v>6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 s="21"/>
    </row>
    <row r="341" spans="1:70" ht="15.75" x14ac:dyDescent="0.25">
      <c r="A341" s="5" t="s">
        <v>605</v>
      </c>
      <c r="B341" s="5" t="s">
        <v>606</v>
      </c>
      <c r="C341" s="5"/>
      <c r="D341" s="5"/>
      <c r="E341">
        <v>8013959.3880000003</v>
      </c>
      <c r="F341">
        <v>927903.59900000005</v>
      </c>
      <c r="G341">
        <v>1007781.647</v>
      </c>
      <c r="H341">
        <v>1098539.4269999999</v>
      </c>
      <c r="I341">
        <v>139929.76800000001</v>
      </c>
      <c r="J341">
        <v>706147.25</v>
      </c>
      <c r="K341">
        <v>-183.89</v>
      </c>
      <c r="L341">
        <v>307860.02299999999</v>
      </c>
      <c r="M341">
        <v>8785895.3190000001</v>
      </c>
      <c r="N341">
        <v>3157325.0860000001</v>
      </c>
      <c r="O341">
        <v>15339.120999999999</v>
      </c>
      <c r="P341">
        <v>6312.4620000000004</v>
      </c>
      <c r="Q341">
        <v>19724.452000000001</v>
      </c>
      <c r="R341">
        <v>11913.050999999999</v>
      </c>
      <c r="S341">
        <v>20660.366000000002</v>
      </c>
      <c r="T341">
        <v>284157.83399999997</v>
      </c>
      <c r="U341">
        <v>1200.1790000000001</v>
      </c>
      <c r="V341">
        <v>224233.31400000001</v>
      </c>
      <c r="W341">
        <v>86200.087</v>
      </c>
      <c r="X341">
        <v>215954.853</v>
      </c>
      <c r="Y341">
        <v>202897.44</v>
      </c>
      <c r="Z341">
        <v>1679496.4739999999</v>
      </c>
      <c r="AA341">
        <v>133568.56599999999</v>
      </c>
      <c r="AB341">
        <v>896322.05299999996</v>
      </c>
      <c r="AC341">
        <v>249296.239</v>
      </c>
      <c r="AD341">
        <v>155002.36300000001</v>
      </c>
      <c r="AE341">
        <v>54743.663</v>
      </c>
      <c r="AF341">
        <v>4793633.0369999995</v>
      </c>
      <c r="AG341">
        <v>988392.07700000005</v>
      </c>
      <c r="AH341">
        <v>235983.71799999999</v>
      </c>
      <c r="AI341">
        <v>17896329.173</v>
      </c>
      <c r="AJ341">
        <v>1858838.0279999999</v>
      </c>
      <c r="AK341">
        <v>694241.52399999998</v>
      </c>
      <c r="AL341">
        <v>10020395.128</v>
      </c>
      <c r="AM341">
        <v>-28.846</v>
      </c>
      <c r="AN341">
        <v>5851468.4910000004</v>
      </c>
      <c r="AO341">
        <v>41114.911</v>
      </c>
      <c r="AP341">
        <v>3343130.7680000002</v>
      </c>
      <c r="AQ341">
        <v>31814.537</v>
      </c>
      <c r="AR341">
        <v>47189.466999999997</v>
      </c>
      <c r="AS341">
        <v>298509.25099999999</v>
      </c>
      <c r="AT341">
        <v>20497.32</v>
      </c>
      <c r="AU341">
        <v>3404.0749999999998</v>
      </c>
      <c r="AV341">
        <v>0</v>
      </c>
      <c r="AW341">
        <v>77160.854000000007</v>
      </c>
      <c r="AX341">
        <v>69292.716</v>
      </c>
      <c r="AY341">
        <v>69563.548999999999</v>
      </c>
      <c r="AZ341">
        <v>115848.55</v>
      </c>
      <c r="BA341">
        <v>16120.504999999999</v>
      </c>
      <c r="BB341">
        <v>7746.3950000000004</v>
      </c>
      <c r="BC341">
        <v>64594.906999999999</v>
      </c>
      <c r="BD341">
        <v>9670.6669999999995</v>
      </c>
      <c r="BE341">
        <v>12781.453</v>
      </c>
      <c r="BF341">
        <v>10656.136</v>
      </c>
      <c r="BG341">
        <v>1282.9290000000001</v>
      </c>
      <c r="BH341">
        <v>1282.9290000000001</v>
      </c>
      <c r="BI341">
        <v>5959.95</v>
      </c>
      <c r="BJ341">
        <v>498214.90399999998</v>
      </c>
      <c r="BK341">
        <v>4797.0039999999999</v>
      </c>
      <c r="BL341">
        <v>-4.8579999999999997</v>
      </c>
      <c r="BM341">
        <v>-1.1220000000000001</v>
      </c>
      <c r="BN341">
        <v>-326.767</v>
      </c>
      <c r="BO341">
        <v>-61.420999999999999</v>
      </c>
      <c r="BP341">
        <v>-17.122</v>
      </c>
      <c r="BQ341">
        <v>-86.238</v>
      </c>
      <c r="BR341" s="21"/>
    </row>
    <row r="342" spans="1:70" x14ac:dyDescent="0.2">
      <c r="BR342" s="21"/>
    </row>
    <row r="343" spans="1:70" ht="15.75" x14ac:dyDescent="0.25">
      <c r="A343" s="5" t="s">
        <v>607</v>
      </c>
      <c r="E343">
        <f t="shared" ref="E343:AY343" si="0">SUM(E8:E340)-E341</f>
        <v>0</v>
      </c>
      <c r="F343">
        <f t="shared" si="0"/>
        <v>0</v>
      </c>
      <c r="G343">
        <f t="shared" si="0"/>
        <v>0</v>
      </c>
      <c r="H343">
        <f t="shared" si="0"/>
        <v>0</v>
      </c>
      <c r="I343">
        <f t="shared" si="0"/>
        <v>0</v>
      </c>
      <c r="J343">
        <f t="shared" si="0"/>
        <v>0</v>
      </c>
      <c r="K343">
        <f t="shared" si="0"/>
        <v>0</v>
      </c>
      <c r="L343">
        <f t="shared" si="0"/>
        <v>0</v>
      </c>
      <c r="M343">
        <f t="shared" si="0"/>
        <v>0</v>
      </c>
      <c r="N343">
        <f t="shared" si="0"/>
        <v>0</v>
      </c>
      <c r="O343">
        <f t="shared" si="0"/>
        <v>0</v>
      </c>
      <c r="P343">
        <f t="shared" si="0"/>
        <v>0</v>
      </c>
      <c r="Q343">
        <f t="shared" si="0"/>
        <v>0</v>
      </c>
      <c r="R343">
        <f t="shared" si="0"/>
        <v>0</v>
      </c>
      <c r="S343">
        <f t="shared" si="0"/>
        <v>0</v>
      </c>
      <c r="T343">
        <f t="shared" si="0"/>
        <v>0</v>
      </c>
      <c r="U343">
        <f t="shared" si="0"/>
        <v>0</v>
      </c>
      <c r="V343">
        <f t="shared" si="0"/>
        <v>0</v>
      </c>
      <c r="W343">
        <f t="shared" si="0"/>
        <v>0</v>
      </c>
      <c r="X343">
        <f t="shared" si="0"/>
        <v>0</v>
      </c>
      <c r="Y343">
        <f t="shared" si="0"/>
        <v>0</v>
      </c>
      <c r="Z343">
        <f t="shared" si="0"/>
        <v>0</v>
      </c>
      <c r="AA343">
        <f t="shared" si="0"/>
        <v>0</v>
      </c>
      <c r="AB343">
        <f t="shared" si="0"/>
        <v>0</v>
      </c>
      <c r="AC343">
        <f t="shared" si="0"/>
        <v>0</v>
      </c>
      <c r="AD343">
        <f t="shared" si="0"/>
        <v>0</v>
      </c>
      <c r="AE343">
        <f t="shared" si="0"/>
        <v>0</v>
      </c>
      <c r="AF343">
        <f t="shared" si="0"/>
        <v>0</v>
      </c>
      <c r="AG343">
        <f t="shared" si="0"/>
        <v>0</v>
      </c>
      <c r="AH343">
        <f t="shared" si="0"/>
        <v>0</v>
      </c>
      <c r="AI343">
        <f t="shared" si="0"/>
        <v>0</v>
      </c>
      <c r="AJ343">
        <f t="shared" si="0"/>
        <v>0</v>
      </c>
      <c r="AK343">
        <f t="shared" si="0"/>
        <v>0</v>
      </c>
      <c r="AL343">
        <f t="shared" si="0"/>
        <v>0</v>
      </c>
      <c r="AM343">
        <f t="shared" si="0"/>
        <v>0</v>
      </c>
      <c r="AN343">
        <f t="shared" si="0"/>
        <v>0</v>
      </c>
      <c r="AO343">
        <f>SUM(AO8:AO340)-AO341</f>
        <v>0</v>
      </c>
      <c r="AP343">
        <f>SUM(AP8:AP340)-AP341</f>
        <v>0</v>
      </c>
      <c r="AQ343">
        <f>SUM(AQ8:AQ340)-AQ341</f>
        <v>0</v>
      </c>
      <c r="AR343">
        <f t="shared" si="0"/>
        <v>0</v>
      </c>
      <c r="AS343">
        <f t="shared" si="0"/>
        <v>0</v>
      </c>
      <c r="AT343">
        <f t="shared" si="0"/>
        <v>0</v>
      </c>
      <c r="AU343">
        <f t="shared" si="0"/>
        <v>0</v>
      </c>
      <c r="AV343">
        <f t="shared" si="0"/>
        <v>0</v>
      </c>
      <c r="AW343">
        <f t="shared" si="0"/>
        <v>0</v>
      </c>
      <c r="AX343">
        <f t="shared" si="0"/>
        <v>0</v>
      </c>
      <c r="AY343">
        <f t="shared" si="0"/>
        <v>0</v>
      </c>
      <c r="AZ343">
        <f>SUM(AZ8:AZ340)-AZ341</f>
        <v>0</v>
      </c>
      <c r="BA343">
        <f t="shared" ref="BA343:BQ343" si="1">SUM(BA8:BA340)-BA341</f>
        <v>0</v>
      </c>
      <c r="BB343">
        <f t="shared" si="1"/>
        <v>0</v>
      </c>
      <c r="BC343">
        <f t="shared" si="1"/>
        <v>0</v>
      </c>
      <c r="BD343">
        <f t="shared" si="1"/>
        <v>0</v>
      </c>
      <c r="BE343">
        <f t="shared" si="1"/>
        <v>0</v>
      </c>
      <c r="BF343">
        <f t="shared" si="1"/>
        <v>0</v>
      </c>
      <c r="BG343">
        <f t="shared" si="1"/>
        <v>0</v>
      </c>
      <c r="BH343">
        <f t="shared" si="1"/>
        <v>0</v>
      </c>
      <c r="BI343">
        <f t="shared" si="1"/>
        <v>0</v>
      </c>
      <c r="BJ343">
        <f t="shared" si="1"/>
        <v>0</v>
      </c>
      <c r="BK343">
        <f t="shared" si="1"/>
        <v>0</v>
      </c>
      <c r="BL343">
        <f t="shared" si="1"/>
        <v>0</v>
      </c>
      <c r="BM343">
        <f t="shared" si="1"/>
        <v>0</v>
      </c>
      <c r="BN343">
        <f t="shared" si="1"/>
        <v>0</v>
      </c>
      <c r="BO343">
        <f t="shared" si="1"/>
        <v>0</v>
      </c>
      <c r="BP343">
        <f t="shared" si="1"/>
        <v>0</v>
      </c>
      <c r="BQ343">
        <f t="shared" si="1"/>
        <v>0</v>
      </c>
      <c r="BR343" s="21"/>
    </row>
    <row r="344" spans="1:70" x14ac:dyDescent="0.2">
      <c r="BR344" s="21"/>
    </row>
    <row r="345" spans="1:70" x14ac:dyDescent="0.2">
      <c r="A345" t="s">
        <v>608</v>
      </c>
      <c r="D345">
        <v>1</v>
      </c>
      <c r="E345" s="16">
        <f t="shared" ref="E345:AY345" si="2">SUMIF($D$7:$D$339,$D$345,E7:E339)</f>
        <v>897059.20900000003</v>
      </c>
      <c r="F345" s="16">
        <f t="shared" si="2"/>
        <v>161488.693</v>
      </c>
      <c r="G345" s="16">
        <f t="shared" si="2"/>
        <v>39647.239000000001</v>
      </c>
      <c r="H345" s="16">
        <f t="shared" si="2"/>
        <v>28799.969000000001</v>
      </c>
      <c r="I345" s="16">
        <f t="shared" si="2"/>
        <v>13921.307000000001</v>
      </c>
      <c r="J345" s="16">
        <f t="shared" si="2"/>
        <v>26382.027000000002</v>
      </c>
      <c r="K345" s="16">
        <f t="shared" si="2"/>
        <v>0</v>
      </c>
      <c r="L345" s="16">
        <f t="shared" si="2"/>
        <v>7317.7960000000003</v>
      </c>
      <c r="M345" s="16">
        <f t="shared" si="2"/>
        <v>1890934.358</v>
      </c>
      <c r="N345" s="16">
        <f t="shared" si="2"/>
        <v>222992.25099999999</v>
      </c>
      <c r="O345" s="16">
        <f>SUMIF($D$7:$D$339,$D$345,O7:O339)</f>
        <v>291.61500000000001</v>
      </c>
      <c r="P345" s="16">
        <f t="shared" si="2"/>
        <v>4736.1559999999999</v>
      </c>
      <c r="Q345" s="16">
        <f t="shared" si="2"/>
        <v>556.56100000000004</v>
      </c>
      <c r="R345" s="16">
        <f t="shared" si="2"/>
        <v>5252.8</v>
      </c>
      <c r="S345" s="16">
        <f t="shared" si="2"/>
        <v>1958.915</v>
      </c>
      <c r="T345" s="16">
        <f t="shared" si="2"/>
        <v>48961.371000000006</v>
      </c>
      <c r="U345" s="16">
        <f t="shared" si="2"/>
        <v>55.787000000000006</v>
      </c>
      <c r="V345" s="16">
        <f t="shared" si="2"/>
        <v>7309.7979999999998</v>
      </c>
      <c r="W345" s="16">
        <f t="shared" si="2"/>
        <v>5939.6430000000009</v>
      </c>
      <c r="X345" s="16">
        <f t="shared" si="2"/>
        <v>19826.359</v>
      </c>
      <c r="Y345" s="16">
        <f t="shared" si="2"/>
        <v>35704.314000000006</v>
      </c>
      <c r="Z345" s="16">
        <f t="shared" si="2"/>
        <v>320646.76</v>
      </c>
      <c r="AA345" s="16">
        <f t="shared" si="2"/>
        <v>76190.50499999999</v>
      </c>
      <c r="AB345" s="16">
        <f t="shared" si="2"/>
        <v>56163.62</v>
      </c>
      <c r="AC345" s="16">
        <f t="shared" si="2"/>
        <v>194670.29600000003</v>
      </c>
      <c r="AD345" s="16">
        <f t="shared" si="2"/>
        <v>28883.858</v>
      </c>
      <c r="AE345" s="16">
        <f t="shared" si="2"/>
        <v>16447.215</v>
      </c>
      <c r="AF345" s="16">
        <f t="shared" si="2"/>
        <v>966227.62699999998</v>
      </c>
      <c r="AG345" s="16">
        <f t="shared" si="2"/>
        <v>337535.86200000002</v>
      </c>
      <c r="AH345" s="16">
        <f t="shared" si="2"/>
        <v>76152.070000000007</v>
      </c>
      <c r="AI345" s="16">
        <f t="shared" si="2"/>
        <v>3088263.8129999996</v>
      </c>
      <c r="AJ345" s="16">
        <f t="shared" si="2"/>
        <v>579306.25800000003</v>
      </c>
      <c r="AK345" s="16">
        <f t="shared" si="2"/>
        <v>382899.50799999997</v>
      </c>
      <c r="AL345" s="16">
        <f t="shared" si="2"/>
        <v>6776517.6949999994</v>
      </c>
      <c r="AM345" s="16">
        <f t="shared" si="2"/>
        <v>0</v>
      </c>
      <c r="AN345" s="16">
        <f t="shared" si="2"/>
        <v>3951625.8089999999</v>
      </c>
      <c r="AO345" s="16">
        <f>SUMIF($D$7:$D$339,$D$345,AO7:AO339)</f>
        <v>874.48199999999997</v>
      </c>
      <c r="AP345" s="16">
        <f>SUMIF($D$7:$D$339,$D$345,AP7:AP339)</f>
        <v>2263340.4029999995</v>
      </c>
      <c r="AQ345" s="16">
        <f>SUMIF($D$7:$D$339,$D$345,AQ7:AQ339)</f>
        <v>6890.5859999999993</v>
      </c>
      <c r="AR345" s="16">
        <f t="shared" si="2"/>
        <v>5233.1610000000001</v>
      </c>
      <c r="AS345" s="16">
        <f t="shared" si="2"/>
        <v>104332.27800000001</v>
      </c>
      <c r="AT345" s="16">
        <f t="shared" si="2"/>
        <v>2209.105</v>
      </c>
      <c r="AU345" s="16">
        <f t="shared" si="2"/>
        <v>562.57799999999997</v>
      </c>
      <c r="AV345" s="16">
        <f t="shared" si="2"/>
        <v>0</v>
      </c>
      <c r="AW345" s="16">
        <f t="shared" si="2"/>
        <v>11676.053000000002</v>
      </c>
      <c r="AX345" s="16">
        <f t="shared" si="2"/>
        <v>7047.8520000000008</v>
      </c>
      <c r="AY345" s="16">
        <f t="shared" si="2"/>
        <v>7289.8019999999997</v>
      </c>
      <c r="AZ345" s="16">
        <f>SUMIF($D$7:$D$339,$D$345,AZ7:AZ339)</f>
        <v>24360.688999999998</v>
      </c>
      <c r="BA345" s="16">
        <f t="shared" ref="BA345:BQ345" si="3">SUMIF($D$7:$D$339,$D$345,BA7:BA339)</f>
        <v>2090.3719999999998</v>
      </c>
      <c r="BB345" s="16">
        <f t="shared" si="3"/>
        <v>903.8839999999999</v>
      </c>
      <c r="BC345" s="16">
        <f t="shared" si="3"/>
        <v>13275.764999999999</v>
      </c>
      <c r="BD345" s="16">
        <f t="shared" si="3"/>
        <v>2974.3450000000003</v>
      </c>
      <c r="BE345" s="16">
        <f t="shared" si="3"/>
        <v>1200.9929999999999</v>
      </c>
      <c r="BF345" s="16">
        <f t="shared" si="3"/>
        <v>840.10199999999998</v>
      </c>
      <c r="BG345" s="16">
        <f t="shared" si="3"/>
        <v>262.02599999999995</v>
      </c>
      <c r="BH345" s="16">
        <f t="shared" si="3"/>
        <v>262.02599999999995</v>
      </c>
      <c r="BI345" s="16">
        <f t="shared" si="3"/>
        <v>437.517</v>
      </c>
      <c r="BJ345" s="16">
        <f t="shared" si="3"/>
        <v>308440.42000000004</v>
      </c>
      <c r="BK345" s="16">
        <f t="shared" si="3"/>
        <v>436.36299999999994</v>
      </c>
      <c r="BL345" s="16">
        <f t="shared" si="3"/>
        <v>0</v>
      </c>
      <c r="BM345" s="16">
        <f t="shared" si="3"/>
        <v>0</v>
      </c>
      <c r="BN345" s="16">
        <f t="shared" si="3"/>
        <v>0</v>
      </c>
      <c r="BO345" s="16">
        <f t="shared" si="3"/>
        <v>0</v>
      </c>
      <c r="BP345" s="16">
        <f t="shared" si="3"/>
        <v>0</v>
      </c>
      <c r="BQ345" s="16">
        <f t="shared" si="3"/>
        <v>0</v>
      </c>
      <c r="BR345" s="21"/>
    </row>
    <row r="346" spans="1:70" x14ac:dyDescent="0.2">
      <c r="A346" t="s">
        <v>609</v>
      </c>
      <c r="D346">
        <v>2</v>
      </c>
      <c r="E346" s="16">
        <f t="shared" ref="E346:AY346" si="4">SUMIF($D$7:$D$339,$D$346,E7:E339)</f>
        <v>1868376.1190000002</v>
      </c>
      <c r="F346" s="16">
        <f t="shared" si="4"/>
        <v>159879.302</v>
      </c>
      <c r="G346" s="16">
        <f t="shared" si="4"/>
        <v>356242.30799999996</v>
      </c>
      <c r="H346" s="16">
        <f t="shared" si="4"/>
        <v>0</v>
      </c>
      <c r="I346" s="16">
        <f t="shared" si="4"/>
        <v>51073.606</v>
      </c>
      <c r="J346" s="16">
        <f t="shared" si="4"/>
        <v>245822.74299999996</v>
      </c>
      <c r="K346" s="16">
        <f t="shared" si="4"/>
        <v>0</v>
      </c>
      <c r="L346" s="16">
        <f t="shared" si="4"/>
        <v>234703.74300000002</v>
      </c>
      <c r="M346" s="16">
        <f t="shared" si="4"/>
        <v>612506.74800000002</v>
      </c>
      <c r="N346" s="16">
        <f t="shared" si="4"/>
        <v>618382.94199999992</v>
      </c>
      <c r="O346" s="16">
        <f>SUMIF($D$7:$D$339,$D$346,O7:O339)</f>
        <v>11819.087</v>
      </c>
      <c r="P346" s="16">
        <f t="shared" si="4"/>
        <v>39.395000000000003</v>
      </c>
      <c r="Q346" s="16">
        <f t="shared" si="4"/>
        <v>15437.028</v>
      </c>
      <c r="R346" s="16">
        <f t="shared" si="4"/>
        <v>1830.124</v>
      </c>
      <c r="S346" s="16">
        <f t="shared" si="4"/>
        <v>4126.732</v>
      </c>
      <c r="T346" s="16">
        <f t="shared" si="4"/>
        <v>48790.358</v>
      </c>
      <c r="U346" s="16">
        <f t="shared" si="4"/>
        <v>1145.9079999999999</v>
      </c>
      <c r="V346" s="16">
        <f t="shared" si="4"/>
        <v>171123.14800000002</v>
      </c>
      <c r="W346" s="16">
        <f t="shared" si="4"/>
        <v>23627.525999999998</v>
      </c>
      <c r="X346" s="16">
        <f t="shared" si="4"/>
        <v>50217.447</v>
      </c>
      <c r="Y346" s="16">
        <f t="shared" si="4"/>
        <v>2046.0429999999999</v>
      </c>
      <c r="Z346" s="16">
        <f t="shared" si="4"/>
        <v>257455.12900000002</v>
      </c>
      <c r="AA346" s="16">
        <f t="shared" si="4"/>
        <v>78.239000000000004</v>
      </c>
      <c r="AB346" s="16">
        <f t="shared" si="4"/>
        <v>294911.3</v>
      </c>
      <c r="AC346" s="16">
        <f t="shared" si="4"/>
        <v>1136.241</v>
      </c>
      <c r="AD346" s="16">
        <f t="shared" si="4"/>
        <v>22033.642000000003</v>
      </c>
      <c r="AE346" s="16">
        <f t="shared" si="4"/>
        <v>8847.3550000000014</v>
      </c>
      <c r="AF346" s="16">
        <f t="shared" si="4"/>
        <v>675235.31299999997</v>
      </c>
      <c r="AG346" s="16">
        <f t="shared" si="4"/>
        <v>44173.138000000006</v>
      </c>
      <c r="AH346" s="16">
        <f t="shared" si="4"/>
        <v>29729.425999999999</v>
      </c>
      <c r="AI346" s="16">
        <f t="shared" si="4"/>
        <v>2312107.8920000005</v>
      </c>
      <c r="AJ346" s="16">
        <f t="shared" si="4"/>
        <v>76039.349000000002</v>
      </c>
      <c r="AK346" s="16">
        <f t="shared" si="4"/>
        <v>408.66300000000001</v>
      </c>
      <c r="AL346" s="16">
        <f t="shared" si="4"/>
        <v>929417.28899999999</v>
      </c>
      <c r="AM346" s="16">
        <f t="shared" si="4"/>
        <v>0</v>
      </c>
      <c r="AN346" s="16">
        <f t="shared" si="4"/>
        <v>543777.36499999999</v>
      </c>
      <c r="AO346" s="16">
        <f>SUMIF($D$7:$D$339,$D$346,AO7:AO339)</f>
        <v>32546.213</v>
      </c>
      <c r="AP346" s="16">
        <f>SUMIF($D$7:$D$339,$D$346,AP7:AP339)</f>
        <v>311317.95199999999</v>
      </c>
      <c r="AQ346" s="16">
        <f>SUMIF($D$7:$D$339,$D$346,AQ7:AQ339)</f>
        <v>6574.442</v>
      </c>
      <c r="AR346" s="16">
        <f t="shared" si="4"/>
        <v>0</v>
      </c>
      <c r="AS346" s="16">
        <f t="shared" si="4"/>
        <v>13525.981999999998</v>
      </c>
      <c r="AT346" s="16">
        <f t="shared" si="4"/>
        <v>0</v>
      </c>
      <c r="AU346" s="16">
        <f t="shared" si="4"/>
        <v>1158.1319999999998</v>
      </c>
      <c r="AV346" s="16">
        <f t="shared" si="4"/>
        <v>0</v>
      </c>
      <c r="AW346" s="16">
        <f t="shared" si="4"/>
        <v>30142.465</v>
      </c>
      <c r="AX346" s="16">
        <f t="shared" si="4"/>
        <v>0</v>
      </c>
      <c r="AY346" s="16">
        <f t="shared" si="4"/>
        <v>0</v>
      </c>
      <c r="AZ346" s="16">
        <f>SUMIF($D$7:$D$339,$D$346,AZ7:AZ339)</f>
        <v>1115.771</v>
      </c>
      <c r="BA346" s="16">
        <f t="shared" ref="BA346:BQ346" si="5">SUMIF($D$7:$D$339,$D$346,BA7:BA339)</f>
        <v>3822.096</v>
      </c>
      <c r="BB346" s="16">
        <f t="shared" si="5"/>
        <v>99.762</v>
      </c>
      <c r="BC346" s="16">
        <f t="shared" si="5"/>
        <v>625.92399999999998</v>
      </c>
      <c r="BD346" s="16">
        <f t="shared" si="5"/>
        <v>1286.7959999999998</v>
      </c>
      <c r="BE346" s="16">
        <f t="shared" si="5"/>
        <v>3226.4079999999999</v>
      </c>
      <c r="BF346" s="16">
        <f t="shared" si="5"/>
        <v>143.11699999999999</v>
      </c>
      <c r="BG346" s="16">
        <f t="shared" si="5"/>
        <v>232.38599999999997</v>
      </c>
      <c r="BH346" s="16">
        <f t="shared" si="5"/>
        <v>232.38599999999997</v>
      </c>
      <c r="BI346" s="16">
        <f t="shared" si="5"/>
        <v>80.513999999999996</v>
      </c>
      <c r="BJ346" s="16">
        <f t="shared" si="5"/>
        <v>34651.040000000001</v>
      </c>
      <c r="BK346" s="16">
        <f t="shared" si="5"/>
        <v>1137.1669999999999</v>
      </c>
      <c r="BL346" s="16">
        <f t="shared" si="5"/>
        <v>0</v>
      </c>
      <c r="BM346" s="16">
        <f t="shared" si="5"/>
        <v>0</v>
      </c>
      <c r="BN346" s="16">
        <f t="shared" si="5"/>
        <v>0</v>
      </c>
      <c r="BO346" s="16">
        <f t="shared" si="5"/>
        <v>0</v>
      </c>
      <c r="BP346" s="16">
        <f t="shared" si="5"/>
        <v>0</v>
      </c>
      <c r="BQ346" s="16">
        <f t="shared" si="5"/>
        <v>0</v>
      </c>
      <c r="BR346" s="21"/>
    </row>
    <row r="347" spans="1:70" x14ac:dyDescent="0.2">
      <c r="A347" t="s">
        <v>610</v>
      </c>
      <c r="D347">
        <v>3</v>
      </c>
      <c r="E347" s="16">
        <f t="shared" ref="E347:AY347" si="6">SUMIF($D$7:$D$339,$D$347,E7:E339)</f>
        <v>1756127.2509999999</v>
      </c>
      <c r="F347" s="16">
        <f t="shared" si="6"/>
        <v>263002.38800000004</v>
      </c>
      <c r="G347" s="16">
        <f t="shared" si="6"/>
        <v>460786.80999999994</v>
      </c>
      <c r="H347" s="16">
        <f t="shared" si="6"/>
        <v>72199.399000000005</v>
      </c>
      <c r="I347" s="16">
        <f t="shared" si="6"/>
        <v>41795.269</v>
      </c>
      <c r="J347" s="16">
        <f t="shared" si="6"/>
        <v>320789.59999999998</v>
      </c>
      <c r="K347" s="16">
        <f t="shared" si="6"/>
        <v>0</v>
      </c>
      <c r="L347" s="16">
        <f t="shared" si="6"/>
        <v>54533.483999999997</v>
      </c>
      <c r="M347" s="16">
        <f t="shared" si="6"/>
        <v>760926.68400000001</v>
      </c>
      <c r="N347" s="16">
        <f t="shared" si="6"/>
        <v>1127401.7210000001</v>
      </c>
      <c r="O347" s="16">
        <f>SUMIF($D$7:$D$339,$D$347,O7:O339)</f>
        <v>3231.5730000000003</v>
      </c>
      <c r="P347" s="16">
        <f t="shared" si="6"/>
        <v>0</v>
      </c>
      <c r="Q347" s="16">
        <f t="shared" si="6"/>
        <v>47.735999999999997</v>
      </c>
      <c r="R347" s="16">
        <f t="shared" si="6"/>
        <v>3818.8820000000001</v>
      </c>
      <c r="S347" s="16">
        <f t="shared" si="6"/>
        <v>13475.307999999997</v>
      </c>
      <c r="T347" s="16">
        <f t="shared" si="6"/>
        <v>108058.678</v>
      </c>
      <c r="U347" s="16">
        <f t="shared" si="6"/>
        <v>0</v>
      </c>
      <c r="V347" s="16">
        <f t="shared" si="6"/>
        <v>39760.513999999996</v>
      </c>
      <c r="W347" s="16">
        <f t="shared" si="6"/>
        <v>44430.502</v>
      </c>
      <c r="X347" s="16">
        <f t="shared" si="6"/>
        <v>87368.516999999993</v>
      </c>
      <c r="Y347" s="16">
        <f t="shared" si="6"/>
        <v>0</v>
      </c>
      <c r="Z347" s="16">
        <f t="shared" si="6"/>
        <v>196215.86299999998</v>
      </c>
      <c r="AA347" s="16">
        <f t="shared" si="6"/>
        <v>12683.959000000001</v>
      </c>
      <c r="AB347" s="16">
        <f t="shared" si="6"/>
        <v>433278.46199999994</v>
      </c>
      <c r="AC347" s="16">
        <f t="shared" si="6"/>
        <v>0</v>
      </c>
      <c r="AD347" s="16">
        <f t="shared" si="6"/>
        <v>46625.990000000005</v>
      </c>
      <c r="AE347" s="16">
        <f t="shared" si="6"/>
        <v>13056.817999999999</v>
      </c>
      <c r="AF347" s="16">
        <f t="shared" si="6"/>
        <v>389374.06599999999</v>
      </c>
      <c r="AG347" s="16">
        <f t="shared" si="6"/>
        <v>11692.335999999999</v>
      </c>
      <c r="AH347" s="16">
        <f t="shared" si="6"/>
        <v>52536.327999999994</v>
      </c>
      <c r="AI347" s="16">
        <f t="shared" si="6"/>
        <v>2120727.4130000011</v>
      </c>
      <c r="AJ347" s="16">
        <f t="shared" si="6"/>
        <v>19824.950999999997</v>
      </c>
      <c r="AK347" s="16">
        <f t="shared" si="6"/>
        <v>62523.552000000003</v>
      </c>
      <c r="AL347" s="16">
        <f t="shared" si="6"/>
        <v>0</v>
      </c>
      <c r="AM347" s="16">
        <f t="shared" si="6"/>
        <v>0</v>
      </c>
      <c r="AN347" s="16">
        <f t="shared" si="6"/>
        <v>0</v>
      </c>
      <c r="AO347" s="16">
        <f>SUMIF($D$7:$D$339,$D$347,AO7:AO339)</f>
        <v>7562.1220000000003</v>
      </c>
      <c r="AP347" s="16">
        <f>SUMIF($D$7:$D$339,$D$347,AP7:AP339)</f>
        <v>0</v>
      </c>
      <c r="AQ347" s="16">
        <f>SUMIF($D$7:$D$339,$D$347,AQ7:AQ339)</f>
        <v>9505.4449999999997</v>
      </c>
      <c r="AR347" s="16">
        <f t="shared" si="6"/>
        <v>0</v>
      </c>
      <c r="AS347" s="16">
        <f t="shared" si="6"/>
        <v>3455.6670000000004</v>
      </c>
      <c r="AT347" s="16">
        <f t="shared" si="6"/>
        <v>0</v>
      </c>
      <c r="AU347" s="16">
        <f t="shared" si="6"/>
        <v>795.56500000000005</v>
      </c>
      <c r="AV347" s="16">
        <f t="shared" si="6"/>
        <v>0</v>
      </c>
      <c r="AW347" s="16">
        <f t="shared" si="6"/>
        <v>25322.918999999998</v>
      </c>
      <c r="AX347" s="16">
        <f t="shared" si="6"/>
        <v>0</v>
      </c>
      <c r="AY347" s="16">
        <f t="shared" si="6"/>
        <v>0</v>
      </c>
      <c r="AZ347" s="16">
        <f>SUMIF($D$7:$D$339,$D$347,AZ7:AZ339)</f>
        <v>0</v>
      </c>
      <c r="BA347" s="16">
        <f t="shared" ref="BA347:BQ347" si="7">SUMIF($D$7:$D$339,$D$347,BA7:BA339)</f>
        <v>8152.1189999999997</v>
      </c>
      <c r="BB347" s="16">
        <f t="shared" si="7"/>
        <v>206.05199999999999</v>
      </c>
      <c r="BC347" s="16">
        <f t="shared" si="7"/>
        <v>0</v>
      </c>
      <c r="BD347" s="16">
        <f t="shared" si="7"/>
        <v>2859.43</v>
      </c>
      <c r="BE347" s="16">
        <f t="shared" si="7"/>
        <v>8056.2360000000008</v>
      </c>
      <c r="BF347" s="16">
        <f t="shared" si="7"/>
        <v>295.59899999999999</v>
      </c>
      <c r="BG347" s="16">
        <f t="shared" si="7"/>
        <v>418.96799999999996</v>
      </c>
      <c r="BH347" s="16">
        <f t="shared" si="7"/>
        <v>418.96799999999996</v>
      </c>
      <c r="BI347" s="16">
        <f t="shared" si="7"/>
        <v>166.297</v>
      </c>
      <c r="BJ347" s="16">
        <f t="shared" si="7"/>
        <v>49038.644999999997</v>
      </c>
      <c r="BK347" s="16">
        <f t="shared" si="7"/>
        <v>3097.8709999999996</v>
      </c>
      <c r="BL347" s="16">
        <f t="shared" si="7"/>
        <v>0</v>
      </c>
      <c r="BM347" s="16">
        <f t="shared" si="7"/>
        <v>0</v>
      </c>
      <c r="BN347" s="16">
        <f t="shared" si="7"/>
        <v>0</v>
      </c>
      <c r="BO347" s="16">
        <f t="shared" si="7"/>
        <v>0</v>
      </c>
      <c r="BP347" s="16">
        <f t="shared" si="7"/>
        <v>0</v>
      </c>
      <c r="BQ347" s="16">
        <f t="shared" si="7"/>
        <v>0</v>
      </c>
      <c r="BR347" s="21"/>
    </row>
    <row r="348" spans="1:70" x14ac:dyDescent="0.2">
      <c r="A348" t="s">
        <v>611</v>
      </c>
      <c r="B348">
        <v>7</v>
      </c>
      <c r="D348">
        <v>4</v>
      </c>
      <c r="E348" s="16">
        <f t="shared" ref="E348:AY348" si="8">SUMIF($D$7:$D$339,$D$348,E7:E339)</f>
        <v>1113047.1989999998</v>
      </c>
      <c r="F348" s="16">
        <f t="shared" si="8"/>
        <v>239895.18700000001</v>
      </c>
      <c r="G348" s="16">
        <f t="shared" si="8"/>
        <v>182.49899999999997</v>
      </c>
      <c r="H348" s="16">
        <f t="shared" si="8"/>
        <v>14805.878000000001</v>
      </c>
      <c r="I348" s="16">
        <f t="shared" si="8"/>
        <v>11615.436</v>
      </c>
      <c r="J348" s="16">
        <f t="shared" si="8"/>
        <v>134.27600000000001</v>
      </c>
      <c r="K348" s="16">
        <f t="shared" si="8"/>
        <v>0</v>
      </c>
      <c r="L348" s="16">
        <f t="shared" si="8"/>
        <v>0</v>
      </c>
      <c r="M348" s="16">
        <f t="shared" si="8"/>
        <v>2881127.3550000004</v>
      </c>
      <c r="N348" s="16">
        <f t="shared" si="8"/>
        <v>268636.87100000004</v>
      </c>
      <c r="O348" s="16">
        <f>SUMIF($D$7:$D$339,$D$348,O7:O339)</f>
        <v>0</v>
      </c>
      <c r="P348" s="16">
        <f t="shared" si="8"/>
        <v>1523.778</v>
      </c>
      <c r="Q348" s="16">
        <f t="shared" si="8"/>
        <v>23.188999999999997</v>
      </c>
      <c r="R348" s="16">
        <f t="shared" si="8"/>
        <v>915.86599999999999</v>
      </c>
      <c r="S348" s="16">
        <f t="shared" si="8"/>
        <v>102.161</v>
      </c>
      <c r="T348" s="16">
        <f t="shared" si="8"/>
        <v>72535.61099999999</v>
      </c>
      <c r="U348" s="16">
        <f t="shared" si="8"/>
        <v>0</v>
      </c>
      <c r="V348" s="16">
        <f t="shared" si="8"/>
        <v>0</v>
      </c>
      <c r="W348" s="16">
        <f t="shared" si="8"/>
        <v>20.747999999999998</v>
      </c>
      <c r="X348" s="16">
        <f t="shared" si="8"/>
        <v>20105.026999999998</v>
      </c>
      <c r="Y348" s="16">
        <f t="shared" si="8"/>
        <v>165781.753</v>
      </c>
      <c r="Z348" s="16">
        <f t="shared" si="8"/>
        <v>455017.05099999992</v>
      </c>
      <c r="AA348" s="16">
        <f t="shared" si="8"/>
        <v>46117.149000000005</v>
      </c>
      <c r="AB348" s="16">
        <f t="shared" si="8"/>
        <v>187.07999999999998</v>
      </c>
      <c r="AC348" s="16">
        <f t="shared" si="8"/>
        <v>50035.387999999984</v>
      </c>
      <c r="AD348" s="16">
        <f t="shared" si="8"/>
        <v>43101.302000000003</v>
      </c>
      <c r="AE348" s="16">
        <f t="shared" si="8"/>
        <v>16611.449000000001</v>
      </c>
      <c r="AF348" s="16">
        <f t="shared" si="8"/>
        <v>1188989.7410000002</v>
      </c>
      <c r="AG348" s="16">
        <f t="shared" si="8"/>
        <v>581929.51600000006</v>
      </c>
      <c r="AH348" s="16">
        <f t="shared" si="8"/>
        <v>75159.492999999988</v>
      </c>
      <c r="AI348" s="16">
        <f t="shared" si="8"/>
        <v>4797570.6980000008</v>
      </c>
      <c r="AJ348" s="16">
        <f t="shared" si="8"/>
        <v>1022618.6540000001</v>
      </c>
      <c r="AK348" s="16">
        <f t="shared" si="8"/>
        <v>253822.87300000002</v>
      </c>
      <c r="AL348" s="16">
        <f t="shared" si="8"/>
        <v>2216541.713</v>
      </c>
      <c r="AM348" s="16">
        <f t="shared" si="8"/>
        <v>0</v>
      </c>
      <c r="AN348" s="16">
        <f t="shared" si="8"/>
        <v>1296839.683</v>
      </c>
      <c r="AO348" s="16">
        <f>SUMIF($D$7:$D$339,$D$348,AO7:AO339)</f>
        <v>0</v>
      </c>
      <c r="AP348" s="16">
        <f>SUMIF($D$7:$D$339,$D$348,AP7:AP339)</f>
        <v>742453.61199999996</v>
      </c>
      <c r="AQ348" s="16">
        <f>SUMIF($D$7:$D$339,$D$348,AQ7:AQ339)</f>
        <v>8763.2179999999971</v>
      </c>
      <c r="AR348" s="16">
        <f t="shared" si="8"/>
        <v>41958.684999999998</v>
      </c>
      <c r="AS348" s="16">
        <f t="shared" si="8"/>
        <v>176454.12300000005</v>
      </c>
      <c r="AT348" s="16">
        <f t="shared" si="8"/>
        <v>18371.039000000001</v>
      </c>
      <c r="AU348" s="16">
        <f t="shared" si="8"/>
        <v>718.0569999999999</v>
      </c>
      <c r="AV348" s="16">
        <f t="shared" si="8"/>
        <v>0</v>
      </c>
      <c r="AW348" s="16">
        <f t="shared" si="8"/>
        <v>9128.135000000002</v>
      </c>
      <c r="AX348" s="16">
        <f t="shared" si="8"/>
        <v>62245.413</v>
      </c>
      <c r="AY348" s="16">
        <f t="shared" si="8"/>
        <v>62289.688999999998</v>
      </c>
      <c r="AZ348" s="16">
        <f>SUMIF($D$7:$D$339,$D$348,AZ7:AZ339)</f>
        <v>90406.019</v>
      </c>
      <c r="BA348" s="16">
        <f t="shared" ref="BA348:BQ348" si="9">SUMIF($D$7:$D$339,$D$348,BA7:BA339)</f>
        <v>1756.559</v>
      </c>
      <c r="BB348" s="16">
        <f t="shared" si="9"/>
        <v>6213.2890000000007</v>
      </c>
      <c r="BC348" s="16">
        <f t="shared" si="9"/>
        <v>50715.901000000005</v>
      </c>
      <c r="BD348" s="16">
        <f t="shared" si="9"/>
        <v>2486.2689999999998</v>
      </c>
      <c r="BE348" s="16">
        <f t="shared" si="9"/>
        <v>3.952</v>
      </c>
      <c r="BF348" s="16">
        <f t="shared" si="9"/>
        <v>8913.4860000000008</v>
      </c>
      <c r="BG348" s="16">
        <f t="shared" si="9"/>
        <v>362.13300000000004</v>
      </c>
      <c r="BH348" s="16">
        <f t="shared" si="9"/>
        <v>362.13300000000004</v>
      </c>
      <c r="BI348" s="16">
        <f t="shared" si="9"/>
        <v>5014.4960000000001</v>
      </c>
      <c r="BJ348" s="16">
        <f t="shared" si="9"/>
        <v>111511.30500000001</v>
      </c>
      <c r="BK348" s="16">
        <f t="shared" si="9"/>
        <v>1.3770000000000004</v>
      </c>
      <c r="BL348" s="16">
        <f t="shared" si="9"/>
        <v>0</v>
      </c>
      <c r="BM348" s="16">
        <f t="shared" si="9"/>
        <v>0</v>
      </c>
      <c r="BN348" s="16">
        <f t="shared" si="9"/>
        <v>0</v>
      </c>
      <c r="BO348" s="16">
        <f t="shared" si="9"/>
        <v>0</v>
      </c>
      <c r="BP348" s="16">
        <f t="shared" si="9"/>
        <v>0</v>
      </c>
      <c r="BQ348" s="16">
        <f t="shared" si="9"/>
        <v>0</v>
      </c>
      <c r="BR348" s="21"/>
    </row>
    <row r="349" spans="1:70" x14ac:dyDescent="0.2">
      <c r="A349" t="s">
        <v>612</v>
      </c>
      <c r="D349">
        <v>5</v>
      </c>
      <c r="E349" s="16">
        <f t="shared" ref="E349:AY349" si="10">SUMIF($D$7:$D$339,$D$349,E7:E339)</f>
        <v>698351.48800000001</v>
      </c>
      <c r="F349" s="16">
        <f t="shared" si="10"/>
        <v>38568.153000000006</v>
      </c>
      <c r="G349" s="16">
        <f t="shared" si="10"/>
        <v>87065.675999999992</v>
      </c>
      <c r="H349" s="16">
        <f t="shared" si="10"/>
        <v>962213.16200000001</v>
      </c>
      <c r="I349" s="16">
        <f t="shared" si="10"/>
        <v>11707.359</v>
      </c>
      <c r="J349" s="16">
        <f t="shared" si="10"/>
        <v>67983.012000000002</v>
      </c>
      <c r="K349" s="16">
        <f t="shared" si="10"/>
        <v>0</v>
      </c>
      <c r="L349" s="16">
        <f t="shared" si="10"/>
        <v>6635.0290000000005</v>
      </c>
      <c r="M349" s="16">
        <f t="shared" si="10"/>
        <v>523272.38600000006</v>
      </c>
      <c r="N349" s="16">
        <f t="shared" si="10"/>
        <v>349270.04300000001</v>
      </c>
      <c r="O349" s="16">
        <f>SUMIF($D$7:$D$339,$D$349,O7:O339)</f>
        <v>0</v>
      </c>
      <c r="P349" s="16">
        <f t="shared" si="10"/>
        <v>0</v>
      </c>
      <c r="Q349" s="16">
        <f t="shared" si="10"/>
        <v>2292.5400000000004</v>
      </c>
      <c r="R349" s="16">
        <f t="shared" si="10"/>
        <v>0</v>
      </c>
      <c r="S349" s="16">
        <f t="shared" si="10"/>
        <v>92.597000000000008</v>
      </c>
      <c r="T349" s="16">
        <f t="shared" si="10"/>
        <v>-3581.2829999999999</v>
      </c>
      <c r="U349" s="16">
        <f t="shared" si="10"/>
        <v>0</v>
      </c>
      <c r="V349" s="16">
        <f t="shared" si="10"/>
        <v>2635.6959999999999</v>
      </c>
      <c r="W349" s="16">
        <f t="shared" si="10"/>
        <v>7195.2670000000007</v>
      </c>
      <c r="X349" s="16">
        <f t="shared" si="10"/>
        <v>24059.646000000001</v>
      </c>
      <c r="Y349" s="16">
        <f t="shared" si="10"/>
        <v>0</v>
      </c>
      <c r="Z349" s="16">
        <f t="shared" si="10"/>
        <v>188073.83100000001</v>
      </c>
      <c r="AA349" s="16">
        <f t="shared" si="10"/>
        <v>0</v>
      </c>
      <c r="AB349" s="16">
        <f t="shared" si="10"/>
        <v>56885.334999999999</v>
      </c>
      <c r="AC349" s="16">
        <f t="shared" si="10"/>
        <v>-8.9340000000000011</v>
      </c>
      <c r="AD349" s="16">
        <f t="shared" si="10"/>
        <v>6699.8370000000004</v>
      </c>
      <c r="AE349" s="16">
        <f t="shared" si="10"/>
        <v>0</v>
      </c>
      <c r="AF349" s="16">
        <f t="shared" si="10"/>
        <v>587657.94599999988</v>
      </c>
      <c r="AG349" s="16">
        <f t="shared" si="10"/>
        <v>-15628.774000000001</v>
      </c>
      <c r="AH349" s="16">
        <f t="shared" si="10"/>
        <v>3514.8850000000002</v>
      </c>
      <c r="AI349" s="16">
        <f t="shared" si="10"/>
        <v>1654459.6880000001</v>
      </c>
      <c r="AJ349" s="16">
        <f t="shared" si="10"/>
        <v>88598.288000000015</v>
      </c>
      <c r="AK349" s="16">
        <f t="shared" si="10"/>
        <v>22.82</v>
      </c>
      <c r="AL349" s="16">
        <f t="shared" si="10"/>
        <v>32.72</v>
      </c>
      <c r="AM349" s="16">
        <f t="shared" si="10"/>
        <v>0</v>
      </c>
      <c r="AN349" s="16">
        <f t="shared" si="10"/>
        <v>116.119</v>
      </c>
      <c r="AO349" s="16">
        <f>SUMIF($D$7:$D$339,$D$349,AO7:AO339)</f>
        <v>565.06200000000001</v>
      </c>
      <c r="AP349" s="16">
        <f>SUMIF($D$7:$D$339,$D$349,AP7:AP339)</f>
        <v>634.17600000000004</v>
      </c>
      <c r="AQ349" s="16">
        <f>SUMIF($D$7:$D$339,$D$349,AQ7:AQ339)</f>
        <v>-493.40499999999997</v>
      </c>
      <c r="AR349" s="16">
        <f t="shared" si="10"/>
        <v>0</v>
      </c>
      <c r="AS349" s="16">
        <f t="shared" si="10"/>
        <v>-3639.6929999999998</v>
      </c>
      <c r="AT349" s="16">
        <f t="shared" si="10"/>
        <v>0</v>
      </c>
      <c r="AU349" s="16">
        <f t="shared" si="10"/>
        <v>-37.831000000000003</v>
      </c>
      <c r="AV349" s="16">
        <f t="shared" si="10"/>
        <v>0</v>
      </c>
      <c r="AW349" s="16">
        <f t="shared" si="10"/>
        <v>-213.28299999999996</v>
      </c>
      <c r="AX349" s="16">
        <f t="shared" si="10"/>
        <v>0</v>
      </c>
      <c r="AY349" s="16">
        <f t="shared" si="10"/>
        <v>0</v>
      </c>
      <c r="AZ349" s="16">
        <f>SUMIF($D$7:$D$339,$D$349,AZ7:AZ339)</f>
        <v>0</v>
      </c>
      <c r="BA349" s="16">
        <f t="shared" ref="BA349:BQ349" si="11">SUMIF($D$7:$D$339,$D$349,BA7:BA339)</f>
        <v>-85.277999999999992</v>
      </c>
      <c r="BB349" s="16">
        <f t="shared" si="11"/>
        <v>0</v>
      </c>
      <c r="BC349" s="16">
        <f t="shared" si="11"/>
        <v>0</v>
      </c>
      <c r="BD349" s="16">
        <f t="shared" si="11"/>
        <v>-118.58699999999999</v>
      </c>
      <c r="BE349" s="16">
        <f t="shared" si="11"/>
        <v>1.2E-2</v>
      </c>
      <c r="BF349" s="16">
        <f t="shared" si="11"/>
        <v>0</v>
      </c>
      <c r="BG349" s="16">
        <f t="shared" si="11"/>
        <v>-18.066000000000003</v>
      </c>
      <c r="BH349" s="16">
        <f t="shared" si="11"/>
        <v>-18.066000000000003</v>
      </c>
      <c r="BI349" s="16">
        <f t="shared" si="11"/>
        <v>0</v>
      </c>
      <c r="BJ349" s="16">
        <f t="shared" si="11"/>
        <v>0</v>
      </c>
      <c r="BK349" s="16">
        <f t="shared" si="11"/>
        <v>4.0000000000000001E-3</v>
      </c>
      <c r="BL349" s="16">
        <f t="shared" si="11"/>
        <v>0</v>
      </c>
      <c r="BM349" s="16">
        <f t="shared" si="11"/>
        <v>0</v>
      </c>
      <c r="BN349" s="16">
        <f t="shared" si="11"/>
        <v>0</v>
      </c>
      <c r="BO349" s="16">
        <f t="shared" si="11"/>
        <v>0</v>
      </c>
      <c r="BP349" s="16">
        <f t="shared" si="11"/>
        <v>0</v>
      </c>
      <c r="BQ349" s="16">
        <f t="shared" si="11"/>
        <v>0</v>
      </c>
      <c r="BR349" s="21"/>
    </row>
    <row r="350" spans="1:70" x14ac:dyDescent="0.2">
      <c r="A350" t="s">
        <v>613</v>
      </c>
      <c r="B350">
        <v>7</v>
      </c>
      <c r="D350">
        <v>6</v>
      </c>
      <c r="E350" s="16">
        <f t="shared" ref="E350:AY350" si="12">SUMIF($D$7:$D$339,$D$350,E7:E339)+SUMIF($D$7:$D$339,$B$350,E7:E339)</f>
        <v>1680998.1219999995</v>
      </c>
      <c r="F350" s="16">
        <f t="shared" si="12"/>
        <v>65069.875999999989</v>
      </c>
      <c r="G350" s="16">
        <f t="shared" si="12"/>
        <v>63857.114999999991</v>
      </c>
      <c r="H350" s="16">
        <f t="shared" si="12"/>
        <v>20521.019</v>
      </c>
      <c r="I350" s="16">
        <f t="shared" si="12"/>
        <v>9816.7910000000047</v>
      </c>
      <c r="J350" s="16">
        <f t="shared" si="12"/>
        <v>45035.591999999997</v>
      </c>
      <c r="K350" s="16">
        <f t="shared" si="12"/>
        <v>-183.89</v>
      </c>
      <c r="L350" s="16">
        <f t="shared" si="12"/>
        <v>4669.9709999999995</v>
      </c>
      <c r="M350" s="16">
        <f t="shared" si="12"/>
        <v>2117127.7880000006</v>
      </c>
      <c r="N350" s="16">
        <f t="shared" si="12"/>
        <v>570641.25800000015</v>
      </c>
      <c r="O350" s="16">
        <f>SUMIF($D$7:$D$339,$D$350,O7:O339)+SUMIF($D$7:$D$339,$B$350,O7:O339)</f>
        <v>-3.1540000000000004</v>
      </c>
      <c r="P350" s="16">
        <f t="shared" si="12"/>
        <v>13.132999999999996</v>
      </c>
      <c r="Q350" s="16">
        <f t="shared" si="12"/>
        <v>1367.3979999999995</v>
      </c>
      <c r="R350" s="16">
        <f t="shared" si="12"/>
        <v>95.379000000000076</v>
      </c>
      <c r="S350" s="16">
        <f t="shared" si="12"/>
        <v>904.65300000000013</v>
      </c>
      <c r="T350" s="16">
        <f t="shared" si="12"/>
        <v>9393.0989999999983</v>
      </c>
      <c r="U350" s="16">
        <f t="shared" si="12"/>
        <v>-1.516</v>
      </c>
      <c r="V350" s="16">
        <f t="shared" si="12"/>
        <v>3404.1580000000004</v>
      </c>
      <c r="W350" s="16">
        <f t="shared" si="12"/>
        <v>4986.4009999999989</v>
      </c>
      <c r="X350" s="16">
        <f t="shared" si="12"/>
        <v>14377.857000000002</v>
      </c>
      <c r="Y350" s="16">
        <f t="shared" si="12"/>
        <v>-634.66999999999996</v>
      </c>
      <c r="Z350" s="16">
        <f t="shared" si="12"/>
        <v>262087.83999999994</v>
      </c>
      <c r="AA350" s="16">
        <f t="shared" si="12"/>
        <v>-1501.2860000000019</v>
      </c>
      <c r="AB350" s="16">
        <f t="shared" si="12"/>
        <v>54896.256000000008</v>
      </c>
      <c r="AC350" s="16">
        <f t="shared" si="12"/>
        <v>3463.2479999999996</v>
      </c>
      <c r="AD350" s="16">
        <f t="shared" si="12"/>
        <v>7657.7340000000004</v>
      </c>
      <c r="AE350" s="16">
        <f t="shared" si="12"/>
        <v>-219.17399999999981</v>
      </c>
      <c r="AF350" s="16">
        <f t="shared" si="12"/>
        <v>986148.34400000004</v>
      </c>
      <c r="AG350" s="16">
        <f t="shared" si="12"/>
        <v>28689.999</v>
      </c>
      <c r="AH350" s="16">
        <f t="shared" si="12"/>
        <v>-1108.4840000000024</v>
      </c>
      <c r="AI350" s="16">
        <f t="shared" si="12"/>
        <v>3923199.6689999998</v>
      </c>
      <c r="AJ350" s="16">
        <f t="shared" si="12"/>
        <v>72450.527999999991</v>
      </c>
      <c r="AK350" s="16">
        <f t="shared" si="12"/>
        <v>-5435.8919999999598</v>
      </c>
      <c r="AL350" s="16">
        <f t="shared" si="12"/>
        <v>97885.71100000001</v>
      </c>
      <c r="AM350" s="16">
        <f t="shared" si="12"/>
        <v>-28.846</v>
      </c>
      <c r="AN350" s="16">
        <f t="shared" si="12"/>
        <v>59109.515000000007</v>
      </c>
      <c r="AO350" s="16">
        <f>SUMIF($D$7:$D$339,$D$350,AO7:AO339)+SUMIF($D$7:$D$339,$B$350,AO7:AO339)</f>
        <v>-432.96799999999996</v>
      </c>
      <c r="AP350" s="16">
        <f>SUMIF($D$7:$D$339,$D$350,AP7:AP339)+SUMIF($D$7:$D$339,$B$350,AP7:AP339)</f>
        <v>25384.624999999993</v>
      </c>
      <c r="AQ350" s="16">
        <f>SUMIF($D$7:$D$339,$D$350,AQ7:AQ339)+SUMIF($D$7:$D$339,$B$350,AQ7:AQ339)</f>
        <v>574.25100000000009</v>
      </c>
      <c r="AR350" s="16">
        <f t="shared" si="12"/>
        <v>-2.3790000000000013</v>
      </c>
      <c r="AS350" s="16">
        <f t="shared" si="12"/>
        <v>4380.8940000000002</v>
      </c>
      <c r="AT350" s="16">
        <f t="shared" si="12"/>
        <v>-82.824000000000012</v>
      </c>
      <c r="AU350" s="16">
        <f t="shared" si="12"/>
        <v>207.57400000000001</v>
      </c>
      <c r="AV350" s="16">
        <f t="shared" si="12"/>
        <v>0</v>
      </c>
      <c r="AW350" s="16">
        <f t="shared" si="12"/>
        <v>1104.5650000000001</v>
      </c>
      <c r="AX350" s="16">
        <f t="shared" si="12"/>
        <v>-0.54899999999999949</v>
      </c>
      <c r="AY350" s="16">
        <f t="shared" si="12"/>
        <v>-15.942000000000002</v>
      </c>
      <c r="AZ350" s="16">
        <f>SUMIF($D$7:$D$339,$D$350,AZ7:AZ339)+SUMIF($D$7:$D$339,$B$350,AZ7:AZ339)</f>
        <v>-33.929000000000002</v>
      </c>
      <c r="BA350" s="16">
        <f t="shared" ref="BA350:BQ350" si="13">SUMIF($D$7:$D$339,$D$350,BA7:BA339)+SUMIF($D$7:$D$339,$B$350,BA7:BA339)</f>
        <v>384.63700000000006</v>
      </c>
      <c r="BB350" s="16">
        <f t="shared" si="13"/>
        <v>323.40800000000002</v>
      </c>
      <c r="BC350" s="16">
        <f t="shared" si="13"/>
        <v>-22.683</v>
      </c>
      <c r="BD350" s="16">
        <f t="shared" si="13"/>
        <v>182.41399999999999</v>
      </c>
      <c r="BE350" s="16">
        <f t="shared" si="13"/>
        <v>293.85199999999998</v>
      </c>
      <c r="BF350" s="16">
        <f t="shared" si="13"/>
        <v>463.83199999999999</v>
      </c>
      <c r="BG350" s="16">
        <f t="shared" si="13"/>
        <v>25.481999999999996</v>
      </c>
      <c r="BH350" s="16">
        <f t="shared" si="13"/>
        <v>25.481999999999996</v>
      </c>
      <c r="BI350" s="16">
        <f t="shared" si="13"/>
        <v>261.12599999999998</v>
      </c>
      <c r="BJ350" s="16">
        <f t="shared" si="13"/>
        <v>-5426.5060000000058</v>
      </c>
      <c r="BK350" s="16">
        <f t="shared" si="13"/>
        <v>124.22199999999999</v>
      </c>
      <c r="BL350" s="16">
        <f t="shared" si="13"/>
        <v>-4.8579999999999997</v>
      </c>
      <c r="BM350" s="16">
        <f t="shared" si="13"/>
        <v>-1.1220000000000001</v>
      </c>
      <c r="BN350" s="16">
        <f t="shared" si="13"/>
        <v>-326.767</v>
      </c>
      <c r="BO350" s="16">
        <f t="shared" si="13"/>
        <v>-61.420999999999999</v>
      </c>
      <c r="BP350" s="16">
        <f t="shared" si="13"/>
        <v>-17.122</v>
      </c>
      <c r="BQ350" s="16">
        <f t="shared" si="13"/>
        <v>-86.238</v>
      </c>
      <c r="BR350" s="21"/>
    </row>
    <row r="351" spans="1:70" x14ac:dyDescent="0.2"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  <c r="AX351" s="16"/>
      <c r="AY351" s="16"/>
      <c r="AZ351" s="16"/>
      <c r="BA351" s="16"/>
      <c r="BB351" s="16"/>
      <c r="BC351" s="16"/>
      <c r="BD351" s="16"/>
      <c r="BE351" s="16"/>
      <c r="BF351" s="16"/>
      <c r="BG351" s="16"/>
      <c r="BH351" s="16"/>
      <c r="BI351" s="16"/>
      <c r="BJ351" s="16"/>
      <c r="BK351" s="16"/>
      <c r="BL351" s="16"/>
      <c r="BM351" s="16"/>
      <c r="BN351" s="16"/>
      <c r="BO351" s="16"/>
      <c r="BP351" s="16"/>
      <c r="BQ351" s="16"/>
      <c r="BR351" s="21"/>
    </row>
    <row r="352" spans="1:70" x14ac:dyDescent="0.2">
      <c r="E352">
        <f t="shared" ref="E352:N352" si="14">SUM(E345:E351)</f>
        <v>8013959.3879999993</v>
      </c>
      <c r="F352">
        <f t="shared" si="14"/>
        <v>927903.59900000016</v>
      </c>
      <c r="G352">
        <f t="shared" si="14"/>
        <v>1007781.6469999998</v>
      </c>
      <c r="H352">
        <f t="shared" si="14"/>
        <v>1098539.4270000001</v>
      </c>
      <c r="I352">
        <f t="shared" si="14"/>
        <v>139929.76800000001</v>
      </c>
      <c r="J352">
        <f t="shared" si="14"/>
        <v>706147.24999999977</v>
      </c>
      <c r="K352">
        <f t="shared" si="14"/>
        <v>-183.89</v>
      </c>
      <c r="L352">
        <f t="shared" si="14"/>
        <v>307860.02300000004</v>
      </c>
      <c r="M352" s="17">
        <f t="shared" si="14"/>
        <v>8785895.319000002</v>
      </c>
      <c r="N352">
        <f t="shared" si="14"/>
        <v>3157325.0860000001</v>
      </c>
      <c r="O352">
        <f>SUM(O345:O351)</f>
        <v>15339.120999999999</v>
      </c>
      <c r="P352">
        <f t="shared" ref="P352:AN352" si="15">SUM(P345:P351)</f>
        <v>6312.4620000000004</v>
      </c>
      <c r="Q352">
        <f t="shared" si="15"/>
        <v>19724.452000000001</v>
      </c>
      <c r="R352">
        <f t="shared" si="15"/>
        <v>11913.051000000001</v>
      </c>
      <c r="S352">
        <f t="shared" si="15"/>
        <v>20660.365999999998</v>
      </c>
      <c r="T352">
        <f t="shared" si="15"/>
        <v>284157.83399999997</v>
      </c>
      <c r="U352">
        <f t="shared" si="15"/>
        <v>1200.1789999999999</v>
      </c>
      <c r="V352">
        <f t="shared" si="15"/>
        <v>224233.31400000001</v>
      </c>
      <c r="W352">
        <f t="shared" si="15"/>
        <v>86200.087000000014</v>
      </c>
      <c r="X352">
        <f t="shared" si="15"/>
        <v>215954.85299999997</v>
      </c>
      <c r="Y352">
        <f t="shared" si="15"/>
        <v>202897.43999999997</v>
      </c>
      <c r="Z352">
        <f t="shared" si="15"/>
        <v>1679496.4739999997</v>
      </c>
      <c r="AA352">
        <f t="shared" si="15"/>
        <v>133568.56600000002</v>
      </c>
      <c r="AB352">
        <f t="shared" si="15"/>
        <v>896322.05299999996</v>
      </c>
      <c r="AC352">
        <f t="shared" si="15"/>
        <v>249296.239</v>
      </c>
      <c r="AD352">
        <f t="shared" si="15"/>
        <v>155002.36300000001</v>
      </c>
      <c r="AE352">
        <f t="shared" si="15"/>
        <v>54743.663</v>
      </c>
      <c r="AF352">
        <f t="shared" si="15"/>
        <v>4793633.0370000005</v>
      </c>
      <c r="AG352">
        <f t="shared" si="15"/>
        <v>988392.07700000005</v>
      </c>
      <c r="AH352">
        <f t="shared" si="15"/>
        <v>235983.71800000002</v>
      </c>
      <c r="AI352">
        <f t="shared" si="15"/>
        <v>17896329.173</v>
      </c>
      <c r="AJ352">
        <f t="shared" si="15"/>
        <v>1858838.0280000002</v>
      </c>
      <c r="AK352">
        <f t="shared" si="15"/>
        <v>694241.52399999998</v>
      </c>
      <c r="AL352">
        <f t="shared" si="15"/>
        <v>10020395.127999999</v>
      </c>
      <c r="AM352">
        <f t="shared" si="15"/>
        <v>-28.846</v>
      </c>
      <c r="AN352">
        <f t="shared" si="15"/>
        <v>5851468.4909999995</v>
      </c>
      <c r="AO352">
        <f>SUM(AO345:AO351)</f>
        <v>41114.911</v>
      </c>
      <c r="AP352">
        <f>SUM(AP345:AP351)</f>
        <v>3343130.7679999992</v>
      </c>
      <c r="AQ352">
        <f>SUM(AQ345:AQ351)</f>
        <v>31814.536999999997</v>
      </c>
      <c r="AR352">
        <f>SUM(AR345:AR351)</f>
        <v>47189.466999999997</v>
      </c>
      <c r="AS352">
        <f t="shared" ref="AS352:AY352" si="16">SUM(AS345:AS351)</f>
        <v>298509.25100000005</v>
      </c>
      <c r="AT352">
        <f t="shared" si="16"/>
        <v>20497.32</v>
      </c>
      <c r="AU352">
        <f t="shared" si="16"/>
        <v>3404.0749999999994</v>
      </c>
      <c r="AV352">
        <f t="shared" si="16"/>
        <v>0</v>
      </c>
      <c r="AW352">
        <f t="shared" si="16"/>
        <v>77160.854000000021</v>
      </c>
      <c r="AX352">
        <f t="shared" si="16"/>
        <v>69292.716</v>
      </c>
      <c r="AY352">
        <f t="shared" si="16"/>
        <v>69563.548999999999</v>
      </c>
      <c r="AZ352">
        <f>SUM(AZ345:AZ351)</f>
        <v>115848.54999999999</v>
      </c>
      <c r="BA352">
        <f t="shared" ref="BA352:BQ352" si="17">SUM(BA345:BA351)</f>
        <v>16120.504999999999</v>
      </c>
      <c r="BB352">
        <f t="shared" si="17"/>
        <v>7746.3950000000013</v>
      </c>
      <c r="BC352">
        <f t="shared" si="17"/>
        <v>64594.907000000007</v>
      </c>
      <c r="BD352">
        <f t="shared" si="17"/>
        <v>9670.6670000000013</v>
      </c>
      <c r="BE352">
        <f t="shared" si="17"/>
        <v>12781.453000000001</v>
      </c>
      <c r="BF352">
        <f t="shared" si="17"/>
        <v>10656.136</v>
      </c>
      <c r="BG352">
        <f t="shared" si="17"/>
        <v>1282.9289999999999</v>
      </c>
      <c r="BH352">
        <f t="shared" si="17"/>
        <v>1282.9289999999999</v>
      </c>
      <c r="BI352">
        <f t="shared" si="17"/>
        <v>5959.9500000000007</v>
      </c>
      <c r="BJ352">
        <f t="shared" si="17"/>
        <v>498214.90400000004</v>
      </c>
      <c r="BK352">
        <f t="shared" si="17"/>
        <v>4797.0039999999999</v>
      </c>
      <c r="BL352">
        <f t="shared" si="17"/>
        <v>-4.8579999999999997</v>
      </c>
      <c r="BM352">
        <f t="shared" si="17"/>
        <v>-1.1220000000000001</v>
      </c>
      <c r="BN352">
        <f t="shared" si="17"/>
        <v>-326.767</v>
      </c>
      <c r="BO352">
        <f t="shared" si="17"/>
        <v>-61.420999999999999</v>
      </c>
      <c r="BP352">
        <f t="shared" si="17"/>
        <v>-17.122</v>
      </c>
      <c r="BQ352">
        <f t="shared" si="17"/>
        <v>-86.238</v>
      </c>
      <c r="BR352" s="21"/>
    </row>
    <row r="353" spans="1:70" x14ac:dyDescent="0.2"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  <c r="AX353" s="16"/>
      <c r="AY353" s="16"/>
      <c r="AZ353" s="16"/>
      <c r="BA353" s="16"/>
      <c r="BB353" s="16"/>
      <c r="BC353" s="16"/>
      <c r="BD353" s="16"/>
      <c r="BE353" s="16"/>
      <c r="BF353" s="16"/>
      <c r="BG353" s="16"/>
      <c r="BH353" s="16"/>
      <c r="BI353" s="16"/>
      <c r="BJ353" s="16"/>
      <c r="BK353" s="16"/>
      <c r="BL353" s="16"/>
      <c r="BM353" s="16"/>
      <c r="BN353" s="16"/>
      <c r="BO353" s="16"/>
      <c r="BP353" s="16"/>
      <c r="BQ353" s="16"/>
      <c r="BR353" s="21"/>
    </row>
    <row r="354" spans="1:70" x14ac:dyDescent="0.2">
      <c r="A354" s="8"/>
      <c r="B354" s="8"/>
      <c r="C354" s="8"/>
      <c r="D354" s="8"/>
      <c r="E354" s="8">
        <f t="shared" ref="E354:AY354" si="18">E352-E340</f>
        <v>8013959.3879999993</v>
      </c>
      <c r="F354" s="8">
        <f t="shared" si="18"/>
        <v>927903.59900000016</v>
      </c>
      <c r="G354" s="8">
        <f t="shared" si="18"/>
        <v>1007781.6469999998</v>
      </c>
      <c r="H354" s="8">
        <f t="shared" si="18"/>
        <v>1098539.4270000001</v>
      </c>
      <c r="I354" s="8">
        <f t="shared" si="18"/>
        <v>139929.76800000001</v>
      </c>
      <c r="J354" s="8">
        <f t="shared" si="18"/>
        <v>706147.24999999977</v>
      </c>
      <c r="K354" s="8">
        <f t="shared" si="18"/>
        <v>-183.89</v>
      </c>
      <c r="L354" s="8">
        <f t="shared" si="18"/>
        <v>307860.02300000004</v>
      </c>
      <c r="M354" s="18">
        <f t="shared" si="18"/>
        <v>8785895.319000002</v>
      </c>
      <c r="N354" s="8">
        <f t="shared" si="18"/>
        <v>3157325.0860000001</v>
      </c>
      <c r="O354" s="8">
        <f>O352-O340</f>
        <v>15339.120999999999</v>
      </c>
      <c r="P354" s="8">
        <f t="shared" si="18"/>
        <v>6312.4620000000004</v>
      </c>
      <c r="Q354" s="8">
        <f t="shared" si="18"/>
        <v>19724.452000000001</v>
      </c>
      <c r="R354" s="8">
        <f t="shared" si="18"/>
        <v>11913.051000000001</v>
      </c>
      <c r="S354" s="8">
        <f t="shared" si="18"/>
        <v>20660.365999999998</v>
      </c>
      <c r="T354" s="8">
        <f t="shared" si="18"/>
        <v>284157.83399999997</v>
      </c>
      <c r="U354" s="8">
        <f t="shared" si="18"/>
        <v>1200.1789999999999</v>
      </c>
      <c r="V354" s="8">
        <f t="shared" si="18"/>
        <v>224233.31400000001</v>
      </c>
      <c r="W354" s="8">
        <f t="shared" si="18"/>
        <v>86200.087000000014</v>
      </c>
      <c r="X354" s="8">
        <f t="shared" si="18"/>
        <v>215954.85299999997</v>
      </c>
      <c r="Y354" s="8">
        <f t="shared" si="18"/>
        <v>202897.43999999997</v>
      </c>
      <c r="Z354" s="8">
        <f t="shared" si="18"/>
        <v>1679496.4739999997</v>
      </c>
      <c r="AA354" s="8">
        <f t="shared" si="18"/>
        <v>133568.56600000002</v>
      </c>
      <c r="AB354" s="8">
        <f t="shared" si="18"/>
        <v>896322.05299999996</v>
      </c>
      <c r="AC354" s="8">
        <f t="shared" si="18"/>
        <v>249296.239</v>
      </c>
      <c r="AD354" s="8">
        <f t="shared" si="18"/>
        <v>155002.36300000001</v>
      </c>
      <c r="AE354" s="8">
        <f t="shared" si="18"/>
        <v>54743.663</v>
      </c>
      <c r="AF354" s="8">
        <f t="shared" si="18"/>
        <v>4793633.0370000005</v>
      </c>
      <c r="AG354" s="8">
        <f t="shared" si="18"/>
        <v>988392.07700000005</v>
      </c>
      <c r="AH354" s="8">
        <f t="shared" si="18"/>
        <v>235983.71800000002</v>
      </c>
      <c r="AI354" s="8">
        <f t="shared" si="18"/>
        <v>17896329.173</v>
      </c>
      <c r="AJ354" s="8">
        <f t="shared" si="18"/>
        <v>1858838.0280000002</v>
      </c>
      <c r="AK354" s="8">
        <f t="shared" si="18"/>
        <v>694241.52399999998</v>
      </c>
      <c r="AL354" s="8">
        <f t="shared" si="18"/>
        <v>10020395.127999999</v>
      </c>
      <c r="AM354" s="8">
        <f t="shared" si="18"/>
        <v>-28.846</v>
      </c>
      <c r="AN354" s="8">
        <f t="shared" si="18"/>
        <v>5851468.4909999995</v>
      </c>
      <c r="AO354" s="8">
        <f t="shared" si="18"/>
        <v>41114.911</v>
      </c>
      <c r="AP354" s="8">
        <f t="shared" si="18"/>
        <v>3343130.7679999992</v>
      </c>
      <c r="AQ354" s="8">
        <f t="shared" si="18"/>
        <v>31814.536999999997</v>
      </c>
      <c r="AR354" s="8">
        <f t="shared" si="18"/>
        <v>47189.466999999997</v>
      </c>
      <c r="AS354" s="8">
        <f t="shared" si="18"/>
        <v>298509.25100000005</v>
      </c>
      <c r="AT354" s="8">
        <f t="shared" si="18"/>
        <v>20497.32</v>
      </c>
      <c r="AU354" s="8">
        <f t="shared" si="18"/>
        <v>3404.0749999999994</v>
      </c>
      <c r="AV354" s="8">
        <f t="shared" si="18"/>
        <v>0</v>
      </c>
      <c r="AW354" s="8">
        <f t="shared" si="18"/>
        <v>77160.854000000021</v>
      </c>
      <c r="AX354" s="8">
        <f t="shared" si="18"/>
        <v>69292.716</v>
      </c>
      <c r="AY354" s="8">
        <f t="shared" si="18"/>
        <v>69563.548999999999</v>
      </c>
      <c r="AZ354" s="8">
        <f>AZ352-AZ340</f>
        <v>115848.54999999999</v>
      </c>
      <c r="BA354" s="8">
        <f t="shared" ref="BA354:BQ354" si="19">BA352-BA340</f>
        <v>16120.504999999999</v>
      </c>
      <c r="BB354" s="8">
        <f t="shared" si="19"/>
        <v>7746.3950000000013</v>
      </c>
      <c r="BC354" s="8">
        <f t="shared" si="19"/>
        <v>64594.907000000007</v>
      </c>
      <c r="BD354" s="8">
        <f t="shared" si="19"/>
        <v>9670.6670000000013</v>
      </c>
      <c r="BE354" s="8">
        <f t="shared" si="19"/>
        <v>12781.453000000001</v>
      </c>
      <c r="BF354" s="8">
        <f t="shared" si="19"/>
        <v>10656.136</v>
      </c>
      <c r="BG354" s="8">
        <f t="shared" si="19"/>
        <v>1282.9289999999999</v>
      </c>
      <c r="BH354" s="8">
        <f t="shared" si="19"/>
        <v>1282.9289999999999</v>
      </c>
      <c r="BI354" s="8">
        <f t="shared" si="19"/>
        <v>5959.9500000000007</v>
      </c>
      <c r="BJ354" s="8">
        <f t="shared" si="19"/>
        <v>498214.90400000004</v>
      </c>
      <c r="BK354" s="8">
        <f t="shared" si="19"/>
        <v>4797.0039999999999</v>
      </c>
      <c r="BL354" s="8">
        <f t="shared" si="19"/>
        <v>-4.8579999999999997</v>
      </c>
      <c r="BM354" s="8">
        <f t="shared" si="19"/>
        <v>-1.1220000000000001</v>
      </c>
      <c r="BN354" s="8">
        <f t="shared" si="19"/>
        <v>-326.767</v>
      </c>
      <c r="BO354" s="8">
        <f t="shared" si="19"/>
        <v>-61.420999999999999</v>
      </c>
      <c r="BP354" s="8">
        <f t="shared" si="19"/>
        <v>-17.122</v>
      </c>
      <c r="BQ354" s="8">
        <f t="shared" si="19"/>
        <v>-86.238</v>
      </c>
      <c r="BR354" s="21"/>
    </row>
    <row r="355" spans="1:70" x14ac:dyDescent="0.2">
      <c r="E355" s="19">
        <f t="shared" ref="E355:N355" si="20">E5</f>
        <v>401</v>
      </c>
      <c r="F355" s="19">
        <f t="shared" si="20"/>
        <v>242</v>
      </c>
      <c r="G355" s="19">
        <f t="shared" si="20"/>
        <v>385</v>
      </c>
      <c r="H355" s="19">
        <f t="shared" si="20"/>
        <v>528</v>
      </c>
      <c r="I355" s="19">
        <f t="shared" si="20"/>
        <v>384</v>
      </c>
      <c r="J355" s="19">
        <f t="shared" si="20"/>
        <v>716</v>
      </c>
      <c r="K355" s="19">
        <f t="shared" si="20"/>
        <v>686</v>
      </c>
      <c r="L355" s="19">
        <f t="shared" si="20"/>
        <v>715</v>
      </c>
      <c r="M355" s="19">
        <f t="shared" si="20"/>
        <v>9916</v>
      </c>
      <c r="N355" s="19">
        <f t="shared" si="20"/>
        <v>1100</v>
      </c>
      <c r="O355" s="19">
        <f>O5</f>
        <v>801</v>
      </c>
      <c r="P355" s="19">
        <f t="shared" ref="P355:U355" si="21">P5</f>
        <v>804</v>
      </c>
      <c r="Q355" s="19">
        <f t="shared" si="21"/>
        <v>806</v>
      </c>
      <c r="R355" s="19">
        <f t="shared" si="21"/>
        <v>8765</v>
      </c>
      <c r="S355" s="19">
        <f t="shared" si="21"/>
        <v>8766</v>
      </c>
      <c r="T355" s="19">
        <f t="shared" si="21"/>
        <v>9418</v>
      </c>
      <c r="U355" s="19">
        <f t="shared" si="21"/>
        <v>9475</v>
      </c>
      <c r="V355" s="19">
        <f>V5</f>
        <v>9906</v>
      </c>
      <c r="W355" s="19">
        <f>W5</f>
        <v>7905</v>
      </c>
      <c r="X355" s="19">
        <f t="shared" ref="X355:AY355" si="22">X5</f>
        <v>7906</v>
      </c>
      <c r="Y355" s="19">
        <f t="shared" si="22"/>
        <v>7907</v>
      </c>
      <c r="Z355" s="19">
        <f t="shared" si="22"/>
        <v>7908</v>
      </c>
      <c r="AA355" s="19">
        <f t="shared" si="22"/>
        <v>7909</v>
      </c>
      <c r="AB355" s="19">
        <f t="shared" si="22"/>
        <v>11310</v>
      </c>
      <c r="AC355" s="19">
        <f t="shared" si="22"/>
        <v>11311</v>
      </c>
      <c r="AD355" s="19">
        <f t="shared" si="22"/>
        <v>11312</v>
      </c>
      <c r="AE355" s="19">
        <f t="shared" si="22"/>
        <v>11335</v>
      </c>
      <c r="AF355" s="19">
        <f t="shared" si="22"/>
        <v>9529</v>
      </c>
      <c r="AG355" s="19">
        <f t="shared" si="22"/>
        <v>961</v>
      </c>
      <c r="AH355" s="19">
        <f t="shared" si="22"/>
        <v>9528</v>
      </c>
      <c r="AI355" s="19">
        <f t="shared" si="22"/>
        <v>964</v>
      </c>
      <c r="AJ355" s="19">
        <f t="shared" si="22"/>
        <v>968</v>
      </c>
      <c r="AK355" s="19">
        <f t="shared" si="22"/>
        <v>8629</v>
      </c>
      <c r="AL355" s="19">
        <f t="shared" si="22"/>
        <v>13264</v>
      </c>
      <c r="AM355" s="19">
        <f t="shared" si="22"/>
        <v>9917</v>
      </c>
      <c r="AN355" s="19">
        <f t="shared" si="22"/>
        <v>13263</v>
      </c>
      <c r="AO355" s="19">
        <f t="shared" si="22"/>
        <v>13209</v>
      </c>
      <c r="AP355" s="19">
        <f t="shared" si="22"/>
        <v>13250</v>
      </c>
      <c r="AQ355" s="19">
        <f t="shared" si="22"/>
        <v>14281</v>
      </c>
      <c r="AR355" s="19">
        <f t="shared" si="22"/>
        <v>2049</v>
      </c>
      <c r="AS355" s="19">
        <f t="shared" si="22"/>
        <v>7975</v>
      </c>
      <c r="AT355" s="19">
        <f t="shared" si="22"/>
        <v>8004</v>
      </c>
      <c r="AU355" s="19">
        <f t="shared" si="22"/>
        <v>1008</v>
      </c>
      <c r="AV355" s="19">
        <f t="shared" si="22"/>
        <v>9484</v>
      </c>
      <c r="AW355" s="19">
        <f t="shared" si="22"/>
        <v>682</v>
      </c>
      <c r="AX355" s="19">
        <f t="shared" si="22"/>
        <v>11352</v>
      </c>
      <c r="AY355" s="19">
        <f t="shared" si="22"/>
        <v>2058</v>
      </c>
      <c r="AZ355" s="19">
        <f>AZ5</f>
        <v>15007</v>
      </c>
      <c r="BA355" s="19">
        <f t="shared" ref="BA355:BQ355" si="23">BA5</f>
        <v>15208</v>
      </c>
      <c r="BB355" s="19">
        <f t="shared" si="23"/>
        <v>15209</v>
      </c>
      <c r="BC355" s="19">
        <f t="shared" si="23"/>
        <v>15210</v>
      </c>
      <c r="BD355" s="19">
        <f t="shared" si="23"/>
        <v>15211</v>
      </c>
      <c r="BE355" s="19">
        <f t="shared" si="23"/>
        <v>15212</v>
      </c>
      <c r="BF355" s="19">
        <f t="shared" si="23"/>
        <v>15232</v>
      </c>
      <c r="BG355" s="19">
        <f t="shared" si="23"/>
        <v>15214</v>
      </c>
      <c r="BH355" s="19">
        <f t="shared" si="23"/>
        <v>15214</v>
      </c>
      <c r="BI355" s="19">
        <f t="shared" si="23"/>
        <v>15233</v>
      </c>
      <c r="BJ355" s="19">
        <f t="shared" si="23"/>
        <v>15234</v>
      </c>
      <c r="BK355" s="19">
        <f t="shared" si="23"/>
        <v>15215</v>
      </c>
      <c r="BL355" s="19">
        <f t="shared" si="23"/>
        <v>12088</v>
      </c>
      <c r="BM355" s="19">
        <f t="shared" si="23"/>
        <v>14282</v>
      </c>
      <c r="BN355" s="19">
        <f t="shared" si="23"/>
        <v>211</v>
      </c>
      <c r="BO355" s="19">
        <f t="shared" si="23"/>
        <v>8624</v>
      </c>
      <c r="BP355" s="19">
        <f t="shared" si="23"/>
        <v>9905</v>
      </c>
      <c r="BQ355" s="19">
        <f t="shared" si="23"/>
        <v>1190</v>
      </c>
      <c r="BR355" s="21"/>
    </row>
    <row r="356" spans="1:70" x14ac:dyDescent="0.2">
      <c r="A356" t="s">
        <v>608</v>
      </c>
      <c r="E356" s="20">
        <f t="shared" ref="E356:AN356" si="24">E345/E352</f>
        <v>0.11193707948448617</v>
      </c>
      <c r="F356" s="20">
        <f t="shared" si="24"/>
        <v>0.17403606708071404</v>
      </c>
      <c r="G356" s="20">
        <f t="shared" si="24"/>
        <v>3.9341100443755161E-2</v>
      </c>
      <c r="H356" s="20">
        <f t="shared" si="24"/>
        <v>2.6216600234959066E-2</v>
      </c>
      <c r="I356" s="20">
        <f t="shared" si="24"/>
        <v>9.9487815916338831E-2</v>
      </c>
      <c r="J356" s="20">
        <f t="shared" si="24"/>
        <v>3.7360517937299921E-2</v>
      </c>
      <c r="K356" s="20">
        <f t="shared" si="24"/>
        <v>0</v>
      </c>
      <c r="L356" s="20">
        <f t="shared" si="24"/>
        <v>2.3769880638253572E-2</v>
      </c>
      <c r="M356" s="20">
        <f t="shared" si="24"/>
        <v>0.2152238661335682</v>
      </c>
      <c r="N356" s="20">
        <f t="shared" si="24"/>
        <v>7.0626953172727547E-2</v>
      </c>
      <c r="O356" s="20">
        <f>O345/O352</f>
        <v>1.9011193666182046E-2</v>
      </c>
      <c r="P356" s="20">
        <f t="shared" si="24"/>
        <v>0.75028665519095394</v>
      </c>
      <c r="Q356" s="20">
        <f t="shared" si="24"/>
        <v>2.8216804198159726E-2</v>
      </c>
      <c r="R356" s="20">
        <f t="shared" si="24"/>
        <v>0.4409281887570195</v>
      </c>
      <c r="S356" s="20">
        <f t="shared" si="24"/>
        <v>9.4815116053607193E-2</v>
      </c>
      <c r="T356" s="20">
        <f t="shared" si="24"/>
        <v>0.17230343542103438</v>
      </c>
      <c r="U356" s="20">
        <f t="shared" si="24"/>
        <v>4.6482233066900865E-2</v>
      </c>
      <c r="V356" s="20">
        <f t="shared" si="24"/>
        <v>3.259907223241592E-2</v>
      </c>
      <c r="W356" s="20">
        <f t="shared" si="24"/>
        <v>6.890530168490433E-2</v>
      </c>
      <c r="X356" s="20">
        <f t="shared" si="24"/>
        <v>9.1807888197816989E-2</v>
      </c>
      <c r="Y356" s="20">
        <f t="shared" si="24"/>
        <v>0.17597222517938133</v>
      </c>
      <c r="Z356" s="20">
        <f t="shared" si="24"/>
        <v>0.19091838831690222</v>
      </c>
      <c r="AA356" s="20">
        <f t="shared" si="24"/>
        <v>0.5704224225930522</v>
      </c>
      <c r="AB356" s="20">
        <f t="shared" si="24"/>
        <v>6.2660089431047394E-2</v>
      </c>
      <c r="AC356" s="20">
        <f t="shared" si="24"/>
        <v>0.78087939385238792</v>
      </c>
      <c r="AD356" s="20">
        <f t="shared" si="24"/>
        <v>0.18634463011380026</v>
      </c>
      <c r="AE356" s="20">
        <f t="shared" si="24"/>
        <v>0.30044052770089574</v>
      </c>
      <c r="AF356" s="20">
        <f t="shared" si="24"/>
        <v>0.201564788030728</v>
      </c>
      <c r="AG356" s="20">
        <f t="shared" si="24"/>
        <v>0.34149996732521359</v>
      </c>
      <c r="AH356" s="20">
        <f t="shared" si="24"/>
        <v>0.32270052631342983</v>
      </c>
      <c r="AI356" s="20">
        <f t="shared" si="24"/>
        <v>0.17256409306883055</v>
      </c>
      <c r="AJ356" s="20">
        <f t="shared" si="24"/>
        <v>0.31164966999480814</v>
      </c>
      <c r="AK356" s="20">
        <f t="shared" si="24"/>
        <v>0.55153645347206282</v>
      </c>
      <c r="AL356" s="20">
        <f t="shared" si="24"/>
        <v>0.67627250307369324</v>
      </c>
      <c r="AM356" s="20">
        <f t="shared" si="24"/>
        <v>0</v>
      </c>
      <c r="AN356" s="20">
        <f t="shared" si="24"/>
        <v>0.67532206916569726</v>
      </c>
      <c r="AO356" s="20">
        <f>AO345/AO352</f>
        <v>2.1269217875723966E-2</v>
      </c>
      <c r="AP356" s="20">
        <f>AP345/AP352</f>
        <v>0.67701222598421551</v>
      </c>
      <c r="AQ356" s="20">
        <f>AQ345/AQ352</f>
        <v>0.216586084531106</v>
      </c>
      <c r="AR356" s="20">
        <f>AR345/AR352</f>
        <v>0.11089680245805701</v>
      </c>
      <c r="AS356" s="20">
        <f t="shared" ref="AS356:AY356" si="25">AS345/AS352</f>
        <v>0.34951103743180134</v>
      </c>
      <c r="AT356" s="20">
        <f t="shared" si="25"/>
        <v>0.10777530916236855</v>
      </c>
      <c r="AU356" s="20">
        <f t="shared" si="25"/>
        <v>0.16526604143563231</v>
      </c>
      <c r="AV356" s="20" t="e">
        <f t="shared" si="25"/>
        <v>#DIV/0!</v>
      </c>
      <c r="AW356" s="20">
        <f t="shared" si="25"/>
        <v>0.15132094053806089</v>
      </c>
      <c r="AX356" s="20">
        <f t="shared" si="25"/>
        <v>0.10171129675448139</v>
      </c>
      <c r="AY356" s="20">
        <f t="shared" si="25"/>
        <v>0.10479341702361965</v>
      </c>
      <c r="AZ356" s="20">
        <f>AZ345/AZ352</f>
        <v>0.21028048257833182</v>
      </c>
      <c r="BA356" s="20">
        <f t="shared" ref="BA356:BQ356" si="26">BA345/BA352</f>
        <v>0.12967162008882477</v>
      </c>
      <c r="BB356" s="20">
        <f t="shared" si="26"/>
        <v>0.11668447064731398</v>
      </c>
      <c r="BC356" s="20">
        <f t="shared" si="26"/>
        <v>0.20552340140376699</v>
      </c>
      <c r="BD356" s="20">
        <f t="shared" si="26"/>
        <v>0.30756358377348736</v>
      </c>
      <c r="BE356" s="20">
        <f t="shared" si="26"/>
        <v>9.3963730101734116E-2</v>
      </c>
      <c r="BF356" s="20">
        <f t="shared" si="26"/>
        <v>7.8837394717935272E-2</v>
      </c>
      <c r="BG356" s="20">
        <f t="shared" si="26"/>
        <v>0.20424045290113482</v>
      </c>
      <c r="BH356" s="20">
        <f t="shared" si="26"/>
        <v>0.20424045290113482</v>
      </c>
      <c r="BI356" s="20">
        <f t="shared" si="26"/>
        <v>7.3409508469030771E-2</v>
      </c>
      <c r="BJ356" s="20">
        <f t="shared" si="26"/>
        <v>0.61909111414298446</v>
      </c>
      <c r="BK356" s="20">
        <f t="shared" si="26"/>
        <v>9.096573611362424E-2</v>
      </c>
      <c r="BL356" s="20">
        <f t="shared" si="26"/>
        <v>0</v>
      </c>
      <c r="BM356" s="20">
        <f t="shared" si="26"/>
        <v>0</v>
      </c>
      <c r="BN356" s="20">
        <f t="shared" si="26"/>
        <v>0</v>
      </c>
      <c r="BO356" s="20">
        <f t="shared" si="26"/>
        <v>0</v>
      </c>
      <c r="BP356" s="20">
        <f t="shared" si="26"/>
        <v>0</v>
      </c>
      <c r="BQ356" s="20">
        <f t="shared" si="26"/>
        <v>0</v>
      </c>
      <c r="BR356" s="21"/>
    </row>
    <row r="357" spans="1:70" x14ac:dyDescent="0.2">
      <c r="A357" t="s">
        <v>609</v>
      </c>
      <c r="E357" s="20">
        <f t="shared" ref="E357:AN357" si="27">E346/E352</f>
        <v>0.23314020305589303</v>
      </c>
      <c r="F357" s="20">
        <f t="shared" si="27"/>
        <v>0.17230162936354768</v>
      </c>
      <c r="G357" s="20">
        <f t="shared" si="27"/>
        <v>0.35349156145130717</v>
      </c>
      <c r="H357" s="20">
        <f t="shared" si="27"/>
        <v>0</v>
      </c>
      <c r="I357" s="20">
        <f t="shared" si="27"/>
        <v>0.36499457356350362</v>
      </c>
      <c r="J357" s="20">
        <f t="shared" si="27"/>
        <v>0.34811824729190693</v>
      </c>
      <c r="K357" s="20">
        <f t="shared" si="27"/>
        <v>0</v>
      </c>
      <c r="L357" s="20">
        <f t="shared" si="27"/>
        <v>0.76237161523242003</v>
      </c>
      <c r="M357" s="20">
        <f t="shared" si="27"/>
        <v>6.9714778717590575E-2</v>
      </c>
      <c r="N357" s="20">
        <f t="shared" si="27"/>
        <v>0.19585659542693029</v>
      </c>
      <c r="O357" s="20">
        <f>O346/O352</f>
        <v>0.77051918424791099</v>
      </c>
      <c r="P357" s="20">
        <f t="shared" si="27"/>
        <v>6.2408296477665928E-3</v>
      </c>
      <c r="Q357" s="20">
        <f t="shared" si="27"/>
        <v>0.78263406253314416</v>
      </c>
      <c r="R357" s="20">
        <f t="shared" si="27"/>
        <v>0.15362345044942727</v>
      </c>
      <c r="S357" s="20">
        <f t="shared" si="27"/>
        <v>0.19974147602225442</v>
      </c>
      <c r="T357" s="20">
        <f t="shared" si="27"/>
        <v>0.17170161143612886</v>
      </c>
      <c r="U357" s="20">
        <f t="shared" si="27"/>
        <v>0.95478091184731617</v>
      </c>
      <c r="V357" s="20">
        <f t="shared" si="27"/>
        <v>0.76314774529889884</v>
      </c>
      <c r="W357" s="20">
        <f t="shared" si="27"/>
        <v>0.27410095305356241</v>
      </c>
      <c r="X357" s="20">
        <f t="shared" si="27"/>
        <v>0.23253678397308353</v>
      </c>
      <c r="Y357" s="20">
        <f t="shared" si="27"/>
        <v>1.008412427480603E-2</v>
      </c>
      <c r="Z357" s="20">
        <f t="shared" si="27"/>
        <v>0.15329304525827783</v>
      </c>
      <c r="AA357" s="20">
        <f t="shared" si="27"/>
        <v>5.8575907747635762E-4</v>
      </c>
      <c r="AB357" s="20">
        <f t="shared" si="27"/>
        <v>0.32902381349753534</v>
      </c>
      <c r="AC357" s="20">
        <f t="shared" si="27"/>
        <v>4.5577943917557455E-3</v>
      </c>
      <c r="AD357" s="20">
        <f t="shared" si="27"/>
        <v>0.14215036192706301</v>
      </c>
      <c r="AE357" s="20">
        <f t="shared" si="27"/>
        <v>0.16161423103894237</v>
      </c>
      <c r="AF357" s="20">
        <f t="shared" si="27"/>
        <v>0.14086086852876467</v>
      </c>
      <c r="AG357" s="20">
        <f t="shared" si="27"/>
        <v>4.4691918346893025E-2</v>
      </c>
      <c r="AH357" s="20">
        <f t="shared" si="27"/>
        <v>0.12598083567782417</v>
      </c>
      <c r="AI357" s="20">
        <f t="shared" si="27"/>
        <v>0.12919453311622434</v>
      </c>
      <c r="AJ357" s="20">
        <f t="shared" si="27"/>
        <v>4.0906925646347923E-2</v>
      </c>
      <c r="AK357" s="20">
        <f t="shared" si="27"/>
        <v>5.8864672577550986E-4</v>
      </c>
      <c r="AL357" s="20">
        <f t="shared" si="27"/>
        <v>9.2752558868954033E-2</v>
      </c>
      <c r="AM357" s="20">
        <f t="shared" si="27"/>
        <v>0</v>
      </c>
      <c r="AN357" s="20">
        <f t="shared" si="27"/>
        <v>9.2930068039564884E-2</v>
      </c>
      <c r="AO357" s="20">
        <f>AO346/AO352</f>
        <v>0.79159147395454654</v>
      </c>
      <c r="AP357" s="20">
        <f>AP346/AP352</f>
        <v>9.3121679528630416E-2</v>
      </c>
      <c r="AQ357" s="20">
        <f>AQ346/AQ352</f>
        <v>0.20664899193723929</v>
      </c>
      <c r="AR357" s="20">
        <f>AR346/AR352</f>
        <v>0</v>
      </c>
      <c r="AS357" s="20">
        <f t="shared" ref="AS357:AY357" si="28">AS346/AS352</f>
        <v>4.5311768243993203E-2</v>
      </c>
      <c r="AT357" s="20">
        <f t="shared" si="28"/>
        <v>0</v>
      </c>
      <c r="AU357" s="20">
        <f t="shared" si="28"/>
        <v>0.3402192959908345</v>
      </c>
      <c r="AV357" s="20" t="e">
        <f t="shared" si="28"/>
        <v>#DIV/0!</v>
      </c>
      <c r="AW357" s="20">
        <f t="shared" si="28"/>
        <v>0.39064452293386998</v>
      </c>
      <c r="AX357" s="20">
        <f t="shared" si="28"/>
        <v>0</v>
      </c>
      <c r="AY357" s="20">
        <f t="shared" si="28"/>
        <v>0</v>
      </c>
      <c r="AZ357" s="20">
        <f>AZ346/AZ352</f>
        <v>9.6312901628893936E-3</v>
      </c>
      <c r="BA357" s="20">
        <f t="shared" ref="BA357:BQ357" si="29">BA346/BA352</f>
        <v>0.23709530191516953</v>
      </c>
      <c r="BB357" s="20">
        <f t="shared" si="29"/>
        <v>1.287850671183176E-2</v>
      </c>
      <c r="BC357" s="20">
        <f t="shared" si="29"/>
        <v>9.6899899554000433E-3</v>
      </c>
      <c r="BD357" s="20">
        <f t="shared" si="29"/>
        <v>0.13306176295802552</v>
      </c>
      <c r="BE357" s="20">
        <f t="shared" si="29"/>
        <v>0.25242889051815937</v>
      </c>
      <c r="BF357" s="20">
        <f t="shared" si="29"/>
        <v>1.3430477989395029E-2</v>
      </c>
      <c r="BG357" s="20">
        <f t="shared" si="29"/>
        <v>0.18113706993917825</v>
      </c>
      <c r="BH357" s="20">
        <f t="shared" si="29"/>
        <v>0.18113706993917825</v>
      </c>
      <c r="BI357" s="20">
        <f t="shared" si="29"/>
        <v>1.350917373467898E-2</v>
      </c>
      <c r="BJ357" s="20">
        <f t="shared" si="29"/>
        <v>6.9550388239690231E-2</v>
      </c>
      <c r="BK357" s="20">
        <f t="shared" si="29"/>
        <v>0.23705775521554703</v>
      </c>
      <c r="BL357" s="20">
        <f t="shared" si="29"/>
        <v>0</v>
      </c>
      <c r="BM357" s="20">
        <f t="shared" si="29"/>
        <v>0</v>
      </c>
      <c r="BN357" s="20">
        <f t="shared" si="29"/>
        <v>0</v>
      </c>
      <c r="BO357" s="20">
        <f t="shared" si="29"/>
        <v>0</v>
      </c>
      <c r="BP357" s="20">
        <f t="shared" si="29"/>
        <v>0</v>
      </c>
      <c r="BQ357" s="20">
        <f t="shared" si="29"/>
        <v>0</v>
      </c>
      <c r="BR357" s="21"/>
    </row>
    <row r="358" spans="1:70" x14ac:dyDescent="0.2">
      <c r="A358" t="s">
        <v>610</v>
      </c>
      <c r="E358" s="20">
        <f t="shared" ref="E358:AN358" si="30">E347/E352</f>
        <v>0.21913353511993117</v>
      </c>
      <c r="F358" s="20">
        <f t="shared" si="30"/>
        <v>0.28343718925482903</v>
      </c>
      <c r="G358" s="20">
        <f t="shared" si="30"/>
        <v>0.45722881674982524</v>
      </c>
      <c r="H358" s="20">
        <f t="shared" si="30"/>
        <v>6.5723083965378695E-2</v>
      </c>
      <c r="I358" s="20">
        <f t="shared" si="30"/>
        <v>0.2986874744193101</v>
      </c>
      <c r="J358" s="20">
        <f t="shared" si="30"/>
        <v>0.45428145475324033</v>
      </c>
      <c r="K358" s="20">
        <f t="shared" si="30"/>
        <v>0</v>
      </c>
      <c r="L358" s="20">
        <f t="shared" si="30"/>
        <v>0.17713726994686799</v>
      </c>
      <c r="M358" s="20">
        <f t="shared" si="30"/>
        <v>8.6607756679555753E-2</v>
      </c>
      <c r="N358" s="20">
        <f t="shared" si="30"/>
        <v>0.35707495753258017</v>
      </c>
      <c r="O358" s="20">
        <f>O347/O352</f>
        <v>0.21067524012621067</v>
      </c>
      <c r="P358" s="20">
        <f t="shared" si="30"/>
        <v>0</v>
      </c>
      <c r="Q358" s="20">
        <f t="shared" si="30"/>
        <v>2.420143282054173E-3</v>
      </c>
      <c r="R358" s="20">
        <f t="shared" si="30"/>
        <v>0.3205628851920469</v>
      </c>
      <c r="S358" s="20">
        <f t="shared" si="30"/>
        <v>0.65222987821222522</v>
      </c>
      <c r="T358" s="20">
        <f t="shared" si="30"/>
        <v>0.38027696255595755</v>
      </c>
      <c r="U358" s="20">
        <f t="shared" si="30"/>
        <v>0</v>
      </c>
      <c r="V358" s="20">
        <f t="shared" si="30"/>
        <v>0.17731760410944108</v>
      </c>
      <c r="W358" s="20">
        <f t="shared" si="30"/>
        <v>0.51543453778648729</v>
      </c>
      <c r="X358" s="20">
        <f t="shared" si="30"/>
        <v>0.40456843542200926</v>
      </c>
      <c r="Y358" s="20">
        <f t="shared" si="30"/>
        <v>0</v>
      </c>
      <c r="Z358" s="20">
        <f t="shared" si="30"/>
        <v>0.11683017263661133</v>
      </c>
      <c r="AA358" s="20">
        <f t="shared" si="30"/>
        <v>9.496215599110347E-2</v>
      </c>
      <c r="AB358" s="20">
        <f t="shared" si="30"/>
        <v>0.48339596303562105</v>
      </c>
      <c r="AC358" s="20">
        <f t="shared" si="30"/>
        <v>0</v>
      </c>
      <c r="AD358" s="20">
        <f t="shared" si="30"/>
        <v>0.30080825283934542</v>
      </c>
      <c r="AE358" s="20">
        <f t="shared" si="30"/>
        <v>0.23850830003830761</v>
      </c>
      <c r="AF358" s="20">
        <f t="shared" si="30"/>
        <v>8.1227341140756568E-2</v>
      </c>
      <c r="AG358" s="20">
        <f t="shared" si="30"/>
        <v>1.1829653709375089E-2</v>
      </c>
      <c r="AH358" s="20">
        <f t="shared" si="30"/>
        <v>0.22262691869275486</v>
      </c>
      <c r="AI358" s="20">
        <f t="shared" si="30"/>
        <v>0.11850069321475824</v>
      </c>
      <c r="AJ358" s="20">
        <f t="shared" si="30"/>
        <v>1.0665238552995643E-2</v>
      </c>
      <c r="AK358" s="20">
        <f t="shared" si="30"/>
        <v>9.0060230969416927E-2</v>
      </c>
      <c r="AL358" s="20">
        <f t="shared" si="30"/>
        <v>0</v>
      </c>
      <c r="AM358" s="20">
        <f t="shared" si="30"/>
        <v>0</v>
      </c>
      <c r="AN358" s="20">
        <f t="shared" si="30"/>
        <v>0</v>
      </c>
      <c r="AO358" s="20">
        <f>AO347/AO352</f>
        <v>0.18392650783069919</v>
      </c>
      <c r="AP358" s="20">
        <f>AP347/AP352</f>
        <v>0</v>
      </c>
      <c r="AQ358" s="20">
        <f>AQ347/AQ352</f>
        <v>0.2987767824501108</v>
      </c>
      <c r="AR358" s="20">
        <f>AR347/AR352</f>
        <v>0</v>
      </c>
      <c r="AS358" s="20">
        <f t="shared" ref="AS358:AY358" si="31">AS347/AS352</f>
        <v>1.1576415097433613E-2</v>
      </c>
      <c r="AT358" s="20">
        <f t="shared" si="31"/>
        <v>0</v>
      </c>
      <c r="AU358" s="20">
        <f t="shared" si="31"/>
        <v>0.23370959805527206</v>
      </c>
      <c r="AV358" s="20" t="e">
        <f t="shared" si="31"/>
        <v>#DIV/0!</v>
      </c>
      <c r="AW358" s="20">
        <f t="shared" si="31"/>
        <v>0.32818349833193905</v>
      </c>
      <c r="AX358" s="20">
        <f t="shared" si="31"/>
        <v>0</v>
      </c>
      <c r="AY358" s="20">
        <f t="shared" si="31"/>
        <v>0</v>
      </c>
      <c r="AZ358" s="20">
        <f>AZ347/AZ352</f>
        <v>0</v>
      </c>
      <c r="BA358" s="20">
        <f t="shared" ref="BA358:BQ358" si="32">BA347/BA352</f>
        <v>0.50569873586466429</v>
      </c>
      <c r="BB358" s="20">
        <f t="shared" si="32"/>
        <v>2.6599728002509548E-2</v>
      </c>
      <c r="BC358" s="20">
        <f t="shared" si="32"/>
        <v>0</v>
      </c>
      <c r="BD358" s="20">
        <f t="shared" si="32"/>
        <v>0.29568074260027766</v>
      </c>
      <c r="BE358" s="20">
        <f t="shared" si="32"/>
        <v>0.63030674212079019</v>
      </c>
      <c r="BF358" s="20">
        <f t="shared" si="32"/>
        <v>2.7739792360007415E-2</v>
      </c>
      <c r="BG358" s="20">
        <f t="shared" si="32"/>
        <v>0.32657146264524384</v>
      </c>
      <c r="BH358" s="20">
        <f t="shared" si="32"/>
        <v>0.32657146264524384</v>
      </c>
      <c r="BI358" s="20">
        <f t="shared" si="32"/>
        <v>2.7902415288718861E-2</v>
      </c>
      <c r="BJ358" s="20">
        <f t="shared" si="32"/>
        <v>9.8428699355007643E-2</v>
      </c>
      <c r="BK358" s="20">
        <f t="shared" si="32"/>
        <v>0.64579287405222086</v>
      </c>
      <c r="BL358" s="20">
        <f t="shared" si="32"/>
        <v>0</v>
      </c>
      <c r="BM358" s="20">
        <f t="shared" si="32"/>
        <v>0</v>
      </c>
      <c r="BN358" s="20">
        <f t="shared" si="32"/>
        <v>0</v>
      </c>
      <c r="BO358" s="20">
        <f t="shared" si="32"/>
        <v>0</v>
      </c>
      <c r="BP358" s="20">
        <f t="shared" si="32"/>
        <v>0</v>
      </c>
      <c r="BQ358" s="20">
        <f t="shared" si="32"/>
        <v>0</v>
      </c>
      <c r="BR358" s="21"/>
    </row>
    <row r="359" spans="1:70" x14ac:dyDescent="0.2">
      <c r="A359" t="s">
        <v>611</v>
      </c>
      <c r="E359" s="20">
        <f t="shared" ref="E359:AN359" si="33">E348/E352</f>
        <v>0.13888854998025851</v>
      </c>
      <c r="F359" s="20">
        <f t="shared" si="33"/>
        <v>0.25853460128674421</v>
      </c>
      <c r="G359" s="20">
        <f t="shared" si="33"/>
        <v>1.8108982292272286E-4</v>
      </c>
      <c r="H359" s="20">
        <f t="shared" si="33"/>
        <v>1.3477784807809177E-2</v>
      </c>
      <c r="I359" s="20">
        <f t="shared" si="33"/>
        <v>8.3009042078880588E-2</v>
      </c>
      <c r="J359" s="20">
        <f t="shared" si="33"/>
        <v>1.9015297446814395E-4</v>
      </c>
      <c r="K359" s="20">
        <f t="shared" si="33"/>
        <v>0</v>
      </c>
      <c r="L359" s="20">
        <f t="shared" si="33"/>
        <v>0</v>
      </c>
      <c r="M359" s="20">
        <f t="shared" si="33"/>
        <v>0.32792643781782804</v>
      </c>
      <c r="N359" s="20">
        <f t="shared" si="33"/>
        <v>8.5083690682081395E-2</v>
      </c>
      <c r="O359" s="20">
        <f>O348/O352</f>
        <v>0</v>
      </c>
      <c r="P359" s="20">
        <f t="shared" si="33"/>
        <v>0.24139202738963023</v>
      </c>
      <c r="Q359" s="20">
        <f t="shared" si="33"/>
        <v>1.1756473639926723E-3</v>
      </c>
      <c r="R359" s="20">
        <f t="shared" si="33"/>
        <v>7.6879214233196838E-2</v>
      </c>
      <c r="S359" s="20">
        <f t="shared" si="33"/>
        <v>4.9447817139347877E-3</v>
      </c>
      <c r="T359" s="20">
        <f t="shared" si="33"/>
        <v>0.25526521644305605</v>
      </c>
      <c r="U359" s="20">
        <f t="shared" si="33"/>
        <v>0</v>
      </c>
      <c r="V359" s="20">
        <f t="shared" si="33"/>
        <v>0</v>
      </c>
      <c r="W359" s="20">
        <f t="shared" si="33"/>
        <v>2.4069581275480608E-4</v>
      </c>
      <c r="X359" s="20">
        <f t="shared" si="33"/>
        <v>9.3098287538831093E-2</v>
      </c>
      <c r="Y359" s="20">
        <f t="shared" si="33"/>
        <v>0.81707168409813358</v>
      </c>
      <c r="Z359" s="20">
        <f t="shared" si="33"/>
        <v>0.27092468370374201</v>
      </c>
      <c r="AA359" s="20">
        <f t="shared" si="33"/>
        <v>0.34526947755057874</v>
      </c>
      <c r="AB359" s="20">
        <f t="shared" si="33"/>
        <v>2.0871962189688531E-4</v>
      </c>
      <c r="AC359" s="20">
        <f t="shared" si="33"/>
        <v>0.20070654976868699</v>
      </c>
      <c r="AD359" s="20">
        <f t="shared" si="33"/>
        <v>0.27806867692720272</v>
      </c>
      <c r="AE359" s="20">
        <f t="shared" si="33"/>
        <v>0.30344058270269564</v>
      </c>
      <c r="AF359" s="20">
        <f t="shared" si="33"/>
        <v>0.24803520249103292</v>
      </c>
      <c r="AG359" s="20">
        <f t="shared" si="33"/>
        <v>0.5887638413354056</v>
      </c>
      <c r="AH359" s="20">
        <f t="shared" si="33"/>
        <v>0.31849440138069179</v>
      </c>
      <c r="AI359" s="20">
        <f t="shared" si="33"/>
        <v>0.26807568477439742</v>
      </c>
      <c r="AJ359" s="20">
        <f t="shared" si="33"/>
        <v>0.55013865576027476</v>
      </c>
      <c r="AK359" s="20">
        <f t="shared" si="33"/>
        <v>0.36561177086837582</v>
      </c>
      <c r="AL359" s="20">
        <f t="shared" si="33"/>
        <v>0.22120302489931915</v>
      </c>
      <c r="AM359" s="20">
        <f t="shared" si="33"/>
        <v>0</v>
      </c>
      <c r="AN359" s="20">
        <f t="shared" si="33"/>
        <v>0.2216263635350062</v>
      </c>
      <c r="AO359" s="20">
        <f>AO348/AO352</f>
        <v>0</v>
      </c>
      <c r="AP359" s="20">
        <f>AP348/AP352</f>
        <v>0.22208332952652246</v>
      </c>
      <c r="AQ359" s="20">
        <f>AQ348/AQ352</f>
        <v>0.27544697570170512</v>
      </c>
      <c r="AR359" s="20">
        <f>AR348/AR352</f>
        <v>0.88915361133449544</v>
      </c>
      <c r="AS359" s="20">
        <f t="shared" ref="AS359:AY359" si="34">AS348/AS352</f>
        <v>0.59111777075210314</v>
      </c>
      <c r="AT359" s="20">
        <f t="shared" si="34"/>
        <v>0.89626541421024797</v>
      </c>
      <c r="AU359" s="20">
        <f t="shared" si="34"/>
        <v>0.21094041700021299</v>
      </c>
      <c r="AV359" s="20" t="e">
        <f t="shared" si="34"/>
        <v>#DIV/0!</v>
      </c>
      <c r="AW359" s="20">
        <f t="shared" si="34"/>
        <v>0.11830007739416673</v>
      </c>
      <c r="AX359" s="20">
        <f t="shared" si="34"/>
        <v>0.89829662615620376</v>
      </c>
      <c r="AY359" s="20">
        <f t="shared" si="34"/>
        <v>0.89543575472263492</v>
      </c>
      <c r="AZ359" s="20">
        <f>AZ348/AZ352</f>
        <v>0.78038110101507541</v>
      </c>
      <c r="BA359" s="20">
        <f t="shared" ref="BA359:BQ359" si="35">BA348/BA352</f>
        <v>0.10896426631795965</v>
      </c>
      <c r="BB359" s="20">
        <f t="shared" si="35"/>
        <v>0.8020878098780142</v>
      </c>
      <c r="BC359" s="20">
        <f t="shared" si="35"/>
        <v>0.78513776635671917</v>
      </c>
      <c r="BD359" s="20">
        <f t="shared" si="35"/>
        <v>0.25709384885241104</v>
      </c>
      <c r="BE359" s="20">
        <f t="shared" si="35"/>
        <v>3.0919802310425891E-4</v>
      </c>
      <c r="BF359" s="20">
        <f t="shared" si="35"/>
        <v>0.83646511268249579</v>
      </c>
      <c r="BG359" s="20">
        <f t="shared" si="35"/>
        <v>0.28227049197578358</v>
      </c>
      <c r="BH359" s="20">
        <f t="shared" si="35"/>
        <v>0.28227049197578358</v>
      </c>
      <c r="BI359" s="20">
        <f t="shared" si="35"/>
        <v>0.84136544769670873</v>
      </c>
      <c r="BJ359" s="20">
        <f t="shared" si="35"/>
        <v>0.22382169643002089</v>
      </c>
      <c r="BK359" s="20">
        <f t="shared" si="35"/>
        <v>2.870541696442197E-4</v>
      </c>
      <c r="BL359" s="20">
        <f t="shared" si="35"/>
        <v>0</v>
      </c>
      <c r="BM359" s="20">
        <f t="shared" si="35"/>
        <v>0</v>
      </c>
      <c r="BN359" s="20">
        <f t="shared" si="35"/>
        <v>0</v>
      </c>
      <c r="BO359" s="20">
        <f t="shared" si="35"/>
        <v>0</v>
      </c>
      <c r="BP359" s="20">
        <f t="shared" si="35"/>
        <v>0</v>
      </c>
      <c r="BQ359" s="20">
        <f t="shared" si="35"/>
        <v>0</v>
      </c>
      <c r="BR359" s="21"/>
    </row>
    <row r="360" spans="1:70" x14ac:dyDescent="0.2">
      <c r="A360" t="s">
        <v>612</v>
      </c>
      <c r="E360" s="20">
        <f t="shared" ref="E360:AN360" si="36">E349/E352</f>
        <v>8.7141880085604459E-2</v>
      </c>
      <c r="F360" s="20">
        <f t="shared" si="36"/>
        <v>4.1564827468677595E-2</v>
      </c>
      <c r="G360" s="20">
        <f t="shared" si="36"/>
        <v>8.6393393111672739E-2</v>
      </c>
      <c r="H360" s="20">
        <f t="shared" si="36"/>
        <v>0.87590225562291069</v>
      </c>
      <c r="I360" s="20">
        <f t="shared" si="36"/>
        <v>8.366596448584121E-2</v>
      </c>
      <c r="J360" s="20">
        <f t="shared" si="36"/>
        <v>9.6273138499087862E-2</v>
      </c>
      <c r="K360" s="20">
        <f t="shared" si="36"/>
        <v>0</v>
      </c>
      <c r="L360" s="20">
        <f t="shared" si="36"/>
        <v>2.1552096746254058E-2</v>
      </c>
      <c r="M360" s="20">
        <f t="shared" si="36"/>
        <v>5.9558231347053903E-2</v>
      </c>
      <c r="N360" s="20">
        <f t="shared" si="36"/>
        <v>0.11062213534764281</v>
      </c>
      <c r="O360" s="20">
        <f>O349/O352</f>
        <v>0</v>
      </c>
      <c r="P360" s="20">
        <f t="shared" si="36"/>
        <v>0</v>
      </c>
      <c r="Q360" s="20">
        <f t="shared" si="36"/>
        <v>0.11622832411262936</v>
      </c>
      <c r="R360" s="20">
        <f t="shared" si="36"/>
        <v>0</v>
      </c>
      <c r="S360" s="20">
        <f t="shared" si="36"/>
        <v>4.4818663909438981E-3</v>
      </c>
      <c r="T360" s="20">
        <f t="shared" si="36"/>
        <v>-1.2603147165036457E-2</v>
      </c>
      <c r="U360" s="20">
        <f t="shared" si="36"/>
        <v>0</v>
      </c>
      <c r="V360" s="20">
        <f t="shared" si="36"/>
        <v>1.1754256996799323E-2</v>
      </c>
      <c r="W360" s="20">
        <f t="shared" si="36"/>
        <v>8.3471690695625392E-2</v>
      </c>
      <c r="X360" s="20">
        <f t="shared" si="36"/>
        <v>0.11141053634946561</v>
      </c>
      <c r="Y360" s="20">
        <f t="shared" si="36"/>
        <v>0</v>
      </c>
      <c r="Z360" s="20">
        <f t="shared" si="36"/>
        <v>0.11198227201517783</v>
      </c>
      <c r="AA360" s="20">
        <f t="shared" si="36"/>
        <v>0</v>
      </c>
      <c r="AB360" s="20">
        <f t="shared" si="36"/>
        <v>6.3465285507150193E-2</v>
      </c>
      <c r="AC360" s="20">
        <f t="shared" si="36"/>
        <v>-3.5836882400781025E-5</v>
      </c>
      <c r="AD360" s="20">
        <f t="shared" si="36"/>
        <v>4.322409588039635E-2</v>
      </c>
      <c r="AE360" s="20">
        <f t="shared" si="36"/>
        <v>0</v>
      </c>
      <c r="AF360" s="20">
        <f t="shared" si="36"/>
        <v>0.1225913501229902</v>
      </c>
      <c r="AG360" s="20">
        <f t="shared" si="36"/>
        <v>-1.5812322218766633E-2</v>
      </c>
      <c r="AH360" s="20">
        <f t="shared" si="36"/>
        <v>1.4894608110208688E-2</v>
      </c>
      <c r="AI360" s="20">
        <f t="shared" si="36"/>
        <v>9.2446873993358686E-2</v>
      </c>
      <c r="AJ360" s="20">
        <f t="shared" si="36"/>
        <v>4.76632641819398E-2</v>
      </c>
      <c r="AK360" s="20">
        <f t="shared" si="36"/>
        <v>3.2870404911130038E-5</v>
      </c>
      <c r="AL360" s="20">
        <f t="shared" si="36"/>
        <v>3.2653402966685889E-6</v>
      </c>
      <c r="AM360" s="20">
        <f t="shared" si="36"/>
        <v>0</v>
      </c>
      <c r="AN360" s="20">
        <f t="shared" si="36"/>
        <v>1.9844420281609616E-5</v>
      </c>
      <c r="AO360" s="20">
        <f>AO349/AO352</f>
        <v>1.3743481045112806E-2</v>
      </c>
      <c r="AP360" s="20">
        <f>AP349/AP352</f>
        <v>1.8969524197804283E-4</v>
      </c>
      <c r="AQ360" s="20">
        <f>AQ349/AQ352</f>
        <v>-1.5508790839860408E-2</v>
      </c>
      <c r="AR360" s="20">
        <f>AR349/AR352</f>
        <v>0</v>
      </c>
      <c r="AS360" s="20">
        <f t="shared" ref="AS360:AY360" si="37">AS349/AS352</f>
        <v>-1.2192898504173993E-2</v>
      </c>
      <c r="AT360" s="20">
        <f t="shared" si="37"/>
        <v>0</v>
      </c>
      <c r="AU360" s="20">
        <f t="shared" si="37"/>
        <v>-1.111344491528536E-2</v>
      </c>
      <c r="AV360" s="20" t="e">
        <f t="shared" si="37"/>
        <v>#DIV/0!</v>
      </c>
      <c r="AW360" s="20">
        <f t="shared" si="37"/>
        <v>-2.764134777461119E-3</v>
      </c>
      <c r="AX360" s="20">
        <f t="shared" si="37"/>
        <v>0</v>
      </c>
      <c r="AY360" s="20">
        <f t="shared" si="37"/>
        <v>0</v>
      </c>
      <c r="AZ360" s="20">
        <f>AZ349/AZ352</f>
        <v>0</v>
      </c>
      <c r="BA360" s="20">
        <f t="shared" ref="BA360:BQ360" si="38">BA349/BA352</f>
        <v>-5.2900327874343886E-3</v>
      </c>
      <c r="BB360" s="20">
        <f t="shared" si="38"/>
        <v>0</v>
      </c>
      <c r="BC360" s="20">
        <f t="shared" si="38"/>
        <v>0</v>
      </c>
      <c r="BD360" s="20">
        <f t="shared" si="38"/>
        <v>-1.2262546109797802E-2</v>
      </c>
      <c r="BE360" s="20">
        <f t="shared" si="38"/>
        <v>9.3886039404127203E-7</v>
      </c>
      <c r="BF360" s="20">
        <f t="shared" si="38"/>
        <v>0</v>
      </c>
      <c r="BG360" s="20">
        <f t="shared" si="38"/>
        <v>-1.4081839291184473E-2</v>
      </c>
      <c r="BH360" s="20">
        <f t="shared" si="38"/>
        <v>-1.4081839291184473E-2</v>
      </c>
      <c r="BI360" s="20">
        <f t="shared" si="38"/>
        <v>0</v>
      </c>
      <c r="BJ360" s="20">
        <f t="shared" si="38"/>
        <v>0</v>
      </c>
      <c r="BK360" s="20">
        <f t="shared" si="38"/>
        <v>8.3385379707834311E-7</v>
      </c>
      <c r="BL360" s="20">
        <f t="shared" si="38"/>
        <v>0</v>
      </c>
      <c r="BM360" s="20">
        <f t="shared" si="38"/>
        <v>0</v>
      </c>
      <c r="BN360" s="20">
        <f t="shared" si="38"/>
        <v>0</v>
      </c>
      <c r="BO360" s="20">
        <f t="shared" si="38"/>
        <v>0</v>
      </c>
      <c r="BP360" s="20">
        <f t="shared" si="38"/>
        <v>0</v>
      </c>
      <c r="BQ360" s="20">
        <f t="shared" si="38"/>
        <v>0</v>
      </c>
      <c r="BR360" s="21"/>
    </row>
    <row r="361" spans="1:70" x14ac:dyDescent="0.2">
      <c r="A361" t="s">
        <v>613</v>
      </c>
      <c r="E361" s="20">
        <f t="shared" ref="E361:N361" si="39">E350/E352</f>
        <v>0.20975875227382668</v>
      </c>
      <c r="F361" s="20">
        <f t="shared" si="39"/>
        <v>7.0125685545487343E-2</v>
      </c>
      <c r="G361" s="20">
        <f t="shared" si="39"/>
        <v>6.3364038420517105E-2</v>
      </c>
      <c r="H361" s="20">
        <f t="shared" si="39"/>
        <v>1.8680275368942217E-2</v>
      </c>
      <c r="I361" s="20">
        <f t="shared" si="39"/>
        <v>7.0155129536125613E-2</v>
      </c>
      <c r="J361" s="20">
        <f t="shared" si="39"/>
        <v>6.3776488543997034E-2</v>
      </c>
      <c r="K361" s="20">
        <f t="shared" si="39"/>
        <v>1</v>
      </c>
      <c r="L361" s="20">
        <f t="shared" si="39"/>
        <v>1.5169137436204242E-2</v>
      </c>
      <c r="M361" s="20">
        <f t="shared" si="39"/>
        <v>0.24096892930440345</v>
      </c>
      <c r="N361" s="20">
        <f t="shared" si="39"/>
        <v>0.18073566783803779</v>
      </c>
      <c r="O361" s="20">
        <f>O350/O352</f>
        <v>-2.0561804030361325E-4</v>
      </c>
      <c r="P361" s="20">
        <f t="shared" ref="P361:AN361" si="40">P350/P352</f>
        <v>2.0804877716491593E-3</v>
      </c>
      <c r="Q361" s="20">
        <f t="shared" si="40"/>
        <v>6.9325018510019917E-2</v>
      </c>
      <c r="R361" s="20">
        <f t="shared" si="40"/>
        <v>8.0062613683094339E-3</v>
      </c>
      <c r="S361" s="20">
        <f t="shared" si="40"/>
        <v>4.3786881607034464E-2</v>
      </c>
      <c r="T361" s="20">
        <f t="shared" si="40"/>
        <v>3.3055921308859634E-2</v>
      </c>
      <c r="U361" s="20">
        <f t="shared" si="40"/>
        <v>-1.2631449142169629E-3</v>
      </c>
      <c r="V361" s="20">
        <f t="shared" si="40"/>
        <v>1.5181321362444834E-2</v>
      </c>
      <c r="W361" s="20">
        <f t="shared" si="40"/>
        <v>5.7846820966665595E-2</v>
      </c>
      <c r="X361" s="20">
        <f t="shared" si="40"/>
        <v>6.6578068518793623E-2</v>
      </c>
      <c r="Y361" s="20">
        <f t="shared" si="40"/>
        <v>-3.1280335523208181E-3</v>
      </c>
      <c r="Z361" s="20">
        <f t="shared" si="40"/>
        <v>0.15605143806928884</v>
      </c>
      <c r="AA361" s="20">
        <f t="shared" si="40"/>
        <v>-1.1239815212210945E-2</v>
      </c>
      <c r="AB361" s="20">
        <f t="shared" si="40"/>
        <v>6.1246128906749117E-2</v>
      </c>
      <c r="AC361" s="20">
        <f t="shared" si="40"/>
        <v>1.3892098869570189E-2</v>
      </c>
      <c r="AD361" s="20">
        <f t="shared" si="40"/>
        <v>4.9403982312192229E-2</v>
      </c>
      <c r="AE361" s="20">
        <f t="shared" si="40"/>
        <v>-4.0036414808413499E-3</v>
      </c>
      <c r="AF361" s="20">
        <f t="shared" si="40"/>
        <v>0.20572044968572756</v>
      </c>
      <c r="AG361" s="20">
        <f t="shared" si="40"/>
        <v>2.9026941501879316E-2</v>
      </c>
      <c r="AH361" s="20">
        <f t="shared" si="40"/>
        <v>-4.6972901749094496E-3</v>
      </c>
      <c r="AI361" s="20">
        <f t="shared" si="40"/>
        <v>0.21921812183243081</v>
      </c>
      <c r="AJ361" s="20">
        <f t="shared" si="40"/>
        <v>3.8976245863633678E-2</v>
      </c>
      <c r="AK361" s="20">
        <f t="shared" si="40"/>
        <v>-7.8299724405421194E-3</v>
      </c>
      <c r="AL361" s="20">
        <f t="shared" si="40"/>
        <v>9.7686478177370362E-3</v>
      </c>
      <c r="AM361" s="20">
        <f t="shared" si="40"/>
        <v>1</v>
      </c>
      <c r="AN361" s="20">
        <f t="shared" si="40"/>
        <v>1.0101654839450115E-2</v>
      </c>
      <c r="AO361" s="20">
        <f>AO350/AO352</f>
        <v>-1.0530680706082519E-2</v>
      </c>
      <c r="AP361" s="20">
        <f>AP350/AP352</f>
        <v>7.5930697186536132E-3</v>
      </c>
      <c r="AQ361" s="20">
        <f>AQ350/AQ352</f>
        <v>1.8049956219699195E-2</v>
      </c>
      <c r="AR361" s="20">
        <f>AR350/AR352</f>
        <v>-5.0413792552477897E-5</v>
      </c>
      <c r="AS361" s="20">
        <f t="shared" ref="AS361:AY361" si="41">AS350/AS352</f>
        <v>1.4675906978842674E-2</v>
      </c>
      <c r="AT361" s="20">
        <f t="shared" si="41"/>
        <v>-4.0407233726165179E-3</v>
      </c>
      <c r="AU361" s="20">
        <f t="shared" si="41"/>
        <v>6.0978092433333596E-2</v>
      </c>
      <c r="AV361" s="20" t="e">
        <f t="shared" si="41"/>
        <v>#DIV/0!</v>
      </c>
      <c r="AW361" s="20">
        <f t="shared" si="41"/>
        <v>1.4315095579424248E-2</v>
      </c>
      <c r="AX361" s="20">
        <f t="shared" si="41"/>
        <v>-7.9229106851577231E-6</v>
      </c>
      <c r="AY361" s="20">
        <f t="shared" si="41"/>
        <v>-2.2917174625463693E-4</v>
      </c>
      <c r="AZ361" s="20">
        <f>AZ350/AZ352</f>
        <v>-2.9287375629647507E-4</v>
      </c>
      <c r="BA361" s="20">
        <f t="shared" ref="BA361:BQ361" si="42">BA350/BA352</f>
        <v>2.3860108600816169E-2</v>
      </c>
      <c r="BB361" s="20">
        <f t="shared" si="42"/>
        <v>4.1749484760330448E-2</v>
      </c>
      <c r="BC361" s="20">
        <f t="shared" si="42"/>
        <v>-3.5115771588617656E-4</v>
      </c>
      <c r="BD361" s="20">
        <f t="shared" si="42"/>
        <v>1.8862607925596027E-2</v>
      </c>
      <c r="BE361" s="20">
        <f t="shared" si="42"/>
        <v>2.2990500375817988E-2</v>
      </c>
      <c r="BF361" s="20">
        <f t="shared" si="42"/>
        <v>4.3527222250166475E-2</v>
      </c>
      <c r="BG361" s="20">
        <f t="shared" si="42"/>
        <v>1.986236182984405E-2</v>
      </c>
      <c r="BH361" s="20">
        <f t="shared" si="42"/>
        <v>1.986236182984405E-2</v>
      </c>
      <c r="BI361" s="20">
        <f t="shared" si="42"/>
        <v>4.3813454810862497E-2</v>
      </c>
      <c r="BJ361" s="20">
        <f t="shared" si="42"/>
        <v>-1.0891898167703159E-2</v>
      </c>
      <c r="BK361" s="20">
        <f t="shared" si="42"/>
        <v>2.5895746595166483E-2</v>
      </c>
      <c r="BL361" s="20">
        <f t="shared" si="42"/>
        <v>1</v>
      </c>
      <c r="BM361" s="20">
        <f t="shared" si="42"/>
        <v>1</v>
      </c>
      <c r="BN361" s="20">
        <f t="shared" si="42"/>
        <v>1</v>
      </c>
      <c r="BO361" s="20">
        <f t="shared" si="42"/>
        <v>1</v>
      </c>
      <c r="BP361" s="20">
        <f t="shared" si="42"/>
        <v>1</v>
      </c>
      <c r="BQ361" s="20">
        <f t="shared" si="42"/>
        <v>1</v>
      </c>
      <c r="BR361" s="21"/>
    </row>
    <row r="362" spans="1:70" x14ac:dyDescent="0.2">
      <c r="A362" s="21" t="s">
        <v>698</v>
      </c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  <c r="AX362" s="21"/>
      <c r="AY362" s="21"/>
      <c r="AZ362" s="21"/>
      <c r="BA362" s="21"/>
      <c r="BB362" s="21"/>
      <c r="BC362" s="21"/>
      <c r="BD362" s="21"/>
      <c r="BE362" s="21"/>
      <c r="BF362" s="21"/>
      <c r="BG362" s="21"/>
      <c r="BH362" s="21"/>
      <c r="BI362" s="21"/>
      <c r="BJ362" s="21"/>
      <c r="BK362" s="21"/>
      <c r="BL362" s="21"/>
      <c r="BM362" s="21"/>
      <c r="BN362" s="21"/>
      <c r="BO362" s="21"/>
      <c r="BP362" s="21"/>
      <c r="BQ362" s="21"/>
      <c r="BR362" s="21"/>
    </row>
  </sheetData>
  <mergeCells count="3">
    <mergeCell ref="A3:BQ3"/>
    <mergeCell ref="BR3:BR362"/>
    <mergeCell ref="A362:BQ362"/>
  </mergeCells>
  <conditionalFormatting sqref="A19:A35">
    <cfRule type="cellIs" dxfId="3" priority="23" stopIfTrue="1" operator="lessThan">
      <formula>0</formula>
    </cfRule>
  </conditionalFormatting>
  <conditionalFormatting sqref="B25:B35">
    <cfRule type="cellIs" dxfId="2" priority="32" stopIfTrue="1" operator="lessThan">
      <formula>0</formula>
    </cfRule>
  </conditionalFormatting>
  <conditionalFormatting sqref="C18:D26">
    <cfRule type="cellIs" dxfId="1" priority="24" stopIfTrue="1" operator="lessThan">
      <formula>0</formula>
    </cfRule>
  </conditionalFormatting>
  <conditionalFormatting sqref="E17:BQ25">
    <cfRule type="cellIs" dxfId="0" priority="1" stopIfTrue="1" operator="lessThan">
      <formula>0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otIsHidden xmlns="7c67d0cd-db71-4ceb-ba14-b5862b768686">false</KupotIsHidden>
    <Category xmlns="e7c93c0b-31f4-4d6d-a404-57fd37393f5c">1</Category>
    <Kupa_kml xmlns="e7c93c0b-31f4-4d6d-a404-57fd37393f5c">
      <Value>12</Value>
      <Value>1</Value>
      <Value>2</Value>
      <Value>3</Value>
      <Value>4</Value>
      <Value>5</Value>
      <Value>6</Value>
      <Value>7</Value>
      <Value>8</Value>
      <Value>9</Value>
      <Value>10</Value>
      <Value>11</Value>
    </Kupa_kml>
    <kupa_ktp xmlns="e7c93c0b-31f4-4d6d-a404-57fd37393f5c">
      <Value>17</Value>
      <Value>14</Value>
      <Value>15</Value>
      <Value>16</Value>
      <Value>19</Value>
      <Value>20</Value>
      <Value>21</Value>
      <Value>22</Value>
      <Value>6</Value>
      <Value>1</Value>
      <Value>2</Value>
      <Value>3</Value>
      <Value>4</Value>
      <Value>8</Value>
      <Value>9</Value>
      <Value>5</Value>
      <Value>10</Value>
      <Value>11</Value>
      <Value>12</Value>
      <Value>13</Value>
    </kupa_ktp>
    <Kupa_Hishtalmut xmlns="e7c93c0b-31f4-4d6d-a404-57fd37393f5c">
      <Value>6</Value>
      <Value>7</Value>
      <Value>13</Value>
      <Value>14</Value>
      <Value>16</Value>
      <Value>17</Value>
      <Value>18</Value>
      <Value>9</Value>
      <Value>1</Value>
      <Value>2</Value>
      <Value>3</Value>
      <Value>11</Value>
      <Value>12</Value>
      <Value>4</Value>
      <Value>5</Value>
    </Kupa_Hishtalmut>
    <kupa_tagmulim xmlns="e7c93c0b-31f4-4d6d-a404-57fd37393f5c"/>
    <Kupa_hly xmlns="e7c93c0b-31f4-4d6d-a404-57fd37393f5c">
      <Value>1</Value>
      <Value>2</Value>
      <Value>3</Value>
      <Value>4</Value>
      <Value>5</Value>
    </Kupa_hly>
    <Kupa_kgl xmlns="e7c93c0b-31f4-4d6d-a404-57fd37393f5c">
      <Value>8</Value>
      <Value>9</Value>
      <Value>11</Value>
      <Value>12</Value>
      <Value>13</Value>
      <Value>1</Value>
      <Value>2</Value>
      <Value>3</Value>
      <Value>4</Value>
      <Value>5</Value>
      <Value>6</Value>
      <Value>7</Value>
    </Kupa_kgl>
  </documentManagement>
</p:properties>
</file>

<file path=customXml/itemProps1.xml><?xml version="1.0" encoding="utf-8"?>
<ds:datastoreItem xmlns:ds="http://schemas.openxmlformats.org/officeDocument/2006/customXml" ds:itemID="{64A329EC-141A-4DF0-9782-90D6F5B39434}"/>
</file>

<file path=customXml/itemProps2.xml><?xml version="1.0" encoding="utf-8"?>
<ds:datastoreItem xmlns:ds="http://schemas.openxmlformats.org/officeDocument/2006/customXml" ds:itemID="{C80EC553-3163-4958-8765-56C1141E09C0}"/>
</file>

<file path=customXml/itemProps3.xml><?xml version="1.0" encoding="utf-8"?>
<ds:datastoreItem xmlns:ds="http://schemas.openxmlformats.org/officeDocument/2006/customXml" ds:itemID="{722DBAC5-423F-4A61-B5C2-3A733600A6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UMTB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דוח חודשי 10/2024</dc:title>
  <dc:creator>פרידמן אמיר</dc:creator>
  <cp:lastModifiedBy>מטי לנדו</cp:lastModifiedBy>
  <dcterms:created xsi:type="dcterms:W3CDTF">2024-11-19T12:15:15Z</dcterms:created>
  <dcterms:modified xsi:type="dcterms:W3CDTF">2024-11-20T06:31:44Z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