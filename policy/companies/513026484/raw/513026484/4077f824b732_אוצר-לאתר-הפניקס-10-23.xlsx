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C:\Users\ush67110\Downloads\"/>
    </mc:Choice>
  </mc:AlternateContent>
  <xr:revisionPtr revIDLastSave="0" documentId="8_{EACFDF35-9529-4D84-99A8-B0A263EF94E9}" xr6:coauthVersionLast="36" xr6:coauthVersionMax="36" xr10:uidLastSave="{00000000-0000-0000-0000-000000000000}"/>
  <bookViews>
    <workbookView xWindow="-105" yWindow="-105" windowWidth="19425" windowHeight="10425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353" i="1" l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E350" i="1" l="1"/>
  <c r="E352" i="1" s="1"/>
  <c r="M350" i="1"/>
  <c r="M352" i="1" s="1"/>
  <c r="Y350" i="1"/>
  <c r="Y352" i="1" s="1"/>
  <c r="H350" i="1"/>
  <c r="H352" i="1" s="1"/>
  <c r="L350" i="1"/>
  <c r="L352" i="1" s="1"/>
  <c r="P350" i="1"/>
  <c r="P352" i="1" s="1"/>
  <c r="T350" i="1"/>
  <c r="T352" i="1" s="1"/>
  <c r="X350" i="1"/>
  <c r="X352" i="1" s="1"/>
  <c r="AB350" i="1"/>
  <c r="AB352" i="1" s="1"/>
  <c r="AF350" i="1"/>
  <c r="AF352" i="1" s="1"/>
  <c r="AJ350" i="1"/>
  <c r="AJ352" i="1" s="1"/>
  <c r="AN350" i="1"/>
  <c r="AN352" i="1" s="1"/>
  <c r="AR350" i="1"/>
  <c r="AR352" i="1" s="1"/>
  <c r="AV350" i="1"/>
  <c r="AV352" i="1" s="1"/>
  <c r="AZ350" i="1"/>
  <c r="AZ352" i="1" s="1"/>
  <c r="BD350" i="1"/>
  <c r="BD352" i="1" s="1"/>
  <c r="E357" i="1"/>
  <c r="E358" i="1"/>
  <c r="X359" i="1"/>
  <c r="Q350" i="1"/>
  <c r="Q352" i="1" s="1"/>
  <c r="AC350" i="1"/>
  <c r="AC352" i="1" s="1"/>
  <c r="AK350" i="1"/>
  <c r="AK352" i="1" s="1"/>
  <c r="AS350" i="1"/>
  <c r="AS352" i="1" s="1"/>
  <c r="BA350" i="1"/>
  <c r="BA352" i="1" s="1"/>
  <c r="BD355" i="1"/>
  <c r="F350" i="1"/>
  <c r="F352" i="1" s="1"/>
  <c r="J350" i="1"/>
  <c r="J356" i="1" s="1"/>
  <c r="N350" i="1"/>
  <c r="N352" i="1" s="1"/>
  <c r="R350" i="1"/>
  <c r="R352" i="1" s="1"/>
  <c r="V350" i="1"/>
  <c r="V352" i="1" s="1"/>
  <c r="Z350" i="1"/>
  <c r="Z356" i="1" s="1"/>
  <c r="AD350" i="1"/>
  <c r="AD352" i="1" s="1"/>
  <c r="AH350" i="1"/>
  <c r="AH352" i="1" s="1"/>
  <c r="AL350" i="1"/>
  <c r="AL352" i="1" s="1"/>
  <c r="AP350" i="1"/>
  <c r="AP356" i="1" s="1"/>
  <c r="AT350" i="1"/>
  <c r="AT352" i="1" s="1"/>
  <c r="AX350" i="1"/>
  <c r="AX352" i="1" s="1"/>
  <c r="BB350" i="1"/>
  <c r="BB352" i="1" s="1"/>
  <c r="Y355" i="1"/>
  <c r="P356" i="1"/>
  <c r="X356" i="1"/>
  <c r="AN356" i="1"/>
  <c r="BD356" i="1"/>
  <c r="I350" i="1"/>
  <c r="I352" i="1" s="1"/>
  <c r="U350" i="1"/>
  <c r="U352" i="1" s="1"/>
  <c r="AG350" i="1"/>
  <c r="AG352" i="1" s="1"/>
  <c r="AO350" i="1"/>
  <c r="AO352" i="1" s="1"/>
  <c r="AW350" i="1"/>
  <c r="AW352" i="1" s="1"/>
  <c r="BE350" i="1"/>
  <c r="BE352" i="1" s="1"/>
  <c r="X355" i="1"/>
  <c r="G350" i="1"/>
  <c r="G352" i="1" s="1"/>
  <c r="K350" i="1"/>
  <c r="K352" i="1" s="1"/>
  <c r="O350" i="1"/>
  <c r="O352" i="1" s="1"/>
  <c r="S350" i="1"/>
  <c r="S352" i="1" s="1"/>
  <c r="W350" i="1"/>
  <c r="W352" i="1" s="1"/>
  <c r="AA350" i="1"/>
  <c r="AA352" i="1" s="1"/>
  <c r="AE350" i="1"/>
  <c r="AE352" i="1" s="1"/>
  <c r="AI350" i="1"/>
  <c r="AI356" i="1" s="1"/>
  <c r="AM350" i="1"/>
  <c r="AM352" i="1" s="1"/>
  <c r="AQ350" i="1"/>
  <c r="AQ352" i="1" s="1"/>
  <c r="AU350" i="1"/>
  <c r="AU352" i="1" s="1"/>
  <c r="AY350" i="1"/>
  <c r="AY355" i="1" s="1"/>
  <c r="BC350" i="1"/>
  <c r="BC352" i="1" s="1"/>
  <c r="N355" i="1"/>
  <c r="R355" i="1"/>
  <c r="V355" i="1"/>
  <c r="Z355" i="1"/>
  <c r="AT355" i="1"/>
  <c r="AX355" i="1"/>
  <c r="BB355" i="1"/>
  <c r="AS356" i="1"/>
  <c r="P357" i="1"/>
  <c r="X357" i="1"/>
  <c r="AN357" i="1"/>
  <c r="BD357" i="1"/>
  <c r="K358" i="1"/>
  <c r="V359" i="1"/>
  <c r="AD359" i="1"/>
  <c r="AH359" i="1"/>
  <c r="AL359" i="1"/>
  <c r="BB359" i="1"/>
  <c r="AJ359" i="1"/>
  <c r="AN359" i="1"/>
  <c r="AV359" i="1"/>
  <c r="BD359" i="1"/>
  <c r="AQ357" i="1"/>
  <c r="AU357" i="1"/>
  <c r="V358" i="1"/>
  <c r="Z358" i="1"/>
  <c r="AD358" i="1"/>
  <c r="AH358" i="1"/>
  <c r="AL358" i="1"/>
  <c r="BB358" i="1"/>
  <c r="I359" i="1"/>
  <c r="Y359" i="1"/>
  <c r="AS359" i="1"/>
  <c r="BE359" i="1"/>
  <c r="AS357" i="1"/>
  <c r="X358" i="1"/>
  <c r="AN358" i="1"/>
  <c r="AV358" i="1"/>
  <c r="BD358" i="1"/>
  <c r="G359" i="1"/>
  <c r="S359" i="1"/>
  <c r="AA359" i="1"/>
  <c r="AE359" i="1"/>
  <c r="AI359" i="1"/>
  <c r="AM359" i="1"/>
  <c r="AQ359" i="1"/>
  <c r="AY359" i="1"/>
  <c r="BC359" i="1"/>
  <c r="S354" i="1" l="1"/>
  <c r="E355" i="1"/>
  <c r="AW356" i="1"/>
  <c r="AL355" i="1"/>
  <c r="AW359" i="1"/>
  <c r="S358" i="1"/>
  <c r="AF358" i="1"/>
  <c r="F358" i="1"/>
  <c r="O358" i="1"/>
  <c r="E359" i="1"/>
  <c r="BC357" i="1"/>
  <c r="AF359" i="1"/>
  <c r="E356" i="1"/>
  <c r="W359" i="1"/>
  <c r="AW357" i="1"/>
  <c r="AY357" i="1"/>
  <c r="F355" i="1"/>
  <c r="AF356" i="1"/>
  <c r="AF357" i="1"/>
  <c r="K359" i="1"/>
  <c r="BE356" i="1"/>
  <c r="AC355" i="1"/>
  <c r="J355" i="1"/>
  <c r="Y357" i="1"/>
  <c r="E354" i="1"/>
  <c r="R359" i="1"/>
  <c r="K354" i="1"/>
  <c r="AX358" i="1"/>
  <c r="R358" i="1"/>
  <c r="AM357" i="1"/>
  <c r="N359" i="1"/>
  <c r="AV357" i="1"/>
  <c r="AG356" i="1"/>
  <c r="AP355" i="1"/>
  <c r="AO359" i="1"/>
  <c r="AT358" i="1"/>
  <c r="N358" i="1"/>
  <c r="AI357" i="1"/>
  <c r="AX359" i="1"/>
  <c r="AM358" i="1"/>
  <c r="AC356" i="1"/>
  <c r="J357" i="1"/>
  <c r="Q355" i="1"/>
  <c r="AR355" i="1"/>
  <c r="AG359" i="1"/>
  <c r="AP358" i="1"/>
  <c r="J358" i="1"/>
  <c r="AT359" i="1"/>
  <c r="AE358" i="1"/>
  <c r="Y356" i="1"/>
  <c r="AH355" i="1"/>
  <c r="AV355" i="1"/>
  <c r="AU359" i="1"/>
  <c r="O359" i="1"/>
  <c r="P358" i="1"/>
  <c r="AC359" i="1"/>
  <c r="AZ359" i="1"/>
  <c r="W358" i="1"/>
  <c r="I356" i="1"/>
  <c r="AD355" i="1"/>
  <c r="AQ358" i="1"/>
  <c r="G358" i="1"/>
  <c r="BC358" i="1"/>
  <c r="AO356" i="1"/>
  <c r="AA354" i="1"/>
  <c r="G354" i="1"/>
  <c r="AV356" i="1"/>
  <c r="P359" i="1"/>
  <c r="AU358" i="1"/>
  <c r="AA358" i="1"/>
  <c r="AY354" i="1"/>
  <c r="V357" i="1"/>
  <c r="AS355" i="1"/>
  <c r="AF355" i="1"/>
  <c r="Y358" i="1"/>
  <c r="AI354" i="1"/>
  <c r="AE357" i="1"/>
  <c r="AX354" i="1"/>
  <c r="AP354" i="1"/>
  <c r="AH354" i="1"/>
  <c r="Z354" i="1"/>
  <c r="R354" i="1"/>
  <c r="J354" i="1"/>
  <c r="AG358" i="1"/>
  <c r="Z357" i="1"/>
  <c r="AT356" i="1"/>
  <c r="AM355" i="1"/>
  <c r="AQ354" i="1"/>
  <c r="W354" i="1"/>
  <c r="O354" i="1"/>
  <c r="O357" i="1"/>
  <c r="AW355" i="1"/>
  <c r="AM356" i="1"/>
  <c r="AD356" i="1"/>
  <c r="W355" i="1"/>
  <c r="AU356" i="1"/>
  <c r="AQ356" i="1"/>
  <c r="BB354" i="1"/>
  <c r="AT354" i="1"/>
  <c r="AL354" i="1"/>
  <c r="AD354" i="1"/>
  <c r="V354" i="1"/>
  <c r="N354" i="1"/>
  <c r="N356" i="1"/>
  <c r="G356" i="1"/>
  <c r="S356" i="1"/>
  <c r="AG355" i="1"/>
  <c r="AW358" i="1"/>
  <c r="AP357" i="1"/>
  <c r="BC355" i="1"/>
  <c r="P355" i="1"/>
  <c r="Q358" i="1"/>
  <c r="U357" i="1"/>
  <c r="AZ358" i="1"/>
  <c r="AJ358" i="1"/>
  <c r="T358" i="1"/>
  <c r="H358" i="1"/>
  <c r="BA359" i="1"/>
  <c r="AK359" i="1"/>
  <c r="U359" i="1"/>
  <c r="F359" i="1"/>
  <c r="AR357" i="1"/>
  <c r="AB357" i="1"/>
  <c r="L357" i="1"/>
  <c r="BA356" i="1"/>
  <c r="AK356" i="1"/>
  <c r="U356" i="1"/>
  <c r="AE356" i="1"/>
  <c r="AJ355" i="1"/>
  <c r="BE354" i="1"/>
  <c r="AO354" i="1"/>
  <c r="U354" i="1"/>
  <c r="AA357" i="1"/>
  <c r="K357" i="1"/>
  <c r="AZ356" i="1"/>
  <c r="AJ356" i="1"/>
  <c r="T356" i="1"/>
  <c r="H356" i="1"/>
  <c r="M355" i="1"/>
  <c r="R357" i="1"/>
  <c r="AA356" i="1"/>
  <c r="BA354" i="1"/>
  <c r="AK354" i="1"/>
  <c r="Q354" i="1"/>
  <c r="T359" i="1"/>
  <c r="H359" i="1"/>
  <c r="AS358" i="1"/>
  <c r="AC358" i="1"/>
  <c r="M358" i="1"/>
  <c r="BB357" i="1"/>
  <c r="AL357" i="1"/>
  <c r="AG357" i="1"/>
  <c r="Q357" i="1"/>
  <c r="AI355" i="1"/>
  <c r="S355" i="1"/>
  <c r="G355" i="1"/>
  <c r="AZ354" i="1"/>
  <c r="AR354" i="1"/>
  <c r="AJ354" i="1"/>
  <c r="AB354" i="1"/>
  <c r="T354" i="1"/>
  <c r="L354" i="1"/>
  <c r="H354" i="1"/>
  <c r="AZ355" i="1"/>
  <c r="H355" i="1"/>
  <c r="M354" i="1"/>
  <c r="BE357" i="1"/>
  <c r="AO357" i="1"/>
  <c r="Q359" i="1"/>
  <c r="AR359" i="1"/>
  <c r="AB359" i="1"/>
  <c r="Q356" i="1"/>
  <c r="BC354" i="1"/>
  <c r="AU354" i="1"/>
  <c r="AM354" i="1"/>
  <c r="AE354" i="1"/>
  <c r="W357" i="1"/>
  <c r="BE355" i="1"/>
  <c r="AO355" i="1"/>
  <c r="I355" i="1"/>
  <c r="K356" i="1"/>
  <c r="T355" i="1"/>
  <c r="BE358" i="1"/>
  <c r="AO358" i="1"/>
  <c r="I358" i="1"/>
  <c r="AX357" i="1"/>
  <c r="AH357" i="1"/>
  <c r="AC357" i="1"/>
  <c r="M357" i="1"/>
  <c r="BB356" i="1"/>
  <c r="AL356" i="1"/>
  <c r="V356" i="1"/>
  <c r="AU355" i="1"/>
  <c r="AE355" i="1"/>
  <c r="O355" i="1"/>
  <c r="N357" i="1"/>
  <c r="W356" i="1"/>
  <c r="AN355" i="1"/>
  <c r="AR358" i="1"/>
  <c r="AB358" i="1"/>
  <c r="L358" i="1"/>
  <c r="BA357" i="1"/>
  <c r="AK357" i="1"/>
  <c r="M359" i="1"/>
  <c r="AZ357" i="1"/>
  <c r="AJ357" i="1"/>
  <c r="T357" i="1"/>
  <c r="H357" i="1"/>
  <c r="M356" i="1"/>
  <c r="AY352" i="1"/>
  <c r="AY358" i="1"/>
  <c r="AI352" i="1"/>
  <c r="AI358" i="1"/>
  <c r="BC356" i="1"/>
  <c r="L355" i="1"/>
  <c r="AW354" i="1"/>
  <c r="AG354" i="1"/>
  <c r="I354" i="1"/>
  <c r="S357" i="1"/>
  <c r="G357" i="1"/>
  <c r="AR356" i="1"/>
  <c r="AB356" i="1"/>
  <c r="L356" i="1"/>
  <c r="BA355" i="1"/>
  <c r="AK355" i="1"/>
  <c r="U355" i="1"/>
  <c r="AP359" i="1"/>
  <c r="AP352" i="1"/>
  <c r="Z359" i="1"/>
  <c r="Z352" i="1"/>
  <c r="J359" i="1"/>
  <c r="J352" i="1"/>
  <c r="F354" i="1"/>
  <c r="AY356" i="1"/>
  <c r="AS354" i="1"/>
  <c r="AC354" i="1"/>
  <c r="L359" i="1"/>
  <c r="BA358" i="1"/>
  <c r="AK358" i="1"/>
  <c r="U358" i="1"/>
  <c r="AT357" i="1"/>
  <c r="AD357" i="1"/>
  <c r="I357" i="1"/>
  <c r="AX356" i="1"/>
  <c r="AH356" i="1"/>
  <c r="R356" i="1"/>
  <c r="F356" i="1"/>
  <c r="AQ355" i="1"/>
  <c r="AA355" i="1"/>
  <c r="K355" i="1"/>
  <c r="BD354" i="1"/>
  <c r="AV354" i="1"/>
  <c r="AN354" i="1"/>
  <c r="AF354" i="1"/>
  <c r="X354" i="1"/>
  <c r="P354" i="1"/>
  <c r="F357" i="1"/>
  <c r="O356" i="1"/>
  <c r="AB355" i="1"/>
  <c r="Y354" i="1"/>
</calcChain>
</file>

<file path=xl/sharedStrings.xml><?xml version="1.0" encoding="utf-8"?>
<sst xmlns="http://schemas.openxmlformats.org/spreadsheetml/2006/main" count="778" uniqueCount="710">
  <si>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</si>
  <si>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</si>
  <si>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</si>
  <si>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</si>
  <si>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</si>
  <si>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</si>
  <si>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</si>
  <si>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</si>
  <si>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</si>
  <si>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</si>
  <si>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</si>
  <si>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</si>
  <si>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</si>
  <si>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</si>
  <si>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</si>
  <si>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</si>
  <si>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</si>
  <si>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</si>
  <si>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</si>
  <si>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</si>
  <si>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</si>
  <si>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</si>
  <si>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</si>
  <si>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</si>
  <si>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</si>
  <si>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</si>
  <si>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</si>
  <si>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</si>
  <si>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</si>
  <si>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</si>
  <si>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</si>
  <si>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</si>
  <si>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</si>
  <si>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</si>
  <si>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</si>
  <si>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</si>
  <si>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</si>
  <si>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</si>
  <si>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</si>
  <si>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</si>
  <si>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</si>
  <si>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</si>
  <si>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</si>
  <si>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</si>
  <si>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</si>
  <si>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</si>
  <si>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</si>
  <si>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</si>
  <si>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</si>
  <si>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</si>
  <si>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</si>
  <si>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</si>
  <si>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</si>
  <si>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</si>
  <si>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</si>
  <si>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</si>
  <si>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</si>
  <si>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</si>
  <si>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</si>
  <si>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</si>
  <si>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</si>
  <si>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</si>
  <si>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</si>
  <si>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</si>
  <si>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</si>
  <si>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</si>
  <si>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</si>
  <si>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</si>
  <si>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</si>
  <si>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</si>
  <si>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</si>
  <si>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</si>
  <si>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</si>
  <si>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</si>
  <si>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</si>
  <si>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</si>
  <si>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</si>
  <si>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</si>
  <si>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</si>
  <si>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</si>
  <si>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</si>
  <si>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</si>
  <si>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</si>
  <si>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</si>
  <si>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</si>
  <si>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</si>
  <si>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</si>
  <si>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</si>
  <si>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</si>
  <si>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</si>
  <si>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</si>
  <si>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</si>
  <si>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</si>
  <si>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</si>
  <si>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</si>
  <si>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</si>
  <si>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</si>
  <si>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</si>
  <si>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</si>
  <si>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</si>
  <si>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</si>
  <si>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</si>
  <si>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</si>
  <si>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</si>
  <si>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</si>
  <si>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</si>
  <si>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</si>
  <si>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</si>
  <si>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</si>
  <si>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</si>
  <si>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</si>
  <si>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</si>
  <si>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</si>
  <si>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</si>
  <si>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</si>
  <si>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</si>
  <si>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</si>
  <si>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</si>
  <si>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</si>
  <si>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</si>
  <si>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</si>
  <si>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</si>
  <si>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</si>
  <si>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</si>
  <si>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</si>
  <si>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</si>
  <si>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</si>
  <si>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</si>
  <si>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</si>
  <si>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</si>
  <si>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</si>
  <si>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</si>
  <si>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</si>
  <si>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</si>
  <si>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</si>
  <si>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</si>
  <si>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</si>
  <si>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</si>
  <si>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</si>
  <si>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</si>
  <si>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</si>
  <si>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</si>
  <si>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</si>
  <si>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</si>
  <si>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</si>
  <si>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</si>
  <si>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</si>
  <si>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</si>
  <si>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</si>
  <si>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</si>
  <si>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</si>
  <si>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</si>
  <si>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</si>
  <si>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</si>
  <si>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</si>
  <si>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</si>
  <si>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</si>
  <si>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</si>
  <si>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</si>
  <si>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</si>
  <si>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</si>
  <si>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</si>
  <si>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</si>
  <si>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</si>
  <si>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</si>
  <si>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</si>
  <si>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</si>
  <si>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</si>
  <si>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</si>
  <si>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</si>
  <si>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</si>
  <si>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</si>
  <si>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</si>
  <si>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</si>
  <si>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</si>
  <si>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</si>
  <si>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</si>
  <si>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</si>
  <si>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</si>
  <si>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</si>
  <si>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</si>
  <si>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</si>
  <si>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</si>
  <si>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</si>
  <si>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</si>
  <si>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</si>
  <si>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</si>
  <si>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</si>
  <si>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</si>
  <si>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</si>
  <si>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</si>
  <si>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</si>
  <si>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</si>
  <si>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</si>
  <si>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</si>
  <si>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</si>
  <si>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</si>
  <si>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</si>
  <si>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</si>
  <si>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</si>
  <si>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</si>
  <si>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</si>
  <si>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</si>
  <si>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</si>
  <si>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</si>
  <si>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</si>
  <si>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</si>
  <si>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</si>
  <si>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</si>
  <si>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</si>
  <si>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</si>
  <si>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</si>
  <si>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</si>
  <si>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</si>
  <si>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</si>
  <si>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</si>
  <si>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</si>
  <si>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</si>
  <si>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</si>
  <si>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</si>
  <si>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</si>
  <si>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</si>
  <si>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</si>
  <si>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</si>
  <si>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</si>
  <si>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</si>
  <si>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</si>
  <si>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</si>
  <si>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</si>
  <si>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</si>
  <si>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</si>
  <si>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</si>
  <si>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</si>
  <si>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</si>
  <si>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</si>
  <si>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</si>
  <si>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</si>
  <si>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</si>
  <si>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</si>
  <si>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</si>
  <si>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</si>
  <si>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</si>
  <si>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</si>
  <si>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</si>
  <si>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</si>
  <si>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</si>
  <si>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</si>
  <si>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</si>
  <si>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</si>
  <si>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</si>
  <si>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</si>
  <si>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</si>
  <si>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</si>
  <si>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</si>
  <si>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</si>
  <si>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</si>
  <si>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</si>
  <si>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</si>
  <si>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</si>
  <si>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</si>
  <si>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</si>
  <si>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</si>
  <si>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</si>
  <si>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</si>
  <si>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</si>
  <si>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</si>
  <si>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</si>
  <si>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</si>
  <si>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</si>
  <si>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</si>
  <si>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</si>
  <si>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</si>
  <si>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</si>
  <si>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</si>
  <si>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</si>
  <si>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</si>
  <si>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</si>
  <si>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</si>
  <si>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</si>
  <si>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</si>
  <si>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</si>
  <si>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</si>
  <si>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</si>
  <si>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</si>
  <si>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</si>
  <si>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</si>
  <si>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</si>
  <si>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</si>
  <si>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</si>
  <si>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</si>
  <si>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</si>
  <si>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</si>
  <si>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</si>
  <si>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</si>
  <si>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</si>
  <si>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</si>
  <si>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</si>
  <si>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</si>
  <si>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</si>
  <si>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</si>
  <si>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</si>
  <si>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</si>
  <si>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</si>
  <si>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</si>
  <si>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</si>
  <si>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</si>
  <si>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</si>
  <si>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</si>
  <si>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</si>
  <si>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</si>
  <si>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</si>
  <si>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</si>
  <si>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</si>
  <si>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</si>
  <si>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</si>
  <si>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</si>
  <si>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</si>
  <si>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</si>
  <si>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</si>
  <si>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</si>
  <si>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</si>
  <si>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</si>
  <si>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</si>
  <si>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</si>
  <si>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</si>
  <si>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</si>
  <si>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</si>
  <si>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</si>
  <si>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</si>
  <si>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</si>
  <si>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</si>
  <si>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</si>
  <si>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</si>
  <si>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</si>
  <si>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</si>
  <si>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</si>
  <si>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</si>
  <si>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</si>
  <si>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</si>
  <si>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</si>
  <si>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</si>
  <si>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</si>
  <si>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</si>
  <si>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</si>
  <si>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</si>
  <si>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</si>
  <si>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</si>
  <si>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</si>
  <si>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</si>
  <si>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</si>
  <si>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</si>
  <si>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</si>
  <si>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</si>
  <si>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</si>
  <si>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</si>
  <si>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</si>
  <si>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</si>
  <si>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</si>
  <si>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</si>
  <si>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</si>
  <si>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</si>
  <si>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</si>
  <si>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</si>
  <si>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</si>
  <si>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</si>
  <si>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</si>
  <si>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</si>
  <si>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</si>
  <si>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</si>
  <si>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</si>
  <si>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</si>
  <si>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</si>
  <si>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</si>
  <si>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</si>
  <si>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</si>
  <si>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</si>
  <si>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</si>
  <si>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</si>
  <si>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</si>
  <si>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</si>
  <si>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</si>
  <si>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</si>
  <si>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</si>
  <si>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</si>
  <si>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</si>
  <si>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</si>
  <si>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</si>
  <si>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</si>
  <si>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</si>
  <si>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</si>
  <si>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</si>
  <si>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</si>
  <si>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</si>
  <si>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</si>
  <si>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</si>
  <si>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</si>
  <si>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</si>
  <si>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</si>
  <si>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</si>
  <si>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</si>
  <si>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</si>
  <si>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</si>
  <si>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</si>
  <si>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</si>
  <si>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</si>
  <si>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</si>
  <si>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</si>
  <si>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</si>
  <si>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</si>
  <si>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</si>
  <si>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</si>
  <si>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</si>
  <si>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</si>
  <si>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</si>
  <si>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</si>
  <si>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</si>
  <si>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</si>
  <si>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</si>
  <si>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</si>
  <si>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</si>
  <si>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</si>
  <si>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</si>
  <si>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</si>
  <si>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</si>
  <si>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</si>
  <si>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</si>
  <si>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</si>
  <si>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</si>
  <si>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</si>
  <si>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</si>
  <si>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</si>
  <si>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</si>
  <si>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</si>
  <si>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</si>
  <si>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</si>
  <si>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</si>
  <si>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</si>
  <si>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</si>
  <si>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</si>
  <si>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</si>
  <si>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</si>
  <si>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</si>
  <si>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</si>
  <si>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</si>
  <si>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</si>
  <si>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</si>
  <si>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</si>
  <si>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</si>
  <si>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</si>
  <si>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</si>
  <si>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</si>
  <si>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</si>
  <si>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</si>
  <si>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</si>
  <si>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</si>
  <si>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</si>
  <si>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</si>
  <si>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</si>
  <si>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</si>
  <si>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</si>
  <si>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</si>
  <si>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</si>
  <si>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</si>
  <si>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</si>
  <si>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</si>
  <si>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</si>
  <si>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</si>
  <si>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</si>
  <si>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</si>
  <si>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</si>
  <si>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</si>
  <si>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</si>
  <si>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</si>
  <si>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</si>
  <si>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</si>
  <si>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</si>
  <si>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</si>
  <si>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</si>
  <si>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</si>
  <si>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</si>
  <si>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</si>
  <si>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</si>
  <si>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</si>
  <si>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</si>
  <si>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</si>
  <si>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</si>
  <si>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</si>
  <si>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</si>
  <si>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</si>
  <si>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</si>
  <si>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</si>
  <si>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</si>
  <si>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</si>
  <si>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</si>
  <si>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</si>
  <si>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</si>
  <si>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</si>
  <si>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</si>
  <si>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</si>
  <si>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</si>
  <si>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</si>
  <si>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</si>
  <si>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</si>
  <si>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</si>
  <si>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</si>
  <si>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</si>
  <si>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</si>
  <si>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</si>
  <si>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</si>
  <si>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</si>
  <si>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</si>
  <si>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</si>
  <si>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</si>
  <si>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</si>
  <si>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</si>
  <si>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</si>
  <si>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</si>
  <si>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</si>
  <si>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</si>
  <si>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</si>
  <si>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</si>
  <si>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</si>
  <si>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</si>
  <si>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</si>
  <si>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</si>
  <si>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</si>
  <si>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</si>
  <si>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</si>
  <si>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</si>
  <si>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</si>
  <si>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</si>
  <si>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</si>
  <si>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</si>
  <si>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</si>
  <si>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</si>
  <si>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</si>
  <si>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</si>
  <si>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</si>
  <si>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</si>
  <si>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</si>
  <si>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</si>
  <si>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</si>
  <si>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</si>
  <si>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</si>
  <si>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</si>
  <si>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</si>
  <si>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</si>
  <si>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</si>
  <si>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</si>
  <si>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</si>
  <si>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</si>
  <si>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</si>
  <si>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</si>
  <si>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</si>
  <si>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</si>
  <si>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</si>
  <si>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</si>
  <si>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</si>
  <si>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</si>
  <si>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</si>
  <si>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</si>
  <si>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</si>
  <si>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</si>
  <si>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</si>
  <si>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</si>
  <si>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</si>
  <si>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</si>
  <si>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</si>
  <si>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</si>
  <si>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</si>
  <si>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</si>
  <si>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</si>
  <si>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</si>
  <si>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</si>
  <si>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</si>
  <si>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</si>
  <si>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</si>
  <si>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</si>
  <si>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</si>
  <si>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</si>
  <si>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</si>
  <si>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</si>
  <si>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</si>
  <si>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</si>
  <si>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</si>
  <si>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</si>
  <si>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</si>
  <si>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</si>
  <si>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</si>
  <si>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</si>
  <si>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</si>
  <si>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</si>
  <si>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</si>
  <si>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</si>
  <si>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</si>
  <si>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</si>
  <si>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</si>
  <si>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</si>
  <si>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</si>
  <si>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</si>
  <si>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</si>
  <si>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</si>
  <si>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</si>
  <si>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</si>
  <si>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</si>
  <si>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</si>
  <si>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</si>
  <si>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</si>
  <si>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</si>
  <si>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</si>
  <si>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</si>
  <si>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</si>
  <si>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</si>
  <si>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</si>
  <si>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</si>
  <si>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</si>
  <si>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</si>
  <si>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</si>
  <si>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</si>
  <si>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</si>
  <si>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</si>
  <si>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</si>
  <si>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</si>
  <si>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</si>
  <si>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</si>
  <si>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</si>
  <si>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</si>
  <si>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</si>
  <si>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</si>
  <si>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</si>
  <si>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</si>
  <si>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</si>
  <si>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</si>
  <si>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</si>
  <si>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</si>
  <si>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</si>
  <si>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</si>
  <si>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</si>
  <si>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</si>
  <si>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</si>
  <si>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</si>
  <si>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</si>
  <si>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</si>
  <si>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</si>
  <si>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</si>
  <si>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</si>
  <si>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</si>
  <si>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</si>
  <si>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</si>
  <si>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</si>
  <si>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</si>
  <si>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</si>
  <si>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</si>
  <si>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</si>
  <si>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</si>
  <si>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</si>
  <si>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</si>
  <si>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</si>
  <si>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</si>
  <si>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</si>
  <si>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</si>
  <si>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</si>
  <si>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</si>
  <si>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</si>
  <si>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</si>
  <si>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</si>
  <si>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</si>
  <si>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</si>
  <si>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</si>
  <si>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</si>
  <si>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</si>
  <si>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</si>
  <si>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</si>
  <si>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</si>
  <si>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</si>
  <si>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</si>
  <si>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</si>
  <si>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</si>
  <si>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</si>
  <si>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</si>
  <si>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</si>
  <si>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</si>
  <si>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</si>
  <si>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</si>
  <si>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</si>
  <si>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</si>
  <si>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</si>
  <si>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</si>
  <si>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</si>
  <si>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</si>
  <si>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</si>
  <si>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</si>
  <si>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</si>
  <si>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</si>
  <si>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</si>
  <si>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</si>
  <si>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</si>
  <si>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</si>
  <si>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</si>
  <si>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</si>
  <si>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</si>
  <si>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</si>
  <si>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</si>
  <si>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</si>
  <si>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</si>
  <si>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</si>
  <si>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</si>
  <si>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סוף מידע טבלה</t>
  </si>
  <si>
    <t>סוף מידע טבלה צד שמאל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</si>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</sst>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macro="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517940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158750</xdr:colOff>
      <xdr:row>1</xdr:row>
      <xdr:rowOff>19311</xdr:rowOff>
    </xdr:from>
    <xdr:to>
      <xdr:col>1</xdr:col>
      <xdr:colOff>406400</xdr:colOff>
      <xdr:row>2</xdr:row>
      <xdr:rowOff>72527</xdr:rowOff>
    </xdr:to>
    <xdr:pic>
      <xdr:nvPicPr>
        <xdr:cNvPr id="4" name="Picture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3F751AE5-019C-3877-FA23-6F18AC4F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8926800" y="197111"/>
          <a:ext cx="247650" cy="2500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0"/>
  <sheetViews>
    <sheetView rightToLeft="1" tabSelected="1" workbookViewId="0">
      <selection activeCell="B3" sqref="B3"/>
    </sheetView>
  </sheetViews>
  <sheetFormatPr defaultRowHeight="14.25" x14ac:dyDescent="0.2"/>
  <sheetData>
    <row r="1" spans="1:58" x14ac:dyDescent="0.2">
      <c r="A1" s="21" t="s">
        <v>709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8" ht="15.75" x14ac:dyDescent="0.25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100</v>
      </c>
      <c r="L2">
        <v>101</v>
      </c>
      <c r="M2">
        <v>102</v>
      </c>
      <c r="N2">
        <v>121</v>
      </c>
      <c r="O2">
        <v>122</v>
      </c>
      <c r="P2">
        <v>142</v>
      </c>
      <c r="Q2">
        <v>164</v>
      </c>
      <c r="R2">
        <v>167</v>
      </c>
      <c r="S2">
        <v>169</v>
      </c>
      <c r="T2">
        <v>425</v>
      </c>
      <c r="U2">
        <v>426</v>
      </c>
      <c r="V2">
        <v>499</v>
      </c>
      <c r="W2">
        <v>519</v>
      </c>
      <c r="X2">
        <v>525</v>
      </c>
      <c r="Y2">
        <v>526</v>
      </c>
      <c r="Z2">
        <v>570</v>
      </c>
      <c r="AA2">
        <v>571</v>
      </c>
      <c r="AB2">
        <v>572</v>
      </c>
      <c r="AC2">
        <v>573</v>
      </c>
      <c r="AD2">
        <v>574</v>
      </c>
      <c r="AE2">
        <v>628</v>
      </c>
      <c r="AF2">
        <v>629</v>
      </c>
      <c r="AG2">
        <v>631</v>
      </c>
      <c r="AH2">
        <v>632</v>
      </c>
      <c r="AI2">
        <v>658</v>
      </c>
      <c r="AJ2">
        <v>660</v>
      </c>
      <c r="AK2">
        <v>662</v>
      </c>
      <c r="AL2">
        <v>664</v>
      </c>
      <c r="AM2">
        <v>666</v>
      </c>
      <c r="AN2">
        <v>726</v>
      </c>
      <c r="AO2">
        <v>737</v>
      </c>
      <c r="AP2">
        <v>805</v>
      </c>
      <c r="AQ2">
        <v>807</v>
      </c>
      <c r="AR2">
        <v>827</v>
      </c>
      <c r="AS2">
        <v>575</v>
      </c>
      <c r="AT2">
        <v>576</v>
      </c>
      <c r="AU2">
        <v>359</v>
      </c>
      <c r="AV2">
        <v>360</v>
      </c>
      <c r="AW2" s="9">
        <v>828</v>
      </c>
      <c r="AX2" s="9">
        <v>844</v>
      </c>
      <c r="AY2" s="9">
        <v>839</v>
      </c>
      <c r="AZ2" s="9">
        <v>857</v>
      </c>
      <c r="BA2" s="9">
        <v>851</v>
      </c>
      <c r="BB2" s="9">
        <v>849</v>
      </c>
      <c r="BC2" s="9">
        <v>846</v>
      </c>
      <c r="BD2" s="9">
        <v>834</v>
      </c>
      <c r="BE2" s="9">
        <v>488</v>
      </c>
      <c r="BF2" s="21" t="s">
        <v>708</v>
      </c>
    </row>
    <row r="3" spans="1:58" x14ac:dyDescent="0.2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686</v>
      </c>
      <c r="L3" s="10">
        <v>1190</v>
      </c>
      <c r="M3" s="10">
        <v>715</v>
      </c>
      <c r="N3" s="10">
        <v>211</v>
      </c>
      <c r="O3" s="10">
        <v>9916</v>
      </c>
      <c r="P3" s="10">
        <v>1100</v>
      </c>
      <c r="Q3" s="10">
        <v>801</v>
      </c>
      <c r="R3" s="10">
        <v>804</v>
      </c>
      <c r="S3" s="10">
        <v>806</v>
      </c>
      <c r="T3" s="10">
        <v>8765</v>
      </c>
      <c r="U3" s="10">
        <v>8766</v>
      </c>
      <c r="V3" s="10">
        <v>9418</v>
      </c>
      <c r="W3" s="10">
        <v>9475</v>
      </c>
      <c r="X3" s="10">
        <v>9905</v>
      </c>
      <c r="Y3" s="10">
        <v>9906</v>
      </c>
      <c r="Z3" s="10">
        <v>7905</v>
      </c>
      <c r="AA3" s="10">
        <v>7906</v>
      </c>
      <c r="AB3" s="10">
        <v>7907</v>
      </c>
      <c r="AC3" s="10">
        <v>7908</v>
      </c>
      <c r="AD3" s="10">
        <v>7909</v>
      </c>
      <c r="AE3" s="10">
        <v>11310</v>
      </c>
      <c r="AF3" s="10">
        <v>11311</v>
      </c>
      <c r="AG3" s="10">
        <v>11312</v>
      </c>
      <c r="AH3" s="10">
        <v>11335</v>
      </c>
      <c r="AI3" s="10">
        <v>9529</v>
      </c>
      <c r="AJ3" s="10">
        <v>961</v>
      </c>
      <c r="AK3" s="10">
        <v>9528</v>
      </c>
      <c r="AL3" s="10">
        <v>964</v>
      </c>
      <c r="AM3" s="10">
        <v>968</v>
      </c>
      <c r="AN3" s="10">
        <v>8629</v>
      </c>
      <c r="AO3" s="10">
        <v>13264</v>
      </c>
      <c r="AP3" s="10">
        <v>9917</v>
      </c>
      <c r="AQ3" s="10">
        <v>8624</v>
      </c>
      <c r="AR3" s="10">
        <v>13263</v>
      </c>
      <c r="AS3" s="10">
        <v>13209</v>
      </c>
      <c r="AT3" s="10">
        <v>13250</v>
      </c>
      <c r="AU3" s="10">
        <v>14281</v>
      </c>
      <c r="AV3" s="10">
        <v>14282</v>
      </c>
      <c r="AW3" s="11">
        <v>2049</v>
      </c>
      <c r="AX3" s="12">
        <v>7975</v>
      </c>
      <c r="AY3" s="12">
        <v>8004</v>
      </c>
      <c r="AZ3" s="11">
        <v>1008</v>
      </c>
      <c r="BA3" s="11">
        <v>9484</v>
      </c>
      <c r="BB3" s="11">
        <v>682</v>
      </c>
      <c r="BC3" s="11">
        <v>11352</v>
      </c>
      <c r="BD3" s="11">
        <v>2058</v>
      </c>
      <c r="BE3" s="11">
        <v>12088</v>
      </c>
      <c r="BF3" s="21"/>
    </row>
    <row r="4" spans="1:58" ht="15.75" x14ac:dyDescent="0.25">
      <c r="A4" s="3">
        <v>45200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t="s">
        <v>651</v>
      </c>
      <c r="AQ4" t="s">
        <v>652</v>
      </c>
      <c r="AR4" t="s">
        <v>653</v>
      </c>
      <c r="AS4" t="s">
        <v>654</v>
      </c>
      <c r="AT4" t="s">
        <v>655</v>
      </c>
      <c r="AU4" t="s">
        <v>656</v>
      </c>
      <c r="AV4" t="s">
        <v>657</v>
      </c>
      <c r="AW4" s="13" t="s">
        <v>658</v>
      </c>
      <c r="AX4" s="14" t="s">
        <v>659</v>
      </c>
      <c r="AY4" s="13" t="s">
        <v>660</v>
      </c>
      <c r="AZ4" s="13" t="s">
        <v>661</v>
      </c>
      <c r="BA4" s="13" t="s">
        <v>662</v>
      </c>
      <c r="BB4" s="13" t="s">
        <v>663</v>
      </c>
      <c r="BC4" s="13" t="s">
        <v>664</v>
      </c>
      <c r="BD4" s="13" t="s">
        <v>665</v>
      </c>
      <c r="BE4" s="13" t="s">
        <v>666</v>
      </c>
      <c r="BF4" s="21"/>
    </row>
    <row r="5" spans="1:58" ht="15.75" x14ac:dyDescent="0.25">
      <c r="A5" s="4"/>
      <c r="B5" s="5"/>
      <c r="C5" s="5"/>
      <c r="D5" s="6" t="s">
        <v>0</v>
      </c>
      <c r="E5" s="15" t="s">
        <v>667</v>
      </c>
      <c r="F5" s="15" t="s">
        <v>668</v>
      </c>
      <c r="G5" s="15" t="s">
        <v>669</v>
      </c>
      <c r="H5" s="15" t="s">
        <v>670</v>
      </c>
      <c r="I5" s="15" t="s">
        <v>671</v>
      </c>
      <c r="J5" s="15" t="s">
        <v>672</v>
      </c>
      <c r="K5" s="15" t="s">
        <v>673</v>
      </c>
      <c r="L5" s="15" t="s">
        <v>674</v>
      </c>
      <c r="M5" s="15" t="s">
        <v>675</v>
      </c>
      <c r="N5" s="15" t="s">
        <v>676</v>
      </c>
      <c r="O5" s="15" t="s">
        <v>677</v>
      </c>
      <c r="P5" s="15" t="s">
        <v>678</v>
      </c>
      <c r="Q5" s="15" t="s">
        <v>679</v>
      </c>
      <c r="R5" s="15" t="s">
        <v>680</v>
      </c>
      <c r="S5" s="15" t="s">
        <v>681</v>
      </c>
      <c r="T5" s="15" t="s">
        <v>682</v>
      </c>
      <c r="U5" s="15" t="s">
        <v>683</v>
      </c>
      <c r="V5" s="15" t="s">
        <v>684</v>
      </c>
      <c r="W5" s="15" t="s">
        <v>685</v>
      </c>
      <c r="X5" s="15" t="s">
        <v>686</v>
      </c>
      <c r="Y5" s="15" t="s">
        <v>687</v>
      </c>
      <c r="Z5" s="15" t="s">
        <v>688</v>
      </c>
      <c r="AA5" s="15" t="s">
        <v>689</v>
      </c>
      <c r="AB5" s="15" t="s">
        <v>690</v>
      </c>
      <c r="AC5" s="15" t="s">
        <v>691</v>
      </c>
      <c r="AD5" s="15" t="s">
        <v>692</v>
      </c>
      <c r="AE5" s="15" t="s">
        <v>693</v>
      </c>
      <c r="AF5" s="15" t="s">
        <v>694</v>
      </c>
      <c r="AG5" s="15" t="s">
        <v>695</v>
      </c>
      <c r="AH5" s="15" t="s">
        <v>696</v>
      </c>
      <c r="AI5" s="15" t="s">
        <v>697</v>
      </c>
      <c r="AJ5" s="15" t="s">
        <v>698</v>
      </c>
      <c r="AK5" s="15" t="s">
        <v>699</v>
      </c>
      <c r="AL5" s="15" t="s">
        <v>700</v>
      </c>
      <c r="AM5" s="15" t="s">
        <v>701</v>
      </c>
      <c r="AN5" s="15" t="s">
        <v>702</v>
      </c>
      <c r="AO5" s="15" t="s">
        <v>703</v>
      </c>
      <c r="AP5" s="15" t="s">
        <v>704</v>
      </c>
      <c r="AQ5" s="15" t="s">
        <v>705</v>
      </c>
      <c r="AR5" s="15" t="s">
        <v>706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21"/>
    </row>
    <row r="6" spans="1:58" ht="15.75" x14ac:dyDescent="0.25">
      <c r="A6" s="5" t="s">
        <v>1</v>
      </c>
      <c r="B6" s="5" t="s">
        <v>2</v>
      </c>
      <c r="C6" s="7">
        <v>1</v>
      </c>
      <c r="D6" s="7">
        <v>1</v>
      </c>
      <c r="E6" s="7">
        <v>72311.922000000006</v>
      </c>
      <c r="F6" s="7">
        <v>17591.863000000001</v>
      </c>
      <c r="G6" s="7">
        <v>1171.1959999999999</v>
      </c>
      <c r="H6" s="7">
        <v>-112.732</v>
      </c>
      <c r="I6" s="7">
        <v>1268.578</v>
      </c>
      <c r="J6" s="7">
        <v>1026.9169999999999</v>
      </c>
      <c r="K6" s="7">
        <v>98948.542000000001</v>
      </c>
      <c r="L6" s="7">
        <v>8212.2980000000007</v>
      </c>
      <c r="M6" s="7">
        <v>38508.076000000001</v>
      </c>
      <c r="N6" s="7">
        <v>12290.308000000001</v>
      </c>
      <c r="O6" s="7">
        <v>218016.63099999999</v>
      </c>
      <c r="P6" s="7">
        <v>15072.233</v>
      </c>
      <c r="Q6" s="7">
        <v>3.03</v>
      </c>
      <c r="R6" s="7">
        <v>153.90700000000001</v>
      </c>
      <c r="S6" s="7">
        <v>6.8949999999999996</v>
      </c>
      <c r="T6" s="7">
        <v>164</v>
      </c>
      <c r="U6" s="7">
        <v>161.28</v>
      </c>
      <c r="V6" s="7">
        <v>5112.1499999999996</v>
      </c>
      <c r="W6" s="7">
        <v>3.0449999999999999</v>
      </c>
      <c r="X6" s="7">
        <v>1983.0360000000001</v>
      </c>
      <c r="Y6" s="7">
        <v>29466.523000000001</v>
      </c>
      <c r="Z6" s="7">
        <v>113.252</v>
      </c>
      <c r="AA6" s="7">
        <v>2015.9559999999999</v>
      </c>
      <c r="AB6" s="7">
        <v>5005.1009999999997</v>
      </c>
      <c r="AC6" s="7">
        <v>35870.159</v>
      </c>
      <c r="AD6" s="7">
        <v>3586.7570000000001</v>
      </c>
      <c r="AE6" s="7">
        <v>991.47900000000004</v>
      </c>
      <c r="AF6" s="7">
        <v>3842.8</v>
      </c>
      <c r="AG6" s="7">
        <v>2732.5830000000001</v>
      </c>
      <c r="AH6" s="7">
        <v>374.05700000000002</v>
      </c>
      <c r="AI6" s="7">
        <v>98737.486999999994</v>
      </c>
      <c r="AJ6" s="7">
        <v>44353.82</v>
      </c>
      <c r="AK6" s="7">
        <v>1295.33</v>
      </c>
      <c r="AL6" s="7">
        <v>278928.09100000001</v>
      </c>
      <c r="AM6" s="7">
        <v>85151.510999999999</v>
      </c>
      <c r="AN6" s="7">
        <v>24118.867999999999</v>
      </c>
      <c r="AO6" s="7">
        <v>206731.39199999999</v>
      </c>
      <c r="AP6" s="7">
        <v>5418.6670000000004</v>
      </c>
      <c r="AQ6" s="7">
        <v>2586.2049999999999</v>
      </c>
      <c r="AR6" s="7">
        <v>135063.04999999999</v>
      </c>
      <c r="AS6" s="7">
        <v>4973.8329999999996</v>
      </c>
      <c r="AT6" s="7">
        <v>60794.724000000002</v>
      </c>
      <c r="AU6" s="7">
        <v>203.542</v>
      </c>
      <c r="AV6" s="7">
        <v>119.97199999999999</v>
      </c>
      <c r="AW6" s="7">
        <v>7474.4350000000004</v>
      </c>
      <c r="AX6" s="7">
        <v>19256.187999999998</v>
      </c>
      <c r="AY6" s="7">
        <v>2959.2750000000001</v>
      </c>
      <c r="AZ6" s="7">
        <v>159.03899999999999</v>
      </c>
      <c r="BA6" s="7">
        <v>0</v>
      </c>
      <c r="BB6" s="7">
        <v>10460.946</v>
      </c>
      <c r="BC6" s="7">
        <v>9764.2119999999995</v>
      </c>
      <c r="BD6" s="7">
        <v>10318.447</v>
      </c>
      <c r="BE6" s="7">
        <v>5950.4059999999999</v>
      </c>
      <c r="BF6" s="21"/>
    </row>
    <row r="7" spans="1:58" ht="15.75" x14ac:dyDescent="0.25">
      <c r="A7" s="5" t="s">
        <v>3</v>
      </c>
      <c r="B7" s="5" t="s">
        <v>4</v>
      </c>
      <c r="C7" s="7">
        <v>1</v>
      </c>
      <c r="D7" s="7">
        <v>1</v>
      </c>
      <c r="E7" s="7">
        <v>64558.129000000001</v>
      </c>
      <c r="F7" s="7">
        <v>15291.888000000001</v>
      </c>
      <c r="G7" s="7">
        <v>14602.705</v>
      </c>
      <c r="H7" s="7">
        <v>5170.4219999999996</v>
      </c>
      <c r="I7" s="7">
        <v>4259.04</v>
      </c>
      <c r="J7" s="7">
        <v>8794.7909999999993</v>
      </c>
      <c r="K7" s="7">
        <v>49152.932000000001</v>
      </c>
      <c r="L7" s="7">
        <v>14292.084000000001</v>
      </c>
      <c r="M7" s="7">
        <v>0</v>
      </c>
      <c r="N7" s="7">
        <v>49201.336000000003</v>
      </c>
      <c r="O7" s="7">
        <v>95700.755999999994</v>
      </c>
      <c r="P7" s="7">
        <v>41116.902000000002</v>
      </c>
      <c r="Q7" s="7">
        <v>0</v>
      </c>
      <c r="R7" s="7">
        <v>46.122</v>
      </c>
      <c r="S7" s="7">
        <v>1147.395</v>
      </c>
      <c r="T7" s="7">
        <v>53.899000000000001</v>
      </c>
      <c r="U7" s="7">
        <v>186.31899999999999</v>
      </c>
      <c r="V7" s="7">
        <v>3972.9749999999999</v>
      </c>
      <c r="W7" s="7">
        <v>0</v>
      </c>
      <c r="X7" s="7">
        <v>714.75</v>
      </c>
      <c r="Y7" s="7">
        <v>0</v>
      </c>
      <c r="Z7" s="7">
        <v>1097</v>
      </c>
      <c r="AA7" s="7">
        <v>3537.11</v>
      </c>
      <c r="AB7" s="7">
        <v>1902.7260000000001</v>
      </c>
      <c r="AC7" s="7">
        <v>20883.460999999999</v>
      </c>
      <c r="AD7" s="7">
        <v>509.95699999999999</v>
      </c>
      <c r="AE7" s="7">
        <v>10555.628000000001</v>
      </c>
      <c r="AF7" s="7">
        <v>1483.367</v>
      </c>
      <c r="AG7" s="7">
        <v>2193.357</v>
      </c>
      <c r="AH7" s="7">
        <v>334.58300000000003</v>
      </c>
      <c r="AI7" s="7">
        <v>49132.872000000003</v>
      </c>
      <c r="AJ7" s="7">
        <v>11275.571</v>
      </c>
      <c r="AK7" s="7">
        <v>1611.2429999999999</v>
      </c>
      <c r="AL7" s="7">
        <v>147786.06599999999</v>
      </c>
      <c r="AM7" s="7">
        <v>21841.315999999999</v>
      </c>
      <c r="AN7" s="7">
        <v>19611.914000000001</v>
      </c>
      <c r="AO7" s="7">
        <v>19997.866000000002</v>
      </c>
      <c r="AP7" s="7">
        <v>1906.8330000000001</v>
      </c>
      <c r="AQ7" s="7">
        <v>810.46299999999997</v>
      </c>
      <c r="AR7" s="7">
        <v>10821.102000000001</v>
      </c>
      <c r="AS7" s="7">
        <v>0</v>
      </c>
      <c r="AT7" s="7">
        <v>4695.3850000000002</v>
      </c>
      <c r="AU7" s="7">
        <v>108.667</v>
      </c>
      <c r="AV7" s="7">
        <v>35.905999999999999</v>
      </c>
      <c r="AW7" s="7">
        <v>1371.124</v>
      </c>
      <c r="AX7" s="7">
        <v>2894.2910000000002</v>
      </c>
      <c r="AY7" s="7">
        <v>1123.213</v>
      </c>
      <c r="AZ7" s="7">
        <v>60.84</v>
      </c>
      <c r="BA7" s="7">
        <v>0</v>
      </c>
      <c r="BB7" s="7">
        <v>3918.3330000000001</v>
      </c>
      <c r="BC7" s="7">
        <v>1299.125</v>
      </c>
      <c r="BD7" s="7">
        <v>2002.0229999999999</v>
      </c>
      <c r="BE7" s="7">
        <v>6912.2039999999997</v>
      </c>
      <c r="BF7" s="21"/>
    </row>
    <row r="8" spans="1:58" ht="15.75" x14ac:dyDescent="0.25">
      <c r="A8" s="5" t="s">
        <v>5</v>
      </c>
      <c r="B8" s="5" t="s">
        <v>6</v>
      </c>
      <c r="C8" s="7">
        <v>1</v>
      </c>
      <c r="D8" s="7">
        <v>1</v>
      </c>
      <c r="E8" s="7">
        <v>51953.434000000001</v>
      </c>
      <c r="F8" s="7">
        <v>10937.522999999999</v>
      </c>
      <c r="G8" s="7">
        <v>16784.037</v>
      </c>
      <c r="H8" s="7">
        <v>8470.1620000000003</v>
      </c>
      <c r="I8" s="7">
        <v>2271.192</v>
      </c>
      <c r="J8" s="7">
        <v>17184.859</v>
      </c>
      <c r="K8" s="7">
        <v>26649.499</v>
      </c>
      <c r="L8" s="7">
        <v>14223.540999999999</v>
      </c>
      <c r="M8" s="7">
        <v>23758.47</v>
      </c>
      <c r="N8" s="7">
        <v>23892.595000000001</v>
      </c>
      <c r="O8" s="7">
        <v>71136.207999999999</v>
      </c>
      <c r="P8" s="7">
        <v>23510.585999999999</v>
      </c>
      <c r="Q8" s="7">
        <v>467.18799999999999</v>
      </c>
      <c r="R8" s="7">
        <v>165.482</v>
      </c>
      <c r="S8" s="7">
        <v>357.63200000000001</v>
      </c>
      <c r="T8" s="7">
        <v>119.852</v>
      </c>
      <c r="U8" s="7">
        <v>1051.0250000000001</v>
      </c>
      <c r="V8" s="7">
        <v>4451.8440000000001</v>
      </c>
      <c r="W8" s="7">
        <v>64.168000000000006</v>
      </c>
      <c r="X8" s="7">
        <v>1807.2619999999999</v>
      </c>
      <c r="Y8" s="7">
        <v>15250.76</v>
      </c>
      <c r="Z8" s="7">
        <v>1273.028</v>
      </c>
      <c r="AA8" s="7">
        <v>3369.8420000000001</v>
      </c>
      <c r="AB8" s="7">
        <v>1897.5650000000001</v>
      </c>
      <c r="AC8" s="7">
        <v>19350.328000000001</v>
      </c>
      <c r="AD8" s="7">
        <v>4847.3630000000003</v>
      </c>
      <c r="AE8" s="7">
        <v>37495.292999999998</v>
      </c>
      <c r="AF8" s="7">
        <v>9760.1239999999998</v>
      </c>
      <c r="AG8" s="7">
        <v>2920.739</v>
      </c>
      <c r="AH8" s="7">
        <v>3502.7020000000002</v>
      </c>
      <c r="AI8" s="7">
        <v>52827.756000000001</v>
      </c>
      <c r="AJ8" s="7">
        <v>9743.3269999999993</v>
      </c>
      <c r="AK8" s="7">
        <v>19599.955999999998</v>
      </c>
      <c r="AL8" s="7">
        <v>130648.357</v>
      </c>
      <c r="AM8" s="7">
        <v>15591.782999999999</v>
      </c>
      <c r="AN8" s="7">
        <v>27354.884999999998</v>
      </c>
      <c r="AO8" s="7">
        <v>97606.601999999999</v>
      </c>
      <c r="AP8" s="7">
        <v>4372.0910000000003</v>
      </c>
      <c r="AQ8" s="7">
        <v>5870.6409999999996</v>
      </c>
      <c r="AR8" s="7">
        <v>58330.652999999998</v>
      </c>
      <c r="AS8" s="7">
        <v>4620.6660000000002</v>
      </c>
      <c r="AT8" s="7">
        <v>29477.285</v>
      </c>
      <c r="AU8" s="7">
        <v>205.38399999999999</v>
      </c>
      <c r="AV8" s="7">
        <v>285.54000000000002</v>
      </c>
      <c r="AW8" s="7">
        <v>0</v>
      </c>
      <c r="AX8" s="7">
        <v>2250.752</v>
      </c>
      <c r="AY8" s="7">
        <v>0</v>
      </c>
      <c r="AZ8" s="7">
        <v>16.044</v>
      </c>
      <c r="BA8" s="7">
        <v>0</v>
      </c>
      <c r="BB8" s="7">
        <v>553.26700000000005</v>
      </c>
      <c r="BC8" s="7">
        <v>0</v>
      </c>
      <c r="BD8" s="7">
        <v>0</v>
      </c>
      <c r="BE8" s="7">
        <v>35502.51</v>
      </c>
      <c r="BF8" s="21"/>
    </row>
    <row r="9" spans="1:58" ht="15.75" x14ac:dyDescent="0.25">
      <c r="A9" s="5" t="s">
        <v>7</v>
      </c>
      <c r="B9" s="5" t="s">
        <v>8</v>
      </c>
      <c r="C9" s="7">
        <v>1</v>
      </c>
      <c r="D9" s="7">
        <v>1</v>
      </c>
      <c r="E9" s="7">
        <v>303898.63400000002</v>
      </c>
      <c r="F9" s="7">
        <v>78375.065000000002</v>
      </c>
      <c r="G9" s="7">
        <v>0</v>
      </c>
      <c r="H9" s="7">
        <v>0</v>
      </c>
      <c r="I9" s="7">
        <v>4544.509</v>
      </c>
      <c r="J9" s="7">
        <v>0.02</v>
      </c>
      <c r="K9" s="7">
        <v>436668.82699999999</v>
      </c>
      <c r="L9" s="7">
        <v>37319.629999999997</v>
      </c>
      <c r="M9" s="7">
        <v>0</v>
      </c>
      <c r="N9" s="7">
        <v>44052.688999999998</v>
      </c>
      <c r="O9" s="7">
        <v>1014967.046</v>
      </c>
      <c r="P9" s="7">
        <v>60270.688000000002</v>
      </c>
      <c r="Q9" s="7">
        <v>0</v>
      </c>
      <c r="R9" s="7">
        <v>3760.5030000000002</v>
      </c>
      <c r="S9" s="7">
        <v>0</v>
      </c>
      <c r="T9" s="7">
        <v>3710.8090000000002</v>
      </c>
      <c r="U9" s="7">
        <v>629.61699999999996</v>
      </c>
      <c r="V9" s="7">
        <v>23102.870999999999</v>
      </c>
      <c r="W9" s="7">
        <v>0</v>
      </c>
      <c r="X9" s="7">
        <v>52872.356</v>
      </c>
      <c r="Y9" s="7">
        <v>0</v>
      </c>
      <c r="Z9" s="7">
        <v>0</v>
      </c>
      <c r="AA9" s="7">
        <v>7931.7290000000003</v>
      </c>
      <c r="AB9" s="7">
        <v>140832.486</v>
      </c>
      <c r="AC9" s="7">
        <v>169635.954</v>
      </c>
      <c r="AD9" s="7">
        <v>30590.969000000001</v>
      </c>
      <c r="AE9" s="7">
        <v>0</v>
      </c>
      <c r="AF9" s="7">
        <v>107769.54300000001</v>
      </c>
      <c r="AG9" s="7">
        <v>12420.485000000001</v>
      </c>
      <c r="AH9" s="7">
        <v>6900.1480000000001</v>
      </c>
      <c r="AI9" s="7">
        <v>440223.93400000001</v>
      </c>
      <c r="AJ9" s="7">
        <v>208452.489</v>
      </c>
      <c r="AK9" s="7">
        <v>27847.327000000001</v>
      </c>
      <c r="AL9" s="7">
        <v>1276064.4879999999</v>
      </c>
      <c r="AM9" s="7">
        <v>403302.348</v>
      </c>
      <c r="AN9" s="7">
        <v>205323.94200000001</v>
      </c>
      <c r="AO9" s="7">
        <v>4061284.8509999998</v>
      </c>
      <c r="AP9" s="7">
        <v>128889.947</v>
      </c>
      <c r="AQ9" s="7">
        <v>54870.909</v>
      </c>
      <c r="AR9" s="7">
        <v>2653343.2629999998</v>
      </c>
      <c r="AS9" s="7">
        <v>0</v>
      </c>
      <c r="AT9" s="7">
        <v>1194325.2390000001</v>
      </c>
      <c r="AU9" s="7">
        <v>959.53700000000003</v>
      </c>
      <c r="AV9" s="7">
        <v>2726.6950000000002</v>
      </c>
      <c r="AW9" s="7">
        <v>0</v>
      </c>
      <c r="AX9" s="7">
        <v>56880.292999999998</v>
      </c>
      <c r="AY9" s="7">
        <v>0</v>
      </c>
      <c r="AZ9" s="7">
        <v>232.77</v>
      </c>
      <c r="BA9" s="7">
        <v>0</v>
      </c>
      <c r="BB9" s="7">
        <v>1908.4459999999999</v>
      </c>
      <c r="BC9" s="7">
        <v>0</v>
      </c>
      <c r="BD9" s="7">
        <v>0</v>
      </c>
      <c r="BE9" s="7">
        <v>41958.14</v>
      </c>
      <c r="BF9" s="21"/>
    </row>
    <row r="10" spans="1:58" ht="15.75" x14ac:dyDescent="0.25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21"/>
    </row>
    <row r="11" spans="1:58" ht="15.75" x14ac:dyDescent="0.25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21"/>
    </row>
    <row r="12" spans="1:58" ht="15.75" x14ac:dyDescent="0.25">
      <c r="A12" s="5" t="s">
        <v>13</v>
      </c>
      <c r="B12" s="5" t="s">
        <v>14</v>
      </c>
      <c r="C12" s="7">
        <v>1</v>
      </c>
      <c r="D12" s="7">
        <v>1</v>
      </c>
      <c r="E12" s="7">
        <v>159248.17499999999</v>
      </c>
      <c r="F12" s="7">
        <v>29091.073</v>
      </c>
      <c r="G12" s="7">
        <v>10182.687</v>
      </c>
      <c r="H12" s="7">
        <v>3356.5790000000002</v>
      </c>
      <c r="I12" s="7">
        <v>3046.1</v>
      </c>
      <c r="J12" s="7">
        <v>7721.143</v>
      </c>
      <c r="K12" s="7">
        <v>174943.08300000001</v>
      </c>
      <c r="L12" s="7">
        <v>20452.853999999999</v>
      </c>
      <c r="M12" s="7">
        <v>0</v>
      </c>
      <c r="N12" s="7">
        <v>49467.197999999997</v>
      </c>
      <c r="O12" s="7">
        <v>393872.70199999999</v>
      </c>
      <c r="P12" s="7">
        <v>46945.794000000002</v>
      </c>
      <c r="Q12" s="7">
        <v>0</v>
      </c>
      <c r="R12" s="7">
        <v>269.37299999999999</v>
      </c>
      <c r="S12" s="7">
        <v>118.384</v>
      </c>
      <c r="T12" s="7">
        <v>269.47899999999998</v>
      </c>
      <c r="U12" s="7">
        <v>6.2350000000000003</v>
      </c>
      <c r="V12" s="7">
        <v>8282.7780000000002</v>
      </c>
      <c r="W12" s="7">
        <v>0</v>
      </c>
      <c r="X12" s="7">
        <v>4084.9920000000002</v>
      </c>
      <c r="Y12" s="7">
        <v>0</v>
      </c>
      <c r="Z12" s="7">
        <v>779.70500000000004</v>
      </c>
      <c r="AA12" s="7">
        <v>4737.5050000000001</v>
      </c>
      <c r="AB12" s="7">
        <v>11147.403</v>
      </c>
      <c r="AC12" s="7">
        <v>61273.68</v>
      </c>
      <c r="AD12" s="7">
        <v>475.101</v>
      </c>
      <c r="AE12" s="7">
        <v>10335.334999999999</v>
      </c>
      <c r="AF12" s="7">
        <v>8550.4320000000007</v>
      </c>
      <c r="AG12" s="7">
        <v>4780.6629999999996</v>
      </c>
      <c r="AH12" s="7">
        <v>372.95800000000003</v>
      </c>
      <c r="AI12" s="7">
        <v>157555.90900000001</v>
      </c>
      <c r="AJ12" s="7">
        <v>56435.485000000001</v>
      </c>
      <c r="AK12" s="7">
        <v>1651.557</v>
      </c>
      <c r="AL12" s="7">
        <v>463432.35200000001</v>
      </c>
      <c r="AM12" s="7">
        <v>109298.83500000001</v>
      </c>
      <c r="AN12" s="7">
        <v>3276.0329999999999</v>
      </c>
      <c r="AO12" s="7">
        <v>34646.695</v>
      </c>
      <c r="AP12" s="7">
        <v>9680.1939999999995</v>
      </c>
      <c r="AQ12" s="7">
        <v>3897.857</v>
      </c>
      <c r="AR12" s="7">
        <v>22635.572</v>
      </c>
      <c r="AS12" s="7">
        <v>0</v>
      </c>
      <c r="AT12" s="7">
        <v>10188.751</v>
      </c>
      <c r="AU12" s="7">
        <v>347.75</v>
      </c>
      <c r="AV12" s="7">
        <v>199.66200000000001</v>
      </c>
      <c r="AW12" s="7">
        <v>0</v>
      </c>
      <c r="AX12" s="7">
        <v>15348.981</v>
      </c>
      <c r="AY12" s="7">
        <v>0</v>
      </c>
      <c r="AZ12" s="7">
        <v>75.834999999999994</v>
      </c>
      <c r="BA12" s="7">
        <v>0</v>
      </c>
      <c r="BB12" s="7">
        <v>711.92899999999997</v>
      </c>
      <c r="BC12" s="7">
        <v>0</v>
      </c>
      <c r="BD12" s="7">
        <v>0</v>
      </c>
      <c r="BE12" s="7">
        <v>19436.768</v>
      </c>
      <c r="BF12" s="21"/>
    </row>
    <row r="13" spans="1:58" ht="15.75" x14ac:dyDescent="0.25">
      <c r="A13" s="5" t="s">
        <v>3</v>
      </c>
      <c r="B13" s="5" t="s">
        <v>15</v>
      </c>
      <c r="C13" s="7">
        <v>1</v>
      </c>
      <c r="D13" s="7">
        <v>1</v>
      </c>
      <c r="E13" s="7">
        <v>20.54</v>
      </c>
      <c r="F13" s="7">
        <v>5.0739999999999998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5.7380000000000004</v>
      </c>
      <c r="M13" s="7">
        <v>0</v>
      </c>
      <c r="N13" s="7">
        <v>16.137</v>
      </c>
      <c r="O13" s="7">
        <v>163.50200000000001</v>
      </c>
      <c r="P13" s="7">
        <v>6.3979999999999997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11.202</v>
      </c>
      <c r="AJ13" s="7">
        <v>1.6679999999999999</v>
      </c>
      <c r="AK13" s="7">
        <v>0</v>
      </c>
      <c r="AL13" s="7">
        <v>104.986</v>
      </c>
      <c r="AM13" s="7">
        <v>1.1299999999999999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21"/>
    </row>
    <row r="14" spans="1:58" ht="15.75" x14ac:dyDescent="0.25">
      <c r="A14" s="5" t="s">
        <v>16</v>
      </c>
      <c r="B14" s="5" t="s">
        <v>17</v>
      </c>
      <c r="C14" s="7">
        <v>1</v>
      </c>
      <c r="D14" s="7">
        <v>1</v>
      </c>
      <c r="E14" s="7">
        <v>-237.01900000000001</v>
      </c>
      <c r="F14" s="7">
        <v>-61.127000000000002</v>
      </c>
      <c r="G14" s="7">
        <v>0</v>
      </c>
      <c r="H14" s="7">
        <v>0</v>
      </c>
      <c r="I14" s="7">
        <v>-3.544</v>
      </c>
      <c r="J14" s="7">
        <v>0</v>
      </c>
      <c r="K14" s="7">
        <v>-340.57</v>
      </c>
      <c r="L14" s="7">
        <v>-29.106999999999999</v>
      </c>
      <c r="M14" s="7">
        <v>0</v>
      </c>
      <c r="N14" s="7">
        <v>-34.357999999999997</v>
      </c>
      <c r="O14" s="7">
        <v>-791.601</v>
      </c>
      <c r="P14" s="7">
        <v>-47.006999999999998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-18.018999999999998</v>
      </c>
      <c r="W14" s="7">
        <v>0</v>
      </c>
      <c r="X14" s="7">
        <v>0</v>
      </c>
      <c r="Y14" s="7">
        <v>0</v>
      </c>
      <c r="Z14" s="7">
        <v>0</v>
      </c>
      <c r="AA14" s="7">
        <v>-6.1859999999999999</v>
      </c>
      <c r="AB14" s="7">
        <v>0</v>
      </c>
      <c r="AC14" s="7">
        <v>-132.304</v>
      </c>
      <c r="AD14" s="7">
        <v>0</v>
      </c>
      <c r="AE14" s="7">
        <v>0</v>
      </c>
      <c r="AF14" s="7">
        <v>-4.2999999999999997E-2</v>
      </c>
      <c r="AG14" s="7">
        <v>-9.6869999999999994</v>
      </c>
      <c r="AH14" s="7">
        <v>0</v>
      </c>
      <c r="AI14" s="7">
        <v>-343.34300000000002</v>
      </c>
      <c r="AJ14" s="7">
        <v>-162.578</v>
      </c>
      <c r="AK14" s="7">
        <v>0</v>
      </c>
      <c r="AL14" s="7">
        <v>-995.23900000000003</v>
      </c>
      <c r="AM14" s="7">
        <v>-314.54700000000003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-0.748</v>
      </c>
      <c r="AV14" s="7">
        <v>0</v>
      </c>
      <c r="AW14" s="7">
        <v>0</v>
      </c>
      <c r="AX14" s="7">
        <v>-44.363</v>
      </c>
      <c r="AY14" s="7">
        <v>0</v>
      </c>
      <c r="AZ14" s="7">
        <v>-0.182</v>
      </c>
      <c r="BA14" s="7">
        <v>0</v>
      </c>
      <c r="BB14" s="7">
        <v>-1.48</v>
      </c>
      <c r="BC14" s="7">
        <v>0</v>
      </c>
      <c r="BD14" s="7">
        <v>0</v>
      </c>
      <c r="BE14" s="7">
        <v>-32.723999999999997</v>
      </c>
      <c r="BF14" s="21"/>
    </row>
    <row r="15" spans="1:58" ht="15.75" x14ac:dyDescent="0.25">
      <c r="A15" s="5" t="s">
        <v>18</v>
      </c>
      <c r="B15" s="5" t="s">
        <v>19</v>
      </c>
      <c r="C15" s="7">
        <v>2</v>
      </c>
      <c r="D15" s="7">
        <v>2</v>
      </c>
      <c r="E15" s="7">
        <v>616491.69099999999</v>
      </c>
      <c r="F15" s="7">
        <v>58108.625</v>
      </c>
      <c r="G15" s="7">
        <v>164956.62400000001</v>
      </c>
      <c r="H15" s="7">
        <v>0</v>
      </c>
      <c r="I15" s="7">
        <v>22494.428</v>
      </c>
      <c r="J15" s="7">
        <v>113697.651</v>
      </c>
      <c r="K15" s="7">
        <v>288381.23200000002</v>
      </c>
      <c r="L15" s="7">
        <v>61732.074000000001</v>
      </c>
      <c r="M15" s="7">
        <v>0</v>
      </c>
      <c r="N15" s="7">
        <v>265810.34899999999</v>
      </c>
      <c r="O15" s="7">
        <v>190206.91099999999</v>
      </c>
      <c r="P15" s="7">
        <v>255775.158</v>
      </c>
      <c r="Q15" s="7">
        <v>0</v>
      </c>
      <c r="R15" s="7">
        <v>0</v>
      </c>
      <c r="S15" s="7">
        <v>17465.526000000002</v>
      </c>
      <c r="T15" s="7">
        <v>553.09500000000003</v>
      </c>
      <c r="U15" s="7">
        <v>1724.5419999999999</v>
      </c>
      <c r="V15" s="7">
        <v>19225.879000000001</v>
      </c>
      <c r="W15" s="7">
        <v>0</v>
      </c>
      <c r="X15" s="7">
        <v>1705.2650000000001</v>
      </c>
      <c r="Y15" s="7">
        <v>0</v>
      </c>
      <c r="Z15" s="7">
        <v>9746.3430000000008</v>
      </c>
      <c r="AA15" s="7">
        <v>19892.205999999998</v>
      </c>
      <c r="AB15" s="7">
        <v>0</v>
      </c>
      <c r="AC15" s="7">
        <v>99978.134999999995</v>
      </c>
      <c r="AD15" s="7">
        <v>0</v>
      </c>
      <c r="AE15" s="7">
        <v>110778.474</v>
      </c>
      <c r="AF15" s="7">
        <v>0</v>
      </c>
      <c r="AG15" s="7">
        <v>7049.45</v>
      </c>
      <c r="AH15" s="7">
        <v>2759.0309999999999</v>
      </c>
      <c r="AI15" s="7">
        <v>277589.97100000002</v>
      </c>
      <c r="AJ15" s="7">
        <v>0</v>
      </c>
      <c r="AK15" s="7">
        <v>7472.6490000000003</v>
      </c>
      <c r="AL15" s="7">
        <v>686413.98300000001</v>
      </c>
      <c r="AM15" s="7">
        <v>0</v>
      </c>
      <c r="AN15" s="7">
        <v>0</v>
      </c>
      <c r="AO15" s="7">
        <v>0</v>
      </c>
      <c r="AP15" s="7">
        <v>13526.307000000001</v>
      </c>
      <c r="AQ15" s="7">
        <v>13373.204</v>
      </c>
      <c r="AR15" s="7">
        <v>0</v>
      </c>
      <c r="AS15" s="7">
        <v>0</v>
      </c>
      <c r="AT15" s="7">
        <v>0</v>
      </c>
      <c r="AU15" s="7">
        <v>687.01400000000001</v>
      </c>
      <c r="AV15" s="7">
        <v>432.24799999999999</v>
      </c>
      <c r="AW15" s="7">
        <v>0</v>
      </c>
      <c r="AX15" s="7">
        <v>0</v>
      </c>
      <c r="AY15" s="7">
        <v>0</v>
      </c>
      <c r="AZ15" s="7">
        <v>474.72300000000001</v>
      </c>
      <c r="BA15" s="7">
        <v>0</v>
      </c>
      <c r="BB15" s="7">
        <v>13182.016</v>
      </c>
      <c r="BC15" s="7">
        <v>0</v>
      </c>
      <c r="BD15" s="7">
        <v>0</v>
      </c>
      <c r="BE15" s="7">
        <v>0</v>
      </c>
      <c r="BF15" s="21"/>
    </row>
    <row r="16" spans="1:58" ht="15.75" x14ac:dyDescent="0.25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21"/>
    </row>
    <row r="17" spans="1:58" ht="15.75" x14ac:dyDescent="0.25">
      <c r="A17" s="5" t="s">
        <v>22</v>
      </c>
      <c r="B17" s="5" t="s">
        <v>23</v>
      </c>
      <c r="C17" s="7">
        <v>2</v>
      </c>
      <c r="D17" s="7">
        <v>2</v>
      </c>
      <c r="E17" s="7">
        <v>551217.16299999994</v>
      </c>
      <c r="F17" s="7">
        <v>51956.048000000003</v>
      </c>
      <c r="G17" s="7">
        <v>148143.36900000001</v>
      </c>
      <c r="H17" s="7">
        <v>0</v>
      </c>
      <c r="I17" s="7">
        <v>20112.704000000002</v>
      </c>
      <c r="J17" s="7">
        <v>101810.84600000001</v>
      </c>
      <c r="K17" s="7">
        <v>257847.245</v>
      </c>
      <c r="L17" s="7">
        <v>62861.476000000002</v>
      </c>
      <c r="M17" s="7">
        <v>0</v>
      </c>
      <c r="N17" s="7">
        <v>237666.182</v>
      </c>
      <c r="O17" s="7">
        <v>170067.68400000001</v>
      </c>
      <c r="P17" s="7">
        <v>228693.52299999999</v>
      </c>
      <c r="Q17" s="7">
        <v>11947.424000000001</v>
      </c>
      <c r="R17" s="7">
        <v>0</v>
      </c>
      <c r="S17" s="7">
        <v>0</v>
      </c>
      <c r="T17" s="7">
        <v>932.21</v>
      </c>
      <c r="U17" s="7">
        <v>2906.6190000000001</v>
      </c>
      <c r="V17" s="7">
        <v>17190.23</v>
      </c>
      <c r="W17" s="7">
        <v>0</v>
      </c>
      <c r="X17" s="7">
        <v>2874.1289999999999</v>
      </c>
      <c r="Y17" s="7">
        <v>0</v>
      </c>
      <c r="Z17" s="7">
        <v>8714.3940000000002</v>
      </c>
      <c r="AA17" s="7">
        <v>22761.566999999999</v>
      </c>
      <c r="AB17" s="7">
        <v>0</v>
      </c>
      <c r="AC17" s="7">
        <v>89392.387000000002</v>
      </c>
      <c r="AD17" s="7">
        <v>0</v>
      </c>
      <c r="AE17" s="7">
        <v>99049.18</v>
      </c>
      <c r="AF17" s="7">
        <v>0</v>
      </c>
      <c r="AG17" s="7">
        <v>6303.049</v>
      </c>
      <c r="AH17" s="7">
        <v>2466.9029999999998</v>
      </c>
      <c r="AI17" s="7">
        <v>248198.57</v>
      </c>
      <c r="AJ17" s="7">
        <v>0</v>
      </c>
      <c r="AK17" s="7">
        <v>6681.44</v>
      </c>
      <c r="AL17" s="7">
        <v>613662.53799999994</v>
      </c>
      <c r="AM17" s="7">
        <v>0</v>
      </c>
      <c r="AN17" s="7">
        <v>0</v>
      </c>
      <c r="AO17" s="7">
        <v>0</v>
      </c>
      <c r="AP17" s="7">
        <v>22797.830999999998</v>
      </c>
      <c r="AQ17" s="7">
        <v>22539.785</v>
      </c>
      <c r="AR17" s="7">
        <v>0</v>
      </c>
      <c r="AS17" s="7">
        <v>0</v>
      </c>
      <c r="AT17" s="7">
        <v>0</v>
      </c>
      <c r="AU17" s="7">
        <v>614.27200000000005</v>
      </c>
      <c r="AV17" s="7">
        <v>728.529</v>
      </c>
      <c r="AW17" s="7">
        <v>0</v>
      </c>
      <c r="AX17" s="7">
        <v>0</v>
      </c>
      <c r="AY17" s="7">
        <v>0</v>
      </c>
      <c r="AZ17" s="7">
        <v>424.459</v>
      </c>
      <c r="BA17" s="7">
        <v>0</v>
      </c>
      <c r="BB17" s="7">
        <v>9667.9429999999993</v>
      </c>
      <c r="BC17" s="7">
        <v>0</v>
      </c>
      <c r="BD17" s="7">
        <v>0</v>
      </c>
      <c r="BE17" s="7">
        <v>0</v>
      </c>
      <c r="BF17" s="21"/>
    </row>
    <row r="18" spans="1:58" ht="15.75" x14ac:dyDescent="0.25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21813.907999999999</v>
      </c>
      <c r="N18" s="7">
        <v>0</v>
      </c>
      <c r="O18" s="7">
        <v>0</v>
      </c>
      <c r="P18" s="7">
        <v>0</v>
      </c>
      <c r="Q18" s="7">
        <v>279.05700000000002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16679.257000000001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2815.6779999999999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7.0030000000000001</v>
      </c>
      <c r="BC18" s="7">
        <v>0</v>
      </c>
      <c r="BD18" s="7">
        <v>0</v>
      </c>
      <c r="BE18" s="7">
        <v>0</v>
      </c>
      <c r="BF18" s="21"/>
    </row>
    <row r="19" spans="1:58" ht="15.75" x14ac:dyDescent="0.25">
      <c r="A19" s="5" t="s">
        <v>26</v>
      </c>
      <c r="B19" s="5" t="s">
        <v>27</v>
      </c>
      <c r="C19" s="7">
        <v>2</v>
      </c>
      <c r="D19" s="7">
        <v>2</v>
      </c>
      <c r="E19" s="7">
        <v>175940.24600000001</v>
      </c>
      <c r="F19" s="7">
        <v>27743.797999999999</v>
      </c>
      <c r="G19" s="7">
        <v>28791.8</v>
      </c>
      <c r="H19" s="7">
        <v>0</v>
      </c>
      <c r="I19" s="7">
        <v>4969.8320000000003</v>
      </c>
      <c r="J19" s="7">
        <v>19910.999</v>
      </c>
      <c r="K19" s="7">
        <v>147618.91099999999</v>
      </c>
      <c r="L19" s="7">
        <v>17338.429</v>
      </c>
      <c r="M19" s="7">
        <v>188114.09</v>
      </c>
      <c r="N19" s="7">
        <v>56474.241999999998</v>
      </c>
      <c r="O19" s="7">
        <v>260720.82500000001</v>
      </c>
      <c r="P19" s="7">
        <v>58270.904999999999</v>
      </c>
      <c r="Q19" s="7">
        <v>552.06799999999998</v>
      </c>
      <c r="R19" s="7">
        <v>0</v>
      </c>
      <c r="S19" s="7">
        <v>3.0110000000000001</v>
      </c>
      <c r="T19" s="7">
        <v>0</v>
      </c>
      <c r="U19" s="7">
        <v>0</v>
      </c>
      <c r="V19" s="7">
        <v>8551.0959999999995</v>
      </c>
      <c r="W19" s="7">
        <v>2803.9929999999999</v>
      </c>
      <c r="X19" s="7">
        <v>0</v>
      </c>
      <c r="Y19" s="7">
        <v>143834.99</v>
      </c>
      <c r="Z19" s="7">
        <v>1709.615</v>
      </c>
      <c r="AA19" s="7">
        <v>4155.5169999999998</v>
      </c>
      <c r="AB19" s="7">
        <v>0</v>
      </c>
      <c r="AC19" s="7">
        <v>55172.627999999997</v>
      </c>
      <c r="AD19" s="7">
        <v>0</v>
      </c>
      <c r="AE19" s="7">
        <v>19431.75</v>
      </c>
      <c r="AF19" s="7">
        <v>11.599</v>
      </c>
      <c r="AG19" s="7">
        <v>4010.6010000000001</v>
      </c>
      <c r="AH19" s="7">
        <v>483.964</v>
      </c>
      <c r="AI19" s="7">
        <v>146577.43700000001</v>
      </c>
      <c r="AJ19" s="7">
        <v>46355.493000000002</v>
      </c>
      <c r="AK19" s="7">
        <v>1310.7840000000001</v>
      </c>
      <c r="AL19" s="7">
        <v>405593.11200000002</v>
      </c>
      <c r="AM19" s="7">
        <v>89838.442999999999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24281.24</v>
      </c>
      <c r="AT19" s="7">
        <v>0</v>
      </c>
      <c r="AU19" s="7">
        <v>331.79399999999998</v>
      </c>
      <c r="AV19" s="7">
        <v>0</v>
      </c>
      <c r="AW19" s="7">
        <v>0</v>
      </c>
      <c r="AX19" s="7">
        <v>12602.017</v>
      </c>
      <c r="AY19" s="7">
        <v>0</v>
      </c>
      <c r="AZ19" s="7">
        <v>135.124</v>
      </c>
      <c r="BA19" s="7">
        <v>0</v>
      </c>
      <c r="BB19" s="7">
        <v>4315.4979999999996</v>
      </c>
      <c r="BC19" s="7">
        <v>0</v>
      </c>
      <c r="BD19" s="7">
        <v>0</v>
      </c>
      <c r="BE19" s="7">
        <v>8853.6209999999992</v>
      </c>
      <c r="BF19" s="21"/>
    </row>
    <row r="20" spans="1:58" ht="15.75" x14ac:dyDescent="0.25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21"/>
    </row>
    <row r="21" spans="1:58" ht="15.75" x14ac:dyDescent="0.25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908382.82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21"/>
    </row>
    <row r="22" spans="1:58" ht="15.75" x14ac:dyDescent="0.25">
      <c r="A22" s="5" t="s">
        <v>32</v>
      </c>
      <c r="B22" s="5" t="s">
        <v>33</v>
      </c>
      <c r="C22" s="7">
        <v>2</v>
      </c>
      <c r="D22" s="7">
        <v>2</v>
      </c>
      <c r="E22" s="7">
        <v>3233.1390000000001</v>
      </c>
      <c r="F22" s="7">
        <v>0</v>
      </c>
      <c r="G22" s="7">
        <v>1840.8140000000001</v>
      </c>
      <c r="H22" s="7">
        <v>0</v>
      </c>
      <c r="I22" s="7">
        <v>0</v>
      </c>
      <c r="J22" s="7">
        <v>1412.4059999999999</v>
      </c>
      <c r="K22" s="7">
        <v>0</v>
      </c>
      <c r="L22" s="7">
        <v>1195.117</v>
      </c>
      <c r="M22" s="7">
        <v>0</v>
      </c>
      <c r="N22" s="7">
        <v>4233.5720000000001</v>
      </c>
      <c r="O22" s="7">
        <v>4491.5860000000002</v>
      </c>
      <c r="P22" s="7">
        <v>1345.4680000000001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836.73400000000004</v>
      </c>
      <c r="AJ22" s="7">
        <v>0</v>
      </c>
      <c r="AK22" s="7">
        <v>0</v>
      </c>
      <c r="AL22" s="7">
        <v>4223.8310000000001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21"/>
    </row>
    <row r="23" spans="1:58" ht="15.75" x14ac:dyDescent="0.25">
      <c r="A23" s="5" t="s">
        <v>34</v>
      </c>
      <c r="B23" s="5" t="s">
        <v>35</v>
      </c>
      <c r="C23" s="7">
        <v>2</v>
      </c>
      <c r="D23" s="7">
        <v>2</v>
      </c>
      <c r="E23" s="7">
        <v>75991.293000000005</v>
      </c>
      <c r="F23" s="7">
        <v>10580.862999999999</v>
      </c>
      <c r="G23" s="7">
        <v>20862.54</v>
      </c>
      <c r="H23" s="7">
        <v>0</v>
      </c>
      <c r="I23" s="7">
        <v>3001.9949999999999</v>
      </c>
      <c r="J23" s="7">
        <v>13791.11</v>
      </c>
      <c r="K23" s="7">
        <v>53067.921999999999</v>
      </c>
      <c r="L23" s="7">
        <v>10209.058000000001</v>
      </c>
      <c r="M23" s="7">
        <v>0</v>
      </c>
      <c r="N23" s="7">
        <v>36207.472000000002</v>
      </c>
      <c r="O23" s="7">
        <v>46376.972999999998</v>
      </c>
      <c r="P23" s="7">
        <v>40922.987000000001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3410.79</v>
      </c>
      <c r="W23" s="7">
        <v>0</v>
      </c>
      <c r="X23" s="7">
        <v>0</v>
      </c>
      <c r="Y23" s="7">
        <v>0</v>
      </c>
      <c r="Z23" s="7">
        <v>1368.348</v>
      </c>
      <c r="AA23" s="7">
        <v>2682.5349999999999</v>
      </c>
      <c r="AB23" s="7">
        <v>0</v>
      </c>
      <c r="AC23" s="7">
        <v>13420.944</v>
      </c>
      <c r="AD23" s="7">
        <v>0</v>
      </c>
      <c r="AE23" s="7">
        <v>14392.736999999999</v>
      </c>
      <c r="AF23" s="7">
        <v>0</v>
      </c>
      <c r="AG23" s="7">
        <v>1483.864</v>
      </c>
      <c r="AH23" s="7">
        <v>206.404</v>
      </c>
      <c r="AI23" s="7">
        <v>39621.493999999999</v>
      </c>
      <c r="AJ23" s="7">
        <v>0</v>
      </c>
      <c r="AK23" s="7">
        <v>559.03099999999995</v>
      </c>
      <c r="AL23" s="7">
        <v>117455.137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114.202</v>
      </c>
      <c r="AV23" s="7">
        <v>0</v>
      </c>
      <c r="AW23" s="7">
        <v>417.55700000000002</v>
      </c>
      <c r="AX23" s="7">
        <v>0</v>
      </c>
      <c r="AY23" s="7">
        <v>377.96300000000002</v>
      </c>
      <c r="AZ23" s="7">
        <v>38.630000000000003</v>
      </c>
      <c r="BA23" s="7">
        <v>0</v>
      </c>
      <c r="BB23" s="7">
        <v>1972.557</v>
      </c>
      <c r="BC23" s="7">
        <v>314.99900000000002</v>
      </c>
      <c r="BD23" s="7">
        <v>465.173</v>
      </c>
      <c r="BE23" s="7">
        <v>34733.252999999997</v>
      </c>
      <c r="BF23" s="21"/>
    </row>
    <row r="24" spans="1:58" ht="15.75" x14ac:dyDescent="0.25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21"/>
    </row>
    <row r="25" spans="1:58" ht="15.75" x14ac:dyDescent="0.25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21"/>
    </row>
    <row r="26" spans="1:58" ht="15.75" x14ac:dyDescent="0.25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21"/>
    </row>
    <row r="27" spans="1:58" ht="15.75" x14ac:dyDescent="0.25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21"/>
    </row>
    <row r="28" spans="1:58" ht="15.75" x14ac:dyDescent="0.25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21"/>
    </row>
    <row r="29" spans="1:58" ht="15.75" x14ac:dyDescent="0.25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21"/>
    </row>
    <row r="30" spans="1:58" ht="15.75" x14ac:dyDescent="0.25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21"/>
    </row>
    <row r="31" spans="1:58" ht="15.75" x14ac:dyDescent="0.25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21"/>
    </row>
    <row r="32" spans="1:58" ht="15.75" x14ac:dyDescent="0.25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21"/>
    </row>
    <row r="33" spans="1:58" ht="15.75" x14ac:dyDescent="0.25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21"/>
    </row>
    <row r="34" spans="1:58" ht="15.75" x14ac:dyDescent="0.25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21"/>
    </row>
    <row r="35" spans="1:58" ht="15.75" x14ac:dyDescent="0.25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21"/>
    </row>
    <row r="36" spans="1:58" ht="15.75" x14ac:dyDescent="0.25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21"/>
    </row>
    <row r="37" spans="1:58" ht="15.75" x14ac:dyDescent="0.25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21"/>
    </row>
    <row r="38" spans="1:58" ht="15.75" x14ac:dyDescent="0.25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21"/>
    </row>
    <row r="39" spans="1:58" ht="15.75" x14ac:dyDescent="0.25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21"/>
    </row>
    <row r="40" spans="1:58" ht="15.75" x14ac:dyDescent="0.25">
      <c r="A40" s="5" t="s">
        <v>68</v>
      </c>
      <c r="B40" s="5" t="s">
        <v>69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21"/>
    </row>
    <row r="41" spans="1:58" ht="15.75" x14ac:dyDescent="0.25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21"/>
    </row>
    <row r="42" spans="1:58" ht="15.75" x14ac:dyDescent="0.25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21"/>
    </row>
    <row r="43" spans="1:58" ht="15.75" x14ac:dyDescent="0.25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21"/>
    </row>
    <row r="44" spans="1:58" ht="15.75" x14ac:dyDescent="0.25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21"/>
    </row>
    <row r="45" spans="1:58" ht="15.75" x14ac:dyDescent="0.25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21"/>
    </row>
    <row r="46" spans="1:58" ht="15.75" x14ac:dyDescent="0.25">
      <c r="A46" s="5" t="s">
        <v>80</v>
      </c>
      <c r="B46" s="5" t="s">
        <v>81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21"/>
    </row>
    <row r="47" spans="1:58" ht="15.75" x14ac:dyDescent="0.25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21"/>
    </row>
    <row r="48" spans="1:58" ht="15.75" x14ac:dyDescent="0.25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21"/>
    </row>
    <row r="49" spans="1:58" ht="15.75" x14ac:dyDescent="0.25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21"/>
    </row>
    <row r="50" spans="1:58" ht="15.75" x14ac:dyDescent="0.25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21"/>
    </row>
    <row r="51" spans="1:58" ht="15.75" x14ac:dyDescent="0.25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21"/>
    </row>
    <row r="52" spans="1:58" ht="15.75" x14ac:dyDescent="0.25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21"/>
    </row>
    <row r="53" spans="1:58" ht="15.75" x14ac:dyDescent="0.25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21"/>
    </row>
    <row r="54" spans="1:58" ht="15.75" x14ac:dyDescent="0.25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21"/>
    </row>
    <row r="55" spans="1:58" ht="15.75" x14ac:dyDescent="0.25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21"/>
    </row>
    <row r="56" spans="1:58" ht="15.75" x14ac:dyDescent="0.25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21"/>
    </row>
    <row r="57" spans="1:58" ht="15.75" x14ac:dyDescent="0.25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21"/>
    </row>
    <row r="58" spans="1:58" ht="15.75" x14ac:dyDescent="0.25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21"/>
    </row>
    <row r="59" spans="1:58" ht="15.75" x14ac:dyDescent="0.25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21"/>
    </row>
    <row r="60" spans="1:58" ht="15.75" x14ac:dyDescent="0.25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21"/>
    </row>
    <row r="61" spans="1:58" ht="15.75" x14ac:dyDescent="0.25">
      <c r="A61" s="5" t="s">
        <v>110</v>
      </c>
      <c r="B61" s="5" t="s">
        <v>111</v>
      </c>
      <c r="C61" s="7">
        <v>3</v>
      </c>
      <c r="D61" s="7">
        <v>3</v>
      </c>
      <c r="E61" s="7">
        <v>590717.56000000006</v>
      </c>
      <c r="F61" s="7">
        <v>79478.036999999997</v>
      </c>
      <c r="G61" s="7">
        <v>237230.141</v>
      </c>
      <c r="H61" s="7">
        <v>2411.0500000000002</v>
      </c>
      <c r="I61" s="7">
        <v>17027.596000000001</v>
      </c>
      <c r="J61" s="7">
        <v>156608.86600000001</v>
      </c>
      <c r="K61" s="7">
        <v>109928.402</v>
      </c>
      <c r="L61" s="7">
        <v>169616.77</v>
      </c>
      <c r="M61" s="7">
        <v>0</v>
      </c>
      <c r="N61" s="7">
        <v>381988.06199999998</v>
      </c>
      <c r="O61" s="7">
        <v>319200.44500000001</v>
      </c>
      <c r="P61" s="7">
        <v>373100.17</v>
      </c>
      <c r="Q61" s="7">
        <v>0</v>
      </c>
      <c r="R61" s="7">
        <v>0</v>
      </c>
      <c r="S61" s="7">
        <v>111.887</v>
      </c>
      <c r="T61" s="7">
        <v>1199.489</v>
      </c>
      <c r="U61" s="7">
        <v>5025.24</v>
      </c>
      <c r="V61" s="7">
        <v>30960.687999999998</v>
      </c>
      <c r="W61" s="7">
        <v>0</v>
      </c>
      <c r="X61" s="7">
        <v>8505.7919999999995</v>
      </c>
      <c r="Y61" s="7">
        <v>0</v>
      </c>
      <c r="Z61" s="7">
        <v>15604.77</v>
      </c>
      <c r="AA61" s="7">
        <v>46970.445</v>
      </c>
      <c r="AB61" s="7">
        <v>0</v>
      </c>
      <c r="AC61" s="7">
        <v>102593.307</v>
      </c>
      <c r="AD61" s="7">
        <v>0</v>
      </c>
      <c r="AE61" s="7">
        <v>163497.11499999999</v>
      </c>
      <c r="AF61" s="7">
        <v>0</v>
      </c>
      <c r="AG61" s="7">
        <v>12912.579</v>
      </c>
      <c r="AH61" s="7">
        <v>904.13300000000004</v>
      </c>
      <c r="AI61" s="7">
        <v>210820.62599999999</v>
      </c>
      <c r="AJ61" s="7">
        <v>0</v>
      </c>
      <c r="AK61" s="7">
        <v>434.43700000000001</v>
      </c>
      <c r="AL61" s="7">
        <v>775495.20700000005</v>
      </c>
      <c r="AM61" s="7">
        <v>0</v>
      </c>
      <c r="AN61" s="7">
        <v>0</v>
      </c>
      <c r="AO61" s="7">
        <v>0</v>
      </c>
      <c r="AP61" s="7">
        <v>31135.688999999998</v>
      </c>
      <c r="AQ61" s="7">
        <v>22868.383000000002</v>
      </c>
      <c r="AR61" s="7">
        <v>0</v>
      </c>
      <c r="AS61" s="7">
        <v>0</v>
      </c>
      <c r="AT61" s="7">
        <v>0</v>
      </c>
      <c r="AU61" s="7">
        <v>807.85799999999995</v>
      </c>
      <c r="AV61" s="7">
        <v>585.58000000000004</v>
      </c>
      <c r="AW61" s="7">
        <v>0</v>
      </c>
      <c r="AX61" s="7">
        <v>0</v>
      </c>
      <c r="AY61" s="7">
        <v>0</v>
      </c>
      <c r="AZ61" s="7">
        <v>209.06800000000001</v>
      </c>
      <c r="BA61" s="7">
        <v>0</v>
      </c>
      <c r="BB61" s="7">
        <v>10217.341</v>
      </c>
      <c r="BC61" s="7">
        <v>0</v>
      </c>
      <c r="BD61" s="7">
        <v>0</v>
      </c>
      <c r="BE61" s="7">
        <v>0</v>
      </c>
      <c r="BF61" s="21"/>
    </row>
    <row r="62" spans="1:58" ht="15.75" x14ac:dyDescent="0.25">
      <c r="A62" s="5" t="s">
        <v>112</v>
      </c>
      <c r="B62" s="5" t="s">
        <v>113</v>
      </c>
      <c r="C62" s="7">
        <v>3</v>
      </c>
      <c r="D62" s="7">
        <v>3</v>
      </c>
      <c r="E62" s="7">
        <v>5286.5259999999998</v>
      </c>
      <c r="F62" s="7">
        <v>868.73199999999997</v>
      </c>
      <c r="G62" s="7">
        <v>1952.453</v>
      </c>
      <c r="H62" s="7">
        <v>0</v>
      </c>
      <c r="I62" s="7">
        <v>155.25800000000001</v>
      </c>
      <c r="J62" s="7">
        <v>1242.4770000000001</v>
      </c>
      <c r="K62" s="7">
        <v>1585.6289999999999</v>
      </c>
      <c r="L62" s="7">
        <v>1533.97</v>
      </c>
      <c r="M62" s="7">
        <v>0</v>
      </c>
      <c r="N62" s="7">
        <v>3515.8159999999998</v>
      </c>
      <c r="O62" s="7">
        <v>3793.5010000000002</v>
      </c>
      <c r="P62" s="7">
        <v>3430.0940000000001</v>
      </c>
      <c r="Q62" s="7">
        <v>0</v>
      </c>
      <c r="R62" s="7">
        <v>0</v>
      </c>
      <c r="S62" s="7">
        <v>0.41499999999999998</v>
      </c>
      <c r="T62" s="7">
        <v>124.93600000000001</v>
      </c>
      <c r="U62" s="7">
        <v>523.41800000000001</v>
      </c>
      <c r="V62" s="7">
        <v>368.54899999999998</v>
      </c>
      <c r="W62" s="7">
        <v>0</v>
      </c>
      <c r="X62" s="7">
        <v>885.94500000000005</v>
      </c>
      <c r="Y62" s="7">
        <v>0</v>
      </c>
      <c r="Z62" s="7">
        <v>151.54</v>
      </c>
      <c r="AA62" s="7">
        <v>382.96499999999997</v>
      </c>
      <c r="AB62" s="7">
        <v>0</v>
      </c>
      <c r="AC62" s="7">
        <v>1105.98</v>
      </c>
      <c r="AD62" s="7">
        <v>0</v>
      </c>
      <c r="AE62" s="7">
        <v>1185.7660000000001</v>
      </c>
      <c r="AF62" s="7">
        <v>0</v>
      </c>
      <c r="AG62" s="7">
        <v>147.35599999999999</v>
      </c>
      <c r="AH62" s="7">
        <v>0</v>
      </c>
      <c r="AI62" s="7">
        <v>2027.3620000000001</v>
      </c>
      <c r="AJ62" s="7">
        <v>0</v>
      </c>
      <c r="AK62" s="7">
        <v>0</v>
      </c>
      <c r="AL62" s="7">
        <v>6855.8310000000001</v>
      </c>
      <c r="AM62" s="7">
        <v>0</v>
      </c>
      <c r="AN62" s="7">
        <v>0</v>
      </c>
      <c r="AO62" s="7">
        <v>0</v>
      </c>
      <c r="AP62" s="7">
        <v>3243.0259999999998</v>
      </c>
      <c r="AQ62" s="7">
        <v>2381.9209999999998</v>
      </c>
      <c r="AR62" s="7">
        <v>0</v>
      </c>
      <c r="AS62" s="7">
        <v>0</v>
      </c>
      <c r="AT62" s="7">
        <v>0</v>
      </c>
      <c r="AU62" s="7">
        <v>6.5030000000000001</v>
      </c>
      <c r="AV62" s="7">
        <v>60.993000000000002</v>
      </c>
      <c r="AW62" s="7">
        <v>0</v>
      </c>
      <c r="AX62" s="7">
        <v>0</v>
      </c>
      <c r="AY62" s="7">
        <v>0</v>
      </c>
      <c r="AZ62" s="7">
        <v>3.3069999999999999</v>
      </c>
      <c r="BA62" s="7">
        <v>0</v>
      </c>
      <c r="BB62" s="7">
        <v>104.892</v>
      </c>
      <c r="BC62" s="7">
        <v>0</v>
      </c>
      <c r="BD62" s="7">
        <v>0</v>
      </c>
      <c r="BE62" s="7">
        <v>0</v>
      </c>
      <c r="BF62" s="21"/>
    </row>
    <row r="63" spans="1:58" ht="15.75" x14ac:dyDescent="0.25">
      <c r="A63" s="5" t="s">
        <v>114</v>
      </c>
      <c r="B63" s="5" t="s">
        <v>115</v>
      </c>
      <c r="C63" s="7">
        <v>3</v>
      </c>
      <c r="D63" s="7">
        <v>3</v>
      </c>
      <c r="E63" s="7">
        <v>128222.43</v>
      </c>
      <c r="F63" s="7">
        <v>18099.788</v>
      </c>
      <c r="G63" s="7">
        <v>50574.790999999997</v>
      </c>
      <c r="H63" s="7">
        <v>863.9</v>
      </c>
      <c r="I63" s="7">
        <v>3711.5210000000002</v>
      </c>
      <c r="J63" s="7">
        <v>33137.072999999997</v>
      </c>
      <c r="K63" s="7">
        <v>27103.012999999999</v>
      </c>
      <c r="L63" s="7">
        <v>36903.633999999998</v>
      </c>
      <c r="M63" s="7">
        <v>34327.502999999997</v>
      </c>
      <c r="N63" s="7">
        <v>83439.130999999994</v>
      </c>
      <c r="O63" s="7">
        <v>74332.619000000006</v>
      </c>
      <c r="P63" s="7">
        <v>81476.608999999997</v>
      </c>
      <c r="Q63" s="7">
        <v>942.226</v>
      </c>
      <c r="R63" s="7">
        <v>0</v>
      </c>
      <c r="S63" s="7">
        <v>21.132000000000001</v>
      </c>
      <c r="T63" s="7">
        <v>514.10900000000004</v>
      </c>
      <c r="U63" s="7">
        <v>2153.85</v>
      </c>
      <c r="V63" s="7">
        <v>7213.0870000000004</v>
      </c>
      <c r="W63" s="7">
        <v>0</v>
      </c>
      <c r="X63" s="7">
        <v>3645.636</v>
      </c>
      <c r="Y63" s="7">
        <v>26247.348000000002</v>
      </c>
      <c r="Z63" s="7">
        <v>3451.2379999999998</v>
      </c>
      <c r="AA63" s="7">
        <v>9994.1170000000002</v>
      </c>
      <c r="AB63" s="7">
        <v>0</v>
      </c>
      <c r="AC63" s="7">
        <v>23280.885999999999</v>
      </c>
      <c r="AD63" s="7">
        <v>0</v>
      </c>
      <c r="AE63" s="7">
        <v>33994.747000000003</v>
      </c>
      <c r="AF63" s="7">
        <v>0</v>
      </c>
      <c r="AG63" s="7">
        <v>2974.1</v>
      </c>
      <c r="AH63" s="7">
        <v>0</v>
      </c>
      <c r="AI63" s="7">
        <v>46518.811000000002</v>
      </c>
      <c r="AJ63" s="7">
        <v>0</v>
      </c>
      <c r="AK63" s="7">
        <v>209.48</v>
      </c>
      <c r="AL63" s="7">
        <v>167876.429</v>
      </c>
      <c r="AM63" s="7">
        <v>0</v>
      </c>
      <c r="AN63" s="7">
        <v>0</v>
      </c>
      <c r="AO63" s="7">
        <v>0</v>
      </c>
      <c r="AP63" s="7">
        <v>13344.953</v>
      </c>
      <c r="AQ63" s="7">
        <v>9801.5329999999994</v>
      </c>
      <c r="AR63" s="7">
        <v>0</v>
      </c>
      <c r="AS63" s="7">
        <v>4430.8980000000001</v>
      </c>
      <c r="AT63" s="7">
        <v>0</v>
      </c>
      <c r="AU63" s="7">
        <v>171.44300000000001</v>
      </c>
      <c r="AV63" s="7">
        <v>250.983</v>
      </c>
      <c r="AW63" s="7">
        <v>0</v>
      </c>
      <c r="AX63" s="7">
        <v>0</v>
      </c>
      <c r="AY63" s="7">
        <v>0</v>
      </c>
      <c r="AZ63" s="7">
        <v>53.118000000000002</v>
      </c>
      <c r="BA63" s="7">
        <v>0</v>
      </c>
      <c r="BB63" s="7">
        <v>2481.1</v>
      </c>
      <c r="BC63" s="7">
        <v>0</v>
      </c>
      <c r="BD63" s="7">
        <v>0</v>
      </c>
      <c r="BE63" s="7">
        <v>0</v>
      </c>
      <c r="BF63" s="21"/>
    </row>
    <row r="64" spans="1:58" ht="15.75" x14ac:dyDescent="0.25">
      <c r="A64" s="5" t="s">
        <v>116</v>
      </c>
      <c r="B64" s="5" t="s">
        <v>117</v>
      </c>
      <c r="C64" s="7">
        <v>3</v>
      </c>
      <c r="D64" s="7">
        <v>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21"/>
    </row>
    <row r="65" spans="1:58" ht="15.75" x14ac:dyDescent="0.25">
      <c r="A65" s="5" t="s">
        <v>118</v>
      </c>
      <c r="B65" s="5" t="s">
        <v>119</v>
      </c>
      <c r="C65" s="7">
        <v>3</v>
      </c>
      <c r="D65" s="7">
        <v>3</v>
      </c>
      <c r="E65" s="7">
        <v>138652.82</v>
      </c>
      <c r="F65" s="7">
        <v>23478.042000000001</v>
      </c>
      <c r="G65" s="7">
        <v>50509.85</v>
      </c>
      <c r="H65" s="7">
        <v>24906.55</v>
      </c>
      <c r="I65" s="7">
        <v>4035.3739999999998</v>
      </c>
      <c r="J65" s="7">
        <v>32069.132000000001</v>
      </c>
      <c r="K65" s="7">
        <v>43740.027000000002</v>
      </c>
      <c r="L65" s="7">
        <v>40395.355000000003</v>
      </c>
      <c r="M65" s="7">
        <v>0</v>
      </c>
      <c r="N65" s="7">
        <v>91522.986000000004</v>
      </c>
      <c r="O65" s="7">
        <v>106512.144</v>
      </c>
      <c r="P65" s="7">
        <v>89874.497000000003</v>
      </c>
      <c r="Q65" s="7">
        <v>0</v>
      </c>
      <c r="R65" s="7">
        <v>0</v>
      </c>
      <c r="S65" s="7">
        <v>8.1739999999999995</v>
      </c>
      <c r="T65" s="7">
        <v>428.77</v>
      </c>
      <c r="U65" s="7">
        <v>1796.326</v>
      </c>
      <c r="V65" s="7">
        <v>9952.7810000000009</v>
      </c>
      <c r="W65" s="7">
        <v>0</v>
      </c>
      <c r="X65" s="7">
        <v>3040.4870000000001</v>
      </c>
      <c r="Y65" s="7">
        <v>0</v>
      </c>
      <c r="Z65" s="7">
        <v>3978.8389999999999</v>
      </c>
      <c r="AA65" s="7">
        <v>9757.41</v>
      </c>
      <c r="AB65" s="7">
        <v>0</v>
      </c>
      <c r="AC65" s="7">
        <v>29647.120999999999</v>
      </c>
      <c r="AD65" s="7">
        <v>0</v>
      </c>
      <c r="AE65" s="7">
        <v>29603.49</v>
      </c>
      <c r="AF65" s="7">
        <v>0</v>
      </c>
      <c r="AG65" s="7">
        <v>3958.3029999999999</v>
      </c>
      <c r="AH65" s="7">
        <v>0</v>
      </c>
      <c r="AI65" s="7">
        <v>54148.607000000004</v>
      </c>
      <c r="AJ65" s="7">
        <v>0</v>
      </c>
      <c r="AK65" s="7">
        <v>0</v>
      </c>
      <c r="AL65" s="7">
        <v>180703.88800000001</v>
      </c>
      <c r="AM65" s="7">
        <v>0</v>
      </c>
      <c r="AN65" s="7">
        <v>0</v>
      </c>
      <c r="AO65" s="7">
        <v>0</v>
      </c>
      <c r="AP65" s="7">
        <v>11129.789000000001</v>
      </c>
      <c r="AQ65" s="7">
        <v>8174.5510000000004</v>
      </c>
      <c r="AR65" s="7">
        <v>0</v>
      </c>
      <c r="AS65" s="7">
        <v>0</v>
      </c>
      <c r="AT65" s="7">
        <v>0</v>
      </c>
      <c r="AU65" s="7">
        <v>165.29599999999999</v>
      </c>
      <c r="AV65" s="7">
        <v>209.322</v>
      </c>
      <c r="AW65" s="7">
        <v>0</v>
      </c>
      <c r="AX65" s="7">
        <v>0</v>
      </c>
      <c r="AY65" s="7">
        <v>0</v>
      </c>
      <c r="AZ65" s="7">
        <v>92.036000000000001</v>
      </c>
      <c r="BA65" s="7">
        <v>0</v>
      </c>
      <c r="BB65" s="7">
        <v>2981.4839999999999</v>
      </c>
      <c r="BC65" s="7">
        <v>0</v>
      </c>
      <c r="BD65" s="7">
        <v>0</v>
      </c>
      <c r="BE65" s="7">
        <v>0</v>
      </c>
      <c r="BF65" s="21"/>
    </row>
    <row r="66" spans="1:58" ht="15.75" x14ac:dyDescent="0.25">
      <c r="A66" s="5" t="s">
        <v>120</v>
      </c>
      <c r="B66" s="5" t="s">
        <v>121</v>
      </c>
      <c r="C66" s="7">
        <v>3</v>
      </c>
      <c r="D66" s="7">
        <v>3</v>
      </c>
      <c r="E66" s="7">
        <v>27094.221000000001</v>
      </c>
      <c r="F66" s="7">
        <v>4589.8829999999998</v>
      </c>
      <c r="G66" s="7">
        <v>9857.6319999999996</v>
      </c>
      <c r="H66" s="7">
        <v>537.34400000000005</v>
      </c>
      <c r="I66" s="7">
        <v>798.23099999999999</v>
      </c>
      <c r="J66" s="7">
        <v>6228.97</v>
      </c>
      <c r="K66" s="7">
        <v>8652.1489999999994</v>
      </c>
      <c r="L66" s="7">
        <v>7875.8050000000003</v>
      </c>
      <c r="M66" s="7">
        <v>0</v>
      </c>
      <c r="N66" s="7">
        <v>18104.024000000001</v>
      </c>
      <c r="O66" s="7">
        <v>20260.383000000002</v>
      </c>
      <c r="P66" s="7">
        <v>17659.288</v>
      </c>
      <c r="Q66" s="7">
        <v>0</v>
      </c>
      <c r="R66" s="7">
        <v>0</v>
      </c>
      <c r="S66" s="7">
        <v>1.617</v>
      </c>
      <c r="T66" s="7">
        <v>90.856999999999999</v>
      </c>
      <c r="U66" s="7">
        <v>380.64400000000001</v>
      </c>
      <c r="V66" s="7">
        <v>1968.7449999999999</v>
      </c>
      <c r="W66" s="7">
        <v>0</v>
      </c>
      <c r="X66" s="7">
        <v>644.28300000000002</v>
      </c>
      <c r="Y66" s="7">
        <v>0</v>
      </c>
      <c r="Z66" s="7">
        <v>787.048</v>
      </c>
      <c r="AA66" s="7">
        <v>1930.0989999999999</v>
      </c>
      <c r="AB66" s="7">
        <v>0</v>
      </c>
      <c r="AC66" s="7">
        <v>5832.3450000000003</v>
      </c>
      <c r="AD66" s="7">
        <v>0</v>
      </c>
      <c r="AE66" s="7">
        <v>5834.96</v>
      </c>
      <c r="AF66" s="7">
        <v>0</v>
      </c>
      <c r="AG66" s="7">
        <v>782.98599999999999</v>
      </c>
      <c r="AH66" s="7">
        <v>0</v>
      </c>
      <c r="AI66" s="7">
        <v>10513.357</v>
      </c>
      <c r="AJ66" s="7">
        <v>0</v>
      </c>
      <c r="AK66" s="7">
        <v>0</v>
      </c>
      <c r="AL66" s="7">
        <v>35063.497000000003</v>
      </c>
      <c r="AM66" s="7">
        <v>0</v>
      </c>
      <c r="AN66" s="7">
        <v>0</v>
      </c>
      <c r="AO66" s="7">
        <v>0</v>
      </c>
      <c r="AP66" s="7">
        <v>2358.4169999999999</v>
      </c>
      <c r="AQ66" s="7">
        <v>1732.1980000000001</v>
      </c>
      <c r="AR66" s="7">
        <v>0</v>
      </c>
      <c r="AS66" s="7">
        <v>0</v>
      </c>
      <c r="AT66" s="7">
        <v>0</v>
      </c>
      <c r="AU66" s="7">
        <v>32.697000000000003</v>
      </c>
      <c r="AV66" s="7">
        <v>44.356000000000002</v>
      </c>
      <c r="AW66" s="7">
        <v>0</v>
      </c>
      <c r="AX66" s="7">
        <v>0</v>
      </c>
      <c r="AY66" s="7">
        <v>0</v>
      </c>
      <c r="AZ66" s="7">
        <v>18.206</v>
      </c>
      <c r="BA66" s="7">
        <v>0</v>
      </c>
      <c r="BB66" s="7">
        <v>580.69500000000005</v>
      </c>
      <c r="BC66" s="7">
        <v>0</v>
      </c>
      <c r="BD66" s="7">
        <v>0</v>
      </c>
      <c r="BE66" s="7">
        <v>0</v>
      </c>
      <c r="BF66" s="21"/>
    </row>
    <row r="67" spans="1:58" ht="15.75" x14ac:dyDescent="0.25">
      <c r="A67" s="5" t="s">
        <v>122</v>
      </c>
      <c r="B67" s="5" t="s">
        <v>123</v>
      </c>
      <c r="C67" s="7">
        <v>3</v>
      </c>
      <c r="D67" s="7">
        <v>3</v>
      </c>
      <c r="E67" s="7">
        <v>126558.52</v>
      </c>
      <c r="F67" s="7">
        <v>21439.582999999999</v>
      </c>
      <c r="G67" s="7">
        <v>46045.512000000002</v>
      </c>
      <c r="H67" s="7">
        <v>7925.5</v>
      </c>
      <c r="I67" s="7">
        <v>3728.5790000000002</v>
      </c>
      <c r="J67" s="7">
        <v>29095.843000000001</v>
      </c>
      <c r="K67" s="7">
        <v>40414.637999999999</v>
      </c>
      <c r="L67" s="7">
        <v>36788.294000000002</v>
      </c>
      <c r="M67" s="7">
        <v>10846.985000000001</v>
      </c>
      <c r="N67" s="7">
        <v>84564.84</v>
      </c>
      <c r="O67" s="7">
        <v>94637.304000000004</v>
      </c>
      <c r="P67" s="7">
        <v>82487.453999999998</v>
      </c>
      <c r="Q67" s="7">
        <v>0</v>
      </c>
      <c r="R67" s="7">
        <v>0</v>
      </c>
      <c r="S67" s="7">
        <v>7.5519999999999996</v>
      </c>
      <c r="T67" s="7">
        <v>617.12400000000002</v>
      </c>
      <c r="U67" s="7">
        <v>2585.4299999999998</v>
      </c>
      <c r="V67" s="7">
        <v>9196.1090000000004</v>
      </c>
      <c r="W67" s="7">
        <v>0</v>
      </c>
      <c r="X67" s="7">
        <v>4376.1350000000002</v>
      </c>
      <c r="Y67" s="7">
        <v>8293.7749999999996</v>
      </c>
      <c r="Z67" s="7">
        <v>3676.3429999999998</v>
      </c>
      <c r="AA67" s="7">
        <v>9015.5910000000003</v>
      </c>
      <c r="AB67" s="7">
        <v>0</v>
      </c>
      <c r="AC67" s="7">
        <v>27243.186000000002</v>
      </c>
      <c r="AD67" s="7">
        <v>0</v>
      </c>
      <c r="AE67" s="7">
        <v>27255.402999999998</v>
      </c>
      <c r="AF67" s="7">
        <v>0</v>
      </c>
      <c r="AG67" s="7">
        <v>3657.3679999999999</v>
      </c>
      <c r="AH67" s="7">
        <v>99.36</v>
      </c>
      <c r="AI67" s="7">
        <v>49108.436999999998</v>
      </c>
      <c r="AJ67" s="7">
        <v>0</v>
      </c>
      <c r="AK67" s="7">
        <v>0</v>
      </c>
      <c r="AL67" s="7">
        <v>163783.42300000001</v>
      </c>
      <c r="AM67" s="7">
        <v>0</v>
      </c>
      <c r="AN67" s="7">
        <v>0</v>
      </c>
      <c r="AO67" s="7">
        <v>0</v>
      </c>
      <c r="AP67" s="7">
        <v>16018.966</v>
      </c>
      <c r="AQ67" s="7">
        <v>11765.529</v>
      </c>
      <c r="AR67" s="7">
        <v>0</v>
      </c>
      <c r="AS67" s="7">
        <v>1400.098</v>
      </c>
      <c r="AT67" s="7">
        <v>0</v>
      </c>
      <c r="AU67" s="7">
        <v>152.72999999999999</v>
      </c>
      <c r="AV67" s="7">
        <v>301.274</v>
      </c>
      <c r="AW67" s="7">
        <v>0</v>
      </c>
      <c r="AX67" s="7">
        <v>0</v>
      </c>
      <c r="AY67" s="7">
        <v>0</v>
      </c>
      <c r="AZ67" s="7">
        <v>85.039000000000001</v>
      </c>
      <c r="BA67" s="7">
        <v>0</v>
      </c>
      <c r="BB67" s="7">
        <v>2708.97</v>
      </c>
      <c r="BC67" s="7">
        <v>0</v>
      </c>
      <c r="BD67" s="7">
        <v>0</v>
      </c>
      <c r="BE67" s="7">
        <v>0</v>
      </c>
      <c r="BF67" s="21"/>
    </row>
    <row r="68" spans="1:58" ht="15.75" x14ac:dyDescent="0.25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21"/>
    </row>
    <row r="69" spans="1:58" ht="15.75" x14ac:dyDescent="0.25">
      <c r="A69" s="5" t="s">
        <v>126</v>
      </c>
      <c r="B69" s="5" t="s">
        <v>127</v>
      </c>
      <c r="C69" s="7">
        <v>3</v>
      </c>
      <c r="D69" s="7">
        <v>3</v>
      </c>
      <c r="E69" s="7">
        <v>37436.614999999998</v>
      </c>
      <c r="F69" s="7">
        <v>6341.9309999999996</v>
      </c>
      <c r="G69" s="7">
        <v>13620.483</v>
      </c>
      <c r="H69" s="7">
        <v>9640.76</v>
      </c>
      <c r="I69" s="7">
        <v>1102.932</v>
      </c>
      <c r="J69" s="7">
        <v>8606.69</v>
      </c>
      <c r="K69" s="7">
        <v>11954.843000000001</v>
      </c>
      <c r="L69" s="7">
        <v>10882.153</v>
      </c>
      <c r="M69" s="7">
        <v>0</v>
      </c>
      <c r="N69" s="7">
        <v>25014.684000000001</v>
      </c>
      <c r="O69" s="7">
        <v>27994.167000000001</v>
      </c>
      <c r="P69" s="7">
        <v>24400.183000000001</v>
      </c>
      <c r="Q69" s="7">
        <v>0</v>
      </c>
      <c r="R69" s="7">
        <v>0</v>
      </c>
      <c r="S69" s="7">
        <v>2.234</v>
      </c>
      <c r="T69" s="7">
        <v>0</v>
      </c>
      <c r="U69" s="7">
        <v>0</v>
      </c>
      <c r="V69" s="7">
        <v>2720.2530000000002</v>
      </c>
      <c r="W69" s="7">
        <v>0</v>
      </c>
      <c r="X69" s="7">
        <v>0</v>
      </c>
      <c r="Y69" s="7">
        <v>0</v>
      </c>
      <c r="Z69" s="7">
        <v>1087.48</v>
      </c>
      <c r="AA69" s="7">
        <v>2666.855</v>
      </c>
      <c r="AB69" s="7">
        <v>0</v>
      </c>
      <c r="AC69" s="7">
        <v>8058.665</v>
      </c>
      <c r="AD69" s="7">
        <v>0</v>
      </c>
      <c r="AE69" s="7">
        <v>8062.2780000000002</v>
      </c>
      <c r="AF69" s="7">
        <v>0</v>
      </c>
      <c r="AG69" s="7">
        <v>1081.867</v>
      </c>
      <c r="AH69" s="7">
        <v>0</v>
      </c>
      <c r="AI69" s="7">
        <v>14526.51</v>
      </c>
      <c r="AJ69" s="7">
        <v>0</v>
      </c>
      <c r="AK69" s="7">
        <v>0</v>
      </c>
      <c r="AL69" s="7">
        <v>48447.919000000002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45.177999999999997</v>
      </c>
      <c r="AV69" s="7">
        <v>0</v>
      </c>
      <c r="AW69" s="7">
        <v>0</v>
      </c>
      <c r="AX69" s="7">
        <v>0</v>
      </c>
      <c r="AY69" s="7">
        <v>0</v>
      </c>
      <c r="AZ69" s="7">
        <v>25.155000000000001</v>
      </c>
      <c r="BA69" s="7">
        <v>0</v>
      </c>
      <c r="BB69" s="7">
        <v>763.57899999999995</v>
      </c>
      <c r="BC69" s="7">
        <v>0</v>
      </c>
      <c r="BD69" s="7">
        <v>0</v>
      </c>
      <c r="BE69" s="7">
        <v>0</v>
      </c>
      <c r="BF69" s="21"/>
    </row>
    <row r="70" spans="1:58" ht="15.75" x14ac:dyDescent="0.25">
      <c r="A70" s="5" t="s">
        <v>128</v>
      </c>
      <c r="B70" s="5" t="s">
        <v>129</v>
      </c>
      <c r="C70" s="7">
        <v>3</v>
      </c>
      <c r="D70" s="7">
        <v>3</v>
      </c>
      <c r="E70" s="7">
        <v>8141.5079999999998</v>
      </c>
      <c r="F70" s="7">
        <v>1379.2080000000001</v>
      </c>
      <c r="G70" s="7">
        <v>2962.107</v>
      </c>
      <c r="H70" s="7">
        <v>0</v>
      </c>
      <c r="I70" s="7">
        <v>239.85900000000001</v>
      </c>
      <c r="J70" s="7">
        <v>1871.7349999999999</v>
      </c>
      <c r="K70" s="7">
        <v>2599.873</v>
      </c>
      <c r="L70" s="7">
        <v>2366.59</v>
      </c>
      <c r="M70" s="7">
        <v>0</v>
      </c>
      <c r="N70" s="7">
        <v>5440.0550000000003</v>
      </c>
      <c r="O70" s="7">
        <v>6088.0159999999996</v>
      </c>
      <c r="P70" s="7">
        <v>5306.4170000000004</v>
      </c>
      <c r="Q70" s="7">
        <v>0</v>
      </c>
      <c r="R70" s="7">
        <v>0</v>
      </c>
      <c r="S70" s="7">
        <v>0.48599999999999999</v>
      </c>
      <c r="T70" s="7">
        <v>0</v>
      </c>
      <c r="U70" s="7">
        <v>0</v>
      </c>
      <c r="V70" s="7">
        <v>591.58600000000001</v>
      </c>
      <c r="W70" s="7">
        <v>0</v>
      </c>
      <c r="X70" s="7">
        <v>0</v>
      </c>
      <c r="Y70" s="7">
        <v>0</v>
      </c>
      <c r="Z70" s="7">
        <v>236.499</v>
      </c>
      <c r="AA70" s="7">
        <v>579.97299999999996</v>
      </c>
      <c r="AB70" s="7">
        <v>0</v>
      </c>
      <c r="AC70" s="7">
        <v>1752.5540000000001</v>
      </c>
      <c r="AD70" s="7">
        <v>0</v>
      </c>
      <c r="AE70" s="7">
        <v>1753.34</v>
      </c>
      <c r="AF70" s="7">
        <v>0</v>
      </c>
      <c r="AG70" s="7">
        <v>235.27799999999999</v>
      </c>
      <c r="AH70" s="7">
        <v>0</v>
      </c>
      <c r="AI70" s="7">
        <v>3159.145</v>
      </c>
      <c r="AJ70" s="7">
        <v>0</v>
      </c>
      <c r="AK70" s="7">
        <v>0</v>
      </c>
      <c r="AL70" s="7">
        <v>10536.184999999999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9.8249999999999993</v>
      </c>
      <c r="AV70" s="7">
        <v>0</v>
      </c>
      <c r="AW70" s="7">
        <v>0</v>
      </c>
      <c r="AX70" s="7">
        <v>0</v>
      </c>
      <c r="AY70" s="7">
        <v>0</v>
      </c>
      <c r="AZ70" s="7">
        <v>5.4710000000000001</v>
      </c>
      <c r="BA70" s="7">
        <v>0</v>
      </c>
      <c r="BB70" s="7">
        <v>166.059</v>
      </c>
      <c r="BC70" s="7">
        <v>0</v>
      </c>
      <c r="BD70" s="7">
        <v>0</v>
      </c>
      <c r="BE70" s="7">
        <v>0</v>
      </c>
      <c r="BF70" s="21"/>
    </row>
    <row r="71" spans="1:58" ht="15.75" x14ac:dyDescent="0.25">
      <c r="A71" s="5" t="s">
        <v>130</v>
      </c>
      <c r="B71" s="5" t="s">
        <v>131</v>
      </c>
      <c r="C71" s="7">
        <v>3</v>
      </c>
      <c r="D71" s="7">
        <v>3</v>
      </c>
      <c r="E71" s="7">
        <v>46553.578000000001</v>
      </c>
      <c r="F71" s="7">
        <v>7886.3860000000004</v>
      </c>
      <c r="G71" s="7">
        <v>16937.487000000001</v>
      </c>
      <c r="H71" s="7">
        <v>2319.7829999999999</v>
      </c>
      <c r="I71" s="7">
        <v>1371.529</v>
      </c>
      <c r="J71" s="7">
        <v>10702.682000000001</v>
      </c>
      <c r="K71" s="7">
        <v>14866.214</v>
      </c>
      <c r="L71" s="7">
        <v>13532.290999999999</v>
      </c>
      <c r="M71" s="7">
        <v>0</v>
      </c>
      <c r="N71" s="7">
        <v>31106.526000000002</v>
      </c>
      <c r="O71" s="7">
        <v>34811.603999999999</v>
      </c>
      <c r="P71" s="7">
        <v>30342.375</v>
      </c>
      <c r="Q71" s="7">
        <v>0</v>
      </c>
      <c r="R71" s="7">
        <v>0</v>
      </c>
      <c r="S71" s="7">
        <v>2.778</v>
      </c>
      <c r="T71" s="7">
        <v>0.217</v>
      </c>
      <c r="U71" s="7">
        <v>0.91</v>
      </c>
      <c r="V71" s="7">
        <v>3382.7179999999998</v>
      </c>
      <c r="W71" s="7">
        <v>0</v>
      </c>
      <c r="X71" s="7">
        <v>1.5409999999999999</v>
      </c>
      <c r="Y71" s="7">
        <v>0</v>
      </c>
      <c r="Z71" s="7">
        <v>1352.3150000000001</v>
      </c>
      <c r="AA71" s="7">
        <v>3316.3159999999998</v>
      </c>
      <c r="AB71" s="7">
        <v>0</v>
      </c>
      <c r="AC71" s="7">
        <v>10021.196</v>
      </c>
      <c r="AD71" s="7">
        <v>0</v>
      </c>
      <c r="AE71" s="7">
        <v>10025.69</v>
      </c>
      <c r="AF71" s="7">
        <v>0</v>
      </c>
      <c r="AG71" s="7">
        <v>1345.335</v>
      </c>
      <c r="AH71" s="7">
        <v>0</v>
      </c>
      <c r="AI71" s="7">
        <v>18064.161</v>
      </c>
      <c r="AJ71" s="7">
        <v>6.1109999999999998</v>
      </c>
      <c r="AK71" s="7">
        <v>0</v>
      </c>
      <c r="AL71" s="7">
        <v>60246.472000000002</v>
      </c>
      <c r="AM71" s="7">
        <v>21.21</v>
      </c>
      <c r="AN71" s="7">
        <v>0</v>
      </c>
      <c r="AO71" s="7">
        <v>0</v>
      </c>
      <c r="AP71" s="7">
        <v>5.6390000000000002</v>
      </c>
      <c r="AQ71" s="7">
        <v>4.1420000000000003</v>
      </c>
      <c r="AR71" s="7">
        <v>0</v>
      </c>
      <c r="AS71" s="7">
        <v>0</v>
      </c>
      <c r="AT71" s="7">
        <v>0</v>
      </c>
      <c r="AU71" s="7">
        <v>56.18</v>
      </c>
      <c r="AV71" s="7">
        <v>0.106</v>
      </c>
      <c r="AW71" s="7">
        <v>0</v>
      </c>
      <c r="AX71" s="7">
        <v>0</v>
      </c>
      <c r="AY71" s="7">
        <v>0</v>
      </c>
      <c r="AZ71" s="7">
        <v>31.280999999999999</v>
      </c>
      <c r="BA71" s="7">
        <v>0</v>
      </c>
      <c r="BB71" s="7">
        <v>949.53399999999999</v>
      </c>
      <c r="BC71" s="7">
        <v>0</v>
      </c>
      <c r="BD71" s="7">
        <v>0</v>
      </c>
      <c r="BE71" s="7">
        <v>0</v>
      </c>
      <c r="BF71" s="21"/>
    </row>
    <row r="72" spans="1:58" ht="15.75" x14ac:dyDescent="0.25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21"/>
    </row>
    <row r="73" spans="1:58" ht="15.75" x14ac:dyDescent="0.25">
      <c r="A73" s="5" t="s">
        <v>134</v>
      </c>
      <c r="B73" s="5" t="s">
        <v>135</v>
      </c>
      <c r="C73" s="7">
        <v>6</v>
      </c>
      <c r="D73" s="7">
        <v>6</v>
      </c>
      <c r="E73" s="7">
        <v>42945.894999999997</v>
      </c>
      <c r="F73" s="7">
        <v>7779.11</v>
      </c>
      <c r="G73" s="7">
        <v>16989.067999999999</v>
      </c>
      <c r="H73" s="7">
        <v>2109.9960000000001</v>
      </c>
      <c r="I73" s="7">
        <v>1204.8150000000001</v>
      </c>
      <c r="J73" s="7">
        <v>10723.397000000001</v>
      </c>
      <c r="K73" s="7">
        <v>17946.103999999999</v>
      </c>
      <c r="L73" s="7">
        <v>8684.8870000000006</v>
      </c>
      <c r="M73" s="7">
        <v>0</v>
      </c>
      <c r="N73" s="7">
        <v>24949.493999999999</v>
      </c>
      <c r="O73" s="7">
        <v>29308.954000000002</v>
      </c>
      <c r="P73" s="7">
        <v>24364.826000000001</v>
      </c>
      <c r="Q73" s="7">
        <v>0</v>
      </c>
      <c r="R73" s="7">
        <v>0</v>
      </c>
      <c r="S73" s="7">
        <v>95.361999999999995</v>
      </c>
      <c r="T73" s="7">
        <v>0</v>
      </c>
      <c r="U73" s="7">
        <v>128.46199999999999</v>
      </c>
      <c r="V73" s="7">
        <v>1050.604</v>
      </c>
      <c r="W73" s="7">
        <v>0</v>
      </c>
      <c r="X73" s="7">
        <v>0</v>
      </c>
      <c r="Y73" s="7">
        <v>0</v>
      </c>
      <c r="Z73" s="7">
        <v>840.16200000000003</v>
      </c>
      <c r="AA73" s="7">
        <v>2862.8879999999999</v>
      </c>
      <c r="AB73" s="7">
        <v>0</v>
      </c>
      <c r="AC73" s="7">
        <v>8805.5550000000003</v>
      </c>
      <c r="AD73" s="7">
        <v>0</v>
      </c>
      <c r="AE73" s="7">
        <v>10085.334000000001</v>
      </c>
      <c r="AF73" s="7">
        <v>0</v>
      </c>
      <c r="AG73" s="7">
        <v>751.99</v>
      </c>
      <c r="AH73" s="7">
        <v>0</v>
      </c>
      <c r="AI73" s="7">
        <v>28779.827000000001</v>
      </c>
      <c r="AJ73" s="7">
        <v>0</v>
      </c>
      <c r="AK73" s="7">
        <v>0</v>
      </c>
      <c r="AL73" s="7">
        <v>65498.86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38.997999999999998</v>
      </c>
      <c r="AV73" s="7">
        <v>0</v>
      </c>
      <c r="AW73" s="7">
        <v>0</v>
      </c>
      <c r="AX73" s="7">
        <v>0</v>
      </c>
      <c r="AY73" s="7">
        <v>0</v>
      </c>
      <c r="AZ73" s="7">
        <v>4.048</v>
      </c>
      <c r="BA73" s="7">
        <v>0</v>
      </c>
      <c r="BB73" s="7">
        <v>376.01400000000001</v>
      </c>
      <c r="BC73" s="7">
        <v>0</v>
      </c>
      <c r="BD73" s="7">
        <v>0</v>
      </c>
      <c r="BE73" s="7">
        <v>0</v>
      </c>
      <c r="BF73" s="21"/>
    </row>
    <row r="74" spans="1:58" ht="15.75" x14ac:dyDescent="0.25">
      <c r="A74" s="5" t="s">
        <v>136</v>
      </c>
      <c r="B74" s="5" t="s">
        <v>137</v>
      </c>
      <c r="C74" s="7">
        <v>6</v>
      </c>
      <c r="D74" s="7">
        <v>6</v>
      </c>
      <c r="E74" s="7">
        <v>1109.605</v>
      </c>
      <c r="F74" s="7">
        <v>164.709</v>
      </c>
      <c r="G74" s="7">
        <v>243.84</v>
      </c>
      <c r="H74" s="7">
        <v>0</v>
      </c>
      <c r="I74" s="7">
        <v>42.396999999999998</v>
      </c>
      <c r="J74" s="7">
        <v>143.05600000000001</v>
      </c>
      <c r="K74" s="7">
        <v>1184.2260000000001</v>
      </c>
      <c r="L74" s="7">
        <v>105.783</v>
      </c>
      <c r="M74" s="7">
        <v>0</v>
      </c>
      <c r="N74" s="7">
        <v>549.15700000000004</v>
      </c>
      <c r="O74" s="7">
        <v>1253.8119999999999</v>
      </c>
      <c r="P74" s="7">
        <v>550.52800000000002</v>
      </c>
      <c r="Q74" s="7">
        <v>0</v>
      </c>
      <c r="R74" s="7">
        <v>0</v>
      </c>
      <c r="S74" s="7">
        <v>8.2959999999999994</v>
      </c>
      <c r="T74" s="7">
        <v>0</v>
      </c>
      <c r="U74" s="7">
        <v>0.23300000000000001</v>
      </c>
      <c r="V74" s="7">
        <v>0</v>
      </c>
      <c r="W74" s="7">
        <v>0</v>
      </c>
      <c r="X74" s="7">
        <v>0</v>
      </c>
      <c r="Y74" s="7">
        <v>0</v>
      </c>
      <c r="Z74" s="7">
        <v>17.251999999999999</v>
      </c>
      <c r="AA74" s="7">
        <v>57.735999999999997</v>
      </c>
      <c r="AB74" s="7">
        <v>0</v>
      </c>
      <c r="AC74" s="7">
        <v>460.70499999999998</v>
      </c>
      <c r="AD74" s="7">
        <v>0</v>
      </c>
      <c r="AE74" s="7">
        <v>160.69200000000001</v>
      </c>
      <c r="AF74" s="7">
        <v>0</v>
      </c>
      <c r="AG74" s="7">
        <v>27.31</v>
      </c>
      <c r="AH74" s="7">
        <v>0</v>
      </c>
      <c r="AI74" s="7">
        <v>1405.4010000000001</v>
      </c>
      <c r="AJ74" s="7">
        <v>0</v>
      </c>
      <c r="AK74" s="7">
        <v>0</v>
      </c>
      <c r="AL74" s="7">
        <v>2304.2289999999998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21"/>
    </row>
    <row r="75" spans="1:58" ht="15.75" x14ac:dyDescent="0.25">
      <c r="A75" s="5" t="s">
        <v>138</v>
      </c>
      <c r="B75" s="5" t="s">
        <v>139</v>
      </c>
      <c r="C75" s="7">
        <v>6</v>
      </c>
      <c r="D75" s="7">
        <v>6</v>
      </c>
      <c r="E75" s="7">
        <v>11704.111999999999</v>
      </c>
      <c r="F75" s="7">
        <v>2642.6129999999998</v>
      </c>
      <c r="G75" s="7">
        <v>2415.8020000000001</v>
      </c>
      <c r="H75" s="7">
        <v>0</v>
      </c>
      <c r="I75" s="7">
        <v>219.87700000000001</v>
      </c>
      <c r="J75" s="7">
        <v>2476.2069999999999</v>
      </c>
      <c r="K75" s="7">
        <v>3159.2539999999999</v>
      </c>
      <c r="L75" s="7">
        <v>2049.7710000000002</v>
      </c>
      <c r="M75" s="7">
        <v>0</v>
      </c>
      <c r="N75" s="7">
        <v>5548.2349999999997</v>
      </c>
      <c r="O75" s="7">
        <v>28094.083999999999</v>
      </c>
      <c r="P75" s="7">
        <v>5912.48</v>
      </c>
      <c r="Q75" s="7">
        <v>0</v>
      </c>
      <c r="R75" s="7">
        <v>0</v>
      </c>
      <c r="S75" s="7">
        <v>9.2370000000000001</v>
      </c>
      <c r="T75" s="7">
        <v>0</v>
      </c>
      <c r="U75" s="7">
        <v>394.25</v>
      </c>
      <c r="V75" s="7">
        <v>430.33300000000003</v>
      </c>
      <c r="W75" s="7">
        <v>0</v>
      </c>
      <c r="X75" s="7">
        <v>0</v>
      </c>
      <c r="Y75" s="7">
        <v>0</v>
      </c>
      <c r="Z75" s="7">
        <v>190.50800000000001</v>
      </c>
      <c r="AA75" s="7">
        <v>483.70800000000003</v>
      </c>
      <c r="AB75" s="7">
        <v>0</v>
      </c>
      <c r="AC75" s="7">
        <v>1768.1610000000001</v>
      </c>
      <c r="AD75" s="7">
        <v>0</v>
      </c>
      <c r="AE75" s="7">
        <v>1447.4839999999999</v>
      </c>
      <c r="AF75" s="7">
        <v>0</v>
      </c>
      <c r="AG75" s="7">
        <v>200.38900000000001</v>
      </c>
      <c r="AH75" s="7">
        <v>0</v>
      </c>
      <c r="AI75" s="7">
        <v>6290.2879999999996</v>
      </c>
      <c r="AJ75" s="7">
        <v>0</v>
      </c>
      <c r="AK75" s="7">
        <v>0</v>
      </c>
      <c r="AL75" s="7">
        <v>24774.853999999999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7.1470000000000002</v>
      </c>
      <c r="AV75" s="7">
        <v>0</v>
      </c>
      <c r="AW75" s="7">
        <v>0</v>
      </c>
      <c r="AX75" s="7">
        <v>0</v>
      </c>
      <c r="AY75" s="7">
        <v>0</v>
      </c>
      <c r="AZ75" s="7">
        <v>3.9790000000000001</v>
      </c>
      <c r="BA75" s="7">
        <v>0</v>
      </c>
      <c r="BB75" s="7">
        <v>120.795</v>
      </c>
      <c r="BC75" s="7">
        <v>0</v>
      </c>
      <c r="BD75" s="7">
        <v>0</v>
      </c>
      <c r="BE75" s="7">
        <v>0</v>
      </c>
      <c r="BF75" s="21"/>
    </row>
    <row r="76" spans="1:58" ht="15.75" x14ac:dyDescent="0.25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21"/>
    </row>
    <row r="77" spans="1:58" ht="15.75" x14ac:dyDescent="0.25">
      <c r="A77" s="5" t="s">
        <v>142</v>
      </c>
      <c r="B77" s="5" t="s">
        <v>143</v>
      </c>
      <c r="C77" s="7">
        <v>6</v>
      </c>
      <c r="D77" s="7">
        <v>6</v>
      </c>
      <c r="E77" s="7">
        <v>2904.4780000000001</v>
      </c>
      <c r="F77" s="7">
        <v>1082.7809999999999</v>
      </c>
      <c r="G77" s="7">
        <v>603.61</v>
      </c>
      <c r="H77" s="7">
        <v>0</v>
      </c>
      <c r="I77" s="7">
        <v>99.918999999999997</v>
      </c>
      <c r="J77" s="7">
        <v>341.96899999999999</v>
      </c>
      <c r="K77" s="7">
        <v>2790.91</v>
      </c>
      <c r="L77" s="7">
        <v>249.30199999999999</v>
      </c>
      <c r="M77" s="7">
        <v>0</v>
      </c>
      <c r="N77" s="7">
        <v>1294.2170000000001</v>
      </c>
      <c r="O77" s="7">
        <v>6726.5649999999996</v>
      </c>
      <c r="P77" s="7">
        <v>1355.335</v>
      </c>
      <c r="Q77" s="7">
        <v>0</v>
      </c>
      <c r="R77" s="7">
        <v>0</v>
      </c>
      <c r="S77" s="7">
        <v>19.552</v>
      </c>
      <c r="T77" s="7">
        <v>0</v>
      </c>
      <c r="U77" s="7">
        <v>110.35899999999999</v>
      </c>
      <c r="V77" s="7">
        <v>0</v>
      </c>
      <c r="W77" s="7">
        <v>0</v>
      </c>
      <c r="X77" s="7">
        <v>0</v>
      </c>
      <c r="Y77" s="7">
        <v>0</v>
      </c>
      <c r="Z77" s="7">
        <v>40.658999999999999</v>
      </c>
      <c r="AA77" s="7">
        <v>136.06899999999999</v>
      </c>
      <c r="AB77" s="7">
        <v>0</v>
      </c>
      <c r="AC77" s="7">
        <v>1085.76</v>
      </c>
      <c r="AD77" s="7">
        <v>0</v>
      </c>
      <c r="AE77" s="7">
        <v>378.70800000000003</v>
      </c>
      <c r="AF77" s="7">
        <v>0</v>
      </c>
      <c r="AG77" s="7">
        <v>64.361000000000004</v>
      </c>
      <c r="AH77" s="7">
        <v>0</v>
      </c>
      <c r="AI77" s="7">
        <v>4759.3969999999999</v>
      </c>
      <c r="AJ77" s="7">
        <v>0</v>
      </c>
      <c r="AK77" s="7">
        <v>0</v>
      </c>
      <c r="AL77" s="7">
        <v>7188.8990000000003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102.178</v>
      </c>
      <c r="BC77" s="7">
        <v>0</v>
      </c>
      <c r="BD77" s="7">
        <v>0</v>
      </c>
      <c r="BE77" s="7">
        <v>0</v>
      </c>
      <c r="BF77" s="21"/>
    </row>
    <row r="78" spans="1:58" ht="15.75" x14ac:dyDescent="0.25">
      <c r="A78" s="5" t="s">
        <v>144</v>
      </c>
      <c r="B78" s="5" t="s">
        <v>145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21"/>
    </row>
    <row r="79" spans="1:58" ht="15.75" x14ac:dyDescent="0.25">
      <c r="A79" s="5" t="s">
        <v>146</v>
      </c>
      <c r="B79" s="5" t="s">
        <v>147</v>
      </c>
      <c r="C79" s="7">
        <v>6</v>
      </c>
      <c r="D79" s="7">
        <v>6</v>
      </c>
      <c r="E79" s="7">
        <v>13780.448</v>
      </c>
      <c r="F79" s="7">
        <v>2177.5</v>
      </c>
      <c r="G79" s="7">
        <v>3081.127</v>
      </c>
      <c r="H79" s="7">
        <v>0</v>
      </c>
      <c r="I79" s="7">
        <v>242.38300000000001</v>
      </c>
      <c r="J79" s="7">
        <v>2749.752</v>
      </c>
      <c r="K79" s="7">
        <v>5878.0609999999997</v>
      </c>
      <c r="L79" s="7">
        <v>1494.258</v>
      </c>
      <c r="M79" s="7">
        <v>0</v>
      </c>
      <c r="N79" s="7">
        <v>4486.4579999999996</v>
      </c>
      <c r="O79" s="7">
        <v>23317.835999999999</v>
      </c>
      <c r="P79" s="7">
        <v>5658.3530000000001</v>
      </c>
      <c r="Q79" s="7">
        <v>0</v>
      </c>
      <c r="R79" s="7">
        <v>0</v>
      </c>
      <c r="S79" s="7">
        <v>74.896000000000001</v>
      </c>
      <c r="T79" s="7">
        <v>0</v>
      </c>
      <c r="U79" s="7">
        <v>376.07299999999998</v>
      </c>
      <c r="V79" s="7">
        <v>128.72800000000001</v>
      </c>
      <c r="W79" s="7">
        <v>0</v>
      </c>
      <c r="X79" s="7">
        <v>0</v>
      </c>
      <c r="Y79" s="7">
        <v>0</v>
      </c>
      <c r="Z79" s="7">
        <v>128.85400000000001</v>
      </c>
      <c r="AA79" s="7">
        <v>431.036</v>
      </c>
      <c r="AB79" s="7">
        <v>0</v>
      </c>
      <c r="AC79" s="7">
        <v>2978.6309999999999</v>
      </c>
      <c r="AD79" s="7">
        <v>0</v>
      </c>
      <c r="AE79" s="7">
        <v>1309.2449999999999</v>
      </c>
      <c r="AF79" s="7">
        <v>0</v>
      </c>
      <c r="AG79" s="7">
        <v>173.70400000000001</v>
      </c>
      <c r="AH79" s="7">
        <v>0</v>
      </c>
      <c r="AI79" s="7">
        <v>11892.243</v>
      </c>
      <c r="AJ79" s="7">
        <v>0</v>
      </c>
      <c r="AK79" s="7">
        <v>0</v>
      </c>
      <c r="AL79" s="7">
        <v>29442.748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2.1379999999999999</v>
      </c>
      <c r="AV79" s="7">
        <v>0</v>
      </c>
      <c r="AW79" s="7">
        <v>0</v>
      </c>
      <c r="AX79" s="7">
        <v>0</v>
      </c>
      <c r="AY79" s="7">
        <v>0</v>
      </c>
      <c r="AZ79" s="7">
        <v>1.19</v>
      </c>
      <c r="BA79" s="7">
        <v>0</v>
      </c>
      <c r="BB79" s="7">
        <v>36.134</v>
      </c>
      <c r="BC79" s="7">
        <v>0</v>
      </c>
      <c r="BD79" s="7">
        <v>0</v>
      </c>
      <c r="BE79" s="7">
        <v>0</v>
      </c>
      <c r="BF79" s="21"/>
    </row>
    <row r="80" spans="1:58" ht="15.75" x14ac:dyDescent="0.25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21"/>
    </row>
    <row r="81" spans="1:58" ht="15.75" x14ac:dyDescent="0.25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21"/>
    </row>
    <row r="82" spans="1:58" ht="15.75" x14ac:dyDescent="0.25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21"/>
    </row>
    <row r="83" spans="1:58" ht="15.75" x14ac:dyDescent="0.25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21"/>
    </row>
    <row r="84" spans="1:58" ht="15.75" x14ac:dyDescent="0.25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21"/>
    </row>
    <row r="85" spans="1:58" ht="15.75" x14ac:dyDescent="0.25">
      <c r="A85" s="5" t="s">
        <v>158</v>
      </c>
      <c r="B85" s="5" t="s">
        <v>159</v>
      </c>
      <c r="C85" s="7">
        <v>6</v>
      </c>
      <c r="D85" s="7">
        <v>6</v>
      </c>
      <c r="E85" s="7">
        <v>1555.326</v>
      </c>
      <c r="F85" s="7">
        <v>264.22300000000001</v>
      </c>
      <c r="G85" s="7">
        <v>566.38499999999999</v>
      </c>
      <c r="H85" s="7">
        <v>2353.357</v>
      </c>
      <c r="I85" s="7">
        <v>45.935000000000002</v>
      </c>
      <c r="J85" s="7">
        <v>357.75799999999998</v>
      </c>
      <c r="K85" s="7">
        <v>584.55899999999997</v>
      </c>
      <c r="L85" s="7">
        <v>452.96499999999997</v>
      </c>
      <c r="M85" s="7">
        <v>0</v>
      </c>
      <c r="N85" s="7">
        <v>1039.665</v>
      </c>
      <c r="O85" s="7">
        <v>1247.2819999999999</v>
      </c>
      <c r="P85" s="7">
        <v>1014.847</v>
      </c>
      <c r="Q85" s="7">
        <v>0</v>
      </c>
      <c r="R85" s="7">
        <v>0</v>
      </c>
      <c r="S85" s="7">
        <v>0.126</v>
      </c>
      <c r="T85" s="7">
        <v>0</v>
      </c>
      <c r="U85" s="7">
        <v>0</v>
      </c>
      <c r="V85" s="7">
        <v>112.806</v>
      </c>
      <c r="W85" s="7">
        <v>0</v>
      </c>
      <c r="X85" s="7">
        <v>0</v>
      </c>
      <c r="Y85" s="7">
        <v>0</v>
      </c>
      <c r="Z85" s="7">
        <v>45.110999999999997</v>
      </c>
      <c r="AA85" s="7">
        <v>110.651</v>
      </c>
      <c r="AB85" s="7">
        <v>0</v>
      </c>
      <c r="AC85" s="7">
        <v>334.351</v>
      </c>
      <c r="AD85" s="7">
        <v>0</v>
      </c>
      <c r="AE85" s="7">
        <v>334.48700000000002</v>
      </c>
      <c r="AF85" s="7">
        <v>0</v>
      </c>
      <c r="AG85" s="7">
        <v>44.883000000000003</v>
      </c>
      <c r="AH85" s="7">
        <v>0</v>
      </c>
      <c r="AI85" s="7">
        <v>604.01499999999999</v>
      </c>
      <c r="AJ85" s="7">
        <v>0</v>
      </c>
      <c r="AK85" s="7">
        <v>0</v>
      </c>
      <c r="AL85" s="7">
        <v>2011.4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1.873</v>
      </c>
      <c r="AV85" s="7">
        <v>0</v>
      </c>
      <c r="AW85" s="7">
        <v>0</v>
      </c>
      <c r="AX85" s="7">
        <v>0</v>
      </c>
      <c r="AY85" s="7">
        <v>0</v>
      </c>
      <c r="AZ85" s="7">
        <v>1.0429999999999999</v>
      </c>
      <c r="BA85" s="7">
        <v>0</v>
      </c>
      <c r="BB85" s="7">
        <v>31.664999999999999</v>
      </c>
      <c r="BC85" s="7">
        <v>0</v>
      </c>
      <c r="BD85" s="7">
        <v>0</v>
      </c>
      <c r="BE85" s="7">
        <v>0</v>
      </c>
      <c r="BF85" s="21"/>
    </row>
    <row r="86" spans="1:58" ht="15.75" x14ac:dyDescent="0.25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21"/>
    </row>
    <row r="87" spans="1:58" ht="15.75" x14ac:dyDescent="0.25">
      <c r="A87" s="5" t="s">
        <v>162</v>
      </c>
      <c r="B87" s="5" t="s">
        <v>163</v>
      </c>
      <c r="C87" s="7">
        <v>6</v>
      </c>
      <c r="D87" s="7">
        <v>6</v>
      </c>
      <c r="E87" s="7">
        <v>4639.2020000000002</v>
      </c>
      <c r="F87" s="7">
        <v>1321.2249999999999</v>
      </c>
      <c r="G87" s="7">
        <v>1175.627</v>
      </c>
      <c r="H87" s="7">
        <v>0</v>
      </c>
      <c r="I87" s="7">
        <v>292.49299999999999</v>
      </c>
      <c r="J87" s="7">
        <v>946.94600000000003</v>
      </c>
      <c r="K87" s="7">
        <v>5784.6369999999997</v>
      </c>
      <c r="L87" s="7">
        <v>950.49300000000005</v>
      </c>
      <c r="M87" s="7">
        <v>0</v>
      </c>
      <c r="N87" s="7">
        <v>2940.7730000000001</v>
      </c>
      <c r="O87" s="7">
        <v>13459.093000000001</v>
      </c>
      <c r="P87" s="7">
        <v>2153.3980000000001</v>
      </c>
      <c r="Q87" s="7">
        <v>0</v>
      </c>
      <c r="R87" s="7">
        <v>0</v>
      </c>
      <c r="S87" s="7">
        <v>70.364000000000004</v>
      </c>
      <c r="T87" s="7">
        <v>0</v>
      </c>
      <c r="U87" s="7">
        <v>109.71899999999999</v>
      </c>
      <c r="V87" s="7">
        <v>146.54</v>
      </c>
      <c r="W87" s="7">
        <v>0</v>
      </c>
      <c r="X87" s="7">
        <v>0</v>
      </c>
      <c r="Y87" s="7">
        <v>0</v>
      </c>
      <c r="Z87" s="7">
        <v>64.347999999999999</v>
      </c>
      <c r="AA87" s="7">
        <v>162.95699999999999</v>
      </c>
      <c r="AB87" s="7">
        <v>0</v>
      </c>
      <c r="AC87" s="7">
        <v>664.30700000000002</v>
      </c>
      <c r="AD87" s="7">
        <v>0</v>
      </c>
      <c r="AE87" s="7">
        <v>488.012</v>
      </c>
      <c r="AF87" s="7">
        <v>0</v>
      </c>
      <c r="AG87" s="7">
        <v>67.406000000000006</v>
      </c>
      <c r="AH87" s="7">
        <v>0</v>
      </c>
      <c r="AI87" s="7">
        <v>2303.1889999999999</v>
      </c>
      <c r="AJ87" s="7">
        <v>0</v>
      </c>
      <c r="AK87" s="7">
        <v>0</v>
      </c>
      <c r="AL87" s="7">
        <v>10146.514999999999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2.4340000000000002</v>
      </c>
      <c r="AV87" s="7">
        <v>0</v>
      </c>
      <c r="AW87" s="7">
        <v>0</v>
      </c>
      <c r="AX87" s="7">
        <v>0</v>
      </c>
      <c r="AY87" s="7">
        <v>0</v>
      </c>
      <c r="AZ87" s="7">
        <v>1.355</v>
      </c>
      <c r="BA87" s="7">
        <v>0</v>
      </c>
      <c r="BB87" s="7">
        <v>41.134</v>
      </c>
      <c r="BC87" s="7">
        <v>0</v>
      </c>
      <c r="BD87" s="7">
        <v>0</v>
      </c>
      <c r="BE87" s="7">
        <v>0</v>
      </c>
      <c r="BF87" s="21"/>
    </row>
    <row r="88" spans="1:58" ht="15.75" x14ac:dyDescent="0.25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21"/>
    </row>
    <row r="89" spans="1:58" ht="15.75" x14ac:dyDescent="0.25">
      <c r="A89" s="5" t="s">
        <v>166</v>
      </c>
      <c r="B89" s="5" t="s">
        <v>167</v>
      </c>
      <c r="C89" s="7">
        <v>3</v>
      </c>
      <c r="D89" s="7">
        <v>3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21"/>
    </row>
    <row r="90" spans="1:58" ht="15.75" x14ac:dyDescent="0.25">
      <c r="A90" s="5" t="s">
        <v>168</v>
      </c>
      <c r="B90" s="5" t="s">
        <v>169</v>
      </c>
      <c r="C90" s="7">
        <v>3</v>
      </c>
      <c r="D90" s="7">
        <v>3</v>
      </c>
      <c r="E90" s="7">
        <v>35660.343000000001</v>
      </c>
      <c r="F90" s="7">
        <v>5884.3509999999997</v>
      </c>
      <c r="G90" s="7">
        <v>13632.17</v>
      </c>
      <c r="H90" s="7">
        <v>0</v>
      </c>
      <c r="I90" s="7">
        <v>982.16200000000003</v>
      </c>
      <c r="J90" s="7">
        <v>9235.7049999999999</v>
      </c>
      <c r="K90" s="7">
        <v>10645.800999999999</v>
      </c>
      <c r="L90" s="7">
        <v>9690.5689999999995</v>
      </c>
      <c r="M90" s="7">
        <v>0</v>
      </c>
      <c r="N90" s="7">
        <v>22275.602999999999</v>
      </c>
      <c r="O90" s="7">
        <v>25899.028999999999</v>
      </c>
      <c r="P90" s="7">
        <v>23573.121999999999</v>
      </c>
      <c r="Q90" s="7">
        <v>0</v>
      </c>
      <c r="R90" s="7">
        <v>0</v>
      </c>
      <c r="S90" s="7">
        <v>1.9890000000000001</v>
      </c>
      <c r="T90" s="7">
        <v>0</v>
      </c>
      <c r="U90" s="7">
        <v>136.64699999999999</v>
      </c>
      <c r="V90" s="7">
        <v>2422.3879999999999</v>
      </c>
      <c r="W90" s="7">
        <v>0</v>
      </c>
      <c r="X90" s="7">
        <v>0</v>
      </c>
      <c r="Y90" s="7">
        <v>0</v>
      </c>
      <c r="Z90" s="7">
        <v>968.40200000000004</v>
      </c>
      <c r="AA90" s="7">
        <v>2374.837</v>
      </c>
      <c r="AB90" s="7">
        <v>0</v>
      </c>
      <c r="AC90" s="7">
        <v>7176.25</v>
      </c>
      <c r="AD90" s="7">
        <v>0</v>
      </c>
      <c r="AE90" s="7">
        <v>7179.4679999999998</v>
      </c>
      <c r="AF90" s="7">
        <v>0</v>
      </c>
      <c r="AG90" s="7">
        <v>963.404</v>
      </c>
      <c r="AH90" s="7">
        <v>0</v>
      </c>
      <c r="AI90" s="7">
        <v>17194.699000000001</v>
      </c>
      <c r="AJ90" s="7">
        <v>0</v>
      </c>
      <c r="AK90" s="7">
        <v>0</v>
      </c>
      <c r="AL90" s="7">
        <v>47697.819000000003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40.231000000000002</v>
      </c>
      <c r="AV90" s="7">
        <v>0</v>
      </c>
      <c r="AW90" s="7">
        <v>0</v>
      </c>
      <c r="AX90" s="7">
        <v>0</v>
      </c>
      <c r="AY90" s="7">
        <v>0</v>
      </c>
      <c r="AZ90" s="7">
        <v>22.4</v>
      </c>
      <c r="BA90" s="7">
        <v>0</v>
      </c>
      <c r="BB90" s="7">
        <v>679.96699999999998</v>
      </c>
      <c r="BC90" s="7">
        <v>0</v>
      </c>
      <c r="BD90" s="7">
        <v>0</v>
      </c>
      <c r="BE90" s="7">
        <v>0</v>
      </c>
      <c r="BF90" s="21"/>
    </row>
    <row r="91" spans="1:58" ht="15.75" x14ac:dyDescent="0.25">
      <c r="A91" s="5" t="s">
        <v>170</v>
      </c>
      <c r="B91" s="5" t="s">
        <v>171</v>
      </c>
      <c r="C91" s="7">
        <v>3</v>
      </c>
      <c r="D91" s="7">
        <v>3</v>
      </c>
      <c r="E91" s="7">
        <v>61836.245000000003</v>
      </c>
      <c r="F91" s="7">
        <v>10475.338</v>
      </c>
      <c r="G91" s="7">
        <v>22497.746999999999</v>
      </c>
      <c r="H91" s="7">
        <v>0</v>
      </c>
      <c r="I91" s="7">
        <v>1821.777</v>
      </c>
      <c r="J91" s="7">
        <v>14216.172</v>
      </c>
      <c r="K91" s="7">
        <v>19746.512999999999</v>
      </c>
      <c r="L91" s="7">
        <v>17974.687999999998</v>
      </c>
      <c r="M91" s="7">
        <v>0</v>
      </c>
      <c r="N91" s="7">
        <v>41318.214999999997</v>
      </c>
      <c r="O91" s="7">
        <v>46239.601000000002</v>
      </c>
      <c r="P91" s="7">
        <v>40303.207999999999</v>
      </c>
      <c r="Q91" s="7">
        <v>0</v>
      </c>
      <c r="R91" s="7">
        <v>0</v>
      </c>
      <c r="S91" s="7">
        <v>3.69</v>
      </c>
      <c r="T91" s="7">
        <v>0</v>
      </c>
      <c r="U91" s="7">
        <v>0</v>
      </c>
      <c r="V91" s="7">
        <v>4493.201</v>
      </c>
      <c r="W91" s="7">
        <v>0</v>
      </c>
      <c r="X91" s="7">
        <v>0</v>
      </c>
      <c r="Y91" s="7">
        <v>0</v>
      </c>
      <c r="Z91" s="7">
        <v>1796.2539999999999</v>
      </c>
      <c r="AA91" s="7">
        <v>4405</v>
      </c>
      <c r="AB91" s="7">
        <v>0</v>
      </c>
      <c r="AC91" s="7">
        <v>13310.968000000001</v>
      </c>
      <c r="AD91" s="7">
        <v>0</v>
      </c>
      <c r="AE91" s="7">
        <v>13316.936</v>
      </c>
      <c r="AF91" s="7">
        <v>0</v>
      </c>
      <c r="AG91" s="7">
        <v>1786.9829999999999</v>
      </c>
      <c r="AH91" s="7">
        <v>0</v>
      </c>
      <c r="AI91" s="7">
        <v>23994.286</v>
      </c>
      <c r="AJ91" s="7">
        <v>0</v>
      </c>
      <c r="AK91" s="7">
        <v>0</v>
      </c>
      <c r="AL91" s="7">
        <v>80024.259000000005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74.623000000000005</v>
      </c>
      <c r="AV91" s="7">
        <v>0</v>
      </c>
      <c r="AW91" s="7">
        <v>0</v>
      </c>
      <c r="AX91" s="7">
        <v>0</v>
      </c>
      <c r="AY91" s="7">
        <v>0</v>
      </c>
      <c r="AZ91" s="7">
        <v>41.55</v>
      </c>
      <c r="BA91" s="7">
        <v>0</v>
      </c>
      <c r="BB91" s="7">
        <v>1261.248</v>
      </c>
      <c r="BC91" s="7">
        <v>0</v>
      </c>
      <c r="BD91" s="7">
        <v>0</v>
      </c>
      <c r="BE91" s="7">
        <v>0</v>
      </c>
      <c r="BF91" s="21"/>
    </row>
    <row r="92" spans="1:58" ht="15.75" x14ac:dyDescent="0.25">
      <c r="A92" s="5" t="s">
        <v>172</v>
      </c>
      <c r="B92" s="5" t="s">
        <v>173</v>
      </c>
      <c r="C92" s="7">
        <v>3</v>
      </c>
      <c r="D92" s="7">
        <v>3</v>
      </c>
      <c r="E92" s="7">
        <v>17035.307000000001</v>
      </c>
      <c r="F92" s="7">
        <v>1601.9290000000001</v>
      </c>
      <c r="G92" s="7">
        <v>6232.23</v>
      </c>
      <c r="H92" s="7">
        <v>176.54300000000001</v>
      </c>
      <c r="I92" s="7">
        <v>498.077</v>
      </c>
      <c r="J92" s="7">
        <v>2520.1849999999999</v>
      </c>
      <c r="K92" s="7">
        <v>1113.5930000000001</v>
      </c>
      <c r="L92" s="7">
        <v>2019.2539999999999</v>
      </c>
      <c r="M92" s="7">
        <v>0</v>
      </c>
      <c r="N92" s="7">
        <v>5763.2910000000002</v>
      </c>
      <c r="O92" s="7">
        <v>17161.174999999999</v>
      </c>
      <c r="P92" s="7">
        <v>6412.7179999999998</v>
      </c>
      <c r="Q92" s="7">
        <v>0</v>
      </c>
      <c r="R92" s="7">
        <v>0</v>
      </c>
      <c r="S92" s="7">
        <v>1.0209999999999999</v>
      </c>
      <c r="T92" s="7">
        <v>0</v>
      </c>
      <c r="U92" s="7">
        <v>0</v>
      </c>
      <c r="V92" s="7">
        <v>593.95799999999997</v>
      </c>
      <c r="W92" s="7">
        <v>0</v>
      </c>
      <c r="X92" s="7">
        <v>0</v>
      </c>
      <c r="Y92" s="7">
        <v>0</v>
      </c>
      <c r="Z92" s="7">
        <v>258.36799999999999</v>
      </c>
      <c r="AA92" s="7">
        <v>480.42899999999997</v>
      </c>
      <c r="AB92" s="7">
        <v>0</v>
      </c>
      <c r="AC92" s="7">
        <v>1965.1669999999999</v>
      </c>
      <c r="AD92" s="7">
        <v>0</v>
      </c>
      <c r="AE92" s="7">
        <v>3160.61</v>
      </c>
      <c r="AF92" s="7">
        <v>0</v>
      </c>
      <c r="AG92" s="7">
        <v>411.29300000000001</v>
      </c>
      <c r="AH92" s="7">
        <v>0</v>
      </c>
      <c r="AI92" s="7">
        <v>10685.165000000001</v>
      </c>
      <c r="AJ92" s="7">
        <v>3.1259999999999999</v>
      </c>
      <c r="AK92" s="7">
        <v>0</v>
      </c>
      <c r="AL92" s="7">
        <v>37635.040000000001</v>
      </c>
      <c r="AM92" s="7">
        <v>5.3319999999999999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41.26</v>
      </c>
      <c r="AV92" s="7">
        <v>0</v>
      </c>
      <c r="AW92" s="7">
        <v>9145.9779999999992</v>
      </c>
      <c r="AX92" s="7">
        <v>0.435</v>
      </c>
      <c r="AY92" s="7">
        <v>3024.9430000000002</v>
      </c>
      <c r="AZ92" s="7">
        <v>2.379</v>
      </c>
      <c r="BA92" s="7">
        <v>0</v>
      </c>
      <c r="BB92" s="7">
        <v>329.04599999999999</v>
      </c>
      <c r="BC92" s="7">
        <v>20690.998</v>
      </c>
      <c r="BD92" s="7">
        <v>15309.197</v>
      </c>
      <c r="BE92" s="7">
        <v>14158.18</v>
      </c>
      <c r="BF92" s="21"/>
    </row>
    <row r="93" spans="1:58" ht="15.75" x14ac:dyDescent="0.25">
      <c r="A93" s="5" t="s">
        <v>174</v>
      </c>
      <c r="B93" s="5" t="s">
        <v>175</v>
      </c>
      <c r="C93" s="7">
        <v>3</v>
      </c>
      <c r="D93" s="7">
        <v>3</v>
      </c>
      <c r="E93" s="7">
        <v>89193.210999999996</v>
      </c>
      <c r="F93" s="7">
        <v>10462.611999999999</v>
      </c>
      <c r="G93" s="7">
        <v>22671.784</v>
      </c>
      <c r="H93" s="7">
        <v>5805.5529999999999</v>
      </c>
      <c r="I93" s="7">
        <v>2791.8119999999999</v>
      </c>
      <c r="J93" s="7">
        <v>10604.297</v>
      </c>
      <c r="K93" s="7">
        <v>21165.044000000002</v>
      </c>
      <c r="L93" s="7">
        <v>9573.2160000000003</v>
      </c>
      <c r="M93" s="7">
        <v>0</v>
      </c>
      <c r="N93" s="7">
        <v>33207.144999999997</v>
      </c>
      <c r="O93" s="7">
        <v>111817.46400000001</v>
      </c>
      <c r="P93" s="7">
        <v>36351.105000000003</v>
      </c>
      <c r="Q93" s="7">
        <v>0</v>
      </c>
      <c r="R93" s="7">
        <v>0</v>
      </c>
      <c r="S93" s="7">
        <v>2.3E-2</v>
      </c>
      <c r="T93" s="7">
        <v>0</v>
      </c>
      <c r="U93" s="7">
        <v>0</v>
      </c>
      <c r="V93" s="7">
        <v>3926.931</v>
      </c>
      <c r="W93" s="7">
        <v>0</v>
      </c>
      <c r="X93" s="7">
        <v>0</v>
      </c>
      <c r="Y93" s="7">
        <v>0</v>
      </c>
      <c r="Z93" s="7">
        <v>996.08</v>
      </c>
      <c r="AA93" s="7">
        <v>2285.732</v>
      </c>
      <c r="AB93" s="7">
        <v>0</v>
      </c>
      <c r="AC93" s="7">
        <v>13704.462</v>
      </c>
      <c r="AD93" s="7">
        <v>0</v>
      </c>
      <c r="AE93" s="7">
        <v>15629.61</v>
      </c>
      <c r="AF93" s="7">
        <v>0</v>
      </c>
      <c r="AG93" s="7">
        <v>2383.6819999999998</v>
      </c>
      <c r="AH93" s="7">
        <v>0</v>
      </c>
      <c r="AI93" s="7">
        <v>45542.699000000001</v>
      </c>
      <c r="AJ93" s="7">
        <v>102.786</v>
      </c>
      <c r="AK93" s="7">
        <v>0</v>
      </c>
      <c r="AL93" s="7">
        <v>216749.128</v>
      </c>
      <c r="AM93" s="7">
        <v>175.33699999999999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254.643</v>
      </c>
      <c r="AV93" s="7">
        <v>0</v>
      </c>
      <c r="AW93" s="7">
        <v>0</v>
      </c>
      <c r="AX93" s="7">
        <v>14.301</v>
      </c>
      <c r="AY93" s="7">
        <v>0</v>
      </c>
      <c r="AZ93" s="7">
        <v>15.701000000000001</v>
      </c>
      <c r="BA93" s="7">
        <v>0</v>
      </c>
      <c r="BB93" s="7">
        <v>1.1279999999999999</v>
      </c>
      <c r="BC93" s="7">
        <v>0</v>
      </c>
      <c r="BD93" s="7">
        <v>0</v>
      </c>
      <c r="BE93" s="7">
        <v>67026.604999999996</v>
      </c>
      <c r="BF93" s="21"/>
    </row>
    <row r="94" spans="1:58" ht="15.75" x14ac:dyDescent="0.25">
      <c r="A94" s="5" t="s">
        <v>176</v>
      </c>
      <c r="B94" s="5" t="s">
        <v>177</v>
      </c>
      <c r="C94" s="7">
        <v>3</v>
      </c>
      <c r="D94" s="7">
        <v>3</v>
      </c>
      <c r="E94" s="7">
        <v>146734.85800000001</v>
      </c>
      <c r="F94" s="7">
        <v>26843.800999999999</v>
      </c>
      <c r="G94" s="7">
        <v>11518.171</v>
      </c>
      <c r="H94" s="7">
        <v>33151.870000000003</v>
      </c>
      <c r="I94" s="7">
        <v>4738.991</v>
      </c>
      <c r="J94" s="7">
        <v>18106.554</v>
      </c>
      <c r="K94" s="7">
        <v>97105.156000000003</v>
      </c>
      <c r="L94" s="7">
        <v>24361.27</v>
      </c>
      <c r="M94" s="7">
        <v>0</v>
      </c>
      <c r="N94" s="7">
        <v>78240.027000000002</v>
      </c>
      <c r="O94" s="7">
        <v>243372.99600000001</v>
      </c>
      <c r="P94" s="7">
        <v>79209.86</v>
      </c>
      <c r="Q94" s="7">
        <v>0</v>
      </c>
      <c r="R94" s="7">
        <v>0</v>
      </c>
      <c r="S94" s="7">
        <v>3.3639999999999999</v>
      </c>
      <c r="T94" s="7">
        <v>0</v>
      </c>
      <c r="U94" s="7">
        <v>0</v>
      </c>
      <c r="V94" s="7">
        <v>9655.4590000000007</v>
      </c>
      <c r="W94" s="7">
        <v>0</v>
      </c>
      <c r="X94" s="7">
        <v>0</v>
      </c>
      <c r="Y94" s="7">
        <v>0</v>
      </c>
      <c r="Z94" s="7">
        <v>1204.606</v>
      </c>
      <c r="AA94" s="7">
        <v>7030.7780000000002</v>
      </c>
      <c r="AB94" s="7">
        <v>0</v>
      </c>
      <c r="AC94" s="7">
        <v>40091.381000000001</v>
      </c>
      <c r="AD94" s="7">
        <v>0</v>
      </c>
      <c r="AE94" s="7">
        <v>28698.593000000001</v>
      </c>
      <c r="AF94" s="7">
        <v>0</v>
      </c>
      <c r="AG94" s="7">
        <v>4352.9229999999998</v>
      </c>
      <c r="AH94" s="7">
        <v>0</v>
      </c>
      <c r="AI94" s="7">
        <v>45478.766000000003</v>
      </c>
      <c r="AJ94" s="7">
        <v>12688.409</v>
      </c>
      <c r="AK94" s="7">
        <v>0</v>
      </c>
      <c r="AL94" s="7">
        <v>381493.853</v>
      </c>
      <c r="AM94" s="7">
        <v>25262.21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440.42599999999999</v>
      </c>
      <c r="AV94" s="7">
        <v>0</v>
      </c>
      <c r="AW94" s="7">
        <v>0</v>
      </c>
      <c r="AX94" s="7">
        <v>3170.8879999999999</v>
      </c>
      <c r="AY94" s="7">
        <v>0</v>
      </c>
      <c r="AZ94" s="7">
        <v>47.161000000000001</v>
      </c>
      <c r="BA94" s="7">
        <v>0</v>
      </c>
      <c r="BB94" s="7">
        <v>320.44200000000001</v>
      </c>
      <c r="BC94" s="7">
        <v>0</v>
      </c>
      <c r="BD94" s="7">
        <v>0</v>
      </c>
      <c r="BE94" s="7">
        <v>21223.661</v>
      </c>
      <c r="BF94" s="21"/>
    </row>
    <row r="95" spans="1:58" ht="15.75" x14ac:dyDescent="0.25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21"/>
    </row>
    <row r="96" spans="1:58" ht="15.75" x14ac:dyDescent="0.25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21"/>
    </row>
    <row r="97" spans="1:58" ht="15.75" x14ac:dyDescent="0.25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21"/>
    </row>
    <row r="98" spans="1:58" ht="15.75" x14ac:dyDescent="0.25">
      <c r="A98" s="5" t="s">
        <v>184</v>
      </c>
      <c r="B98" s="5" t="s">
        <v>185</v>
      </c>
      <c r="C98" s="7">
        <v>6</v>
      </c>
      <c r="D98" s="7">
        <v>6</v>
      </c>
      <c r="E98" s="7">
        <v>31.670999999999999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63.341999999999999</v>
      </c>
      <c r="L98" s="7">
        <v>0</v>
      </c>
      <c r="M98" s="7">
        <v>0</v>
      </c>
      <c r="N98" s="7">
        <v>31.670999999999999</v>
      </c>
      <c r="O98" s="7">
        <v>411.721</v>
      </c>
      <c r="P98" s="7">
        <v>95.012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63.341999999999999</v>
      </c>
      <c r="AJ98" s="7">
        <v>0</v>
      </c>
      <c r="AK98" s="7">
        <v>0</v>
      </c>
      <c r="AL98" s="7">
        <v>63.341999999999999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21"/>
    </row>
    <row r="99" spans="1:58" ht="15.75" x14ac:dyDescent="0.25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21"/>
    </row>
    <row r="100" spans="1:58" ht="15.75" x14ac:dyDescent="0.25">
      <c r="A100" s="5" t="s">
        <v>188</v>
      </c>
      <c r="B100" s="5" t="s">
        <v>189</v>
      </c>
      <c r="C100" s="7">
        <v>6</v>
      </c>
      <c r="D100" s="7">
        <v>6</v>
      </c>
      <c r="E100" s="7">
        <v>3881.8980000000001</v>
      </c>
      <c r="F100" s="7">
        <v>576.226</v>
      </c>
      <c r="G100" s="7">
        <v>853.06299999999999</v>
      </c>
      <c r="H100" s="7">
        <v>0</v>
      </c>
      <c r="I100" s="7">
        <v>148.32499999999999</v>
      </c>
      <c r="J100" s="7">
        <v>500.47500000000002</v>
      </c>
      <c r="K100" s="7">
        <v>4142.9570000000003</v>
      </c>
      <c r="L100" s="7">
        <v>370.07600000000002</v>
      </c>
      <c r="M100" s="7">
        <v>0</v>
      </c>
      <c r="N100" s="7">
        <v>1921.1969999999999</v>
      </c>
      <c r="O100" s="7">
        <v>4386.3980000000001</v>
      </c>
      <c r="P100" s="7">
        <v>1925.9939999999999</v>
      </c>
      <c r="Q100" s="7">
        <v>0</v>
      </c>
      <c r="R100" s="7">
        <v>0</v>
      </c>
      <c r="S100" s="7">
        <v>29.024000000000001</v>
      </c>
      <c r="T100" s="7">
        <v>0</v>
      </c>
      <c r="U100" s="7">
        <v>0.81399999999999995</v>
      </c>
      <c r="V100" s="7">
        <v>0</v>
      </c>
      <c r="W100" s="7">
        <v>0</v>
      </c>
      <c r="X100" s="7">
        <v>0</v>
      </c>
      <c r="Y100" s="7">
        <v>0</v>
      </c>
      <c r="Z100" s="7">
        <v>60.356000000000002</v>
      </c>
      <c r="AA100" s="7">
        <v>201.988</v>
      </c>
      <c r="AB100" s="7">
        <v>0</v>
      </c>
      <c r="AC100" s="7">
        <v>1611.7539999999999</v>
      </c>
      <c r="AD100" s="7">
        <v>0</v>
      </c>
      <c r="AE100" s="7">
        <v>562.173</v>
      </c>
      <c r="AF100" s="7">
        <v>0</v>
      </c>
      <c r="AG100" s="7">
        <v>95.540999999999997</v>
      </c>
      <c r="AH100" s="7">
        <v>0</v>
      </c>
      <c r="AI100" s="7">
        <v>4916.7259999999997</v>
      </c>
      <c r="AJ100" s="7">
        <v>0</v>
      </c>
      <c r="AK100" s="7">
        <v>0</v>
      </c>
      <c r="AL100" s="7">
        <v>8061.2309999999998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21"/>
    </row>
    <row r="101" spans="1:58" ht="15.75" x14ac:dyDescent="0.25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21"/>
    </row>
    <row r="102" spans="1:58" ht="15.75" x14ac:dyDescent="0.25">
      <c r="A102" s="5" t="s">
        <v>192</v>
      </c>
      <c r="B102" s="5" t="s">
        <v>193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2051.6550000000002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21"/>
    </row>
    <row r="103" spans="1:58" ht="15.75" x14ac:dyDescent="0.25">
      <c r="A103" s="5" t="s">
        <v>194</v>
      </c>
      <c r="B103" s="5" t="s">
        <v>195</v>
      </c>
      <c r="C103" s="7">
        <v>4</v>
      </c>
      <c r="D103" s="7">
        <v>4</v>
      </c>
      <c r="E103" s="7">
        <v>177630.31899999999</v>
      </c>
      <c r="F103" s="7">
        <v>50871.913</v>
      </c>
      <c r="G103" s="7">
        <v>59.524000000000001</v>
      </c>
      <c r="H103" s="7">
        <v>0</v>
      </c>
      <c r="I103" s="7">
        <v>3122.9009999999998</v>
      </c>
      <c r="J103" s="7">
        <v>38.009</v>
      </c>
      <c r="K103" s="7">
        <v>240881.73800000001</v>
      </c>
      <c r="L103" s="7">
        <v>16032.02</v>
      </c>
      <c r="M103" s="7">
        <v>0</v>
      </c>
      <c r="N103" s="7">
        <v>26499.851999999999</v>
      </c>
      <c r="O103" s="7">
        <v>638415.83700000006</v>
      </c>
      <c r="P103" s="7">
        <v>32962.559000000001</v>
      </c>
      <c r="Q103" s="7">
        <v>0</v>
      </c>
      <c r="R103" s="7">
        <v>47.07</v>
      </c>
      <c r="S103" s="7">
        <v>24.975000000000001</v>
      </c>
      <c r="T103" s="7">
        <v>62.427999999999997</v>
      </c>
      <c r="U103" s="7">
        <v>0</v>
      </c>
      <c r="V103" s="7">
        <v>14563.93</v>
      </c>
      <c r="W103" s="7">
        <v>0</v>
      </c>
      <c r="X103" s="7">
        <v>975.70299999999997</v>
      </c>
      <c r="Y103" s="7">
        <v>0</v>
      </c>
      <c r="Z103" s="7">
        <v>0</v>
      </c>
      <c r="AA103" s="7">
        <v>4576.973</v>
      </c>
      <c r="AB103" s="7">
        <v>2501.0569999999998</v>
      </c>
      <c r="AC103" s="7">
        <v>88250.668999999994</v>
      </c>
      <c r="AD103" s="7">
        <v>0</v>
      </c>
      <c r="AE103" s="7">
        <v>0</v>
      </c>
      <c r="AF103" s="7">
        <v>1922.982</v>
      </c>
      <c r="AG103" s="7">
        <v>7346.1189999999997</v>
      </c>
      <c r="AH103" s="7">
        <v>0</v>
      </c>
      <c r="AI103" s="7">
        <v>239435.65900000001</v>
      </c>
      <c r="AJ103" s="7">
        <v>113637.413</v>
      </c>
      <c r="AK103" s="7">
        <v>0</v>
      </c>
      <c r="AL103" s="7">
        <v>764501.755</v>
      </c>
      <c r="AM103" s="7">
        <v>227167.435</v>
      </c>
      <c r="AN103" s="7">
        <v>0</v>
      </c>
      <c r="AO103" s="7">
        <v>0</v>
      </c>
      <c r="AP103" s="7">
        <v>2311.08</v>
      </c>
      <c r="AQ103" s="7">
        <v>927.81100000000004</v>
      </c>
      <c r="AR103" s="7">
        <v>0</v>
      </c>
      <c r="AS103" s="7">
        <v>0</v>
      </c>
      <c r="AT103" s="7">
        <v>0</v>
      </c>
      <c r="AU103" s="7">
        <v>422.56099999999998</v>
      </c>
      <c r="AV103" s="7">
        <v>46.273000000000003</v>
      </c>
      <c r="AW103" s="7">
        <v>1160.8309999999999</v>
      </c>
      <c r="AX103" s="7">
        <v>28755.543000000001</v>
      </c>
      <c r="AY103" s="7">
        <v>292.25799999999998</v>
      </c>
      <c r="AZ103" s="7">
        <v>131.15</v>
      </c>
      <c r="BA103" s="7">
        <v>0</v>
      </c>
      <c r="BB103" s="7">
        <v>1111.3530000000001</v>
      </c>
      <c r="BC103" s="7">
        <v>2045.981</v>
      </c>
      <c r="BD103" s="7">
        <v>1873.404</v>
      </c>
      <c r="BE103" s="7">
        <v>0</v>
      </c>
      <c r="BF103" s="21"/>
    </row>
    <row r="104" spans="1:58" ht="15.75" x14ac:dyDescent="0.25">
      <c r="A104" s="5" t="s">
        <v>196</v>
      </c>
      <c r="B104" s="5" t="s">
        <v>197</v>
      </c>
      <c r="C104" s="7">
        <v>4</v>
      </c>
      <c r="D104" s="7">
        <v>4</v>
      </c>
      <c r="E104" s="7">
        <v>91325.759999999995</v>
      </c>
      <c r="F104" s="7">
        <v>25171.789000000001</v>
      </c>
      <c r="G104" s="7">
        <v>30.847000000000001</v>
      </c>
      <c r="H104" s="7">
        <v>397.34800000000001</v>
      </c>
      <c r="I104" s="7">
        <v>1618.3710000000001</v>
      </c>
      <c r="J104" s="7">
        <v>19.696999999999999</v>
      </c>
      <c r="K104" s="7">
        <v>121565.484</v>
      </c>
      <c r="L104" s="7">
        <v>8308.2209999999995</v>
      </c>
      <c r="M104" s="7">
        <v>0</v>
      </c>
      <c r="N104" s="7">
        <v>13732.931</v>
      </c>
      <c r="O104" s="7">
        <v>341793.98700000002</v>
      </c>
      <c r="P104" s="7">
        <v>17082.079000000002</v>
      </c>
      <c r="Q104" s="7">
        <v>0</v>
      </c>
      <c r="R104" s="7">
        <v>20.582000000000001</v>
      </c>
      <c r="S104" s="7">
        <v>12.943</v>
      </c>
      <c r="T104" s="7">
        <v>27.297999999999998</v>
      </c>
      <c r="U104" s="7">
        <v>0</v>
      </c>
      <c r="V104" s="7">
        <v>7547.4179999999997</v>
      </c>
      <c r="W104" s="7">
        <v>0</v>
      </c>
      <c r="X104" s="7">
        <v>426.64699999999999</v>
      </c>
      <c r="Y104" s="7">
        <v>0</v>
      </c>
      <c r="Z104" s="7">
        <v>0</v>
      </c>
      <c r="AA104" s="7">
        <v>2371.91</v>
      </c>
      <c r="AB104" s="7">
        <v>1093.6400000000001</v>
      </c>
      <c r="AC104" s="7">
        <v>45733.855000000003</v>
      </c>
      <c r="AD104" s="7">
        <v>0</v>
      </c>
      <c r="AE104" s="7">
        <v>0</v>
      </c>
      <c r="AF104" s="7">
        <v>840.86400000000003</v>
      </c>
      <c r="AG104" s="7">
        <v>3806.9549999999999</v>
      </c>
      <c r="AH104" s="7">
        <v>0</v>
      </c>
      <c r="AI104" s="7">
        <v>124081.95699999999</v>
      </c>
      <c r="AJ104" s="7">
        <v>58889.944000000003</v>
      </c>
      <c r="AK104" s="7">
        <v>0</v>
      </c>
      <c r="AL104" s="7">
        <v>396109.11300000001</v>
      </c>
      <c r="AM104" s="7">
        <v>117724.236</v>
      </c>
      <c r="AN104" s="7">
        <v>0</v>
      </c>
      <c r="AO104" s="7">
        <v>0</v>
      </c>
      <c r="AP104" s="7">
        <v>1010.569</v>
      </c>
      <c r="AQ104" s="7">
        <v>405.70499999999998</v>
      </c>
      <c r="AR104" s="7">
        <v>0</v>
      </c>
      <c r="AS104" s="7">
        <v>0</v>
      </c>
      <c r="AT104" s="7">
        <v>0</v>
      </c>
      <c r="AU104" s="7">
        <v>218.982</v>
      </c>
      <c r="AV104" s="7">
        <v>20.234000000000002</v>
      </c>
      <c r="AW104" s="7">
        <v>1817.741</v>
      </c>
      <c r="AX104" s="7">
        <v>14901.891</v>
      </c>
      <c r="AY104" s="7">
        <v>720.74</v>
      </c>
      <c r="AZ104" s="7">
        <v>67.965000000000003</v>
      </c>
      <c r="BA104" s="7">
        <v>0</v>
      </c>
      <c r="BB104" s="7">
        <v>575.93299999999999</v>
      </c>
      <c r="BC104" s="7">
        <v>3110.59</v>
      </c>
      <c r="BD104" s="7">
        <v>2957.9349999999999</v>
      </c>
      <c r="BE104" s="7">
        <v>0</v>
      </c>
      <c r="BF104" s="21"/>
    </row>
    <row r="105" spans="1:58" ht="15.75" x14ac:dyDescent="0.25">
      <c r="A105" s="5" t="s">
        <v>198</v>
      </c>
      <c r="B105" s="5" t="s">
        <v>199</v>
      </c>
      <c r="C105" s="7">
        <v>4</v>
      </c>
      <c r="D105" s="7">
        <v>4</v>
      </c>
      <c r="E105" s="7">
        <v>45838.417000000001</v>
      </c>
      <c r="F105" s="7">
        <v>13452.758</v>
      </c>
      <c r="G105" s="7">
        <v>112.663</v>
      </c>
      <c r="H105" s="7">
        <v>9.0310000000000006</v>
      </c>
      <c r="I105" s="7">
        <v>864.09400000000005</v>
      </c>
      <c r="J105" s="7">
        <v>71.289000000000001</v>
      </c>
      <c r="K105" s="7">
        <v>70826.042000000001</v>
      </c>
      <c r="L105" s="7">
        <v>4680.8109999999997</v>
      </c>
      <c r="M105" s="7">
        <v>0</v>
      </c>
      <c r="N105" s="7">
        <v>9268.3649999999998</v>
      </c>
      <c r="O105" s="7">
        <v>165853.63099999999</v>
      </c>
      <c r="P105" s="7">
        <v>11878.275</v>
      </c>
      <c r="Q105" s="7">
        <v>0</v>
      </c>
      <c r="R105" s="7">
        <v>56.765999999999998</v>
      </c>
      <c r="S105" s="7">
        <v>6.1760000000000002</v>
      </c>
      <c r="T105" s="7">
        <v>75.287000000000006</v>
      </c>
      <c r="U105" s="7">
        <v>0</v>
      </c>
      <c r="V105" s="7">
        <v>3611.681</v>
      </c>
      <c r="W105" s="7">
        <v>0</v>
      </c>
      <c r="X105" s="7">
        <v>1176.6849999999999</v>
      </c>
      <c r="Y105" s="7">
        <v>0</v>
      </c>
      <c r="Z105" s="7">
        <v>7.8230000000000004</v>
      </c>
      <c r="AA105" s="7">
        <v>1148.07</v>
      </c>
      <c r="AB105" s="7">
        <v>3016.2420000000002</v>
      </c>
      <c r="AC105" s="7">
        <v>21824.51</v>
      </c>
      <c r="AD105" s="7">
        <v>0</v>
      </c>
      <c r="AE105" s="7">
        <v>57.997999999999998</v>
      </c>
      <c r="AF105" s="7">
        <v>2319.0909999999999</v>
      </c>
      <c r="AG105" s="7">
        <v>1819.662</v>
      </c>
      <c r="AH105" s="7">
        <v>0</v>
      </c>
      <c r="AI105" s="7">
        <v>59159.976999999999</v>
      </c>
      <c r="AJ105" s="7">
        <v>28032.018</v>
      </c>
      <c r="AK105" s="7">
        <v>0</v>
      </c>
      <c r="AL105" s="7">
        <v>188872.408</v>
      </c>
      <c r="AM105" s="7">
        <v>56043.400999999998</v>
      </c>
      <c r="AN105" s="7">
        <v>0</v>
      </c>
      <c r="AO105" s="7">
        <v>0</v>
      </c>
      <c r="AP105" s="7">
        <v>2787.1309999999999</v>
      </c>
      <c r="AQ105" s="7">
        <v>1118.9280000000001</v>
      </c>
      <c r="AR105" s="7">
        <v>0</v>
      </c>
      <c r="AS105" s="7">
        <v>0</v>
      </c>
      <c r="AT105" s="7">
        <v>0</v>
      </c>
      <c r="AU105" s="7">
        <v>104.547</v>
      </c>
      <c r="AV105" s="7">
        <v>55.805</v>
      </c>
      <c r="AW105" s="7">
        <v>83.706999999999994</v>
      </c>
      <c r="AX105" s="7">
        <v>7092.3950000000004</v>
      </c>
      <c r="AY105" s="7">
        <v>312.74299999999999</v>
      </c>
      <c r="AZ105" s="7">
        <v>32.527999999999999</v>
      </c>
      <c r="BA105" s="7">
        <v>0</v>
      </c>
      <c r="BB105" s="7">
        <v>279.60199999999998</v>
      </c>
      <c r="BC105" s="7">
        <v>116.259</v>
      </c>
      <c r="BD105" s="7">
        <v>227.536</v>
      </c>
      <c r="BE105" s="7">
        <v>0</v>
      </c>
      <c r="BF105" s="21"/>
    </row>
    <row r="106" spans="1:58" ht="15.75" x14ac:dyDescent="0.25">
      <c r="A106" s="5" t="s">
        <v>200</v>
      </c>
      <c r="B106" s="5" t="s">
        <v>201</v>
      </c>
      <c r="C106" s="7">
        <v>4</v>
      </c>
      <c r="D106" s="7">
        <v>4</v>
      </c>
      <c r="E106" s="7">
        <v>256.32100000000003</v>
      </c>
      <c r="F106" s="7">
        <v>69.894999999999996</v>
      </c>
      <c r="G106" s="7">
        <v>2.6659999999999999</v>
      </c>
      <c r="H106" s="7">
        <v>0</v>
      </c>
      <c r="I106" s="7">
        <v>4.6260000000000003</v>
      </c>
      <c r="J106" s="7">
        <v>1.6850000000000001</v>
      </c>
      <c r="K106" s="7">
        <v>334.01299999999998</v>
      </c>
      <c r="L106" s="7">
        <v>24.736000000000001</v>
      </c>
      <c r="M106" s="7">
        <v>0</v>
      </c>
      <c r="N106" s="7">
        <v>42.219000000000001</v>
      </c>
      <c r="O106" s="7">
        <v>899.62599999999998</v>
      </c>
      <c r="P106" s="7">
        <v>51.241999999999997</v>
      </c>
      <c r="Q106" s="7">
        <v>0</v>
      </c>
      <c r="R106" s="7">
        <v>2.8290000000000002</v>
      </c>
      <c r="S106" s="7">
        <v>3.5999999999999997E-2</v>
      </c>
      <c r="T106" s="7">
        <v>3.7519999999999998</v>
      </c>
      <c r="U106" s="7">
        <v>0</v>
      </c>
      <c r="V106" s="7">
        <v>21.111999999999998</v>
      </c>
      <c r="W106" s="7">
        <v>0</v>
      </c>
      <c r="X106" s="7">
        <v>58.634</v>
      </c>
      <c r="Y106" s="7">
        <v>0</v>
      </c>
      <c r="Z106" s="7">
        <v>0.20599999999999999</v>
      </c>
      <c r="AA106" s="7">
        <v>6.9779999999999998</v>
      </c>
      <c r="AB106" s="7">
        <v>150.30000000000001</v>
      </c>
      <c r="AC106" s="7">
        <v>126.333</v>
      </c>
      <c r="AD106" s="7">
        <v>0</v>
      </c>
      <c r="AE106" s="7">
        <v>1.528</v>
      </c>
      <c r="AF106" s="7">
        <v>115.56</v>
      </c>
      <c r="AG106" s="7">
        <v>10.593999999999999</v>
      </c>
      <c r="AH106" s="7">
        <v>0</v>
      </c>
      <c r="AI106" s="7">
        <v>341.36799999999999</v>
      </c>
      <c r="AJ106" s="7">
        <v>160.708</v>
      </c>
      <c r="AK106" s="7">
        <v>0</v>
      </c>
      <c r="AL106" s="7">
        <v>1090.1469999999999</v>
      </c>
      <c r="AM106" s="7">
        <v>321.26400000000001</v>
      </c>
      <c r="AN106" s="7">
        <v>0</v>
      </c>
      <c r="AO106" s="7">
        <v>0</v>
      </c>
      <c r="AP106" s="7">
        <v>138.88300000000001</v>
      </c>
      <c r="AQ106" s="7">
        <v>55.756</v>
      </c>
      <c r="AR106" s="7">
        <v>0</v>
      </c>
      <c r="AS106" s="7">
        <v>0</v>
      </c>
      <c r="AT106" s="7">
        <v>0</v>
      </c>
      <c r="AU106" s="7">
        <v>0.60599999999999998</v>
      </c>
      <c r="AV106" s="7">
        <v>2.7810000000000001</v>
      </c>
      <c r="AW106" s="7">
        <v>755.40499999999997</v>
      </c>
      <c r="AX106" s="7">
        <v>40.667000000000002</v>
      </c>
      <c r="AY106" s="7">
        <v>332.20400000000001</v>
      </c>
      <c r="AZ106" s="7">
        <v>0.19</v>
      </c>
      <c r="BA106" s="7">
        <v>0</v>
      </c>
      <c r="BB106" s="7">
        <v>1.7170000000000001</v>
      </c>
      <c r="BC106" s="7">
        <v>1831.002</v>
      </c>
      <c r="BD106" s="7">
        <v>1323.2570000000001</v>
      </c>
      <c r="BE106" s="7">
        <v>0</v>
      </c>
      <c r="BF106" s="21"/>
    </row>
    <row r="107" spans="1:58" ht="15.75" x14ac:dyDescent="0.25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21"/>
    </row>
    <row r="108" spans="1:58" ht="15.75" x14ac:dyDescent="0.25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21"/>
    </row>
    <row r="109" spans="1:58" ht="15.75" x14ac:dyDescent="0.25">
      <c r="A109" s="5" t="s">
        <v>206</v>
      </c>
      <c r="B109" s="5" t="s">
        <v>207</v>
      </c>
      <c r="C109" s="7">
        <v>6</v>
      </c>
      <c r="D109" s="7">
        <v>6</v>
      </c>
      <c r="E109" s="7">
        <v>46618.714999999997</v>
      </c>
      <c r="F109" s="7">
        <v>692.11900000000003</v>
      </c>
      <c r="G109" s="7">
        <v>1.69</v>
      </c>
      <c r="H109" s="7">
        <v>9.1530000000000005</v>
      </c>
      <c r="I109" s="7">
        <v>1.4630000000000001</v>
      </c>
      <c r="J109" s="7">
        <v>2.036</v>
      </c>
      <c r="K109" s="7">
        <v>62232.661</v>
      </c>
      <c r="L109" s="7">
        <v>739.47799999999995</v>
      </c>
      <c r="M109" s="7">
        <v>0</v>
      </c>
      <c r="N109" s="7">
        <v>18953.003000000001</v>
      </c>
      <c r="O109" s="7">
        <v>102341.965</v>
      </c>
      <c r="P109" s="7">
        <v>16010.909</v>
      </c>
      <c r="Q109" s="7">
        <v>0</v>
      </c>
      <c r="R109" s="7">
        <v>0</v>
      </c>
      <c r="S109" s="7">
        <v>0.32</v>
      </c>
      <c r="T109" s="7">
        <v>0</v>
      </c>
      <c r="U109" s="7">
        <v>3.0000000000000001E-3</v>
      </c>
      <c r="V109" s="7">
        <v>2.024</v>
      </c>
      <c r="W109" s="7">
        <v>0</v>
      </c>
      <c r="X109" s="7">
        <v>0</v>
      </c>
      <c r="Y109" s="7">
        <v>0</v>
      </c>
      <c r="Z109" s="7">
        <v>0</v>
      </c>
      <c r="AA109" s="7">
        <v>0.63600000000000001</v>
      </c>
      <c r="AB109" s="7">
        <v>0</v>
      </c>
      <c r="AC109" s="7">
        <v>22336.879000000001</v>
      </c>
      <c r="AD109" s="7">
        <v>0</v>
      </c>
      <c r="AE109" s="7">
        <v>0</v>
      </c>
      <c r="AF109" s="7">
        <v>0</v>
      </c>
      <c r="AG109" s="7">
        <v>1.0209999999999999</v>
      </c>
      <c r="AH109" s="7">
        <v>0</v>
      </c>
      <c r="AI109" s="7">
        <v>78804.77</v>
      </c>
      <c r="AJ109" s="7">
        <v>722.87599999999998</v>
      </c>
      <c r="AK109" s="7">
        <v>0</v>
      </c>
      <c r="AL109" s="7">
        <v>190701.79199999999</v>
      </c>
      <c r="AM109" s="7">
        <v>900.149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5.8999999999999997E-2</v>
      </c>
      <c r="AV109" s="7">
        <v>0</v>
      </c>
      <c r="AW109" s="7">
        <v>0</v>
      </c>
      <c r="AX109" s="7">
        <v>3.996</v>
      </c>
      <c r="AY109" s="7">
        <v>0</v>
      </c>
      <c r="AZ109" s="7">
        <v>2.5000000000000001E-2</v>
      </c>
      <c r="BA109" s="7">
        <v>0</v>
      </c>
      <c r="BB109" s="7">
        <v>0.154</v>
      </c>
      <c r="BC109" s="7">
        <v>0</v>
      </c>
      <c r="BD109" s="7">
        <v>0</v>
      </c>
      <c r="BE109" s="7">
        <v>0</v>
      </c>
      <c r="BF109" s="21"/>
    </row>
    <row r="110" spans="1:58" ht="15.75" x14ac:dyDescent="0.25">
      <c r="A110" s="5" t="s">
        <v>208</v>
      </c>
      <c r="B110" s="5" t="s">
        <v>209</v>
      </c>
      <c r="C110" s="7">
        <v>4</v>
      </c>
      <c r="D110" s="7">
        <v>4</v>
      </c>
      <c r="E110" s="7">
        <v>61414.601999999999</v>
      </c>
      <c r="F110" s="7">
        <v>16915.953000000001</v>
      </c>
      <c r="G110" s="7">
        <v>20.568999999999999</v>
      </c>
      <c r="H110" s="7">
        <v>0</v>
      </c>
      <c r="I110" s="7">
        <v>1082.0820000000001</v>
      </c>
      <c r="J110" s="7">
        <v>13.138999999999999</v>
      </c>
      <c r="K110" s="7">
        <v>82405.5</v>
      </c>
      <c r="L110" s="7">
        <v>5563.5910000000003</v>
      </c>
      <c r="M110" s="7">
        <v>0</v>
      </c>
      <c r="N110" s="7">
        <v>9601.2109999999993</v>
      </c>
      <c r="O110" s="7">
        <v>222566.15400000001</v>
      </c>
      <c r="P110" s="7">
        <v>11945.752</v>
      </c>
      <c r="Q110" s="7">
        <v>0</v>
      </c>
      <c r="R110" s="7">
        <v>0</v>
      </c>
      <c r="S110" s="7">
        <v>8.6349999999999998</v>
      </c>
      <c r="T110" s="7">
        <v>0</v>
      </c>
      <c r="U110" s="7">
        <v>0</v>
      </c>
      <c r="V110" s="7">
        <v>5047.549</v>
      </c>
      <c r="W110" s="7">
        <v>0</v>
      </c>
      <c r="X110" s="7">
        <v>0</v>
      </c>
      <c r="Y110" s="7">
        <v>0</v>
      </c>
      <c r="Z110" s="7">
        <v>0</v>
      </c>
      <c r="AA110" s="7">
        <v>1586.6949999999999</v>
      </c>
      <c r="AB110" s="7">
        <v>0</v>
      </c>
      <c r="AC110" s="7">
        <v>30684.65</v>
      </c>
      <c r="AD110" s="7">
        <v>0</v>
      </c>
      <c r="AE110" s="7">
        <v>0</v>
      </c>
      <c r="AF110" s="7">
        <v>53.884999999999998</v>
      </c>
      <c r="AG110" s="7">
        <v>2546.4789999999998</v>
      </c>
      <c r="AH110" s="7">
        <v>0</v>
      </c>
      <c r="AI110" s="7">
        <v>83397.032000000007</v>
      </c>
      <c r="AJ110" s="7">
        <v>39536.097999999998</v>
      </c>
      <c r="AK110" s="7">
        <v>0</v>
      </c>
      <c r="AL110" s="7">
        <v>267118.52299999999</v>
      </c>
      <c r="AM110" s="7">
        <v>78892.183000000005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146.626</v>
      </c>
      <c r="AV110" s="7">
        <v>0</v>
      </c>
      <c r="AW110" s="7">
        <v>0</v>
      </c>
      <c r="AX110" s="7">
        <v>10026.77</v>
      </c>
      <c r="AY110" s="7">
        <v>0</v>
      </c>
      <c r="AZ110" s="7">
        <v>45.468000000000004</v>
      </c>
      <c r="BA110" s="7">
        <v>0</v>
      </c>
      <c r="BB110" s="7">
        <v>467.93599999999998</v>
      </c>
      <c r="BC110" s="7">
        <v>0</v>
      </c>
      <c r="BD110" s="7">
        <v>0</v>
      </c>
      <c r="BE110" s="7">
        <v>25.530999999999999</v>
      </c>
      <c r="BF110" s="21"/>
    </row>
    <row r="111" spans="1:58" ht="15.75" x14ac:dyDescent="0.25">
      <c r="A111" s="5" t="s">
        <v>210</v>
      </c>
      <c r="B111" s="5" t="s">
        <v>211</v>
      </c>
      <c r="C111" s="7">
        <v>4</v>
      </c>
      <c r="D111" s="7">
        <v>4</v>
      </c>
      <c r="E111" s="7">
        <v>193402.125</v>
      </c>
      <c r="F111" s="7">
        <v>49991.245000000003</v>
      </c>
      <c r="G111" s="7">
        <v>1.3979999999999999</v>
      </c>
      <c r="H111" s="7">
        <v>0</v>
      </c>
      <c r="I111" s="7">
        <v>2932.5709999999999</v>
      </c>
      <c r="J111" s="7">
        <v>0.89200000000000002</v>
      </c>
      <c r="K111" s="7">
        <v>279970.38</v>
      </c>
      <c r="L111" s="7">
        <v>23652.594000000001</v>
      </c>
      <c r="M111" s="7">
        <v>0</v>
      </c>
      <c r="N111" s="7">
        <v>29012.891</v>
      </c>
      <c r="O111" s="7">
        <v>647186.74100000004</v>
      </c>
      <c r="P111" s="7">
        <v>38876.273000000001</v>
      </c>
      <c r="Q111" s="7">
        <v>0</v>
      </c>
      <c r="R111" s="7">
        <v>0</v>
      </c>
      <c r="S111" s="7">
        <v>0.58599999999999997</v>
      </c>
      <c r="T111" s="7">
        <v>0</v>
      </c>
      <c r="U111" s="7">
        <v>0</v>
      </c>
      <c r="V111" s="7">
        <v>14730.571</v>
      </c>
      <c r="W111" s="7">
        <v>0</v>
      </c>
      <c r="X111" s="7">
        <v>0</v>
      </c>
      <c r="Y111" s="7">
        <v>0</v>
      </c>
      <c r="Z111" s="7">
        <v>0</v>
      </c>
      <c r="AA111" s="7">
        <v>5056.473</v>
      </c>
      <c r="AB111" s="7">
        <v>0</v>
      </c>
      <c r="AC111" s="7">
        <v>101997.921</v>
      </c>
      <c r="AD111" s="7">
        <v>0</v>
      </c>
      <c r="AE111" s="7">
        <v>0</v>
      </c>
      <c r="AF111" s="7">
        <v>32.377000000000002</v>
      </c>
      <c r="AG111" s="7">
        <v>7866.8720000000003</v>
      </c>
      <c r="AH111" s="7">
        <v>0</v>
      </c>
      <c r="AI111" s="7">
        <v>264939.935</v>
      </c>
      <c r="AJ111" s="7">
        <v>131033.349</v>
      </c>
      <c r="AK111" s="7">
        <v>0</v>
      </c>
      <c r="AL111" s="7">
        <v>842379.97400000005</v>
      </c>
      <c r="AM111" s="7">
        <v>252376.24</v>
      </c>
      <c r="AN111" s="7">
        <v>0</v>
      </c>
      <c r="AO111" s="7">
        <v>181543.90400000001</v>
      </c>
      <c r="AP111" s="7">
        <v>0</v>
      </c>
      <c r="AQ111" s="7">
        <v>0</v>
      </c>
      <c r="AR111" s="7">
        <v>118607.36500000001</v>
      </c>
      <c r="AS111" s="7">
        <v>0</v>
      </c>
      <c r="AT111" s="7">
        <v>53387.652999999998</v>
      </c>
      <c r="AU111" s="7">
        <v>575.11699999999996</v>
      </c>
      <c r="AV111" s="7">
        <v>0</v>
      </c>
      <c r="AW111" s="7">
        <v>2977.4140000000002</v>
      </c>
      <c r="AX111" s="7">
        <v>34871.811000000002</v>
      </c>
      <c r="AY111" s="7">
        <v>2448.0819999999999</v>
      </c>
      <c r="AZ111" s="7">
        <v>140.18700000000001</v>
      </c>
      <c r="BA111" s="7">
        <v>0</v>
      </c>
      <c r="BB111" s="7">
        <v>1144.1980000000001</v>
      </c>
      <c r="BC111" s="7">
        <v>14160.513999999999</v>
      </c>
      <c r="BD111" s="7">
        <v>9152.0149999999994</v>
      </c>
      <c r="BE111" s="7">
        <v>24714.561000000002</v>
      </c>
      <c r="BF111" s="21"/>
    </row>
    <row r="112" spans="1:58" ht="15.75" x14ac:dyDescent="0.25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21"/>
    </row>
    <row r="113" spans="1:58" ht="15.75" x14ac:dyDescent="0.25">
      <c r="A113" s="5" t="s">
        <v>214</v>
      </c>
      <c r="B113" s="5" t="s">
        <v>215</v>
      </c>
      <c r="C113" s="7">
        <v>6</v>
      </c>
      <c r="D113" s="7">
        <v>6</v>
      </c>
      <c r="E113" s="7">
        <v>0</v>
      </c>
      <c r="F113" s="7">
        <v>46.597000000000001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0.80300000000000005</v>
      </c>
      <c r="O113" s="7">
        <v>-0.25600000000000001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390.452</v>
      </c>
      <c r="AJ113" s="7">
        <v>26.11</v>
      </c>
      <c r="AK113" s="7">
        <v>0</v>
      </c>
      <c r="AL113" s="7">
        <v>326.04500000000002</v>
      </c>
      <c r="AM113" s="7">
        <v>13.657999999999999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21"/>
    </row>
    <row r="114" spans="1:58" ht="15.75" x14ac:dyDescent="0.25">
      <c r="A114" s="5" t="s">
        <v>216</v>
      </c>
      <c r="B114" s="5" t="s">
        <v>217</v>
      </c>
      <c r="C114" s="7">
        <v>6</v>
      </c>
      <c r="D114" s="7">
        <v>6</v>
      </c>
      <c r="E114" s="7">
        <v>55440.34</v>
      </c>
      <c r="F114" s="7">
        <v>2938.93</v>
      </c>
      <c r="G114" s="7">
        <v>0</v>
      </c>
      <c r="H114" s="7">
        <v>0</v>
      </c>
      <c r="I114" s="7">
        <v>69.656000000000006</v>
      </c>
      <c r="J114" s="7">
        <v>0</v>
      </c>
      <c r="K114" s="7">
        <v>55999.902000000002</v>
      </c>
      <c r="L114" s="7">
        <v>5152.857</v>
      </c>
      <c r="M114" s="7">
        <v>0</v>
      </c>
      <c r="N114" s="7">
        <v>38377.059000000001</v>
      </c>
      <c r="O114" s="7">
        <v>209089.81700000001</v>
      </c>
      <c r="P114" s="7">
        <v>39314.762000000002</v>
      </c>
      <c r="Q114" s="7">
        <v>0</v>
      </c>
      <c r="R114" s="7">
        <v>0</v>
      </c>
      <c r="S114" s="7">
        <v>23.219000000000001</v>
      </c>
      <c r="T114" s="7">
        <v>0</v>
      </c>
      <c r="U114" s="7">
        <v>23.219000000000001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232.18600000000001</v>
      </c>
      <c r="AB114" s="7">
        <v>0</v>
      </c>
      <c r="AC114" s="7">
        <v>15835.700999999999</v>
      </c>
      <c r="AD114" s="7">
        <v>0</v>
      </c>
      <c r="AE114" s="7">
        <v>2182.5459999999998</v>
      </c>
      <c r="AF114" s="7">
        <v>0</v>
      </c>
      <c r="AG114" s="7">
        <v>185.749</v>
      </c>
      <c r="AH114" s="7">
        <v>0</v>
      </c>
      <c r="AI114" s="7">
        <v>49493.519</v>
      </c>
      <c r="AJ114" s="7">
        <v>721.63300000000004</v>
      </c>
      <c r="AK114" s="7">
        <v>0</v>
      </c>
      <c r="AL114" s="7">
        <v>217938.785</v>
      </c>
      <c r="AM114" s="7">
        <v>489.15800000000002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21"/>
    </row>
    <row r="115" spans="1:58" ht="15.75" x14ac:dyDescent="0.25">
      <c r="A115" s="5" t="s">
        <v>218</v>
      </c>
      <c r="B115" s="5" t="s">
        <v>219</v>
      </c>
      <c r="C115" s="7">
        <v>4</v>
      </c>
      <c r="D115" s="7">
        <v>4</v>
      </c>
      <c r="E115" s="7">
        <v>10320.031999999999</v>
      </c>
      <c r="F115" s="7">
        <v>2844.473</v>
      </c>
      <c r="G115" s="7">
        <v>3.4860000000000002</v>
      </c>
      <c r="H115" s="7">
        <v>9619.0730000000003</v>
      </c>
      <c r="I115" s="7">
        <v>182.88</v>
      </c>
      <c r="J115" s="7">
        <v>2.226</v>
      </c>
      <c r="K115" s="7">
        <v>13737.192999999999</v>
      </c>
      <c r="L115" s="7">
        <v>938.84900000000005</v>
      </c>
      <c r="M115" s="7">
        <v>0</v>
      </c>
      <c r="N115" s="7">
        <v>1551.854</v>
      </c>
      <c r="O115" s="7">
        <v>37032.620999999999</v>
      </c>
      <c r="P115" s="7">
        <v>1930.316</v>
      </c>
      <c r="Q115" s="7">
        <v>0</v>
      </c>
      <c r="R115" s="7">
        <v>0</v>
      </c>
      <c r="S115" s="7">
        <v>1.4630000000000001</v>
      </c>
      <c r="T115" s="7">
        <v>0</v>
      </c>
      <c r="U115" s="7">
        <v>0</v>
      </c>
      <c r="V115" s="7">
        <v>852.87599999999998</v>
      </c>
      <c r="W115" s="7">
        <v>0</v>
      </c>
      <c r="X115" s="7">
        <v>0</v>
      </c>
      <c r="Y115" s="7">
        <v>0</v>
      </c>
      <c r="Z115" s="7">
        <v>0</v>
      </c>
      <c r="AA115" s="7">
        <v>268.03199999999998</v>
      </c>
      <c r="AB115" s="7">
        <v>0</v>
      </c>
      <c r="AC115" s="7">
        <v>5168.0360000000001</v>
      </c>
      <c r="AD115" s="7">
        <v>0</v>
      </c>
      <c r="AE115" s="7">
        <v>0</v>
      </c>
      <c r="AF115" s="7">
        <v>0</v>
      </c>
      <c r="AG115" s="7">
        <v>430.19499999999999</v>
      </c>
      <c r="AH115" s="7">
        <v>5933.7420000000002</v>
      </c>
      <c r="AI115" s="7">
        <v>14021.561</v>
      </c>
      <c r="AJ115" s="7">
        <v>6654.7060000000001</v>
      </c>
      <c r="AK115" s="7">
        <v>28474.344000000001</v>
      </c>
      <c r="AL115" s="7">
        <v>44761.286999999997</v>
      </c>
      <c r="AM115" s="7">
        <v>13303.123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24.745999999999999</v>
      </c>
      <c r="AV115" s="7">
        <v>0</v>
      </c>
      <c r="AW115" s="7">
        <v>0</v>
      </c>
      <c r="AX115" s="7">
        <v>1683.95</v>
      </c>
      <c r="AY115" s="7">
        <v>0</v>
      </c>
      <c r="AZ115" s="7">
        <v>7.68</v>
      </c>
      <c r="BA115" s="7">
        <v>0</v>
      </c>
      <c r="BB115" s="7">
        <v>1782.0519999999999</v>
      </c>
      <c r="BC115" s="7">
        <v>0</v>
      </c>
      <c r="BD115" s="7">
        <v>0</v>
      </c>
      <c r="BE115" s="7">
        <v>0</v>
      </c>
      <c r="BF115" s="21"/>
    </row>
    <row r="116" spans="1:58" ht="15.75" x14ac:dyDescent="0.25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167941.43799999999</v>
      </c>
      <c r="AP116" s="7">
        <v>0</v>
      </c>
      <c r="AQ116" s="7">
        <v>0</v>
      </c>
      <c r="AR116" s="7">
        <v>109720.519</v>
      </c>
      <c r="AS116" s="7">
        <v>0</v>
      </c>
      <c r="AT116" s="7">
        <v>49387.498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1327.9</v>
      </c>
      <c r="BC116" s="7">
        <v>0</v>
      </c>
      <c r="BD116" s="7">
        <v>0</v>
      </c>
      <c r="BE116" s="7">
        <v>0</v>
      </c>
      <c r="BF116" s="21"/>
    </row>
    <row r="117" spans="1:58" ht="15.75" x14ac:dyDescent="0.25">
      <c r="A117" s="5" t="s">
        <v>222</v>
      </c>
      <c r="B117" s="5" t="s">
        <v>223</v>
      </c>
      <c r="C117" s="7">
        <v>4</v>
      </c>
      <c r="D117" s="7">
        <v>3</v>
      </c>
      <c r="E117" s="7">
        <v>1131.9570000000001</v>
      </c>
      <c r="F117" s="7">
        <v>119.94799999999999</v>
      </c>
      <c r="G117" s="7">
        <v>792.51</v>
      </c>
      <c r="H117" s="7">
        <v>0</v>
      </c>
      <c r="I117" s="7">
        <v>32.039000000000001</v>
      </c>
      <c r="J117" s="7">
        <v>403.14299999999997</v>
      </c>
      <c r="K117" s="7">
        <v>86.994</v>
      </c>
      <c r="L117" s="7">
        <v>3880.1109999999999</v>
      </c>
      <c r="M117" s="7">
        <v>0</v>
      </c>
      <c r="N117" s="7">
        <v>711.99400000000003</v>
      </c>
      <c r="O117" s="7">
        <v>419.17500000000001</v>
      </c>
      <c r="P117" s="7">
        <v>696.23299999999995</v>
      </c>
      <c r="Q117" s="7">
        <v>2313.33</v>
      </c>
      <c r="R117" s="7">
        <v>0</v>
      </c>
      <c r="S117" s="7">
        <v>0.33500000000000002</v>
      </c>
      <c r="T117" s="7">
        <v>203.16900000000001</v>
      </c>
      <c r="U117" s="7">
        <v>633.47900000000004</v>
      </c>
      <c r="V117" s="7">
        <v>40.533999999999999</v>
      </c>
      <c r="W117" s="7">
        <v>0</v>
      </c>
      <c r="X117" s="7">
        <v>626.39800000000002</v>
      </c>
      <c r="Y117" s="7">
        <v>0</v>
      </c>
      <c r="Z117" s="7">
        <v>27.46</v>
      </c>
      <c r="AA117" s="7">
        <v>2407.3359999999998</v>
      </c>
      <c r="AB117" s="7">
        <v>0</v>
      </c>
      <c r="AC117" s="7">
        <v>158</v>
      </c>
      <c r="AD117" s="7">
        <v>0</v>
      </c>
      <c r="AE117" s="7">
        <v>370.3</v>
      </c>
      <c r="AF117" s="7">
        <v>0</v>
      </c>
      <c r="AG117" s="7">
        <v>18.210999999999999</v>
      </c>
      <c r="AH117" s="7">
        <v>9365.9670000000006</v>
      </c>
      <c r="AI117" s="7">
        <v>375.08300000000003</v>
      </c>
      <c r="AJ117" s="7">
        <v>0</v>
      </c>
      <c r="AK117" s="7">
        <v>41506.584000000003</v>
      </c>
      <c r="AL117" s="7">
        <v>1503.3620000000001</v>
      </c>
      <c r="AM117" s="7">
        <v>0</v>
      </c>
      <c r="AN117" s="7">
        <v>0</v>
      </c>
      <c r="AO117" s="7">
        <v>0</v>
      </c>
      <c r="AP117" s="7">
        <v>4968.6409999999996</v>
      </c>
      <c r="AQ117" s="7">
        <v>4912.4009999999998</v>
      </c>
      <c r="AR117" s="7">
        <v>0</v>
      </c>
      <c r="AS117" s="7">
        <v>0</v>
      </c>
      <c r="AT117" s="7">
        <v>0</v>
      </c>
      <c r="AU117" s="7">
        <v>1.6970000000000001</v>
      </c>
      <c r="AV117" s="7">
        <v>158.77799999999999</v>
      </c>
      <c r="AW117" s="7">
        <v>0</v>
      </c>
      <c r="AX117" s="7">
        <v>0</v>
      </c>
      <c r="AY117" s="7">
        <v>0</v>
      </c>
      <c r="AZ117" s="7">
        <v>37.795999999999999</v>
      </c>
      <c r="BA117" s="7">
        <v>0</v>
      </c>
      <c r="BB117" s="7">
        <v>674.39099999999996</v>
      </c>
      <c r="BC117" s="7">
        <v>0</v>
      </c>
      <c r="BD117" s="7">
        <v>0</v>
      </c>
      <c r="BE117" s="7">
        <v>0</v>
      </c>
      <c r="BF117" s="21"/>
    </row>
    <row r="118" spans="1:58" ht="15.75" x14ac:dyDescent="0.25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21"/>
    </row>
    <row r="119" spans="1:58" ht="15.75" x14ac:dyDescent="0.25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21"/>
    </row>
    <row r="120" spans="1:58" ht="15.75" x14ac:dyDescent="0.25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21"/>
    </row>
    <row r="121" spans="1:58" ht="15.75" x14ac:dyDescent="0.25">
      <c r="A121" s="5" t="s">
        <v>230</v>
      </c>
      <c r="B121" s="5" t="s">
        <v>231</v>
      </c>
      <c r="C121" s="7">
        <v>4</v>
      </c>
      <c r="D121" s="7">
        <v>4</v>
      </c>
      <c r="E121" s="7">
        <v>142864.62899999999</v>
      </c>
      <c r="F121" s="7">
        <v>36844.754000000001</v>
      </c>
      <c r="G121" s="7">
        <v>0</v>
      </c>
      <c r="H121" s="7">
        <v>0</v>
      </c>
      <c r="I121" s="7">
        <v>2136.5120000000002</v>
      </c>
      <c r="J121" s="7">
        <v>0</v>
      </c>
      <c r="K121" s="7">
        <v>205290.24600000001</v>
      </c>
      <c r="L121" s="7">
        <v>17544.317999999999</v>
      </c>
      <c r="M121" s="7">
        <v>0</v>
      </c>
      <c r="N121" s="7">
        <v>20713.066999999999</v>
      </c>
      <c r="O121" s="7">
        <v>477143.163</v>
      </c>
      <c r="P121" s="7">
        <v>28335.773000000001</v>
      </c>
      <c r="Q121" s="7">
        <v>0</v>
      </c>
      <c r="R121" s="7">
        <v>1005.43</v>
      </c>
      <c r="S121" s="7">
        <v>0</v>
      </c>
      <c r="T121" s="7">
        <v>618.69100000000003</v>
      </c>
      <c r="U121" s="7">
        <v>0</v>
      </c>
      <c r="V121" s="7">
        <v>10860.805</v>
      </c>
      <c r="W121" s="7">
        <v>0</v>
      </c>
      <c r="X121" s="7">
        <v>9870.0669999999991</v>
      </c>
      <c r="Y121" s="7">
        <v>0</v>
      </c>
      <c r="Z121" s="7">
        <v>0</v>
      </c>
      <c r="AA121" s="7">
        <v>3728.79</v>
      </c>
      <c r="AB121" s="7">
        <v>31931.431</v>
      </c>
      <c r="AC121" s="7">
        <v>79725.201000000001</v>
      </c>
      <c r="AD121" s="7">
        <v>17957.855</v>
      </c>
      <c r="AE121" s="7">
        <v>0</v>
      </c>
      <c r="AF121" s="7">
        <v>24384.156999999999</v>
      </c>
      <c r="AG121" s="7">
        <v>5838.7910000000002</v>
      </c>
      <c r="AH121" s="7">
        <v>7059.6959999999999</v>
      </c>
      <c r="AI121" s="7">
        <v>206895.652</v>
      </c>
      <c r="AJ121" s="7">
        <v>97989.278000000006</v>
      </c>
      <c r="AK121" s="7">
        <v>29145.431</v>
      </c>
      <c r="AL121" s="7">
        <v>599998.57999999996</v>
      </c>
      <c r="AM121" s="7">
        <v>189579.26</v>
      </c>
      <c r="AN121" s="7">
        <v>136912.34700000001</v>
      </c>
      <c r="AO121" s="7">
        <v>779130.55700000003</v>
      </c>
      <c r="AP121" s="7">
        <v>22854.833999999999</v>
      </c>
      <c r="AQ121" s="7">
        <v>7419.8869999999997</v>
      </c>
      <c r="AR121" s="7">
        <v>509026.30800000002</v>
      </c>
      <c r="AS121" s="7">
        <v>0</v>
      </c>
      <c r="AT121" s="7">
        <v>229123.37100000001</v>
      </c>
      <c r="AU121" s="7">
        <v>450.96100000000001</v>
      </c>
      <c r="AV121" s="7">
        <v>466.33600000000001</v>
      </c>
      <c r="AW121" s="7">
        <v>0</v>
      </c>
      <c r="AX121" s="7">
        <v>26735.118999999999</v>
      </c>
      <c r="AY121" s="7">
        <v>0</v>
      </c>
      <c r="AZ121" s="7">
        <v>109.39700000000001</v>
      </c>
      <c r="BA121" s="7">
        <v>0</v>
      </c>
      <c r="BB121" s="7">
        <v>892.12099999999998</v>
      </c>
      <c r="BC121" s="7">
        <v>0</v>
      </c>
      <c r="BD121" s="7">
        <v>0</v>
      </c>
      <c r="BE121" s="7">
        <v>25776.597000000002</v>
      </c>
      <c r="BF121" s="21"/>
    </row>
    <row r="122" spans="1:58" ht="15.75" x14ac:dyDescent="0.25">
      <c r="A122" s="5" t="s">
        <v>232</v>
      </c>
      <c r="B122" s="5" t="s">
        <v>233</v>
      </c>
      <c r="C122" s="7">
        <v>4</v>
      </c>
      <c r="D122" s="7">
        <v>3</v>
      </c>
      <c r="E122" s="7">
        <v>8922.2849999999999</v>
      </c>
      <c r="F122" s="7">
        <v>1283.3040000000001</v>
      </c>
      <c r="G122" s="7">
        <v>1415.414</v>
      </c>
      <c r="H122" s="7">
        <v>1049.6590000000001</v>
      </c>
      <c r="I122" s="7">
        <v>295.70600000000002</v>
      </c>
      <c r="J122" s="7">
        <v>1133.1669999999999</v>
      </c>
      <c r="K122" s="7">
        <v>3690.9720000000002</v>
      </c>
      <c r="L122" s="7">
        <v>1235.5419999999999</v>
      </c>
      <c r="M122" s="7">
        <v>0</v>
      </c>
      <c r="N122" s="7">
        <v>4292.1880000000001</v>
      </c>
      <c r="O122" s="7">
        <v>11945.951999999999</v>
      </c>
      <c r="P122" s="7">
        <v>4461.8620000000001</v>
      </c>
      <c r="Q122" s="7">
        <v>0</v>
      </c>
      <c r="R122" s="7">
        <v>0</v>
      </c>
      <c r="S122" s="7">
        <v>2E-3</v>
      </c>
      <c r="T122" s="7">
        <v>608.726</v>
      </c>
      <c r="U122" s="7">
        <v>660.04100000000005</v>
      </c>
      <c r="V122" s="7">
        <v>477.43799999999999</v>
      </c>
      <c r="W122" s="7">
        <v>0</v>
      </c>
      <c r="X122" s="7">
        <v>4541.2809999999999</v>
      </c>
      <c r="Y122" s="7">
        <v>0</v>
      </c>
      <c r="Z122" s="7">
        <v>84.429000000000002</v>
      </c>
      <c r="AA122" s="7">
        <v>338.267</v>
      </c>
      <c r="AB122" s="7">
        <v>0</v>
      </c>
      <c r="AC122" s="7">
        <v>1770.93</v>
      </c>
      <c r="AD122" s="7">
        <v>12851.781000000001</v>
      </c>
      <c r="AE122" s="7">
        <v>1794.4290000000001</v>
      </c>
      <c r="AF122" s="7">
        <v>0</v>
      </c>
      <c r="AG122" s="7">
        <v>243.27099999999999</v>
      </c>
      <c r="AH122" s="7">
        <v>2246.7440000000001</v>
      </c>
      <c r="AI122" s="7">
        <v>2829.692</v>
      </c>
      <c r="AJ122" s="7">
        <v>18.584</v>
      </c>
      <c r="AK122" s="7">
        <v>6238.6629999999996</v>
      </c>
      <c r="AL122" s="7">
        <v>21656.190999999999</v>
      </c>
      <c r="AM122" s="7">
        <v>31.702000000000002</v>
      </c>
      <c r="AN122" s="7">
        <v>82733</v>
      </c>
      <c r="AO122" s="7">
        <v>0</v>
      </c>
      <c r="AP122" s="7">
        <v>15585.677</v>
      </c>
      <c r="AQ122" s="7">
        <v>12897.152</v>
      </c>
      <c r="AR122" s="7">
        <v>0</v>
      </c>
      <c r="AS122" s="7">
        <v>0</v>
      </c>
      <c r="AT122" s="7">
        <v>0</v>
      </c>
      <c r="AU122" s="7">
        <v>27.262</v>
      </c>
      <c r="AV122" s="7">
        <v>411.57600000000002</v>
      </c>
      <c r="AW122" s="7">
        <v>0</v>
      </c>
      <c r="AX122" s="7">
        <v>2.585</v>
      </c>
      <c r="AY122" s="7">
        <v>0</v>
      </c>
      <c r="AZ122" s="7">
        <v>1.7909999999999999</v>
      </c>
      <c r="BA122" s="7">
        <v>0</v>
      </c>
      <c r="BB122" s="7">
        <v>49.34</v>
      </c>
      <c r="BC122" s="7">
        <v>0</v>
      </c>
      <c r="BD122" s="7">
        <v>0</v>
      </c>
      <c r="BE122" s="7">
        <v>4088.4360000000001</v>
      </c>
      <c r="BF122" s="21"/>
    </row>
    <row r="123" spans="1:58" ht="15.75" x14ac:dyDescent="0.25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21"/>
    </row>
    <row r="124" spans="1:58" ht="15.75" x14ac:dyDescent="0.25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21"/>
    </row>
    <row r="125" spans="1:58" ht="15.75" x14ac:dyDescent="0.25">
      <c r="A125" s="5" t="s">
        <v>237</v>
      </c>
      <c r="B125" s="5" t="s">
        <v>238</v>
      </c>
      <c r="C125" s="7">
        <v>4</v>
      </c>
      <c r="D125" s="7">
        <v>4</v>
      </c>
      <c r="E125" s="7">
        <v>13.061</v>
      </c>
      <c r="F125" s="7">
        <v>1.3839999999999999</v>
      </c>
      <c r="G125" s="7">
        <v>5.65</v>
      </c>
      <c r="H125" s="7">
        <v>0</v>
      </c>
      <c r="I125" s="7">
        <v>0.37</v>
      </c>
      <c r="J125" s="7">
        <v>3.84</v>
      </c>
      <c r="K125" s="7">
        <v>1.004</v>
      </c>
      <c r="L125" s="7">
        <v>3.7120000000000002</v>
      </c>
      <c r="M125" s="7">
        <v>0</v>
      </c>
      <c r="N125" s="7">
        <v>8.2159999999999993</v>
      </c>
      <c r="O125" s="7">
        <v>4.8369999999999997</v>
      </c>
      <c r="P125" s="7">
        <v>8.0340000000000007</v>
      </c>
      <c r="Q125" s="7">
        <v>0</v>
      </c>
      <c r="R125" s="7">
        <v>0</v>
      </c>
      <c r="S125" s="7">
        <v>4.0000000000000001E-3</v>
      </c>
      <c r="T125" s="7">
        <v>0</v>
      </c>
      <c r="U125" s="7">
        <v>105.83</v>
      </c>
      <c r="V125" s="7">
        <v>0.46800000000000003</v>
      </c>
      <c r="W125" s="7">
        <v>0</v>
      </c>
      <c r="X125" s="7">
        <v>0</v>
      </c>
      <c r="Y125" s="7">
        <v>0</v>
      </c>
      <c r="Z125" s="7">
        <v>0.317</v>
      </c>
      <c r="AA125" s="7">
        <v>1.127</v>
      </c>
      <c r="AB125" s="7">
        <v>0</v>
      </c>
      <c r="AC125" s="7">
        <v>1.823</v>
      </c>
      <c r="AD125" s="7">
        <v>0</v>
      </c>
      <c r="AE125" s="7">
        <v>4.2729999999999997</v>
      </c>
      <c r="AF125" s="7">
        <v>0</v>
      </c>
      <c r="AG125" s="7">
        <v>0.21</v>
      </c>
      <c r="AH125" s="7">
        <v>0</v>
      </c>
      <c r="AI125" s="7">
        <v>4.3280000000000003</v>
      </c>
      <c r="AJ125" s="7">
        <v>0</v>
      </c>
      <c r="AK125" s="7">
        <v>0</v>
      </c>
      <c r="AL125" s="7">
        <v>17.347000000000001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0.02</v>
      </c>
      <c r="AV125" s="7">
        <v>0</v>
      </c>
      <c r="AW125" s="7">
        <v>0</v>
      </c>
      <c r="AX125" s="7">
        <v>0</v>
      </c>
      <c r="AY125" s="7">
        <v>0</v>
      </c>
      <c r="AZ125" s="7">
        <v>1E-3</v>
      </c>
      <c r="BA125" s="7">
        <v>0</v>
      </c>
      <c r="BB125" s="7">
        <v>0.17599999999999999</v>
      </c>
      <c r="BC125" s="7">
        <v>0</v>
      </c>
      <c r="BD125" s="7">
        <v>0</v>
      </c>
      <c r="BE125" s="7">
        <v>0</v>
      </c>
      <c r="BF125" s="21"/>
    </row>
    <row r="126" spans="1:58" ht="15.75" x14ac:dyDescent="0.25">
      <c r="A126" s="5" t="s">
        <v>239</v>
      </c>
      <c r="B126" s="5" t="s">
        <v>240</v>
      </c>
      <c r="C126" s="7">
        <v>4</v>
      </c>
      <c r="D126" s="7">
        <v>3</v>
      </c>
      <c r="E126" s="7">
        <v>25869.94</v>
      </c>
      <c r="F126" s="7">
        <v>4371.9830000000002</v>
      </c>
      <c r="G126" s="7">
        <v>1760.2729999999999</v>
      </c>
      <c r="H126" s="7">
        <v>4333.0029999999997</v>
      </c>
      <c r="I126" s="7">
        <v>902.40700000000004</v>
      </c>
      <c r="J126" s="7">
        <v>3487.098</v>
      </c>
      <c r="K126" s="7">
        <v>15029.745000000001</v>
      </c>
      <c r="L126" s="7">
        <v>4346.2669999999998</v>
      </c>
      <c r="M126" s="7">
        <v>0</v>
      </c>
      <c r="N126" s="7">
        <v>15112.253000000001</v>
      </c>
      <c r="O126" s="7">
        <v>36723.26</v>
      </c>
      <c r="P126" s="7">
        <v>15209.833000000001</v>
      </c>
      <c r="Q126" s="7">
        <v>0</v>
      </c>
      <c r="R126" s="7">
        <v>0</v>
      </c>
      <c r="S126" s="7">
        <v>1.6E-2</v>
      </c>
      <c r="T126" s="7">
        <v>0</v>
      </c>
      <c r="U126" s="7">
        <v>0.27200000000000002</v>
      </c>
      <c r="V126" s="7">
        <v>1616.817</v>
      </c>
      <c r="W126" s="7">
        <v>0</v>
      </c>
      <c r="X126" s="7">
        <v>0</v>
      </c>
      <c r="Y126" s="7">
        <v>0</v>
      </c>
      <c r="Z126" s="7">
        <v>202.88</v>
      </c>
      <c r="AA126" s="7">
        <v>1282.1880000000001</v>
      </c>
      <c r="AB126" s="7">
        <v>0</v>
      </c>
      <c r="AC126" s="7">
        <v>6234.27</v>
      </c>
      <c r="AD126" s="7">
        <v>0</v>
      </c>
      <c r="AE126" s="7">
        <v>5837.1509999999998</v>
      </c>
      <c r="AF126" s="7">
        <v>0</v>
      </c>
      <c r="AG126" s="7">
        <v>718.45500000000004</v>
      </c>
      <c r="AH126" s="7">
        <v>0</v>
      </c>
      <c r="AI126" s="7">
        <v>3464.0920000000001</v>
      </c>
      <c r="AJ126" s="7">
        <v>76.712999999999994</v>
      </c>
      <c r="AK126" s="7">
        <v>0</v>
      </c>
      <c r="AL126" s="7">
        <v>62716.788999999997</v>
      </c>
      <c r="AM126" s="7">
        <v>130.863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83.94</v>
      </c>
      <c r="AV126" s="7">
        <v>0</v>
      </c>
      <c r="AW126" s="7">
        <v>0</v>
      </c>
      <c r="AX126" s="7">
        <v>10.673</v>
      </c>
      <c r="AY126" s="7">
        <v>0</v>
      </c>
      <c r="AZ126" s="7">
        <v>5.8</v>
      </c>
      <c r="BA126" s="7">
        <v>0</v>
      </c>
      <c r="BB126" s="7">
        <v>0.81599999999999995</v>
      </c>
      <c r="BC126" s="7">
        <v>0</v>
      </c>
      <c r="BD126" s="7">
        <v>0</v>
      </c>
      <c r="BE126" s="7">
        <v>4652.1440000000002</v>
      </c>
      <c r="BF126" s="21"/>
    </row>
    <row r="127" spans="1:58" ht="15.75" x14ac:dyDescent="0.25">
      <c r="A127" s="5" t="s">
        <v>241</v>
      </c>
      <c r="B127" s="5" t="s">
        <v>242</v>
      </c>
      <c r="C127" s="7">
        <v>2</v>
      </c>
      <c r="D127" s="7">
        <v>2</v>
      </c>
      <c r="E127" s="7">
        <v>47118.449000000001</v>
      </c>
      <c r="F127" s="7">
        <v>11358.120999999999</v>
      </c>
      <c r="G127" s="7">
        <v>11640.964</v>
      </c>
      <c r="H127" s="7">
        <v>579.74599999999998</v>
      </c>
      <c r="I127" s="7">
        <v>2251.402</v>
      </c>
      <c r="J127" s="7">
        <v>9129.3209999999999</v>
      </c>
      <c r="K127" s="7">
        <v>61896.345000000001</v>
      </c>
      <c r="L127" s="7">
        <v>11720.960999999999</v>
      </c>
      <c r="M127" s="7">
        <v>0</v>
      </c>
      <c r="N127" s="7">
        <v>30009.425999999999</v>
      </c>
      <c r="O127" s="7">
        <v>50935.853000000003</v>
      </c>
      <c r="P127" s="7">
        <v>39718.957000000002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3550.817</v>
      </c>
      <c r="W127" s="7">
        <v>0</v>
      </c>
      <c r="X127" s="7">
        <v>0</v>
      </c>
      <c r="Y127" s="7">
        <v>0</v>
      </c>
      <c r="Z127" s="7">
        <v>1070.0150000000001</v>
      </c>
      <c r="AA127" s="7">
        <v>3211.1320000000001</v>
      </c>
      <c r="AB127" s="7">
        <v>0</v>
      </c>
      <c r="AC127" s="7">
        <v>10866.466</v>
      </c>
      <c r="AD127" s="7">
        <v>0</v>
      </c>
      <c r="AE127" s="7">
        <v>10523.26</v>
      </c>
      <c r="AF127" s="7">
        <v>0</v>
      </c>
      <c r="AG127" s="7">
        <v>1573.914</v>
      </c>
      <c r="AH127" s="7">
        <v>0</v>
      </c>
      <c r="AI127" s="7">
        <v>26426.752</v>
      </c>
      <c r="AJ127" s="7">
        <v>10.266999999999999</v>
      </c>
      <c r="AK127" s="7">
        <v>0</v>
      </c>
      <c r="AL127" s="7">
        <v>102061.30100000001</v>
      </c>
      <c r="AM127" s="7">
        <v>17.5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96.281000000000006</v>
      </c>
      <c r="AV127" s="7">
        <v>0</v>
      </c>
      <c r="AW127" s="7">
        <v>0</v>
      </c>
      <c r="AX127" s="7">
        <v>1.421</v>
      </c>
      <c r="AY127" s="7">
        <v>0</v>
      </c>
      <c r="AZ127" s="7">
        <v>4.7779999999999996</v>
      </c>
      <c r="BA127" s="7">
        <v>0</v>
      </c>
      <c r="BB127" s="7">
        <v>6.5000000000000002E-2</v>
      </c>
      <c r="BC127" s="7">
        <v>0</v>
      </c>
      <c r="BD127" s="7">
        <v>0</v>
      </c>
      <c r="BE127" s="7">
        <v>643.79</v>
      </c>
      <c r="BF127" s="21"/>
    </row>
    <row r="128" spans="1:58" ht="15.75" x14ac:dyDescent="0.25">
      <c r="A128" s="5" t="s">
        <v>243</v>
      </c>
      <c r="B128" s="5" t="s">
        <v>244</v>
      </c>
      <c r="C128" s="7">
        <v>4</v>
      </c>
      <c r="D128" s="7">
        <v>4</v>
      </c>
      <c r="E128" s="7">
        <v>35894.786</v>
      </c>
      <c r="F128" s="7">
        <v>9257.2459999999992</v>
      </c>
      <c r="G128" s="7">
        <v>0</v>
      </c>
      <c r="H128" s="7">
        <v>0</v>
      </c>
      <c r="I128" s="7">
        <v>536.78300000000002</v>
      </c>
      <c r="J128" s="7">
        <v>0</v>
      </c>
      <c r="K128" s="7">
        <v>51576.864999999998</v>
      </c>
      <c r="L128" s="7">
        <v>4407.9719999999998</v>
      </c>
      <c r="M128" s="7">
        <v>0</v>
      </c>
      <c r="N128" s="7">
        <v>5203.2290000000003</v>
      </c>
      <c r="O128" s="7">
        <v>119882.20699999999</v>
      </c>
      <c r="P128" s="7">
        <v>7118.7960000000003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2728.7559999999999</v>
      </c>
      <c r="W128" s="7">
        <v>0</v>
      </c>
      <c r="X128" s="7">
        <v>0</v>
      </c>
      <c r="Y128" s="7">
        <v>0</v>
      </c>
      <c r="Z128" s="7">
        <v>0</v>
      </c>
      <c r="AA128" s="7">
        <v>936.846</v>
      </c>
      <c r="AB128" s="7">
        <v>0</v>
      </c>
      <c r="AC128" s="7">
        <v>20036.484</v>
      </c>
      <c r="AD128" s="7">
        <v>0</v>
      </c>
      <c r="AE128" s="7">
        <v>0</v>
      </c>
      <c r="AF128" s="7">
        <v>6.4820000000000002</v>
      </c>
      <c r="AG128" s="7">
        <v>1467.058</v>
      </c>
      <c r="AH128" s="7">
        <v>0</v>
      </c>
      <c r="AI128" s="7">
        <v>51996.758000000002</v>
      </c>
      <c r="AJ128" s="7">
        <v>24621.231</v>
      </c>
      <c r="AK128" s="7">
        <v>0</v>
      </c>
      <c r="AL128" s="7">
        <v>150721.63099999999</v>
      </c>
      <c r="AM128" s="7">
        <v>47635.777000000002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113.346</v>
      </c>
      <c r="AV128" s="7">
        <v>0</v>
      </c>
      <c r="AW128" s="7">
        <v>0</v>
      </c>
      <c r="AX128" s="7">
        <v>6718.3689999999997</v>
      </c>
      <c r="AY128" s="7">
        <v>0</v>
      </c>
      <c r="AZ128" s="7">
        <v>27.555</v>
      </c>
      <c r="BA128" s="7">
        <v>0</v>
      </c>
      <c r="BB128" s="7">
        <v>223.63900000000001</v>
      </c>
      <c r="BC128" s="7">
        <v>0</v>
      </c>
      <c r="BD128" s="7">
        <v>0</v>
      </c>
      <c r="BE128" s="7">
        <v>4955.8819999999996</v>
      </c>
      <c r="BF128" s="21"/>
    </row>
    <row r="129" spans="1:58" ht="15.75" x14ac:dyDescent="0.25">
      <c r="A129" s="5" t="s">
        <v>245</v>
      </c>
      <c r="B129" s="5" t="s">
        <v>246</v>
      </c>
      <c r="C129" s="7">
        <v>4</v>
      </c>
      <c r="D129" s="7">
        <v>6</v>
      </c>
      <c r="E129" s="7">
        <v>3546.74</v>
      </c>
      <c r="F129" s="7">
        <v>824.471</v>
      </c>
      <c r="G129" s="7">
        <v>68.968000000000004</v>
      </c>
      <c r="H129" s="7">
        <v>170.06200000000001</v>
      </c>
      <c r="I129" s="7">
        <v>73.275999999999996</v>
      </c>
      <c r="J129" s="7">
        <v>136.73599999999999</v>
      </c>
      <c r="K129" s="7">
        <v>4227.5619999999999</v>
      </c>
      <c r="L129" s="7">
        <v>481.47399999999999</v>
      </c>
      <c r="M129" s="7">
        <v>0</v>
      </c>
      <c r="N129" s="7">
        <v>960.10900000000004</v>
      </c>
      <c r="O129" s="7">
        <v>9896.4380000000001</v>
      </c>
      <c r="P129" s="7">
        <v>1098.876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255.916</v>
      </c>
      <c r="W129" s="7">
        <v>0</v>
      </c>
      <c r="X129" s="7">
        <v>0</v>
      </c>
      <c r="Y129" s="7">
        <v>0</v>
      </c>
      <c r="Z129" s="7">
        <v>7.9630000000000001</v>
      </c>
      <c r="AA129" s="7">
        <v>116.399</v>
      </c>
      <c r="AB129" s="7">
        <v>0</v>
      </c>
      <c r="AC129" s="7">
        <v>1657.837</v>
      </c>
      <c r="AD129" s="7">
        <v>0</v>
      </c>
      <c r="AE129" s="7">
        <v>229.09700000000001</v>
      </c>
      <c r="AF129" s="7">
        <v>0.45800000000000002</v>
      </c>
      <c r="AG129" s="7">
        <v>131.667</v>
      </c>
      <c r="AH129" s="7">
        <v>0</v>
      </c>
      <c r="AI129" s="7">
        <v>3802.8209999999999</v>
      </c>
      <c r="AJ129" s="7">
        <v>1739.5260000000001</v>
      </c>
      <c r="AK129" s="7">
        <v>0</v>
      </c>
      <c r="AL129" s="7">
        <v>13091.341</v>
      </c>
      <c r="AM129" s="7">
        <v>3364.8490000000002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11.288</v>
      </c>
      <c r="AV129" s="7">
        <v>0</v>
      </c>
      <c r="AW129" s="7">
        <v>0</v>
      </c>
      <c r="AX129" s="7">
        <v>474.26</v>
      </c>
      <c r="AY129" s="7">
        <v>0</v>
      </c>
      <c r="AZ129" s="7">
        <v>2.1669999999999998</v>
      </c>
      <c r="BA129" s="7">
        <v>0</v>
      </c>
      <c r="BB129" s="7">
        <v>15.846</v>
      </c>
      <c r="BC129" s="7">
        <v>0</v>
      </c>
      <c r="BD129" s="7">
        <v>0</v>
      </c>
      <c r="BE129" s="7">
        <v>532.12099999999998</v>
      </c>
      <c r="BF129" s="21"/>
    </row>
    <row r="130" spans="1:58" ht="15.75" x14ac:dyDescent="0.25">
      <c r="A130" s="5" t="s">
        <v>247</v>
      </c>
      <c r="B130" s="5" t="s">
        <v>248</v>
      </c>
      <c r="C130" s="7">
        <v>6</v>
      </c>
      <c r="D130" s="7">
        <v>6</v>
      </c>
      <c r="E130" s="7">
        <v>27868.914000000001</v>
      </c>
      <c r="F130" s="7">
        <v>525.60400000000004</v>
      </c>
      <c r="G130" s="7">
        <v>0</v>
      </c>
      <c r="H130" s="7">
        <v>0</v>
      </c>
      <c r="I130" s="7">
        <v>0</v>
      </c>
      <c r="J130" s="7">
        <v>0</v>
      </c>
      <c r="K130" s="7">
        <v>18636.805</v>
      </c>
      <c r="L130" s="7">
        <v>1934.329</v>
      </c>
      <c r="M130" s="7">
        <v>0</v>
      </c>
      <c r="N130" s="7">
        <v>12264.178</v>
      </c>
      <c r="O130" s="7">
        <v>78998.527000000002</v>
      </c>
      <c r="P130" s="7">
        <v>9312.6980000000003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3303.953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20690.653999999999</v>
      </c>
      <c r="AJ130" s="7">
        <v>125.453</v>
      </c>
      <c r="AK130" s="7">
        <v>0</v>
      </c>
      <c r="AL130" s="7">
        <v>87171.532999999996</v>
      </c>
      <c r="AM130" s="7">
        <v>80.055000000000007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21"/>
    </row>
    <row r="131" spans="1:58" ht="15.75" x14ac:dyDescent="0.25">
      <c r="A131" s="5" t="s">
        <v>249</v>
      </c>
      <c r="B131" s="5" t="s">
        <v>250</v>
      </c>
      <c r="C131" s="7">
        <v>6</v>
      </c>
      <c r="D131" s="7">
        <v>6</v>
      </c>
      <c r="E131" s="7">
        <v>36084.85</v>
      </c>
      <c r="F131" s="7">
        <v>4825.8410000000003</v>
      </c>
      <c r="G131" s="7">
        <v>7144.3280000000004</v>
      </c>
      <c r="H131" s="7">
        <v>0</v>
      </c>
      <c r="I131" s="7">
        <v>1242.2070000000001</v>
      </c>
      <c r="J131" s="7">
        <v>4191.433</v>
      </c>
      <c r="K131" s="7">
        <v>34696.917999999998</v>
      </c>
      <c r="L131" s="7">
        <v>3980.6120000000001</v>
      </c>
      <c r="M131" s="7">
        <v>0</v>
      </c>
      <c r="N131" s="7">
        <v>21550.560000000001</v>
      </c>
      <c r="O131" s="7">
        <v>60489.493999999999</v>
      </c>
      <c r="P131" s="7">
        <v>16130.04</v>
      </c>
      <c r="Q131" s="7">
        <v>0</v>
      </c>
      <c r="R131" s="7">
        <v>0</v>
      </c>
      <c r="S131" s="7">
        <v>243.07599999999999</v>
      </c>
      <c r="T131" s="7">
        <v>0</v>
      </c>
      <c r="U131" s="7">
        <v>6.8129999999999997</v>
      </c>
      <c r="V131" s="7">
        <v>0</v>
      </c>
      <c r="W131" s="7">
        <v>0</v>
      </c>
      <c r="X131" s="7">
        <v>0</v>
      </c>
      <c r="Y131" s="7">
        <v>0</v>
      </c>
      <c r="Z131" s="7">
        <v>505.47699999999998</v>
      </c>
      <c r="AA131" s="7">
        <v>1691.6320000000001</v>
      </c>
      <c r="AB131" s="7">
        <v>0</v>
      </c>
      <c r="AC131" s="7">
        <v>13498.302</v>
      </c>
      <c r="AD131" s="7">
        <v>0</v>
      </c>
      <c r="AE131" s="7">
        <v>4708.1480000000001</v>
      </c>
      <c r="AF131" s="7">
        <v>0</v>
      </c>
      <c r="AG131" s="7">
        <v>800.149</v>
      </c>
      <c r="AH131" s="7">
        <v>0</v>
      </c>
      <c r="AI131" s="7">
        <v>42451.042000000001</v>
      </c>
      <c r="AJ131" s="7">
        <v>0</v>
      </c>
      <c r="AK131" s="7">
        <v>0</v>
      </c>
      <c r="AL131" s="7">
        <v>78584.285000000003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21"/>
    </row>
    <row r="132" spans="1:58" ht="15.75" x14ac:dyDescent="0.25">
      <c r="A132" s="5" t="s">
        <v>251</v>
      </c>
      <c r="B132" s="5" t="s">
        <v>252</v>
      </c>
      <c r="C132" s="7">
        <v>6</v>
      </c>
      <c r="D132" s="7">
        <v>6</v>
      </c>
      <c r="E132" s="7">
        <v>6097.8419999999996</v>
      </c>
      <c r="F132" s="7">
        <v>1032.4970000000001</v>
      </c>
      <c r="G132" s="7">
        <v>1.2649999999999999</v>
      </c>
      <c r="H132" s="7">
        <v>0</v>
      </c>
      <c r="I132" s="7">
        <v>66.382000000000005</v>
      </c>
      <c r="J132" s="7">
        <v>0.80800000000000005</v>
      </c>
      <c r="K132" s="7">
        <v>4986.3739999999998</v>
      </c>
      <c r="L132" s="7">
        <v>1443.6210000000001</v>
      </c>
      <c r="M132" s="7">
        <v>0</v>
      </c>
      <c r="N132" s="7">
        <v>3233.8519999999999</v>
      </c>
      <c r="O132" s="7">
        <v>25706.367999999999</v>
      </c>
      <c r="P132" s="7">
        <v>1364.575</v>
      </c>
      <c r="Q132" s="7">
        <v>0</v>
      </c>
      <c r="R132" s="7">
        <v>0</v>
      </c>
      <c r="S132" s="7">
        <v>0.53100000000000003</v>
      </c>
      <c r="T132" s="7">
        <v>0</v>
      </c>
      <c r="U132" s="7">
        <v>0</v>
      </c>
      <c r="V132" s="7">
        <v>309.58</v>
      </c>
      <c r="W132" s="7">
        <v>0</v>
      </c>
      <c r="X132" s="7">
        <v>0</v>
      </c>
      <c r="Y132" s="7">
        <v>0</v>
      </c>
      <c r="Z132" s="7">
        <v>0</v>
      </c>
      <c r="AA132" s="7">
        <v>97.290999999999997</v>
      </c>
      <c r="AB132" s="7">
        <v>0</v>
      </c>
      <c r="AC132" s="7">
        <v>1875.912</v>
      </c>
      <c r="AD132" s="7">
        <v>0</v>
      </c>
      <c r="AE132" s="7">
        <v>204.821</v>
      </c>
      <c r="AF132" s="7">
        <v>0</v>
      </c>
      <c r="AG132" s="7">
        <v>156.154</v>
      </c>
      <c r="AH132" s="7">
        <v>0</v>
      </c>
      <c r="AI132" s="7">
        <v>6124.3530000000001</v>
      </c>
      <c r="AJ132" s="7">
        <v>2415.5479999999998</v>
      </c>
      <c r="AK132" s="7">
        <v>0</v>
      </c>
      <c r="AL132" s="7">
        <v>21949.378000000001</v>
      </c>
      <c r="AM132" s="7">
        <v>4828.8130000000001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8.9819999999999993</v>
      </c>
      <c r="AV132" s="7">
        <v>0</v>
      </c>
      <c r="AW132" s="7">
        <v>0</v>
      </c>
      <c r="AX132" s="7">
        <v>611.24599999999998</v>
      </c>
      <c r="AY132" s="7">
        <v>0</v>
      </c>
      <c r="AZ132" s="7">
        <v>2.7879999999999998</v>
      </c>
      <c r="BA132" s="7">
        <v>0</v>
      </c>
      <c r="BB132" s="7">
        <v>23.623999999999999</v>
      </c>
      <c r="BC132" s="7">
        <v>0</v>
      </c>
      <c r="BD132" s="7">
        <v>0</v>
      </c>
      <c r="BE132" s="7">
        <v>0</v>
      </c>
      <c r="BF132" s="21"/>
    </row>
    <row r="133" spans="1:58" ht="15.75" x14ac:dyDescent="0.25">
      <c r="A133" s="5" t="s">
        <v>253</v>
      </c>
      <c r="B133" s="5" t="s">
        <v>254</v>
      </c>
      <c r="C133" s="7">
        <v>6</v>
      </c>
      <c r="D133" s="7">
        <v>6</v>
      </c>
      <c r="E133" s="7">
        <v>104877.151</v>
      </c>
      <c r="F133" s="7">
        <v>15167.026</v>
      </c>
      <c r="G133" s="7">
        <v>6188.58</v>
      </c>
      <c r="H133" s="7">
        <v>6463.7849999999999</v>
      </c>
      <c r="I133" s="7">
        <v>899.03800000000001</v>
      </c>
      <c r="J133" s="7">
        <v>4318.924</v>
      </c>
      <c r="K133" s="7">
        <v>125739.11599999999</v>
      </c>
      <c r="L133" s="7">
        <v>9021.9009999999998</v>
      </c>
      <c r="M133" s="7">
        <v>0</v>
      </c>
      <c r="N133" s="7">
        <v>58450.720999999998</v>
      </c>
      <c r="O133" s="7">
        <v>301961.65100000001</v>
      </c>
      <c r="P133" s="7">
        <v>54045.226999999999</v>
      </c>
      <c r="Q133" s="7">
        <v>0</v>
      </c>
      <c r="R133" s="7">
        <v>0</v>
      </c>
      <c r="S133" s="7">
        <v>156.017</v>
      </c>
      <c r="T133" s="7">
        <v>0</v>
      </c>
      <c r="U133" s="7">
        <v>110.012</v>
      </c>
      <c r="V133" s="7">
        <v>0</v>
      </c>
      <c r="W133" s="7">
        <v>0</v>
      </c>
      <c r="X133" s="7">
        <v>0</v>
      </c>
      <c r="Y133" s="7">
        <v>0</v>
      </c>
      <c r="Z133" s="7">
        <v>478.84500000000003</v>
      </c>
      <c r="AA133" s="7">
        <v>1526.65</v>
      </c>
      <c r="AB133" s="7">
        <v>0</v>
      </c>
      <c r="AC133" s="7">
        <v>16065.826999999999</v>
      </c>
      <c r="AD133" s="7">
        <v>0</v>
      </c>
      <c r="AE133" s="7">
        <v>4592.0680000000002</v>
      </c>
      <c r="AF133" s="7">
        <v>0</v>
      </c>
      <c r="AG133" s="7">
        <v>788.01300000000003</v>
      </c>
      <c r="AH133" s="7">
        <v>0</v>
      </c>
      <c r="AI133" s="7">
        <v>70411.570999999996</v>
      </c>
      <c r="AJ133" s="7">
        <v>118.07299999999999</v>
      </c>
      <c r="AK133" s="7">
        <v>0</v>
      </c>
      <c r="AL133" s="7">
        <v>266419.685</v>
      </c>
      <c r="AM133" s="7">
        <v>69.183000000000007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155.64699999999999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21"/>
    </row>
    <row r="134" spans="1:58" ht="15.75" x14ac:dyDescent="0.25">
      <c r="A134" s="5" t="s">
        <v>255</v>
      </c>
      <c r="B134" s="5" t="s">
        <v>256</v>
      </c>
      <c r="C134" s="7">
        <v>6</v>
      </c>
      <c r="D134" s="7">
        <v>6</v>
      </c>
      <c r="E134" s="7">
        <v>2346.951</v>
      </c>
      <c r="F134" s="7">
        <v>35.145000000000003</v>
      </c>
      <c r="G134" s="7">
        <v>0</v>
      </c>
      <c r="H134" s="7">
        <v>0</v>
      </c>
      <c r="I134" s="7">
        <v>0</v>
      </c>
      <c r="J134" s="7">
        <v>0</v>
      </c>
      <c r="K134" s="7">
        <v>1203.4649999999999</v>
      </c>
      <c r="L134" s="7">
        <v>0</v>
      </c>
      <c r="M134" s="7">
        <v>0</v>
      </c>
      <c r="N134" s="7">
        <v>405.565</v>
      </c>
      <c r="O134" s="7">
        <v>8391.4490000000005</v>
      </c>
      <c r="P134" s="7">
        <v>293.07400000000001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115.28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921.95399999999995</v>
      </c>
      <c r="AJ134" s="7">
        <v>64.019000000000005</v>
      </c>
      <c r="AK134" s="7">
        <v>0</v>
      </c>
      <c r="AL134" s="7">
        <v>5773.9129999999996</v>
      </c>
      <c r="AM134" s="7">
        <v>211.346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21"/>
    </row>
    <row r="135" spans="1:58" ht="15.75" x14ac:dyDescent="0.25">
      <c r="A135" s="5" t="s">
        <v>257</v>
      </c>
      <c r="B135" s="5" t="s">
        <v>258</v>
      </c>
      <c r="C135" s="7">
        <v>6</v>
      </c>
      <c r="D135" s="7">
        <v>6</v>
      </c>
      <c r="E135" s="7">
        <v>27663.881000000001</v>
      </c>
      <c r="F135" s="7">
        <v>2019.6469999999999</v>
      </c>
      <c r="G135" s="7">
        <v>0</v>
      </c>
      <c r="H135" s="7">
        <v>0</v>
      </c>
      <c r="I135" s="7">
        <v>1.1759999999999999</v>
      </c>
      <c r="J135" s="7">
        <v>0</v>
      </c>
      <c r="K135" s="7">
        <v>54039.54</v>
      </c>
      <c r="L135" s="7">
        <v>1215.7650000000001</v>
      </c>
      <c r="M135" s="7">
        <v>0</v>
      </c>
      <c r="N135" s="7">
        <v>12214.893</v>
      </c>
      <c r="O135" s="7">
        <v>91657.092000000004</v>
      </c>
      <c r="P135" s="7">
        <v>23415.287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1411.2719999999999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18139.288</v>
      </c>
      <c r="AJ135" s="7">
        <v>1591.502</v>
      </c>
      <c r="AK135" s="7">
        <v>0</v>
      </c>
      <c r="AL135" s="7">
        <v>77744.578999999998</v>
      </c>
      <c r="AM135" s="7">
        <v>2097.9459999999999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21"/>
    </row>
    <row r="136" spans="1:58" ht="15.75" x14ac:dyDescent="0.25">
      <c r="A136" s="5" t="s">
        <v>259</v>
      </c>
      <c r="B136" s="5" t="s">
        <v>260</v>
      </c>
      <c r="C136" s="7">
        <v>6</v>
      </c>
      <c r="D136" s="7">
        <v>6</v>
      </c>
      <c r="E136" s="7">
        <v>21734.418000000001</v>
      </c>
      <c r="F136" s="7">
        <v>774.82899999999995</v>
      </c>
      <c r="G136" s="7">
        <v>718.21199999999999</v>
      </c>
      <c r="H136" s="7">
        <v>0</v>
      </c>
      <c r="I136" s="7">
        <v>86.445999999999998</v>
      </c>
      <c r="J136" s="7">
        <v>453.83699999999999</v>
      </c>
      <c r="K136" s="7">
        <v>20164.365000000002</v>
      </c>
      <c r="L136" s="7">
        <v>718.83500000000004</v>
      </c>
      <c r="M136" s="7">
        <v>0</v>
      </c>
      <c r="N136" s="7">
        <v>4207.2359999999999</v>
      </c>
      <c r="O136" s="7">
        <v>29159.206999999999</v>
      </c>
      <c r="P136" s="7">
        <v>4990.2960000000003</v>
      </c>
      <c r="Q136" s="7">
        <v>0</v>
      </c>
      <c r="R136" s="7">
        <v>0</v>
      </c>
      <c r="S136" s="7">
        <v>0.34399999999999997</v>
      </c>
      <c r="T136" s="7">
        <v>0</v>
      </c>
      <c r="U136" s="7">
        <v>0</v>
      </c>
      <c r="V136" s="7">
        <v>275.45999999999998</v>
      </c>
      <c r="W136" s="7">
        <v>0</v>
      </c>
      <c r="X136" s="7">
        <v>0</v>
      </c>
      <c r="Y136" s="7">
        <v>0</v>
      </c>
      <c r="Z136" s="7">
        <v>57.3</v>
      </c>
      <c r="AA136" s="7">
        <v>182.042</v>
      </c>
      <c r="AB136" s="7">
        <v>0</v>
      </c>
      <c r="AC136" s="7">
        <v>1225.2529999999999</v>
      </c>
      <c r="AD136" s="7">
        <v>0</v>
      </c>
      <c r="AE136" s="7">
        <v>424.80599999999998</v>
      </c>
      <c r="AF136" s="7">
        <v>0</v>
      </c>
      <c r="AG136" s="7">
        <v>123.65</v>
      </c>
      <c r="AH136" s="7">
        <v>0</v>
      </c>
      <c r="AI136" s="7">
        <v>7478.415</v>
      </c>
      <c r="AJ136" s="7">
        <v>1030.953</v>
      </c>
      <c r="AK136" s="7">
        <v>0</v>
      </c>
      <c r="AL136" s="7">
        <v>37488.616999999998</v>
      </c>
      <c r="AM136" s="7">
        <v>2060.9319999999998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6.2140000000000004</v>
      </c>
      <c r="AV136" s="7">
        <v>0</v>
      </c>
      <c r="AW136" s="7">
        <v>0</v>
      </c>
      <c r="AX136" s="7">
        <v>260.87900000000002</v>
      </c>
      <c r="AY136" s="7">
        <v>0</v>
      </c>
      <c r="AZ136" s="7">
        <v>2.5150000000000001</v>
      </c>
      <c r="BA136" s="7">
        <v>0</v>
      </c>
      <c r="BB136" s="7">
        <v>50.316000000000003</v>
      </c>
      <c r="BC136" s="7">
        <v>0</v>
      </c>
      <c r="BD136" s="7">
        <v>0</v>
      </c>
      <c r="BE136" s="7">
        <v>0</v>
      </c>
      <c r="BF136" s="21"/>
    </row>
    <row r="137" spans="1:58" ht="15.75" x14ac:dyDescent="0.25">
      <c r="A137" s="5" t="s">
        <v>261</v>
      </c>
      <c r="B137" s="5" t="s">
        <v>262</v>
      </c>
      <c r="C137" s="7">
        <v>6</v>
      </c>
      <c r="D137" s="7">
        <v>6</v>
      </c>
      <c r="E137" s="7">
        <v>651066.67799999996</v>
      </c>
      <c r="F137" s="7">
        <v>20157.517</v>
      </c>
      <c r="G137" s="7">
        <v>25271.456999999999</v>
      </c>
      <c r="H137" s="7">
        <v>1898.248</v>
      </c>
      <c r="I137" s="7">
        <v>4991.2780000000002</v>
      </c>
      <c r="J137" s="7">
        <v>14650.945</v>
      </c>
      <c r="K137" s="7">
        <v>624677.86399999994</v>
      </c>
      <c r="L137" s="7">
        <v>47677.014999999999</v>
      </c>
      <c r="M137" s="7">
        <v>0</v>
      </c>
      <c r="N137" s="7">
        <v>274830.196</v>
      </c>
      <c r="O137" s="7">
        <v>978156.19400000002</v>
      </c>
      <c r="P137" s="7">
        <v>276662.56199999998</v>
      </c>
      <c r="Q137" s="7">
        <v>0</v>
      </c>
      <c r="R137" s="7">
        <v>0</v>
      </c>
      <c r="S137" s="7">
        <v>859.48500000000001</v>
      </c>
      <c r="T137" s="7">
        <v>0</v>
      </c>
      <c r="U137" s="7">
        <v>17.295000000000002</v>
      </c>
      <c r="V137" s="7">
        <v>0</v>
      </c>
      <c r="W137" s="7">
        <v>0</v>
      </c>
      <c r="X137" s="7">
        <v>0</v>
      </c>
      <c r="Y137" s="7">
        <v>0</v>
      </c>
      <c r="Z137" s="7">
        <v>1283.154</v>
      </c>
      <c r="AA137" s="7">
        <v>4415.6540000000005</v>
      </c>
      <c r="AB137" s="7">
        <v>0</v>
      </c>
      <c r="AC137" s="7">
        <v>98170.85</v>
      </c>
      <c r="AD137" s="7">
        <v>0</v>
      </c>
      <c r="AE137" s="7">
        <v>14727.887000000001</v>
      </c>
      <c r="AF137" s="7">
        <v>0</v>
      </c>
      <c r="AG137" s="7">
        <v>2031.1780000000001</v>
      </c>
      <c r="AH137" s="7">
        <v>0</v>
      </c>
      <c r="AI137" s="7">
        <v>434848.62900000002</v>
      </c>
      <c r="AJ137" s="7">
        <v>364.226</v>
      </c>
      <c r="AK137" s="7">
        <v>0</v>
      </c>
      <c r="AL137" s="7">
        <v>1297473.1399999999</v>
      </c>
      <c r="AM137" s="7">
        <v>1138.0930000000001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266.29300000000001</v>
      </c>
      <c r="BC137" s="7">
        <v>0</v>
      </c>
      <c r="BD137" s="7">
        <v>0</v>
      </c>
      <c r="BE137" s="7">
        <v>0</v>
      </c>
      <c r="BF137" s="21"/>
    </row>
    <row r="138" spans="1:58" ht="15.75" x14ac:dyDescent="0.25">
      <c r="A138" s="5" t="s">
        <v>263</v>
      </c>
      <c r="B138" s="5" t="s">
        <v>264</v>
      </c>
      <c r="C138" s="7">
        <v>4</v>
      </c>
      <c r="D138" s="7">
        <v>4</v>
      </c>
      <c r="E138" s="7">
        <v>106.003</v>
      </c>
      <c r="F138" s="7">
        <v>25.631</v>
      </c>
      <c r="G138" s="7">
        <v>12.308</v>
      </c>
      <c r="H138" s="7">
        <v>0</v>
      </c>
      <c r="I138" s="7">
        <v>2.2749999999999999</v>
      </c>
      <c r="J138" s="7">
        <v>7.7770000000000001</v>
      </c>
      <c r="K138" s="7">
        <v>106.944</v>
      </c>
      <c r="L138" s="7">
        <v>16.385999999999999</v>
      </c>
      <c r="M138" s="7">
        <v>0</v>
      </c>
      <c r="N138" s="7">
        <v>33.421999999999997</v>
      </c>
      <c r="O138" s="7">
        <v>284.48099999999999</v>
      </c>
      <c r="P138" s="7">
        <v>35.517000000000003</v>
      </c>
      <c r="Q138" s="7">
        <v>0</v>
      </c>
      <c r="R138" s="7">
        <v>0</v>
      </c>
      <c r="S138" s="7">
        <v>1.2E-2</v>
      </c>
      <c r="T138" s="7">
        <v>0</v>
      </c>
      <c r="U138" s="7">
        <v>0</v>
      </c>
      <c r="V138" s="7">
        <v>8.423</v>
      </c>
      <c r="W138" s="7">
        <v>0</v>
      </c>
      <c r="X138" s="7">
        <v>0</v>
      </c>
      <c r="Y138" s="7">
        <v>0</v>
      </c>
      <c r="Z138" s="7">
        <v>0.98099999999999998</v>
      </c>
      <c r="AA138" s="7">
        <v>4.2809999999999997</v>
      </c>
      <c r="AB138" s="7">
        <v>0</v>
      </c>
      <c r="AC138" s="7">
        <v>43.445</v>
      </c>
      <c r="AD138" s="7">
        <v>0</v>
      </c>
      <c r="AE138" s="7">
        <v>7.2709999999999999</v>
      </c>
      <c r="AF138" s="7">
        <v>0</v>
      </c>
      <c r="AG138" s="7">
        <v>3.9870000000000001</v>
      </c>
      <c r="AH138" s="7">
        <v>0</v>
      </c>
      <c r="AI138" s="7">
        <v>111.254</v>
      </c>
      <c r="AJ138" s="7">
        <v>47.082999999999998</v>
      </c>
      <c r="AK138" s="7">
        <v>0</v>
      </c>
      <c r="AL138" s="7">
        <v>357.029</v>
      </c>
      <c r="AM138" s="7">
        <v>94.855999999999995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0.214</v>
      </c>
      <c r="AV138" s="7">
        <v>0</v>
      </c>
      <c r="AW138" s="7">
        <v>0</v>
      </c>
      <c r="AX138" s="7">
        <v>11.788</v>
      </c>
      <c r="AY138" s="7">
        <v>0</v>
      </c>
      <c r="AZ138" s="7">
        <v>7.5999999999999998E-2</v>
      </c>
      <c r="BA138" s="7">
        <v>0</v>
      </c>
      <c r="BB138" s="7">
        <v>1.1439999999999999</v>
      </c>
      <c r="BC138" s="7">
        <v>0</v>
      </c>
      <c r="BD138" s="7">
        <v>0</v>
      </c>
      <c r="BE138" s="7">
        <v>0</v>
      </c>
      <c r="BF138" s="21"/>
    </row>
    <row r="139" spans="1:58" ht="15.75" x14ac:dyDescent="0.25">
      <c r="A139" s="5" t="s">
        <v>265</v>
      </c>
      <c r="B139" s="5" t="s">
        <v>266</v>
      </c>
      <c r="C139" s="7">
        <v>6</v>
      </c>
      <c r="D139" s="7">
        <v>6</v>
      </c>
      <c r="E139" s="7">
        <v>259.351</v>
      </c>
      <c r="F139" s="7">
        <v>4.0000000000000001E-3</v>
      </c>
      <c r="G139" s="7">
        <v>0</v>
      </c>
      <c r="H139" s="7">
        <v>0</v>
      </c>
      <c r="I139" s="7">
        <v>0</v>
      </c>
      <c r="J139" s="7">
        <v>0</v>
      </c>
      <c r="K139" s="7">
        <v>2511.3359999999998</v>
      </c>
      <c r="L139" s="7">
        <v>1E-3</v>
      </c>
      <c r="M139" s="7">
        <v>0</v>
      </c>
      <c r="N139" s="7">
        <v>144.88300000000001</v>
      </c>
      <c r="O139" s="7">
        <v>2262.8789999999999</v>
      </c>
      <c r="P139" s="7">
        <v>104.807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1E-3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221.39400000000001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550.62</v>
      </c>
      <c r="AJ139" s="7">
        <v>8.9999999999999993E-3</v>
      </c>
      <c r="AK139" s="7">
        <v>0</v>
      </c>
      <c r="AL139" s="7">
        <v>2123.9299999999998</v>
      </c>
      <c r="AM139" s="7">
        <v>1.9E-2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2E-3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21"/>
    </row>
    <row r="140" spans="1:58" ht="15.75" x14ac:dyDescent="0.25">
      <c r="A140" s="5" t="s">
        <v>267</v>
      </c>
      <c r="B140" s="5" t="s">
        <v>268</v>
      </c>
      <c r="C140" s="7">
        <v>4</v>
      </c>
      <c r="D140" s="7">
        <v>4</v>
      </c>
      <c r="E140" s="7">
        <v>173.86</v>
      </c>
      <c r="F140" s="7">
        <v>34.640999999999998</v>
      </c>
      <c r="G140" s="7">
        <v>22.645</v>
      </c>
      <c r="H140" s="7">
        <v>0</v>
      </c>
      <c r="I140" s="7">
        <v>5.1609999999999996</v>
      </c>
      <c r="J140" s="7">
        <v>13.286</v>
      </c>
      <c r="K140" s="7">
        <v>205.36500000000001</v>
      </c>
      <c r="L140" s="7">
        <v>16.597999999999999</v>
      </c>
      <c r="M140" s="7">
        <v>0</v>
      </c>
      <c r="N140" s="7">
        <v>61.558999999999997</v>
      </c>
      <c r="O140" s="7">
        <v>368.17700000000002</v>
      </c>
      <c r="P140" s="7">
        <v>64.460999999999999</v>
      </c>
      <c r="Q140" s="7">
        <v>0</v>
      </c>
      <c r="R140" s="7">
        <v>0</v>
      </c>
      <c r="S140" s="7">
        <v>0.77800000000000002</v>
      </c>
      <c r="T140" s="7">
        <v>0</v>
      </c>
      <c r="U140" s="7">
        <v>2.1999999999999999E-2</v>
      </c>
      <c r="V140" s="7">
        <v>5.7910000000000004</v>
      </c>
      <c r="W140" s="7">
        <v>0</v>
      </c>
      <c r="X140" s="7">
        <v>0</v>
      </c>
      <c r="Y140" s="7">
        <v>0</v>
      </c>
      <c r="Z140" s="7">
        <v>1.601</v>
      </c>
      <c r="AA140" s="7">
        <v>7.2</v>
      </c>
      <c r="AB140" s="7">
        <v>0</v>
      </c>
      <c r="AC140" s="7">
        <v>78.853999999999999</v>
      </c>
      <c r="AD140" s="7">
        <v>0</v>
      </c>
      <c r="AE140" s="7">
        <v>14.91</v>
      </c>
      <c r="AF140" s="7">
        <v>2E-3</v>
      </c>
      <c r="AG140" s="7">
        <v>5.4809999999999999</v>
      </c>
      <c r="AH140" s="7">
        <v>0</v>
      </c>
      <c r="AI140" s="7">
        <v>227.67500000000001</v>
      </c>
      <c r="AJ140" s="7">
        <v>46.151000000000003</v>
      </c>
      <c r="AK140" s="7">
        <v>0</v>
      </c>
      <c r="AL140" s="7">
        <v>519.89099999999996</v>
      </c>
      <c r="AM140" s="7">
        <v>91.798000000000002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0.17799999999999999</v>
      </c>
      <c r="AV140" s="7">
        <v>0</v>
      </c>
      <c r="AW140" s="7">
        <v>0</v>
      </c>
      <c r="AX140" s="7">
        <v>11.82</v>
      </c>
      <c r="AY140" s="7">
        <v>0</v>
      </c>
      <c r="AZ140" s="7">
        <v>5.2999999999999999E-2</v>
      </c>
      <c r="BA140" s="7">
        <v>0</v>
      </c>
      <c r="BB140" s="7">
        <v>0.44600000000000001</v>
      </c>
      <c r="BC140" s="7">
        <v>0</v>
      </c>
      <c r="BD140" s="7">
        <v>0</v>
      </c>
      <c r="BE140" s="7">
        <v>1.4410000000000001</v>
      </c>
      <c r="BF140" s="21"/>
    </row>
    <row r="141" spans="1:58" ht="15.75" x14ac:dyDescent="0.25">
      <c r="A141" s="5" t="s">
        <v>269</v>
      </c>
      <c r="B141" s="5" t="s">
        <v>270</v>
      </c>
      <c r="C141" s="7">
        <v>6</v>
      </c>
      <c r="D141" s="7">
        <v>6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21"/>
    </row>
    <row r="142" spans="1:58" ht="15.75" x14ac:dyDescent="0.25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21"/>
    </row>
    <row r="143" spans="1:58" ht="15.75" x14ac:dyDescent="0.25">
      <c r="A143" s="5" t="s">
        <v>273</v>
      </c>
      <c r="B143" s="5" t="s">
        <v>274</v>
      </c>
      <c r="C143" s="7">
        <v>6</v>
      </c>
      <c r="D143" s="7">
        <v>6</v>
      </c>
      <c r="E143" s="7">
        <v>-1688.1010000000001</v>
      </c>
      <c r="F143" s="7">
        <v>-465.28500000000003</v>
      </c>
      <c r="G143" s="7">
        <v>-0.56999999999999995</v>
      </c>
      <c r="H143" s="7">
        <v>0</v>
      </c>
      <c r="I143" s="7">
        <v>-29.914999999999999</v>
      </c>
      <c r="J143" s="7">
        <v>-0.36399999999999999</v>
      </c>
      <c r="K143" s="7">
        <v>-2247.0639999999999</v>
      </c>
      <c r="L143" s="7">
        <v>-153.572</v>
      </c>
      <c r="M143" s="7">
        <v>0</v>
      </c>
      <c r="N143" s="7">
        <v>-253.845</v>
      </c>
      <c r="O143" s="7">
        <v>-6057.6180000000004</v>
      </c>
      <c r="P143" s="7">
        <v>-315.75200000000001</v>
      </c>
      <c r="Q143" s="7">
        <v>0</v>
      </c>
      <c r="R143" s="7">
        <v>-597.84199999999998</v>
      </c>
      <c r="S143" s="7">
        <v>-0.23899999999999999</v>
      </c>
      <c r="T143" s="7">
        <v>-792.90499999999997</v>
      </c>
      <c r="U143" s="7">
        <v>0</v>
      </c>
      <c r="V143" s="7">
        <v>-139.50899999999999</v>
      </c>
      <c r="W143" s="7">
        <v>0</v>
      </c>
      <c r="X143" s="7">
        <v>-12392.579</v>
      </c>
      <c r="Y143" s="7">
        <v>0</v>
      </c>
      <c r="Z143" s="7">
        <v>0</v>
      </c>
      <c r="AA143" s="7">
        <v>-43.843000000000004</v>
      </c>
      <c r="AB143" s="7">
        <v>-31766.387999999999</v>
      </c>
      <c r="AC143" s="7">
        <v>-845.36199999999997</v>
      </c>
      <c r="AD143" s="7">
        <v>0</v>
      </c>
      <c r="AE143" s="7">
        <v>0</v>
      </c>
      <c r="AF143" s="7">
        <v>-24424.143</v>
      </c>
      <c r="AG143" s="7">
        <v>-70.369</v>
      </c>
      <c r="AH143" s="7">
        <v>0</v>
      </c>
      <c r="AI143" s="7">
        <v>-2293.5790000000002</v>
      </c>
      <c r="AJ143" s="7">
        <v>-1088.5450000000001</v>
      </c>
      <c r="AK143" s="7">
        <v>0</v>
      </c>
      <c r="AL143" s="7">
        <v>-7321.8360000000002</v>
      </c>
      <c r="AM143" s="7">
        <v>-2176.0610000000001</v>
      </c>
      <c r="AN143" s="7">
        <v>0</v>
      </c>
      <c r="AO143" s="7">
        <v>0</v>
      </c>
      <c r="AP143" s="7">
        <v>-29353.445</v>
      </c>
      <c r="AQ143" s="7">
        <v>-11784.295</v>
      </c>
      <c r="AR143" s="7">
        <v>0</v>
      </c>
      <c r="AS143" s="7">
        <v>0</v>
      </c>
      <c r="AT143" s="7">
        <v>0</v>
      </c>
      <c r="AU143" s="7">
        <v>-4.048</v>
      </c>
      <c r="AV143" s="7">
        <v>-587.72</v>
      </c>
      <c r="AW143" s="7">
        <v>0</v>
      </c>
      <c r="AX143" s="7">
        <v>-275.452</v>
      </c>
      <c r="AY143" s="7">
        <v>0</v>
      </c>
      <c r="AZ143" s="7">
        <v>-1.256</v>
      </c>
      <c r="BA143" s="7">
        <v>0</v>
      </c>
      <c r="BB143" s="7">
        <v>-10.646000000000001</v>
      </c>
      <c r="BC143" s="7">
        <v>0</v>
      </c>
      <c r="BD143" s="7">
        <v>0</v>
      </c>
      <c r="BE143" s="7">
        <v>0</v>
      </c>
      <c r="BF143" s="21"/>
    </row>
    <row r="144" spans="1:58" ht="15.75" x14ac:dyDescent="0.25">
      <c r="A144" s="5" t="s">
        <v>275</v>
      </c>
      <c r="B144" s="5" t="s">
        <v>276</v>
      </c>
      <c r="C144" s="7">
        <v>6</v>
      </c>
      <c r="D144" s="7">
        <v>6</v>
      </c>
      <c r="E144" s="7">
        <v>-65135.741000000002</v>
      </c>
      <c r="F144" s="7">
        <v>-5458.4179999999997</v>
      </c>
      <c r="G144" s="7">
        <v>4265.5839999999998</v>
      </c>
      <c r="H144" s="7">
        <v>-2747.748</v>
      </c>
      <c r="I144" s="7">
        <v>-455.18900000000002</v>
      </c>
      <c r="J144" s="7">
        <v>1775.864</v>
      </c>
      <c r="K144" s="7">
        <v>-64403.667999999998</v>
      </c>
      <c r="L144" s="7">
        <v>-3077.5479999999998</v>
      </c>
      <c r="M144" s="7">
        <v>0</v>
      </c>
      <c r="N144" s="7">
        <v>-17752.637999999999</v>
      </c>
      <c r="O144" s="7">
        <v>-148752.15100000001</v>
      </c>
      <c r="P144" s="7">
        <v>-18511.611000000001</v>
      </c>
      <c r="Q144" s="7">
        <v>0</v>
      </c>
      <c r="R144" s="7">
        <v>57.131</v>
      </c>
      <c r="S144" s="7">
        <v>37.338999999999999</v>
      </c>
      <c r="T144" s="7">
        <v>68.260999999999996</v>
      </c>
      <c r="U144" s="7">
        <v>116.089</v>
      </c>
      <c r="V144" s="7">
        <v>-1422.1479999999999</v>
      </c>
      <c r="W144" s="7">
        <v>0</v>
      </c>
      <c r="X144" s="7">
        <v>811.30799999999999</v>
      </c>
      <c r="Y144" s="7">
        <v>0</v>
      </c>
      <c r="Z144" s="7">
        <v>163.19499999999999</v>
      </c>
      <c r="AA144" s="7">
        <v>-278.76400000000001</v>
      </c>
      <c r="AB144" s="7">
        <v>1796.6969999999999</v>
      </c>
      <c r="AC144" s="7">
        <v>-13697.841</v>
      </c>
      <c r="AD144" s="7">
        <v>1872.9960000000001</v>
      </c>
      <c r="AE144" s="7">
        <v>-2148.9920000000002</v>
      </c>
      <c r="AF144" s="7">
        <v>1370.4549999999999</v>
      </c>
      <c r="AG144" s="7">
        <v>-970.27099999999996</v>
      </c>
      <c r="AH144" s="7">
        <v>100.642</v>
      </c>
      <c r="AI144" s="7">
        <v>-47566.930999999997</v>
      </c>
      <c r="AJ144" s="7">
        <v>-10347.331</v>
      </c>
      <c r="AK144" s="7">
        <v>202.52699999999999</v>
      </c>
      <c r="AL144" s="7">
        <v>-151491.57999999999</v>
      </c>
      <c r="AM144" s="7">
        <v>-19721.242999999999</v>
      </c>
      <c r="AN144" s="7">
        <v>12485.941999999999</v>
      </c>
      <c r="AO144" s="7">
        <v>253886.94399999999</v>
      </c>
      <c r="AP144" s="7">
        <v>2193.8429999999998</v>
      </c>
      <c r="AQ144" s="7">
        <v>1098.6479999999999</v>
      </c>
      <c r="AR144" s="7">
        <v>165870.959</v>
      </c>
      <c r="AS144" s="7">
        <v>0</v>
      </c>
      <c r="AT144" s="7">
        <v>74661.983999999997</v>
      </c>
      <c r="AU144" s="7">
        <v>-126.568</v>
      </c>
      <c r="AV144" s="7">
        <v>48.901000000000003</v>
      </c>
      <c r="AW144" s="7">
        <v>0</v>
      </c>
      <c r="AX144" s="7">
        <v>-2701.06</v>
      </c>
      <c r="AY144" s="7">
        <v>0</v>
      </c>
      <c r="AZ144" s="7">
        <v>-5.0090000000000003</v>
      </c>
      <c r="BA144" s="7">
        <v>0</v>
      </c>
      <c r="BB144" s="7">
        <v>-68.462000000000003</v>
      </c>
      <c r="BC144" s="7">
        <v>0</v>
      </c>
      <c r="BD144" s="7">
        <v>0</v>
      </c>
      <c r="BE144" s="7">
        <v>-10255.986000000001</v>
      </c>
      <c r="BF144" s="21"/>
    </row>
    <row r="145" spans="1:58" ht="15.75" x14ac:dyDescent="0.25">
      <c r="A145" s="5" t="s">
        <v>277</v>
      </c>
      <c r="B145" s="5" t="s">
        <v>278</v>
      </c>
      <c r="C145" s="7">
        <v>6</v>
      </c>
      <c r="D145" s="7">
        <v>6</v>
      </c>
      <c r="E145" s="7">
        <v>-234.34</v>
      </c>
      <c r="F145" s="7">
        <v>-17.085000000000001</v>
      </c>
      <c r="G145" s="7">
        <v>-366.36799999999999</v>
      </c>
      <c r="H145" s="7">
        <v>-99.292000000000002</v>
      </c>
      <c r="I145" s="7">
        <v>11.768000000000001</v>
      </c>
      <c r="J145" s="7">
        <v>-342.04500000000002</v>
      </c>
      <c r="K145" s="7">
        <v>1312.1089999999999</v>
      </c>
      <c r="L145" s="7">
        <v>-29.585000000000001</v>
      </c>
      <c r="M145" s="7">
        <v>0</v>
      </c>
      <c r="N145" s="7">
        <v>5.52</v>
      </c>
      <c r="O145" s="7">
        <v>2078.7379999999998</v>
      </c>
      <c r="P145" s="7">
        <v>-215.35900000000001</v>
      </c>
      <c r="Q145" s="7">
        <v>0</v>
      </c>
      <c r="R145" s="7">
        <v>0</v>
      </c>
      <c r="S145" s="7">
        <v>6.5410000000000004</v>
      </c>
      <c r="T145" s="7">
        <v>0</v>
      </c>
      <c r="U145" s="7">
        <v>0.156</v>
      </c>
      <c r="V145" s="7">
        <v>45.075000000000003</v>
      </c>
      <c r="W145" s="7">
        <v>0</v>
      </c>
      <c r="X145" s="7">
        <v>0</v>
      </c>
      <c r="Y145" s="7">
        <v>0</v>
      </c>
      <c r="Z145" s="7">
        <v>2.7290000000000001</v>
      </c>
      <c r="AA145" s="7">
        <v>-7.4029999999999996</v>
      </c>
      <c r="AB145" s="7">
        <v>0</v>
      </c>
      <c r="AC145" s="7">
        <v>256.08499999999998</v>
      </c>
      <c r="AD145" s="7">
        <v>0</v>
      </c>
      <c r="AE145" s="7">
        <v>-145.25299999999999</v>
      </c>
      <c r="AF145" s="7">
        <v>0.159</v>
      </c>
      <c r="AG145" s="7">
        <v>17.087</v>
      </c>
      <c r="AH145" s="7">
        <v>0</v>
      </c>
      <c r="AI145" s="7">
        <v>1975.0450000000001</v>
      </c>
      <c r="AJ145" s="7">
        <v>438.88600000000002</v>
      </c>
      <c r="AK145" s="7">
        <v>0</v>
      </c>
      <c r="AL145" s="7">
        <v>2721.07</v>
      </c>
      <c r="AM145" s="7">
        <v>859.65700000000004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-0.77300000000000002</v>
      </c>
      <c r="AV145" s="7">
        <v>0</v>
      </c>
      <c r="AW145" s="7">
        <v>0</v>
      </c>
      <c r="AX145" s="7">
        <v>114.45</v>
      </c>
      <c r="AY145" s="7">
        <v>0</v>
      </c>
      <c r="AZ145" s="7">
        <v>-0.81100000000000005</v>
      </c>
      <c r="BA145" s="7">
        <v>0</v>
      </c>
      <c r="BB145" s="7">
        <v>2.6669999999999998</v>
      </c>
      <c r="BC145" s="7">
        <v>0</v>
      </c>
      <c r="BD145" s="7">
        <v>0</v>
      </c>
      <c r="BE145" s="7">
        <v>17.594999999999999</v>
      </c>
      <c r="BF145" s="21"/>
    </row>
    <row r="146" spans="1:58" ht="15.75" x14ac:dyDescent="0.25">
      <c r="A146" s="5" t="s">
        <v>279</v>
      </c>
      <c r="B146" s="5" t="s">
        <v>280</v>
      </c>
      <c r="C146" s="7">
        <v>6</v>
      </c>
      <c r="D146" s="7">
        <v>6</v>
      </c>
      <c r="E146" s="7">
        <v>-23517.768</v>
      </c>
      <c r="F146" s="7">
        <v>-4039.7240000000002</v>
      </c>
      <c r="G146" s="7">
        <v>-5998.6049999999996</v>
      </c>
      <c r="H146" s="7">
        <v>-109.529</v>
      </c>
      <c r="I146" s="7">
        <v>-744.95100000000002</v>
      </c>
      <c r="J146" s="7">
        <v>-3734.346</v>
      </c>
      <c r="K146" s="7">
        <v>-18204.648000000001</v>
      </c>
      <c r="L146" s="7">
        <v>-4429.7139999999999</v>
      </c>
      <c r="M146" s="7">
        <v>0</v>
      </c>
      <c r="N146" s="7">
        <v>-12674.67</v>
      </c>
      <c r="O146" s="7">
        <v>-28941.264999999999</v>
      </c>
      <c r="P146" s="7">
        <v>-12654.246999999999</v>
      </c>
      <c r="Q146" s="7">
        <v>0</v>
      </c>
      <c r="R146" s="7">
        <v>0</v>
      </c>
      <c r="S146" s="7">
        <v>-78.709000000000003</v>
      </c>
      <c r="T146" s="7">
        <v>0</v>
      </c>
      <c r="U146" s="7">
        <v>-2.1880000000000002</v>
      </c>
      <c r="V146" s="7">
        <v>-980.41899999999998</v>
      </c>
      <c r="W146" s="7">
        <v>0</v>
      </c>
      <c r="X146" s="7">
        <v>0</v>
      </c>
      <c r="Y146" s="7">
        <v>0</v>
      </c>
      <c r="Z146" s="7">
        <v>-463.27699999999999</v>
      </c>
      <c r="AA146" s="7">
        <v>-1378.9670000000001</v>
      </c>
      <c r="AB146" s="7">
        <v>0</v>
      </c>
      <c r="AC146" s="7">
        <v>-8081.0219999999999</v>
      </c>
      <c r="AD146" s="7">
        <v>0</v>
      </c>
      <c r="AE146" s="7">
        <v>-3807.7339999999999</v>
      </c>
      <c r="AF146" s="7">
        <v>-0.46300000000000002</v>
      </c>
      <c r="AG146" s="7">
        <v>-676.58299999999997</v>
      </c>
      <c r="AH146" s="7">
        <v>3.0790000000000002</v>
      </c>
      <c r="AI146" s="7">
        <v>-20796.855</v>
      </c>
      <c r="AJ146" s="7">
        <v>-1758.0260000000001</v>
      </c>
      <c r="AK146" s="7">
        <v>8.3379999999999992</v>
      </c>
      <c r="AL146" s="7">
        <v>-46869.561999999998</v>
      </c>
      <c r="AM146" s="7">
        <v>-3400.8879999999999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-22.137</v>
      </c>
      <c r="AV146" s="7">
        <v>0</v>
      </c>
      <c r="AW146" s="7">
        <v>0</v>
      </c>
      <c r="AX146" s="7">
        <v>-479.452</v>
      </c>
      <c r="AY146" s="7">
        <v>0</v>
      </c>
      <c r="AZ146" s="7">
        <v>-8.6910000000000007</v>
      </c>
      <c r="BA146" s="7">
        <v>0</v>
      </c>
      <c r="BB146" s="7">
        <v>-220.58699999999999</v>
      </c>
      <c r="BC146" s="7">
        <v>0</v>
      </c>
      <c r="BD146" s="7">
        <v>0</v>
      </c>
      <c r="BE146" s="7">
        <v>-471.04700000000003</v>
      </c>
      <c r="BF146" s="21"/>
    </row>
    <row r="147" spans="1:58" ht="15.75" x14ac:dyDescent="0.25">
      <c r="A147" s="5" t="s">
        <v>281</v>
      </c>
      <c r="B147" s="5" t="s">
        <v>282</v>
      </c>
      <c r="C147" s="7">
        <v>6</v>
      </c>
      <c r="D147" s="7">
        <v>6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21"/>
    </row>
    <row r="148" spans="1:58" ht="15.75" x14ac:dyDescent="0.25">
      <c r="A148" s="5" t="s">
        <v>283</v>
      </c>
      <c r="B148" s="5" t="s">
        <v>284</v>
      </c>
      <c r="C148" s="7">
        <v>4</v>
      </c>
      <c r="D148" s="7">
        <v>4</v>
      </c>
      <c r="E148" s="7">
        <v>-26187.152999999998</v>
      </c>
      <c r="F148" s="7">
        <v>-4965.4160000000002</v>
      </c>
      <c r="G148" s="7">
        <v>-2906.056</v>
      </c>
      <c r="H148" s="7">
        <v>0</v>
      </c>
      <c r="I148" s="7">
        <v>-626.54899999999998</v>
      </c>
      <c r="J148" s="7">
        <v>-2009.442</v>
      </c>
      <c r="K148" s="7">
        <v>-27043.984</v>
      </c>
      <c r="L148" s="7">
        <v>-3358.8530000000001</v>
      </c>
      <c r="M148" s="7">
        <v>0</v>
      </c>
      <c r="N148" s="7">
        <v>-10114.286</v>
      </c>
      <c r="O148" s="7">
        <v>-56943.148999999998</v>
      </c>
      <c r="P148" s="7">
        <v>-7552.5320000000002</v>
      </c>
      <c r="Q148" s="7">
        <v>0</v>
      </c>
      <c r="R148" s="7">
        <v>-42.445</v>
      </c>
      <c r="S148" s="7">
        <v>0</v>
      </c>
      <c r="T148" s="7">
        <v>-26.747</v>
      </c>
      <c r="U148" s="7">
        <v>0</v>
      </c>
      <c r="V148" s="7">
        <v>-1500.7660000000001</v>
      </c>
      <c r="W148" s="7">
        <v>0</v>
      </c>
      <c r="X148" s="7">
        <v>-421.17200000000003</v>
      </c>
      <c r="Y148" s="7">
        <v>0</v>
      </c>
      <c r="Z148" s="7">
        <v>-172.446</v>
      </c>
      <c r="AA148" s="7">
        <v>-638.822</v>
      </c>
      <c r="AB148" s="7">
        <v>-1348.8720000000001</v>
      </c>
      <c r="AC148" s="7">
        <v>-10278.843000000001</v>
      </c>
      <c r="AD148" s="7">
        <v>-324.35599999999999</v>
      </c>
      <c r="AE148" s="7">
        <v>-1960.7360000000001</v>
      </c>
      <c r="AF148" s="7">
        <v>-1031.5150000000001</v>
      </c>
      <c r="AG148" s="7">
        <v>-748.56299999999999</v>
      </c>
      <c r="AH148" s="7">
        <v>-112.663</v>
      </c>
      <c r="AI148" s="7">
        <v>-26996.26</v>
      </c>
      <c r="AJ148" s="7">
        <v>-10471.668</v>
      </c>
      <c r="AK148" s="7">
        <v>-431.70699999999999</v>
      </c>
      <c r="AL148" s="7">
        <v>-76342.986000000004</v>
      </c>
      <c r="AM148" s="7">
        <v>-20256.524000000001</v>
      </c>
      <c r="AN148" s="7">
        <v>-2236.569</v>
      </c>
      <c r="AO148" s="7">
        <v>-38881.521999999997</v>
      </c>
      <c r="AP148" s="7">
        <v>-978.32399999999996</v>
      </c>
      <c r="AQ148" s="7">
        <v>-328.072</v>
      </c>
      <c r="AR148" s="7">
        <v>-25402.312000000002</v>
      </c>
      <c r="AS148" s="7">
        <v>0</v>
      </c>
      <c r="AT148" s="7">
        <v>-11434.111000000001</v>
      </c>
      <c r="AU148" s="7">
        <v>-60.286000000000001</v>
      </c>
      <c r="AV148" s="7">
        <v>-20.108000000000001</v>
      </c>
      <c r="AW148" s="7">
        <v>0</v>
      </c>
      <c r="AX148" s="7">
        <v>-2855.194</v>
      </c>
      <c r="AY148" s="7">
        <v>0</v>
      </c>
      <c r="AZ148" s="7">
        <v>-20.091000000000001</v>
      </c>
      <c r="BA148" s="7">
        <v>0</v>
      </c>
      <c r="BB148" s="7">
        <v>-277.601</v>
      </c>
      <c r="BC148" s="7">
        <v>0</v>
      </c>
      <c r="BD148" s="7">
        <v>0</v>
      </c>
      <c r="BE148" s="7">
        <v>-2104.7910000000002</v>
      </c>
      <c r="BF148" s="21"/>
    </row>
    <row r="149" spans="1:58" ht="15.75" x14ac:dyDescent="0.25">
      <c r="A149" s="5" t="s">
        <v>285</v>
      </c>
      <c r="B149" s="5" t="s">
        <v>286</v>
      </c>
      <c r="C149" s="7">
        <v>6</v>
      </c>
      <c r="D149" s="7">
        <v>6</v>
      </c>
      <c r="E149" s="7">
        <v>-11021.69</v>
      </c>
      <c r="F149" s="7">
        <v>-2576.7849999999999</v>
      </c>
      <c r="G149" s="7">
        <v>-213.75299999999999</v>
      </c>
      <c r="H149" s="7">
        <v>-526.43700000000001</v>
      </c>
      <c r="I149" s="7">
        <v>-229.59100000000001</v>
      </c>
      <c r="J149" s="7">
        <v>-423.46</v>
      </c>
      <c r="K149" s="7">
        <v>-13066.583000000001</v>
      </c>
      <c r="L149" s="7">
        <v>-1471.212</v>
      </c>
      <c r="M149" s="7">
        <v>0</v>
      </c>
      <c r="N149" s="7">
        <v>-2982.3960000000002</v>
      </c>
      <c r="O149" s="7">
        <v>-30968.045999999998</v>
      </c>
      <c r="P149" s="7">
        <v>-3401.41</v>
      </c>
      <c r="Q149" s="7">
        <v>0</v>
      </c>
      <c r="R149" s="7">
        <v>464.678</v>
      </c>
      <c r="S149" s="7">
        <v>-0.111</v>
      </c>
      <c r="T149" s="7">
        <v>80.245999999999995</v>
      </c>
      <c r="U149" s="7">
        <v>-648.41499999999996</v>
      </c>
      <c r="V149" s="7">
        <v>-800.52200000000005</v>
      </c>
      <c r="W149" s="7">
        <v>0</v>
      </c>
      <c r="X149" s="7">
        <v>6085.5249999999996</v>
      </c>
      <c r="Y149" s="7">
        <v>0</v>
      </c>
      <c r="Z149" s="7">
        <v>-24.649000000000001</v>
      </c>
      <c r="AA149" s="7">
        <v>-361.33199999999999</v>
      </c>
      <c r="AB149" s="7">
        <v>26427.063999999998</v>
      </c>
      <c r="AC149" s="7">
        <v>-5111.5870000000004</v>
      </c>
      <c r="AD149" s="7">
        <v>-13476.277</v>
      </c>
      <c r="AE149" s="7">
        <v>-709.18200000000002</v>
      </c>
      <c r="AF149" s="7">
        <v>20331.655999999999</v>
      </c>
      <c r="AG149" s="7">
        <v>-409.94799999999998</v>
      </c>
      <c r="AH149" s="7">
        <v>-2698.1680000000001</v>
      </c>
      <c r="AI149" s="7">
        <v>-11764.45</v>
      </c>
      <c r="AJ149" s="7">
        <v>-5382.4359999999997</v>
      </c>
      <c r="AK149" s="7">
        <v>-8237.8979999999992</v>
      </c>
      <c r="AL149" s="7">
        <v>-40809.932000000001</v>
      </c>
      <c r="AM149" s="7">
        <v>-10443.353999999999</v>
      </c>
      <c r="AN149" s="7">
        <v>-87142.831999999995</v>
      </c>
      <c r="AO149" s="7">
        <v>-161784.851</v>
      </c>
      <c r="AP149" s="7">
        <v>9732.2639999999992</v>
      </c>
      <c r="AQ149" s="7">
        <v>-2409.19</v>
      </c>
      <c r="AR149" s="7">
        <v>-105698.261</v>
      </c>
      <c r="AS149" s="7">
        <v>0</v>
      </c>
      <c r="AT149" s="7">
        <v>-47576.995999999999</v>
      </c>
      <c r="AU149" s="7">
        <v>-34.494</v>
      </c>
      <c r="AV149" s="7">
        <v>97.489000000000004</v>
      </c>
      <c r="AW149" s="7">
        <v>0</v>
      </c>
      <c r="AX149" s="7">
        <v>-1457.6389999999999</v>
      </c>
      <c r="AY149" s="7">
        <v>0</v>
      </c>
      <c r="AZ149" s="7">
        <v>-6.7229999999999999</v>
      </c>
      <c r="BA149" s="7">
        <v>0</v>
      </c>
      <c r="BB149" s="7">
        <v>-49.363999999999997</v>
      </c>
      <c r="BC149" s="7">
        <v>0</v>
      </c>
      <c r="BD149" s="7">
        <v>0</v>
      </c>
      <c r="BE149" s="7">
        <v>-1547.0540000000001</v>
      </c>
      <c r="BF149" s="21"/>
    </row>
    <row r="150" spans="1:58" ht="15.75" x14ac:dyDescent="0.25">
      <c r="A150" s="5" t="s">
        <v>287</v>
      </c>
      <c r="B150" s="5" t="s">
        <v>288</v>
      </c>
      <c r="C150" s="7">
        <v>6</v>
      </c>
      <c r="D150" s="7">
        <v>6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s="7">
        <v>0</v>
      </c>
      <c r="BC150" s="7">
        <v>0</v>
      </c>
      <c r="BD150" s="7">
        <v>0</v>
      </c>
      <c r="BE150" s="7">
        <v>0</v>
      </c>
      <c r="BF150" s="21"/>
    </row>
    <row r="151" spans="1:58" ht="15.75" x14ac:dyDescent="0.25">
      <c r="A151" s="5" t="s">
        <v>289</v>
      </c>
      <c r="B151" s="5" t="s">
        <v>290</v>
      </c>
      <c r="C151" s="7">
        <v>6</v>
      </c>
      <c r="D151" s="7">
        <v>6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</v>
      </c>
      <c r="BC151" s="7">
        <v>0</v>
      </c>
      <c r="BD151" s="7">
        <v>0</v>
      </c>
      <c r="BE151" s="7">
        <v>0</v>
      </c>
      <c r="BF151" s="21"/>
    </row>
    <row r="152" spans="1:58" ht="15.75" x14ac:dyDescent="0.25">
      <c r="A152" s="5" t="s">
        <v>291</v>
      </c>
      <c r="B152" s="5" t="s">
        <v>292</v>
      </c>
      <c r="C152" s="7">
        <v>6</v>
      </c>
      <c r="D152" s="7">
        <v>6</v>
      </c>
      <c r="E152" s="7">
        <v>3237.3429999999998</v>
      </c>
      <c r="F152" s="7">
        <v>547.15200000000004</v>
      </c>
      <c r="G152" s="7">
        <v>219.94900000000001</v>
      </c>
      <c r="H152" s="7">
        <v>542.35500000000002</v>
      </c>
      <c r="I152" s="7">
        <v>112.953</v>
      </c>
      <c r="J152" s="7">
        <v>436.09300000000002</v>
      </c>
      <c r="K152" s="7">
        <v>1881.248</v>
      </c>
      <c r="L152" s="7">
        <v>544.01499999999999</v>
      </c>
      <c r="M152" s="7">
        <v>0</v>
      </c>
      <c r="N152" s="7">
        <v>1891.576</v>
      </c>
      <c r="O152" s="7">
        <v>4596.366</v>
      </c>
      <c r="P152" s="7">
        <v>1903.259</v>
      </c>
      <c r="Q152" s="7">
        <v>0</v>
      </c>
      <c r="R152" s="7">
        <v>0</v>
      </c>
      <c r="S152" s="7">
        <v>2E-3</v>
      </c>
      <c r="T152" s="7">
        <v>587.16099999999994</v>
      </c>
      <c r="U152" s="7">
        <v>636.65899999999999</v>
      </c>
      <c r="V152" s="7">
        <v>202.375</v>
      </c>
      <c r="W152" s="7">
        <v>0</v>
      </c>
      <c r="X152" s="7">
        <v>4380.4089999999997</v>
      </c>
      <c r="Y152" s="7">
        <v>0</v>
      </c>
      <c r="Z152" s="7">
        <v>25.393999999999998</v>
      </c>
      <c r="AA152" s="7">
        <v>160.49</v>
      </c>
      <c r="AB152" s="7">
        <v>0</v>
      </c>
      <c r="AC152" s="7">
        <v>780.33399999999995</v>
      </c>
      <c r="AD152" s="7">
        <v>12396.521000000001</v>
      </c>
      <c r="AE152" s="7">
        <v>730.62699999999995</v>
      </c>
      <c r="AF152" s="7">
        <v>0</v>
      </c>
      <c r="AG152" s="7">
        <v>89.927999999999997</v>
      </c>
      <c r="AH152" s="7">
        <v>2528.3409999999999</v>
      </c>
      <c r="AI152" s="7">
        <v>432.23399999999998</v>
      </c>
      <c r="AJ152" s="7">
        <v>9.6020000000000003</v>
      </c>
      <c r="AK152" s="7">
        <v>7513.8159999999998</v>
      </c>
      <c r="AL152" s="7">
        <v>7848.7560000000003</v>
      </c>
      <c r="AM152" s="7">
        <v>16.38</v>
      </c>
      <c r="AN152" s="7">
        <v>79802.269</v>
      </c>
      <c r="AO152" s="7">
        <v>0</v>
      </c>
      <c r="AP152" s="7">
        <v>15033.571</v>
      </c>
      <c r="AQ152" s="7">
        <v>12440.286</v>
      </c>
      <c r="AR152" s="7">
        <v>0</v>
      </c>
      <c r="AS152" s="7">
        <v>0</v>
      </c>
      <c r="AT152" s="7">
        <v>0</v>
      </c>
      <c r="AU152" s="7">
        <v>10.507</v>
      </c>
      <c r="AV152" s="7">
        <v>396.99599999999998</v>
      </c>
      <c r="AW152" s="7">
        <v>0</v>
      </c>
      <c r="AX152" s="7">
        <v>1.3360000000000001</v>
      </c>
      <c r="AY152" s="7">
        <v>0</v>
      </c>
      <c r="AZ152" s="7">
        <v>0.72599999999999998</v>
      </c>
      <c r="BA152" s="7">
        <v>0</v>
      </c>
      <c r="BB152" s="7">
        <v>0.105</v>
      </c>
      <c r="BC152" s="7">
        <v>0</v>
      </c>
      <c r="BD152" s="7">
        <v>0</v>
      </c>
      <c r="BE152" s="7">
        <v>582.30100000000004</v>
      </c>
      <c r="BF152" s="21"/>
    </row>
    <row r="153" spans="1:58" ht="15.75" x14ac:dyDescent="0.25">
      <c r="A153" s="5" t="s">
        <v>293</v>
      </c>
      <c r="B153" s="5" t="s">
        <v>294</v>
      </c>
      <c r="C153" s="7">
        <v>4</v>
      </c>
      <c r="D153" s="7">
        <v>4</v>
      </c>
      <c r="E153" s="7">
        <v>16148.567999999999</v>
      </c>
      <c r="F153" s="7">
        <v>4450.9709999999995</v>
      </c>
      <c r="G153" s="7">
        <v>5.4530000000000003</v>
      </c>
      <c r="H153" s="7">
        <v>0</v>
      </c>
      <c r="I153" s="7">
        <v>286.16699999999997</v>
      </c>
      <c r="J153" s="7">
        <v>3.4849999999999999</v>
      </c>
      <c r="K153" s="7">
        <v>21495.671999999999</v>
      </c>
      <c r="L153" s="7">
        <v>1469.09</v>
      </c>
      <c r="M153" s="7">
        <v>0</v>
      </c>
      <c r="N153" s="7">
        <v>2428.3090000000002</v>
      </c>
      <c r="O153" s="7">
        <v>57947.873</v>
      </c>
      <c r="P153" s="7">
        <v>3020.5169999999998</v>
      </c>
      <c r="Q153" s="7">
        <v>0</v>
      </c>
      <c r="R153" s="7">
        <v>0</v>
      </c>
      <c r="S153" s="7">
        <v>2.2909999999999999</v>
      </c>
      <c r="T153" s="7">
        <v>0</v>
      </c>
      <c r="U153" s="7">
        <v>0</v>
      </c>
      <c r="V153" s="7">
        <v>1334.5640000000001</v>
      </c>
      <c r="W153" s="7">
        <v>0</v>
      </c>
      <c r="X153" s="7">
        <v>0</v>
      </c>
      <c r="Y153" s="7">
        <v>0</v>
      </c>
      <c r="Z153" s="7">
        <v>0</v>
      </c>
      <c r="AA153" s="7">
        <v>419.41</v>
      </c>
      <c r="AB153" s="7">
        <v>0</v>
      </c>
      <c r="AC153" s="7">
        <v>8086.835</v>
      </c>
      <c r="AD153" s="7">
        <v>0</v>
      </c>
      <c r="AE153" s="7">
        <v>0</v>
      </c>
      <c r="AF153" s="7">
        <v>0</v>
      </c>
      <c r="AG153" s="7">
        <v>673.16</v>
      </c>
      <c r="AH153" s="7">
        <v>0</v>
      </c>
      <c r="AI153" s="7">
        <v>21940.645</v>
      </c>
      <c r="AJ153" s="7">
        <v>10413.144</v>
      </c>
      <c r="AK153" s="7">
        <v>0</v>
      </c>
      <c r="AL153" s="7">
        <v>70675.172999999995</v>
      </c>
      <c r="AM153" s="7">
        <v>20816.449000000001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38.722000000000001</v>
      </c>
      <c r="AV153" s="7">
        <v>0</v>
      </c>
      <c r="AW153" s="7">
        <v>0</v>
      </c>
      <c r="AX153" s="7">
        <v>2635.0079999999998</v>
      </c>
      <c r="AY153" s="7">
        <v>0</v>
      </c>
      <c r="AZ153" s="7">
        <v>12.016999999999999</v>
      </c>
      <c r="BA153" s="7">
        <v>0</v>
      </c>
      <c r="BB153" s="7">
        <v>101.827</v>
      </c>
      <c r="BC153" s="7">
        <v>0</v>
      </c>
      <c r="BD153" s="7">
        <v>0</v>
      </c>
      <c r="BE153" s="7">
        <v>0</v>
      </c>
      <c r="BF153" s="21"/>
    </row>
    <row r="154" spans="1:58" ht="15.75" x14ac:dyDescent="0.25">
      <c r="A154" s="5" t="s">
        <v>295</v>
      </c>
      <c r="B154" s="5" t="s">
        <v>296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21"/>
    </row>
    <row r="155" spans="1:58" ht="15.75" x14ac:dyDescent="0.25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21"/>
    </row>
    <row r="156" spans="1:58" ht="15.75" x14ac:dyDescent="0.25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21"/>
    </row>
    <row r="157" spans="1:58" ht="15.75" x14ac:dyDescent="0.25">
      <c r="A157" s="5" t="s">
        <v>301</v>
      </c>
      <c r="B157" s="5" t="s">
        <v>302</v>
      </c>
      <c r="C157" s="7">
        <v>4</v>
      </c>
      <c r="D157" s="7">
        <v>4</v>
      </c>
      <c r="E157" s="7">
        <v>-4.9279999999999999</v>
      </c>
      <c r="F157" s="7">
        <v>-1.3580000000000001</v>
      </c>
      <c r="G157" s="7">
        <v>-2E-3</v>
      </c>
      <c r="H157" s="7">
        <v>0</v>
      </c>
      <c r="I157" s="7">
        <v>-8.6999999999999994E-2</v>
      </c>
      <c r="J157" s="7">
        <v>0</v>
      </c>
      <c r="K157" s="7">
        <v>-6.5590000000000002</v>
      </c>
      <c r="L157" s="7">
        <v>-0.44800000000000001</v>
      </c>
      <c r="M157" s="7">
        <v>0</v>
      </c>
      <c r="N157" s="7">
        <v>-0.74099999999999999</v>
      </c>
      <c r="O157" s="7">
        <v>-17.683</v>
      </c>
      <c r="P157" s="7">
        <v>-0.92200000000000004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-0.40699999999999997</v>
      </c>
      <c r="W157" s="7">
        <v>0</v>
      </c>
      <c r="X157" s="7">
        <v>0</v>
      </c>
      <c r="Y157" s="7">
        <v>0</v>
      </c>
      <c r="Z157" s="7">
        <v>0</v>
      </c>
      <c r="AA157" s="7">
        <v>-0.128</v>
      </c>
      <c r="AB157" s="7">
        <v>0</v>
      </c>
      <c r="AC157" s="7">
        <v>-2.468</v>
      </c>
      <c r="AD157" s="7">
        <v>0</v>
      </c>
      <c r="AE157" s="7">
        <v>0</v>
      </c>
      <c r="AF157" s="7">
        <v>0</v>
      </c>
      <c r="AG157" s="7">
        <v>-0.20499999999999999</v>
      </c>
      <c r="AH157" s="7">
        <v>0</v>
      </c>
      <c r="AI157" s="7">
        <v>-6.6950000000000003</v>
      </c>
      <c r="AJ157" s="7">
        <v>-3.177</v>
      </c>
      <c r="AK157" s="7">
        <v>0</v>
      </c>
      <c r="AL157" s="7">
        <v>-312.89800000000002</v>
      </c>
      <c r="AM157" s="7">
        <v>-6.3520000000000003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-1.2E-2</v>
      </c>
      <c r="AV157" s="7">
        <v>0</v>
      </c>
      <c r="AW157" s="7">
        <v>0</v>
      </c>
      <c r="AX157" s="7">
        <v>-0.80400000000000005</v>
      </c>
      <c r="AY157" s="7">
        <v>0</v>
      </c>
      <c r="AZ157" s="7">
        <v>-4.0000000000000001E-3</v>
      </c>
      <c r="BA157" s="7">
        <v>0</v>
      </c>
      <c r="BB157" s="7">
        <v>-3.1E-2</v>
      </c>
      <c r="BC157" s="7">
        <v>0</v>
      </c>
      <c r="BD157" s="7">
        <v>0</v>
      </c>
      <c r="BE157" s="7">
        <v>0</v>
      </c>
      <c r="BF157" s="21"/>
    </row>
    <row r="158" spans="1:58" ht="15.75" x14ac:dyDescent="0.25">
      <c r="A158" s="5" t="s">
        <v>303</v>
      </c>
      <c r="B158" s="5" t="s">
        <v>304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21"/>
    </row>
    <row r="159" spans="1:58" ht="15.75" x14ac:dyDescent="0.25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21"/>
    </row>
    <row r="160" spans="1:58" ht="15.75" x14ac:dyDescent="0.25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21"/>
    </row>
    <row r="161" spans="1:58" ht="15.75" x14ac:dyDescent="0.25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21"/>
    </row>
    <row r="162" spans="1:58" ht="15.75" x14ac:dyDescent="0.25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21"/>
    </row>
    <row r="163" spans="1:58" ht="15.75" x14ac:dyDescent="0.25">
      <c r="A163" s="5" t="s">
        <v>312</v>
      </c>
      <c r="B163" s="5" t="s">
        <v>313</v>
      </c>
      <c r="C163" s="7">
        <v>6</v>
      </c>
      <c r="D163" s="7">
        <v>6</v>
      </c>
      <c r="E163" s="7">
        <v>300.39400000000001</v>
      </c>
      <c r="F163" s="7">
        <v>76.954999999999998</v>
      </c>
      <c r="G163" s="7">
        <v>12.1</v>
      </c>
      <c r="H163" s="7">
        <v>0</v>
      </c>
      <c r="I163" s="7">
        <v>6.06</v>
      </c>
      <c r="J163" s="7">
        <v>9.1910000000000007</v>
      </c>
      <c r="K163" s="7">
        <v>428.613</v>
      </c>
      <c r="L163" s="7">
        <v>43.018999999999998</v>
      </c>
      <c r="M163" s="7">
        <v>0</v>
      </c>
      <c r="N163" s="7">
        <v>66.522000000000006</v>
      </c>
      <c r="O163" s="7">
        <v>897.39800000000002</v>
      </c>
      <c r="P163" s="7">
        <v>90.369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22.853000000000002</v>
      </c>
      <c r="W163" s="7">
        <v>0</v>
      </c>
      <c r="X163" s="7">
        <v>0</v>
      </c>
      <c r="Y163" s="7">
        <v>0</v>
      </c>
      <c r="Z163" s="7">
        <v>1.1060000000000001</v>
      </c>
      <c r="AA163" s="7">
        <v>9.8559999999999999</v>
      </c>
      <c r="AB163" s="7">
        <v>0</v>
      </c>
      <c r="AC163" s="7">
        <v>152.46899999999999</v>
      </c>
      <c r="AD163" s="7">
        <v>0</v>
      </c>
      <c r="AE163" s="7">
        <v>10.335000000000001</v>
      </c>
      <c r="AF163" s="7">
        <v>4.5999999999999999E-2</v>
      </c>
      <c r="AG163" s="7">
        <v>11.952</v>
      </c>
      <c r="AH163" s="7">
        <v>0</v>
      </c>
      <c r="AI163" s="7">
        <v>395.59899999999999</v>
      </c>
      <c r="AJ163" s="7">
        <v>174.279</v>
      </c>
      <c r="AK163" s="7">
        <v>0</v>
      </c>
      <c r="AL163" s="7">
        <v>1166.241</v>
      </c>
      <c r="AM163" s="7">
        <v>337.185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0.89200000000000002</v>
      </c>
      <c r="AV163" s="7">
        <v>0</v>
      </c>
      <c r="AW163" s="7">
        <v>0</v>
      </c>
      <c r="AX163" s="7">
        <v>47.555</v>
      </c>
      <c r="AY163" s="7">
        <v>0</v>
      </c>
      <c r="AZ163" s="7">
        <v>0.19900000000000001</v>
      </c>
      <c r="BA163" s="7">
        <v>0</v>
      </c>
      <c r="BB163" s="7">
        <v>1.587</v>
      </c>
      <c r="BC163" s="7">
        <v>0</v>
      </c>
      <c r="BD163" s="7">
        <v>0</v>
      </c>
      <c r="BE163" s="7">
        <v>35.101999999999997</v>
      </c>
      <c r="BF163" s="21"/>
    </row>
    <row r="164" spans="1:58" ht="15.75" x14ac:dyDescent="0.25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21"/>
    </row>
    <row r="165" spans="1:58" ht="15.75" x14ac:dyDescent="0.25">
      <c r="A165" s="5" t="s">
        <v>299</v>
      </c>
      <c r="B165" s="5" t="s">
        <v>315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21"/>
    </row>
    <row r="166" spans="1:58" ht="15.75" x14ac:dyDescent="0.25">
      <c r="A166" s="5" t="s">
        <v>301</v>
      </c>
      <c r="B166" s="5" t="s">
        <v>316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21"/>
    </row>
    <row r="167" spans="1:58" ht="15.75" x14ac:dyDescent="0.25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21"/>
    </row>
    <row r="168" spans="1:58" ht="15.75" x14ac:dyDescent="0.25">
      <c r="A168" s="5" t="s">
        <v>319</v>
      </c>
      <c r="B168" s="5" t="s">
        <v>320</v>
      </c>
      <c r="C168" s="7">
        <v>6</v>
      </c>
      <c r="D168" s="7">
        <v>6</v>
      </c>
      <c r="E168" s="7">
        <v>-420.44799999999998</v>
      </c>
      <c r="F168" s="7">
        <v>-107.917</v>
      </c>
      <c r="G168" s="7">
        <v>-12.1</v>
      </c>
      <c r="H168" s="7">
        <v>0</v>
      </c>
      <c r="I168" s="7">
        <v>-7.8550000000000004</v>
      </c>
      <c r="J168" s="7">
        <v>-9.1910000000000007</v>
      </c>
      <c r="K168" s="7">
        <v>-601.11699999999996</v>
      </c>
      <c r="L168" s="7">
        <v>-57.762</v>
      </c>
      <c r="M168" s="7">
        <v>0</v>
      </c>
      <c r="N168" s="7">
        <v>-83.924999999999997</v>
      </c>
      <c r="O168" s="7">
        <v>-1298.357</v>
      </c>
      <c r="P168" s="7">
        <v>-114.179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-31.98</v>
      </c>
      <c r="W168" s="7">
        <v>0</v>
      </c>
      <c r="X168" s="7">
        <v>0</v>
      </c>
      <c r="Y168" s="7">
        <v>0</v>
      </c>
      <c r="Z168" s="7">
        <v>-1.1060000000000001</v>
      </c>
      <c r="AA168" s="7">
        <v>-12.989000000000001</v>
      </c>
      <c r="AB168" s="7">
        <v>0</v>
      </c>
      <c r="AC168" s="7">
        <v>-219.483</v>
      </c>
      <c r="AD168" s="7">
        <v>0</v>
      </c>
      <c r="AE168" s="7">
        <v>-10.335000000000001</v>
      </c>
      <c r="AF168" s="7">
        <v>-6.8000000000000005E-2</v>
      </c>
      <c r="AG168" s="7">
        <v>-16.859000000000002</v>
      </c>
      <c r="AH168" s="7">
        <v>0</v>
      </c>
      <c r="AI168" s="7">
        <v>-569.50800000000004</v>
      </c>
      <c r="AJ168" s="7">
        <v>-256.62700000000001</v>
      </c>
      <c r="AK168" s="7">
        <v>0</v>
      </c>
      <c r="AL168" s="7">
        <v>-1670.346</v>
      </c>
      <c r="AM168" s="7">
        <v>-496.50799999999998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-1.272</v>
      </c>
      <c r="AV168" s="7">
        <v>0</v>
      </c>
      <c r="AW168" s="7">
        <v>0</v>
      </c>
      <c r="AX168" s="7">
        <v>-70.025999999999996</v>
      </c>
      <c r="AY168" s="7">
        <v>0</v>
      </c>
      <c r="AZ168" s="7">
        <v>-0.29099999999999998</v>
      </c>
      <c r="BA168" s="7">
        <v>0</v>
      </c>
      <c r="BB168" s="7">
        <v>-2.3370000000000002</v>
      </c>
      <c r="BC168" s="7">
        <v>0</v>
      </c>
      <c r="BD168" s="7">
        <v>0</v>
      </c>
      <c r="BE168" s="7">
        <v>-51.677999999999997</v>
      </c>
      <c r="BF168" s="21"/>
    </row>
    <row r="169" spans="1:58" ht="15.75" x14ac:dyDescent="0.25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21"/>
    </row>
    <row r="170" spans="1:58" ht="15.75" x14ac:dyDescent="0.25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21"/>
    </row>
    <row r="171" spans="1:58" ht="15.75" x14ac:dyDescent="0.25">
      <c r="A171" s="5" t="s">
        <v>323</v>
      </c>
      <c r="B171" s="5" t="s">
        <v>324</v>
      </c>
      <c r="C171" s="7">
        <v>4</v>
      </c>
      <c r="D171" s="7">
        <v>4</v>
      </c>
      <c r="E171" s="7">
        <v>2655.8040000000001</v>
      </c>
      <c r="F171" s="7">
        <v>709.80799999999999</v>
      </c>
      <c r="G171" s="7">
        <v>0.47299999999999998</v>
      </c>
      <c r="H171" s="7">
        <v>0</v>
      </c>
      <c r="I171" s="7">
        <v>43.637</v>
      </c>
      <c r="J171" s="7">
        <v>0.30199999999999999</v>
      </c>
      <c r="K171" s="7">
        <v>3672.4009999999998</v>
      </c>
      <c r="L171" s="7">
        <v>281.65100000000001</v>
      </c>
      <c r="M171" s="7">
        <v>0</v>
      </c>
      <c r="N171" s="7">
        <v>394.21100000000001</v>
      </c>
      <c r="O171" s="7">
        <v>9218.2479999999996</v>
      </c>
      <c r="P171" s="7">
        <v>511.90499999999997</v>
      </c>
      <c r="Q171" s="7">
        <v>0</v>
      </c>
      <c r="R171" s="7">
        <v>0</v>
      </c>
      <c r="S171" s="7">
        <v>0.19800000000000001</v>
      </c>
      <c r="T171" s="7">
        <v>0</v>
      </c>
      <c r="U171" s="7">
        <v>0</v>
      </c>
      <c r="V171" s="7">
        <v>211.166</v>
      </c>
      <c r="W171" s="7">
        <v>0</v>
      </c>
      <c r="X171" s="7">
        <v>0</v>
      </c>
      <c r="Y171" s="7">
        <v>0</v>
      </c>
      <c r="Z171" s="7">
        <v>0</v>
      </c>
      <c r="AA171" s="7">
        <v>69.153999999999996</v>
      </c>
      <c r="AB171" s="7">
        <v>0</v>
      </c>
      <c r="AC171" s="7">
        <v>1392.2090000000001</v>
      </c>
      <c r="AD171" s="7">
        <v>0</v>
      </c>
      <c r="AE171" s="7">
        <v>0</v>
      </c>
      <c r="AF171" s="7">
        <v>0.224</v>
      </c>
      <c r="AG171" s="7">
        <v>109.614</v>
      </c>
      <c r="AH171" s="7">
        <v>0</v>
      </c>
      <c r="AI171" s="7">
        <v>3695.654</v>
      </c>
      <c r="AJ171" s="7">
        <v>1761.6569999999999</v>
      </c>
      <c r="AK171" s="7">
        <v>0</v>
      </c>
      <c r="AL171" s="7">
        <v>11396.66</v>
      </c>
      <c r="AM171" s="7">
        <v>3464.1289999999999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7.266</v>
      </c>
      <c r="AV171" s="7">
        <v>0</v>
      </c>
      <c r="AW171" s="7">
        <v>0</v>
      </c>
      <c r="AX171" s="7">
        <v>461.37700000000001</v>
      </c>
      <c r="AY171" s="7">
        <v>0</v>
      </c>
      <c r="AZ171" s="7">
        <v>1.99</v>
      </c>
      <c r="BA171" s="7">
        <v>0</v>
      </c>
      <c r="BB171" s="7">
        <v>16.555</v>
      </c>
      <c r="BC171" s="7">
        <v>0</v>
      </c>
      <c r="BD171" s="7">
        <v>0</v>
      </c>
      <c r="BE171" s="7">
        <v>170.99100000000001</v>
      </c>
      <c r="BF171" s="21"/>
    </row>
    <row r="172" spans="1:58" ht="15.75" x14ac:dyDescent="0.25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21"/>
    </row>
    <row r="173" spans="1:58" ht="15.75" x14ac:dyDescent="0.25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21"/>
    </row>
    <row r="174" spans="1:58" ht="15.75" x14ac:dyDescent="0.25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21"/>
    </row>
    <row r="175" spans="1:58" ht="15.75" x14ac:dyDescent="0.25">
      <c r="A175" s="5" t="s">
        <v>331</v>
      </c>
      <c r="B175" s="5" t="s">
        <v>332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21"/>
    </row>
    <row r="176" spans="1:58" ht="15.75" x14ac:dyDescent="0.25">
      <c r="A176" s="5" t="s">
        <v>333</v>
      </c>
      <c r="B176" s="5" t="s">
        <v>334</v>
      </c>
      <c r="C176" s="7">
        <v>4</v>
      </c>
      <c r="D176" s="7">
        <v>4</v>
      </c>
      <c r="E176" s="7">
        <v>-6653.1549999999997</v>
      </c>
      <c r="F176" s="7">
        <v>-1792.423</v>
      </c>
      <c r="G176" s="7">
        <v>-1.46</v>
      </c>
      <c r="H176" s="7">
        <v>0</v>
      </c>
      <c r="I176" s="7">
        <v>-111.471</v>
      </c>
      <c r="J176" s="7">
        <v>-0.92900000000000005</v>
      </c>
      <c r="K176" s="7">
        <v>-9105.6170000000002</v>
      </c>
      <c r="L176" s="7">
        <v>-679.62599999999998</v>
      </c>
      <c r="M176" s="7">
        <v>0</v>
      </c>
      <c r="N176" s="7">
        <v>-988.74900000000002</v>
      </c>
      <c r="O176" s="7">
        <v>-23293.991999999998</v>
      </c>
      <c r="P176" s="7">
        <v>-1271.3399999999999</v>
      </c>
      <c r="Q176" s="7">
        <v>0</v>
      </c>
      <c r="R176" s="7">
        <v>0</v>
      </c>
      <c r="S176" s="7">
        <v>-0.61099999999999999</v>
      </c>
      <c r="T176" s="7">
        <v>0</v>
      </c>
      <c r="U176" s="7">
        <v>0</v>
      </c>
      <c r="V176" s="7">
        <v>-534.37099999999998</v>
      </c>
      <c r="W176" s="7">
        <v>0</v>
      </c>
      <c r="X176" s="7">
        <v>0</v>
      </c>
      <c r="Y176" s="7">
        <v>0</v>
      </c>
      <c r="Z176" s="7">
        <v>0</v>
      </c>
      <c r="AA176" s="7">
        <v>-173.10400000000001</v>
      </c>
      <c r="AB176" s="7">
        <v>0</v>
      </c>
      <c r="AC176" s="7">
        <v>-3460.2530000000002</v>
      </c>
      <c r="AD176" s="7">
        <v>0</v>
      </c>
      <c r="AE176" s="7">
        <v>0</v>
      </c>
      <c r="AF176" s="7">
        <v>-0.42099999999999999</v>
      </c>
      <c r="AG176" s="7">
        <v>-275.39499999999998</v>
      </c>
      <c r="AH176" s="7">
        <v>0</v>
      </c>
      <c r="AI176" s="7">
        <v>-9234.9230000000007</v>
      </c>
      <c r="AJ176" s="7">
        <v>-4384.7240000000002</v>
      </c>
      <c r="AK176" s="7">
        <v>0</v>
      </c>
      <c r="AL176" s="7">
        <v>-28562.89</v>
      </c>
      <c r="AM176" s="7">
        <v>-8661.0969999999998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-17.693999999999999</v>
      </c>
      <c r="AV176" s="7">
        <v>0</v>
      </c>
      <c r="AW176" s="7">
        <v>0</v>
      </c>
      <c r="AX176" s="7">
        <v>-1140.454</v>
      </c>
      <c r="AY176" s="7">
        <v>0</v>
      </c>
      <c r="AZ176" s="7">
        <v>-4.9939999999999998</v>
      </c>
      <c r="BA176" s="7">
        <v>0</v>
      </c>
      <c r="BB176" s="7">
        <v>-41.735999999999997</v>
      </c>
      <c r="BC176" s="7">
        <v>0</v>
      </c>
      <c r="BD176" s="7">
        <v>0</v>
      </c>
      <c r="BE176" s="7">
        <v>-321.04700000000003</v>
      </c>
      <c r="BF176" s="21"/>
    </row>
    <row r="177" spans="1:58" ht="15.75" x14ac:dyDescent="0.25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21"/>
    </row>
    <row r="178" spans="1:58" ht="15.75" x14ac:dyDescent="0.25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21"/>
    </row>
    <row r="179" spans="1:58" ht="15.75" x14ac:dyDescent="0.25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21"/>
    </row>
    <row r="180" spans="1:58" ht="15.75" x14ac:dyDescent="0.25">
      <c r="A180" s="5" t="s">
        <v>341</v>
      </c>
      <c r="B180" s="5" t="s">
        <v>342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21"/>
    </row>
    <row r="181" spans="1:58" ht="15.75" x14ac:dyDescent="0.25">
      <c r="A181" s="5" t="s">
        <v>323</v>
      </c>
      <c r="B181" s="5" t="s">
        <v>343</v>
      </c>
      <c r="C181" s="7">
        <v>6</v>
      </c>
      <c r="D181" s="7">
        <v>6</v>
      </c>
      <c r="E181" s="7">
        <v>55.375999999999998</v>
      </c>
      <c r="F181" s="7">
        <v>15.263</v>
      </c>
      <c r="G181" s="7">
        <v>1.9E-2</v>
      </c>
      <c r="H181" s="7">
        <v>0</v>
      </c>
      <c r="I181" s="7">
        <v>0.98099999999999998</v>
      </c>
      <c r="J181" s="7">
        <v>1.2E-2</v>
      </c>
      <c r="K181" s="7">
        <v>73.712000000000003</v>
      </c>
      <c r="L181" s="7">
        <v>5.0380000000000003</v>
      </c>
      <c r="M181" s="7">
        <v>0</v>
      </c>
      <c r="N181" s="7">
        <v>8.327</v>
      </c>
      <c r="O181" s="7">
        <v>198.71100000000001</v>
      </c>
      <c r="P181" s="7">
        <v>10.358000000000001</v>
      </c>
      <c r="Q181" s="7">
        <v>0</v>
      </c>
      <c r="R181" s="7">
        <v>0</v>
      </c>
      <c r="S181" s="7">
        <v>8.0000000000000002E-3</v>
      </c>
      <c r="T181" s="7">
        <v>0</v>
      </c>
      <c r="U181" s="7">
        <v>0</v>
      </c>
      <c r="V181" s="7">
        <v>4.5759999999999996</v>
      </c>
      <c r="W181" s="7">
        <v>0</v>
      </c>
      <c r="X181" s="7">
        <v>0</v>
      </c>
      <c r="Y181" s="7">
        <v>0</v>
      </c>
      <c r="Z181" s="7">
        <v>0</v>
      </c>
      <c r="AA181" s="7">
        <v>1.4379999999999999</v>
      </c>
      <c r="AB181" s="7">
        <v>0</v>
      </c>
      <c r="AC181" s="7">
        <v>27.731000000000002</v>
      </c>
      <c r="AD181" s="7">
        <v>0</v>
      </c>
      <c r="AE181" s="7">
        <v>0</v>
      </c>
      <c r="AF181" s="7">
        <v>0</v>
      </c>
      <c r="AG181" s="7">
        <v>2.3079999999999998</v>
      </c>
      <c r="AH181" s="7">
        <v>0</v>
      </c>
      <c r="AI181" s="7">
        <v>75.238</v>
      </c>
      <c r="AJ181" s="7">
        <v>35.707999999999998</v>
      </c>
      <c r="AK181" s="7">
        <v>0</v>
      </c>
      <c r="AL181" s="7">
        <v>240.18199999999999</v>
      </c>
      <c r="AM181" s="7">
        <v>71.382999999999996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0.13300000000000001</v>
      </c>
      <c r="AV181" s="7">
        <v>0</v>
      </c>
      <c r="AW181" s="7">
        <v>0</v>
      </c>
      <c r="AX181" s="7">
        <v>9.0359999999999996</v>
      </c>
      <c r="AY181" s="7">
        <v>0</v>
      </c>
      <c r="AZ181" s="7">
        <v>4.1000000000000002E-2</v>
      </c>
      <c r="BA181" s="7">
        <v>0</v>
      </c>
      <c r="BB181" s="7">
        <v>0.34899999999999998</v>
      </c>
      <c r="BC181" s="7">
        <v>0</v>
      </c>
      <c r="BD181" s="7">
        <v>0</v>
      </c>
      <c r="BE181" s="7">
        <v>0</v>
      </c>
      <c r="BF181" s="21"/>
    </row>
    <row r="182" spans="1:58" ht="15.75" x14ac:dyDescent="0.25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21"/>
    </row>
    <row r="183" spans="1:58" ht="15.75" x14ac:dyDescent="0.25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21"/>
    </row>
    <row r="184" spans="1:58" ht="15.75" x14ac:dyDescent="0.25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21"/>
    </row>
    <row r="185" spans="1:58" ht="15.75" x14ac:dyDescent="0.25">
      <c r="A185" s="5" t="s">
        <v>331</v>
      </c>
      <c r="B185" s="5" t="s">
        <v>347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21"/>
    </row>
    <row r="186" spans="1:58" ht="15.75" x14ac:dyDescent="0.25">
      <c r="A186" s="5" t="s">
        <v>333</v>
      </c>
      <c r="B186" s="5" t="s">
        <v>348</v>
      </c>
      <c r="C186" s="7">
        <v>6</v>
      </c>
      <c r="D186" s="7">
        <v>6</v>
      </c>
      <c r="E186" s="7">
        <v>-64.274000000000001</v>
      </c>
      <c r="F186" s="7">
        <v>-17.716000000000001</v>
      </c>
      <c r="G186" s="7">
        <v>-2.1999999999999999E-2</v>
      </c>
      <c r="H186" s="7">
        <v>0</v>
      </c>
      <c r="I186" s="7">
        <v>-1.139</v>
      </c>
      <c r="J186" s="7">
        <v>-1.4E-2</v>
      </c>
      <c r="K186" s="7">
        <v>-85.557000000000002</v>
      </c>
      <c r="L186" s="7">
        <v>-5.8470000000000004</v>
      </c>
      <c r="M186" s="7">
        <v>0</v>
      </c>
      <c r="N186" s="7">
        <v>-9.6649999999999991</v>
      </c>
      <c r="O186" s="7">
        <v>-230.643</v>
      </c>
      <c r="P186" s="7">
        <v>-12.022</v>
      </c>
      <c r="Q186" s="7">
        <v>0</v>
      </c>
      <c r="R186" s="7">
        <v>0</v>
      </c>
      <c r="S186" s="7">
        <v>-8.9999999999999993E-3</v>
      </c>
      <c r="T186" s="7">
        <v>0</v>
      </c>
      <c r="U186" s="7">
        <v>0</v>
      </c>
      <c r="V186" s="7">
        <v>-5.3120000000000003</v>
      </c>
      <c r="W186" s="7">
        <v>0</v>
      </c>
      <c r="X186" s="7">
        <v>0</v>
      </c>
      <c r="Y186" s="7">
        <v>0</v>
      </c>
      <c r="Z186" s="7">
        <v>0</v>
      </c>
      <c r="AA186" s="7">
        <v>-1.669</v>
      </c>
      <c r="AB186" s="7">
        <v>0</v>
      </c>
      <c r="AC186" s="7">
        <v>-32.186999999999998</v>
      </c>
      <c r="AD186" s="7">
        <v>0</v>
      </c>
      <c r="AE186" s="7">
        <v>0</v>
      </c>
      <c r="AF186" s="7">
        <v>0</v>
      </c>
      <c r="AG186" s="7">
        <v>-2.6789999999999998</v>
      </c>
      <c r="AH186" s="7">
        <v>0</v>
      </c>
      <c r="AI186" s="7">
        <v>-87.328000000000003</v>
      </c>
      <c r="AJ186" s="7">
        <v>-41.445999999999998</v>
      </c>
      <c r="AK186" s="7">
        <v>0</v>
      </c>
      <c r="AL186" s="7">
        <v>-278.77699999999999</v>
      </c>
      <c r="AM186" s="7">
        <v>-82.852999999999994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-0.154</v>
      </c>
      <c r="AV186" s="7">
        <v>0</v>
      </c>
      <c r="AW186" s="7">
        <v>0</v>
      </c>
      <c r="AX186" s="7">
        <v>-10.488</v>
      </c>
      <c r="AY186" s="7">
        <v>0</v>
      </c>
      <c r="AZ186" s="7">
        <v>-4.8000000000000001E-2</v>
      </c>
      <c r="BA186" s="7">
        <v>0</v>
      </c>
      <c r="BB186" s="7">
        <v>-0.40500000000000003</v>
      </c>
      <c r="BC186" s="7">
        <v>0</v>
      </c>
      <c r="BD186" s="7">
        <v>0</v>
      </c>
      <c r="BE186" s="7">
        <v>0</v>
      </c>
      <c r="BF186" s="21"/>
    </row>
    <row r="187" spans="1:58" ht="15.75" x14ac:dyDescent="0.25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21"/>
    </row>
    <row r="188" spans="1:58" ht="15.75" x14ac:dyDescent="0.25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21"/>
    </row>
    <row r="189" spans="1:58" ht="15.75" x14ac:dyDescent="0.25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21"/>
    </row>
    <row r="190" spans="1:58" ht="15.75" x14ac:dyDescent="0.25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21"/>
    </row>
    <row r="191" spans="1:58" ht="15.75" x14ac:dyDescent="0.25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21"/>
    </row>
    <row r="192" spans="1:58" ht="15.75" x14ac:dyDescent="0.25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21"/>
    </row>
    <row r="193" spans="1:58" ht="15.75" x14ac:dyDescent="0.25">
      <c r="A193" s="5" t="s">
        <v>357</v>
      </c>
      <c r="B193" s="5" t="s">
        <v>358</v>
      </c>
      <c r="C193" s="7">
        <v>6</v>
      </c>
      <c r="D193" s="7">
        <v>6</v>
      </c>
      <c r="E193" s="7">
        <v>32.527000000000001</v>
      </c>
      <c r="F193" s="7">
        <v>3.4470000000000001</v>
      </c>
      <c r="G193" s="7">
        <v>14.07</v>
      </c>
      <c r="H193" s="7">
        <v>0</v>
      </c>
      <c r="I193" s="7">
        <v>0.92100000000000004</v>
      </c>
      <c r="J193" s="7">
        <v>9.5630000000000006</v>
      </c>
      <c r="K193" s="7">
        <v>2.5</v>
      </c>
      <c r="L193" s="7">
        <v>9.2449999999999992</v>
      </c>
      <c r="M193" s="7">
        <v>0</v>
      </c>
      <c r="N193" s="7">
        <v>20.459</v>
      </c>
      <c r="O193" s="7">
        <v>12.045</v>
      </c>
      <c r="P193" s="7">
        <v>20.007000000000001</v>
      </c>
      <c r="Q193" s="7">
        <v>0</v>
      </c>
      <c r="R193" s="7">
        <v>0</v>
      </c>
      <c r="S193" s="7">
        <v>0.01</v>
      </c>
      <c r="T193" s="7">
        <v>0</v>
      </c>
      <c r="U193" s="7">
        <v>0</v>
      </c>
      <c r="V193" s="7">
        <v>1.165</v>
      </c>
      <c r="W193" s="7">
        <v>0</v>
      </c>
      <c r="X193" s="7">
        <v>0</v>
      </c>
      <c r="Y193" s="7">
        <v>0</v>
      </c>
      <c r="Z193" s="7">
        <v>0.78900000000000003</v>
      </c>
      <c r="AA193" s="7">
        <v>2.8069999999999999</v>
      </c>
      <c r="AB193" s="7">
        <v>0</v>
      </c>
      <c r="AC193" s="7">
        <v>4.54</v>
      </c>
      <c r="AD193" s="7">
        <v>0</v>
      </c>
      <c r="AE193" s="7">
        <v>10.641</v>
      </c>
      <c r="AF193" s="7">
        <v>0</v>
      </c>
      <c r="AG193" s="7">
        <v>0.52300000000000002</v>
      </c>
      <c r="AH193" s="7">
        <v>0</v>
      </c>
      <c r="AI193" s="7">
        <v>10.778</v>
      </c>
      <c r="AJ193" s="7">
        <v>0</v>
      </c>
      <c r="AK193" s="7">
        <v>0</v>
      </c>
      <c r="AL193" s="7">
        <v>43.2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4.9000000000000002E-2</v>
      </c>
      <c r="AV193" s="7">
        <v>0</v>
      </c>
      <c r="AW193" s="7">
        <v>0</v>
      </c>
      <c r="AX193" s="7">
        <v>0</v>
      </c>
      <c r="AY193" s="7">
        <v>0</v>
      </c>
      <c r="AZ193" s="7">
        <v>3.0000000000000001E-3</v>
      </c>
      <c r="BA193" s="7">
        <v>0</v>
      </c>
      <c r="BB193" s="7">
        <v>0.438</v>
      </c>
      <c r="BC193" s="7">
        <v>0</v>
      </c>
      <c r="BD193" s="7">
        <v>0</v>
      </c>
      <c r="BE193" s="7">
        <v>0</v>
      </c>
      <c r="BF193" s="21"/>
    </row>
    <row r="194" spans="1:58" ht="15.75" x14ac:dyDescent="0.25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21"/>
    </row>
    <row r="195" spans="1:58" ht="15.75" x14ac:dyDescent="0.25">
      <c r="A195" s="5" t="s">
        <v>361</v>
      </c>
      <c r="B195" s="5" t="s">
        <v>362</v>
      </c>
      <c r="C195" s="7">
        <v>6</v>
      </c>
      <c r="D195" s="7">
        <v>6</v>
      </c>
      <c r="E195" s="7">
        <v>180.53899999999999</v>
      </c>
      <c r="F195" s="7">
        <v>0</v>
      </c>
      <c r="G195" s="7">
        <v>43.960999999999999</v>
      </c>
      <c r="H195" s="7">
        <v>0</v>
      </c>
      <c r="I195" s="7">
        <v>0</v>
      </c>
      <c r="J195" s="7">
        <v>76.466999999999999</v>
      </c>
      <c r="K195" s="7">
        <v>0</v>
      </c>
      <c r="L195" s="7">
        <v>0</v>
      </c>
      <c r="M195" s="7">
        <v>0</v>
      </c>
      <c r="N195" s="7">
        <v>0</v>
      </c>
      <c r="O195" s="7">
        <v>649.35799999999995</v>
      </c>
      <c r="P195" s="7">
        <v>94.158000000000001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556.654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21"/>
    </row>
    <row r="196" spans="1:58" ht="15.75" x14ac:dyDescent="0.25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21"/>
    </row>
    <row r="197" spans="1:58" ht="15.75" x14ac:dyDescent="0.25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21"/>
    </row>
    <row r="198" spans="1:58" ht="15.75" x14ac:dyDescent="0.25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21"/>
    </row>
    <row r="199" spans="1:58" ht="15.75" x14ac:dyDescent="0.25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21"/>
    </row>
    <row r="200" spans="1:58" ht="15.75" x14ac:dyDescent="0.25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21"/>
    </row>
    <row r="201" spans="1:58" ht="15.75" x14ac:dyDescent="0.25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21"/>
    </row>
    <row r="202" spans="1:58" ht="15.75" x14ac:dyDescent="0.25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21"/>
    </row>
    <row r="203" spans="1:58" ht="15.75" x14ac:dyDescent="0.25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21"/>
    </row>
    <row r="204" spans="1:58" ht="15.75" x14ac:dyDescent="0.25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21"/>
    </row>
    <row r="205" spans="1:58" ht="15.75" x14ac:dyDescent="0.25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21"/>
    </row>
    <row r="206" spans="1:58" ht="15.75" x14ac:dyDescent="0.25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21"/>
    </row>
    <row r="207" spans="1:58" ht="15.75" x14ac:dyDescent="0.25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21"/>
    </row>
    <row r="208" spans="1:58" ht="15.75" x14ac:dyDescent="0.25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21"/>
    </row>
    <row r="209" spans="1:58" ht="15.75" x14ac:dyDescent="0.25">
      <c r="A209" s="5" t="s">
        <v>389</v>
      </c>
      <c r="B209" s="5" t="s">
        <v>390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21"/>
    </row>
    <row r="210" spans="1:58" ht="15.75" x14ac:dyDescent="0.25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21"/>
    </row>
    <row r="211" spans="1:58" ht="15.75" x14ac:dyDescent="0.25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21"/>
    </row>
    <row r="212" spans="1:58" ht="15.75" x14ac:dyDescent="0.25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21"/>
    </row>
    <row r="213" spans="1:58" ht="15.75" x14ac:dyDescent="0.25">
      <c r="A213" s="5" t="s">
        <v>353</v>
      </c>
      <c r="B213" s="5" t="s">
        <v>397</v>
      </c>
      <c r="C213" s="7">
        <v>6</v>
      </c>
      <c r="D213" s="7">
        <v>6</v>
      </c>
      <c r="E213" s="7">
        <v>1061.5250000000001</v>
      </c>
      <c r="F213" s="7">
        <v>150.524</v>
      </c>
      <c r="G213" s="7">
        <v>288.77800000000002</v>
      </c>
      <c r="H213" s="7">
        <v>1.5880000000000001</v>
      </c>
      <c r="I213" s="7">
        <v>38.746000000000002</v>
      </c>
      <c r="J213" s="7">
        <v>150.25299999999999</v>
      </c>
      <c r="K213" s="7">
        <v>1265.809</v>
      </c>
      <c r="L213" s="7">
        <v>110.798</v>
      </c>
      <c r="M213" s="7">
        <v>0</v>
      </c>
      <c r="N213" s="7">
        <v>582.04600000000005</v>
      </c>
      <c r="O213" s="7">
        <v>1293.942</v>
      </c>
      <c r="P213" s="7">
        <v>602.54399999999998</v>
      </c>
      <c r="Q213" s="7">
        <v>0</v>
      </c>
      <c r="R213" s="7">
        <v>0</v>
      </c>
      <c r="S213" s="7">
        <v>7.5819999999999999</v>
      </c>
      <c r="T213" s="7">
        <v>0</v>
      </c>
      <c r="U213" s="7">
        <v>0.21299999999999999</v>
      </c>
      <c r="V213" s="7">
        <v>0</v>
      </c>
      <c r="W213" s="7">
        <v>0</v>
      </c>
      <c r="X213" s="7">
        <v>0</v>
      </c>
      <c r="Y213" s="7">
        <v>0</v>
      </c>
      <c r="Z213" s="7">
        <v>15.766999999999999</v>
      </c>
      <c r="AA213" s="7">
        <v>52.764000000000003</v>
      </c>
      <c r="AB213" s="7">
        <v>0</v>
      </c>
      <c r="AC213" s="7">
        <v>421.03</v>
      </c>
      <c r="AD213" s="7">
        <v>0</v>
      </c>
      <c r="AE213" s="7">
        <v>146.85300000000001</v>
      </c>
      <c r="AF213" s="7">
        <v>0</v>
      </c>
      <c r="AG213" s="7">
        <v>24.957999999999998</v>
      </c>
      <c r="AH213" s="7">
        <v>0</v>
      </c>
      <c r="AI213" s="7">
        <v>1284.3699999999999</v>
      </c>
      <c r="AJ213" s="7">
        <v>0</v>
      </c>
      <c r="AK213" s="7">
        <v>0</v>
      </c>
      <c r="AL213" s="7">
        <v>2105.7930000000001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21"/>
    </row>
    <row r="214" spans="1:58" ht="15.75" x14ac:dyDescent="0.25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21"/>
    </row>
    <row r="215" spans="1:58" ht="15.75" x14ac:dyDescent="0.25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21"/>
    </row>
    <row r="216" spans="1:58" ht="15.75" x14ac:dyDescent="0.25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21"/>
    </row>
    <row r="217" spans="1:58" ht="15.75" x14ac:dyDescent="0.25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21"/>
    </row>
    <row r="218" spans="1:58" ht="15.75" x14ac:dyDescent="0.25">
      <c r="A218" s="5" t="s">
        <v>363</v>
      </c>
      <c r="B218" s="5" t="s">
        <v>402</v>
      </c>
      <c r="C218" s="7">
        <v>6</v>
      </c>
      <c r="D218" s="7">
        <v>6</v>
      </c>
      <c r="E218" s="7">
        <v>8.9999999999999993E-3</v>
      </c>
      <c r="F218" s="7">
        <v>0</v>
      </c>
      <c r="G218" s="7">
        <v>0</v>
      </c>
      <c r="H218" s="7">
        <v>0</v>
      </c>
      <c r="I218" s="7">
        <v>1.2E-2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6.2E-2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0.158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21"/>
    </row>
    <row r="219" spans="1:58" ht="15.75" x14ac:dyDescent="0.25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21"/>
    </row>
    <row r="220" spans="1:58" ht="15.75" x14ac:dyDescent="0.25">
      <c r="A220" s="5" t="s">
        <v>367</v>
      </c>
      <c r="B220" s="5" t="s">
        <v>404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21"/>
    </row>
    <row r="221" spans="1:58" ht="15.75" x14ac:dyDescent="0.25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21"/>
    </row>
    <row r="222" spans="1:58" ht="15.75" x14ac:dyDescent="0.25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21"/>
    </row>
    <row r="223" spans="1:58" ht="15.75" x14ac:dyDescent="0.25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21"/>
    </row>
    <row r="224" spans="1:58" ht="15.75" x14ac:dyDescent="0.25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21"/>
    </row>
    <row r="225" spans="1:58" ht="15.75" x14ac:dyDescent="0.25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21"/>
    </row>
    <row r="226" spans="1:58" ht="15.75" x14ac:dyDescent="0.25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21"/>
    </row>
    <row r="227" spans="1:58" ht="15.75" x14ac:dyDescent="0.25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21"/>
    </row>
    <row r="228" spans="1:58" ht="15.75" x14ac:dyDescent="0.25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21"/>
    </row>
    <row r="229" spans="1:58" ht="15.75" x14ac:dyDescent="0.25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21"/>
    </row>
    <row r="230" spans="1:58" ht="15.75" x14ac:dyDescent="0.25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21"/>
    </row>
    <row r="231" spans="1:58" ht="15.75" x14ac:dyDescent="0.25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21"/>
    </row>
    <row r="232" spans="1:58" ht="15.75" x14ac:dyDescent="0.25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21"/>
    </row>
    <row r="233" spans="1:58" ht="15.75" x14ac:dyDescent="0.25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21"/>
    </row>
    <row r="234" spans="1:58" ht="15.75" x14ac:dyDescent="0.25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21"/>
    </row>
    <row r="235" spans="1:58" ht="15.75" x14ac:dyDescent="0.25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21"/>
    </row>
    <row r="236" spans="1:58" ht="15.75" x14ac:dyDescent="0.25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21"/>
    </row>
    <row r="237" spans="1:58" ht="15.75" x14ac:dyDescent="0.25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21"/>
    </row>
    <row r="238" spans="1:58" ht="15.75" x14ac:dyDescent="0.25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21"/>
    </row>
    <row r="239" spans="1:58" ht="15.75" x14ac:dyDescent="0.25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21"/>
    </row>
    <row r="240" spans="1:58" ht="15.75" x14ac:dyDescent="0.25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21"/>
    </row>
    <row r="241" spans="1:58" ht="15.75" x14ac:dyDescent="0.25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21"/>
    </row>
    <row r="242" spans="1:58" ht="15.75" x14ac:dyDescent="0.25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21"/>
    </row>
    <row r="243" spans="1:58" ht="15.75" x14ac:dyDescent="0.25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21"/>
    </row>
    <row r="244" spans="1:58" ht="15.75" x14ac:dyDescent="0.25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21"/>
    </row>
    <row r="245" spans="1:58" ht="15.75" x14ac:dyDescent="0.25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21"/>
    </row>
    <row r="246" spans="1:58" ht="15.75" x14ac:dyDescent="0.25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21"/>
    </row>
    <row r="247" spans="1:58" ht="15.75" x14ac:dyDescent="0.25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21"/>
    </row>
    <row r="248" spans="1:58" ht="15.75" x14ac:dyDescent="0.25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21"/>
    </row>
    <row r="249" spans="1:58" ht="15.75" x14ac:dyDescent="0.25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21"/>
    </row>
    <row r="250" spans="1:58" ht="15.75" x14ac:dyDescent="0.25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21"/>
    </row>
    <row r="251" spans="1:58" ht="15.75" x14ac:dyDescent="0.25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21"/>
    </row>
    <row r="252" spans="1:58" ht="15.75" x14ac:dyDescent="0.25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21"/>
    </row>
    <row r="253" spans="1:58" ht="15.75" x14ac:dyDescent="0.25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21"/>
    </row>
    <row r="254" spans="1:58" ht="15.75" x14ac:dyDescent="0.25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21"/>
    </row>
    <row r="255" spans="1:58" ht="15.75" x14ac:dyDescent="0.25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21"/>
    </row>
    <row r="256" spans="1:58" ht="15.75" x14ac:dyDescent="0.25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569.548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446.87599999999998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21"/>
    </row>
    <row r="257" spans="1:58" ht="15.75" x14ac:dyDescent="0.25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7.0000000000000001E-3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4.2999999999999997E-2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0.05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21"/>
    </row>
    <row r="258" spans="1:58" ht="15.75" x14ac:dyDescent="0.25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21"/>
    </row>
    <row r="259" spans="1:58" ht="15.75" x14ac:dyDescent="0.25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21"/>
    </row>
    <row r="260" spans="1:58" ht="15.75" x14ac:dyDescent="0.25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21"/>
    </row>
    <row r="261" spans="1:58" ht="15.75" x14ac:dyDescent="0.25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21"/>
    </row>
    <row r="262" spans="1:58" ht="15.75" x14ac:dyDescent="0.25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21"/>
    </row>
    <row r="263" spans="1:58" ht="15.75" x14ac:dyDescent="0.25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21"/>
    </row>
    <row r="264" spans="1:58" ht="15.75" x14ac:dyDescent="0.25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21"/>
    </row>
    <row r="265" spans="1:58" ht="15.75" x14ac:dyDescent="0.25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21"/>
    </row>
    <row r="266" spans="1:58" ht="15.75" x14ac:dyDescent="0.25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21"/>
    </row>
    <row r="267" spans="1:58" ht="15.75" x14ac:dyDescent="0.25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21"/>
    </row>
    <row r="268" spans="1:58" ht="15.75" x14ac:dyDescent="0.25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21"/>
    </row>
    <row r="269" spans="1:58" ht="15.75" x14ac:dyDescent="0.25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21"/>
    </row>
    <row r="270" spans="1:58" ht="15.75" x14ac:dyDescent="0.25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21"/>
    </row>
    <row r="271" spans="1:58" ht="15.75" x14ac:dyDescent="0.25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21"/>
    </row>
    <row r="272" spans="1:58" ht="15.75" x14ac:dyDescent="0.25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21"/>
    </row>
    <row r="273" spans="1:58" ht="15.75" x14ac:dyDescent="0.25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21"/>
    </row>
    <row r="274" spans="1:58" ht="15.75" x14ac:dyDescent="0.25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21"/>
    </row>
    <row r="275" spans="1:58" ht="15.75" x14ac:dyDescent="0.25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21"/>
    </row>
    <row r="276" spans="1:58" ht="15.75" x14ac:dyDescent="0.25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21"/>
    </row>
    <row r="277" spans="1:58" ht="15.75" x14ac:dyDescent="0.25">
      <c r="A277" s="5" t="s">
        <v>459</v>
      </c>
      <c r="B277" s="5" t="s">
        <v>483</v>
      </c>
      <c r="C277" s="7">
        <v>6</v>
      </c>
      <c r="D277" s="7">
        <v>6</v>
      </c>
      <c r="E277" s="7">
        <v>9460.2720000000008</v>
      </c>
      <c r="F277" s="7">
        <v>1598.9069999999999</v>
      </c>
      <c r="G277" s="7">
        <v>642.74300000000005</v>
      </c>
      <c r="H277" s="7">
        <v>1584.8879999999999</v>
      </c>
      <c r="I277" s="7">
        <v>330.07499999999999</v>
      </c>
      <c r="J277" s="7">
        <v>1274.307</v>
      </c>
      <c r="K277" s="7">
        <v>5497.4470000000001</v>
      </c>
      <c r="L277" s="7">
        <v>1589.7380000000001</v>
      </c>
      <c r="M277" s="7">
        <v>0</v>
      </c>
      <c r="N277" s="7">
        <v>5527.6270000000004</v>
      </c>
      <c r="O277" s="7">
        <v>13431.654</v>
      </c>
      <c r="P277" s="7">
        <v>5561.7669999999998</v>
      </c>
      <c r="Q277" s="7">
        <v>0</v>
      </c>
      <c r="R277" s="7">
        <v>0</v>
      </c>
      <c r="S277" s="7">
        <v>6.0000000000000001E-3</v>
      </c>
      <c r="T277" s="7">
        <v>0</v>
      </c>
      <c r="U277" s="7">
        <v>0</v>
      </c>
      <c r="V277" s="7">
        <v>591.38599999999997</v>
      </c>
      <c r="W277" s="7">
        <v>0</v>
      </c>
      <c r="X277" s="7">
        <v>0</v>
      </c>
      <c r="Y277" s="7">
        <v>0</v>
      </c>
      <c r="Z277" s="7">
        <v>74.206999999999994</v>
      </c>
      <c r="AA277" s="7">
        <v>468.988</v>
      </c>
      <c r="AB277" s="7">
        <v>0</v>
      </c>
      <c r="AC277" s="7">
        <v>2280.317</v>
      </c>
      <c r="AD277" s="7">
        <v>0</v>
      </c>
      <c r="AE277" s="7">
        <v>2135.0619999999999</v>
      </c>
      <c r="AF277" s="7">
        <v>0</v>
      </c>
      <c r="AG277" s="7">
        <v>262.791</v>
      </c>
      <c r="AH277" s="7">
        <v>0</v>
      </c>
      <c r="AI277" s="7">
        <v>1263.088</v>
      </c>
      <c r="AJ277" s="7">
        <v>28.06</v>
      </c>
      <c r="AK277" s="7">
        <v>0</v>
      </c>
      <c r="AL277" s="7">
        <v>22935.898000000001</v>
      </c>
      <c r="AM277" s="7">
        <v>47.866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30.704000000000001</v>
      </c>
      <c r="AV277" s="7">
        <v>0</v>
      </c>
      <c r="AW277" s="7">
        <v>0</v>
      </c>
      <c r="AX277" s="7">
        <v>3.9039999999999999</v>
      </c>
      <c r="AY277" s="7">
        <v>0</v>
      </c>
      <c r="AZ277" s="7">
        <v>2.1219999999999999</v>
      </c>
      <c r="BA277" s="7">
        <v>0</v>
      </c>
      <c r="BB277" s="7">
        <v>0.308</v>
      </c>
      <c r="BC277" s="7">
        <v>0</v>
      </c>
      <c r="BD277" s="7">
        <v>0</v>
      </c>
      <c r="BE277" s="7">
        <v>1701.6210000000001</v>
      </c>
      <c r="BF277" s="21"/>
    </row>
    <row r="278" spans="1:58" ht="15.75" x14ac:dyDescent="0.25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21"/>
    </row>
    <row r="279" spans="1:58" ht="15.75" x14ac:dyDescent="0.25">
      <c r="A279" s="5" t="s">
        <v>485</v>
      </c>
      <c r="B279" s="5" t="s">
        <v>486</v>
      </c>
      <c r="C279" s="7">
        <v>5</v>
      </c>
      <c r="D279" s="7">
        <v>5</v>
      </c>
      <c r="E279" s="7">
        <v>94638.153999999995</v>
      </c>
      <c r="F279" s="7">
        <v>0</v>
      </c>
      <c r="G279" s="7">
        <v>18457.473000000002</v>
      </c>
      <c r="H279" s="7">
        <v>582.71400000000006</v>
      </c>
      <c r="I279" s="7">
        <v>0</v>
      </c>
      <c r="J279" s="7">
        <v>26602.955000000002</v>
      </c>
      <c r="K279" s="7">
        <v>156765.929</v>
      </c>
      <c r="L279" s="7">
        <v>32994.635000000002</v>
      </c>
      <c r="M279" s="7">
        <v>6836.6679999999997</v>
      </c>
      <c r="N279" s="7">
        <v>30731.657999999999</v>
      </c>
      <c r="O279" s="7">
        <v>257798.86</v>
      </c>
      <c r="P279" s="7">
        <v>81389.054000000004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11.473000000000001</v>
      </c>
      <c r="Y279" s="7">
        <v>2209.2809999999999</v>
      </c>
      <c r="Z279" s="7">
        <v>125.024</v>
      </c>
      <c r="AA279" s="7">
        <v>1952.9269999999999</v>
      </c>
      <c r="AB279" s="7">
        <v>0</v>
      </c>
      <c r="AC279" s="7">
        <v>49462.572999999997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104264.285</v>
      </c>
      <c r="AJ279" s="7">
        <v>13465.277</v>
      </c>
      <c r="AK279" s="7">
        <v>561.476</v>
      </c>
      <c r="AL279" s="7">
        <v>665806.228</v>
      </c>
      <c r="AM279" s="7">
        <v>47217.962</v>
      </c>
      <c r="AN279" s="7">
        <v>148.62899999999999</v>
      </c>
      <c r="AO279" s="7">
        <v>98.778000000000006</v>
      </c>
      <c r="AP279" s="7">
        <v>386.50299999999999</v>
      </c>
      <c r="AQ279" s="7">
        <v>0</v>
      </c>
      <c r="AR279" s="7">
        <v>704.25199999999995</v>
      </c>
      <c r="AS279" s="7">
        <v>532.73199999999997</v>
      </c>
      <c r="AT279" s="7">
        <v>796.66200000000003</v>
      </c>
      <c r="AU279" s="7">
        <v>0</v>
      </c>
      <c r="AV279" s="7">
        <v>0</v>
      </c>
      <c r="AW279" s="7">
        <v>0</v>
      </c>
      <c r="AX279" s="7">
        <v>659.64700000000005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21"/>
    </row>
    <row r="280" spans="1:58" ht="15.75" x14ac:dyDescent="0.25">
      <c r="A280" s="5" t="s">
        <v>487</v>
      </c>
      <c r="B280" s="5" t="s">
        <v>488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21"/>
    </row>
    <row r="281" spans="1:58" ht="15.75" x14ac:dyDescent="0.25">
      <c r="A281" s="5" t="s">
        <v>489</v>
      </c>
      <c r="B281" s="5" t="s">
        <v>490</v>
      </c>
      <c r="C281" s="7">
        <v>5</v>
      </c>
      <c r="D281" s="7">
        <v>5</v>
      </c>
      <c r="E281" s="7">
        <v>13407.343999999999</v>
      </c>
      <c r="F281" s="7">
        <v>1990.174</v>
      </c>
      <c r="G281" s="7">
        <v>2946.317</v>
      </c>
      <c r="H281" s="7">
        <v>0</v>
      </c>
      <c r="I281" s="7">
        <v>512.28599999999994</v>
      </c>
      <c r="J281" s="7">
        <v>1728.5450000000001</v>
      </c>
      <c r="K281" s="7">
        <v>14308.991</v>
      </c>
      <c r="L281" s="7">
        <v>1278.171</v>
      </c>
      <c r="M281" s="7">
        <v>0</v>
      </c>
      <c r="N281" s="7">
        <v>6635.4520000000002</v>
      </c>
      <c r="O281" s="7">
        <v>15149.791999999999</v>
      </c>
      <c r="P281" s="7">
        <v>6652.02</v>
      </c>
      <c r="Q281" s="7">
        <v>0</v>
      </c>
      <c r="R281" s="7">
        <v>0</v>
      </c>
      <c r="S281" s="7">
        <v>100.244</v>
      </c>
      <c r="T281" s="7">
        <v>0</v>
      </c>
      <c r="U281" s="7">
        <v>2.81</v>
      </c>
      <c r="V281" s="7">
        <v>0</v>
      </c>
      <c r="W281" s="7">
        <v>0</v>
      </c>
      <c r="X281" s="7">
        <v>0</v>
      </c>
      <c r="Y281" s="7">
        <v>0</v>
      </c>
      <c r="Z281" s="7">
        <v>208.459</v>
      </c>
      <c r="AA281" s="7">
        <v>697.62800000000004</v>
      </c>
      <c r="AB281" s="7">
        <v>0</v>
      </c>
      <c r="AC281" s="7">
        <v>5566.6930000000002</v>
      </c>
      <c r="AD281" s="7">
        <v>0</v>
      </c>
      <c r="AE281" s="7">
        <v>1941.6379999999999</v>
      </c>
      <c r="AF281" s="7">
        <v>0</v>
      </c>
      <c r="AG281" s="7">
        <v>329.98099999999999</v>
      </c>
      <c r="AH281" s="7">
        <v>0</v>
      </c>
      <c r="AI281" s="7">
        <v>16981.442999999999</v>
      </c>
      <c r="AJ281" s="7">
        <v>0</v>
      </c>
      <c r="AK281" s="7">
        <v>0</v>
      </c>
      <c r="AL281" s="7">
        <v>27841.971000000001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21"/>
    </row>
    <row r="282" spans="1:58" ht="15.75" x14ac:dyDescent="0.25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21"/>
    </row>
    <row r="283" spans="1:58" ht="15.75" x14ac:dyDescent="0.25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21"/>
    </row>
    <row r="284" spans="1:58" ht="15.75" x14ac:dyDescent="0.25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21"/>
    </row>
    <row r="285" spans="1:58" ht="15.75" x14ac:dyDescent="0.25">
      <c r="A285" s="5" t="s">
        <v>497</v>
      </c>
      <c r="B285" s="5" t="s">
        <v>498</v>
      </c>
      <c r="C285" s="7">
        <v>5</v>
      </c>
      <c r="D285" s="7">
        <v>5</v>
      </c>
      <c r="E285" s="7">
        <v>27401.761999999999</v>
      </c>
      <c r="F285" s="7">
        <v>5004.2839999999997</v>
      </c>
      <c r="G285" s="7">
        <v>8536.6659999999993</v>
      </c>
      <c r="H285" s="7">
        <v>0</v>
      </c>
      <c r="I285" s="7">
        <v>1346.038</v>
      </c>
      <c r="J285" s="7">
        <v>4608.5829999999996</v>
      </c>
      <c r="K285" s="7">
        <v>45746.947999999997</v>
      </c>
      <c r="L285" s="7">
        <v>3074.761</v>
      </c>
      <c r="M285" s="7">
        <v>0</v>
      </c>
      <c r="N285" s="7">
        <v>17445.831999999999</v>
      </c>
      <c r="O285" s="7">
        <v>43093.154000000002</v>
      </c>
      <c r="P285" s="7">
        <v>18982.075000000001</v>
      </c>
      <c r="Q285" s="7">
        <v>0</v>
      </c>
      <c r="R285" s="7">
        <v>0</v>
      </c>
      <c r="S285" s="7">
        <v>287.99</v>
      </c>
      <c r="T285" s="7">
        <v>0</v>
      </c>
      <c r="U285" s="7">
        <v>5.2489999999999997</v>
      </c>
      <c r="V285" s="7">
        <v>0</v>
      </c>
      <c r="W285" s="7">
        <v>0</v>
      </c>
      <c r="X285" s="7">
        <v>0</v>
      </c>
      <c r="Y285" s="7">
        <v>0</v>
      </c>
      <c r="Z285" s="7">
        <v>389.43799999999999</v>
      </c>
      <c r="AA285" s="7">
        <v>1303.2940000000001</v>
      </c>
      <c r="AB285" s="7">
        <v>0</v>
      </c>
      <c r="AC285" s="7">
        <v>10399.575000000001</v>
      </c>
      <c r="AD285" s="7">
        <v>0</v>
      </c>
      <c r="AE285" s="7">
        <v>3627.326</v>
      </c>
      <c r="AF285" s="7">
        <v>0</v>
      </c>
      <c r="AG285" s="7">
        <v>616.46299999999997</v>
      </c>
      <c r="AH285" s="7">
        <v>0</v>
      </c>
      <c r="AI285" s="7">
        <v>31732.385999999999</v>
      </c>
      <c r="AJ285" s="7">
        <v>0</v>
      </c>
      <c r="AK285" s="7">
        <v>0</v>
      </c>
      <c r="AL285" s="7">
        <v>59341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21"/>
    </row>
    <row r="286" spans="1:58" ht="15.75" x14ac:dyDescent="0.25">
      <c r="A286" s="5" t="s">
        <v>499</v>
      </c>
      <c r="B286" s="5" t="s">
        <v>500</v>
      </c>
      <c r="C286" s="7">
        <v>5</v>
      </c>
      <c r="D286" s="7">
        <v>5</v>
      </c>
      <c r="E286" s="7">
        <v>107456.2</v>
      </c>
      <c r="F286" s="7">
        <v>16831.190999999999</v>
      </c>
      <c r="G286" s="7">
        <v>26507.904999999999</v>
      </c>
      <c r="H286" s="7">
        <v>14741.565000000001</v>
      </c>
      <c r="I286" s="7">
        <v>4623.7659999999996</v>
      </c>
      <c r="J286" s="7">
        <v>15151.429</v>
      </c>
      <c r="K286" s="7">
        <v>127635.155</v>
      </c>
      <c r="L286" s="7">
        <v>10780.689</v>
      </c>
      <c r="M286" s="7">
        <v>0</v>
      </c>
      <c r="N286" s="7">
        <v>58703.716</v>
      </c>
      <c r="O286" s="7">
        <v>134762.462</v>
      </c>
      <c r="P286" s="7">
        <v>61222.838000000003</v>
      </c>
      <c r="Q286" s="7">
        <v>0</v>
      </c>
      <c r="R286" s="7">
        <v>0</v>
      </c>
      <c r="S286" s="7">
        <v>893.18299999999999</v>
      </c>
      <c r="T286" s="7">
        <v>0</v>
      </c>
      <c r="U286" s="7">
        <v>20.574000000000002</v>
      </c>
      <c r="V286" s="7">
        <v>0</v>
      </c>
      <c r="W286" s="7">
        <v>0</v>
      </c>
      <c r="X286" s="7">
        <v>0</v>
      </c>
      <c r="Y286" s="7">
        <v>0</v>
      </c>
      <c r="Z286" s="7">
        <v>1526.414</v>
      </c>
      <c r="AA286" s="7">
        <v>5187.8789999999999</v>
      </c>
      <c r="AB286" s="7">
        <v>0</v>
      </c>
      <c r="AC286" s="7">
        <v>42513.838000000003</v>
      </c>
      <c r="AD286" s="7">
        <v>0</v>
      </c>
      <c r="AE286" s="7">
        <v>14469.871999999999</v>
      </c>
      <c r="AF286" s="7">
        <v>0</v>
      </c>
      <c r="AG286" s="7">
        <v>2416.2469999999998</v>
      </c>
      <c r="AH286" s="7">
        <v>0</v>
      </c>
      <c r="AI286" s="7">
        <v>130977.796</v>
      </c>
      <c r="AJ286" s="7">
        <v>0</v>
      </c>
      <c r="AK286" s="7">
        <v>0</v>
      </c>
      <c r="AL286" s="7">
        <v>223280.80300000001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21"/>
    </row>
    <row r="287" spans="1:58" ht="15.75" x14ac:dyDescent="0.25">
      <c r="A287" s="5" t="s">
        <v>501</v>
      </c>
      <c r="B287" s="5" t="s">
        <v>502</v>
      </c>
      <c r="C287" s="7">
        <v>5</v>
      </c>
      <c r="D287" s="7">
        <v>5</v>
      </c>
      <c r="E287" s="7">
        <v>192.512</v>
      </c>
      <c r="F287" s="7">
        <v>0</v>
      </c>
      <c r="G287" s="7">
        <v>85.742999999999995</v>
      </c>
      <c r="H287" s="7">
        <v>0</v>
      </c>
      <c r="I287" s="7">
        <v>0</v>
      </c>
      <c r="J287" s="7">
        <v>48.279000000000003</v>
      </c>
      <c r="K287" s="7">
        <v>881.81500000000005</v>
      </c>
      <c r="L287" s="7">
        <v>119.25700000000001</v>
      </c>
      <c r="M287" s="7">
        <v>0</v>
      </c>
      <c r="N287" s="7">
        <v>274.32600000000002</v>
      </c>
      <c r="O287" s="7">
        <v>1502.04</v>
      </c>
      <c r="P287" s="7">
        <v>53.228999999999999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35.158999999999999</v>
      </c>
      <c r="AF287" s="7">
        <v>0</v>
      </c>
      <c r="AG287" s="7">
        <v>0</v>
      </c>
      <c r="AH287" s="7">
        <v>0</v>
      </c>
      <c r="AI287" s="7">
        <v>84.765000000000001</v>
      </c>
      <c r="AJ287" s="7">
        <v>0</v>
      </c>
      <c r="AK287" s="7">
        <v>0</v>
      </c>
      <c r="AL287" s="7">
        <v>903.27300000000002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21"/>
    </row>
    <row r="288" spans="1:58" ht="15.75" x14ac:dyDescent="0.25">
      <c r="A288" s="5" t="s">
        <v>503</v>
      </c>
      <c r="B288" s="5" t="s">
        <v>504</v>
      </c>
      <c r="C288" s="7">
        <v>5</v>
      </c>
      <c r="D288" s="7">
        <v>5</v>
      </c>
      <c r="E288" s="7">
        <v>38926.368000000002</v>
      </c>
      <c r="F288" s="7">
        <v>5293.643</v>
      </c>
      <c r="G288" s="7">
        <v>7836.8770000000004</v>
      </c>
      <c r="H288" s="7">
        <v>3252.268</v>
      </c>
      <c r="I288" s="7">
        <v>1362.623</v>
      </c>
      <c r="J288" s="7">
        <v>4597.7370000000001</v>
      </c>
      <c r="K288" s="7">
        <v>42420.981</v>
      </c>
      <c r="L288" s="7">
        <v>3399.7930000000001</v>
      </c>
      <c r="M288" s="7">
        <v>0</v>
      </c>
      <c r="N288" s="7">
        <v>19661.687999999998</v>
      </c>
      <c r="O288" s="7">
        <v>50158.171000000002</v>
      </c>
      <c r="P288" s="7">
        <v>19369.55</v>
      </c>
      <c r="Q288" s="7">
        <v>0</v>
      </c>
      <c r="R288" s="7">
        <v>0</v>
      </c>
      <c r="S288" s="7">
        <v>266.63900000000001</v>
      </c>
      <c r="T288" s="7">
        <v>0</v>
      </c>
      <c r="U288" s="7">
        <v>7.4729999999999999</v>
      </c>
      <c r="V288" s="7">
        <v>0</v>
      </c>
      <c r="W288" s="7">
        <v>0</v>
      </c>
      <c r="X288" s="7">
        <v>0</v>
      </c>
      <c r="Y288" s="7">
        <v>0</v>
      </c>
      <c r="Z288" s="7">
        <v>554.47699999999998</v>
      </c>
      <c r="AA288" s="7">
        <v>1855.6130000000001</v>
      </c>
      <c r="AB288" s="7">
        <v>0</v>
      </c>
      <c r="AC288" s="7">
        <v>17708.09</v>
      </c>
      <c r="AD288" s="7">
        <v>0</v>
      </c>
      <c r="AE288" s="7">
        <v>5164.5410000000002</v>
      </c>
      <c r="AF288" s="7">
        <v>0</v>
      </c>
      <c r="AG288" s="7">
        <v>877.71299999999997</v>
      </c>
      <c r="AH288" s="7">
        <v>0</v>
      </c>
      <c r="AI288" s="7">
        <v>52646.711000000003</v>
      </c>
      <c r="AJ288" s="7">
        <v>0</v>
      </c>
      <c r="AK288" s="7">
        <v>0</v>
      </c>
      <c r="AL288" s="7">
        <v>88157.335999999996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21"/>
    </row>
    <row r="289" spans="1:58" ht="15.75" x14ac:dyDescent="0.25">
      <c r="A289" s="5" t="s">
        <v>505</v>
      </c>
      <c r="B289" s="5" t="s">
        <v>506</v>
      </c>
      <c r="C289" s="7">
        <v>5</v>
      </c>
      <c r="D289" s="7">
        <v>5</v>
      </c>
      <c r="E289" s="7">
        <v>16424.828000000001</v>
      </c>
      <c r="F289" s="7">
        <v>513.96699999999998</v>
      </c>
      <c r="G289" s="7">
        <v>376.97199999999998</v>
      </c>
      <c r="H289" s="7">
        <v>335.68099999999998</v>
      </c>
      <c r="I289" s="7">
        <v>130.86799999999999</v>
      </c>
      <c r="J289" s="7">
        <v>165.161</v>
      </c>
      <c r="K289" s="7">
        <v>22396.096000000001</v>
      </c>
      <c r="L289" s="7">
        <v>29.045999999999999</v>
      </c>
      <c r="M289" s="7">
        <v>0</v>
      </c>
      <c r="N289" s="7">
        <v>8475.5619999999999</v>
      </c>
      <c r="O289" s="7">
        <v>42573.252</v>
      </c>
      <c r="P289" s="7">
        <v>7988.7749999999996</v>
      </c>
      <c r="Q289" s="7">
        <v>0</v>
      </c>
      <c r="R289" s="7">
        <v>0</v>
      </c>
      <c r="S289" s="7">
        <v>32.908999999999999</v>
      </c>
      <c r="T289" s="7">
        <v>0</v>
      </c>
      <c r="U289" s="7">
        <v>0.93400000000000005</v>
      </c>
      <c r="V289" s="7">
        <v>-49.868000000000002</v>
      </c>
      <c r="W289" s="7">
        <v>0</v>
      </c>
      <c r="X289" s="7">
        <v>0</v>
      </c>
      <c r="Y289" s="7">
        <v>0</v>
      </c>
      <c r="Z289" s="7">
        <v>35.509</v>
      </c>
      <c r="AA289" s="7">
        <v>111.709</v>
      </c>
      <c r="AB289" s="7">
        <v>0</v>
      </c>
      <c r="AC289" s="7">
        <v>10641.27</v>
      </c>
      <c r="AD289" s="7">
        <v>0</v>
      </c>
      <c r="AE289" s="7">
        <v>189.83699999999999</v>
      </c>
      <c r="AF289" s="7">
        <v>0</v>
      </c>
      <c r="AG289" s="7">
        <v>87.281999999999996</v>
      </c>
      <c r="AH289" s="7">
        <v>0</v>
      </c>
      <c r="AI289" s="7">
        <v>34244.9</v>
      </c>
      <c r="AJ289" s="7">
        <v>0</v>
      </c>
      <c r="AK289" s="7">
        <v>0</v>
      </c>
      <c r="AL289" s="7">
        <v>60367.396999999997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-2.0880000000000001</v>
      </c>
      <c r="AV289" s="7">
        <v>0</v>
      </c>
      <c r="AW289" s="7">
        <v>0</v>
      </c>
      <c r="AX289" s="7">
        <v>0</v>
      </c>
      <c r="AY289" s="7">
        <v>0</v>
      </c>
      <c r="AZ289" s="7">
        <v>-0.13</v>
      </c>
      <c r="BA289" s="7">
        <v>0</v>
      </c>
      <c r="BB289" s="7">
        <v>-18.739999999999998</v>
      </c>
      <c r="BC289" s="7">
        <v>0</v>
      </c>
      <c r="BD289" s="7">
        <v>0</v>
      </c>
      <c r="BE289" s="7">
        <v>0</v>
      </c>
      <c r="BF289" s="21"/>
    </row>
    <row r="290" spans="1:58" ht="15.75" x14ac:dyDescent="0.25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21"/>
    </row>
    <row r="291" spans="1:58" ht="15.75" x14ac:dyDescent="0.25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21"/>
    </row>
    <row r="292" spans="1:58" ht="15.75" x14ac:dyDescent="0.25">
      <c r="A292" s="5" t="s">
        <v>511</v>
      </c>
      <c r="B292" s="5" t="s">
        <v>512</v>
      </c>
      <c r="C292" s="7">
        <v>5</v>
      </c>
      <c r="D292" s="7">
        <v>5</v>
      </c>
      <c r="E292" s="7">
        <v>153866.59400000001</v>
      </c>
      <c r="F292" s="7">
        <v>19708.154999999999</v>
      </c>
      <c r="G292" s="7">
        <v>29367.757000000001</v>
      </c>
      <c r="H292" s="7">
        <v>0</v>
      </c>
      <c r="I292" s="7">
        <v>4666.0060000000003</v>
      </c>
      <c r="J292" s="7">
        <v>17923.736000000001</v>
      </c>
      <c r="K292" s="7">
        <v>134940.09899999999</v>
      </c>
      <c r="L292" s="7">
        <v>13299.263999999999</v>
      </c>
      <c r="M292" s="7">
        <v>0</v>
      </c>
      <c r="N292" s="7">
        <v>66025.504000000001</v>
      </c>
      <c r="O292" s="7">
        <v>149558.821</v>
      </c>
      <c r="P292" s="7">
        <v>63623.087</v>
      </c>
      <c r="Q292" s="7">
        <v>0</v>
      </c>
      <c r="R292" s="7">
        <v>0</v>
      </c>
      <c r="S292" s="7">
        <v>922.399</v>
      </c>
      <c r="T292" s="7">
        <v>0</v>
      </c>
      <c r="U292" s="7">
        <v>58.158000000000001</v>
      </c>
      <c r="V292" s="7">
        <v>0</v>
      </c>
      <c r="W292" s="7">
        <v>0</v>
      </c>
      <c r="X292" s="7">
        <v>0</v>
      </c>
      <c r="Y292" s="7">
        <v>0</v>
      </c>
      <c r="Z292" s="7">
        <v>2630.692</v>
      </c>
      <c r="AA292" s="7">
        <v>8453.8320000000003</v>
      </c>
      <c r="AB292" s="7">
        <v>0</v>
      </c>
      <c r="AC292" s="7">
        <v>68090.225999999995</v>
      </c>
      <c r="AD292" s="7">
        <v>0</v>
      </c>
      <c r="AE292" s="7">
        <v>25112.044999999998</v>
      </c>
      <c r="AF292" s="7">
        <v>0</v>
      </c>
      <c r="AG292" s="7">
        <v>4302.8220000000001</v>
      </c>
      <c r="AH292" s="7">
        <v>0</v>
      </c>
      <c r="AI292" s="7">
        <v>201960.296</v>
      </c>
      <c r="AJ292" s="7">
        <v>0</v>
      </c>
      <c r="AK292" s="7">
        <v>0</v>
      </c>
      <c r="AL292" s="7">
        <v>323842.277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21"/>
    </row>
    <row r="293" spans="1:58" ht="15.75" x14ac:dyDescent="0.25">
      <c r="A293" s="5" t="s">
        <v>513</v>
      </c>
      <c r="B293" s="5" t="s">
        <v>514</v>
      </c>
      <c r="C293" s="7">
        <v>5</v>
      </c>
      <c r="D293" s="7">
        <v>5</v>
      </c>
      <c r="E293" s="7">
        <v>11824.761</v>
      </c>
      <c r="F293" s="7">
        <v>427.79599999999999</v>
      </c>
      <c r="G293" s="7">
        <v>661.91200000000003</v>
      </c>
      <c r="H293" s="7">
        <v>0</v>
      </c>
      <c r="I293" s="7">
        <v>49.252000000000002</v>
      </c>
      <c r="J293" s="7">
        <v>492.15199999999999</v>
      </c>
      <c r="K293" s="7">
        <v>2065.183</v>
      </c>
      <c r="L293" s="7">
        <v>2476.723</v>
      </c>
      <c r="M293" s="7">
        <v>0</v>
      </c>
      <c r="N293" s="7">
        <v>7028.375</v>
      </c>
      <c r="O293" s="7">
        <v>23993.415000000001</v>
      </c>
      <c r="P293" s="7">
        <v>2786.6660000000002</v>
      </c>
      <c r="Q293" s="7">
        <v>0</v>
      </c>
      <c r="R293" s="7">
        <v>0</v>
      </c>
      <c r="S293" s="7">
        <v>11.036</v>
      </c>
      <c r="T293" s="7">
        <v>0</v>
      </c>
      <c r="U293" s="7">
        <v>5.14</v>
      </c>
      <c r="V293" s="7">
        <v>0</v>
      </c>
      <c r="W293" s="7">
        <v>0</v>
      </c>
      <c r="X293" s="7">
        <v>0</v>
      </c>
      <c r="Y293" s="7">
        <v>0</v>
      </c>
      <c r="Z293" s="7">
        <v>129.50700000000001</v>
      </c>
      <c r="AA293" s="7">
        <v>381.06</v>
      </c>
      <c r="AB293" s="7">
        <v>0</v>
      </c>
      <c r="AC293" s="7">
        <v>3135.3519999999999</v>
      </c>
      <c r="AD293" s="7">
        <v>0</v>
      </c>
      <c r="AE293" s="7">
        <v>1297.3430000000001</v>
      </c>
      <c r="AF293" s="7">
        <v>0</v>
      </c>
      <c r="AG293" s="7">
        <v>225.72300000000001</v>
      </c>
      <c r="AH293" s="7">
        <v>0</v>
      </c>
      <c r="AI293" s="7">
        <v>11329.6</v>
      </c>
      <c r="AJ293" s="7">
        <v>0</v>
      </c>
      <c r="AK293" s="7">
        <v>0</v>
      </c>
      <c r="AL293" s="7">
        <v>27073.375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21"/>
    </row>
    <row r="294" spans="1:58" ht="15.75" x14ac:dyDescent="0.25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21"/>
    </row>
    <row r="295" spans="1:58" ht="15.75" x14ac:dyDescent="0.25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21"/>
    </row>
    <row r="296" spans="1:58" ht="15.75" x14ac:dyDescent="0.25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21"/>
    </row>
    <row r="297" spans="1:58" ht="15.75" x14ac:dyDescent="0.25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21"/>
    </row>
    <row r="298" spans="1:58" ht="15.75" x14ac:dyDescent="0.25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21"/>
    </row>
    <row r="299" spans="1:58" ht="15.75" x14ac:dyDescent="0.25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21"/>
    </row>
    <row r="300" spans="1:58" ht="15.75" x14ac:dyDescent="0.25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21"/>
    </row>
    <row r="301" spans="1:58" ht="15.75" x14ac:dyDescent="0.25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21"/>
    </row>
    <row r="302" spans="1:58" ht="15.75" x14ac:dyDescent="0.25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21"/>
    </row>
    <row r="303" spans="1:58" ht="15.75" x14ac:dyDescent="0.25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21"/>
    </row>
    <row r="304" spans="1:58" ht="15.75" x14ac:dyDescent="0.25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21"/>
    </row>
    <row r="305" spans="1:58" ht="15.75" x14ac:dyDescent="0.25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21"/>
    </row>
    <row r="306" spans="1:58" ht="15.75" x14ac:dyDescent="0.25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21"/>
    </row>
    <row r="307" spans="1:58" ht="15.75" x14ac:dyDescent="0.25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21"/>
    </row>
    <row r="308" spans="1:58" ht="15.75" x14ac:dyDescent="0.25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21"/>
    </row>
    <row r="309" spans="1:58" ht="15.75" x14ac:dyDescent="0.25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21"/>
    </row>
    <row r="310" spans="1:58" ht="15.75" x14ac:dyDescent="0.25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21"/>
    </row>
    <row r="311" spans="1:58" ht="15.75" x14ac:dyDescent="0.25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21"/>
    </row>
    <row r="312" spans="1:58" ht="15.75" x14ac:dyDescent="0.25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21"/>
    </row>
    <row r="313" spans="1:58" ht="15.75" x14ac:dyDescent="0.25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21"/>
    </row>
    <row r="314" spans="1:58" ht="15.75" x14ac:dyDescent="0.25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21"/>
    </row>
    <row r="315" spans="1:58" ht="15.75" x14ac:dyDescent="0.25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21"/>
    </row>
    <row r="316" spans="1:58" ht="15.75" x14ac:dyDescent="0.25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21"/>
    </row>
    <row r="317" spans="1:58" ht="15.75" x14ac:dyDescent="0.25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21"/>
    </row>
    <row r="318" spans="1:58" ht="15.75" x14ac:dyDescent="0.25">
      <c r="A318" s="5" t="s">
        <v>563</v>
      </c>
      <c r="B318" s="5" t="s">
        <v>564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21"/>
    </row>
    <row r="319" spans="1:58" ht="15.75" x14ac:dyDescent="0.25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21"/>
    </row>
    <row r="320" spans="1:58" ht="15.75" x14ac:dyDescent="0.25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21"/>
    </row>
    <row r="321" spans="1:58" ht="15.75" x14ac:dyDescent="0.25">
      <c r="A321" s="5" t="s">
        <v>569</v>
      </c>
      <c r="B321" s="5" t="s">
        <v>570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21"/>
    </row>
    <row r="322" spans="1:58" ht="15.75" x14ac:dyDescent="0.25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21"/>
    </row>
    <row r="323" spans="1:58" ht="15.75" x14ac:dyDescent="0.25">
      <c r="A323" s="5" t="s">
        <v>573</v>
      </c>
      <c r="B323" s="5" t="s">
        <v>574</v>
      </c>
      <c r="C323" s="7">
        <v>5</v>
      </c>
      <c r="D323" s="7">
        <v>5</v>
      </c>
      <c r="E323" s="7">
        <v>-50555.826000000001</v>
      </c>
      <c r="F323" s="7">
        <v>-13038.281999999999</v>
      </c>
      <c r="G323" s="7">
        <v>0</v>
      </c>
      <c r="H323" s="7">
        <v>0</v>
      </c>
      <c r="I323" s="7">
        <v>-756.01300000000003</v>
      </c>
      <c r="J323" s="7">
        <v>0</v>
      </c>
      <c r="K323" s="7">
        <v>-72643.148000000001</v>
      </c>
      <c r="L323" s="7">
        <v>-6208.4009999999998</v>
      </c>
      <c r="M323" s="7">
        <v>0</v>
      </c>
      <c r="N323" s="7">
        <v>-7328.4970000000003</v>
      </c>
      <c r="O323" s="7">
        <v>-168847.41200000001</v>
      </c>
      <c r="P323" s="7">
        <v>-10026.483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-3843.337</v>
      </c>
      <c r="W323" s="7">
        <v>0</v>
      </c>
      <c r="X323" s="7">
        <v>0</v>
      </c>
      <c r="Y323" s="7">
        <v>0</v>
      </c>
      <c r="Z323" s="7">
        <v>0</v>
      </c>
      <c r="AA323" s="7">
        <v>-1319.5029999999999</v>
      </c>
      <c r="AB323" s="7">
        <v>0</v>
      </c>
      <c r="AC323" s="7">
        <v>-28220.218000000001</v>
      </c>
      <c r="AD323" s="7">
        <v>0</v>
      </c>
      <c r="AE323" s="7">
        <v>0</v>
      </c>
      <c r="AF323" s="7">
        <v>-9.1440000000000001</v>
      </c>
      <c r="AG323" s="7">
        <v>-2066.241</v>
      </c>
      <c r="AH323" s="7">
        <v>0</v>
      </c>
      <c r="AI323" s="7">
        <v>-73234.566999999995</v>
      </c>
      <c r="AJ323" s="7">
        <v>-34677.641000000003</v>
      </c>
      <c r="AK323" s="7">
        <v>0</v>
      </c>
      <c r="AL323" s="7">
        <v>-212282.93799999999</v>
      </c>
      <c r="AM323" s="7">
        <v>-67092.383000000002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-159.626</v>
      </c>
      <c r="AV323" s="7">
        <v>0</v>
      </c>
      <c r="AW323" s="7">
        <v>0</v>
      </c>
      <c r="AX323" s="7">
        <v>-9462.4650000000001</v>
      </c>
      <c r="AY323" s="7">
        <v>0</v>
      </c>
      <c r="AZ323" s="7">
        <v>-38.722999999999999</v>
      </c>
      <c r="BA323" s="7">
        <v>0</v>
      </c>
      <c r="BB323" s="7">
        <v>-315.78300000000002</v>
      </c>
      <c r="BC323" s="7">
        <v>0</v>
      </c>
      <c r="BD323" s="7">
        <v>0</v>
      </c>
      <c r="BE323" s="7">
        <v>-6980.0529999999999</v>
      </c>
      <c r="BF323" s="21"/>
    </row>
    <row r="324" spans="1:58" ht="15.75" x14ac:dyDescent="0.25">
      <c r="A324" s="5" t="s">
        <v>575</v>
      </c>
      <c r="B324" s="5" t="s">
        <v>576</v>
      </c>
      <c r="C324" s="7">
        <v>6</v>
      </c>
      <c r="D324" s="7">
        <v>6</v>
      </c>
      <c r="E324" s="7">
        <v>1502.722</v>
      </c>
      <c r="F324" s="7">
        <v>0</v>
      </c>
      <c r="G324" s="7">
        <v>0</v>
      </c>
      <c r="H324" s="7">
        <v>0</v>
      </c>
      <c r="I324" s="7">
        <v>113.017</v>
      </c>
      <c r="J324" s="7">
        <v>0</v>
      </c>
      <c r="K324" s="7">
        <v>0</v>
      </c>
      <c r="L324" s="7">
        <v>0</v>
      </c>
      <c r="M324" s="7">
        <v>0</v>
      </c>
      <c r="N324" s="7">
        <v>26.777999999999999</v>
      </c>
      <c r="O324" s="7">
        <v>9542.1910000000007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498.74099999999999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3210.0189999999998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21"/>
    </row>
    <row r="325" spans="1:58" ht="15.75" x14ac:dyDescent="0.25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21"/>
    </row>
    <row r="326" spans="1:58" ht="15.75" x14ac:dyDescent="0.25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21"/>
    </row>
    <row r="327" spans="1:58" ht="15.75" x14ac:dyDescent="0.25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21"/>
    </row>
    <row r="328" spans="1:58" ht="15.75" x14ac:dyDescent="0.25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21"/>
    </row>
    <row r="329" spans="1:58" ht="15.75" x14ac:dyDescent="0.25">
      <c r="A329" s="5" t="s">
        <v>585</v>
      </c>
      <c r="B329" s="5" t="s">
        <v>586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21"/>
    </row>
    <row r="330" spans="1:58" ht="15.75" x14ac:dyDescent="0.25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21"/>
    </row>
    <row r="331" spans="1:58" ht="15.75" x14ac:dyDescent="0.25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21"/>
    </row>
    <row r="332" spans="1:58" ht="15.75" x14ac:dyDescent="0.25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21"/>
    </row>
    <row r="333" spans="1:58" ht="15.75" x14ac:dyDescent="0.25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21"/>
    </row>
    <row r="334" spans="1:58" ht="15.75" x14ac:dyDescent="0.25">
      <c r="A334" s="5" t="s">
        <v>595</v>
      </c>
      <c r="B334" s="5" t="s">
        <v>596</v>
      </c>
      <c r="C334" s="7">
        <v>6</v>
      </c>
      <c r="D334" s="7">
        <v>6</v>
      </c>
      <c r="E334" s="7">
        <v>4799.49</v>
      </c>
      <c r="F334" s="7">
        <v>1129.52</v>
      </c>
      <c r="G334" s="7">
        <v>970.16</v>
      </c>
      <c r="H334" s="7">
        <v>4414.6490000000003</v>
      </c>
      <c r="I334" s="7">
        <v>150.62899999999999</v>
      </c>
      <c r="J334" s="7">
        <v>661.09400000000005</v>
      </c>
      <c r="K334" s="7">
        <v>4115.1390000000001</v>
      </c>
      <c r="L334" s="7">
        <v>732.39300000000003</v>
      </c>
      <c r="M334" s="7">
        <v>0</v>
      </c>
      <c r="N334" s="7">
        <v>2222.1320000000001</v>
      </c>
      <c r="O334" s="7">
        <v>7364.0119999999997</v>
      </c>
      <c r="P334" s="7">
        <v>2209.4969999999998</v>
      </c>
      <c r="Q334" s="7">
        <v>0</v>
      </c>
      <c r="R334" s="7">
        <v>0.22</v>
      </c>
      <c r="S334" s="7">
        <v>14.848000000000001</v>
      </c>
      <c r="T334" s="7">
        <v>1.9790000000000001</v>
      </c>
      <c r="U334" s="7">
        <v>18.600999999999999</v>
      </c>
      <c r="V334" s="7">
        <v>169.41900000000001</v>
      </c>
      <c r="W334" s="7">
        <v>0</v>
      </c>
      <c r="X334" s="7">
        <v>15.403</v>
      </c>
      <c r="Y334" s="7">
        <v>0</v>
      </c>
      <c r="Z334" s="7">
        <v>75.213999999999999</v>
      </c>
      <c r="AA334" s="7">
        <v>250.26900000000001</v>
      </c>
      <c r="AB334" s="7">
        <v>11.664</v>
      </c>
      <c r="AC334" s="7">
        <v>1796.1569999999999</v>
      </c>
      <c r="AD334" s="7">
        <v>0</v>
      </c>
      <c r="AE334" s="7">
        <v>707.923</v>
      </c>
      <c r="AF334" s="7">
        <v>9.0939999999999994</v>
      </c>
      <c r="AG334" s="7">
        <v>137.37799999999999</v>
      </c>
      <c r="AH334" s="7">
        <v>1.2749999999999999</v>
      </c>
      <c r="AI334" s="7">
        <v>4725.2449999999999</v>
      </c>
      <c r="AJ334" s="7">
        <v>695.36300000000006</v>
      </c>
      <c r="AK334" s="7">
        <v>3.7629999999999999</v>
      </c>
      <c r="AL334" s="7">
        <v>11460.192999999999</v>
      </c>
      <c r="AM334" s="7">
        <v>1169.6310000000001</v>
      </c>
      <c r="AN334" s="7">
        <v>0</v>
      </c>
      <c r="AO334" s="7">
        <v>0</v>
      </c>
      <c r="AP334" s="7">
        <v>54.165999999999997</v>
      </c>
      <c r="AQ334" s="7">
        <v>37.923000000000002</v>
      </c>
      <c r="AR334" s="7">
        <v>0</v>
      </c>
      <c r="AS334" s="7">
        <v>0</v>
      </c>
      <c r="AT334" s="7">
        <v>0</v>
      </c>
      <c r="AU334" s="7">
        <v>5.09</v>
      </c>
      <c r="AV334" s="7">
        <v>1.121</v>
      </c>
      <c r="AW334" s="7">
        <v>0.56499999999999995</v>
      </c>
      <c r="AX334" s="7">
        <v>159.89599999999999</v>
      </c>
      <c r="AY334" s="7">
        <v>0.25800000000000001</v>
      </c>
      <c r="AZ334" s="7">
        <v>1.573</v>
      </c>
      <c r="BA334" s="7">
        <v>0</v>
      </c>
      <c r="BB334" s="7">
        <v>41.631999999999998</v>
      </c>
      <c r="BC334" s="7">
        <v>1.393</v>
      </c>
      <c r="BD334" s="7">
        <v>0.99099999999999999</v>
      </c>
      <c r="BE334" s="7">
        <v>140.27099999999999</v>
      </c>
      <c r="BF334" s="21"/>
    </row>
    <row r="335" spans="1:58" ht="15.75" x14ac:dyDescent="0.25">
      <c r="A335" s="5" t="s">
        <v>597</v>
      </c>
      <c r="B335" s="5" t="s">
        <v>598</v>
      </c>
      <c r="C335" s="7">
        <v>6</v>
      </c>
      <c r="D335" s="7">
        <v>6</v>
      </c>
      <c r="E335" s="7">
        <v>-7346.7150000000001</v>
      </c>
      <c r="F335" s="7">
        <v>-3482.66</v>
      </c>
      <c r="G335" s="7">
        <v>-1634.529</v>
      </c>
      <c r="H335" s="7">
        <v>-7601.7759999999998</v>
      </c>
      <c r="I335" s="7">
        <v>-331.88299999999998</v>
      </c>
      <c r="J335" s="7">
        <v>-959.92700000000002</v>
      </c>
      <c r="K335" s="7">
        <v>-9403.8050000000003</v>
      </c>
      <c r="L335" s="7">
        <v>-1019.4059999999999</v>
      </c>
      <c r="M335" s="7">
        <v>-154.036</v>
      </c>
      <c r="N335" s="7">
        <v>-4290.2079999999996</v>
      </c>
      <c r="O335" s="7">
        <v>-20385.909</v>
      </c>
      <c r="P335" s="7">
        <v>-3040.346</v>
      </c>
      <c r="Q335" s="7">
        <v>-6.7729999999999997</v>
      </c>
      <c r="R335" s="7">
        <v>-3.282</v>
      </c>
      <c r="S335" s="7">
        <v>-77.501999999999995</v>
      </c>
      <c r="T335" s="7">
        <v>-4.774</v>
      </c>
      <c r="U335" s="7">
        <v>-142.65199999999999</v>
      </c>
      <c r="V335" s="7">
        <v>-22.541</v>
      </c>
      <c r="W335" s="7">
        <v>-1.5489999999999999</v>
      </c>
      <c r="X335" s="7">
        <v>-52.808999999999997</v>
      </c>
      <c r="Y335" s="7">
        <v>-110.36</v>
      </c>
      <c r="Z335" s="7">
        <v>-56.335000000000001</v>
      </c>
      <c r="AA335" s="7">
        <v>-169.13200000000001</v>
      </c>
      <c r="AB335" s="7">
        <v>-96.977000000000004</v>
      </c>
      <c r="AC335" s="7">
        <v>-1331.721</v>
      </c>
      <c r="AD335" s="7">
        <v>-35.476999999999997</v>
      </c>
      <c r="AE335" s="7">
        <v>-139.17400000000001</v>
      </c>
      <c r="AF335" s="7">
        <v>-1.518</v>
      </c>
      <c r="AG335" s="7">
        <v>-24.297999999999998</v>
      </c>
      <c r="AH335" s="7">
        <v>-0.26300000000000001</v>
      </c>
      <c r="AI335" s="7">
        <v>-4581.9920000000002</v>
      </c>
      <c r="AJ335" s="7">
        <v>-421.351</v>
      </c>
      <c r="AK335" s="7">
        <v>-98.066999999999993</v>
      </c>
      <c r="AL335" s="7">
        <v>-20095.764999999999</v>
      </c>
      <c r="AM335" s="7">
        <v>-880.13</v>
      </c>
      <c r="AN335" s="7">
        <v>-249.185</v>
      </c>
      <c r="AO335" s="7">
        <v>-2561.0920000000001</v>
      </c>
      <c r="AP335" s="7">
        <v>-154.321</v>
      </c>
      <c r="AQ335" s="7">
        <v>-88.468999999999994</v>
      </c>
      <c r="AR335" s="7">
        <v>-1628.1980000000001</v>
      </c>
      <c r="AS335" s="7">
        <v>-24.17</v>
      </c>
      <c r="AT335" s="7">
        <v>-774.18600000000004</v>
      </c>
      <c r="AU335" s="7">
        <v>-4.7750000000000004</v>
      </c>
      <c r="AV335" s="7">
        <v>-3.181</v>
      </c>
      <c r="AW335" s="7">
        <v>-12.456</v>
      </c>
      <c r="AX335" s="7">
        <v>-125.20699999999999</v>
      </c>
      <c r="AY335" s="7">
        <v>-6.1319999999999997</v>
      </c>
      <c r="AZ335" s="7">
        <v>-3.306</v>
      </c>
      <c r="BA335" s="7">
        <v>0</v>
      </c>
      <c r="BB335" s="7">
        <v>-28.079000000000001</v>
      </c>
      <c r="BC335" s="7">
        <v>-0.17399999999999999</v>
      </c>
      <c r="BD335" s="7">
        <v>-26.683</v>
      </c>
      <c r="BE335" s="7">
        <v>-144.03299999999999</v>
      </c>
      <c r="BF335" s="21"/>
    </row>
    <row r="336" spans="1:58" ht="15.75" x14ac:dyDescent="0.25">
      <c r="A336" s="5" t="s">
        <v>599</v>
      </c>
      <c r="B336" s="5" t="s">
        <v>600</v>
      </c>
      <c r="C336" s="7">
        <v>6</v>
      </c>
      <c r="D336" s="7">
        <v>6</v>
      </c>
      <c r="E336" s="7">
        <v>-644.6</v>
      </c>
      <c r="F336" s="7">
        <v>-130.93100000000001</v>
      </c>
      <c r="G336" s="7">
        <v>-68.084000000000003</v>
      </c>
      <c r="H336" s="7">
        <v>-4.0839999999999996</v>
      </c>
      <c r="I336" s="7">
        <v>0</v>
      </c>
      <c r="J336" s="7">
        <v>-20.097999999999999</v>
      </c>
      <c r="K336" s="7">
        <v>-188.50700000000001</v>
      </c>
      <c r="L336" s="7">
        <v>-47.290999999999997</v>
      </c>
      <c r="M336" s="7">
        <v>-13.991</v>
      </c>
      <c r="N336" s="7">
        <v>0</v>
      </c>
      <c r="O336" s="7">
        <v>-818.49</v>
      </c>
      <c r="P336" s="7">
        <v>-78.27</v>
      </c>
      <c r="Q336" s="7">
        <v>0</v>
      </c>
      <c r="R336" s="7">
        <v>0</v>
      </c>
      <c r="S336" s="7">
        <v>0</v>
      </c>
      <c r="T336" s="7">
        <v>0</v>
      </c>
      <c r="U336" s="7">
        <v>-7.8940000000000001</v>
      </c>
      <c r="V336" s="7">
        <v>0</v>
      </c>
      <c r="W336" s="7">
        <v>0</v>
      </c>
      <c r="X336" s="7">
        <v>-53.566000000000003</v>
      </c>
      <c r="Y336" s="7">
        <v>-0.17199999999999999</v>
      </c>
      <c r="Z336" s="7">
        <v>-0.751</v>
      </c>
      <c r="AA336" s="7">
        <v>-2.8660000000000001</v>
      </c>
      <c r="AB336" s="7">
        <v>-19.251000000000001</v>
      </c>
      <c r="AC336" s="7">
        <v>-23.425000000000001</v>
      </c>
      <c r="AD336" s="7">
        <v>-6.0350000000000001</v>
      </c>
      <c r="AE336" s="7">
        <v>0</v>
      </c>
      <c r="AF336" s="7">
        <v>-10.266999999999999</v>
      </c>
      <c r="AG336" s="7">
        <v>-6.391</v>
      </c>
      <c r="AH336" s="7">
        <v>-0.47299999999999998</v>
      </c>
      <c r="AI336" s="7">
        <v>-217.72399999999999</v>
      </c>
      <c r="AJ336" s="7">
        <v>-40.776000000000003</v>
      </c>
      <c r="AK336" s="7">
        <v>-3.9E-2</v>
      </c>
      <c r="AL336" s="7">
        <v>-1139.9100000000001</v>
      </c>
      <c r="AM336" s="7">
        <v>-40.439</v>
      </c>
      <c r="AN336" s="7">
        <v>-92.256</v>
      </c>
      <c r="AO336" s="7">
        <v>-292.81900000000002</v>
      </c>
      <c r="AP336" s="7">
        <v>-16.867999999999999</v>
      </c>
      <c r="AQ336" s="7">
        <v>-2.0579999999999998</v>
      </c>
      <c r="AR336" s="7">
        <v>-348.69499999999999</v>
      </c>
      <c r="AS336" s="7">
        <v>-6.3380000000000001</v>
      </c>
      <c r="AT336" s="7">
        <v>-312.61799999999999</v>
      </c>
      <c r="AU336" s="7">
        <v>0</v>
      </c>
      <c r="AV336" s="7">
        <v>0</v>
      </c>
      <c r="AW336" s="7">
        <v>0</v>
      </c>
      <c r="AX336" s="7">
        <v>-1.2609999999999999</v>
      </c>
      <c r="AY336" s="7">
        <v>-2.71</v>
      </c>
      <c r="AZ336" s="7">
        <v>0</v>
      </c>
      <c r="BA336" s="7">
        <v>0</v>
      </c>
      <c r="BB336" s="7">
        <v>-20.545999999999999</v>
      </c>
      <c r="BC336" s="7">
        <v>-1.929</v>
      </c>
      <c r="BD336" s="7">
        <v>-7.3949999999999996</v>
      </c>
      <c r="BE336" s="7">
        <v>-4.2439999999999998</v>
      </c>
      <c r="BF336" s="21"/>
    </row>
    <row r="337" spans="1:58" ht="15.75" x14ac:dyDescent="0.25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3.9350000000000001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4.6520000000000001</v>
      </c>
      <c r="BB337" s="7">
        <v>0</v>
      </c>
      <c r="BC337" s="7">
        <v>0</v>
      </c>
      <c r="BD337" s="7">
        <v>0</v>
      </c>
      <c r="BE337" s="7">
        <v>0</v>
      </c>
      <c r="BF337" s="21"/>
    </row>
    <row r="338" spans="1:58" ht="15.75" x14ac:dyDescent="0.25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 s="21"/>
    </row>
    <row r="339" spans="1:58" ht="15.75" x14ac:dyDescent="0.25">
      <c r="A339" s="5" t="s">
        <v>605</v>
      </c>
      <c r="B339" s="5" t="s">
        <v>606</v>
      </c>
      <c r="C339" s="5"/>
      <c r="D339" s="5"/>
      <c r="E339">
        <v>5752290.4539999999</v>
      </c>
      <c r="F339">
        <v>828471.723</v>
      </c>
      <c r="G339">
        <v>1084821.632</v>
      </c>
      <c r="H339">
        <v>1058417.0619999999</v>
      </c>
      <c r="I339">
        <v>145156.94699999999</v>
      </c>
      <c r="J339">
        <v>744131.36300000001</v>
      </c>
      <c r="K339">
        <v>4511718.8959999997</v>
      </c>
      <c r="L339">
        <v>872121.22400000005</v>
      </c>
      <c r="M339">
        <v>324037.67300000001</v>
      </c>
      <c r="N339">
        <v>2510666.6639999999</v>
      </c>
      <c r="O339">
        <v>8694657.3839999996</v>
      </c>
      <c r="P339">
        <v>2580857.7850000001</v>
      </c>
      <c r="Q339">
        <v>16497.55</v>
      </c>
      <c r="R339">
        <v>5406.5240000000003</v>
      </c>
      <c r="S339">
        <v>23337.059000000001</v>
      </c>
      <c r="T339">
        <v>10291.418</v>
      </c>
      <c r="U339">
        <v>22015.904999999999</v>
      </c>
      <c r="V339">
        <v>242357.424</v>
      </c>
      <c r="W339">
        <v>2869.6570000000002</v>
      </c>
      <c r="X339">
        <v>103201.016</v>
      </c>
      <c r="Y339">
        <v>241871.402</v>
      </c>
      <c r="Z339">
        <v>70706.524999999994</v>
      </c>
      <c r="AA339">
        <v>228900.745</v>
      </c>
      <c r="AB339">
        <v>194481.88800000001</v>
      </c>
      <c r="AC339">
        <v>1608667.6259999999</v>
      </c>
      <c r="AD339">
        <v>71247.154999999999</v>
      </c>
      <c r="AE339">
        <v>759332.30599999998</v>
      </c>
      <c r="AF339">
        <v>157327.77499999999</v>
      </c>
      <c r="AG339">
        <v>125136.10799999999</v>
      </c>
      <c r="AH339">
        <v>42832.161999999997</v>
      </c>
      <c r="AI339">
        <v>4361463.2300000004</v>
      </c>
      <c r="AJ339">
        <v>857077.40599999996</v>
      </c>
      <c r="AK339">
        <v>173560.465</v>
      </c>
      <c r="AL339">
        <v>13247622.225</v>
      </c>
      <c r="AM339">
        <v>1689581.557</v>
      </c>
      <c r="AN339">
        <v>502046.98700000002</v>
      </c>
      <c r="AO339">
        <v>5599348.7429999998</v>
      </c>
      <c r="AP339">
        <v>310382.55300000001</v>
      </c>
      <c r="AQ339">
        <v>187379.734</v>
      </c>
      <c r="AR339">
        <v>3651045.577</v>
      </c>
      <c r="AS339">
        <v>43024.637000000002</v>
      </c>
      <c r="AT339">
        <v>1646740.6410000001</v>
      </c>
      <c r="AU339">
        <v>7875.96</v>
      </c>
      <c r="AV339">
        <v>7076.4470000000001</v>
      </c>
      <c r="AW339">
        <v>25192.300999999999</v>
      </c>
      <c r="AX339">
        <v>230101.67499999999</v>
      </c>
      <c r="AY339">
        <v>11582.837</v>
      </c>
      <c r="AZ339">
        <v>2984.92</v>
      </c>
      <c r="BA339">
        <v>4.6520000000000001</v>
      </c>
      <c r="BB339">
        <v>78950.076000000001</v>
      </c>
      <c r="BC339">
        <v>53332.97</v>
      </c>
      <c r="BD339">
        <v>43595.9</v>
      </c>
      <c r="BE339">
        <v>301881.07500000001</v>
      </c>
      <c r="BF339" s="21"/>
    </row>
    <row r="340" spans="1:58" x14ac:dyDescent="0.2">
      <c r="BF340" s="21"/>
    </row>
    <row r="341" spans="1:58" ht="15.75" x14ac:dyDescent="0.25">
      <c r="A341" s="5" t="s">
        <v>607</v>
      </c>
      <c r="E341">
        <f t="shared" ref="E341:BD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 t="shared" si="0"/>
        <v>0</v>
      </c>
      <c r="AO341">
        <f t="shared" si="0"/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>SUM(AS6:AS338)-AS339</f>
        <v>0</v>
      </c>
      <c r="AT341">
        <f>SUM(AT6:AT338)-AT339</f>
        <v>0</v>
      </c>
      <c r="AU341">
        <f>SUM(AU6:AU338)-AU339</f>
        <v>0</v>
      </c>
      <c r="AV341">
        <f>SUM(AV6:AV338)-AV339</f>
        <v>0</v>
      </c>
      <c r="AW341">
        <f t="shared" si="0"/>
        <v>0</v>
      </c>
      <c r="AX341">
        <f t="shared" si="0"/>
        <v>0</v>
      </c>
      <c r="AY341">
        <f t="shared" si="0"/>
        <v>0</v>
      </c>
      <c r="AZ341">
        <f t="shared" si="0"/>
        <v>0</v>
      </c>
      <c r="BA341">
        <f t="shared" si="0"/>
        <v>0</v>
      </c>
      <c r="BB341">
        <f t="shared" si="0"/>
        <v>0</v>
      </c>
      <c r="BC341">
        <f t="shared" si="0"/>
        <v>0</v>
      </c>
      <c r="BD341">
        <f t="shared" si="0"/>
        <v>0</v>
      </c>
      <c r="BE341">
        <f>SUM(BE6:BE338)-BE339</f>
        <v>0</v>
      </c>
      <c r="BF341" s="21"/>
    </row>
    <row r="342" spans="1:58" x14ac:dyDescent="0.2">
      <c r="BF342" s="21"/>
    </row>
    <row r="343" spans="1:58" x14ac:dyDescent="0.2">
      <c r="A343" t="s">
        <v>608</v>
      </c>
      <c r="D343">
        <v>1</v>
      </c>
      <c r="E343" s="16">
        <f t="shared" ref="E343:BD343" si="1">SUMIF($D$5:$D$337,$D$343,E5:E337)</f>
        <v>651753.81500000006</v>
      </c>
      <c r="F343" s="16">
        <f t="shared" si="1"/>
        <v>151231.359</v>
      </c>
      <c r="G343" s="16">
        <f t="shared" si="1"/>
        <v>42740.625</v>
      </c>
      <c r="H343" s="16">
        <f t="shared" si="1"/>
        <v>16884.431</v>
      </c>
      <c r="I343" s="16">
        <f t="shared" si="1"/>
        <v>15385.875</v>
      </c>
      <c r="J343" s="16">
        <f t="shared" si="1"/>
        <v>34727.729999999996</v>
      </c>
      <c r="K343" s="16">
        <f t="shared" si="1"/>
        <v>786022.31300000008</v>
      </c>
      <c r="L343" s="16">
        <f t="shared" si="1"/>
        <v>94477.038</v>
      </c>
      <c r="M343" s="16">
        <f t="shared" si="1"/>
        <v>62266.546000000002</v>
      </c>
      <c r="N343" s="16">
        <f t="shared" si="1"/>
        <v>178885.90499999997</v>
      </c>
      <c r="O343" s="16">
        <f t="shared" si="1"/>
        <v>1793065.2439999999</v>
      </c>
      <c r="P343" s="16">
        <f t="shared" si="1"/>
        <v>186875.59399999998</v>
      </c>
      <c r="Q343" s="16">
        <f>SUMIF($D$5:$D$337,$D$343,Q5:Q337)</f>
        <v>470.21799999999996</v>
      </c>
      <c r="R343" s="16">
        <f t="shared" si="1"/>
        <v>4395.3869999999997</v>
      </c>
      <c r="S343" s="16">
        <f t="shared" si="1"/>
        <v>1630.306</v>
      </c>
      <c r="T343" s="16">
        <f t="shared" si="1"/>
        <v>4318.0390000000007</v>
      </c>
      <c r="U343" s="16">
        <f t="shared" si="1"/>
        <v>2034.4759999999999</v>
      </c>
      <c r="V343" s="16">
        <f t="shared" si="1"/>
        <v>44904.598999999995</v>
      </c>
      <c r="W343" s="16">
        <f t="shared" si="1"/>
        <v>67.213000000000008</v>
      </c>
      <c r="X343" s="16">
        <f t="shared" si="1"/>
        <v>61462.396000000001</v>
      </c>
      <c r="Y343" s="16">
        <f t="shared" si="1"/>
        <v>44717.283000000003</v>
      </c>
      <c r="Z343" s="16">
        <f t="shared" si="1"/>
        <v>3262.9849999999997</v>
      </c>
      <c r="AA343" s="16">
        <f t="shared" si="1"/>
        <v>21585.955999999998</v>
      </c>
      <c r="AB343" s="16">
        <f t="shared" si="1"/>
        <v>160785.28099999999</v>
      </c>
      <c r="AC343" s="16">
        <f t="shared" si="1"/>
        <v>306881.27799999999</v>
      </c>
      <c r="AD343" s="16">
        <f t="shared" si="1"/>
        <v>40010.147000000004</v>
      </c>
      <c r="AE343" s="16">
        <f t="shared" si="1"/>
        <v>59377.734999999993</v>
      </c>
      <c r="AF343" s="16">
        <f t="shared" si="1"/>
        <v>131406.223</v>
      </c>
      <c r="AG343" s="16">
        <f t="shared" si="1"/>
        <v>25038.14</v>
      </c>
      <c r="AH343" s="16">
        <f t="shared" si="1"/>
        <v>11484.448000000002</v>
      </c>
      <c r="AI343" s="16">
        <f t="shared" si="1"/>
        <v>798145.81700000004</v>
      </c>
      <c r="AJ343" s="16">
        <f t="shared" si="1"/>
        <v>330099.78200000001</v>
      </c>
      <c r="AK343" s="16">
        <f t="shared" si="1"/>
        <v>52005.413</v>
      </c>
      <c r="AL343" s="16">
        <f t="shared" si="1"/>
        <v>2295969.1009999998</v>
      </c>
      <c r="AM343" s="16">
        <f t="shared" si="1"/>
        <v>634872.37599999993</v>
      </c>
      <c r="AN343" s="16">
        <f t="shared" si="1"/>
        <v>279685.64199999999</v>
      </c>
      <c r="AO343" s="16">
        <f t="shared" si="1"/>
        <v>4420267.4060000004</v>
      </c>
      <c r="AP343" s="16">
        <f t="shared" si="1"/>
        <v>150267.73199999999</v>
      </c>
      <c r="AQ343" s="16">
        <f t="shared" si="1"/>
        <v>68036.074999999997</v>
      </c>
      <c r="AR343" s="16">
        <f t="shared" si="1"/>
        <v>2880193.64</v>
      </c>
      <c r="AS343" s="16">
        <f>SUMIF($D$5:$D$337,$D$343,AS5:AS337)</f>
        <v>9594.4989999999998</v>
      </c>
      <c r="AT343" s="16">
        <f>SUMIF($D$5:$D$337,$D$343,AT5:AT337)</f>
        <v>1299481.3840000001</v>
      </c>
      <c r="AU343" s="16">
        <f>SUMIF($D$5:$D$337,$D$343,AU5:AU337)</f>
        <v>1824.1320000000001</v>
      </c>
      <c r="AV343" s="16">
        <f>SUMIF($D$5:$D$337,$D$343,AV5:AV337)</f>
        <v>3367.7750000000001</v>
      </c>
      <c r="AW343" s="16">
        <f t="shared" si="1"/>
        <v>8845.5590000000011</v>
      </c>
      <c r="AX343" s="16">
        <f t="shared" si="1"/>
        <v>96586.142000000007</v>
      </c>
      <c r="AY343" s="16">
        <f t="shared" si="1"/>
        <v>4082.4880000000003</v>
      </c>
      <c r="AZ343" s="16">
        <f t="shared" si="1"/>
        <v>544.346</v>
      </c>
      <c r="BA343" s="16">
        <f t="shared" si="1"/>
        <v>0</v>
      </c>
      <c r="BB343" s="16">
        <f t="shared" si="1"/>
        <v>17551.440999999999</v>
      </c>
      <c r="BC343" s="16">
        <f t="shared" si="1"/>
        <v>11063.337</v>
      </c>
      <c r="BD343" s="16">
        <f t="shared" si="1"/>
        <v>12320.47</v>
      </c>
      <c r="BE343" s="16">
        <f>SUMIF($D$5:$D$337,$D$343,BE5:BE337)</f>
        <v>109727.304</v>
      </c>
      <c r="BF343" s="21"/>
    </row>
    <row r="344" spans="1:58" x14ac:dyDescent="0.2">
      <c r="A344" t="s">
        <v>609</v>
      </c>
      <c r="D344">
        <v>2</v>
      </c>
      <c r="E344" s="16">
        <f t="shared" ref="E344:BD344" si="2">SUMIF($D$5:$D$337,$D$344,E5:E337)</f>
        <v>1469991.9809999999</v>
      </c>
      <c r="F344" s="16">
        <f t="shared" si="2"/>
        <v>159747.45500000002</v>
      </c>
      <c r="G344" s="16">
        <f t="shared" si="2"/>
        <v>376236.11099999998</v>
      </c>
      <c r="H344" s="16">
        <f t="shared" si="2"/>
        <v>579.74599999999998</v>
      </c>
      <c r="I344" s="16">
        <f t="shared" si="2"/>
        <v>52830.361000000004</v>
      </c>
      <c r="J344" s="16">
        <f t="shared" si="2"/>
        <v>259752.33299999998</v>
      </c>
      <c r="K344" s="16">
        <f t="shared" si="2"/>
        <v>808811.65499999991</v>
      </c>
      <c r="L344" s="16">
        <f t="shared" si="2"/>
        <v>165057.11499999999</v>
      </c>
      <c r="M344" s="16">
        <f t="shared" si="2"/>
        <v>209927.99799999999</v>
      </c>
      <c r="N344" s="16">
        <f t="shared" si="2"/>
        <v>630401.2429999999</v>
      </c>
      <c r="O344" s="16">
        <f t="shared" si="2"/>
        <v>722799.83199999994</v>
      </c>
      <c r="P344" s="16">
        <f t="shared" si="2"/>
        <v>624726.99800000002</v>
      </c>
      <c r="Q344" s="16">
        <f>SUMIF($D$5:$D$337,$D$344,Q5:Q337)</f>
        <v>12778.549000000001</v>
      </c>
      <c r="R344" s="16">
        <f t="shared" si="2"/>
        <v>0</v>
      </c>
      <c r="S344" s="16">
        <f t="shared" si="2"/>
        <v>17468.537</v>
      </c>
      <c r="T344" s="16">
        <f t="shared" si="2"/>
        <v>1485.3050000000001</v>
      </c>
      <c r="U344" s="16">
        <f t="shared" si="2"/>
        <v>4631.1610000000001</v>
      </c>
      <c r="V344" s="16">
        <f t="shared" si="2"/>
        <v>51928.811999999998</v>
      </c>
      <c r="W344" s="16">
        <f t="shared" si="2"/>
        <v>2803.9929999999999</v>
      </c>
      <c r="X344" s="16">
        <f t="shared" si="2"/>
        <v>4579.3940000000002</v>
      </c>
      <c r="Y344" s="16">
        <f t="shared" si="2"/>
        <v>160514.247</v>
      </c>
      <c r="Z344" s="16">
        <f t="shared" si="2"/>
        <v>22608.715000000004</v>
      </c>
      <c r="AA344" s="16">
        <f t="shared" si="2"/>
        <v>52702.956999999995</v>
      </c>
      <c r="AB344" s="16">
        <f t="shared" si="2"/>
        <v>0</v>
      </c>
      <c r="AC344" s="16">
        <f t="shared" si="2"/>
        <v>268830.56</v>
      </c>
      <c r="AD344" s="16">
        <f t="shared" si="2"/>
        <v>0</v>
      </c>
      <c r="AE344" s="16">
        <f t="shared" si="2"/>
        <v>254175.40099999998</v>
      </c>
      <c r="AF344" s="16">
        <f t="shared" si="2"/>
        <v>11.599</v>
      </c>
      <c r="AG344" s="16">
        <f t="shared" si="2"/>
        <v>20420.878000000001</v>
      </c>
      <c r="AH344" s="16">
        <f t="shared" si="2"/>
        <v>5916.3019999999997</v>
      </c>
      <c r="AI344" s="16">
        <f t="shared" si="2"/>
        <v>739250.95799999998</v>
      </c>
      <c r="AJ344" s="16">
        <f t="shared" si="2"/>
        <v>46365.760000000002</v>
      </c>
      <c r="AK344" s="16">
        <f t="shared" si="2"/>
        <v>16023.903999999999</v>
      </c>
      <c r="AL344" s="16">
        <f t="shared" si="2"/>
        <v>1929409.902</v>
      </c>
      <c r="AM344" s="16">
        <f t="shared" si="2"/>
        <v>89855.942999999999</v>
      </c>
      <c r="AN344" s="16">
        <f t="shared" si="2"/>
        <v>0</v>
      </c>
      <c r="AO344" s="16">
        <f t="shared" si="2"/>
        <v>0</v>
      </c>
      <c r="AP344" s="16">
        <f t="shared" si="2"/>
        <v>36324.137999999999</v>
      </c>
      <c r="AQ344" s="16">
        <f t="shared" si="2"/>
        <v>35912.989000000001</v>
      </c>
      <c r="AR344" s="16">
        <f t="shared" si="2"/>
        <v>0</v>
      </c>
      <c r="AS344" s="16">
        <f>SUMIF($D$5:$D$337,$D$344,AS5:AS337)</f>
        <v>27096.918000000001</v>
      </c>
      <c r="AT344" s="16">
        <f>SUMIF($D$5:$D$337,$D$344,AT5:AT337)</f>
        <v>0</v>
      </c>
      <c r="AU344" s="16">
        <f>SUMIF($D$5:$D$337,$D$344,AU5:AU337)</f>
        <v>1843.5629999999999</v>
      </c>
      <c r="AV344" s="16">
        <f>SUMIF($D$5:$D$337,$D$344,AV5:AV337)</f>
        <v>1160.777</v>
      </c>
      <c r="AW344" s="16">
        <f t="shared" si="2"/>
        <v>417.55700000000002</v>
      </c>
      <c r="AX344" s="16">
        <f t="shared" si="2"/>
        <v>12603.438</v>
      </c>
      <c r="AY344" s="16">
        <f t="shared" si="2"/>
        <v>377.96300000000002</v>
      </c>
      <c r="AZ344" s="16">
        <f t="shared" si="2"/>
        <v>1077.7140000000002</v>
      </c>
      <c r="BA344" s="16">
        <f t="shared" si="2"/>
        <v>0</v>
      </c>
      <c r="BB344" s="16">
        <f t="shared" si="2"/>
        <v>29145.081999999999</v>
      </c>
      <c r="BC344" s="16">
        <f t="shared" si="2"/>
        <v>314.99900000000002</v>
      </c>
      <c r="BD344" s="16">
        <f t="shared" si="2"/>
        <v>465.173</v>
      </c>
      <c r="BE344" s="16">
        <f>SUMIF($D$5:$D$337,$D$344,BE5:BE337)</f>
        <v>44230.663999999997</v>
      </c>
      <c r="BF344" s="21"/>
    </row>
    <row r="345" spans="1:58" x14ac:dyDescent="0.2">
      <c r="A345" t="s">
        <v>610</v>
      </c>
      <c r="D345">
        <v>3</v>
      </c>
      <c r="E345" s="16">
        <f t="shared" ref="E345:BD345" si="3">SUMIF($D$5:$D$337,$D$345,E5:E337)</f>
        <v>1495047.9240000001</v>
      </c>
      <c r="F345" s="16">
        <f t="shared" si="3"/>
        <v>224604.85600000003</v>
      </c>
      <c r="G345" s="16">
        <f t="shared" si="3"/>
        <v>510210.75499999989</v>
      </c>
      <c r="H345" s="16">
        <f t="shared" si="3"/>
        <v>93121.514999999999</v>
      </c>
      <c r="I345" s="16">
        <f t="shared" si="3"/>
        <v>44233.85</v>
      </c>
      <c r="J345" s="16">
        <f t="shared" si="3"/>
        <v>339269.78900000005</v>
      </c>
      <c r="K345" s="16">
        <f t="shared" si="3"/>
        <v>429428.60599999997</v>
      </c>
      <c r="L345" s="16">
        <f t="shared" si="3"/>
        <v>392975.7790000001</v>
      </c>
      <c r="M345" s="16">
        <f t="shared" si="3"/>
        <v>45174.487999999998</v>
      </c>
      <c r="N345" s="16">
        <f t="shared" si="3"/>
        <v>925616.83999999985</v>
      </c>
      <c r="O345" s="16">
        <f t="shared" si="3"/>
        <v>1181208.8350000002</v>
      </c>
      <c r="P345" s="16">
        <f t="shared" si="3"/>
        <v>914295.02799999993</v>
      </c>
      <c r="Q345" s="16">
        <f>SUMIF($D$5:$D$337,$D$345,Q5:Q337)</f>
        <v>3255.556</v>
      </c>
      <c r="R345" s="16">
        <f t="shared" si="3"/>
        <v>0</v>
      </c>
      <c r="S345" s="16">
        <f t="shared" si="3"/>
        <v>166.71499999999997</v>
      </c>
      <c r="T345" s="16">
        <f t="shared" si="3"/>
        <v>3787.3969999999999</v>
      </c>
      <c r="U345" s="16">
        <f t="shared" si="3"/>
        <v>13896.257</v>
      </c>
      <c r="V345" s="16">
        <f t="shared" si="3"/>
        <v>89581.241999999998</v>
      </c>
      <c r="W345" s="16">
        <f t="shared" si="3"/>
        <v>0</v>
      </c>
      <c r="X345" s="16">
        <f t="shared" si="3"/>
        <v>26267.498</v>
      </c>
      <c r="Y345" s="16">
        <f t="shared" si="3"/>
        <v>34541.123</v>
      </c>
      <c r="Z345" s="16">
        <f t="shared" si="3"/>
        <v>35864.550999999999</v>
      </c>
      <c r="AA345" s="16">
        <f t="shared" si="3"/>
        <v>105218.338</v>
      </c>
      <c r="AB345" s="16">
        <f t="shared" si="3"/>
        <v>0</v>
      </c>
      <c r="AC345" s="16">
        <f t="shared" si="3"/>
        <v>293946.66800000001</v>
      </c>
      <c r="AD345" s="16">
        <f t="shared" si="3"/>
        <v>12851.781000000001</v>
      </c>
      <c r="AE345" s="16">
        <f t="shared" si="3"/>
        <v>357199.88599999994</v>
      </c>
      <c r="AF345" s="16">
        <f t="shared" si="3"/>
        <v>0</v>
      </c>
      <c r="AG345" s="16">
        <f t="shared" si="3"/>
        <v>37973.394</v>
      </c>
      <c r="AH345" s="16">
        <f t="shared" si="3"/>
        <v>12616.204000000002</v>
      </c>
      <c r="AI345" s="16">
        <f t="shared" si="3"/>
        <v>558451.49800000002</v>
      </c>
      <c r="AJ345" s="16">
        <f t="shared" si="3"/>
        <v>12895.728999999999</v>
      </c>
      <c r="AK345" s="16">
        <f t="shared" si="3"/>
        <v>48389.164000000004</v>
      </c>
      <c r="AL345" s="16">
        <f t="shared" si="3"/>
        <v>2298485.2920000004</v>
      </c>
      <c r="AM345" s="16">
        <f t="shared" si="3"/>
        <v>25626.654000000002</v>
      </c>
      <c r="AN345" s="16">
        <f t="shared" si="3"/>
        <v>82733</v>
      </c>
      <c r="AO345" s="16">
        <f t="shared" si="3"/>
        <v>0</v>
      </c>
      <c r="AP345" s="16">
        <f t="shared" si="3"/>
        <v>97790.796999999991</v>
      </c>
      <c r="AQ345" s="16">
        <f t="shared" si="3"/>
        <v>74537.81</v>
      </c>
      <c r="AR345" s="16">
        <f t="shared" si="3"/>
        <v>0</v>
      </c>
      <c r="AS345" s="16">
        <f>SUMIF($D$5:$D$337,$D$345,AS5:AS337)</f>
        <v>5830.9960000000001</v>
      </c>
      <c r="AT345" s="16">
        <f>SUMIF($D$5:$D$337,$D$345,AT5:AT337)</f>
        <v>0</v>
      </c>
      <c r="AU345" s="16">
        <f>SUMIF($D$5:$D$337,$D$345,AU5:AU337)</f>
        <v>2411.7920000000004</v>
      </c>
      <c r="AV345" s="16">
        <f>SUMIF($D$5:$D$337,$D$345,AV5:AV337)</f>
        <v>2022.9680000000003</v>
      </c>
      <c r="AW345" s="16">
        <f t="shared" si="3"/>
        <v>9145.9779999999992</v>
      </c>
      <c r="AX345" s="16">
        <f t="shared" si="3"/>
        <v>3198.8819999999996</v>
      </c>
      <c r="AY345" s="16">
        <f t="shared" si="3"/>
        <v>3024.9430000000002</v>
      </c>
      <c r="AZ345" s="16">
        <f t="shared" si="3"/>
        <v>697.2589999999999</v>
      </c>
      <c r="BA345" s="16">
        <f t="shared" si="3"/>
        <v>0</v>
      </c>
      <c r="BB345" s="16">
        <f t="shared" si="3"/>
        <v>24270.031999999999</v>
      </c>
      <c r="BC345" s="16">
        <f t="shared" si="3"/>
        <v>20690.998</v>
      </c>
      <c r="BD345" s="16">
        <f t="shared" si="3"/>
        <v>15309.197</v>
      </c>
      <c r="BE345" s="16">
        <f>SUMIF($D$5:$D$337,$D$345,BE5:BE337)</f>
        <v>111149.026</v>
      </c>
      <c r="BF345" s="21"/>
    </row>
    <row r="346" spans="1:58" x14ac:dyDescent="0.2">
      <c r="A346" t="s">
        <v>611</v>
      </c>
      <c r="B346">
        <v>7</v>
      </c>
      <c r="D346">
        <v>4</v>
      </c>
      <c r="E346" s="16">
        <f t="shared" ref="E346:BD346" si="4">SUMIF($D$5:$D$337,$D$346,E5:E337)</f>
        <v>745199.05099999986</v>
      </c>
      <c r="F346" s="16">
        <f t="shared" si="4"/>
        <v>203883.264</v>
      </c>
      <c r="G346" s="16">
        <f t="shared" si="4"/>
        <v>-2629.8360000000002</v>
      </c>
      <c r="H346" s="16">
        <f t="shared" si="4"/>
        <v>10025.452000000001</v>
      </c>
      <c r="I346" s="16">
        <f t="shared" si="4"/>
        <v>12080.323000000002</v>
      </c>
      <c r="J346" s="16">
        <f t="shared" si="4"/>
        <v>-1834.7440000000004</v>
      </c>
      <c r="K346" s="16">
        <f t="shared" si="4"/>
        <v>1055912.6869999999</v>
      </c>
      <c r="L346" s="16">
        <f t="shared" si="4"/>
        <v>78901.621999999974</v>
      </c>
      <c r="M346" s="16">
        <f t="shared" si="4"/>
        <v>0</v>
      </c>
      <c r="N346" s="16">
        <f t="shared" si="4"/>
        <v>107447.56</v>
      </c>
      <c r="O346" s="16">
        <f t="shared" si="4"/>
        <v>2638342.7590000001</v>
      </c>
      <c r="P346" s="16">
        <f t="shared" si="4"/>
        <v>144996.70500000005</v>
      </c>
      <c r="Q346" s="16">
        <f>SUMIF($D$5:$D$337,$D$346,Q5:Q337)</f>
        <v>0</v>
      </c>
      <c r="R346" s="16">
        <f t="shared" si="4"/>
        <v>1090.232</v>
      </c>
      <c r="S346" s="16">
        <f t="shared" si="4"/>
        <v>57.485999999999997</v>
      </c>
      <c r="T346" s="16">
        <f t="shared" si="4"/>
        <v>760.70900000000006</v>
      </c>
      <c r="U346" s="16">
        <f t="shared" si="4"/>
        <v>105.852</v>
      </c>
      <c r="V346" s="16">
        <f t="shared" si="4"/>
        <v>59489.565999999992</v>
      </c>
      <c r="W346" s="16">
        <f t="shared" si="4"/>
        <v>0</v>
      </c>
      <c r="X346" s="16">
        <f t="shared" si="4"/>
        <v>12086.563999999998</v>
      </c>
      <c r="Y346" s="16">
        <f t="shared" si="4"/>
        <v>0</v>
      </c>
      <c r="Z346" s="16">
        <f t="shared" si="4"/>
        <v>-161.518</v>
      </c>
      <c r="AA346" s="16">
        <f t="shared" si="4"/>
        <v>19369.884999999998</v>
      </c>
      <c r="AB346" s="16">
        <f t="shared" si="4"/>
        <v>37343.797999999995</v>
      </c>
      <c r="AC346" s="16">
        <f t="shared" si="4"/>
        <v>389409.261</v>
      </c>
      <c r="AD346" s="16">
        <f t="shared" si="4"/>
        <v>17633.499</v>
      </c>
      <c r="AE346" s="16">
        <f t="shared" si="4"/>
        <v>-1874.7560000000001</v>
      </c>
      <c r="AF346" s="16">
        <f t="shared" si="4"/>
        <v>28643.688000000002</v>
      </c>
      <c r="AG346" s="16">
        <f t="shared" si="4"/>
        <v>30901.014000000003</v>
      </c>
      <c r="AH346" s="16">
        <f t="shared" si="4"/>
        <v>12880.775</v>
      </c>
      <c r="AI346" s="16">
        <f t="shared" si="4"/>
        <v>1034011.5770000002</v>
      </c>
      <c r="AJ346" s="16">
        <f t="shared" si="4"/>
        <v>497963.21099999995</v>
      </c>
      <c r="AK346" s="16">
        <f t="shared" si="4"/>
        <v>57188.067999999999</v>
      </c>
      <c r="AL346" s="16">
        <f t="shared" si="4"/>
        <v>3233300.7440000004</v>
      </c>
      <c r="AM346" s="16">
        <f t="shared" si="4"/>
        <v>978586.17800000019</v>
      </c>
      <c r="AN346" s="16">
        <f t="shared" si="4"/>
        <v>134675.77800000002</v>
      </c>
      <c r="AO346" s="16">
        <f t="shared" si="4"/>
        <v>1089734.3769999999</v>
      </c>
      <c r="AP346" s="16">
        <f t="shared" si="4"/>
        <v>28124.172999999999</v>
      </c>
      <c r="AQ346" s="16">
        <f t="shared" si="4"/>
        <v>9600.0149999999994</v>
      </c>
      <c r="AR346" s="16">
        <f t="shared" si="4"/>
        <v>711951.88</v>
      </c>
      <c r="AS346" s="16">
        <f>SUMIF($D$5:$D$337,$D$346,AS5:AS337)</f>
        <v>0</v>
      </c>
      <c r="AT346" s="16">
        <f>SUMIF($D$5:$D$337,$D$346,AT5:AT337)</f>
        <v>320464.41100000002</v>
      </c>
      <c r="AU346" s="16">
        <f>SUMIF($D$5:$D$337,$D$346,AU5:AU337)</f>
        <v>2025.8999999999996</v>
      </c>
      <c r="AV346" s="16">
        <f>SUMIF($D$5:$D$337,$D$346,AV5:AV337)</f>
        <v>571.32100000000014</v>
      </c>
      <c r="AW346" s="16">
        <f t="shared" si="4"/>
        <v>6795.098</v>
      </c>
      <c r="AX346" s="16">
        <f t="shared" si="4"/>
        <v>129950.05600000001</v>
      </c>
      <c r="AY346" s="16">
        <f t="shared" si="4"/>
        <v>4106.027</v>
      </c>
      <c r="AZ346" s="16">
        <f t="shared" si="4"/>
        <v>551.16800000000001</v>
      </c>
      <c r="BA346" s="16">
        <f t="shared" si="4"/>
        <v>0</v>
      </c>
      <c r="BB346" s="16">
        <f t="shared" si="4"/>
        <v>7607.2310000000025</v>
      </c>
      <c r="BC346" s="16">
        <f t="shared" si="4"/>
        <v>21264.345999999998</v>
      </c>
      <c r="BD346" s="16">
        <f t="shared" si="4"/>
        <v>15534.146999999999</v>
      </c>
      <c r="BE346" s="16">
        <f>SUMIF($D$5:$D$337,$D$346,BE5:BE337)</f>
        <v>53219.165000000001</v>
      </c>
      <c r="BF346" s="21"/>
    </row>
    <row r="347" spans="1:58" x14ac:dyDescent="0.2">
      <c r="A347" t="s">
        <v>612</v>
      </c>
      <c r="D347">
        <v>5</v>
      </c>
      <c r="E347" s="16">
        <f t="shared" ref="E347:BD347" si="5">SUMIF($D$5:$D$337,$D$347,E5:E337)</f>
        <v>413582.69699999999</v>
      </c>
      <c r="F347" s="16">
        <f t="shared" si="5"/>
        <v>36730.928</v>
      </c>
      <c r="G347" s="16">
        <f t="shared" si="5"/>
        <v>94777.622000000003</v>
      </c>
      <c r="H347" s="16">
        <f t="shared" si="5"/>
        <v>927295.04799999995</v>
      </c>
      <c r="I347" s="16">
        <f t="shared" si="5"/>
        <v>11934.825999999999</v>
      </c>
      <c r="J347" s="16">
        <f t="shared" si="5"/>
        <v>71318.577000000005</v>
      </c>
      <c r="K347" s="16">
        <f t="shared" si="5"/>
        <v>474518.04899999994</v>
      </c>
      <c r="L347" s="16">
        <f t="shared" si="5"/>
        <v>61243.937999999995</v>
      </c>
      <c r="M347" s="16">
        <f t="shared" si="5"/>
        <v>6836.6679999999997</v>
      </c>
      <c r="N347" s="16">
        <f t="shared" si="5"/>
        <v>207653.61600000001</v>
      </c>
      <c r="O347" s="16">
        <f t="shared" si="5"/>
        <v>549742.55499999993</v>
      </c>
      <c r="P347" s="16">
        <f t="shared" si="5"/>
        <v>252040.81099999999</v>
      </c>
      <c r="Q347" s="16">
        <f>SUMIF($D$5:$D$337,$D$347,Q5:Q337)</f>
        <v>0</v>
      </c>
      <c r="R347" s="16">
        <f t="shared" si="5"/>
        <v>0</v>
      </c>
      <c r="S347" s="16">
        <f t="shared" si="5"/>
        <v>2514.4</v>
      </c>
      <c r="T347" s="16">
        <f t="shared" si="5"/>
        <v>0</v>
      </c>
      <c r="U347" s="16">
        <f t="shared" si="5"/>
        <v>100.33800000000001</v>
      </c>
      <c r="V347" s="16">
        <f t="shared" si="5"/>
        <v>-3893.2049999999999</v>
      </c>
      <c r="W347" s="16">
        <f t="shared" si="5"/>
        <v>0</v>
      </c>
      <c r="X347" s="16">
        <f t="shared" si="5"/>
        <v>11.473000000000001</v>
      </c>
      <c r="Y347" s="16">
        <f t="shared" si="5"/>
        <v>2209.2809999999999</v>
      </c>
      <c r="Z347" s="16">
        <f t="shared" si="5"/>
        <v>5599.5199999999995</v>
      </c>
      <c r="AA347" s="16">
        <f t="shared" si="5"/>
        <v>18624.438999999998</v>
      </c>
      <c r="AB347" s="16">
        <f t="shared" si="5"/>
        <v>0</v>
      </c>
      <c r="AC347" s="16">
        <f t="shared" si="5"/>
        <v>179297.399</v>
      </c>
      <c r="AD347" s="16">
        <f t="shared" si="5"/>
        <v>0</v>
      </c>
      <c r="AE347" s="16">
        <f t="shared" si="5"/>
        <v>51837.760999999999</v>
      </c>
      <c r="AF347" s="16">
        <f t="shared" si="5"/>
        <v>-9.1440000000000001</v>
      </c>
      <c r="AG347" s="16">
        <f t="shared" si="5"/>
        <v>6789.99</v>
      </c>
      <c r="AH347" s="16">
        <f t="shared" si="5"/>
        <v>0</v>
      </c>
      <c r="AI347" s="16">
        <f t="shared" si="5"/>
        <v>510987.61500000005</v>
      </c>
      <c r="AJ347" s="16">
        <f t="shared" si="5"/>
        <v>-21212.364000000001</v>
      </c>
      <c r="AK347" s="16">
        <f t="shared" si="5"/>
        <v>561.476</v>
      </c>
      <c r="AL347" s="16">
        <f t="shared" si="5"/>
        <v>1264330.7219999998</v>
      </c>
      <c r="AM347" s="16">
        <f t="shared" si="5"/>
        <v>-19874.421000000002</v>
      </c>
      <c r="AN347" s="16">
        <f t="shared" si="5"/>
        <v>148.62899999999999</v>
      </c>
      <c r="AO347" s="16">
        <f t="shared" si="5"/>
        <v>98.778000000000006</v>
      </c>
      <c r="AP347" s="16">
        <f t="shared" si="5"/>
        <v>386.50299999999999</v>
      </c>
      <c r="AQ347" s="16">
        <f t="shared" si="5"/>
        <v>0</v>
      </c>
      <c r="AR347" s="16">
        <f t="shared" si="5"/>
        <v>704.25199999999995</v>
      </c>
      <c r="AS347" s="16">
        <f>SUMIF($D$5:$D$337,$D$347,AS5:AS337)</f>
        <v>532.73199999999997</v>
      </c>
      <c r="AT347" s="16">
        <f>SUMIF($D$5:$D$337,$D$347,AT5:AT337)</f>
        <v>796.66200000000003</v>
      </c>
      <c r="AU347" s="16">
        <f>SUMIF($D$5:$D$337,$D$347,AU5:AU337)</f>
        <v>-161.714</v>
      </c>
      <c r="AV347" s="16">
        <f>SUMIF($D$5:$D$337,$D$347,AV5:AV337)</f>
        <v>0</v>
      </c>
      <c r="AW347" s="16">
        <f t="shared" si="5"/>
        <v>0</v>
      </c>
      <c r="AX347" s="16">
        <f t="shared" si="5"/>
        <v>-8802.8179999999993</v>
      </c>
      <c r="AY347" s="16">
        <f t="shared" si="5"/>
        <v>0</v>
      </c>
      <c r="AZ347" s="16">
        <f t="shared" si="5"/>
        <v>-38.853000000000002</v>
      </c>
      <c r="BA347" s="16">
        <f t="shared" si="5"/>
        <v>0</v>
      </c>
      <c r="BB347" s="16">
        <f t="shared" si="5"/>
        <v>-334.52300000000002</v>
      </c>
      <c r="BC347" s="16">
        <f t="shared" si="5"/>
        <v>0</v>
      </c>
      <c r="BD347" s="16">
        <f t="shared" si="5"/>
        <v>0</v>
      </c>
      <c r="BE347" s="16">
        <f>SUMIF($D$5:$D$337,$D$347,BE5:BE337)</f>
        <v>-6980.0529999999999</v>
      </c>
      <c r="BF347" s="21"/>
    </row>
    <row r="348" spans="1:58" x14ac:dyDescent="0.2">
      <c r="A348" t="s">
        <v>613</v>
      </c>
      <c r="B348">
        <v>7</v>
      </c>
      <c r="D348">
        <v>6</v>
      </c>
      <c r="E348" s="16">
        <f t="shared" ref="E348:BD348" si="6">SUMIF($D$5:$D$337,$D$348,E5:E337)+SUMIF($D$5:$D$337,$B$348,E5:E337)</f>
        <v>976714.98600000003</v>
      </c>
      <c r="F348" s="16">
        <f t="shared" si="6"/>
        <v>52273.86099999999</v>
      </c>
      <c r="G348" s="16">
        <f t="shared" si="6"/>
        <v>63486.355000000003</v>
      </c>
      <c r="H348" s="16">
        <f t="shared" si="6"/>
        <v>10510.869999999999</v>
      </c>
      <c r="I348" s="16">
        <f t="shared" si="6"/>
        <v>8691.7119999999995</v>
      </c>
      <c r="J348" s="16">
        <f t="shared" si="6"/>
        <v>40897.678</v>
      </c>
      <c r="K348" s="16">
        <f t="shared" si="6"/>
        <v>957025.58600000001</v>
      </c>
      <c r="L348" s="16">
        <f t="shared" si="6"/>
        <v>79465.731999999975</v>
      </c>
      <c r="M348" s="16">
        <f t="shared" si="6"/>
        <v>-168.02699999999999</v>
      </c>
      <c r="N348" s="16">
        <f t="shared" si="6"/>
        <v>460661.5</v>
      </c>
      <c r="O348" s="16">
        <f t="shared" si="6"/>
        <v>1809498.159</v>
      </c>
      <c r="P348" s="16">
        <f t="shared" si="6"/>
        <v>457922.64900000003</v>
      </c>
      <c r="Q348" s="16">
        <f>SUMIF($D$5:$D$337,$D$348,Q5:Q337)+SUMIF($D$5:$D$337,$B$348,Q5:Q337)</f>
        <v>-6.7729999999999997</v>
      </c>
      <c r="R348" s="16">
        <f t="shared" si="6"/>
        <v>-79.095000000000013</v>
      </c>
      <c r="S348" s="16">
        <f t="shared" si="6"/>
        <v>1499.615</v>
      </c>
      <c r="T348" s="16">
        <f t="shared" si="6"/>
        <v>-60.032000000000082</v>
      </c>
      <c r="U348" s="16">
        <f t="shared" si="6"/>
        <v>1247.8209999999997</v>
      </c>
      <c r="V348" s="16">
        <f t="shared" si="6"/>
        <v>346.41000000000025</v>
      </c>
      <c r="W348" s="16">
        <f t="shared" si="6"/>
        <v>-1.5489999999999999</v>
      </c>
      <c r="X348" s="16">
        <f t="shared" si="6"/>
        <v>-1206.3090000000013</v>
      </c>
      <c r="Y348" s="16">
        <f t="shared" si="6"/>
        <v>-110.532</v>
      </c>
      <c r="Z348" s="16">
        <f t="shared" si="6"/>
        <v>3532.2719999999995</v>
      </c>
      <c r="AA348" s="16">
        <f t="shared" si="6"/>
        <v>11399.17</v>
      </c>
      <c r="AB348" s="16">
        <f t="shared" si="6"/>
        <v>-3647.1910000000003</v>
      </c>
      <c r="AC348" s="16">
        <f t="shared" si="6"/>
        <v>170302.46000000008</v>
      </c>
      <c r="AD348" s="16">
        <f t="shared" si="6"/>
        <v>751.72800000000166</v>
      </c>
      <c r="AE348" s="16">
        <f t="shared" si="6"/>
        <v>38616.279000000024</v>
      </c>
      <c r="AF348" s="16">
        <f t="shared" si="6"/>
        <v>-2724.5910000000044</v>
      </c>
      <c r="AG348" s="16">
        <f t="shared" si="6"/>
        <v>4012.6920000000018</v>
      </c>
      <c r="AH348" s="16">
        <f t="shared" si="6"/>
        <v>-65.56700000000022</v>
      </c>
      <c r="AI348" s="16">
        <f t="shared" si="6"/>
        <v>720615.76500000013</v>
      </c>
      <c r="AJ348" s="16">
        <f t="shared" si="6"/>
        <v>-9034.7119999999977</v>
      </c>
      <c r="AK348" s="16">
        <f t="shared" si="6"/>
        <v>-607.5599999999996</v>
      </c>
      <c r="AL348" s="16">
        <f t="shared" si="6"/>
        <v>2226126.4640000002</v>
      </c>
      <c r="AM348" s="16">
        <f t="shared" si="6"/>
        <v>-19485.172999999988</v>
      </c>
      <c r="AN348" s="16">
        <f t="shared" si="6"/>
        <v>4803.9380000000001</v>
      </c>
      <c r="AO348" s="16">
        <f t="shared" si="6"/>
        <v>89248.181999999986</v>
      </c>
      <c r="AP348" s="16">
        <f t="shared" si="6"/>
        <v>-2510.7899999999995</v>
      </c>
      <c r="AQ348" s="16">
        <f t="shared" si="6"/>
        <v>-707.15500000000134</v>
      </c>
      <c r="AR348" s="16">
        <f t="shared" si="6"/>
        <v>58195.805000000008</v>
      </c>
      <c r="AS348" s="16">
        <f>SUMIF($D$5:$D$337,$D$348,AS5:AS337)+SUMIF($D$5:$D$337,$B$348,AS5:AS337)</f>
        <v>-30.508000000000003</v>
      </c>
      <c r="AT348" s="16">
        <f>SUMIF($D$5:$D$337,$D$348,AT5:AT337)+SUMIF($D$5:$D$337,$B$348,AT5:AT337)</f>
        <v>25998.183999999997</v>
      </c>
      <c r="AU348" s="16">
        <f>SUMIF($D$5:$D$337,$D$348,AU5:AU337)+SUMIF($D$5:$D$337,$B$348,AU5:AU337)</f>
        <v>-67.713000000000022</v>
      </c>
      <c r="AV348" s="16">
        <f>SUMIF($D$5:$D$337,$D$348,AV5:AV337)+SUMIF($D$5:$D$337,$B$348,AV5:AV337)</f>
        <v>-46.394000000000055</v>
      </c>
      <c r="AW348" s="16">
        <f t="shared" si="6"/>
        <v>-11.891</v>
      </c>
      <c r="AX348" s="16">
        <f t="shared" si="6"/>
        <v>-3434.0249999999996</v>
      </c>
      <c r="AY348" s="16">
        <f t="shared" si="6"/>
        <v>-8.5839999999999996</v>
      </c>
      <c r="AZ348" s="16">
        <f t="shared" si="6"/>
        <v>153.28599999999994</v>
      </c>
      <c r="BA348" s="16">
        <f t="shared" si="6"/>
        <v>4.6520000000000001</v>
      </c>
      <c r="BB348" s="16">
        <f t="shared" si="6"/>
        <v>710.81300000000033</v>
      </c>
      <c r="BC348" s="16">
        <f t="shared" si="6"/>
        <v>-0.71</v>
      </c>
      <c r="BD348" s="16">
        <f t="shared" si="6"/>
        <v>-33.087000000000003</v>
      </c>
      <c r="BE348" s="16">
        <f>SUMIF($D$5:$D$337,$D$348,BE5:BE337)+SUMIF($D$5:$D$337,$B$348,BE5:BE337)</f>
        <v>-9465.0310000000009</v>
      </c>
      <c r="BF348" s="21"/>
    </row>
    <row r="349" spans="1:58" x14ac:dyDescent="0.2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21"/>
    </row>
    <row r="350" spans="1:58" x14ac:dyDescent="0.2">
      <c r="E350">
        <f t="shared" ref="E350:P350" si="7">SUM(E343:E349)</f>
        <v>5752290.4539999999</v>
      </c>
      <c r="F350">
        <f t="shared" si="7"/>
        <v>828471.723</v>
      </c>
      <c r="G350">
        <f t="shared" si="7"/>
        <v>1084821.632</v>
      </c>
      <c r="H350">
        <f t="shared" si="7"/>
        <v>1058417.0619999999</v>
      </c>
      <c r="I350">
        <f t="shared" si="7"/>
        <v>145156.94700000001</v>
      </c>
      <c r="J350">
        <f t="shared" si="7"/>
        <v>744131.36300000001</v>
      </c>
      <c r="K350">
        <f t="shared" si="7"/>
        <v>4511718.8959999997</v>
      </c>
      <c r="L350">
        <f t="shared" si="7"/>
        <v>872121.22399999993</v>
      </c>
      <c r="M350">
        <f t="shared" si="7"/>
        <v>324037.67300000001</v>
      </c>
      <c r="N350">
        <f t="shared" si="7"/>
        <v>2510666.6639999999</v>
      </c>
      <c r="O350" s="17">
        <f t="shared" si="7"/>
        <v>8694657.3839999996</v>
      </c>
      <c r="P350">
        <f t="shared" si="7"/>
        <v>2580857.7850000001</v>
      </c>
      <c r="Q350">
        <f>SUM(Q343:Q349)</f>
        <v>16497.55</v>
      </c>
      <c r="R350">
        <f t="shared" ref="R350:AR350" si="8">SUM(R343:R349)</f>
        <v>5406.5239999999994</v>
      </c>
      <c r="S350">
        <f t="shared" si="8"/>
        <v>23337.059000000005</v>
      </c>
      <c r="T350">
        <f t="shared" si="8"/>
        <v>10291.418000000003</v>
      </c>
      <c r="U350">
        <f t="shared" si="8"/>
        <v>22015.904999999999</v>
      </c>
      <c r="V350">
        <f t="shared" si="8"/>
        <v>242357.424</v>
      </c>
      <c r="W350">
        <f t="shared" si="8"/>
        <v>2869.6570000000002</v>
      </c>
      <c r="X350">
        <f t="shared" si="8"/>
        <v>103201.01599999999</v>
      </c>
      <c r="Y350">
        <f t="shared" si="8"/>
        <v>241871.40199999997</v>
      </c>
      <c r="Z350">
        <f t="shared" si="8"/>
        <v>70706.525000000009</v>
      </c>
      <c r="AA350">
        <f t="shared" si="8"/>
        <v>228900.74500000002</v>
      </c>
      <c r="AB350">
        <f t="shared" si="8"/>
        <v>194481.88799999998</v>
      </c>
      <c r="AC350">
        <f t="shared" si="8"/>
        <v>1608667.6260000002</v>
      </c>
      <c r="AD350">
        <f t="shared" si="8"/>
        <v>71247.155000000013</v>
      </c>
      <c r="AE350">
        <f t="shared" si="8"/>
        <v>759332.30599999975</v>
      </c>
      <c r="AF350">
        <f t="shared" si="8"/>
        <v>157327.77499999997</v>
      </c>
      <c r="AG350">
        <f t="shared" si="8"/>
        <v>125136.10800000001</v>
      </c>
      <c r="AH350">
        <f t="shared" si="8"/>
        <v>42832.161999999997</v>
      </c>
      <c r="AI350">
        <f t="shared" si="8"/>
        <v>4361463.2300000004</v>
      </c>
      <c r="AJ350">
        <f t="shared" si="8"/>
        <v>857077.40600000008</v>
      </c>
      <c r="AK350">
        <f t="shared" si="8"/>
        <v>173560.465</v>
      </c>
      <c r="AL350">
        <f t="shared" si="8"/>
        <v>13247622.225</v>
      </c>
      <c r="AM350">
        <f t="shared" si="8"/>
        <v>1689581.557</v>
      </c>
      <c r="AN350">
        <f t="shared" si="8"/>
        <v>502046.98700000008</v>
      </c>
      <c r="AO350">
        <f t="shared" si="8"/>
        <v>5599348.7429999998</v>
      </c>
      <c r="AP350">
        <f t="shared" si="8"/>
        <v>310382.55300000007</v>
      </c>
      <c r="AQ350">
        <f t="shared" si="8"/>
        <v>187379.73400000003</v>
      </c>
      <c r="AR350">
        <f t="shared" si="8"/>
        <v>3651045.577</v>
      </c>
      <c r="AS350">
        <f>SUM(AS343:AS349)</f>
        <v>43024.637000000002</v>
      </c>
      <c r="AT350">
        <f>SUM(AT343:AT349)</f>
        <v>1646740.6410000001</v>
      </c>
      <c r="AU350">
        <f>SUM(AU343:AU349)</f>
        <v>7875.96</v>
      </c>
      <c r="AV350">
        <f>SUM(AV343:AV349)</f>
        <v>7076.4470000000001</v>
      </c>
      <c r="AW350">
        <f>SUM(AW343:AW349)</f>
        <v>25192.301000000003</v>
      </c>
      <c r="AX350">
        <f t="shared" ref="AX350:BD350" si="9">SUM(AX343:AX349)</f>
        <v>230101.67500000002</v>
      </c>
      <c r="AY350">
        <f t="shared" si="9"/>
        <v>11582.837</v>
      </c>
      <c r="AZ350">
        <f t="shared" si="9"/>
        <v>2984.92</v>
      </c>
      <c r="BA350">
        <f t="shared" si="9"/>
        <v>4.6520000000000001</v>
      </c>
      <c r="BB350">
        <f t="shared" si="9"/>
        <v>78950.075999999986</v>
      </c>
      <c r="BC350">
        <f t="shared" si="9"/>
        <v>53332.969999999994</v>
      </c>
      <c r="BD350">
        <f t="shared" si="9"/>
        <v>43595.9</v>
      </c>
      <c r="BE350">
        <f>SUM(BE343:BE349)</f>
        <v>301881.07499999995</v>
      </c>
      <c r="BF350" s="21"/>
    </row>
    <row r="351" spans="1:58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21"/>
    </row>
    <row r="352" spans="1:58" x14ac:dyDescent="0.2">
      <c r="A352" s="8"/>
      <c r="B352" s="8"/>
      <c r="C352" s="8"/>
      <c r="D352" s="8"/>
      <c r="E352" s="8">
        <f t="shared" ref="E352:AT352" si="10">E350-E338</f>
        <v>5752290.4539999999</v>
      </c>
      <c r="F352" s="8">
        <f t="shared" si="10"/>
        <v>828471.723</v>
      </c>
      <c r="G352" s="8">
        <f t="shared" si="10"/>
        <v>1084821.632</v>
      </c>
      <c r="H352" s="8">
        <f t="shared" si="10"/>
        <v>1058417.0619999999</v>
      </c>
      <c r="I352" s="8">
        <f t="shared" si="10"/>
        <v>145156.94700000001</v>
      </c>
      <c r="J352" s="8">
        <f t="shared" si="10"/>
        <v>744131.36300000001</v>
      </c>
      <c r="K352" s="8">
        <f t="shared" si="10"/>
        <v>4511718.8959999997</v>
      </c>
      <c r="L352" s="8">
        <f t="shared" si="10"/>
        <v>872121.22399999993</v>
      </c>
      <c r="M352" s="8">
        <f t="shared" si="10"/>
        <v>324037.67300000001</v>
      </c>
      <c r="N352" s="8">
        <f t="shared" si="10"/>
        <v>2510666.6639999999</v>
      </c>
      <c r="O352" s="18">
        <f t="shared" si="10"/>
        <v>8694657.3839999996</v>
      </c>
      <c r="P352" s="8">
        <f t="shared" si="10"/>
        <v>2580857.7850000001</v>
      </c>
      <c r="Q352" s="8">
        <f>Q350-Q338</f>
        <v>16497.55</v>
      </c>
      <c r="R352" s="8">
        <f t="shared" si="10"/>
        <v>5406.5239999999994</v>
      </c>
      <c r="S352" s="8">
        <f t="shared" si="10"/>
        <v>23337.059000000005</v>
      </c>
      <c r="T352" s="8">
        <f t="shared" si="10"/>
        <v>10291.418000000003</v>
      </c>
      <c r="U352" s="8">
        <f t="shared" si="10"/>
        <v>22015.904999999999</v>
      </c>
      <c r="V352" s="8">
        <f t="shared" si="10"/>
        <v>242357.424</v>
      </c>
      <c r="W352" s="8">
        <f t="shared" si="10"/>
        <v>2869.6570000000002</v>
      </c>
      <c r="X352" s="8">
        <f t="shared" si="10"/>
        <v>103201.01599999999</v>
      </c>
      <c r="Y352" s="8">
        <f t="shared" si="10"/>
        <v>241871.40199999997</v>
      </c>
      <c r="Z352" s="8">
        <f t="shared" si="10"/>
        <v>70706.525000000009</v>
      </c>
      <c r="AA352" s="8">
        <f t="shared" si="10"/>
        <v>228900.74500000002</v>
      </c>
      <c r="AB352" s="8">
        <f t="shared" si="10"/>
        <v>194481.88799999998</v>
      </c>
      <c r="AC352" s="8">
        <f t="shared" si="10"/>
        <v>1608667.6260000002</v>
      </c>
      <c r="AD352" s="8">
        <f t="shared" si="10"/>
        <v>71247.155000000013</v>
      </c>
      <c r="AE352" s="8">
        <f t="shared" si="10"/>
        <v>759332.30599999975</v>
      </c>
      <c r="AF352" s="8">
        <f t="shared" si="10"/>
        <v>157327.77499999997</v>
      </c>
      <c r="AG352" s="8">
        <f t="shared" si="10"/>
        <v>125136.10800000001</v>
      </c>
      <c r="AH352" s="8">
        <f t="shared" si="10"/>
        <v>42832.161999999997</v>
      </c>
      <c r="AI352" s="8">
        <f t="shared" si="10"/>
        <v>4361463.2300000004</v>
      </c>
      <c r="AJ352" s="8">
        <f t="shared" si="10"/>
        <v>857077.40600000008</v>
      </c>
      <c r="AK352" s="8">
        <f t="shared" si="10"/>
        <v>173560.465</v>
      </c>
      <c r="AL352" s="8">
        <f t="shared" si="10"/>
        <v>13247622.225</v>
      </c>
      <c r="AM352" s="8">
        <f t="shared" si="10"/>
        <v>1689581.557</v>
      </c>
      <c r="AN352" s="8">
        <f t="shared" si="10"/>
        <v>502046.98700000008</v>
      </c>
      <c r="AO352" s="8">
        <f t="shared" si="10"/>
        <v>5599348.7429999998</v>
      </c>
      <c r="AP352" s="8">
        <f t="shared" si="10"/>
        <v>310382.55300000007</v>
      </c>
      <c r="AQ352" s="8">
        <f t="shared" si="10"/>
        <v>187379.73400000003</v>
      </c>
      <c r="AR352" s="8">
        <f t="shared" si="10"/>
        <v>3651045.577</v>
      </c>
      <c r="AS352" s="8">
        <f t="shared" si="10"/>
        <v>43024.637000000002</v>
      </c>
      <c r="AT352" s="8">
        <f t="shared" si="10"/>
        <v>1646740.6410000001</v>
      </c>
      <c r="AU352" s="8">
        <f>AU350-AU338</f>
        <v>7875.96</v>
      </c>
      <c r="AV352" s="8">
        <f>AV350-AV338</f>
        <v>7076.4470000000001</v>
      </c>
      <c r="AW352" s="8">
        <f t="shared" ref="AW352:BD352" si="11">AW350-AW338</f>
        <v>25192.301000000003</v>
      </c>
      <c r="AX352" s="8">
        <f t="shared" si="11"/>
        <v>230101.67500000002</v>
      </c>
      <c r="AY352" s="8">
        <f t="shared" si="11"/>
        <v>11582.837</v>
      </c>
      <c r="AZ352" s="8">
        <f t="shared" si="11"/>
        <v>2984.92</v>
      </c>
      <c r="BA352" s="8">
        <f t="shared" si="11"/>
        <v>4.6520000000000001</v>
      </c>
      <c r="BB352" s="8">
        <f t="shared" si="11"/>
        <v>78950.075999999986</v>
      </c>
      <c r="BC352" s="8">
        <f t="shared" si="11"/>
        <v>53332.969999999994</v>
      </c>
      <c r="BD352" s="8">
        <f t="shared" si="11"/>
        <v>43595.9</v>
      </c>
      <c r="BE352" s="8">
        <f>BE350-BE338</f>
        <v>301881.07499999995</v>
      </c>
      <c r="BF352" s="21"/>
    </row>
    <row r="353" spans="1:58" x14ac:dyDescent="0.2">
      <c r="E353" s="19">
        <f t="shared" ref="E353:P353" si="12">E3</f>
        <v>401</v>
      </c>
      <c r="F353" s="19">
        <f t="shared" si="12"/>
        <v>242</v>
      </c>
      <c r="G353" s="19">
        <f t="shared" si="12"/>
        <v>385</v>
      </c>
      <c r="H353" s="19">
        <f t="shared" si="12"/>
        <v>528</v>
      </c>
      <c r="I353" s="19">
        <f t="shared" si="12"/>
        <v>384</v>
      </c>
      <c r="J353" s="19">
        <f t="shared" si="12"/>
        <v>716</v>
      </c>
      <c r="K353" s="19">
        <f t="shared" si="12"/>
        <v>686</v>
      </c>
      <c r="L353" s="19">
        <f t="shared" si="12"/>
        <v>1190</v>
      </c>
      <c r="M353" s="19">
        <f t="shared" si="12"/>
        <v>715</v>
      </c>
      <c r="N353" s="19">
        <f t="shared" si="12"/>
        <v>211</v>
      </c>
      <c r="O353" s="19">
        <f t="shared" si="12"/>
        <v>9916</v>
      </c>
      <c r="P353" s="19">
        <f t="shared" si="12"/>
        <v>1100</v>
      </c>
      <c r="Q353" s="19">
        <f>Q3</f>
        <v>801</v>
      </c>
      <c r="R353" s="19">
        <f t="shared" ref="R353:W353" si="13">R3</f>
        <v>804</v>
      </c>
      <c r="S353" s="19">
        <f t="shared" si="13"/>
        <v>806</v>
      </c>
      <c r="T353" s="19">
        <f t="shared" si="13"/>
        <v>8765</v>
      </c>
      <c r="U353" s="19">
        <f t="shared" si="13"/>
        <v>8766</v>
      </c>
      <c r="V353" s="19">
        <f t="shared" si="13"/>
        <v>9418</v>
      </c>
      <c r="W353" s="19">
        <f t="shared" si="13"/>
        <v>9475</v>
      </c>
      <c r="X353" s="19">
        <f>X3</f>
        <v>9905</v>
      </c>
      <c r="Y353" s="19">
        <f>Y3</f>
        <v>9906</v>
      </c>
      <c r="Z353" s="19">
        <f>Z3</f>
        <v>7905</v>
      </c>
      <c r="AA353" s="19">
        <f t="shared" ref="AA353:AT353" si="14">AA3</f>
        <v>7906</v>
      </c>
      <c r="AB353" s="19">
        <f t="shared" si="14"/>
        <v>7907</v>
      </c>
      <c r="AC353" s="19">
        <f t="shared" si="14"/>
        <v>7908</v>
      </c>
      <c r="AD353" s="19">
        <f t="shared" si="14"/>
        <v>7909</v>
      </c>
      <c r="AE353" s="19">
        <f t="shared" si="14"/>
        <v>11310</v>
      </c>
      <c r="AF353" s="19">
        <f t="shared" si="14"/>
        <v>11311</v>
      </c>
      <c r="AG353" s="19">
        <f t="shared" si="14"/>
        <v>11312</v>
      </c>
      <c r="AH353" s="19">
        <f t="shared" si="14"/>
        <v>11335</v>
      </c>
      <c r="AI353" s="19">
        <f t="shared" si="14"/>
        <v>9529</v>
      </c>
      <c r="AJ353" s="19">
        <f t="shared" si="14"/>
        <v>961</v>
      </c>
      <c r="AK353" s="19">
        <f t="shared" si="14"/>
        <v>9528</v>
      </c>
      <c r="AL353" s="19">
        <f t="shared" si="14"/>
        <v>964</v>
      </c>
      <c r="AM353" s="19">
        <f t="shared" si="14"/>
        <v>968</v>
      </c>
      <c r="AN353" s="19">
        <f t="shared" si="14"/>
        <v>8629</v>
      </c>
      <c r="AO353" s="19">
        <f t="shared" si="14"/>
        <v>13264</v>
      </c>
      <c r="AP353" s="19">
        <f t="shared" si="14"/>
        <v>9917</v>
      </c>
      <c r="AQ353" s="19">
        <f t="shared" si="14"/>
        <v>8624</v>
      </c>
      <c r="AR353" s="19">
        <f t="shared" si="14"/>
        <v>13263</v>
      </c>
      <c r="AS353" s="19">
        <f t="shared" si="14"/>
        <v>13209</v>
      </c>
      <c r="AT353" s="19">
        <f t="shared" si="14"/>
        <v>13250</v>
      </c>
      <c r="AU353" s="19">
        <f>AU3</f>
        <v>14281</v>
      </c>
      <c r="AV353" s="19">
        <f>AV3</f>
        <v>14282</v>
      </c>
      <c r="AW353" s="19">
        <f t="shared" ref="AW353:BD353" si="15">AW3</f>
        <v>2049</v>
      </c>
      <c r="AX353" s="19">
        <f t="shared" si="15"/>
        <v>7975</v>
      </c>
      <c r="AY353" s="19">
        <f t="shared" si="15"/>
        <v>8004</v>
      </c>
      <c r="AZ353" s="19">
        <f t="shared" si="15"/>
        <v>1008</v>
      </c>
      <c r="BA353" s="19">
        <f t="shared" si="15"/>
        <v>9484</v>
      </c>
      <c r="BB353" s="19">
        <f t="shared" si="15"/>
        <v>682</v>
      </c>
      <c r="BC353" s="19">
        <f t="shared" si="15"/>
        <v>11352</v>
      </c>
      <c r="BD353" s="19">
        <f t="shared" si="15"/>
        <v>2058</v>
      </c>
      <c r="BE353" s="19">
        <f>BE3</f>
        <v>12088</v>
      </c>
      <c r="BF353" s="21"/>
    </row>
    <row r="354" spans="1:58" x14ac:dyDescent="0.2">
      <c r="A354" t="s">
        <v>608</v>
      </c>
      <c r="E354" s="20">
        <f t="shared" ref="E354:AR354" si="16">E343/E350</f>
        <v>0.11330335632596344</v>
      </c>
      <c r="F354" s="20">
        <f t="shared" si="16"/>
        <v>0.18254257182414421</v>
      </c>
      <c r="G354" s="20">
        <f t="shared" si="16"/>
        <v>3.9398758043939892E-2</v>
      </c>
      <c r="H354" s="20">
        <f t="shared" si="16"/>
        <v>1.5952531007101246E-2</v>
      </c>
      <c r="I354" s="20">
        <f t="shared" si="16"/>
        <v>0.10599475476705912</v>
      </c>
      <c r="J354" s="20">
        <f t="shared" si="16"/>
        <v>4.6668816457343693E-2</v>
      </c>
      <c r="K354" s="20">
        <f t="shared" si="16"/>
        <v>0.17421792694063273</v>
      </c>
      <c r="L354" s="20">
        <f t="shared" si="16"/>
        <v>0.10833016718327222</v>
      </c>
      <c r="M354" s="20">
        <f t="shared" si="16"/>
        <v>0.19215835437751708</v>
      </c>
      <c r="N354" s="20">
        <f t="shared" si="16"/>
        <v>7.125036053770617E-2</v>
      </c>
      <c r="O354" s="20">
        <f t="shared" si="16"/>
        <v>0.20622609549855495</v>
      </c>
      <c r="P354" s="20">
        <f t="shared" si="16"/>
        <v>7.2408326830763356E-2</v>
      </c>
      <c r="Q354" s="20">
        <f>Q343/Q350</f>
        <v>2.8502292764683239E-2</v>
      </c>
      <c r="R354" s="20">
        <f t="shared" si="16"/>
        <v>0.8129783572587489</v>
      </c>
      <c r="S354" s="20">
        <f t="shared" si="16"/>
        <v>6.9859102640139864E-2</v>
      </c>
      <c r="T354" s="20">
        <f t="shared" si="16"/>
        <v>0.41957668029808909</v>
      </c>
      <c r="U354" s="20">
        <f t="shared" si="16"/>
        <v>9.2409374041176134E-2</v>
      </c>
      <c r="V354" s="20">
        <f t="shared" si="16"/>
        <v>0.18528253956024882</v>
      </c>
      <c r="W354" s="20">
        <f t="shared" si="16"/>
        <v>2.3421962973275205E-2</v>
      </c>
      <c r="X354" s="20">
        <f t="shared" si="16"/>
        <v>0.59555998944816602</v>
      </c>
      <c r="Y354" s="20">
        <f t="shared" si="16"/>
        <v>0.18488040599359493</v>
      </c>
      <c r="Z354" s="20">
        <f t="shared" si="16"/>
        <v>4.6148286880171231E-2</v>
      </c>
      <c r="AA354" s="20">
        <f t="shared" si="16"/>
        <v>9.4302690015272764E-2</v>
      </c>
      <c r="AB354" s="20">
        <f t="shared" si="16"/>
        <v>0.82673652880210624</v>
      </c>
      <c r="AC354" s="20">
        <f t="shared" si="16"/>
        <v>0.19076736116277132</v>
      </c>
      <c r="AD354" s="20">
        <f t="shared" si="16"/>
        <v>0.56156834613255779</v>
      </c>
      <c r="AE354" s="20">
        <f t="shared" si="16"/>
        <v>7.8197298509251112E-2</v>
      </c>
      <c r="AF354" s="20">
        <f t="shared" si="16"/>
        <v>0.83523855212469655</v>
      </c>
      <c r="AG354" s="20">
        <f t="shared" si="16"/>
        <v>0.20008725219422677</v>
      </c>
      <c r="AH354" s="20">
        <f t="shared" si="16"/>
        <v>0.26812674083554322</v>
      </c>
      <c r="AI354" s="20">
        <f t="shared" si="16"/>
        <v>0.18299955196458229</v>
      </c>
      <c r="AJ354" s="20">
        <f t="shared" si="16"/>
        <v>0.3851458219399147</v>
      </c>
      <c r="AK354" s="20">
        <f t="shared" si="16"/>
        <v>0.29963858992887582</v>
      </c>
      <c r="AL354" s="20">
        <f t="shared" si="16"/>
        <v>0.17331178848587675</v>
      </c>
      <c r="AM354" s="20">
        <f t="shared" si="16"/>
        <v>0.37575716506237877</v>
      </c>
      <c r="AN354" s="20">
        <f t="shared" si="16"/>
        <v>0.55709056969203552</v>
      </c>
      <c r="AO354" s="20">
        <f t="shared" si="16"/>
        <v>0.78942527227402604</v>
      </c>
      <c r="AP354" s="20">
        <f t="shared" si="16"/>
        <v>0.48413717377986754</v>
      </c>
      <c r="AQ354" s="20">
        <f t="shared" si="16"/>
        <v>0.36309196062792998</v>
      </c>
      <c r="AR354" s="20">
        <f t="shared" si="16"/>
        <v>0.78886816920171254</v>
      </c>
      <c r="AS354" s="20">
        <f>AS343/AS350</f>
        <v>0.22300011502711806</v>
      </c>
      <c r="AT354" s="20">
        <f>AT343/AT350</f>
        <v>0.78912328489741823</v>
      </c>
      <c r="AU354" s="20">
        <f>AU343/AU350</f>
        <v>0.23160757545746805</v>
      </c>
      <c r="AV354" s="20">
        <f>AV343/AV350</f>
        <v>0.4759132655130463</v>
      </c>
      <c r="AW354" s="20">
        <f>AW343/AW350</f>
        <v>0.35112151922922802</v>
      </c>
      <c r="AX354" s="20">
        <f t="shared" ref="AX354:BD354" si="17">AX343/AX350</f>
        <v>0.4197541890992319</v>
      </c>
      <c r="AY354" s="20">
        <f t="shared" si="17"/>
        <v>0.35246010972959391</v>
      </c>
      <c r="AZ354" s="20">
        <f t="shared" si="17"/>
        <v>0.18236535652546801</v>
      </c>
      <c r="BA354" s="20">
        <f t="shared" si="17"/>
        <v>0</v>
      </c>
      <c r="BB354" s="20">
        <f t="shared" si="17"/>
        <v>0.22231062830135848</v>
      </c>
      <c r="BC354" s="20">
        <f t="shared" si="17"/>
        <v>0.2074389819280644</v>
      </c>
      <c r="BD354" s="20">
        <f t="shared" si="17"/>
        <v>0.28260616250610721</v>
      </c>
      <c r="BE354" s="20">
        <f>BE343/BE350</f>
        <v>0.36347857844351461</v>
      </c>
      <c r="BF354" s="21"/>
    </row>
    <row r="355" spans="1:58" x14ac:dyDescent="0.2">
      <c r="A355" t="s">
        <v>609</v>
      </c>
      <c r="E355" s="20">
        <f t="shared" ref="E355:AR355" si="18">E344/E350</f>
        <v>0.25554898396651787</v>
      </c>
      <c r="F355" s="20">
        <f t="shared" si="18"/>
        <v>0.19282185567122853</v>
      </c>
      <c r="G355" s="20">
        <f t="shared" si="18"/>
        <v>0.34681840765505678</v>
      </c>
      <c r="H355" s="20">
        <f t="shared" si="18"/>
        <v>5.4774816167882227E-4</v>
      </c>
      <c r="I355" s="20">
        <f t="shared" si="18"/>
        <v>0.36395337661655286</v>
      </c>
      <c r="J355" s="20">
        <f t="shared" si="18"/>
        <v>0.34906784731232998</v>
      </c>
      <c r="K355" s="20">
        <f t="shared" si="18"/>
        <v>0.17926907097804259</v>
      </c>
      <c r="L355" s="20">
        <f t="shared" si="18"/>
        <v>0.18925937181411837</v>
      </c>
      <c r="M355" s="20">
        <f t="shared" si="18"/>
        <v>0.6478505911255571</v>
      </c>
      <c r="N355" s="20">
        <f t="shared" si="18"/>
        <v>0.25108918361772614</v>
      </c>
      <c r="O355" s="20">
        <f t="shared" si="18"/>
        <v>8.3131490992399984E-2</v>
      </c>
      <c r="P355" s="20">
        <f t="shared" si="18"/>
        <v>0.2420617678474678</v>
      </c>
      <c r="Q355" s="20">
        <f>Q344/Q350</f>
        <v>0.77457252743589211</v>
      </c>
      <c r="R355" s="20">
        <f t="shared" si="18"/>
        <v>0</v>
      </c>
      <c r="S355" s="20">
        <f t="shared" si="18"/>
        <v>0.74853206652989124</v>
      </c>
      <c r="T355" s="20">
        <f t="shared" si="18"/>
        <v>0.14432462076654545</v>
      </c>
      <c r="U355" s="20">
        <f t="shared" si="18"/>
        <v>0.21035524090424629</v>
      </c>
      <c r="V355" s="20">
        <f t="shared" si="18"/>
        <v>0.21426540661696419</v>
      </c>
      <c r="W355" s="20">
        <f t="shared" si="18"/>
        <v>0.97711782279206183</v>
      </c>
      <c r="X355" s="20">
        <f t="shared" si="18"/>
        <v>4.4373536012474922E-2</v>
      </c>
      <c r="Y355" s="20">
        <f t="shared" si="18"/>
        <v>0.6636346656641946</v>
      </c>
      <c r="Z355" s="20">
        <f t="shared" si="18"/>
        <v>0.31975429424653523</v>
      </c>
      <c r="AA355" s="20">
        <f t="shared" si="18"/>
        <v>0.23024371108971267</v>
      </c>
      <c r="AB355" s="20">
        <f t="shared" si="18"/>
        <v>0</v>
      </c>
      <c r="AC355" s="20">
        <f t="shared" si="18"/>
        <v>0.16711380005107404</v>
      </c>
      <c r="AD355" s="20">
        <f t="shared" si="18"/>
        <v>0</v>
      </c>
      <c r="AE355" s="20">
        <f t="shared" si="18"/>
        <v>0.33473539712664363</v>
      </c>
      <c r="AF355" s="20">
        <f t="shared" si="18"/>
        <v>7.3725062214856872E-5</v>
      </c>
      <c r="AG355" s="20">
        <f t="shared" si="18"/>
        <v>0.16318933301010127</v>
      </c>
      <c r="AH355" s="20">
        <f t="shared" si="18"/>
        <v>0.13812755937932808</v>
      </c>
      <c r="AI355" s="20">
        <f t="shared" si="18"/>
        <v>0.16949608858676538</v>
      </c>
      <c r="AJ355" s="20">
        <f t="shared" si="18"/>
        <v>5.4097517535073136E-2</v>
      </c>
      <c r="AK355" s="20">
        <f t="shared" si="18"/>
        <v>9.2324620125902521E-2</v>
      </c>
      <c r="AL355" s="20">
        <f t="shared" si="18"/>
        <v>0.14564197780028409</v>
      </c>
      <c r="AM355" s="20">
        <f t="shared" si="18"/>
        <v>5.3182364963516228E-2</v>
      </c>
      <c r="AN355" s="20">
        <f t="shared" si="18"/>
        <v>0</v>
      </c>
      <c r="AO355" s="20">
        <f t="shared" si="18"/>
        <v>0</v>
      </c>
      <c r="AP355" s="20">
        <f t="shared" si="18"/>
        <v>0.11703021851231435</v>
      </c>
      <c r="AQ355" s="20">
        <f t="shared" si="18"/>
        <v>0.19165887491333505</v>
      </c>
      <c r="AR355" s="20">
        <f t="shared" si="18"/>
        <v>0</v>
      </c>
      <c r="AS355" s="20">
        <f>AS344/AS350</f>
        <v>0.62980003759241476</v>
      </c>
      <c r="AT355" s="20">
        <f>AT344/AT350</f>
        <v>0</v>
      </c>
      <c r="AU355" s="20">
        <f>AU344/AU350</f>
        <v>0.23407470327426749</v>
      </c>
      <c r="AV355" s="20">
        <f>AV344/AV350</f>
        <v>0.16403387180035406</v>
      </c>
      <c r="AW355" s="20">
        <f>AW344/AW350</f>
        <v>1.6574786082462257E-2</v>
      </c>
      <c r="AX355" s="20">
        <f t="shared" ref="AX355:BD355" si="19">AX344/AX350</f>
        <v>5.4773343131900278E-2</v>
      </c>
      <c r="AY355" s="20">
        <f t="shared" si="19"/>
        <v>3.2631297496459634E-2</v>
      </c>
      <c r="AZ355" s="20">
        <f t="shared" si="19"/>
        <v>0.36105289253983364</v>
      </c>
      <c r="BA355" s="20">
        <f t="shared" si="19"/>
        <v>0</v>
      </c>
      <c r="BB355" s="20">
        <f t="shared" si="19"/>
        <v>0.36915837801093443</v>
      </c>
      <c r="BC355" s="20">
        <f t="shared" si="19"/>
        <v>5.9062714864745024E-3</v>
      </c>
      <c r="BD355" s="20">
        <f t="shared" si="19"/>
        <v>1.0670108886386104E-2</v>
      </c>
      <c r="BE355" s="20">
        <f>BE344/BE350</f>
        <v>0.14651684939176796</v>
      </c>
      <c r="BF355" s="21"/>
    </row>
    <row r="356" spans="1:58" x14ac:dyDescent="0.2">
      <c r="A356" t="s">
        <v>610</v>
      </c>
      <c r="E356" s="20">
        <f t="shared" ref="E356:AR356" si="20">E345/E350</f>
        <v>0.25990480417420175</v>
      </c>
      <c r="F356" s="20">
        <f t="shared" si="20"/>
        <v>0.27110744973488976</v>
      </c>
      <c r="G356" s="20">
        <f t="shared" si="20"/>
        <v>0.47031764480891169</v>
      </c>
      <c r="H356" s="20">
        <f t="shared" si="20"/>
        <v>8.7981872499330524E-2</v>
      </c>
      <c r="I356" s="20">
        <f t="shared" si="20"/>
        <v>0.30473119553830236</v>
      </c>
      <c r="J356" s="20">
        <f t="shared" si="20"/>
        <v>0.45592728094703361</v>
      </c>
      <c r="K356" s="20">
        <f t="shared" si="20"/>
        <v>9.5180709591797225E-2</v>
      </c>
      <c r="L356" s="20">
        <f t="shared" si="20"/>
        <v>0.45059765567636284</v>
      </c>
      <c r="M356" s="20">
        <f t="shared" si="20"/>
        <v>0.13941122210194368</v>
      </c>
      <c r="N356" s="20">
        <f t="shared" si="20"/>
        <v>0.36867372848504903</v>
      </c>
      <c r="O356" s="20">
        <f t="shared" si="20"/>
        <v>0.13585455790054168</v>
      </c>
      <c r="P356" s="20">
        <f t="shared" si="20"/>
        <v>0.35426013525964195</v>
      </c>
      <c r="Q356" s="20">
        <f>Q345/Q350</f>
        <v>0.19733572560774176</v>
      </c>
      <c r="R356" s="20">
        <f t="shared" si="20"/>
        <v>0</v>
      </c>
      <c r="S356" s="20">
        <f t="shared" si="20"/>
        <v>7.1437879126071517E-3</v>
      </c>
      <c r="T356" s="20">
        <f t="shared" si="20"/>
        <v>0.36801507819427787</v>
      </c>
      <c r="U356" s="20">
        <f t="shared" si="20"/>
        <v>0.63119172252968936</v>
      </c>
      <c r="V356" s="20">
        <f t="shared" si="20"/>
        <v>0.36962450137281538</v>
      </c>
      <c r="W356" s="20">
        <f t="shared" si="20"/>
        <v>0</v>
      </c>
      <c r="X356" s="20">
        <f t="shared" si="20"/>
        <v>0.25452751356633935</v>
      </c>
      <c r="Y356" s="20">
        <f t="shared" si="20"/>
        <v>0.14280780081640243</v>
      </c>
      <c r="Z356" s="20">
        <f t="shared" si="20"/>
        <v>0.5072311360231605</v>
      </c>
      <c r="AA356" s="20">
        <f t="shared" si="20"/>
        <v>0.45966795783036873</v>
      </c>
      <c r="AB356" s="20">
        <f t="shared" si="20"/>
        <v>0</v>
      </c>
      <c r="AC356" s="20">
        <f t="shared" si="20"/>
        <v>0.18272678783926741</v>
      </c>
      <c r="AD356" s="20">
        <f t="shared" si="20"/>
        <v>0.18038307634880296</v>
      </c>
      <c r="AE356" s="20">
        <f t="shared" si="20"/>
        <v>0.47041312897860565</v>
      </c>
      <c r="AF356" s="20">
        <f t="shared" si="20"/>
        <v>0</v>
      </c>
      <c r="AG356" s="20">
        <f t="shared" si="20"/>
        <v>0.30345672889235137</v>
      </c>
      <c r="AH356" s="20">
        <f t="shared" si="20"/>
        <v>0.29454978247420716</v>
      </c>
      <c r="AI356" s="20">
        <f t="shared" si="20"/>
        <v>0.12804223457823349</v>
      </c>
      <c r="AJ356" s="20">
        <f t="shared" si="20"/>
        <v>1.5046166086893671E-2</v>
      </c>
      <c r="AK356" s="20">
        <f t="shared" si="20"/>
        <v>0.27880291747316999</v>
      </c>
      <c r="AL356" s="20">
        <f t="shared" si="20"/>
        <v>0.17350172377820808</v>
      </c>
      <c r="AM356" s="20">
        <f t="shared" si="20"/>
        <v>1.5167456044857858E-2</v>
      </c>
      <c r="AN356" s="20">
        <f t="shared" si="20"/>
        <v>0.16479134850380048</v>
      </c>
      <c r="AO356" s="20">
        <f t="shared" si="20"/>
        <v>0</v>
      </c>
      <c r="AP356" s="20">
        <f t="shared" si="20"/>
        <v>0.31506537997965361</v>
      </c>
      <c r="AQ356" s="20">
        <f t="shared" si="20"/>
        <v>0.39779013668575275</v>
      </c>
      <c r="AR356" s="20">
        <f t="shared" si="20"/>
        <v>0</v>
      </c>
      <c r="AS356" s="20">
        <f>AS345/AS350</f>
        <v>0.13552690752510008</v>
      </c>
      <c r="AT356" s="20">
        <f>AT345/AT350</f>
        <v>0</v>
      </c>
      <c r="AU356" s="20">
        <f>AU345/AU350</f>
        <v>0.3062219716707551</v>
      </c>
      <c r="AV356" s="20">
        <f>AV345/AV350</f>
        <v>0.28587340511417669</v>
      </c>
      <c r="AW356" s="20">
        <f>AW345/AW350</f>
        <v>0.36304655140473269</v>
      </c>
      <c r="AX356" s="20">
        <f t="shared" ref="AX356:BD356" si="21">AX345/AX350</f>
        <v>1.3902037001686317E-2</v>
      </c>
      <c r="AY356" s="20">
        <f t="shared" si="21"/>
        <v>0.26115734858394368</v>
      </c>
      <c r="AZ356" s="20">
        <f t="shared" si="21"/>
        <v>0.23359386516221536</v>
      </c>
      <c r="BA356" s="20">
        <f t="shared" si="21"/>
        <v>0</v>
      </c>
      <c r="BB356" s="20">
        <f t="shared" si="21"/>
        <v>0.30740986240469237</v>
      </c>
      <c r="BC356" s="20">
        <f t="shared" si="21"/>
        <v>0.38795885546970293</v>
      </c>
      <c r="BD356" s="20">
        <f t="shared" si="21"/>
        <v>0.35116139361728971</v>
      </c>
      <c r="BE356" s="20">
        <f>BE345/BE350</f>
        <v>0.36818812176284987</v>
      </c>
      <c r="BF356" s="21"/>
    </row>
    <row r="357" spans="1:58" x14ac:dyDescent="0.2">
      <c r="A357" t="s">
        <v>611</v>
      </c>
      <c r="E357" s="20">
        <f t="shared" ref="E357:AR357" si="22">E346/E350</f>
        <v>0.12954823073682015</v>
      </c>
      <c r="F357" s="20">
        <f t="shared" si="22"/>
        <v>0.24609562202281707</v>
      </c>
      <c r="G357" s="20">
        <f t="shared" si="22"/>
        <v>-2.4242105083686241E-3</v>
      </c>
      <c r="H357" s="20">
        <f t="shared" si="22"/>
        <v>9.4721186571348013E-3</v>
      </c>
      <c r="I357" s="20">
        <f t="shared" si="22"/>
        <v>8.3222492961359959E-2</v>
      </c>
      <c r="J357" s="20">
        <f t="shared" si="22"/>
        <v>-2.4656184260305131E-3</v>
      </c>
      <c r="K357" s="20">
        <f t="shared" si="22"/>
        <v>0.2340377827918648</v>
      </c>
      <c r="L357" s="20">
        <f t="shared" si="22"/>
        <v>9.0470934347998369E-2</v>
      </c>
      <c r="M357" s="20">
        <f t="shared" si="22"/>
        <v>0</v>
      </c>
      <c r="N357" s="20">
        <f t="shared" si="22"/>
        <v>4.2796425961546924E-2</v>
      </c>
      <c r="O357" s="20">
        <f t="shared" si="22"/>
        <v>0.30344413154854227</v>
      </c>
      <c r="P357" s="20">
        <f t="shared" si="22"/>
        <v>5.6181594291139926E-2</v>
      </c>
      <c r="Q357" s="20">
        <f>Q346/Q350</f>
        <v>0</v>
      </c>
      <c r="R357" s="20">
        <f t="shared" si="22"/>
        <v>0.20165119030267878</v>
      </c>
      <c r="S357" s="20">
        <f t="shared" si="22"/>
        <v>2.4632923968697165E-3</v>
      </c>
      <c r="T357" s="20">
        <f t="shared" si="22"/>
        <v>7.3916830508682071E-2</v>
      </c>
      <c r="U357" s="20">
        <f t="shared" si="22"/>
        <v>4.8079785954744996E-3</v>
      </c>
      <c r="V357" s="20">
        <f t="shared" si="22"/>
        <v>0.2454621154910443</v>
      </c>
      <c r="W357" s="20">
        <f t="shared" si="22"/>
        <v>0</v>
      </c>
      <c r="X357" s="20">
        <f t="shared" si="22"/>
        <v>0.11711671520753245</v>
      </c>
      <c r="Y357" s="20">
        <f t="shared" si="22"/>
        <v>0</v>
      </c>
      <c r="Z357" s="20">
        <f t="shared" si="22"/>
        <v>-2.2843436302378032E-3</v>
      </c>
      <c r="AA357" s="20">
        <f t="shared" si="22"/>
        <v>8.4621327903498064E-2</v>
      </c>
      <c r="AB357" s="20">
        <f t="shared" si="22"/>
        <v>0.19201684220589219</v>
      </c>
      <c r="AC357" s="20">
        <f t="shared" si="22"/>
        <v>0.24206943355245961</v>
      </c>
      <c r="AD357" s="20">
        <f t="shared" si="22"/>
        <v>0.24749758779841802</v>
      </c>
      <c r="AE357" s="20">
        <f t="shared" si="22"/>
        <v>-2.4689532964504222E-3</v>
      </c>
      <c r="AF357" s="20">
        <f t="shared" si="22"/>
        <v>0.18206377100292689</v>
      </c>
      <c r="AG357" s="20">
        <f t="shared" si="22"/>
        <v>0.24693922876361155</v>
      </c>
      <c r="AH357" s="20">
        <f t="shared" si="22"/>
        <v>0.30072670625405273</v>
      </c>
      <c r="AI357" s="20">
        <f t="shared" si="22"/>
        <v>0.23707905408616733</v>
      </c>
      <c r="AJ357" s="20">
        <f t="shared" si="22"/>
        <v>0.5810014445766406</v>
      </c>
      <c r="AK357" s="20">
        <f t="shared" si="22"/>
        <v>0.3294993937703497</v>
      </c>
      <c r="AL357" s="20">
        <f t="shared" si="22"/>
        <v>0.24406649654443935</v>
      </c>
      <c r="AM357" s="20">
        <f t="shared" si="22"/>
        <v>0.57918848246518839</v>
      </c>
      <c r="AN357" s="20">
        <f t="shared" si="22"/>
        <v>0.26825333382590344</v>
      </c>
      <c r="AO357" s="20">
        <f t="shared" si="22"/>
        <v>0.19461805774507729</v>
      </c>
      <c r="AP357" s="20">
        <f t="shared" si="22"/>
        <v>9.0611320540301091E-2</v>
      </c>
      <c r="AQ357" s="20">
        <f t="shared" si="22"/>
        <v>5.1232941765196431E-2</v>
      </c>
      <c r="AR357" s="20">
        <f t="shared" si="22"/>
        <v>0.19499945015339917</v>
      </c>
      <c r="AS357" s="20">
        <f>AS346/AS350</f>
        <v>0</v>
      </c>
      <c r="AT357" s="20">
        <f>AT346/AT350</f>
        <v>0.19460527239152531</v>
      </c>
      <c r="AU357" s="20">
        <f>AU346/AU350</f>
        <v>0.25722578580896799</v>
      </c>
      <c r="AV357" s="20">
        <f>AV346/AV350</f>
        <v>8.0735572526721408E-2</v>
      </c>
      <c r="AW357" s="20">
        <f>AW346/AW350</f>
        <v>0.26972915256927105</v>
      </c>
      <c r="AX357" s="20">
        <f t="shared" ref="AX357:BD357" si="23">AX346/AX350</f>
        <v>0.56475058688729662</v>
      </c>
      <c r="AY357" s="20">
        <f t="shared" si="23"/>
        <v>0.35449234069338975</v>
      </c>
      <c r="AZ357" s="20">
        <f t="shared" si="23"/>
        <v>0.18465084491376654</v>
      </c>
      <c r="BA357" s="20">
        <f t="shared" si="23"/>
        <v>0</v>
      </c>
      <c r="BB357" s="20">
        <f t="shared" si="23"/>
        <v>9.6354954743805482E-2</v>
      </c>
      <c r="BC357" s="20">
        <f t="shared" si="23"/>
        <v>0.39870920370645024</v>
      </c>
      <c r="BD357" s="20">
        <f t="shared" si="23"/>
        <v>0.35632128250592371</v>
      </c>
      <c r="BE357" s="20">
        <f>BE346/BE350</f>
        <v>0.17629182286435149</v>
      </c>
      <c r="BF357" s="21"/>
    </row>
    <row r="358" spans="1:58" x14ac:dyDescent="0.2">
      <c r="A358" t="s">
        <v>612</v>
      </c>
      <c r="E358" s="20">
        <f t="shared" ref="E358:AR358" si="24">E347/E350</f>
        <v>7.1898785415539096E-2</v>
      </c>
      <c r="F358" s="20">
        <f t="shared" si="24"/>
        <v>4.4335765458587653E-2</v>
      </c>
      <c r="G358" s="20">
        <f t="shared" si="24"/>
        <v>8.7367009657860512E-2</v>
      </c>
      <c r="H358" s="20">
        <f t="shared" si="24"/>
        <v>0.87611498462408577</v>
      </c>
      <c r="I358" s="20">
        <f t="shared" si="24"/>
        <v>8.2220150303932732E-2</v>
      </c>
      <c r="J358" s="20">
        <f t="shared" si="24"/>
        <v>9.584138036122529E-2</v>
      </c>
      <c r="K358" s="20">
        <f t="shared" si="24"/>
        <v>0.10517455983809147</v>
      </c>
      <c r="L358" s="20">
        <f t="shared" si="24"/>
        <v>7.0224111413208765E-2</v>
      </c>
      <c r="M358" s="20">
        <f t="shared" si="24"/>
        <v>2.1098373953574216E-2</v>
      </c>
      <c r="N358" s="20">
        <f t="shared" si="24"/>
        <v>8.2708556646530609E-2</v>
      </c>
      <c r="O358" s="20">
        <f t="shared" si="24"/>
        <v>6.3227627118653582E-2</v>
      </c>
      <c r="P358" s="20">
        <f t="shared" si="24"/>
        <v>9.7657768074190868E-2</v>
      </c>
      <c r="Q358" s="20">
        <f>Q347/Q350</f>
        <v>0</v>
      </c>
      <c r="R358" s="20">
        <f t="shared" si="24"/>
        <v>0</v>
      </c>
      <c r="S358" s="20">
        <f t="shared" si="24"/>
        <v>0.10774279655375596</v>
      </c>
      <c r="T358" s="20">
        <f t="shared" si="24"/>
        <v>0</v>
      </c>
      <c r="U358" s="20">
        <f t="shared" si="24"/>
        <v>4.5575232996326979E-3</v>
      </c>
      <c r="V358" s="20">
        <f t="shared" si="24"/>
        <v>-1.6063898253019886E-2</v>
      </c>
      <c r="W358" s="20">
        <f t="shared" si="24"/>
        <v>0</v>
      </c>
      <c r="X358" s="20">
        <f t="shared" si="24"/>
        <v>1.1117138614216746E-4</v>
      </c>
      <c r="Y358" s="20">
        <f t="shared" si="24"/>
        <v>9.1341141686523165E-3</v>
      </c>
      <c r="Z358" s="20">
        <f t="shared" si="24"/>
        <v>7.9193822635181113E-2</v>
      </c>
      <c r="AA358" s="20">
        <f t="shared" si="24"/>
        <v>8.1364693679786826E-2</v>
      </c>
      <c r="AB358" s="20">
        <f t="shared" si="24"/>
        <v>0</v>
      </c>
      <c r="AC358" s="20">
        <f t="shared" si="24"/>
        <v>0.11145708168804784</v>
      </c>
      <c r="AD358" s="20">
        <f t="shared" si="24"/>
        <v>0</v>
      </c>
      <c r="AE358" s="20">
        <f t="shared" si="24"/>
        <v>6.8267556365499901E-2</v>
      </c>
      <c r="AF358" s="20">
        <f t="shared" si="24"/>
        <v>-5.812069737845083E-5</v>
      </c>
      <c r="AG358" s="20">
        <f t="shared" si="24"/>
        <v>5.4260837327624087E-2</v>
      </c>
      <c r="AH358" s="20">
        <f t="shared" si="24"/>
        <v>0</v>
      </c>
      <c r="AI358" s="20">
        <f t="shared" si="24"/>
        <v>0.11715967510288973</v>
      </c>
      <c r="AJ358" s="20">
        <f t="shared" si="24"/>
        <v>-2.4749647874861842E-2</v>
      </c>
      <c r="AK358" s="20">
        <f t="shared" si="24"/>
        <v>3.235045492647188E-3</v>
      </c>
      <c r="AL358" s="20">
        <f t="shared" si="24"/>
        <v>9.5438313421561949E-2</v>
      </c>
      <c r="AM358" s="20">
        <f t="shared" si="24"/>
        <v>-1.1762924919285208E-2</v>
      </c>
      <c r="AN358" s="20">
        <f t="shared" si="24"/>
        <v>2.960459953920607E-4</v>
      </c>
      <c r="AO358" s="20">
        <f t="shared" si="24"/>
        <v>1.7640980144965408E-5</v>
      </c>
      <c r="AP358" s="20">
        <f t="shared" si="24"/>
        <v>1.2452471837229842E-3</v>
      </c>
      <c r="AQ358" s="20">
        <f t="shared" si="24"/>
        <v>0</v>
      </c>
      <c r="AR358" s="20">
        <f t="shared" si="24"/>
        <v>1.9289049811826E-4</v>
      </c>
      <c r="AS358" s="20">
        <f>AS347/AS350</f>
        <v>1.2382021956396748E-2</v>
      </c>
      <c r="AT358" s="20">
        <f>AT347/AT350</f>
        <v>4.8378110077869878E-4</v>
      </c>
      <c r="AU358" s="20">
        <f>AU347/AU350</f>
        <v>-2.0532608088410811E-2</v>
      </c>
      <c r="AV358" s="20">
        <f>AV347/AV350</f>
        <v>0</v>
      </c>
      <c r="AW358" s="20">
        <f>AW347/AW350</f>
        <v>0</v>
      </c>
      <c r="AX358" s="20">
        <f t="shared" ref="AX358:BD358" si="25">AX347/AX350</f>
        <v>-3.8256209999340506E-2</v>
      </c>
      <c r="AY358" s="20">
        <f t="shared" si="25"/>
        <v>0</v>
      </c>
      <c r="AZ358" s="20">
        <f t="shared" si="25"/>
        <v>-1.3016429251035204E-2</v>
      </c>
      <c r="BA358" s="20">
        <f t="shared" si="25"/>
        <v>0</v>
      </c>
      <c r="BB358" s="20">
        <f t="shared" si="25"/>
        <v>-4.237146016173564E-3</v>
      </c>
      <c r="BC358" s="20">
        <f t="shared" si="25"/>
        <v>0</v>
      </c>
      <c r="BD358" s="20">
        <f t="shared" si="25"/>
        <v>0</v>
      </c>
      <c r="BE358" s="20">
        <f>BE347/BE350</f>
        <v>-2.3121863468917356E-2</v>
      </c>
      <c r="BF358" s="21"/>
    </row>
    <row r="359" spans="1:58" x14ac:dyDescent="0.2">
      <c r="A359" t="s">
        <v>613</v>
      </c>
      <c r="E359" s="20">
        <f t="shared" ref="E359:P359" si="26">E348/E350</f>
        <v>0.16979583938095766</v>
      </c>
      <c r="F359" s="20">
        <f t="shared" si="26"/>
        <v>6.3096735288332817E-2</v>
      </c>
      <c r="G359" s="20">
        <f t="shared" si="26"/>
        <v>5.8522390342599664E-2</v>
      </c>
      <c r="H359" s="20">
        <f t="shared" si="26"/>
        <v>9.9307450506688818E-3</v>
      </c>
      <c r="I359" s="20">
        <f t="shared" si="26"/>
        <v>5.9878029812792902E-2</v>
      </c>
      <c r="J359" s="20">
        <f t="shared" si="26"/>
        <v>5.4960293348098002E-2</v>
      </c>
      <c r="K359" s="20">
        <f t="shared" si="26"/>
        <v>0.21211994985957122</v>
      </c>
      <c r="L359" s="20">
        <f t="shared" si="26"/>
        <v>9.1117759565039522E-2</v>
      </c>
      <c r="M359" s="20">
        <f t="shared" si="26"/>
        <v>-5.1854155859217021E-4</v>
      </c>
      <c r="N359" s="20">
        <f t="shared" si="26"/>
        <v>0.18348174475144105</v>
      </c>
      <c r="O359" s="20">
        <f t="shared" si="26"/>
        <v>0.20811609694130762</v>
      </c>
      <c r="P359" s="20">
        <f t="shared" si="26"/>
        <v>0.17743040769679605</v>
      </c>
      <c r="Q359" s="20">
        <f>Q348/Q350</f>
        <v>-4.105458083169925E-4</v>
      </c>
      <c r="R359" s="20">
        <f t="shared" ref="R359:AR359" si="27">R348/R350</f>
        <v>-1.4629547561427642E-2</v>
      </c>
      <c r="S359" s="20">
        <f t="shared" si="27"/>
        <v>6.4258953966735893E-2</v>
      </c>
      <c r="T359" s="20">
        <f t="shared" si="27"/>
        <v>-5.833209767594715E-3</v>
      </c>
      <c r="U359" s="20">
        <f t="shared" si="27"/>
        <v>5.6678160629781052E-2</v>
      </c>
      <c r="V359" s="20">
        <f t="shared" si="27"/>
        <v>1.4293352119471292E-3</v>
      </c>
      <c r="W359" s="20">
        <f t="shared" si="27"/>
        <v>-5.397857653371117E-4</v>
      </c>
      <c r="X359" s="20">
        <f t="shared" si="27"/>
        <v>-1.1688925620654756E-2</v>
      </c>
      <c r="Y359" s="20">
        <f t="shared" si="27"/>
        <v>-4.5698664284420033E-4</v>
      </c>
      <c r="Z359" s="20">
        <f t="shared" si="27"/>
        <v>4.9956803845189662E-2</v>
      </c>
      <c r="AA359" s="20">
        <f t="shared" si="27"/>
        <v>4.9799619481360795E-2</v>
      </c>
      <c r="AB359" s="20">
        <f t="shared" si="27"/>
        <v>-1.8753371007998444E-2</v>
      </c>
      <c r="AC359" s="20">
        <f t="shared" si="27"/>
        <v>0.1058655357063797</v>
      </c>
      <c r="AD359" s="20">
        <f t="shared" si="27"/>
        <v>1.0550989720221131E-2</v>
      </c>
      <c r="AE359" s="20">
        <f t="shared" si="27"/>
        <v>5.0855572316450388E-2</v>
      </c>
      <c r="AF359" s="20">
        <f t="shared" si="27"/>
        <v>-1.7317927492459643E-2</v>
      </c>
      <c r="AG359" s="20">
        <f t="shared" si="27"/>
        <v>3.2066619812084945E-2</v>
      </c>
      <c r="AH359" s="20">
        <f t="shared" si="27"/>
        <v>-1.5307889431311038E-3</v>
      </c>
      <c r="AI359" s="20">
        <f t="shared" si="27"/>
        <v>0.16522339568136174</v>
      </c>
      <c r="AJ359" s="20">
        <f t="shared" si="27"/>
        <v>-1.0541302263660415E-2</v>
      </c>
      <c r="AK359" s="20">
        <f t="shared" si="27"/>
        <v>-3.5005667909451593E-3</v>
      </c>
      <c r="AL359" s="20">
        <f t="shared" si="27"/>
        <v>0.16803969996962984</v>
      </c>
      <c r="AM359" s="20">
        <f t="shared" si="27"/>
        <v>-1.153254361665596E-2</v>
      </c>
      <c r="AN359" s="20">
        <f t="shared" si="27"/>
        <v>9.5687019828683863E-3</v>
      </c>
      <c r="AO359" s="20">
        <f t="shared" si="27"/>
        <v>1.5939029000751774E-2</v>
      </c>
      <c r="AP359" s="20">
        <f t="shared" si="27"/>
        <v>-8.0893399958598799E-3</v>
      </c>
      <c r="AQ359" s="20">
        <f t="shared" si="27"/>
        <v>-3.7739139922143409E-3</v>
      </c>
      <c r="AR359" s="20">
        <f t="shared" si="27"/>
        <v>1.5939490146770086E-2</v>
      </c>
      <c r="AS359" s="20">
        <f>AS348/AS350</f>
        <v>-7.090821010296961E-4</v>
      </c>
      <c r="AT359" s="20">
        <f>AT348/AT350</f>
        <v>1.5787661610277823E-2</v>
      </c>
      <c r="AU359" s="20">
        <f>AU348/AU350</f>
        <v>-8.5974281230478591E-3</v>
      </c>
      <c r="AV359" s="20">
        <f>AV348/AV350</f>
        <v>-6.5561149542984008E-3</v>
      </c>
      <c r="AW359" s="20">
        <f>AW348/AW350</f>
        <v>-4.7200928569406971E-4</v>
      </c>
      <c r="AX359" s="20">
        <f t="shared" ref="AX359:BD359" si="28">AX348/AX350</f>
        <v>-1.4923946120774651E-2</v>
      </c>
      <c r="AY359" s="20">
        <f t="shared" si="28"/>
        <v>-7.4109650338686453E-4</v>
      </c>
      <c r="AZ359" s="20">
        <f t="shared" si="28"/>
        <v>5.1353470109751664E-2</v>
      </c>
      <c r="BA359" s="20">
        <f t="shared" si="28"/>
        <v>1</v>
      </c>
      <c r="BB359" s="20">
        <f t="shared" si="28"/>
        <v>9.0033225553829803E-3</v>
      </c>
      <c r="BC359" s="20">
        <f t="shared" si="28"/>
        <v>-1.331259069202409E-5</v>
      </c>
      <c r="BD359" s="20">
        <f t="shared" si="28"/>
        <v>-7.5894751570675231E-4</v>
      </c>
      <c r="BE359" s="20">
        <f>BE348/BE350</f>
        <v>-3.1353508993566433E-2</v>
      </c>
      <c r="BF359" s="21"/>
    </row>
    <row r="360" spans="1:58" x14ac:dyDescent="0.2">
      <c r="A360" s="21" t="s">
        <v>707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</row>
  </sheetData>
  <mergeCells count="3">
    <mergeCell ref="A1:BE1"/>
    <mergeCell ref="BF2:BF359"/>
    <mergeCell ref="A360:BE360"/>
  </mergeCells>
  <conditionalFormatting sqref="A17:A33">
    <cfRule type="cellIs" dxfId="3" priority="7" stopIfTrue="1" operator="lessThan">
      <formula>0</formula>
    </cfRule>
  </conditionalFormatting>
  <conditionalFormatting sqref="B23:B33">
    <cfRule type="cellIs" dxfId="2" priority="16" stopIfTrue="1" operator="lessThan">
      <formula>0</formula>
    </cfRule>
  </conditionalFormatting>
  <conditionalFormatting sqref="C16:D24">
    <cfRule type="cellIs" dxfId="1" priority="8" stopIfTrue="1" operator="lessThan">
      <formula>0</formula>
    </cfRule>
  </conditionalFormatting>
  <conditionalFormatting sqref="E15:BE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55ED11B8-35D7-452F-84EB-4345C74791AE}"/>
</file>

<file path=customXml/itemProps2.xml><?xml version="1.0" encoding="utf-8"?>
<ds:datastoreItem xmlns:ds="http://schemas.openxmlformats.org/officeDocument/2006/customXml" ds:itemID="{0CD21187-6C29-4A05-A2CF-0D341D790FBE}"/>
</file>

<file path=customXml/itemProps3.xml><?xml version="1.0" encoding="utf-8"?>
<ds:datastoreItem xmlns:ds="http://schemas.openxmlformats.org/officeDocument/2006/customXml" ds:itemID="{6650DDF3-3091-4BB2-9EEB-291FDE0F6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10/2023</dc:title>
  <dc:creator>פרידמן אמיר</dc:creator>
  <cp:lastModifiedBy>ארנה מור</cp:lastModifiedBy>
  <dcterms:created xsi:type="dcterms:W3CDTF">2023-11-16T14:43:25Z</dcterms:created>
  <dcterms:modified xsi:type="dcterms:W3CDTF">2023-11-27T13:46:54Z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