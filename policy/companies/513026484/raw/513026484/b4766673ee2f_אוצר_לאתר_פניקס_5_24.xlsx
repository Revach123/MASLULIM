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8430FEFD-E589-467E-AD1E-D0F7E6E1A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9" i="1" l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M349" i="1"/>
  <c r="L349" i="1"/>
  <c r="K349" i="1"/>
  <c r="J349" i="1"/>
  <c r="I349" i="1"/>
  <c r="H349" i="1"/>
  <c r="G349" i="1"/>
  <c r="F349" i="1"/>
  <c r="E349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S351" i="1" l="1"/>
  <c r="S353" i="1" s="1"/>
  <c r="AI351" i="1"/>
  <c r="AI353" i="1" s="1"/>
  <c r="AY351" i="1"/>
  <c r="AY353" i="1" s="1"/>
  <c r="T351" i="1"/>
  <c r="T353" i="1" s="1"/>
  <c r="AJ351" i="1"/>
  <c r="AJ353" i="1" s="1"/>
  <c r="AZ351" i="1"/>
  <c r="AZ353" i="1" s="1"/>
  <c r="AU351" i="1"/>
  <c r="AU353" i="1" s="1"/>
  <c r="BC351" i="1"/>
  <c r="BC353" i="1" s="1"/>
  <c r="G351" i="1"/>
  <c r="G353" i="1" s="1"/>
  <c r="O351" i="1"/>
  <c r="O353" i="1" s="1"/>
  <c r="W351" i="1"/>
  <c r="W353" i="1" s="1"/>
  <c r="AE351" i="1"/>
  <c r="AE353" i="1" s="1"/>
  <c r="AM351" i="1"/>
  <c r="AM353" i="1" s="1"/>
  <c r="AK356" i="1"/>
  <c r="E351" i="1"/>
  <c r="E353" i="1" s="1"/>
  <c r="I351" i="1"/>
  <c r="I353" i="1" s="1"/>
  <c r="Q351" i="1"/>
  <c r="Q353" i="1" s="1"/>
  <c r="Y351" i="1"/>
  <c r="Y353" i="1" s="1"/>
  <c r="AG351" i="1"/>
  <c r="AG353" i="1" s="1"/>
  <c r="AO351" i="1"/>
  <c r="AO353" i="1" s="1"/>
  <c r="AW351" i="1"/>
  <c r="AW353" i="1" s="1"/>
  <c r="G356" i="1"/>
  <c r="O356" i="1"/>
  <c r="S356" i="1"/>
  <c r="AI356" i="1"/>
  <c r="AY356" i="1"/>
  <c r="O358" i="1"/>
  <c r="W358" i="1"/>
  <c r="AI358" i="1"/>
  <c r="Y355" i="1"/>
  <c r="Y356" i="1"/>
  <c r="O357" i="1"/>
  <c r="M351" i="1"/>
  <c r="M353" i="1" s="1"/>
  <c r="U351" i="1"/>
  <c r="U353" i="1" s="1"/>
  <c r="AC351" i="1"/>
  <c r="AC353" i="1" s="1"/>
  <c r="AK351" i="1"/>
  <c r="AK353" i="1" s="1"/>
  <c r="AS351" i="1"/>
  <c r="AS353" i="1" s="1"/>
  <c r="BA351" i="1"/>
  <c r="BA353" i="1" s="1"/>
  <c r="BE351" i="1"/>
  <c r="BE353" i="1" s="1"/>
  <c r="F351" i="1"/>
  <c r="F353" i="1" s="1"/>
  <c r="J351" i="1"/>
  <c r="J353" i="1" s="1"/>
  <c r="R351" i="1"/>
  <c r="R353" i="1" s="1"/>
  <c r="V351" i="1"/>
  <c r="V353" i="1" s="1"/>
  <c r="Z351" i="1"/>
  <c r="Z353" i="1" s="1"/>
  <c r="AD351" i="1"/>
  <c r="AD358" i="1" s="1"/>
  <c r="AH351" i="1"/>
  <c r="AH353" i="1" s="1"/>
  <c r="AL351" i="1"/>
  <c r="AL353" i="1" s="1"/>
  <c r="AP351" i="1"/>
  <c r="AP353" i="1" s="1"/>
  <c r="AT351" i="1"/>
  <c r="AT356" i="1" s="1"/>
  <c r="AX351" i="1"/>
  <c r="AX353" i="1" s="1"/>
  <c r="BB351" i="1"/>
  <c r="BB353" i="1" s="1"/>
  <c r="BF351" i="1"/>
  <c r="BF353" i="1" s="1"/>
  <c r="T356" i="1"/>
  <c r="V357" i="1"/>
  <c r="T358" i="1"/>
  <c r="AJ358" i="1"/>
  <c r="W355" i="1"/>
  <c r="AY355" i="1"/>
  <c r="S357" i="1"/>
  <c r="AI357" i="1"/>
  <c r="AY357" i="1"/>
  <c r="Y358" i="1"/>
  <c r="O359" i="1"/>
  <c r="S359" i="1"/>
  <c r="W359" i="1"/>
  <c r="AE359" i="1"/>
  <c r="AI359" i="1"/>
  <c r="Q360" i="1"/>
  <c r="Y360" i="1"/>
  <c r="AK360" i="1"/>
  <c r="K351" i="1"/>
  <c r="K353" i="1" s="1"/>
  <c r="AA351" i="1"/>
  <c r="AA353" i="1" s="1"/>
  <c r="AQ351" i="1"/>
  <c r="AQ353" i="1" s="1"/>
  <c r="O355" i="1"/>
  <c r="G355" i="1"/>
  <c r="S355" i="1"/>
  <c r="AI355" i="1"/>
  <c r="AG356" i="1"/>
  <c r="W357" i="1"/>
  <c r="AE357" i="1"/>
  <c r="AM357" i="1"/>
  <c r="H351" i="1"/>
  <c r="H353" i="1" s="1"/>
  <c r="L351" i="1"/>
  <c r="L353" i="1" s="1"/>
  <c r="P351" i="1"/>
  <c r="P353" i="1" s="1"/>
  <c r="X351" i="1"/>
  <c r="X353" i="1" s="1"/>
  <c r="AB351" i="1"/>
  <c r="AB353" i="1" s="1"/>
  <c r="AF351" i="1"/>
  <c r="AF353" i="1" s="1"/>
  <c r="AN351" i="1"/>
  <c r="AN356" i="1" s="1"/>
  <c r="AR351" i="1"/>
  <c r="AR353" i="1" s="1"/>
  <c r="AV351" i="1"/>
  <c r="AV353" i="1" s="1"/>
  <c r="BD351" i="1"/>
  <c r="V356" i="1"/>
  <c r="P357" i="1"/>
  <c r="T357" i="1"/>
  <c r="X357" i="1"/>
  <c r="AV357" i="1"/>
  <c r="BD357" i="1"/>
  <c r="V358" i="1"/>
  <c r="P359" i="1"/>
  <c r="T359" i="1"/>
  <c r="AJ359" i="1"/>
  <c r="AV359" i="1"/>
  <c r="R360" i="1"/>
  <c r="AO355" i="1"/>
  <c r="Y359" i="1"/>
  <c r="AG359" i="1"/>
  <c r="AK359" i="1"/>
  <c r="G360" i="1"/>
  <c r="O360" i="1"/>
  <c r="S360" i="1"/>
  <c r="W360" i="1"/>
  <c r="AE360" i="1"/>
  <c r="AI360" i="1"/>
  <c r="AM360" i="1"/>
  <c r="AY360" i="1"/>
  <c r="AT359" i="1"/>
  <c r="P360" i="1"/>
  <c r="T360" i="1"/>
  <c r="X360" i="1"/>
  <c r="AJ360" i="1"/>
  <c r="BD360" i="1"/>
  <c r="BC356" i="1" l="1"/>
  <c r="AL356" i="1"/>
  <c r="AM355" i="1"/>
  <c r="T355" i="1"/>
  <c r="AE356" i="1"/>
  <c r="AL355" i="1"/>
  <c r="AL358" i="1"/>
  <c r="AM356" i="1"/>
  <c r="AG358" i="1"/>
  <c r="AM358" i="1"/>
  <c r="AG355" i="1"/>
  <c r="AL359" i="1"/>
  <c r="AL360" i="1"/>
  <c r="AE355" i="1"/>
  <c r="BC360" i="1"/>
  <c r="K360" i="1"/>
  <c r="AZ357" i="1"/>
  <c r="AJ355" i="1"/>
  <c r="AY359" i="1"/>
  <c r="E358" i="1"/>
  <c r="V359" i="1"/>
  <c r="AE358" i="1"/>
  <c r="E355" i="1"/>
  <c r="BE359" i="1"/>
  <c r="BC359" i="1"/>
  <c r="BB359" i="1"/>
  <c r="BA359" i="1"/>
  <c r="H359" i="1"/>
  <c r="AN357" i="1"/>
  <c r="G359" i="1"/>
  <c r="Q359" i="1"/>
  <c r="S358" i="1"/>
  <c r="BB355" i="1"/>
  <c r="AU356" i="1"/>
  <c r="H360" i="1"/>
  <c r="AU357" i="1"/>
  <c r="AD357" i="1"/>
  <c r="BB358" i="1"/>
  <c r="AJ357" i="1"/>
  <c r="F356" i="1"/>
  <c r="BE360" i="1"/>
  <c r="AU359" i="1"/>
  <c r="BE358" i="1"/>
  <c r="AZ356" i="1"/>
  <c r="BC358" i="1"/>
  <c r="BC357" i="1"/>
  <c r="I360" i="1"/>
  <c r="BB357" i="1"/>
  <c r="AU355" i="1"/>
  <c r="AZ355" i="1"/>
  <c r="AZ360" i="1"/>
  <c r="AN360" i="1"/>
  <c r="F360" i="1"/>
  <c r="P355" i="1"/>
  <c r="BA360" i="1"/>
  <c r="AM359" i="1"/>
  <c r="G357" i="1"/>
  <c r="R359" i="1"/>
  <c r="AJ356" i="1"/>
  <c r="AY358" i="1"/>
  <c r="G358" i="1"/>
  <c r="W356" i="1"/>
  <c r="H357" i="1"/>
  <c r="AU360" i="1"/>
  <c r="AD355" i="1"/>
  <c r="BB360" i="1"/>
  <c r="AD356" i="1"/>
  <c r="AD359" i="1"/>
  <c r="AZ359" i="1"/>
  <c r="BC355" i="1"/>
  <c r="AZ358" i="1"/>
  <c r="AU358" i="1"/>
  <c r="I357" i="1"/>
  <c r="AA358" i="1"/>
  <c r="V355" i="1"/>
  <c r="AQ360" i="1"/>
  <c r="AF359" i="1"/>
  <c r="AV355" i="1"/>
  <c r="AF360" i="1"/>
  <c r="AA360" i="1"/>
  <c r="V360" i="1"/>
  <c r="L359" i="1"/>
  <c r="U360" i="1"/>
  <c r="M358" i="1"/>
  <c r="AV360" i="1"/>
  <c r="AB359" i="1"/>
  <c r="AB355" i="1"/>
  <c r="AC360" i="1"/>
  <c r="M360" i="1"/>
  <c r="AC358" i="1"/>
  <c r="AS356" i="1"/>
  <c r="F359" i="1"/>
  <c r="AB358" i="1"/>
  <c r="AT357" i="1"/>
  <c r="AF356" i="1"/>
  <c r="AT355" i="1"/>
  <c r="AS355" i="1"/>
  <c r="AC355" i="1"/>
  <c r="M355" i="1"/>
  <c r="E359" i="1"/>
  <c r="BE357" i="1"/>
  <c r="Y357" i="1"/>
  <c r="Q355" i="1"/>
  <c r="AA355" i="1"/>
  <c r="AS359" i="1"/>
  <c r="AC359" i="1"/>
  <c r="Z358" i="1"/>
  <c r="BF356" i="1"/>
  <c r="AN355" i="1"/>
  <c r="AS360" i="1"/>
  <c r="AS358" i="1"/>
  <c r="AA357" i="1"/>
  <c r="AC356" i="1"/>
  <c r="AL357" i="1"/>
  <c r="BA355" i="1"/>
  <c r="AK355" i="1"/>
  <c r="U355" i="1"/>
  <c r="AS357" i="1"/>
  <c r="Q357" i="1"/>
  <c r="K355" i="1"/>
  <c r="AC357" i="1"/>
  <c r="AO359" i="1"/>
  <c r="BF360" i="1"/>
  <c r="AT358" i="1"/>
  <c r="Q356" i="1"/>
  <c r="AO360" i="1"/>
  <c r="AO358" i="1"/>
  <c r="Q358" i="1"/>
  <c r="M356" i="1"/>
  <c r="AR358" i="1"/>
  <c r="L358" i="1"/>
  <c r="AV356" i="1"/>
  <c r="P356" i="1"/>
  <c r="F355" i="1"/>
  <c r="AO356" i="1"/>
  <c r="U359" i="1"/>
  <c r="AO357" i="1"/>
  <c r="M357" i="1"/>
  <c r="BB356" i="1"/>
  <c r="BF359" i="1"/>
  <c r="Z359" i="1"/>
  <c r="J360" i="1"/>
  <c r="AX356" i="1"/>
  <c r="BD353" i="1"/>
  <c r="BD359" i="1"/>
  <c r="I358" i="1"/>
  <c r="AN358" i="1"/>
  <c r="AX357" i="1"/>
  <c r="AR360" i="1"/>
  <c r="AB360" i="1"/>
  <c r="L360" i="1"/>
  <c r="AW359" i="1"/>
  <c r="AX360" i="1"/>
  <c r="Z360" i="1"/>
  <c r="AR359" i="1"/>
  <c r="BF358" i="1"/>
  <c r="AF357" i="1"/>
  <c r="BD355" i="1"/>
  <c r="AR355" i="1"/>
  <c r="AF355" i="1"/>
  <c r="X355" i="1"/>
  <c r="L355" i="1"/>
  <c r="H355" i="1"/>
  <c r="E356" i="1"/>
  <c r="BE355" i="1"/>
  <c r="AW360" i="1"/>
  <c r="AG360" i="1"/>
  <c r="E360" i="1"/>
  <c r="AQ359" i="1"/>
  <c r="AA359" i="1"/>
  <c r="K359" i="1"/>
  <c r="BA358" i="1"/>
  <c r="AK358" i="1"/>
  <c r="U358" i="1"/>
  <c r="I355" i="1"/>
  <c r="J359" i="1"/>
  <c r="H358" i="1"/>
  <c r="BD356" i="1"/>
  <c r="X356" i="1"/>
  <c r="AT353" i="1"/>
  <c r="AT360" i="1"/>
  <c r="AD353" i="1"/>
  <c r="AD360" i="1"/>
  <c r="BE356" i="1"/>
  <c r="M359" i="1"/>
  <c r="AW357" i="1"/>
  <c r="AG357" i="1"/>
  <c r="E357" i="1"/>
  <c r="AQ356" i="1"/>
  <c r="AA356" i="1"/>
  <c r="K356" i="1"/>
  <c r="K357" i="1"/>
  <c r="AQ355" i="1"/>
  <c r="X359" i="1"/>
  <c r="R358" i="1"/>
  <c r="R356" i="1"/>
  <c r="L357" i="1"/>
  <c r="AX359" i="1"/>
  <c r="AH359" i="1"/>
  <c r="AP360" i="1"/>
  <c r="J358" i="1"/>
  <c r="AN353" i="1"/>
  <c r="AN359" i="1"/>
  <c r="AW356" i="1"/>
  <c r="AW358" i="1"/>
  <c r="AQ357" i="1"/>
  <c r="AV358" i="1"/>
  <c r="AF358" i="1"/>
  <c r="P358" i="1"/>
  <c r="BF357" i="1"/>
  <c r="AP357" i="1"/>
  <c r="Z357" i="1"/>
  <c r="J357" i="1"/>
  <c r="H356" i="1"/>
  <c r="I359" i="1"/>
  <c r="BA356" i="1"/>
  <c r="F358" i="1"/>
  <c r="AP356" i="1"/>
  <c r="AX358" i="1"/>
  <c r="AB357" i="1"/>
  <c r="Z356" i="1"/>
  <c r="AP359" i="1"/>
  <c r="AH360" i="1"/>
  <c r="AP358" i="1"/>
  <c r="BD358" i="1"/>
  <c r="X358" i="1"/>
  <c r="AH357" i="1"/>
  <c r="R357" i="1"/>
  <c r="F357" i="1"/>
  <c r="AR356" i="1"/>
  <c r="AB356" i="1"/>
  <c r="L356" i="1"/>
  <c r="BF355" i="1"/>
  <c r="AX355" i="1"/>
  <c r="AP355" i="1"/>
  <c r="AH355" i="1"/>
  <c r="Z355" i="1"/>
  <c r="R355" i="1"/>
  <c r="J355" i="1"/>
  <c r="I356" i="1"/>
  <c r="AQ358" i="1"/>
  <c r="K358" i="1"/>
  <c r="BA357" i="1"/>
  <c r="AK357" i="1"/>
  <c r="U357" i="1"/>
  <c r="AW355" i="1"/>
  <c r="U356" i="1"/>
  <c r="AH358" i="1"/>
  <c r="AH356" i="1"/>
  <c r="AR357" i="1"/>
  <c r="J356" i="1"/>
  <c r="N351" i="1"/>
  <c r="N356" i="1" s="1"/>
  <c r="N355" i="1" l="1"/>
  <c r="N359" i="1"/>
  <c r="N360" i="1"/>
  <c r="N358" i="1"/>
  <c r="N353" i="1"/>
  <c r="N357" i="1"/>
</calcChain>
</file>

<file path=xl/sharedStrings.xml><?xml version="1.0" encoding="utf-8"?>
<sst xmlns="http://schemas.openxmlformats.org/spreadsheetml/2006/main" count="779" uniqueCount="711">
  <si>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</si>
  <si>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</si>
  <si>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</si>
  <si>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</si>
  <si>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</si>
  <si>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</si>
  <si>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</si>
  <si>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</si>
  <si>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</si>
  <si>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</si>
  <si>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</si>
  <si>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</si>
  <si>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</si>
  <si>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</si>
  <si>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</si>
  <si>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</si>
  <si>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</si>
  <si>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</si>
  <si>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</si>
  <si>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</si>
  <si>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</si>
  <si>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</si>
  <si>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</si>
  <si>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</si>
  <si>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</si>
  <si>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</si>
  <si>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</si>
  <si>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</si>
  <si>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</si>
  <si>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</si>
  <si>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</si>
  <si>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</si>
  <si>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</si>
  <si>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</si>
  <si>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</si>
  <si>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</si>
  <si>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</si>
  <si>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</si>
  <si>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</si>
  <si>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</si>
  <si>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</si>
  <si>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</si>
  <si>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</si>
  <si>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</si>
  <si>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</si>
  <si>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</si>
  <si>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</si>
  <si>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</si>
  <si>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</si>
  <si>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</si>
  <si>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</si>
  <si>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</si>
  <si>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</si>
  <si>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</si>
  <si>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</si>
  <si>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</si>
  <si>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</si>
  <si>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</si>
  <si>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</si>
  <si>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</si>
  <si>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</si>
  <si>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</si>
  <si>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</si>
  <si>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</si>
  <si>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</si>
  <si>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</si>
  <si>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</si>
  <si>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</si>
  <si>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</si>
  <si>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</si>
  <si>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</si>
  <si>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</si>
  <si>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</si>
  <si>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</si>
  <si>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</si>
  <si>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</si>
  <si>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</si>
  <si>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</si>
  <si>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</si>
  <si>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</si>
  <si>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</si>
  <si>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</si>
  <si>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</si>
  <si>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</si>
  <si>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</si>
  <si>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</si>
  <si>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</si>
  <si>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</si>
  <si>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</si>
  <si>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</si>
  <si>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</si>
  <si>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</si>
  <si>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</si>
  <si>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</si>
  <si>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</si>
  <si>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</si>
  <si>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</si>
  <si>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</si>
  <si>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</si>
  <si>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</si>
  <si>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</si>
  <si>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</si>
  <si>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</si>
  <si>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</si>
  <si>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</si>
  <si>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</si>
  <si>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</si>
  <si>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</si>
  <si>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</si>
  <si>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</si>
  <si>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</si>
  <si>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</si>
  <si>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</si>
  <si>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</si>
  <si>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</si>
  <si>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</si>
  <si>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</si>
  <si>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</si>
  <si>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</si>
  <si>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</si>
  <si>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</si>
  <si>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</si>
  <si>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</si>
  <si>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</si>
  <si>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</si>
  <si>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</si>
  <si>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</si>
  <si>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</si>
  <si>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</si>
  <si>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</si>
  <si>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</si>
  <si>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</si>
  <si>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</si>
  <si>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</si>
  <si>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</si>
  <si>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</si>
  <si>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</si>
  <si>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</si>
  <si>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</si>
  <si>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</si>
  <si>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</si>
  <si>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</si>
  <si>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</si>
  <si>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</si>
  <si>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</si>
  <si>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</si>
  <si>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</si>
  <si>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</si>
  <si>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</si>
  <si>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</si>
  <si>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</si>
  <si>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</si>
  <si>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</si>
  <si>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</si>
  <si>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</si>
  <si>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</si>
  <si>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</si>
  <si>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</si>
  <si>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</si>
  <si>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</si>
  <si>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</si>
  <si>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</si>
  <si>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</si>
  <si>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</si>
  <si>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</si>
  <si>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</si>
  <si>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</si>
  <si>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</si>
  <si>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</si>
  <si>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</si>
  <si>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</si>
  <si>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</si>
  <si>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</si>
  <si>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</si>
  <si>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</si>
  <si>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</si>
  <si>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</si>
  <si>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</si>
  <si>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</si>
  <si>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</si>
  <si>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</si>
  <si>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</si>
  <si>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</si>
  <si>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</si>
  <si>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</si>
  <si>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</si>
  <si>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</si>
  <si>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</si>
  <si>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</si>
  <si>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</si>
  <si>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</si>
  <si>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</si>
  <si>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</si>
  <si>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</si>
  <si>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</si>
  <si>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</si>
  <si>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</si>
  <si>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</si>
  <si>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</si>
  <si>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</si>
  <si>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</si>
  <si>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</si>
  <si>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</si>
  <si>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</si>
  <si>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</si>
  <si>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</si>
  <si>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</si>
  <si>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</si>
  <si>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</si>
  <si>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</si>
  <si>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</si>
  <si>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</si>
  <si>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</si>
  <si>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</si>
  <si>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</si>
  <si>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</si>
  <si>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</si>
  <si>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</si>
  <si>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</si>
  <si>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</si>
  <si>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</si>
  <si>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</si>
  <si>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</si>
  <si>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</si>
  <si>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</si>
  <si>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</si>
  <si>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</si>
  <si>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</si>
  <si>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</si>
  <si>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</si>
  <si>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</si>
  <si>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</si>
  <si>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</si>
  <si>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</si>
  <si>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</si>
  <si>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</si>
  <si>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</si>
  <si>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</si>
  <si>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</si>
  <si>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</si>
  <si>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</si>
  <si>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</si>
  <si>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</si>
  <si>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</si>
  <si>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</si>
  <si>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</si>
  <si>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</si>
  <si>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</si>
  <si>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</si>
  <si>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</si>
  <si>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</si>
  <si>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</si>
  <si>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</si>
  <si>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</si>
  <si>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</si>
  <si>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</si>
  <si>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</si>
  <si>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</si>
  <si>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</si>
  <si>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</si>
  <si>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</si>
  <si>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</si>
  <si>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</si>
  <si>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</si>
  <si>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</si>
  <si>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</si>
  <si>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</si>
  <si>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</si>
  <si>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</si>
  <si>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</si>
  <si>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</si>
  <si>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</si>
  <si>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</si>
  <si>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</si>
  <si>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</si>
  <si>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</si>
  <si>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</si>
  <si>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</si>
  <si>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</si>
  <si>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</si>
  <si>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</si>
  <si>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</si>
  <si>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</si>
  <si>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</si>
  <si>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</si>
  <si>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</si>
  <si>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</si>
  <si>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</si>
  <si>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</si>
  <si>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</si>
  <si>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</si>
  <si>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</si>
  <si>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</si>
  <si>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</si>
  <si>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</si>
  <si>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</si>
  <si>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</si>
  <si>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</si>
  <si>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</si>
  <si>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</si>
  <si>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</si>
  <si>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</si>
  <si>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</si>
  <si>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</si>
  <si>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</si>
  <si>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</si>
  <si>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</si>
  <si>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</si>
  <si>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</si>
  <si>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</si>
  <si>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</si>
  <si>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</si>
  <si>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</si>
  <si>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</si>
  <si>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</si>
  <si>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</si>
  <si>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</si>
  <si>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</si>
  <si>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</si>
  <si>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</si>
  <si>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</si>
  <si>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</si>
  <si>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</si>
  <si>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</si>
  <si>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</si>
  <si>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</si>
  <si>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</si>
  <si>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</si>
  <si>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</si>
  <si>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</si>
  <si>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</si>
  <si>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</si>
  <si>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</si>
  <si>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</si>
  <si>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</si>
  <si>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</si>
  <si>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</si>
  <si>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</si>
  <si>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</si>
  <si>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</si>
  <si>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</si>
  <si>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</si>
  <si>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</si>
  <si>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</si>
  <si>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</si>
  <si>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</si>
  <si>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</si>
  <si>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</si>
  <si>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</si>
  <si>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</si>
  <si>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</si>
  <si>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</si>
  <si>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</si>
  <si>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</si>
  <si>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</si>
  <si>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</si>
  <si>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</si>
  <si>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</si>
  <si>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</si>
  <si>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</si>
  <si>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</si>
  <si>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</si>
  <si>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</si>
  <si>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</si>
  <si>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</si>
  <si>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</si>
  <si>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</si>
  <si>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</si>
  <si>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</si>
  <si>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</si>
  <si>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</si>
  <si>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</si>
  <si>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</si>
  <si>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</si>
  <si>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</si>
  <si>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</si>
  <si>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</si>
  <si>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</si>
  <si>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</si>
  <si>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</si>
  <si>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</si>
  <si>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</si>
  <si>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</si>
  <si>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</si>
  <si>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</si>
  <si>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</si>
  <si>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</si>
  <si>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</si>
  <si>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</si>
  <si>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</si>
  <si>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</si>
  <si>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</si>
  <si>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</si>
  <si>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</si>
  <si>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</si>
  <si>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</si>
  <si>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</si>
  <si>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</si>
  <si>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</si>
  <si>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</si>
  <si>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</si>
  <si>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</si>
  <si>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</si>
  <si>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</si>
  <si>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</si>
  <si>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</si>
  <si>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</si>
  <si>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</si>
  <si>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</si>
  <si>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</si>
  <si>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</si>
  <si>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</si>
  <si>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</si>
  <si>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</si>
  <si>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</si>
  <si>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</si>
  <si>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</si>
  <si>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</si>
  <si>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</si>
  <si>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</si>
  <si>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</si>
  <si>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</si>
  <si>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</si>
  <si>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</si>
  <si>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</si>
  <si>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</si>
  <si>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</si>
  <si>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</si>
  <si>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</si>
  <si>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</si>
  <si>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</si>
  <si>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</si>
  <si>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</si>
  <si>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</si>
  <si>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</si>
  <si>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</si>
  <si>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</si>
  <si>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</si>
  <si>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</si>
  <si>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</si>
  <si>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</si>
  <si>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</si>
  <si>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</si>
  <si>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</si>
  <si>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</si>
  <si>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</si>
  <si>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</si>
  <si>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</si>
  <si>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</si>
  <si>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</si>
  <si>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</si>
  <si>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</si>
  <si>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</si>
  <si>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</si>
  <si>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</si>
  <si>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</si>
  <si>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</si>
  <si>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</si>
  <si>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</si>
  <si>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</si>
  <si>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</si>
  <si>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</si>
  <si>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</si>
  <si>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</si>
  <si>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</si>
  <si>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</si>
  <si>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</si>
  <si>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</si>
  <si>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</si>
  <si>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</si>
  <si>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</si>
  <si>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</si>
  <si>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</si>
  <si>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</si>
  <si>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</si>
  <si>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</si>
  <si>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</si>
  <si>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</si>
  <si>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</si>
  <si>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</si>
  <si>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</si>
  <si>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</si>
  <si>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</si>
  <si>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</si>
  <si>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</si>
  <si>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</si>
  <si>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</si>
  <si>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</si>
  <si>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</si>
  <si>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</si>
  <si>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</si>
  <si>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</si>
  <si>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</si>
  <si>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</si>
  <si>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</si>
  <si>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</si>
  <si>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</si>
  <si>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</si>
  <si>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</si>
  <si>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</si>
  <si>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</si>
  <si>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</si>
  <si>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</si>
  <si>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</si>
  <si>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</si>
  <si>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</si>
  <si>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</si>
  <si>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</si>
  <si>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</si>
  <si>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</si>
  <si>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</si>
  <si>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</si>
  <si>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</si>
  <si>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</si>
  <si>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</si>
  <si>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</si>
  <si>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</si>
  <si>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</si>
  <si>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</si>
  <si>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</si>
  <si>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</si>
  <si>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</si>
  <si>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</si>
  <si>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</si>
  <si>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</si>
  <si>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</si>
  <si>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</si>
  <si>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</si>
  <si>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</si>
  <si>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</si>
  <si>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</si>
  <si>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</si>
  <si>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</si>
  <si>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</si>
  <si>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</si>
  <si>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</si>
  <si>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</si>
  <si>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</si>
  <si>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</si>
  <si>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</si>
  <si>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</si>
  <si>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</si>
  <si>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</si>
  <si>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</si>
  <si>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</si>
  <si>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</si>
  <si>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</si>
  <si>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</si>
  <si>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</si>
  <si>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</si>
  <si>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</si>
  <si>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</si>
  <si>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</si>
  <si>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</si>
  <si>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</si>
  <si>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</si>
  <si>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</si>
  <si>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</si>
  <si>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</si>
  <si>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</si>
  <si>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</si>
  <si>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</si>
  <si>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</si>
  <si>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</si>
  <si>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</si>
  <si>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</si>
  <si>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</si>
  <si>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</si>
  <si>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</si>
  <si>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</si>
  <si>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</si>
  <si>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</si>
  <si>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</si>
  <si>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</si>
  <si>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</si>
  <si>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</si>
  <si>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</si>
  <si>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</si>
  <si>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</si>
  <si>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</si>
  <si>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</si>
  <si>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</si>
  <si>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</si>
  <si>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</si>
  <si>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</si>
  <si>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</si>
  <si>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</si>
  <si>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</si>
  <si>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</si>
  <si>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</si>
  <si>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</si>
  <si>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</si>
  <si>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</si>
  <si>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</si>
  <si>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</si>
  <si>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</si>
  <si>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</si>
  <si>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</si>
  <si>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</si>
  <si>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</si>
  <si>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</si>
  <si>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</si>
  <si>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</si>
  <si>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</si>
  <si>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</si>
  <si>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</si>
  <si>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</si>
  <si>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</si>
  <si>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</si>
  <si>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</si>
  <si>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</si>
  <si>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</si>
  <si>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</si>
  <si>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</si>
  <si>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</si>
  <si>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</si>
  <si>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</si>
  <si>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</si>
  <si>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</si>
  <si>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</si>
  <si>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</si>
  <si>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</si>
  <si>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</si>
  <si>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</si>
  <si>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</si>
  <si>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</si>
  <si>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</si>
  <si>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</si>
  <si>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</si>
  <si>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</si>
  <si>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</si>
  <si>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</si>
  <si>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</si>
  <si>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</si>
  <si>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</si>
  <si>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</si>
  <si>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</si>
  <si>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</si>
  <si>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</si>
  <si>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</si>
  <si>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</si>
  <si>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</si>
  <si>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</si>
  <si>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</si>
  <si>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</si>
  <si>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</si>
  <si>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</si>
  <si>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</si>
  <si>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</si>
  <si>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</si>
  <si>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</si>
  <si>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</si>
  <si>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</si>
  <si>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</si>
  <si>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</si>
  <si>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</si>
  <si>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</si>
  <si>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</si>
  <si>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</si>
  <si>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</si>
  <si>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</si>
  <si>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</si>
  <si>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</si>
  <si>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</si>
  <si>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</si>
  <si>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</si>
  <si>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</si>
  <si>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</si>
  <si>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</si>
  <si>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</si>
  <si>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</si>
  <si>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</si>
  <si>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</si>
  <si>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</si>
  <si>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</si>
  <si>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</si>
  <si>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</si>
  <si>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</si>
  <si>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</si>
  <si>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</si>
  <si>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</si>
  <si>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</si>
  <si>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</si>
  <si>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</si>
  <si>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</si>
  <si>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</si>
  <si>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</si>
  <si>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</si>
  <si>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</si>
  <si>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</si>
  <si>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</si>
  <si>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</si>
  <si>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</si>
  <si>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</si>
  <si>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</si>
  <si>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</si>
  <si>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</si>
  <si>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</si>
  <si>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</si>
  <si>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</si>
  <si>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</si>
  <si>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</si>
  <si>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</si>
  <si>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</si>
  <si>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</si>
  <si>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</si>
  <si>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</si>
  <si>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</si>
  <si>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סיום מידע טבלה צד שמאל</t>
  </si>
  <si>
    <t>סיום מידע טבלה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</si>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</sst>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</xdr:row>
      <xdr:rowOff>0</xdr:rowOff>
    </xdr:from>
    <xdr:to>
      <xdr:col>3</xdr:col>
      <xdr:colOff>257175</xdr:colOff>
      <xdr:row>5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7379675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426720</xdr:colOff>
      <xdr:row>2</xdr:row>
      <xdr:rowOff>53340</xdr:rowOff>
    </xdr:to>
    <xdr:pic>
      <xdr:nvPicPr>
        <xdr:cNvPr id="3" name="Picture 2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4AB76B1A-F24C-42E0-A395-6FD79B26B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2675520" y="0"/>
          <a:ext cx="42672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114"/>
      <sheetName val="גיליון116"/>
      <sheetName val="גיליון118"/>
      <sheetName val="גיליון120"/>
      <sheetName val="גיליון122"/>
      <sheetName val="גיליון12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G361"/>
  <sheetViews>
    <sheetView rightToLeft="1" tabSelected="1" workbookViewId="0">
      <selection activeCell="F1" sqref="F1"/>
    </sheetView>
  </sheetViews>
  <sheetFormatPr defaultRowHeight="13.8" x14ac:dyDescent="0.25"/>
  <sheetData>
    <row r="2" spans="1:59" x14ac:dyDescent="0.25">
      <c r="A2" s="21" t="s">
        <v>710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</row>
    <row r="3" spans="1:59" ht="15.6" x14ac:dyDescent="0.3">
      <c r="A3" s="1"/>
      <c r="B3" s="2"/>
      <c r="C3" s="2"/>
      <c r="D3" s="2"/>
      <c r="E3">
        <v>6</v>
      </c>
      <c r="F3">
        <v>10</v>
      </c>
      <c r="G3">
        <v>30</v>
      </c>
      <c r="H3">
        <v>50</v>
      </c>
      <c r="I3">
        <v>93</v>
      </c>
      <c r="J3">
        <v>99</v>
      </c>
      <c r="K3">
        <v>100</v>
      </c>
      <c r="L3">
        <v>101</v>
      </c>
      <c r="M3">
        <v>102</v>
      </c>
      <c r="N3">
        <v>121</v>
      </c>
      <c r="O3">
        <v>122</v>
      </c>
      <c r="P3">
        <v>142</v>
      </c>
      <c r="Q3">
        <v>164</v>
      </c>
      <c r="R3">
        <v>167</v>
      </c>
      <c r="S3">
        <v>169</v>
      </c>
      <c r="T3">
        <v>425</v>
      </c>
      <c r="U3">
        <v>426</v>
      </c>
      <c r="V3">
        <v>499</v>
      </c>
      <c r="W3">
        <v>519</v>
      </c>
      <c r="X3">
        <v>525</v>
      </c>
      <c r="Y3">
        <v>526</v>
      </c>
      <c r="Z3">
        <v>570</v>
      </c>
      <c r="AA3">
        <v>571</v>
      </c>
      <c r="AB3">
        <v>572</v>
      </c>
      <c r="AC3">
        <v>573</v>
      </c>
      <c r="AD3">
        <v>574</v>
      </c>
      <c r="AE3">
        <v>628</v>
      </c>
      <c r="AF3">
        <v>629</v>
      </c>
      <c r="AG3">
        <v>631</v>
      </c>
      <c r="AH3">
        <v>632</v>
      </c>
      <c r="AI3">
        <v>658</v>
      </c>
      <c r="AJ3">
        <v>660</v>
      </c>
      <c r="AK3">
        <v>662</v>
      </c>
      <c r="AL3">
        <v>664</v>
      </c>
      <c r="AM3">
        <v>666</v>
      </c>
      <c r="AN3">
        <v>726</v>
      </c>
      <c r="AO3">
        <v>737</v>
      </c>
      <c r="AP3">
        <v>805</v>
      </c>
      <c r="AQ3">
        <v>807</v>
      </c>
      <c r="AR3">
        <v>827</v>
      </c>
      <c r="AS3">
        <v>575</v>
      </c>
      <c r="AT3">
        <v>576</v>
      </c>
      <c r="AU3">
        <v>359</v>
      </c>
      <c r="AV3">
        <v>360</v>
      </c>
      <c r="AW3" s="9">
        <v>828</v>
      </c>
      <c r="AX3" s="9">
        <v>844</v>
      </c>
      <c r="AY3" s="9">
        <v>839</v>
      </c>
      <c r="AZ3" s="9">
        <v>857</v>
      </c>
      <c r="BA3" s="9">
        <v>851</v>
      </c>
      <c r="BB3" s="9">
        <v>849</v>
      </c>
      <c r="BC3" s="9">
        <v>846</v>
      </c>
      <c r="BD3" s="9">
        <v>834</v>
      </c>
      <c r="BE3" s="9">
        <v>488</v>
      </c>
      <c r="BF3" s="9">
        <v>506</v>
      </c>
      <c r="BG3" s="21" t="s">
        <v>708</v>
      </c>
    </row>
    <row r="4" spans="1:59" x14ac:dyDescent="0.25">
      <c r="E4" s="10">
        <v>401</v>
      </c>
      <c r="F4" s="10">
        <v>242</v>
      </c>
      <c r="G4" s="10">
        <v>385</v>
      </c>
      <c r="H4" s="10">
        <v>528</v>
      </c>
      <c r="I4" s="10">
        <v>384</v>
      </c>
      <c r="J4" s="10">
        <v>716</v>
      </c>
      <c r="K4" s="10">
        <v>686</v>
      </c>
      <c r="L4" s="10">
        <v>1190</v>
      </c>
      <c r="M4" s="10">
        <v>715</v>
      </c>
      <c r="N4" s="10">
        <v>211</v>
      </c>
      <c r="O4" s="10">
        <v>9916</v>
      </c>
      <c r="P4" s="10">
        <v>1100</v>
      </c>
      <c r="Q4" s="10">
        <v>801</v>
      </c>
      <c r="R4" s="10">
        <v>804</v>
      </c>
      <c r="S4" s="10">
        <v>806</v>
      </c>
      <c r="T4" s="10">
        <v>8765</v>
      </c>
      <c r="U4" s="10">
        <v>8766</v>
      </c>
      <c r="V4" s="10">
        <v>9418</v>
      </c>
      <c r="W4" s="10">
        <v>9475</v>
      </c>
      <c r="X4" s="10">
        <v>9905</v>
      </c>
      <c r="Y4" s="10">
        <v>9906</v>
      </c>
      <c r="Z4" s="10">
        <v>7905</v>
      </c>
      <c r="AA4" s="10">
        <v>7906</v>
      </c>
      <c r="AB4" s="10">
        <v>7907</v>
      </c>
      <c r="AC4" s="10">
        <v>7908</v>
      </c>
      <c r="AD4" s="10">
        <v>7909</v>
      </c>
      <c r="AE4" s="10">
        <v>11310</v>
      </c>
      <c r="AF4" s="10">
        <v>11311</v>
      </c>
      <c r="AG4" s="10">
        <v>11312</v>
      </c>
      <c r="AH4" s="10">
        <v>11335</v>
      </c>
      <c r="AI4" s="10">
        <v>9529</v>
      </c>
      <c r="AJ4" s="10">
        <v>961</v>
      </c>
      <c r="AK4" s="10">
        <v>9528</v>
      </c>
      <c r="AL4" s="10">
        <v>964</v>
      </c>
      <c r="AM4" s="10">
        <v>968</v>
      </c>
      <c r="AN4" s="10">
        <v>8629</v>
      </c>
      <c r="AO4" s="10">
        <v>13264</v>
      </c>
      <c r="AP4" s="10">
        <v>9917</v>
      </c>
      <c r="AQ4" s="10">
        <v>8624</v>
      </c>
      <c r="AR4" s="10">
        <v>13263</v>
      </c>
      <c r="AS4" s="10">
        <v>13209</v>
      </c>
      <c r="AT4" s="10">
        <v>13250</v>
      </c>
      <c r="AU4" s="10">
        <v>14281</v>
      </c>
      <c r="AV4" s="10">
        <v>14282</v>
      </c>
      <c r="AW4" s="11">
        <v>2049</v>
      </c>
      <c r="AX4" s="12">
        <v>7975</v>
      </c>
      <c r="AY4" s="12">
        <v>8004</v>
      </c>
      <c r="AZ4" s="11">
        <v>1008</v>
      </c>
      <c r="BA4" s="11">
        <v>9484</v>
      </c>
      <c r="BB4" s="11">
        <v>682</v>
      </c>
      <c r="BC4" s="11">
        <v>11352</v>
      </c>
      <c r="BD4" s="11">
        <v>2058</v>
      </c>
      <c r="BE4" s="11">
        <v>12088</v>
      </c>
      <c r="BF4" s="11">
        <v>15007</v>
      </c>
      <c r="BG4" s="21"/>
    </row>
    <row r="5" spans="1:59" ht="15.6" x14ac:dyDescent="0.3">
      <c r="A5" s="3">
        <v>45413</v>
      </c>
      <c r="B5" s="2"/>
      <c r="C5" s="2"/>
      <c r="D5" s="2"/>
      <c r="E5" t="s">
        <v>614</v>
      </c>
      <c r="F5" t="s">
        <v>615</v>
      </c>
      <c r="G5" t="s">
        <v>616</v>
      </c>
      <c r="H5" t="s">
        <v>617</v>
      </c>
      <c r="I5" t="s">
        <v>618</v>
      </c>
      <c r="J5" t="s">
        <v>619</v>
      </c>
      <c r="K5" t="s">
        <v>620</v>
      </c>
      <c r="L5" t="s">
        <v>621</v>
      </c>
      <c r="M5" t="s">
        <v>622</v>
      </c>
      <c r="N5" t="s">
        <v>623</v>
      </c>
      <c r="O5" t="s">
        <v>624</v>
      </c>
      <c r="P5" t="s">
        <v>625</v>
      </c>
      <c r="Q5" t="s">
        <v>626</v>
      </c>
      <c r="R5" t="s">
        <v>627</v>
      </c>
      <c r="S5" t="s">
        <v>628</v>
      </c>
      <c r="T5" t="s">
        <v>629</v>
      </c>
      <c r="U5" t="s">
        <v>630</v>
      </c>
      <c r="V5" t="s">
        <v>631</v>
      </c>
      <c r="W5" t="s">
        <v>632</v>
      </c>
      <c r="X5" t="s">
        <v>633</v>
      </c>
      <c r="Y5" t="s">
        <v>634</v>
      </c>
      <c r="Z5" t="s">
        <v>635</v>
      </c>
      <c r="AA5" t="s">
        <v>636</v>
      </c>
      <c r="AB5" t="s">
        <v>637</v>
      </c>
      <c r="AC5" t="s">
        <v>638</v>
      </c>
      <c r="AD5" t="s">
        <v>639</v>
      </c>
      <c r="AE5" t="s">
        <v>640</v>
      </c>
      <c r="AF5" t="s">
        <v>641</v>
      </c>
      <c r="AG5" t="s">
        <v>642</v>
      </c>
      <c r="AH5" t="s">
        <v>643</v>
      </c>
      <c r="AI5" t="s">
        <v>644</v>
      </c>
      <c r="AJ5" t="s">
        <v>645</v>
      </c>
      <c r="AK5" t="s">
        <v>646</v>
      </c>
      <c r="AL5" t="s">
        <v>647</v>
      </c>
      <c r="AM5" t="s">
        <v>648</v>
      </c>
      <c r="AN5" t="s">
        <v>649</v>
      </c>
      <c r="AO5" t="s">
        <v>650</v>
      </c>
      <c r="AP5" t="s">
        <v>651</v>
      </c>
      <c r="AQ5" t="s">
        <v>652</v>
      </c>
      <c r="AR5" t="s">
        <v>653</v>
      </c>
      <c r="AS5" t="s">
        <v>654</v>
      </c>
      <c r="AT5" t="s">
        <v>655</v>
      </c>
      <c r="AU5" t="s">
        <v>656</v>
      </c>
      <c r="AV5" t="s">
        <v>657</v>
      </c>
      <c r="AW5" s="13" t="s">
        <v>658</v>
      </c>
      <c r="AX5" s="14" t="s">
        <v>659</v>
      </c>
      <c r="AY5" s="13" t="s">
        <v>660</v>
      </c>
      <c r="AZ5" s="13" t="s">
        <v>661</v>
      </c>
      <c r="BA5" s="13" t="s">
        <v>662</v>
      </c>
      <c r="BB5" s="13" t="s">
        <v>663</v>
      </c>
      <c r="BC5" s="13" t="s">
        <v>664</v>
      </c>
      <c r="BD5" s="13" t="s">
        <v>665</v>
      </c>
      <c r="BE5" s="13" t="s">
        <v>666</v>
      </c>
      <c r="BF5" s="13" t="s">
        <v>667</v>
      </c>
      <c r="BG5" s="21"/>
    </row>
    <row r="6" spans="1:59" ht="15.6" x14ac:dyDescent="0.3">
      <c r="A6" s="4"/>
      <c r="B6" s="5"/>
      <c r="C6" s="5"/>
      <c r="D6" s="6" t="s">
        <v>0</v>
      </c>
      <c r="E6" s="15" t="s">
        <v>668</v>
      </c>
      <c r="F6" s="15" t="s">
        <v>669</v>
      </c>
      <c r="G6" s="15" t="s">
        <v>670</v>
      </c>
      <c r="H6" s="15" t="s">
        <v>671</v>
      </c>
      <c r="I6" s="15" t="s">
        <v>672</v>
      </c>
      <c r="J6" s="15" t="s">
        <v>673</v>
      </c>
      <c r="K6" s="15" t="s">
        <v>674</v>
      </c>
      <c r="L6" s="15" t="s">
        <v>675</v>
      </c>
      <c r="M6" s="15" t="s">
        <v>676</v>
      </c>
      <c r="N6" s="15" t="s">
        <v>677</v>
      </c>
      <c r="O6" s="15" t="s">
        <v>678</v>
      </c>
      <c r="P6" s="15" t="s">
        <v>679</v>
      </c>
      <c r="Q6" s="15" t="s">
        <v>680</v>
      </c>
      <c r="R6" s="15" t="s">
        <v>681</v>
      </c>
      <c r="S6" s="15" t="s">
        <v>682</v>
      </c>
      <c r="T6" s="15" t="s">
        <v>683</v>
      </c>
      <c r="U6" s="15" t="s">
        <v>684</v>
      </c>
      <c r="V6" s="15" t="s">
        <v>685</v>
      </c>
      <c r="W6" s="15" t="s">
        <v>686</v>
      </c>
      <c r="X6" s="15" t="s">
        <v>687</v>
      </c>
      <c r="Y6" s="15" t="s">
        <v>688</v>
      </c>
      <c r="Z6" s="15" t="s">
        <v>689</v>
      </c>
      <c r="AA6" s="15" t="s">
        <v>690</v>
      </c>
      <c r="AB6" s="15" t="s">
        <v>691</v>
      </c>
      <c r="AC6" s="15" t="s">
        <v>692</v>
      </c>
      <c r="AD6" s="15" t="s">
        <v>693</v>
      </c>
      <c r="AE6" s="15" t="s">
        <v>694</v>
      </c>
      <c r="AF6" s="15" t="s">
        <v>695</v>
      </c>
      <c r="AG6" s="15" t="s">
        <v>696</v>
      </c>
      <c r="AH6" s="15" t="s">
        <v>697</v>
      </c>
      <c r="AI6" s="15" t="s">
        <v>698</v>
      </c>
      <c r="AJ6" s="15" t="s">
        <v>699</v>
      </c>
      <c r="AK6" s="15" t="s">
        <v>700</v>
      </c>
      <c r="AL6" s="15" t="s">
        <v>701</v>
      </c>
      <c r="AM6" s="15" t="s">
        <v>702</v>
      </c>
      <c r="AN6" s="15" t="s">
        <v>703</v>
      </c>
      <c r="AO6" s="15" t="s">
        <v>704</v>
      </c>
      <c r="AP6" s="15" t="s">
        <v>705</v>
      </c>
      <c r="AQ6" s="15" t="s">
        <v>706</v>
      </c>
      <c r="AR6" s="15" t="s">
        <v>707</v>
      </c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21"/>
    </row>
    <row r="7" spans="1:59" ht="15.6" x14ac:dyDescent="0.3">
      <c r="A7" s="5" t="s">
        <v>1</v>
      </c>
      <c r="B7" s="5" t="s">
        <v>2</v>
      </c>
      <c r="C7" s="7">
        <v>1</v>
      </c>
      <c r="D7" s="7">
        <v>1</v>
      </c>
      <c r="E7" s="7">
        <v>110953.158</v>
      </c>
      <c r="F7" s="7">
        <v>23209.368999999999</v>
      </c>
      <c r="G7" s="7">
        <v>14098.004999999999</v>
      </c>
      <c r="H7" s="7">
        <v>47.365000000000002</v>
      </c>
      <c r="I7" s="7">
        <v>2727.806</v>
      </c>
      <c r="J7" s="7">
        <v>9762.9410000000007</v>
      </c>
      <c r="K7" s="7">
        <v>100762.345</v>
      </c>
      <c r="L7" s="7">
        <v>13739.571</v>
      </c>
      <c r="M7" s="7">
        <v>1368.759</v>
      </c>
      <c r="N7" s="7">
        <v>31763.888999999999</v>
      </c>
      <c r="O7" s="7">
        <v>225757.389</v>
      </c>
      <c r="P7" s="7">
        <v>34039.182999999997</v>
      </c>
      <c r="Q7" s="7">
        <v>1.1100000000000001</v>
      </c>
      <c r="R7" s="7">
        <v>863.49199999999996</v>
      </c>
      <c r="S7" s="7">
        <v>49.878</v>
      </c>
      <c r="T7" s="7">
        <v>1137.4970000000001</v>
      </c>
      <c r="U7" s="7">
        <v>272.48399999999998</v>
      </c>
      <c r="V7" s="7">
        <v>6872.3450000000003</v>
      </c>
      <c r="W7" s="7">
        <v>1.4910000000000001</v>
      </c>
      <c r="X7" s="7">
        <v>19279.82</v>
      </c>
      <c r="Y7" s="7">
        <v>983.48099999999999</v>
      </c>
      <c r="Z7" s="7">
        <v>1038.318</v>
      </c>
      <c r="AA7" s="7">
        <v>3639.55</v>
      </c>
      <c r="AB7" s="7">
        <v>79053.845000000001</v>
      </c>
      <c r="AC7" s="7">
        <v>46369.133000000002</v>
      </c>
      <c r="AD7" s="7">
        <v>7213.1019999999999</v>
      </c>
      <c r="AE7" s="7">
        <v>11797.813</v>
      </c>
      <c r="AF7" s="7">
        <v>37221.53</v>
      </c>
      <c r="AG7" s="7">
        <v>3873.1190000000001</v>
      </c>
      <c r="AH7" s="7">
        <v>1132.376</v>
      </c>
      <c r="AI7" s="7">
        <v>118189.511</v>
      </c>
      <c r="AJ7" s="7">
        <v>40442</v>
      </c>
      <c r="AK7" s="7">
        <v>5618.8280000000004</v>
      </c>
      <c r="AL7" s="7">
        <v>334220.58100000001</v>
      </c>
      <c r="AM7" s="7">
        <v>74716.83</v>
      </c>
      <c r="AN7" s="7">
        <v>40382.597999999998</v>
      </c>
      <c r="AO7" s="7">
        <v>282837.92300000001</v>
      </c>
      <c r="AP7" s="7">
        <v>38488.432000000001</v>
      </c>
      <c r="AQ7" s="7">
        <v>17966.651999999998</v>
      </c>
      <c r="AR7" s="7">
        <v>171042.52799999999</v>
      </c>
      <c r="AS7" s="7">
        <v>179.465</v>
      </c>
      <c r="AT7" s="7">
        <v>91789.497000000003</v>
      </c>
      <c r="AU7" s="7">
        <v>287.29899999999998</v>
      </c>
      <c r="AV7" s="7">
        <v>3870.4879999999998</v>
      </c>
      <c r="AW7" s="7">
        <v>1195.675</v>
      </c>
      <c r="AX7" s="7">
        <v>17442.103999999999</v>
      </c>
      <c r="AY7" s="7">
        <v>630.34</v>
      </c>
      <c r="AZ7" s="7">
        <v>126.17700000000001</v>
      </c>
      <c r="BA7" s="7">
        <v>0</v>
      </c>
      <c r="BB7" s="7">
        <v>5281.3159999999998</v>
      </c>
      <c r="BC7" s="7">
        <v>2298.3440000000001</v>
      </c>
      <c r="BD7" s="7">
        <v>2053.4969999999998</v>
      </c>
      <c r="BE7" s="7">
        <v>11356.536</v>
      </c>
      <c r="BF7" s="7">
        <v>5649.6719999999996</v>
      </c>
      <c r="BG7" s="21"/>
    </row>
    <row r="8" spans="1:59" ht="15.6" x14ac:dyDescent="0.3">
      <c r="A8" s="5" t="s">
        <v>3</v>
      </c>
      <c r="B8" s="5" t="s">
        <v>4</v>
      </c>
      <c r="C8" s="7">
        <v>1</v>
      </c>
      <c r="D8" s="7">
        <v>1</v>
      </c>
      <c r="E8" s="7">
        <v>36727.228000000003</v>
      </c>
      <c r="F8" s="7">
        <v>12148.733</v>
      </c>
      <c r="G8" s="7">
        <v>6511.2579999999998</v>
      </c>
      <c r="H8" s="7">
        <v>1461.6990000000001</v>
      </c>
      <c r="I8" s="7">
        <v>3399.482</v>
      </c>
      <c r="J8" s="7">
        <v>3942.393</v>
      </c>
      <c r="K8" s="7">
        <v>31331.111000000001</v>
      </c>
      <c r="L8" s="7">
        <v>8952.366</v>
      </c>
      <c r="M8" s="7">
        <v>0</v>
      </c>
      <c r="N8" s="7">
        <v>19063.162</v>
      </c>
      <c r="O8" s="7">
        <v>84840.256999999998</v>
      </c>
      <c r="P8" s="7">
        <v>14882.545</v>
      </c>
      <c r="Q8" s="7">
        <v>0</v>
      </c>
      <c r="R8" s="7">
        <v>124.959</v>
      </c>
      <c r="S8" s="7">
        <v>640.947</v>
      </c>
      <c r="T8" s="7">
        <v>97.528999999999996</v>
      </c>
      <c r="U8" s="7">
        <v>186.45699999999999</v>
      </c>
      <c r="V8" s="7">
        <v>2204.4029999999998</v>
      </c>
      <c r="W8" s="7">
        <v>0</v>
      </c>
      <c r="X8" s="7">
        <v>1540.895</v>
      </c>
      <c r="Y8" s="7">
        <v>0</v>
      </c>
      <c r="Z8" s="7">
        <v>592.00900000000001</v>
      </c>
      <c r="AA8" s="7">
        <v>2228.201</v>
      </c>
      <c r="AB8" s="7">
        <v>866.79200000000003</v>
      </c>
      <c r="AC8" s="7">
        <v>15316.164000000001</v>
      </c>
      <c r="AD8" s="7">
        <v>1722.33</v>
      </c>
      <c r="AE8" s="7">
        <v>6154.5510000000004</v>
      </c>
      <c r="AF8" s="7">
        <v>3413.1390000000001</v>
      </c>
      <c r="AG8" s="7">
        <v>1782.6690000000001</v>
      </c>
      <c r="AH8" s="7">
        <v>480.28300000000002</v>
      </c>
      <c r="AI8" s="7">
        <v>40469.451999999997</v>
      </c>
      <c r="AJ8" s="7">
        <v>11233.975</v>
      </c>
      <c r="AK8" s="7">
        <v>2428.0709999999999</v>
      </c>
      <c r="AL8" s="7">
        <v>114174.613</v>
      </c>
      <c r="AM8" s="7">
        <v>19085.649000000001</v>
      </c>
      <c r="AN8" s="7">
        <v>26149.485000000001</v>
      </c>
      <c r="AO8" s="7">
        <v>310838.60200000001</v>
      </c>
      <c r="AP8" s="7">
        <v>3361.3009999999999</v>
      </c>
      <c r="AQ8" s="7">
        <v>1523.4680000000001</v>
      </c>
      <c r="AR8" s="7">
        <v>186067.152</v>
      </c>
      <c r="AS8" s="7">
        <v>0</v>
      </c>
      <c r="AT8" s="7">
        <v>99617.192999999999</v>
      </c>
      <c r="AU8" s="7">
        <v>77.286000000000001</v>
      </c>
      <c r="AV8" s="7">
        <v>293.37700000000001</v>
      </c>
      <c r="AW8" s="7">
        <v>2696.8580000000002</v>
      </c>
      <c r="AX8" s="7">
        <v>2966.7779999999998</v>
      </c>
      <c r="AY8" s="7">
        <v>1202.45</v>
      </c>
      <c r="AZ8" s="7">
        <v>42.801000000000002</v>
      </c>
      <c r="BA8" s="7">
        <v>0</v>
      </c>
      <c r="BB8" s="7">
        <v>2653.143</v>
      </c>
      <c r="BC8" s="7">
        <v>3968.16</v>
      </c>
      <c r="BD8" s="7">
        <v>4060.6570000000002</v>
      </c>
      <c r="BE8" s="7">
        <v>7674.0240000000003</v>
      </c>
      <c r="BF8" s="7">
        <v>57.976999999999997</v>
      </c>
      <c r="BG8" s="21"/>
    </row>
    <row r="9" spans="1:59" ht="15.6" x14ac:dyDescent="0.3">
      <c r="A9" s="5" t="s">
        <v>5</v>
      </c>
      <c r="B9" s="5" t="s">
        <v>6</v>
      </c>
      <c r="C9" s="7">
        <v>1</v>
      </c>
      <c r="D9" s="7">
        <v>1</v>
      </c>
      <c r="E9" s="7">
        <v>56385.042999999998</v>
      </c>
      <c r="F9" s="7">
        <v>13568.495000000001</v>
      </c>
      <c r="G9" s="7">
        <v>8125.3069999999998</v>
      </c>
      <c r="H9" s="7">
        <v>29365.416000000001</v>
      </c>
      <c r="I9" s="7">
        <v>1183.2339999999999</v>
      </c>
      <c r="J9" s="7">
        <v>7704.7430000000004</v>
      </c>
      <c r="K9" s="7">
        <v>36579.01</v>
      </c>
      <c r="L9" s="7">
        <v>8167.5749999999998</v>
      </c>
      <c r="M9" s="7">
        <v>697.65499999999997</v>
      </c>
      <c r="N9" s="7">
        <v>16374.959000000001</v>
      </c>
      <c r="O9" s="7">
        <v>108898.367</v>
      </c>
      <c r="P9" s="7">
        <v>16035.713</v>
      </c>
      <c r="Q9" s="7">
        <v>425.92500000000001</v>
      </c>
      <c r="R9" s="7">
        <v>254.05799999999999</v>
      </c>
      <c r="S9" s="7">
        <v>207.92699999999999</v>
      </c>
      <c r="T9" s="7">
        <v>116.643</v>
      </c>
      <c r="U9" s="7">
        <v>217.81200000000001</v>
      </c>
      <c r="V9" s="7">
        <v>9394.4439999999995</v>
      </c>
      <c r="W9" s="7">
        <v>21.623999999999999</v>
      </c>
      <c r="X9" s="7">
        <v>4711.9669999999996</v>
      </c>
      <c r="Y9" s="7">
        <v>1265.4359999999999</v>
      </c>
      <c r="Z9" s="7">
        <v>3405.4009999999998</v>
      </c>
      <c r="AA9" s="7">
        <v>2786.2689999999998</v>
      </c>
      <c r="AB9" s="7">
        <v>7807.0240000000003</v>
      </c>
      <c r="AC9" s="7">
        <v>22610.317999999999</v>
      </c>
      <c r="AD9" s="7">
        <v>6750.4849999999997</v>
      </c>
      <c r="AE9" s="7">
        <v>40746.637000000002</v>
      </c>
      <c r="AF9" s="7">
        <v>19433.617999999999</v>
      </c>
      <c r="AG9" s="7">
        <v>2775.134</v>
      </c>
      <c r="AH9" s="7">
        <v>2768.5970000000002</v>
      </c>
      <c r="AI9" s="7">
        <v>62699.385000000002</v>
      </c>
      <c r="AJ9" s="7">
        <v>23923.383000000002</v>
      </c>
      <c r="AK9" s="7">
        <v>20243.925999999999</v>
      </c>
      <c r="AL9" s="7">
        <v>189708.546</v>
      </c>
      <c r="AM9" s="7">
        <v>41276.307000000001</v>
      </c>
      <c r="AN9" s="7">
        <v>30191.63</v>
      </c>
      <c r="AO9" s="7">
        <v>352316.41499999998</v>
      </c>
      <c r="AP9" s="7">
        <v>12613.736999999999</v>
      </c>
      <c r="AQ9" s="7">
        <v>4673.1779999999999</v>
      </c>
      <c r="AR9" s="7">
        <v>211005.386</v>
      </c>
      <c r="AS9" s="7">
        <v>408.45</v>
      </c>
      <c r="AT9" s="7">
        <v>114497.057</v>
      </c>
      <c r="AU9" s="7">
        <v>305.61099999999999</v>
      </c>
      <c r="AV9" s="7">
        <v>1082.952</v>
      </c>
      <c r="AW9" s="7">
        <v>0</v>
      </c>
      <c r="AX9" s="7">
        <v>5694.732</v>
      </c>
      <c r="AY9" s="7">
        <v>0</v>
      </c>
      <c r="AZ9" s="7">
        <v>28.817</v>
      </c>
      <c r="BA9" s="7">
        <v>0</v>
      </c>
      <c r="BB9" s="7">
        <v>334.35</v>
      </c>
      <c r="BC9" s="7">
        <v>0</v>
      </c>
      <c r="BD9" s="7">
        <v>0</v>
      </c>
      <c r="BE9" s="7">
        <v>35612.936000000002</v>
      </c>
      <c r="BF9" s="7">
        <v>25914.941999999999</v>
      </c>
      <c r="BG9" s="21"/>
    </row>
    <row r="10" spans="1:59" ht="15.6" x14ac:dyDescent="0.3">
      <c r="A10" s="5" t="s">
        <v>7</v>
      </c>
      <c r="B10" s="5" t="s">
        <v>8</v>
      </c>
      <c r="C10" s="7">
        <v>1</v>
      </c>
      <c r="D10" s="7">
        <v>1</v>
      </c>
      <c r="E10" s="7">
        <v>317472.614</v>
      </c>
      <c r="F10" s="7">
        <v>92654.595000000001</v>
      </c>
      <c r="G10" s="7">
        <v>0</v>
      </c>
      <c r="H10" s="7">
        <v>0</v>
      </c>
      <c r="I10" s="7">
        <v>4610.9709999999995</v>
      </c>
      <c r="J10" s="7">
        <v>0.02</v>
      </c>
      <c r="K10" s="7">
        <v>399861.60600000003</v>
      </c>
      <c r="L10" s="7">
        <v>37557.868000000002</v>
      </c>
      <c r="M10" s="7">
        <v>0</v>
      </c>
      <c r="N10" s="7">
        <v>45661.112999999998</v>
      </c>
      <c r="O10" s="7">
        <v>1088904.5090000001</v>
      </c>
      <c r="P10" s="7">
        <v>57583.703999999998</v>
      </c>
      <c r="Q10" s="7">
        <v>0</v>
      </c>
      <c r="R10" s="7">
        <v>3499.0070000000001</v>
      </c>
      <c r="S10" s="7">
        <v>0</v>
      </c>
      <c r="T10" s="7">
        <v>3369.5390000000002</v>
      </c>
      <c r="U10" s="7">
        <v>652.39400000000001</v>
      </c>
      <c r="V10" s="7">
        <v>28456.127</v>
      </c>
      <c r="W10" s="7">
        <v>0</v>
      </c>
      <c r="X10" s="7">
        <v>53628.841</v>
      </c>
      <c r="Y10" s="7">
        <v>0</v>
      </c>
      <c r="Z10" s="7">
        <v>0</v>
      </c>
      <c r="AA10" s="7">
        <v>6476.21</v>
      </c>
      <c r="AB10" s="7">
        <v>99935.112999999998</v>
      </c>
      <c r="AC10" s="7">
        <v>185001.00899999999</v>
      </c>
      <c r="AD10" s="7">
        <v>44220.106</v>
      </c>
      <c r="AE10" s="7">
        <v>0</v>
      </c>
      <c r="AF10" s="7">
        <v>109184.11500000001</v>
      </c>
      <c r="AG10" s="7">
        <v>15518.200999999999</v>
      </c>
      <c r="AH10" s="7">
        <v>8647.7209999999995</v>
      </c>
      <c r="AI10" s="7">
        <v>466004.30499999999</v>
      </c>
      <c r="AJ10" s="7">
        <v>221101.484</v>
      </c>
      <c r="AK10" s="7">
        <v>36441.125999999997</v>
      </c>
      <c r="AL10" s="7">
        <v>1405949.3149999999</v>
      </c>
      <c r="AM10" s="7">
        <v>408458.38699999999</v>
      </c>
      <c r="AN10" s="7">
        <v>248019.53</v>
      </c>
      <c r="AO10" s="7">
        <v>5768600.7060000002</v>
      </c>
      <c r="AP10" s="7">
        <v>109400.577</v>
      </c>
      <c r="AQ10" s="7">
        <v>50248.398999999998</v>
      </c>
      <c r="AR10" s="7">
        <v>3488460.9750000001</v>
      </c>
      <c r="AS10" s="7">
        <v>0</v>
      </c>
      <c r="AT10" s="7">
        <v>1872105.8729999999</v>
      </c>
      <c r="AU10" s="7">
        <v>1271.2840000000001</v>
      </c>
      <c r="AV10" s="7">
        <v>11205.785</v>
      </c>
      <c r="AW10" s="7">
        <v>0</v>
      </c>
      <c r="AX10" s="7">
        <v>66234.918999999994</v>
      </c>
      <c r="AY10" s="7">
        <v>0</v>
      </c>
      <c r="AZ10" s="7">
        <v>286.70600000000002</v>
      </c>
      <c r="BA10" s="7">
        <v>0</v>
      </c>
      <c r="BB10" s="7">
        <v>2077.848</v>
      </c>
      <c r="BC10" s="7">
        <v>0</v>
      </c>
      <c r="BD10" s="7">
        <v>0</v>
      </c>
      <c r="BE10" s="7">
        <v>60244.595999999998</v>
      </c>
      <c r="BF10" s="7">
        <v>7141.9470000000001</v>
      </c>
      <c r="BG10" s="21"/>
    </row>
    <row r="11" spans="1:59" ht="15.6" x14ac:dyDescent="0.3">
      <c r="A11" s="5" t="s">
        <v>9</v>
      </c>
      <c r="B11" s="5" t="s">
        <v>10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21"/>
    </row>
    <row r="12" spans="1:59" ht="15.6" x14ac:dyDescent="0.3">
      <c r="A12" s="5" t="s">
        <v>11</v>
      </c>
      <c r="B12" s="5" t="s">
        <v>12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21"/>
    </row>
    <row r="13" spans="1:59" ht="15.6" x14ac:dyDescent="0.3">
      <c r="A13" s="5" t="s">
        <v>13</v>
      </c>
      <c r="B13" s="5" t="s">
        <v>14</v>
      </c>
      <c r="C13" s="7">
        <v>1</v>
      </c>
      <c r="D13" s="7">
        <v>1</v>
      </c>
      <c r="E13" s="7">
        <v>47803.697</v>
      </c>
      <c r="F13" s="7">
        <v>12924.055</v>
      </c>
      <c r="G13" s="7">
        <v>1815.671</v>
      </c>
      <c r="H13" s="7">
        <v>256.91300000000001</v>
      </c>
      <c r="I13" s="7">
        <v>879.41300000000001</v>
      </c>
      <c r="J13" s="7">
        <v>1514.9159999999999</v>
      </c>
      <c r="K13" s="7">
        <v>57266.493999999999</v>
      </c>
      <c r="L13" s="7">
        <v>10426.084999999999</v>
      </c>
      <c r="M13" s="7">
        <v>0</v>
      </c>
      <c r="N13" s="7">
        <v>21355.982</v>
      </c>
      <c r="O13" s="7">
        <v>155377.23499999999</v>
      </c>
      <c r="P13" s="7">
        <v>14253.807000000001</v>
      </c>
      <c r="Q13" s="7">
        <v>0</v>
      </c>
      <c r="R13" s="7">
        <v>10.545</v>
      </c>
      <c r="S13" s="7">
        <v>12.21</v>
      </c>
      <c r="T13" s="7">
        <v>23.067</v>
      </c>
      <c r="U13" s="7">
        <v>8.3849999999999998</v>
      </c>
      <c r="V13" s="7">
        <v>3978.6390000000001</v>
      </c>
      <c r="W13" s="7">
        <v>0</v>
      </c>
      <c r="X13" s="7">
        <v>357.46100000000001</v>
      </c>
      <c r="Y13" s="7">
        <v>0</v>
      </c>
      <c r="Z13" s="7">
        <v>188.97900000000001</v>
      </c>
      <c r="AA13" s="7">
        <v>1236.75</v>
      </c>
      <c r="AB13" s="7">
        <v>1639.248</v>
      </c>
      <c r="AC13" s="7">
        <v>24133.365000000002</v>
      </c>
      <c r="AD13" s="7">
        <v>261.92399999999998</v>
      </c>
      <c r="AE13" s="7">
        <v>2166.73</v>
      </c>
      <c r="AF13" s="7">
        <v>592.274</v>
      </c>
      <c r="AG13" s="7">
        <v>2173.9050000000002</v>
      </c>
      <c r="AH13" s="7">
        <v>65.111999999999995</v>
      </c>
      <c r="AI13" s="7">
        <v>61350.165999999997</v>
      </c>
      <c r="AJ13" s="7">
        <v>27063.88</v>
      </c>
      <c r="AK13" s="7">
        <v>218.72800000000001</v>
      </c>
      <c r="AL13" s="7">
        <v>187746.633</v>
      </c>
      <c r="AM13" s="7">
        <v>49983.756999999998</v>
      </c>
      <c r="AN13" s="7">
        <v>1487.395</v>
      </c>
      <c r="AO13" s="7">
        <v>13832.694</v>
      </c>
      <c r="AP13" s="7">
        <v>723.47299999999996</v>
      </c>
      <c r="AQ13" s="7">
        <v>347.72</v>
      </c>
      <c r="AR13" s="7">
        <v>8365.0650000000005</v>
      </c>
      <c r="AS13" s="7">
        <v>0</v>
      </c>
      <c r="AT13" s="7">
        <v>4489.1760000000004</v>
      </c>
      <c r="AU13" s="7">
        <v>171.6</v>
      </c>
      <c r="AV13" s="7">
        <v>81.444999999999993</v>
      </c>
      <c r="AW13" s="7">
        <v>0</v>
      </c>
      <c r="AX13" s="7">
        <v>8087.4989999999998</v>
      </c>
      <c r="AY13" s="7">
        <v>0</v>
      </c>
      <c r="AZ13" s="7">
        <v>38.206000000000003</v>
      </c>
      <c r="BA13" s="7">
        <v>0</v>
      </c>
      <c r="BB13" s="7">
        <v>314.55700000000002</v>
      </c>
      <c r="BC13" s="7">
        <v>0</v>
      </c>
      <c r="BD13" s="7">
        <v>0</v>
      </c>
      <c r="BE13" s="7">
        <v>8654.2749999999996</v>
      </c>
      <c r="BF13" s="7">
        <v>117.148</v>
      </c>
      <c r="BG13" s="21"/>
    </row>
    <row r="14" spans="1:59" ht="15.6" x14ac:dyDescent="0.3">
      <c r="A14" s="5" t="s">
        <v>3</v>
      </c>
      <c r="B14" s="5" t="s">
        <v>15</v>
      </c>
      <c r="C14" s="7">
        <v>1</v>
      </c>
      <c r="D14" s="7">
        <v>1</v>
      </c>
      <c r="E14" s="7">
        <v>19.027000000000001</v>
      </c>
      <c r="F14" s="7">
        <v>4.7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5.3150000000000004</v>
      </c>
      <c r="M14" s="7">
        <v>0</v>
      </c>
      <c r="N14" s="7">
        <v>14.948</v>
      </c>
      <c r="O14" s="7">
        <v>151.45400000000001</v>
      </c>
      <c r="P14" s="7">
        <v>5.9269999999999996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10.375999999999999</v>
      </c>
      <c r="AJ14" s="7">
        <v>1.5449999999999999</v>
      </c>
      <c r="AK14" s="7">
        <v>0</v>
      </c>
      <c r="AL14" s="7">
        <v>97.25</v>
      </c>
      <c r="AM14" s="7">
        <v>1.0469999999999999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21"/>
    </row>
    <row r="15" spans="1:59" ht="15.6" x14ac:dyDescent="0.3">
      <c r="A15" s="5" t="s">
        <v>16</v>
      </c>
      <c r="B15" s="5" t="s">
        <v>17</v>
      </c>
      <c r="C15" s="7">
        <v>1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21"/>
    </row>
    <row r="16" spans="1:59" ht="15.6" x14ac:dyDescent="0.3">
      <c r="A16" s="5" t="s">
        <v>18</v>
      </c>
      <c r="B16" s="5" t="s">
        <v>19</v>
      </c>
      <c r="C16" s="7">
        <v>2</v>
      </c>
      <c r="D16" s="7">
        <v>2</v>
      </c>
      <c r="E16" s="7">
        <v>613560.98699999996</v>
      </c>
      <c r="F16" s="7">
        <v>62535.841</v>
      </c>
      <c r="G16" s="7">
        <v>166059.09099999999</v>
      </c>
      <c r="H16" s="7">
        <v>0</v>
      </c>
      <c r="I16" s="7">
        <v>24087.445</v>
      </c>
      <c r="J16" s="7">
        <v>115462.246</v>
      </c>
      <c r="K16" s="7">
        <v>293770.51500000001</v>
      </c>
      <c r="L16" s="7">
        <v>68848.073000000004</v>
      </c>
      <c r="M16" s="7">
        <v>0</v>
      </c>
      <c r="N16" s="7">
        <v>262588.647</v>
      </c>
      <c r="O16" s="7">
        <v>189443.32199999999</v>
      </c>
      <c r="P16" s="7">
        <v>262483.712</v>
      </c>
      <c r="Q16" s="7">
        <v>0</v>
      </c>
      <c r="R16" s="7">
        <v>0</v>
      </c>
      <c r="S16" s="7">
        <v>16180.517</v>
      </c>
      <c r="T16" s="7">
        <v>660.01499999999999</v>
      </c>
      <c r="U16" s="7">
        <v>1826.1320000000001</v>
      </c>
      <c r="V16" s="7">
        <v>19926.294000000002</v>
      </c>
      <c r="W16" s="7">
        <v>0</v>
      </c>
      <c r="X16" s="7">
        <v>2807.732</v>
      </c>
      <c r="Y16" s="7">
        <v>0</v>
      </c>
      <c r="Z16" s="7">
        <v>10511.97</v>
      </c>
      <c r="AA16" s="7">
        <v>22594.419000000002</v>
      </c>
      <c r="AB16" s="7">
        <v>0</v>
      </c>
      <c r="AC16" s="7">
        <v>103500.83</v>
      </c>
      <c r="AD16" s="7">
        <v>0</v>
      </c>
      <c r="AE16" s="7">
        <v>125409.757</v>
      </c>
      <c r="AF16" s="7">
        <v>0</v>
      </c>
      <c r="AG16" s="7">
        <v>7714.54</v>
      </c>
      <c r="AH16" s="7">
        <v>3771.9430000000002</v>
      </c>
      <c r="AI16" s="7">
        <v>246897.049</v>
      </c>
      <c r="AJ16" s="7">
        <v>0</v>
      </c>
      <c r="AK16" s="7">
        <v>9833.6569999999992</v>
      </c>
      <c r="AL16" s="7">
        <v>643692.647</v>
      </c>
      <c r="AM16" s="7">
        <v>0</v>
      </c>
      <c r="AN16" s="7">
        <v>0</v>
      </c>
      <c r="AO16" s="7">
        <v>0</v>
      </c>
      <c r="AP16" s="7">
        <v>16735.871999999999</v>
      </c>
      <c r="AQ16" s="7">
        <v>19525.922999999999</v>
      </c>
      <c r="AR16" s="7">
        <v>0</v>
      </c>
      <c r="AS16" s="7">
        <v>0</v>
      </c>
      <c r="AT16" s="7">
        <v>0</v>
      </c>
      <c r="AU16" s="7">
        <v>634.9</v>
      </c>
      <c r="AV16" s="7">
        <v>2883.2640000000001</v>
      </c>
      <c r="AW16" s="7">
        <v>0</v>
      </c>
      <c r="AX16" s="7">
        <v>0</v>
      </c>
      <c r="AY16" s="7">
        <v>0</v>
      </c>
      <c r="AZ16" s="7">
        <v>524.09400000000005</v>
      </c>
      <c r="BA16" s="7">
        <v>0</v>
      </c>
      <c r="BB16" s="7">
        <v>13850.392</v>
      </c>
      <c r="BC16" s="7">
        <v>0</v>
      </c>
      <c r="BD16" s="7">
        <v>0</v>
      </c>
      <c r="BE16" s="7">
        <v>0</v>
      </c>
      <c r="BF16" s="7">
        <v>0</v>
      </c>
      <c r="BG16" s="21"/>
    </row>
    <row r="17" spans="1:59" ht="15.6" x14ac:dyDescent="0.3">
      <c r="A17" s="5" t="s">
        <v>20</v>
      </c>
      <c r="B17" s="5" t="s">
        <v>21</v>
      </c>
      <c r="C17" s="7">
        <v>2</v>
      </c>
      <c r="D17" s="7">
        <v>2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21"/>
    </row>
    <row r="18" spans="1:59" ht="15.6" x14ac:dyDescent="0.3">
      <c r="A18" s="5" t="s">
        <v>22</v>
      </c>
      <c r="B18" s="5" t="s">
        <v>23</v>
      </c>
      <c r="C18" s="7">
        <v>2</v>
      </c>
      <c r="D18" s="7">
        <v>2</v>
      </c>
      <c r="E18" s="7">
        <v>629395.81000000006</v>
      </c>
      <c r="F18" s="7">
        <v>64149.77</v>
      </c>
      <c r="G18" s="7">
        <v>170825.649</v>
      </c>
      <c r="H18" s="7">
        <v>0</v>
      </c>
      <c r="I18" s="7">
        <v>24709.095000000001</v>
      </c>
      <c r="J18" s="7">
        <v>118553.822</v>
      </c>
      <c r="K18" s="7">
        <v>301697.20600000001</v>
      </c>
      <c r="L18" s="7">
        <v>76274.873999999996</v>
      </c>
      <c r="M18" s="7">
        <v>86732.69</v>
      </c>
      <c r="N18" s="7">
        <v>269365.55200000003</v>
      </c>
      <c r="O18" s="7">
        <v>194332.48800000001</v>
      </c>
      <c r="P18" s="7">
        <v>269257.90999999997</v>
      </c>
      <c r="Q18" s="7">
        <v>12126.529</v>
      </c>
      <c r="R18" s="7">
        <v>0</v>
      </c>
      <c r="S18" s="7">
        <v>0</v>
      </c>
      <c r="T18" s="7">
        <v>986.26700000000005</v>
      </c>
      <c r="U18" s="7">
        <v>2728.806</v>
      </c>
      <c r="V18" s="7">
        <v>20440.553</v>
      </c>
      <c r="W18" s="7">
        <v>0</v>
      </c>
      <c r="X18" s="7">
        <v>4195.62</v>
      </c>
      <c r="Y18" s="7">
        <v>62318.792999999998</v>
      </c>
      <c r="Z18" s="7">
        <v>10783.263000000001</v>
      </c>
      <c r="AA18" s="7">
        <v>26844.780999999999</v>
      </c>
      <c r="AB18" s="7">
        <v>0</v>
      </c>
      <c r="AC18" s="7">
        <v>106171.986</v>
      </c>
      <c r="AD18" s="7">
        <v>0</v>
      </c>
      <c r="AE18" s="7">
        <v>128646.34</v>
      </c>
      <c r="AF18" s="7">
        <v>0</v>
      </c>
      <c r="AG18" s="7">
        <v>7913.6369999999997</v>
      </c>
      <c r="AH18" s="7">
        <v>3869.2890000000002</v>
      </c>
      <c r="AI18" s="7">
        <v>253268.984</v>
      </c>
      <c r="AJ18" s="7">
        <v>0</v>
      </c>
      <c r="AK18" s="7">
        <v>10087.445</v>
      </c>
      <c r="AL18" s="7">
        <v>660218.48800000001</v>
      </c>
      <c r="AM18" s="7">
        <v>0</v>
      </c>
      <c r="AN18" s="7">
        <v>0</v>
      </c>
      <c r="AO18" s="7">
        <v>0</v>
      </c>
      <c r="AP18" s="7">
        <v>25008.567999999999</v>
      </c>
      <c r="AQ18" s="7">
        <v>29177.767</v>
      </c>
      <c r="AR18" s="7">
        <v>0</v>
      </c>
      <c r="AS18" s="7">
        <v>11371.002</v>
      </c>
      <c r="AT18" s="7">
        <v>0</v>
      </c>
      <c r="AU18" s="7">
        <v>651.28599999999994</v>
      </c>
      <c r="AV18" s="7">
        <v>4308.4880000000003</v>
      </c>
      <c r="AW18" s="7">
        <v>0</v>
      </c>
      <c r="AX18" s="7">
        <v>0</v>
      </c>
      <c r="AY18" s="7">
        <v>0</v>
      </c>
      <c r="AZ18" s="7">
        <v>537.62</v>
      </c>
      <c r="BA18" s="7">
        <v>0</v>
      </c>
      <c r="BB18" s="7">
        <v>14019.9</v>
      </c>
      <c r="BC18" s="7">
        <v>0</v>
      </c>
      <c r="BD18" s="7">
        <v>0</v>
      </c>
      <c r="BE18" s="7">
        <v>0</v>
      </c>
      <c r="BF18" s="7">
        <v>0</v>
      </c>
      <c r="BG18" s="21"/>
    </row>
    <row r="19" spans="1:59" ht="15.6" x14ac:dyDescent="0.3">
      <c r="A19" s="5" t="s">
        <v>24</v>
      </c>
      <c r="B19" s="5" t="s">
        <v>25</v>
      </c>
      <c r="C19" s="7">
        <v>2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113.065</v>
      </c>
      <c r="L19" s="7">
        <v>0</v>
      </c>
      <c r="M19" s="7">
        <v>28421.023000000001</v>
      </c>
      <c r="N19" s="7">
        <v>0</v>
      </c>
      <c r="O19" s="7">
        <v>0</v>
      </c>
      <c r="P19" s="7">
        <v>0</v>
      </c>
      <c r="Q19" s="7">
        <v>277.02199999999999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20420.949000000001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3726.11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6.9770000000000003</v>
      </c>
      <c r="BC19" s="7">
        <v>0</v>
      </c>
      <c r="BD19" s="7">
        <v>0</v>
      </c>
      <c r="BE19" s="7">
        <v>0</v>
      </c>
      <c r="BF19" s="7">
        <v>0</v>
      </c>
      <c r="BG19" s="21"/>
    </row>
    <row r="20" spans="1:59" ht="15.6" x14ac:dyDescent="0.3">
      <c r="A20" s="5" t="s">
        <v>26</v>
      </c>
      <c r="B20" s="5" t="s">
        <v>27</v>
      </c>
      <c r="C20" s="7">
        <v>2</v>
      </c>
      <c r="D20" s="7">
        <v>2</v>
      </c>
      <c r="E20" s="7">
        <v>20614.960999999999</v>
      </c>
      <c r="F20" s="7">
        <v>6036.424</v>
      </c>
      <c r="G20" s="7">
        <v>0</v>
      </c>
      <c r="H20" s="7">
        <v>0</v>
      </c>
      <c r="I20" s="7">
        <v>301.86200000000002</v>
      </c>
      <c r="J20" s="7">
        <v>0</v>
      </c>
      <c r="K20" s="7">
        <v>26866.05</v>
      </c>
      <c r="L20" s="7">
        <v>2205.828</v>
      </c>
      <c r="M20" s="7">
        <v>105665.944</v>
      </c>
      <c r="N20" s="7">
        <v>3005.9589999999998</v>
      </c>
      <c r="O20" s="7">
        <v>71442.877999999997</v>
      </c>
      <c r="P20" s="7">
        <v>3735.0639999999999</v>
      </c>
      <c r="Q20" s="7">
        <v>0</v>
      </c>
      <c r="R20" s="7">
        <v>0</v>
      </c>
      <c r="S20" s="7">
        <v>0.86899999999999999</v>
      </c>
      <c r="T20" s="7">
        <v>0</v>
      </c>
      <c r="U20" s="7">
        <v>0</v>
      </c>
      <c r="V20" s="7">
        <v>1759.0170000000001</v>
      </c>
      <c r="W20" s="7">
        <v>2654.7440000000001</v>
      </c>
      <c r="X20" s="7">
        <v>0</v>
      </c>
      <c r="Y20" s="7">
        <v>75922.631999999998</v>
      </c>
      <c r="Z20" s="7">
        <v>0</v>
      </c>
      <c r="AA20" s="7">
        <v>418.99299999999999</v>
      </c>
      <c r="AB20" s="7">
        <v>0</v>
      </c>
      <c r="AC20" s="7">
        <v>11766.684999999999</v>
      </c>
      <c r="AD20" s="7">
        <v>0</v>
      </c>
      <c r="AE20" s="7">
        <v>0</v>
      </c>
      <c r="AF20" s="7">
        <v>3.2080000000000002</v>
      </c>
      <c r="AG20" s="7">
        <v>1003.636</v>
      </c>
      <c r="AH20" s="7">
        <v>0</v>
      </c>
      <c r="AI20" s="7">
        <v>29572.503000000001</v>
      </c>
      <c r="AJ20" s="7">
        <v>14438.63</v>
      </c>
      <c r="AK20" s="7">
        <v>0</v>
      </c>
      <c r="AL20" s="7">
        <v>91134.514999999999</v>
      </c>
      <c r="AM20" s="7">
        <v>26705.203000000001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13853.227000000001</v>
      </c>
      <c r="AT20" s="7">
        <v>0</v>
      </c>
      <c r="AU20" s="7">
        <v>68.832999999999998</v>
      </c>
      <c r="AV20" s="7">
        <v>0</v>
      </c>
      <c r="AW20" s="7">
        <v>0</v>
      </c>
      <c r="AX20" s="7">
        <v>4316.0659999999998</v>
      </c>
      <c r="AY20" s="7">
        <v>0</v>
      </c>
      <c r="AZ20" s="7">
        <v>18.126000000000001</v>
      </c>
      <c r="BA20" s="7">
        <v>0</v>
      </c>
      <c r="BB20" s="7">
        <v>185.108</v>
      </c>
      <c r="BC20" s="7">
        <v>0</v>
      </c>
      <c r="BD20" s="7">
        <v>0</v>
      </c>
      <c r="BE20" s="7">
        <v>2854.5909999999999</v>
      </c>
      <c r="BF20" s="7">
        <v>0</v>
      </c>
      <c r="BG20" s="21"/>
    </row>
    <row r="21" spans="1:59" ht="15.6" x14ac:dyDescent="0.3">
      <c r="A21" s="5" t="s">
        <v>28</v>
      </c>
      <c r="B21" s="5" t="s">
        <v>29</v>
      </c>
      <c r="C21" s="7">
        <v>6</v>
      </c>
      <c r="D21" s="7">
        <v>6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21"/>
    </row>
    <row r="22" spans="1:59" ht="15.6" x14ac:dyDescent="0.3">
      <c r="A22" s="5" t="s">
        <v>30</v>
      </c>
      <c r="B22" s="5" t="s">
        <v>31</v>
      </c>
      <c r="C22" s="7">
        <v>5</v>
      </c>
      <c r="D22" s="7">
        <v>5</v>
      </c>
      <c r="E22" s="7">
        <v>0</v>
      </c>
      <c r="F22" s="7">
        <v>0</v>
      </c>
      <c r="G22" s="7">
        <v>0</v>
      </c>
      <c r="H22" s="7">
        <v>926494.47600000002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21"/>
    </row>
    <row r="23" spans="1:59" ht="15.6" x14ac:dyDescent="0.3">
      <c r="A23" s="5" t="s">
        <v>32</v>
      </c>
      <c r="B23" s="5" t="s">
        <v>33</v>
      </c>
      <c r="C23" s="7">
        <v>2</v>
      </c>
      <c r="D23" s="7">
        <v>2</v>
      </c>
      <c r="E23" s="7">
        <v>3060.1089999999999</v>
      </c>
      <c r="F23" s="7">
        <v>0</v>
      </c>
      <c r="G23" s="7">
        <v>1742.298</v>
      </c>
      <c r="H23" s="7">
        <v>0</v>
      </c>
      <c r="I23" s="7">
        <v>0</v>
      </c>
      <c r="J23" s="7">
        <v>1336.818</v>
      </c>
      <c r="K23" s="7">
        <v>0</v>
      </c>
      <c r="L23" s="7">
        <v>1178.5519999999999</v>
      </c>
      <c r="M23" s="7">
        <v>0</v>
      </c>
      <c r="N23" s="7">
        <v>4173.2020000000002</v>
      </c>
      <c r="O23" s="7">
        <v>4251.2070000000003</v>
      </c>
      <c r="P23" s="7">
        <v>1273.461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791.95399999999995</v>
      </c>
      <c r="AJ23" s="7">
        <v>0</v>
      </c>
      <c r="AK23" s="7">
        <v>0</v>
      </c>
      <c r="AL23" s="7">
        <v>3997.7820000000002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21"/>
    </row>
    <row r="24" spans="1:59" ht="15.6" x14ac:dyDescent="0.3">
      <c r="A24" s="5" t="s">
        <v>34</v>
      </c>
      <c r="B24" s="5" t="s">
        <v>35</v>
      </c>
      <c r="C24" s="7">
        <v>2</v>
      </c>
      <c r="D24" s="7">
        <v>2</v>
      </c>
      <c r="E24" s="7">
        <v>15104.897999999999</v>
      </c>
      <c r="F24" s="7">
        <v>5040.7089999999998</v>
      </c>
      <c r="G24" s="7">
        <v>4971.5839999999998</v>
      </c>
      <c r="H24" s="7">
        <v>0</v>
      </c>
      <c r="I24" s="7">
        <v>986.899</v>
      </c>
      <c r="J24" s="7">
        <v>3872.9830000000002</v>
      </c>
      <c r="K24" s="7">
        <v>30503.542000000001</v>
      </c>
      <c r="L24" s="7">
        <v>5021.893</v>
      </c>
      <c r="M24" s="7">
        <v>0</v>
      </c>
      <c r="N24" s="7">
        <v>8939.6880000000001</v>
      </c>
      <c r="O24" s="7">
        <v>21499.089</v>
      </c>
      <c r="P24" s="7">
        <v>13378.689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1560.1780000000001</v>
      </c>
      <c r="W24" s="7">
        <v>0</v>
      </c>
      <c r="X24" s="7">
        <v>0</v>
      </c>
      <c r="Y24" s="7">
        <v>0</v>
      </c>
      <c r="Z24" s="7">
        <v>526.36699999999996</v>
      </c>
      <c r="AA24" s="7">
        <v>1411.3620000000001</v>
      </c>
      <c r="AB24" s="7">
        <v>0</v>
      </c>
      <c r="AC24" s="7">
        <v>4665.3500000000004</v>
      </c>
      <c r="AD24" s="7">
        <v>0</v>
      </c>
      <c r="AE24" s="7">
        <v>4806.3710000000001</v>
      </c>
      <c r="AF24" s="7">
        <v>0</v>
      </c>
      <c r="AG24" s="7">
        <v>691.43</v>
      </c>
      <c r="AH24" s="7">
        <v>0</v>
      </c>
      <c r="AI24" s="7">
        <v>12039.767</v>
      </c>
      <c r="AJ24" s="7">
        <v>0</v>
      </c>
      <c r="AK24" s="7">
        <v>0</v>
      </c>
      <c r="AL24" s="7">
        <v>43513.112000000001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38.39</v>
      </c>
      <c r="AV24" s="7">
        <v>0</v>
      </c>
      <c r="AW24" s="7">
        <v>0</v>
      </c>
      <c r="AX24" s="7">
        <v>0</v>
      </c>
      <c r="AY24" s="7">
        <v>0</v>
      </c>
      <c r="AZ24" s="7">
        <v>1.8740000000000001</v>
      </c>
      <c r="BA24" s="7">
        <v>0</v>
      </c>
      <c r="BB24" s="7">
        <v>1132.51</v>
      </c>
      <c r="BC24" s="7">
        <v>0</v>
      </c>
      <c r="BD24" s="7">
        <v>0</v>
      </c>
      <c r="BE24" s="7">
        <v>33270.044999999998</v>
      </c>
      <c r="BF24" s="7">
        <v>0</v>
      </c>
      <c r="BG24" s="21"/>
    </row>
    <row r="25" spans="1:59" ht="15.6" x14ac:dyDescent="0.3">
      <c r="A25" s="5" t="s">
        <v>36</v>
      </c>
      <c r="B25" s="5" t="s">
        <v>37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21"/>
    </row>
    <row r="26" spans="1:59" ht="15.6" x14ac:dyDescent="0.3">
      <c r="A26" s="5" t="s">
        <v>38</v>
      </c>
      <c r="B26" s="5" t="s">
        <v>39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21"/>
    </row>
    <row r="27" spans="1:59" ht="15.6" x14ac:dyDescent="0.3">
      <c r="A27" s="5" t="s">
        <v>40</v>
      </c>
      <c r="B27" s="5" t="s">
        <v>41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21"/>
    </row>
    <row r="28" spans="1:59" ht="15.6" x14ac:dyDescent="0.3">
      <c r="A28" s="5" t="s">
        <v>42</v>
      </c>
      <c r="B28" s="5" t="s">
        <v>43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21"/>
    </row>
    <row r="29" spans="1:59" ht="15.6" x14ac:dyDescent="0.3">
      <c r="A29" s="5" t="s">
        <v>44</v>
      </c>
      <c r="B29" s="5" t="s">
        <v>45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21"/>
    </row>
    <row r="30" spans="1:59" ht="15.6" x14ac:dyDescent="0.3">
      <c r="A30" s="5" t="s">
        <v>46</v>
      </c>
      <c r="B30" s="5" t="s">
        <v>47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21"/>
    </row>
    <row r="31" spans="1:59" ht="15.6" x14ac:dyDescent="0.3">
      <c r="A31" s="5" t="s">
        <v>48</v>
      </c>
      <c r="B31" s="5" t="s">
        <v>49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21"/>
    </row>
    <row r="32" spans="1:59" ht="15.6" x14ac:dyDescent="0.3">
      <c r="A32" s="5" t="s">
        <v>50</v>
      </c>
      <c r="B32" s="5" t="s">
        <v>51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21"/>
    </row>
    <row r="33" spans="1:59" ht="15.6" x14ac:dyDescent="0.3">
      <c r="A33" s="5" t="s">
        <v>52</v>
      </c>
      <c r="B33" s="5" t="s">
        <v>53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21"/>
    </row>
    <row r="34" spans="1:59" ht="15.6" x14ac:dyDescent="0.3">
      <c r="A34" s="5" t="s">
        <v>54</v>
      </c>
      <c r="B34" s="5" t="s">
        <v>55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21"/>
    </row>
    <row r="35" spans="1:59" ht="15.6" x14ac:dyDescent="0.3">
      <c r="A35" s="5" t="s">
        <v>56</v>
      </c>
      <c r="B35" s="5" t="s">
        <v>57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19.722999999999999</v>
      </c>
      <c r="L35" s="7">
        <v>0</v>
      </c>
      <c r="M35" s="7">
        <v>4957.7330000000002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3562.2089999999998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649.97900000000004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21"/>
    </row>
    <row r="36" spans="1:59" ht="15.6" x14ac:dyDescent="0.3">
      <c r="A36" s="5" t="s">
        <v>58</v>
      </c>
      <c r="B36" s="5" t="s">
        <v>59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21"/>
    </row>
    <row r="37" spans="1:59" ht="15.6" x14ac:dyDescent="0.3">
      <c r="A37" s="5" t="s">
        <v>60</v>
      </c>
      <c r="B37" s="5" t="s">
        <v>61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21"/>
    </row>
    <row r="38" spans="1:59" ht="15.6" x14ac:dyDescent="0.3">
      <c r="A38" s="5" t="s">
        <v>62</v>
      </c>
      <c r="B38" s="5" t="s">
        <v>63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21"/>
    </row>
    <row r="39" spans="1:59" ht="15.6" x14ac:dyDescent="0.3">
      <c r="A39" s="5" t="s">
        <v>64</v>
      </c>
      <c r="B39" s="5" t="s">
        <v>65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21"/>
    </row>
    <row r="40" spans="1:59" ht="15.6" x14ac:dyDescent="0.3">
      <c r="A40" s="5" t="s">
        <v>66</v>
      </c>
      <c r="B40" s="5" t="s">
        <v>67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21"/>
    </row>
    <row r="41" spans="1:59" ht="15.6" x14ac:dyDescent="0.3">
      <c r="A41" s="5" t="s">
        <v>68</v>
      </c>
      <c r="B41" s="5" t="s">
        <v>69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21"/>
    </row>
    <row r="42" spans="1:59" ht="15.6" x14ac:dyDescent="0.3">
      <c r="A42" s="5" t="s">
        <v>70</v>
      </c>
      <c r="B42" s="5" t="s">
        <v>71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21"/>
    </row>
    <row r="43" spans="1:59" ht="15.6" x14ac:dyDescent="0.3">
      <c r="A43" s="5" t="s">
        <v>72</v>
      </c>
      <c r="B43" s="5" t="s">
        <v>73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21"/>
    </row>
    <row r="44" spans="1:59" ht="15.6" x14ac:dyDescent="0.3">
      <c r="A44" s="5" t="s">
        <v>74</v>
      </c>
      <c r="B44" s="5" t="s">
        <v>75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21"/>
    </row>
    <row r="45" spans="1:59" ht="15.6" x14ac:dyDescent="0.3">
      <c r="A45" s="5" t="s">
        <v>76</v>
      </c>
      <c r="B45" s="5" t="s">
        <v>77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21"/>
    </row>
    <row r="46" spans="1:59" ht="15.6" x14ac:dyDescent="0.3">
      <c r="A46" s="5" t="s">
        <v>78</v>
      </c>
      <c r="B46" s="5" t="s">
        <v>79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21"/>
    </row>
    <row r="47" spans="1:59" ht="15.6" x14ac:dyDescent="0.3">
      <c r="A47" s="5" t="s">
        <v>80</v>
      </c>
      <c r="B47" s="5" t="s">
        <v>81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21"/>
    </row>
    <row r="48" spans="1:59" ht="15.6" x14ac:dyDescent="0.3">
      <c r="A48" s="5" t="s">
        <v>82</v>
      </c>
      <c r="B48" s="5" t="s">
        <v>83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21"/>
    </row>
    <row r="49" spans="1:59" ht="15.6" x14ac:dyDescent="0.3">
      <c r="A49" s="5" t="s">
        <v>84</v>
      </c>
      <c r="B49" s="5" t="s">
        <v>85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21"/>
    </row>
    <row r="50" spans="1:59" ht="15.6" x14ac:dyDescent="0.3">
      <c r="A50" s="5" t="s">
        <v>86</v>
      </c>
      <c r="B50" s="5" t="s">
        <v>87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21"/>
    </row>
    <row r="51" spans="1:59" ht="15.6" x14ac:dyDescent="0.3">
      <c r="A51" s="5" t="s">
        <v>88</v>
      </c>
      <c r="B51" s="5" t="s">
        <v>89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21"/>
    </row>
    <row r="52" spans="1:59" ht="15.6" x14ac:dyDescent="0.3">
      <c r="A52" s="5" t="s">
        <v>90</v>
      </c>
      <c r="B52" s="5" t="s">
        <v>91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21"/>
    </row>
    <row r="53" spans="1:59" ht="15.6" x14ac:dyDescent="0.3">
      <c r="A53" s="5" t="s">
        <v>92</v>
      </c>
      <c r="B53" s="5" t="s">
        <v>93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21"/>
    </row>
    <row r="54" spans="1:59" ht="15.6" x14ac:dyDescent="0.3">
      <c r="A54" s="5" t="s">
        <v>94</v>
      </c>
      <c r="B54" s="5" t="s">
        <v>95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21"/>
    </row>
    <row r="55" spans="1:59" ht="15.6" x14ac:dyDescent="0.3">
      <c r="A55" s="5" t="s">
        <v>96</v>
      </c>
      <c r="B55" s="5" t="s">
        <v>97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21"/>
    </row>
    <row r="56" spans="1:59" ht="15.6" x14ac:dyDescent="0.3">
      <c r="A56" s="5" t="s">
        <v>98</v>
      </c>
      <c r="B56" s="5" t="s">
        <v>99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21"/>
    </row>
    <row r="57" spans="1:59" ht="15.6" x14ac:dyDescent="0.3">
      <c r="A57" s="5" t="s">
        <v>100</v>
      </c>
      <c r="B57" s="5" t="s">
        <v>101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21"/>
    </row>
    <row r="58" spans="1:59" ht="15.6" x14ac:dyDescent="0.3">
      <c r="A58" s="5" t="s">
        <v>102</v>
      </c>
      <c r="B58" s="5" t="s">
        <v>103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21"/>
    </row>
    <row r="59" spans="1:59" ht="15.6" x14ac:dyDescent="0.3">
      <c r="A59" s="5" t="s">
        <v>104</v>
      </c>
      <c r="B59" s="5" t="s">
        <v>105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21"/>
    </row>
    <row r="60" spans="1:59" ht="15.6" x14ac:dyDescent="0.3">
      <c r="A60" s="5" t="s">
        <v>106</v>
      </c>
      <c r="B60" s="5" t="s">
        <v>107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21"/>
    </row>
    <row r="61" spans="1:59" ht="15.6" x14ac:dyDescent="0.3">
      <c r="A61" s="5" t="s">
        <v>108</v>
      </c>
      <c r="B61" s="5" t="s">
        <v>109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21"/>
    </row>
    <row r="62" spans="1:59" ht="15.6" x14ac:dyDescent="0.3">
      <c r="A62" s="5" t="s">
        <v>110</v>
      </c>
      <c r="B62" s="5" t="s">
        <v>111</v>
      </c>
      <c r="C62" s="7">
        <v>3</v>
      </c>
      <c r="D62" s="7">
        <v>3</v>
      </c>
      <c r="E62" s="7">
        <v>563479.54200000002</v>
      </c>
      <c r="F62" s="7">
        <v>88955.233999999997</v>
      </c>
      <c r="G62" s="7">
        <v>246732.02299999999</v>
      </c>
      <c r="H62" s="7">
        <v>4884.0050000000001</v>
      </c>
      <c r="I62" s="7">
        <v>19942.028999999999</v>
      </c>
      <c r="J62" s="7">
        <v>164453.93</v>
      </c>
      <c r="K62" s="7">
        <v>124499.212</v>
      </c>
      <c r="L62" s="7">
        <v>177969.405</v>
      </c>
      <c r="M62" s="7">
        <v>0</v>
      </c>
      <c r="N62" s="7">
        <v>392862.29100000003</v>
      </c>
      <c r="O62" s="7">
        <v>330816.83399999997</v>
      </c>
      <c r="P62" s="7">
        <v>376964.52600000001</v>
      </c>
      <c r="Q62" s="7">
        <v>0</v>
      </c>
      <c r="R62" s="7">
        <v>0</v>
      </c>
      <c r="S62" s="7">
        <v>127.017</v>
      </c>
      <c r="T62" s="7">
        <v>1366.3109999999999</v>
      </c>
      <c r="U62" s="7">
        <v>5471.8459999999995</v>
      </c>
      <c r="V62" s="7">
        <v>37233.203999999998</v>
      </c>
      <c r="W62" s="7">
        <v>0</v>
      </c>
      <c r="X62" s="7">
        <v>11454.349</v>
      </c>
      <c r="Y62" s="7">
        <v>0</v>
      </c>
      <c r="Z62" s="7">
        <v>17997.085999999999</v>
      </c>
      <c r="AA62" s="7">
        <v>51209.777000000002</v>
      </c>
      <c r="AB62" s="7">
        <v>0</v>
      </c>
      <c r="AC62" s="7">
        <v>95401.114000000001</v>
      </c>
      <c r="AD62" s="7">
        <v>0</v>
      </c>
      <c r="AE62" s="7">
        <v>188239.78700000001</v>
      </c>
      <c r="AF62" s="7">
        <v>0</v>
      </c>
      <c r="AG62" s="7">
        <v>15520.552</v>
      </c>
      <c r="AH62" s="7">
        <v>254.06100000000001</v>
      </c>
      <c r="AI62" s="7">
        <v>167814.25399999999</v>
      </c>
      <c r="AJ62" s="7">
        <v>0</v>
      </c>
      <c r="AK62" s="7">
        <v>444.49099999999999</v>
      </c>
      <c r="AL62" s="7">
        <v>858039.25</v>
      </c>
      <c r="AM62" s="7">
        <v>0</v>
      </c>
      <c r="AN62" s="7">
        <v>0</v>
      </c>
      <c r="AO62" s="7">
        <v>0</v>
      </c>
      <c r="AP62" s="7">
        <v>33013.409</v>
      </c>
      <c r="AQ62" s="7">
        <v>28697.481</v>
      </c>
      <c r="AR62" s="7">
        <v>0</v>
      </c>
      <c r="AS62" s="7">
        <v>0</v>
      </c>
      <c r="AT62" s="7">
        <v>0</v>
      </c>
      <c r="AU62" s="7">
        <v>1003.252</v>
      </c>
      <c r="AV62" s="7">
        <v>3249.6729999999998</v>
      </c>
      <c r="AW62" s="7">
        <v>0</v>
      </c>
      <c r="AX62" s="7">
        <v>0</v>
      </c>
      <c r="AY62" s="7">
        <v>0</v>
      </c>
      <c r="AZ62" s="7">
        <v>246.43799999999999</v>
      </c>
      <c r="BA62" s="7">
        <v>0</v>
      </c>
      <c r="BB62" s="7">
        <v>9571.0669999999991</v>
      </c>
      <c r="BC62" s="7">
        <v>0</v>
      </c>
      <c r="BD62" s="7">
        <v>0</v>
      </c>
      <c r="BE62" s="7">
        <v>0</v>
      </c>
      <c r="BF62" s="7">
        <v>0</v>
      </c>
      <c r="BG62" s="21"/>
    </row>
    <row r="63" spans="1:59" ht="15.6" x14ac:dyDescent="0.3">
      <c r="A63" s="5" t="s">
        <v>112</v>
      </c>
      <c r="B63" s="5" t="s">
        <v>113</v>
      </c>
      <c r="C63" s="7">
        <v>3</v>
      </c>
      <c r="D63" s="7">
        <v>3</v>
      </c>
      <c r="E63" s="7">
        <v>4175.6779999999999</v>
      </c>
      <c r="F63" s="7">
        <v>830.14300000000003</v>
      </c>
      <c r="G63" s="7">
        <v>1667.556</v>
      </c>
      <c r="H63" s="7">
        <v>0</v>
      </c>
      <c r="I63" s="7">
        <v>160.72999999999999</v>
      </c>
      <c r="J63" s="7">
        <v>1063.482</v>
      </c>
      <c r="K63" s="7">
        <v>1242.982</v>
      </c>
      <c r="L63" s="7">
        <v>1370.4380000000001</v>
      </c>
      <c r="M63" s="7">
        <v>0</v>
      </c>
      <c r="N63" s="7">
        <v>3031.299</v>
      </c>
      <c r="O63" s="7">
        <v>3165.27</v>
      </c>
      <c r="P63" s="7">
        <v>2859.2379999999998</v>
      </c>
      <c r="Q63" s="7">
        <v>0</v>
      </c>
      <c r="R63" s="7">
        <v>0</v>
      </c>
      <c r="S63" s="7">
        <v>0.38900000000000001</v>
      </c>
      <c r="T63" s="7">
        <v>138.786</v>
      </c>
      <c r="U63" s="7">
        <v>555.81600000000003</v>
      </c>
      <c r="V63" s="7">
        <v>350.351</v>
      </c>
      <c r="W63" s="7">
        <v>0</v>
      </c>
      <c r="X63" s="7">
        <v>1163.502</v>
      </c>
      <c r="Y63" s="7">
        <v>0</v>
      </c>
      <c r="Z63" s="7">
        <v>152.691</v>
      </c>
      <c r="AA63" s="7">
        <v>357.73399999999998</v>
      </c>
      <c r="AB63" s="7">
        <v>0</v>
      </c>
      <c r="AC63" s="7">
        <v>844.18399999999997</v>
      </c>
      <c r="AD63" s="7">
        <v>0</v>
      </c>
      <c r="AE63" s="7">
        <v>1178.8510000000001</v>
      </c>
      <c r="AF63" s="7">
        <v>0</v>
      </c>
      <c r="AG63" s="7">
        <v>145.41499999999999</v>
      </c>
      <c r="AH63" s="7">
        <v>0</v>
      </c>
      <c r="AI63" s="7">
        <v>1051.164</v>
      </c>
      <c r="AJ63" s="7">
        <v>0</v>
      </c>
      <c r="AK63" s="7">
        <v>0</v>
      </c>
      <c r="AL63" s="7">
        <v>6019.6909999999998</v>
      </c>
      <c r="AM63" s="7">
        <v>0</v>
      </c>
      <c r="AN63" s="7">
        <v>0</v>
      </c>
      <c r="AO63" s="7">
        <v>0</v>
      </c>
      <c r="AP63" s="7">
        <v>3353.4140000000002</v>
      </c>
      <c r="AQ63" s="7">
        <v>2915.0140000000001</v>
      </c>
      <c r="AR63" s="7">
        <v>0</v>
      </c>
      <c r="AS63" s="7">
        <v>0</v>
      </c>
      <c r="AT63" s="7">
        <v>0</v>
      </c>
      <c r="AU63" s="7">
        <v>6.1550000000000002</v>
      </c>
      <c r="AV63" s="7">
        <v>330.09300000000002</v>
      </c>
      <c r="AW63" s="7">
        <v>0</v>
      </c>
      <c r="AX63" s="7">
        <v>0</v>
      </c>
      <c r="AY63" s="7">
        <v>0</v>
      </c>
      <c r="AZ63" s="7">
        <v>3.2519999999999998</v>
      </c>
      <c r="BA63" s="7">
        <v>0</v>
      </c>
      <c r="BB63" s="7">
        <v>96.929000000000002</v>
      </c>
      <c r="BC63" s="7">
        <v>0</v>
      </c>
      <c r="BD63" s="7">
        <v>0</v>
      </c>
      <c r="BE63" s="7">
        <v>0</v>
      </c>
      <c r="BF63" s="7">
        <v>0</v>
      </c>
      <c r="BG63" s="21"/>
    </row>
    <row r="64" spans="1:59" ht="15.6" x14ac:dyDescent="0.3">
      <c r="A64" s="5" t="s">
        <v>114</v>
      </c>
      <c r="B64" s="5" t="s">
        <v>115</v>
      </c>
      <c r="C64" s="7">
        <v>3</v>
      </c>
      <c r="D64" s="7">
        <v>3</v>
      </c>
      <c r="E64" s="7">
        <v>108018.595</v>
      </c>
      <c r="F64" s="7">
        <v>19836.664000000001</v>
      </c>
      <c r="G64" s="7">
        <v>44678.521999999997</v>
      </c>
      <c r="H64" s="7">
        <v>190.47499999999999</v>
      </c>
      <c r="I64" s="7">
        <v>4033.7689999999998</v>
      </c>
      <c r="J64" s="7">
        <v>28997.89</v>
      </c>
      <c r="K64" s="7">
        <v>29292.823</v>
      </c>
      <c r="L64" s="7">
        <v>34956.855000000003</v>
      </c>
      <c r="M64" s="7">
        <v>52420.847000000002</v>
      </c>
      <c r="N64" s="7">
        <v>77265.546000000002</v>
      </c>
      <c r="O64" s="7">
        <v>75041.831999999995</v>
      </c>
      <c r="P64" s="7">
        <v>73334.391000000003</v>
      </c>
      <c r="Q64" s="7">
        <v>940.40700000000004</v>
      </c>
      <c r="R64" s="7">
        <v>0</v>
      </c>
      <c r="S64" s="7">
        <v>15.353</v>
      </c>
      <c r="T64" s="7">
        <v>552.55799999999999</v>
      </c>
      <c r="U64" s="7">
        <v>2212.902</v>
      </c>
      <c r="V64" s="7">
        <v>8349.8510000000006</v>
      </c>
      <c r="W64" s="7">
        <v>0</v>
      </c>
      <c r="X64" s="7">
        <v>4632.3220000000001</v>
      </c>
      <c r="Y64" s="7">
        <v>37665.197999999997</v>
      </c>
      <c r="Z64" s="7">
        <v>3764.7379999999998</v>
      </c>
      <c r="AA64" s="7">
        <v>9462.5259999999998</v>
      </c>
      <c r="AB64" s="7">
        <v>0</v>
      </c>
      <c r="AC64" s="7">
        <v>20523.048999999999</v>
      </c>
      <c r="AD64" s="7">
        <v>0</v>
      </c>
      <c r="AE64" s="7">
        <v>32565.805</v>
      </c>
      <c r="AF64" s="7">
        <v>0</v>
      </c>
      <c r="AG64" s="7">
        <v>3470.3919999999998</v>
      </c>
      <c r="AH64" s="7">
        <v>0</v>
      </c>
      <c r="AI64" s="7">
        <v>29035.873</v>
      </c>
      <c r="AJ64" s="7">
        <v>0</v>
      </c>
      <c r="AK64" s="7">
        <v>211.703</v>
      </c>
      <c r="AL64" s="7">
        <v>158967.09899999999</v>
      </c>
      <c r="AM64" s="7">
        <v>0</v>
      </c>
      <c r="AN64" s="7">
        <v>0</v>
      </c>
      <c r="AO64" s="7">
        <v>0</v>
      </c>
      <c r="AP64" s="7">
        <v>13351.15</v>
      </c>
      <c r="AQ64" s="7">
        <v>11605.72</v>
      </c>
      <c r="AR64" s="7">
        <v>0</v>
      </c>
      <c r="AS64" s="7">
        <v>6872.5829999999996</v>
      </c>
      <c r="AT64" s="7">
        <v>0</v>
      </c>
      <c r="AU64" s="7">
        <v>171.476</v>
      </c>
      <c r="AV64" s="7">
        <v>1314.22</v>
      </c>
      <c r="AW64" s="7">
        <v>0</v>
      </c>
      <c r="AX64" s="7">
        <v>0</v>
      </c>
      <c r="AY64" s="7">
        <v>0</v>
      </c>
      <c r="AZ64" s="7">
        <v>70.456999999999994</v>
      </c>
      <c r="BA64" s="7">
        <v>0</v>
      </c>
      <c r="BB64" s="7">
        <v>2413.4740000000002</v>
      </c>
      <c r="BC64" s="7">
        <v>0</v>
      </c>
      <c r="BD64" s="7">
        <v>0</v>
      </c>
      <c r="BE64" s="7">
        <v>0</v>
      </c>
      <c r="BF64" s="7">
        <v>0</v>
      </c>
      <c r="BG64" s="21"/>
    </row>
    <row r="65" spans="1:59" ht="15.6" x14ac:dyDescent="0.3">
      <c r="A65" s="5" t="s">
        <v>116</v>
      </c>
      <c r="B65" s="5" t="s">
        <v>117</v>
      </c>
      <c r="C65" s="7">
        <v>3</v>
      </c>
      <c r="D65" s="7">
        <v>3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21"/>
    </row>
    <row r="66" spans="1:59" ht="15.6" x14ac:dyDescent="0.3">
      <c r="A66" s="5" t="s">
        <v>118</v>
      </c>
      <c r="B66" s="5" t="s">
        <v>119</v>
      </c>
      <c r="C66" s="7">
        <v>3</v>
      </c>
      <c r="D66" s="7">
        <v>3</v>
      </c>
      <c r="E66" s="7">
        <v>126615.474</v>
      </c>
      <c r="F66" s="7">
        <v>25863.932000000001</v>
      </c>
      <c r="G66" s="7">
        <v>49859.097999999998</v>
      </c>
      <c r="H66" s="7">
        <v>26922.881000000001</v>
      </c>
      <c r="I66" s="7">
        <v>4864.1869999999999</v>
      </c>
      <c r="J66" s="7">
        <v>31718.238000000001</v>
      </c>
      <c r="K66" s="7">
        <v>38587.620000000003</v>
      </c>
      <c r="L66" s="7">
        <v>41811.341999999997</v>
      </c>
      <c r="M66" s="7">
        <v>0</v>
      </c>
      <c r="N66" s="7">
        <v>91188.743000000002</v>
      </c>
      <c r="O66" s="7">
        <v>102020.883</v>
      </c>
      <c r="P66" s="7">
        <v>86420.862999999998</v>
      </c>
      <c r="Q66" s="7">
        <v>0</v>
      </c>
      <c r="R66" s="7">
        <v>0</v>
      </c>
      <c r="S66" s="7">
        <v>9.1950000000000003</v>
      </c>
      <c r="T66" s="7">
        <v>457.41199999999998</v>
      </c>
      <c r="U66" s="7">
        <v>1831.8589999999999</v>
      </c>
      <c r="V66" s="7">
        <v>10806.465</v>
      </c>
      <c r="W66" s="7">
        <v>0</v>
      </c>
      <c r="X66" s="7">
        <v>3834.6759999999999</v>
      </c>
      <c r="Y66" s="7">
        <v>0</v>
      </c>
      <c r="Z66" s="7">
        <v>4651.8680000000004</v>
      </c>
      <c r="AA66" s="7">
        <v>10603.126</v>
      </c>
      <c r="AB66" s="7">
        <v>0</v>
      </c>
      <c r="AC66" s="7">
        <v>26019.834999999999</v>
      </c>
      <c r="AD66" s="7">
        <v>0</v>
      </c>
      <c r="AE66" s="7">
        <v>34412.536</v>
      </c>
      <c r="AF66" s="7">
        <v>0</v>
      </c>
      <c r="AG66" s="7">
        <v>4483.1120000000001</v>
      </c>
      <c r="AH66" s="7">
        <v>0</v>
      </c>
      <c r="AI66" s="7">
        <v>31618.179</v>
      </c>
      <c r="AJ66" s="7">
        <v>0</v>
      </c>
      <c r="AK66" s="7">
        <v>0</v>
      </c>
      <c r="AL66" s="7">
        <v>182086.61600000001</v>
      </c>
      <c r="AM66" s="7">
        <v>0</v>
      </c>
      <c r="AN66" s="7">
        <v>0</v>
      </c>
      <c r="AO66" s="7">
        <v>0</v>
      </c>
      <c r="AP66" s="7">
        <v>11052.197</v>
      </c>
      <c r="AQ66" s="7">
        <v>9607.3150000000005</v>
      </c>
      <c r="AR66" s="7">
        <v>0</v>
      </c>
      <c r="AS66" s="7">
        <v>0</v>
      </c>
      <c r="AT66" s="7">
        <v>0</v>
      </c>
      <c r="AU66" s="7">
        <v>178.428</v>
      </c>
      <c r="AV66" s="7">
        <v>1087.922</v>
      </c>
      <c r="AW66" s="7">
        <v>0</v>
      </c>
      <c r="AX66" s="7">
        <v>0</v>
      </c>
      <c r="AY66" s="7">
        <v>0</v>
      </c>
      <c r="AZ66" s="7">
        <v>103.536</v>
      </c>
      <c r="BA66" s="7">
        <v>0</v>
      </c>
      <c r="BB66" s="7">
        <v>3138.4349999999999</v>
      </c>
      <c r="BC66" s="7">
        <v>0</v>
      </c>
      <c r="BD66" s="7">
        <v>0</v>
      </c>
      <c r="BE66" s="7">
        <v>0</v>
      </c>
      <c r="BF66" s="7">
        <v>0</v>
      </c>
      <c r="BG66" s="21"/>
    </row>
    <row r="67" spans="1:59" ht="15.6" x14ac:dyDescent="0.3">
      <c r="A67" s="5" t="s">
        <v>120</v>
      </c>
      <c r="B67" s="5" t="s">
        <v>121</v>
      </c>
      <c r="C67" s="7">
        <v>3</v>
      </c>
      <c r="D67" s="7">
        <v>3</v>
      </c>
      <c r="E67" s="7">
        <v>20887.544999999998</v>
      </c>
      <c r="F67" s="7">
        <v>4278.6030000000001</v>
      </c>
      <c r="G67" s="7">
        <v>8222.8070000000007</v>
      </c>
      <c r="H67" s="7">
        <v>530.63599999999997</v>
      </c>
      <c r="I67" s="7">
        <v>813.55200000000002</v>
      </c>
      <c r="J67" s="7">
        <v>5205.2790000000005</v>
      </c>
      <c r="K67" s="7">
        <v>6453.9129999999996</v>
      </c>
      <c r="L67" s="7">
        <v>6893.2439999999997</v>
      </c>
      <c r="M67" s="7">
        <v>0</v>
      </c>
      <c r="N67" s="7">
        <v>15251.632</v>
      </c>
      <c r="O67" s="7">
        <v>16359.674000000001</v>
      </c>
      <c r="P67" s="7">
        <v>14350.936</v>
      </c>
      <c r="Q67" s="7">
        <v>0</v>
      </c>
      <c r="R67" s="7">
        <v>0</v>
      </c>
      <c r="S67" s="7">
        <v>1.538</v>
      </c>
      <c r="T67" s="7">
        <v>93.006</v>
      </c>
      <c r="U67" s="7">
        <v>372.47300000000001</v>
      </c>
      <c r="V67" s="7">
        <v>1807.4190000000001</v>
      </c>
      <c r="W67" s="7">
        <v>0</v>
      </c>
      <c r="X67" s="7">
        <v>779.70799999999997</v>
      </c>
      <c r="Y67" s="7">
        <v>0</v>
      </c>
      <c r="Z67" s="7">
        <v>778.04100000000005</v>
      </c>
      <c r="AA67" s="7">
        <v>1773.4090000000001</v>
      </c>
      <c r="AB67" s="7">
        <v>0</v>
      </c>
      <c r="AC67" s="7">
        <v>4323.9669999999996</v>
      </c>
      <c r="AD67" s="7">
        <v>0</v>
      </c>
      <c r="AE67" s="7">
        <v>5737.4610000000002</v>
      </c>
      <c r="AF67" s="7">
        <v>0</v>
      </c>
      <c r="AG67" s="7">
        <v>749.81600000000003</v>
      </c>
      <c r="AH67" s="7">
        <v>0</v>
      </c>
      <c r="AI67" s="7">
        <v>5116.2120000000004</v>
      </c>
      <c r="AJ67" s="7">
        <v>0</v>
      </c>
      <c r="AK67" s="7">
        <v>0</v>
      </c>
      <c r="AL67" s="7">
        <v>29861.772000000001</v>
      </c>
      <c r="AM67" s="7">
        <v>0</v>
      </c>
      <c r="AN67" s="7">
        <v>0</v>
      </c>
      <c r="AO67" s="7">
        <v>0</v>
      </c>
      <c r="AP67" s="7">
        <v>2247.252</v>
      </c>
      <c r="AQ67" s="7">
        <v>1953.463</v>
      </c>
      <c r="AR67" s="7">
        <v>0</v>
      </c>
      <c r="AS67" s="7">
        <v>0</v>
      </c>
      <c r="AT67" s="7">
        <v>0</v>
      </c>
      <c r="AU67" s="7">
        <v>29.843</v>
      </c>
      <c r="AV67" s="7">
        <v>221.208</v>
      </c>
      <c r="AW67" s="7">
        <v>0</v>
      </c>
      <c r="AX67" s="7">
        <v>0</v>
      </c>
      <c r="AY67" s="7">
        <v>0</v>
      </c>
      <c r="AZ67" s="7">
        <v>17.317</v>
      </c>
      <c r="BA67" s="7">
        <v>0</v>
      </c>
      <c r="BB67" s="7">
        <v>533.08900000000006</v>
      </c>
      <c r="BC67" s="7">
        <v>0</v>
      </c>
      <c r="BD67" s="7">
        <v>0</v>
      </c>
      <c r="BE67" s="7">
        <v>0</v>
      </c>
      <c r="BF67" s="7">
        <v>0</v>
      </c>
      <c r="BG67" s="21"/>
    </row>
    <row r="68" spans="1:59" ht="15.6" x14ac:dyDescent="0.3">
      <c r="A68" s="5" t="s">
        <v>122</v>
      </c>
      <c r="B68" s="5" t="s">
        <v>123</v>
      </c>
      <c r="C68" s="7">
        <v>3</v>
      </c>
      <c r="D68" s="7">
        <v>3</v>
      </c>
      <c r="E68" s="7">
        <v>109252.626</v>
      </c>
      <c r="F68" s="7">
        <v>22379.298999999999</v>
      </c>
      <c r="G68" s="7">
        <v>43009.517999999996</v>
      </c>
      <c r="H68" s="7">
        <v>0</v>
      </c>
      <c r="I68" s="7">
        <v>4255.2969999999996</v>
      </c>
      <c r="J68" s="7">
        <v>27226.294000000002</v>
      </c>
      <c r="K68" s="7">
        <v>33793.472000000002</v>
      </c>
      <c r="L68" s="7">
        <v>36055.218999999997</v>
      </c>
      <c r="M68" s="7">
        <v>9095.027</v>
      </c>
      <c r="N68" s="7">
        <v>79773.896999999997</v>
      </c>
      <c r="O68" s="7">
        <v>85569.53</v>
      </c>
      <c r="P68" s="7">
        <v>75062.794999999998</v>
      </c>
      <c r="Q68" s="7">
        <v>0</v>
      </c>
      <c r="R68" s="7">
        <v>0</v>
      </c>
      <c r="S68" s="7">
        <v>8.0440000000000005</v>
      </c>
      <c r="T68" s="7">
        <v>686.64599999999996</v>
      </c>
      <c r="U68" s="7">
        <v>2749.902</v>
      </c>
      <c r="V68" s="7">
        <v>9453.7309999999998</v>
      </c>
      <c r="W68" s="7">
        <v>0</v>
      </c>
      <c r="X68" s="7">
        <v>5756.4359999999997</v>
      </c>
      <c r="Y68" s="7">
        <v>6534.9189999999999</v>
      </c>
      <c r="Z68" s="7">
        <v>4069.5549999999998</v>
      </c>
      <c r="AA68" s="7">
        <v>9275.8449999999993</v>
      </c>
      <c r="AB68" s="7">
        <v>0</v>
      </c>
      <c r="AC68" s="7">
        <v>22616.576000000001</v>
      </c>
      <c r="AD68" s="7">
        <v>0</v>
      </c>
      <c r="AE68" s="7">
        <v>30009.881000000001</v>
      </c>
      <c r="AF68" s="7">
        <v>0</v>
      </c>
      <c r="AG68" s="7">
        <v>3921.924</v>
      </c>
      <c r="AH68" s="7">
        <v>102.76</v>
      </c>
      <c r="AI68" s="7">
        <v>26760.423999999999</v>
      </c>
      <c r="AJ68" s="7">
        <v>0</v>
      </c>
      <c r="AK68" s="7">
        <v>0</v>
      </c>
      <c r="AL68" s="7">
        <v>156192.45800000001</v>
      </c>
      <c r="AM68" s="7">
        <v>0</v>
      </c>
      <c r="AN68" s="7">
        <v>0</v>
      </c>
      <c r="AO68" s="7">
        <v>0</v>
      </c>
      <c r="AP68" s="7">
        <v>16591.043000000001</v>
      </c>
      <c r="AQ68" s="7">
        <v>14422.053</v>
      </c>
      <c r="AR68" s="7">
        <v>0</v>
      </c>
      <c r="AS68" s="7">
        <v>1192.394</v>
      </c>
      <c r="AT68" s="7">
        <v>0</v>
      </c>
      <c r="AU68" s="7">
        <v>156.09299999999999</v>
      </c>
      <c r="AV68" s="7">
        <v>1633.1379999999999</v>
      </c>
      <c r="AW68" s="7">
        <v>0</v>
      </c>
      <c r="AX68" s="7">
        <v>0</v>
      </c>
      <c r="AY68" s="7">
        <v>0</v>
      </c>
      <c r="AZ68" s="7">
        <v>90.575000000000003</v>
      </c>
      <c r="BA68" s="7">
        <v>0</v>
      </c>
      <c r="BB68" s="7">
        <v>2774.4229999999998</v>
      </c>
      <c r="BC68" s="7">
        <v>0</v>
      </c>
      <c r="BD68" s="7">
        <v>0</v>
      </c>
      <c r="BE68" s="7">
        <v>0</v>
      </c>
      <c r="BF68" s="7">
        <v>0</v>
      </c>
      <c r="BG68" s="21"/>
    </row>
    <row r="69" spans="1:59" ht="15.6" x14ac:dyDescent="0.3">
      <c r="A69" s="5" t="s">
        <v>124</v>
      </c>
      <c r="B69" s="5" t="s">
        <v>125</v>
      </c>
      <c r="C69" s="7">
        <v>3</v>
      </c>
      <c r="D69" s="7">
        <v>3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21"/>
    </row>
    <row r="70" spans="1:59" ht="15.6" x14ac:dyDescent="0.3">
      <c r="A70" s="5" t="s">
        <v>126</v>
      </c>
      <c r="B70" s="5" t="s">
        <v>127</v>
      </c>
      <c r="C70" s="7">
        <v>3</v>
      </c>
      <c r="D70" s="7">
        <v>3</v>
      </c>
      <c r="E70" s="7">
        <v>32910.586000000003</v>
      </c>
      <c r="F70" s="7">
        <v>6741.402</v>
      </c>
      <c r="G70" s="7">
        <v>12955.921</v>
      </c>
      <c r="H70" s="7">
        <v>11182.411</v>
      </c>
      <c r="I70" s="7">
        <v>1281.8389999999999</v>
      </c>
      <c r="J70" s="7">
        <v>8201.4809999999998</v>
      </c>
      <c r="K70" s="7">
        <v>10168.837</v>
      </c>
      <c r="L70" s="7">
        <v>10861.050999999999</v>
      </c>
      <c r="M70" s="7">
        <v>0</v>
      </c>
      <c r="N70" s="7">
        <v>24030.596000000001</v>
      </c>
      <c r="O70" s="7">
        <v>25776.436000000002</v>
      </c>
      <c r="P70" s="7">
        <v>22611.452000000001</v>
      </c>
      <c r="Q70" s="7">
        <v>0</v>
      </c>
      <c r="R70" s="7">
        <v>0</v>
      </c>
      <c r="S70" s="7">
        <v>2.423</v>
      </c>
      <c r="T70" s="7">
        <v>0</v>
      </c>
      <c r="U70" s="7">
        <v>0</v>
      </c>
      <c r="V70" s="7">
        <v>2847.7829999999999</v>
      </c>
      <c r="W70" s="7">
        <v>0</v>
      </c>
      <c r="X70" s="7">
        <v>0</v>
      </c>
      <c r="Y70" s="7">
        <v>0</v>
      </c>
      <c r="Z70" s="7">
        <v>1225.8879999999999</v>
      </c>
      <c r="AA70" s="7">
        <v>2794.1979999999999</v>
      </c>
      <c r="AB70" s="7">
        <v>0</v>
      </c>
      <c r="AC70" s="7">
        <v>6812.8779999999997</v>
      </c>
      <c r="AD70" s="7">
        <v>0</v>
      </c>
      <c r="AE70" s="7">
        <v>9039.991</v>
      </c>
      <c r="AF70" s="7">
        <v>0</v>
      </c>
      <c r="AG70" s="7">
        <v>1181.4159999999999</v>
      </c>
      <c r="AH70" s="7">
        <v>0</v>
      </c>
      <c r="AI70" s="7">
        <v>8061.1450000000004</v>
      </c>
      <c r="AJ70" s="7">
        <v>0</v>
      </c>
      <c r="AK70" s="7">
        <v>0</v>
      </c>
      <c r="AL70" s="7">
        <v>47050.45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47.02</v>
      </c>
      <c r="AV70" s="7">
        <v>0</v>
      </c>
      <c r="AW70" s="7">
        <v>0</v>
      </c>
      <c r="AX70" s="7">
        <v>0</v>
      </c>
      <c r="AY70" s="7">
        <v>0</v>
      </c>
      <c r="AZ70" s="7">
        <v>27.283999999999999</v>
      </c>
      <c r="BA70" s="7">
        <v>0</v>
      </c>
      <c r="BB70" s="7">
        <v>797.70500000000004</v>
      </c>
      <c r="BC70" s="7">
        <v>0</v>
      </c>
      <c r="BD70" s="7">
        <v>0</v>
      </c>
      <c r="BE70" s="7">
        <v>0</v>
      </c>
      <c r="BF70" s="7">
        <v>0</v>
      </c>
      <c r="BG70" s="21"/>
    </row>
    <row r="71" spans="1:59" ht="15.6" x14ac:dyDescent="0.3">
      <c r="A71" s="5" t="s">
        <v>128</v>
      </c>
      <c r="B71" s="5" t="s">
        <v>129</v>
      </c>
      <c r="C71" s="7">
        <v>3</v>
      </c>
      <c r="D71" s="7">
        <v>3</v>
      </c>
      <c r="E71" s="7">
        <v>8712.0049999999992</v>
      </c>
      <c r="F71" s="7">
        <v>1784.566</v>
      </c>
      <c r="G71" s="7">
        <v>3429.6579999999999</v>
      </c>
      <c r="H71" s="7">
        <v>2462.4</v>
      </c>
      <c r="I71" s="7">
        <v>339.32499999999999</v>
      </c>
      <c r="J71" s="7">
        <v>2171.0749999999998</v>
      </c>
      <c r="K71" s="7">
        <v>2691.8679999999999</v>
      </c>
      <c r="L71" s="7">
        <v>2875.1089999999999</v>
      </c>
      <c r="M71" s="7">
        <v>0</v>
      </c>
      <c r="N71" s="7">
        <v>6361.317</v>
      </c>
      <c r="O71" s="7">
        <v>6823.4719999999998</v>
      </c>
      <c r="P71" s="7">
        <v>5985.6450000000004</v>
      </c>
      <c r="Q71" s="7">
        <v>0</v>
      </c>
      <c r="R71" s="7">
        <v>0</v>
      </c>
      <c r="S71" s="7">
        <v>0.64100000000000001</v>
      </c>
      <c r="T71" s="7">
        <v>0</v>
      </c>
      <c r="U71" s="7">
        <v>0</v>
      </c>
      <c r="V71" s="7">
        <v>753.85799999999995</v>
      </c>
      <c r="W71" s="7">
        <v>0</v>
      </c>
      <c r="X71" s="7">
        <v>0</v>
      </c>
      <c r="Y71" s="7">
        <v>0</v>
      </c>
      <c r="Z71" s="7">
        <v>324.51400000000001</v>
      </c>
      <c r="AA71" s="7">
        <v>739.673</v>
      </c>
      <c r="AB71" s="7">
        <v>0</v>
      </c>
      <c r="AC71" s="7">
        <v>1803.4870000000001</v>
      </c>
      <c r="AD71" s="7">
        <v>0</v>
      </c>
      <c r="AE71" s="7">
        <v>2393.0430000000001</v>
      </c>
      <c r="AF71" s="7">
        <v>0</v>
      </c>
      <c r="AG71" s="7">
        <v>312.74099999999999</v>
      </c>
      <c r="AH71" s="7">
        <v>0</v>
      </c>
      <c r="AI71" s="7">
        <v>2133.9250000000002</v>
      </c>
      <c r="AJ71" s="7">
        <v>0</v>
      </c>
      <c r="AK71" s="7">
        <v>0</v>
      </c>
      <c r="AL71" s="7">
        <v>12455.074000000001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12.446999999999999</v>
      </c>
      <c r="AV71" s="7">
        <v>0</v>
      </c>
      <c r="AW71" s="7">
        <v>0</v>
      </c>
      <c r="AX71" s="7">
        <v>0</v>
      </c>
      <c r="AY71" s="7">
        <v>0</v>
      </c>
      <c r="AZ71" s="7">
        <v>7.2229999999999999</v>
      </c>
      <c r="BA71" s="7">
        <v>0</v>
      </c>
      <c r="BB71" s="7">
        <v>211.166</v>
      </c>
      <c r="BC71" s="7">
        <v>0</v>
      </c>
      <c r="BD71" s="7">
        <v>0</v>
      </c>
      <c r="BE71" s="7">
        <v>0</v>
      </c>
      <c r="BF71" s="7">
        <v>0</v>
      </c>
      <c r="BG71" s="21"/>
    </row>
    <row r="72" spans="1:59" ht="15.6" x14ac:dyDescent="0.3">
      <c r="A72" s="5" t="s">
        <v>130</v>
      </c>
      <c r="B72" s="5" t="s">
        <v>131</v>
      </c>
      <c r="C72" s="7">
        <v>3</v>
      </c>
      <c r="D72" s="7">
        <v>3</v>
      </c>
      <c r="E72" s="7">
        <v>33898.239999999998</v>
      </c>
      <c r="F72" s="7">
        <v>6943.7129999999997</v>
      </c>
      <c r="G72" s="7">
        <v>13344.732</v>
      </c>
      <c r="H72" s="7">
        <v>2521.3429999999998</v>
      </c>
      <c r="I72" s="7">
        <v>1320.308</v>
      </c>
      <c r="J72" s="7">
        <v>8447.6090000000004</v>
      </c>
      <c r="K72" s="7">
        <v>10474.007</v>
      </c>
      <c r="L72" s="7">
        <v>11186.994000000001</v>
      </c>
      <c r="M72" s="7">
        <v>0</v>
      </c>
      <c r="N72" s="7">
        <v>24751.758999999998</v>
      </c>
      <c r="O72" s="7">
        <v>26549.992999999999</v>
      </c>
      <c r="P72" s="7">
        <v>23290.026999999998</v>
      </c>
      <c r="Q72" s="7">
        <v>0</v>
      </c>
      <c r="R72" s="7">
        <v>0</v>
      </c>
      <c r="S72" s="7">
        <v>2.496</v>
      </c>
      <c r="T72" s="7">
        <v>0.22</v>
      </c>
      <c r="U72" s="7">
        <v>0.879</v>
      </c>
      <c r="V72" s="7">
        <v>2933.2460000000001</v>
      </c>
      <c r="W72" s="7">
        <v>0</v>
      </c>
      <c r="X72" s="7">
        <v>1.841</v>
      </c>
      <c r="Y72" s="7">
        <v>0</v>
      </c>
      <c r="Z72" s="7">
        <v>1262.6769999999999</v>
      </c>
      <c r="AA72" s="7">
        <v>2878.0529999999999</v>
      </c>
      <c r="AB72" s="7">
        <v>0</v>
      </c>
      <c r="AC72" s="7">
        <v>7017.3339999999998</v>
      </c>
      <c r="AD72" s="7">
        <v>0</v>
      </c>
      <c r="AE72" s="7">
        <v>9311.2829999999994</v>
      </c>
      <c r="AF72" s="7">
        <v>0</v>
      </c>
      <c r="AG72" s="7">
        <v>1216.8710000000001</v>
      </c>
      <c r="AH72" s="7">
        <v>0</v>
      </c>
      <c r="AI72" s="7">
        <v>8303.0609999999997</v>
      </c>
      <c r="AJ72" s="7">
        <v>6.9139999999999997</v>
      </c>
      <c r="AK72" s="7">
        <v>0</v>
      </c>
      <c r="AL72" s="7">
        <v>48462.445</v>
      </c>
      <c r="AM72" s="7">
        <v>23.997</v>
      </c>
      <c r="AN72" s="7">
        <v>0</v>
      </c>
      <c r="AO72" s="7">
        <v>0</v>
      </c>
      <c r="AP72" s="7">
        <v>5.3049999999999997</v>
      </c>
      <c r="AQ72" s="7">
        <v>4.6109999999999998</v>
      </c>
      <c r="AR72" s="7">
        <v>0</v>
      </c>
      <c r="AS72" s="7">
        <v>0</v>
      </c>
      <c r="AT72" s="7">
        <v>0</v>
      </c>
      <c r="AU72" s="7">
        <v>48.432000000000002</v>
      </c>
      <c r="AV72" s="7">
        <v>0.52200000000000002</v>
      </c>
      <c r="AW72" s="7">
        <v>0</v>
      </c>
      <c r="AX72" s="7">
        <v>0</v>
      </c>
      <c r="AY72" s="7">
        <v>0</v>
      </c>
      <c r="AZ72" s="7">
        <v>28.103000000000002</v>
      </c>
      <c r="BA72" s="7">
        <v>0</v>
      </c>
      <c r="BB72" s="7">
        <v>821.64499999999998</v>
      </c>
      <c r="BC72" s="7">
        <v>0</v>
      </c>
      <c r="BD72" s="7">
        <v>0</v>
      </c>
      <c r="BE72" s="7">
        <v>0</v>
      </c>
      <c r="BF72" s="7">
        <v>0</v>
      </c>
      <c r="BG72" s="21"/>
    </row>
    <row r="73" spans="1:59" ht="15.6" x14ac:dyDescent="0.3">
      <c r="A73" s="5" t="s">
        <v>132</v>
      </c>
      <c r="B73" s="5" t="s">
        <v>133</v>
      </c>
      <c r="C73" s="7">
        <v>3</v>
      </c>
      <c r="D73" s="7">
        <v>3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21"/>
    </row>
    <row r="74" spans="1:59" ht="15.6" x14ac:dyDescent="0.3">
      <c r="A74" s="5" t="s">
        <v>134</v>
      </c>
      <c r="B74" s="5" t="s">
        <v>135</v>
      </c>
      <c r="C74" s="7">
        <v>6</v>
      </c>
      <c r="D74" s="7">
        <v>6</v>
      </c>
      <c r="E74" s="7">
        <v>40133.468999999997</v>
      </c>
      <c r="F74" s="7">
        <v>6076.54</v>
      </c>
      <c r="G74" s="7">
        <v>17377.035</v>
      </c>
      <c r="H74" s="7">
        <v>1957.155</v>
      </c>
      <c r="I74" s="7">
        <v>1216.925</v>
      </c>
      <c r="J74" s="7">
        <v>11721.669</v>
      </c>
      <c r="K74" s="7">
        <v>12833.984</v>
      </c>
      <c r="L74" s="7">
        <v>9673.9410000000007</v>
      </c>
      <c r="M74" s="7">
        <v>0</v>
      </c>
      <c r="N74" s="7">
        <v>24246.210999999999</v>
      </c>
      <c r="O74" s="7">
        <v>25283.447</v>
      </c>
      <c r="P74" s="7">
        <v>24641.238000000001</v>
      </c>
      <c r="Q74" s="7">
        <v>0</v>
      </c>
      <c r="R74" s="7">
        <v>0</v>
      </c>
      <c r="S74" s="7">
        <v>52.286000000000001</v>
      </c>
      <c r="T74" s="7">
        <v>0</v>
      </c>
      <c r="U74" s="7">
        <v>136.84800000000001</v>
      </c>
      <c r="V74" s="7">
        <v>1634.838</v>
      </c>
      <c r="W74" s="7">
        <v>0</v>
      </c>
      <c r="X74" s="7">
        <v>0</v>
      </c>
      <c r="Y74" s="7">
        <v>0</v>
      </c>
      <c r="Z74" s="7">
        <v>966.79700000000003</v>
      </c>
      <c r="AA74" s="7">
        <v>3100.3820000000001</v>
      </c>
      <c r="AB74" s="7">
        <v>0</v>
      </c>
      <c r="AC74" s="7">
        <v>7094.4189999999999</v>
      </c>
      <c r="AD74" s="7">
        <v>0</v>
      </c>
      <c r="AE74" s="7">
        <v>11654.630999999999</v>
      </c>
      <c r="AF74" s="7">
        <v>0</v>
      </c>
      <c r="AG74" s="7">
        <v>848.86500000000001</v>
      </c>
      <c r="AH74" s="7">
        <v>0</v>
      </c>
      <c r="AI74" s="7">
        <v>23437.616000000002</v>
      </c>
      <c r="AJ74" s="7">
        <v>0</v>
      </c>
      <c r="AK74" s="7">
        <v>0</v>
      </c>
      <c r="AL74" s="7">
        <v>66312.622000000003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57.661999999999999</v>
      </c>
      <c r="AV74" s="7">
        <v>0</v>
      </c>
      <c r="AW74" s="7">
        <v>0</v>
      </c>
      <c r="AX74" s="7">
        <v>0</v>
      </c>
      <c r="AY74" s="7">
        <v>0</v>
      </c>
      <c r="AZ74" s="7">
        <v>6.9569999999999999</v>
      </c>
      <c r="BA74" s="7">
        <v>0</v>
      </c>
      <c r="BB74" s="7">
        <v>357.64299999999997</v>
      </c>
      <c r="BC74" s="7">
        <v>0</v>
      </c>
      <c r="BD74" s="7">
        <v>0</v>
      </c>
      <c r="BE74" s="7">
        <v>0</v>
      </c>
      <c r="BF74" s="7">
        <v>0</v>
      </c>
      <c r="BG74" s="21"/>
    </row>
    <row r="75" spans="1:59" ht="15.6" x14ac:dyDescent="0.3">
      <c r="A75" s="5" t="s">
        <v>136</v>
      </c>
      <c r="B75" s="5" t="s">
        <v>137</v>
      </c>
      <c r="C75" s="7">
        <v>6</v>
      </c>
      <c r="D75" s="7">
        <v>6</v>
      </c>
      <c r="E75" s="7">
        <v>969.54899999999998</v>
      </c>
      <c r="F75" s="7">
        <v>132.74600000000001</v>
      </c>
      <c r="G75" s="7">
        <v>190.58600000000001</v>
      </c>
      <c r="H75" s="7">
        <v>0</v>
      </c>
      <c r="I75" s="7">
        <v>33.573999999999998</v>
      </c>
      <c r="J75" s="7">
        <v>111.83499999999999</v>
      </c>
      <c r="K75" s="7">
        <v>938.78300000000002</v>
      </c>
      <c r="L75" s="7">
        <v>87.587999999999994</v>
      </c>
      <c r="M75" s="7">
        <v>0</v>
      </c>
      <c r="N75" s="7">
        <v>437.029</v>
      </c>
      <c r="O75" s="7">
        <v>1045.6980000000001</v>
      </c>
      <c r="P75" s="7">
        <v>431.11099999999999</v>
      </c>
      <c r="Q75" s="7">
        <v>0</v>
      </c>
      <c r="R75" s="7">
        <v>0</v>
      </c>
      <c r="S75" s="7">
        <v>6.3360000000000003</v>
      </c>
      <c r="T75" s="7">
        <v>0</v>
      </c>
      <c r="U75" s="7">
        <v>0.19800000000000001</v>
      </c>
      <c r="V75" s="7">
        <v>0</v>
      </c>
      <c r="W75" s="7">
        <v>0</v>
      </c>
      <c r="X75" s="7">
        <v>0</v>
      </c>
      <c r="Y75" s="7">
        <v>0</v>
      </c>
      <c r="Z75" s="7">
        <v>15.718</v>
      </c>
      <c r="AA75" s="7">
        <v>49.328000000000003</v>
      </c>
      <c r="AB75" s="7">
        <v>0</v>
      </c>
      <c r="AC75" s="7">
        <v>392.11</v>
      </c>
      <c r="AD75" s="7">
        <v>0</v>
      </c>
      <c r="AE75" s="7">
        <v>136.63800000000001</v>
      </c>
      <c r="AF75" s="7">
        <v>0</v>
      </c>
      <c r="AG75" s="7">
        <v>24.074999999999999</v>
      </c>
      <c r="AH75" s="7">
        <v>0</v>
      </c>
      <c r="AI75" s="7">
        <v>1241.829</v>
      </c>
      <c r="AJ75" s="7">
        <v>0</v>
      </c>
      <c r="AK75" s="7">
        <v>0</v>
      </c>
      <c r="AL75" s="7">
        <v>2015.499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21"/>
    </row>
    <row r="76" spans="1:59" ht="15.6" x14ac:dyDescent="0.3">
      <c r="A76" s="5" t="s">
        <v>138</v>
      </c>
      <c r="B76" s="5" t="s">
        <v>139</v>
      </c>
      <c r="C76" s="7">
        <v>6</v>
      </c>
      <c r="D76" s="7">
        <v>6</v>
      </c>
      <c r="E76" s="7">
        <v>8079.0529999999999</v>
      </c>
      <c r="F76" s="7">
        <v>2074.3820000000001</v>
      </c>
      <c r="G76" s="7">
        <v>1238.1289999999999</v>
      </c>
      <c r="H76" s="7">
        <v>0</v>
      </c>
      <c r="I76" s="7">
        <v>141.33099999999999</v>
      </c>
      <c r="J76" s="7">
        <v>1687.982</v>
      </c>
      <c r="K76" s="7">
        <v>1981.652</v>
      </c>
      <c r="L76" s="7">
        <v>1137.893</v>
      </c>
      <c r="M76" s="7">
        <v>0</v>
      </c>
      <c r="N76" s="7">
        <v>3346.7440000000001</v>
      </c>
      <c r="O76" s="7">
        <v>24362.313999999998</v>
      </c>
      <c r="P76" s="7">
        <v>3674.0610000000001</v>
      </c>
      <c r="Q76" s="7">
        <v>0</v>
      </c>
      <c r="R76" s="7">
        <v>0</v>
      </c>
      <c r="S76" s="7">
        <v>8.2940000000000005</v>
      </c>
      <c r="T76" s="7">
        <v>0</v>
      </c>
      <c r="U76" s="7">
        <v>375.78100000000001</v>
      </c>
      <c r="V76" s="7">
        <v>218.542</v>
      </c>
      <c r="W76" s="7">
        <v>0</v>
      </c>
      <c r="X76" s="7">
        <v>0</v>
      </c>
      <c r="Y76" s="7">
        <v>0</v>
      </c>
      <c r="Z76" s="7">
        <v>114.18899999999999</v>
      </c>
      <c r="AA76" s="7">
        <v>277.55099999999999</v>
      </c>
      <c r="AB76" s="7">
        <v>0</v>
      </c>
      <c r="AC76" s="7">
        <v>1024.579</v>
      </c>
      <c r="AD76" s="7">
        <v>0</v>
      </c>
      <c r="AE76" s="7">
        <v>868.58399999999995</v>
      </c>
      <c r="AF76" s="7">
        <v>0</v>
      </c>
      <c r="AG76" s="7">
        <v>121.47</v>
      </c>
      <c r="AH76" s="7">
        <v>0</v>
      </c>
      <c r="AI76" s="7">
        <v>4574.3900000000003</v>
      </c>
      <c r="AJ76" s="7">
        <v>0</v>
      </c>
      <c r="AK76" s="7">
        <v>0</v>
      </c>
      <c r="AL76" s="7">
        <v>19999.118999999999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3.6080000000000001</v>
      </c>
      <c r="AV76" s="7">
        <v>0</v>
      </c>
      <c r="AW76" s="7">
        <v>0</v>
      </c>
      <c r="AX76" s="7">
        <v>0</v>
      </c>
      <c r="AY76" s="7">
        <v>0</v>
      </c>
      <c r="AZ76" s="7">
        <v>2.0939999999999999</v>
      </c>
      <c r="BA76" s="7">
        <v>0</v>
      </c>
      <c r="BB76" s="7">
        <v>61.216999999999999</v>
      </c>
      <c r="BC76" s="7">
        <v>0</v>
      </c>
      <c r="BD76" s="7">
        <v>0</v>
      </c>
      <c r="BE76" s="7">
        <v>0</v>
      </c>
      <c r="BF76" s="7">
        <v>0</v>
      </c>
      <c r="BG76" s="21"/>
    </row>
    <row r="77" spans="1:59" ht="15.6" x14ac:dyDescent="0.3">
      <c r="A77" s="5" t="s">
        <v>140</v>
      </c>
      <c r="B77" s="5" t="s">
        <v>141</v>
      </c>
      <c r="C77" s="7">
        <v>6</v>
      </c>
      <c r="D77" s="7">
        <v>6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21"/>
    </row>
    <row r="78" spans="1:59" ht="15.6" x14ac:dyDescent="0.3">
      <c r="A78" s="5" t="s">
        <v>142</v>
      </c>
      <c r="B78" s="5" t="s">
        <v>143</v>
      </c>
      <c r="C78" s="7">
        <v>6</v>
      </c>
      <c r="D78" s="7">
        <v>6</v>
      </c>
      <c r="E78" s="7">
        <v>2766.4110000000001</v>
      </c>
      <c r="F78" s="7">
        <v>378.76400000000001</v>
      </c>
      <c r="G78" s="7">
        <v>543.79899999999998</v>
      </c>
      <c r="H78" s="7">
        <v>0</v>
      </c>
      <c r="I78" s="7">
        <v>95.795000000000002</v>
      </c>
      <c r="J78" s="7">
        <v>319.09800000000001</v>
      </c>
      <c r="K78" s="7">
        <v>2678.6260000000002</v>
      </c>
      <c r="L78" s="7">
        <v>249.916</v>
      </c>
      <c r="M78" s="7">
        <v>0</v>
      </c>
      <c r="N78" s="7">
        <v>1246.9749999999999</v>
      </c>
      <c r="O78" s="7">
        <v>2983.6880000000001</v>
      </c>
      <c r="P78" s="7">
        <v>1230.0889999999999</v>
      </c>
      <c r="Q78" s="7">
        <v>0</v>
      </c>
      <c r="R78" s="7">
        <v>0</v>
      </c>
      <c r="S78" s="7">
        <v>18.079000000000001</v>
      </c>
      <c r="T78" s="7">
        <v>0</v>
      </c>
      <c r="U78" s="7">
        <v>0.56499999999999995</v>
      </c>
      <c r="V78" s="7">
        <v>0</v>
      </c>
      <c r="W78" s="7">
        <v>0</v>
      </c>
      <c r="X78" s="7">
        <v>0</v>
      </c>
      <c r="Y78" s="7">
        <v>0</v>
      </c>
      <c r="Z78" s="7">
        <v>44.847999999999999</v>
      </c>
      <c r="AA78" s="7">
        <v>140.74700000000001</v>
      </c>
      <c r="AB78" s="7">
        <v>0</v>
      </c>
      <c r="AC78" s="7">
        <v>1118.806</v>
      </c>
      <c r="AD78" s="7">
        <v>0</v>
      </c>
      <c r="AE78" s="7">
        <v>389.87</v>
      </c>
      <c r="AF78" s="7">
        <v>0</v>
      </c>
      <c r="AG78" s="7">
        <v>68.694000000000003</v>
      </c>
      <c r="AH78" s="7">
        <v>0</v>
      </c>
      <c r="AI78" s="7">
        <v>3543.3090000000002</v>
      </c>
      <c r="AJ78" s="7">
        <v>0</v>
      </c>
      <c r="AK78" s="7">
        <v>0</v>
      </c>
      <c r="AL78" s="7">
        <v>5750.8180000000002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21"/>
    </row>
    <row r="79" spans="1:59" ht="15.6" x14ac:dyDescent="0.3">
      <c r="A79" s="5" t="s">
        <v>144</v>
      </c>
      <c r="B79" s="5" t="s">
        <v>145</v>
      </c>
      <c r="C79" s="7">
        <v>6</v>
      </c>
      <c r="D79" s="7">
        <v>6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21"/>
    </row>
    <row r="80" spans="1:59" ht="15.6" x14ac:dyDescent="0.3">
      <c r="A80" s="5" t="s">
        <v>146</v>
      </c>
      <c r="B80" s="5" t="s">
        <v>147</v>
      </c>
      <c r="C80" s="7">
        <v>6</v>
      </c>
      <c r="D80" s="7">
        <v>6</v>
      </c>
      <c r="E80" s="7">
        <v>9408.5589999999993</v>
      </c>
      <c r="F80" s="7">
        <v>1711.702</v>
      </c>
      <c r="G80" s="7">
        <v>2579.2600000000002</v>
      </c>
      <c r="H80" s="7">
        <v>0</v>
      </c>
      <c r="I80" s="7">
        <v>227.99100000000001</v>
      </c>
      <c r="J80" s="7">
        <v>1961.27</v>
      </c>
      <c r="K80" s="7">
        <v>5031.6080000000002</v>
      </c>
      <c r="L80" s="7">
        <v>1008.223</v>
      </c>
      <c r="M80" s="7">
        <v>0</v>
      </c>
      <c r="N80" s="7">
        <v>3682.5419999999999</v>
      </c>
      <c r="O80" s="7">
        <v>16670.982</v>
      </c>
      <c r="P80" s="7">
        <v>4393.326</v>
      </c>
      <c r="Q80" s="7">
        <v>0</v>
      </c>
      <c r="R80" s="7">
        <v>0</v>
      </c>
      <c r="S80" s="7">
        <v>30.495000000000001</v>
      </c>
      <c r="T80" s="7">
        <v>0</v>
      </c>
      <c r="U80" s="7">
        <v>172.32</v>
      </c>
      <c r="V80" s="7">
        <v>149.02000000000001</v>
      </c>
      <c r="W80" s="7">
        <v>0</v>
      </c>
      <c r="X80" s="7">
        <v>0</v>
      </c>
      <c r="Y80" s="7">
        <v>0</v>
      </c>
      <c r="Z80" s="7">
        <v>139.483</v>
      </c>
      <c r="AA80" s="7">
        <v>382.63900000000001</v>
      </c>
      <c r="AB80" s="7">
        <v>0</v>
      </c>
      <c r="AC80" s="7">
        <v>2474.0120000000002</v>
      </c>
      <c r="AD80" s="7">
        <v>0</v>
      </c>
      <c r="AE80" s="7">
        <v>1235.8679999999999</v>
      </c>
      <c r="AF80" s="7">
        <v>0</v>
      </c>
      <c r="AG80" s="7">
        <v>177.21100000000001</v>
      </c>
      <c r="AH80" s="7">
        <v>0</v>
      </c>
      <c r="AI80" s="7">
        <v>8564.0480000000007</v>
      </c>
      <c r="AJ80" s="7">
        <v>0</v>
      </c>
      <c r="AK80" s="7">
        <v>0</v>
      </c>
      <c r="AL80" s="7">
        <v>20362.415000000001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2.4609999999999999</v>
      </c>
      <c r="AV80" s="7">
        <v>0</v>
      </c>
      <c r="AW80" s="7">
        <v>0</v>
      </c>
      <c r="AX80" s="7">
        <v>0</v>
      </c>
      <c r="AY80" s="7">
        <v>0</v>
      </c>
      <c r="AZ80" s="7">
        <v>1.4279999999999999</v>
      </c>
      <c r="BA80" s="7">
        <v>0</v>
      </c>
      <c r="BB80" s="7">
        <v>41.743000000000002</v>
      </c>
      <c r="BC80" s="7">
        <v>0</v>
      </c>
      <c r="BD80" s="7">
        <v>0</v>
      </c>
      <c r="BE80" s="7">
        <v>0</v>
      </c>
      <c r="BF80" s="7">
        <v>0</v>
      </c>
      <c r="BG80" s="21"/>
    </row>
    <row r="81" spans="1:59" ht="15.6" x14ac:dyDescent="0.3">
      <c r="A81" s="5" t="s">
        <v>148</v>
      </c>
      <c r="B81" s="5" t="s">
        <v>149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21"/>
    </row>
    <row r="82" spans="1:59" ht="15.6" x14ac:dyDescent="0.3">
      <c r="A82" s="5" t="s">
        <v>150</v>
      </c>
      <c r="B82" s="5" t="s">
        <v>151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21"/>
    </row>
    <row r="83" spans="1:59" ht="15.6" x14ac:dyDescent="0.3">
      <c r="A83" s="5" t="s">
        <v>152</v>
      </c>
      <c r="B83" s="5" t="s">
        <v>153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21"/>
    </row>
    <row r="84" spans="1:59" ht="15.6" x14ac:dyDescent="0.3">
      <c r="A84" s="5" t="s">
        <v>154</v>
      </c>
      <c r="B84" s="5" t="s">
        <v>155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21"/>
    </row>
    <row r="85" spans="1:59" ht="15.6" x14ac:dyDescent="0.3">
      <c r="A85" s="5" t="s">
        <v>156</v>
      </c>
      <c r="B85" s="5" t="s">
        <v>157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21"/>
    </row>
    <row r="86" spans="1:59" ht="15.6" x14ac:dyDescent="0.3">
      <c r="A86" s="5" t="s">
        <v>158</v>
      </c>
      <c r="B86" s="5" t="s">
        <v>159</v>
      </c>
      <c r="C86" s="7">
        <v>6</v>
      </c>
      <c r="D86" s="7">
        <v>6</v>
      </c>
      <c r="E86" s="7">
        <v>2.347</v>
      </c>
      <c r="F86" s="7">
        <v>1.1200000000000001</v>
      </c>
      <c r="G86" s="7">
        <v>1.0740000000000001</v>
      </c>
      <c r="H86" s="7">
        <v>2379.5709999999999</v>
      </c>
      <c r="I86" s="7">
        <v>0.13500000000000001</v>
      </c>
      <c r="J86" s="7">
        <v>0.58099999999999996</v>
      </c>
      <c r="K86" s="7">
        <v>25.64</v>
      </c>
      <c r="L86" s="7">
        <v>1.5649999999999999</v>
      </c>
      <c r="M86" s="7">
        <v>0</v>
      </c>
      <c r="N86" s="7">
        <v>1.8380000000000001</v>
      </c>
      <c r="O86" s="7">
        <v>18.155000000000001</v>
      </c>
      <c r="P86" s="7">
        <v>2.3410000000000002</v>
      </c>
      <c r="Q86" s="7">
        <v>0</v>
      </c>
      <c r="R86" s="7">
        <v>0</v>
      </c>
      <c r="S86" s="7">
        <v>2.3E-2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0.01</v>
      </c>
      <c r="AA86" s="7">
        <v>4.1000000000000002E-2</v>
      </c>
      <c r="AB86" s="7">
        <v>0</v>
      </c>
      <c r="AC86" s="7">
        <v>0.115</v>
      </c>
      <c r="AD86" s="7">
        <v>0</v>
      </c>
      <c r="AE86" s="7">
        <v>0.105</v>
      </c>
      <c r="AF86" s="7">
        <v>0</v>
      </c>
      <c r="AG86" s="7">
        <v>1.2999999999999999E-2</v>
      </c>
      <c r="AH86" s="7">
        <v>0</v>
      </c>
      <c r="AI86" s="7">
        <v>0.27500000000000002</v>
      </c>
      <c r="AJ86" s="7">
        <v>0</v>
      </c>
      <c r="AK86" s="7">
        <v>0</v>
      </c>
      <c r="AL86" s="7">
        <v>0.999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21"/>
    </row>
    <row r="87" spans="1:59" ht="15.6" x14ac:dyDescent="0.3">
      <c r="A87" s="5" t="s">
        <v>160</v>
      </c>
      <c r="B87" s="5" t="s">
        <v>161</v>
      </c>
      <c r="C87" s="7">
        <v>6</v>
      </c>
      <c r="D87" s="7">
        <v>6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21"/>
    </row>
    <row r="88" spans="1:59" ht="15.6" x14ac:dyDescent="0.3">
      <c r="A88" s="5" t="s">
        <v>162</v>
      </c>
      <c r="B88" s="5" t="s">
        <v>163</v>
      </c>
      <c r="C88" s="7">
        <v>6</v>
      </c>
      <c r="D88" s="7">
        <v>6</v>
      </c>
      <c r="E88" s="7">
        <v>11973.710999999999</v>
      </c>
      <c r="F88" s="7">
        <v>2892.7040000000002</v>
      </c>
      <c r="G88" s="7">
        <v>4096.2550000000001</v>
      </c>
      <c r="H88" s="7">
        <v>0</v>
      </c>
      <c r="I88" s="7">
        <v>597.20500000000004</v>
      </c>
      <c r="J88" s="7">
        <v>2799.6590000000001</v>
      </c>
      <c r="K88" s="7">
        <v>8091.4690000000001</v>
      </c>
      <c r="L88" s="7">
        <v>3431.165</v>
      </c>
      <c r="M88" s="7">
        <v>0</v>
      </c>
      <c r="N88" s="7">
        <v>8391.3310000000001</v>
      </c>
      <c r="O88" s="7">
        <v>19446.814999999999</v>
      </c>
      <c r="P88" s="7">
        <v>7218.6549999999997</v>
      </c>
      <c r="Q88" s="7">
        <v>0</v>
      </c>
      <c r="R88" s="7">
        <v>0</v>
      </c>
      <c r="S88" s="7">
        <v>71.728999999999999</v>
      </c>
      <c r="T88" s="7">
        <v>0</v>
      </c>
      <c r="U88" s="7">
        <v>111.26300000000001</v>
      </c>
      <c r="V88" s="7">
        <v>802.68</v>
      </c>
      <c r="W88" s="7">
        <v>0</v>
      </c>
      <c r="X88" s="7">
        <v>0</v>
      </c>
      <c r="Y88" s="7">
        <v>0</v>
      </c>
      <c r="Z88" s="7">
        <v>352.04599999999999</v>
      </c>
      <c r="AA88" s="7">
        <v>808.02599999999995</v>
      </c>
      <c r="AB88" s="7">
        <v>0</v>
      </c>
      <c r="AC88" s="7">
        <v>2184.681</v>
      </c>
      <c r="AD88" s="7">
        <v>0</v>
      </c>
      <c r="AE88" s="7">
        <v>2604.6680000000001</v>
      </c>
      <c r="AF88" s="7">
        <v>0</v>
      </c>
      <c r="AG88" s="7">
        <v>342.976</v>
      </c>
      <c r="AH88" s="7">
        <v>0</v>
      </c>
      <c r="AI88" s="7">
        <v>3901.69</v>
      </c>
      <c r="AJ88" s="7">
        <v>0</v>
      </c>
      <c r="AK88" s="7">
        <v>0</v>
      </c>
      <c r="AL88" s="7">
        <v>21037.337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13.253</v>
      </c>
      <c r="AV88" s="7">
        <v>0</v>
      </c>
      <c r="AW88" s="7">
        <v>0</v>
      </c>
      <c r="AX88" s="7">
        <v>0</v>
      </c>
      <c r="AY88" s="7">
        <v>0</v>
      </c>
      <c r="AZ88" s="7">
        <v>7.69</v>
      </c>
      <c r="BA88" s="7">
        <v>0</v>
      </c>
      <c r="BB88" s="7">
        <v>224.84200000000001</v>
      </c>
      <c r="BC88" s="7">
        <v>0</v>
      </c>
      <c r="BD88" s="7">
        <v>0</v>
      </c>
      <c r="BE88" s="7">
        <v>0</v>
      </c>
      <c r="BF88" s="7">
        <v>0</v>
      </c>
      <c r="BG88" s="21"/>
    </row>
    <row r="89" spans="1:59" ht="15.6" x14ac:dyDescent="0.3">
      <c r="A89" s="5" t="s">
        <v>164</v>
      </c>
      <c r="B89" s="5" t="s">
        <v>165</v>
      </c>
      <c r="C89" s="7">
        <v>6</v>
      </c>
      <c r="D89" s="7">
        <v>6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21"/>
    </row>
    <row r="90" spans="1:59" ht="15.6" x14ac:dyDescent="0.3">
      <c r="A90" s="5" t="s">
        <v>166</v>
      </c>
      <c r="B90" s="5" t="s">
        <v>167</v>
      </c>
      <c r="C90" s="7">
        <v>3</v>
      </c>
      <c r="D90" s="7">
        <v>3</v>
      </c>
      <c r="E90" s="7">
        <v>4823.0810000000001</v>
      </c>
      <c r="F90" s="7">
        <v>1424.874</v>
      </c>
      <c r="G90" s="7">
        <v>0</v>
      </c>
      <c r="H90" s="7">
        <v>0</v>
      </c>
      <c r="I90" s="7">
        <v>72.171000000000006</v>
      </c>
      <c r="J90" s="7">
        <v>0</v>
      </c>
      <c r="K90" s="7">
        <v>6490.9430000000002</v>
      </c>
      <c r="L90" s="7">
        <v>368.92200000000003</v>
      </c>
      <c r="M90" s="7">
        <v>0</v>
      </c>
      <c r="N90" s="7">
        <v>729.154</v>
      </c>
      <c r="O90" s="7">
        <v>17179.218000000001</v>
      </c>
      <c r="P90" s="7">
        <v>871.25900000000001</v>
      </c>
      <c r="Q90" s="7">
        <v>0</v>
      </c>
      <c r="R90" s="7">
        <v>0</v>
      </c>
      <c r="S90" s="7">
        <v>0.752</v>
      </c>
      <c r="T90" s="7">
        <v>0</v>
      </c>
      <c r="U90" s="7">
        <v>0</v>
      </c>
      <c r="V90" s="7">
        <v>355.47</v>
      </c>
      <c r="W90" s="7">
        <v>0</v>
      </c>
      <c r="X90" s="7">
        <v>0</v>
      </c>
      <c r="Y90" s="7">
        <v>0</v>
      </c>
      <c r="Z90" s="7">
        <v>0</v>
      </c>
      <c r="AA90" s="7">
        <v>97.057000000000002</v>
      </c>
      <c r="AB90" s="7">
        <v>0</v>
      </c>
      <c r="AC90" s="7">
        <v>2597.3780000000002</v>
      </c>
      <c r="AD90" s="7">
        <v>0</v>
      </c>
      <c r="AE90" s="7">
        <v>0</v>
      </c>
      <c r="AF90" s="7">
        <v>0</v>
      </c>
      <c r="AG90" s="7">
        <v>232.26400000000001</v>
      </c>
      <c r="AH90" s="7">
        <v>0</v>
      </c>
      <c r="AI90" s="7">
        <v>6484.67</v>
      </c>
      <c r="AJ90" s="7">
        <v>3429.5369999999998</v>
      </c>
      <c r="AK90" s="7">
        <v>0</v>
      </c>
      <c r="AL90" s="7">
        <v>21220.629000000001</v>
      </c>
      <c r="AM90" s="7">
        <v>6362.9849999999997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7.44</v>
      </c>
      <c r="AV90" s="7">
        <v>0</v>
      </c>
      <c r="AW90" s="7">
        <v>0</v>
      </c>
      <c r="AX90" s="7">
        <v>1019.343</v>
      </c>
      <c r="AY90" s="7">
        <v>0</v>
      </c>
      <c r="AZ90" s="7">
        <v>3.93</v>
      </c>
      <c r="BA90" s="7">
        <v>0</v>
      </c>
      <c r="BB90" s="7">
        <v>29.347000000000001</v>
      </c>
      <c r="BC90" s="7">
        <v>0</v>
      </c>
      <c r="BD90" s="7">
        <v>0</v>
      </c>
      <c r="BE90" s="7">
        <v>0</v>
      </c>
      <c r="BF90" s="7">
        <v>0</v>
      </c>
      <c r="BG90" s="21"/>
    </row>
    <row r="91" spans="1:59" ht="15.6" x14ac:dyDescent="0.3">
      <c r="A91" s="5" t="s">
        <v>168</v>
      </c>
      <c r="B91" s="5" t="s">
        <v>169</v>
      </c>
      <c r="C91" s="7">
        <v>3</v>
      </c>
      <c r="D91" s="7">
        <v>3</v>
      </c>
      <c r="E91" s="7">
        <v>37397.43</v>
      </c>
      <c r="F91" s="7">
        <v>7418.8440000000001</v>
      </c>
      <c r="G91" s="7">
        <v>15317.418</v>
      </c>
      <c r="H91" s="7">
        <v>10235.662</v>
      </c>
      <c r="I91" s="7">
        <v>1365.114</v>
      </c>
      <c r="J91" s="7">
        <v>10323.187</v>
      </c>
      <c r="K91" s="7">
        <v>10829.458000000001</v>
      </c>
      <c r="L91" s="7">
        <v>11566.642</v>
      </c>
      <c r="M91" s="7">
        <v>0</v>
      </c>
      <c r="N91" s="7">
        <v>25591.748</v>
      </c>
      <c r="O91" s="7">
        <v>28431.977999999999</v>
      </c>
      <c r="P91" s="7">
        <v>25945.634999999998</v>
      </c>
      <c r="Q91" s="7">
        <v>0</v>
      </c>
      <c r="R91" s="7">
        <v>0</v>
      </c>
      <c r="S91" s="7">
        <v>2.581</v>
      </c>
      <c r="T91" s="7">
        <v>0</v>
      </c>
      <c r="U91" s="7">
        <v>138.16499999999999</v>
      </c>
      <c r="V91" s="7">
        <v>3032.79</v>
      </c>
      <c r="W91" s="7">
        <v>0</v>
      </c>
      <c r="X91" s="7">
        <v>0</v>
      </c>
      <c r="Y91" s="7">
        <v>0</v>
      </c>
      <c r="Z91" s="7">
        <v>1305.528</v>
      </c>
      <c r="AA91" s="7">
        <v>2975.7240000000002</v>
      </c>
      <c r="AB91" s="7">
        <v>0</v>
      </c>
      <c r="AC91" s="7">
        <v>7255.4780000000001</v>
      </c>
      <c r="AD91" s="7">
        <v>0</v>
      </c>
      <c r="AE91" s="7">
        <v>9627.2759999999998</v>
      </c>
      <c r="AF91" s="7">
        <v>0</v>
      </c>
      <c r="AG91" s="7">
        <v>1258.1669999999999</v>
      </c>
      <c r="AH91" s="7">
        <v>0</v>
      </c>
      <c r="AI91" s="7">
        <v>12890.974</v>
      </c>
      <c r="AJ91" s="7">
        <v>0</v>
      </c>
      <c r="AK91" s="7">
        <v>0</v>
      </c>
      <c r="AL91" s="7">
        <v>54712.586000000003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50.075000000000003</v>
      </c>
      <c r="AV91" s="7">
        <v>0</v>
      </c>
      <c r="AW91" s="7">
        <v>0</v>
      </c>
      <c r="AX91" s="7">
        <v>0</v>
      </c>
      <c r="AY91" s="7">
        <v>0</v>
      </c>
      <c r="AZ91" s="7">
        <v>29.056999999999999</v>
      </c>
      <c r="BA91" s="7">
        <v>0</v>
      </c>
      <c r="BB91" s="7">
        <v>849.52800000000002</v>
      </c>
      <c r="BC91" s="7">
        <v>0</v>
      </c>
      <c r="BD91" s="7">
        <v>0</v>
      </c>
      <c r="BE91" s="7">
        <v>0</v>
      </c>
      <c r="BF91" s="7">
        <v>0</v>
      </c>
      <c r="BG91" s="21"/>
    </row>
    <row r="92" spans="1:59" ht="15.6" x14ac:dyDescent="0.3">
      <c r="A92" s="5" t="s">
        <v>170</v>
      </c>
      <c r="B92" s="5" t="s">
        <v>171</v>
      </c>
      <c r="C92" s="7">
        <v>3</v>
      </c>
      <c r="D92" s="7">
        <v>3</v>
      </c>
      <c r="E92" s="7">
        <v>58785.749000000003</v>
      </c>
      <c r="F92" s="7">
        <v>12508.912</v>
      </c>
      <c r="G92" s="7">
        <v>21111.699000000001</v>
      </c>
      <c r="H92" s="7">
        <v>0</v>
      </c>
      <c r="I92" s="7">
        <v>2165.9409999999998</v>
      </c>
      <c r="J92" s="7">
        <v>13364.329</v>
      </c>
      <c r="K92" s="7">
        <v>23511.666000000001</v>
      </c>
      <c r="L92" s="7">
        <v>18092.635999999999</v>
      </c>
      <c r="M92" s="7">
        <v>0</v>
      </c>
      <c r="N92" s="7">
        <v>39937.673000000003</v>
      </c>
      <c r="O92" s="7">
        <v>60374.502999999997</v>
      </c>
      <c r="P92" s="7">
        <v>37777.144999999997</v>
      </c>
      <c r="Q92" s="7">
        <v>0</v>
      </c>
      <c r="R92" s="7">
        <v>0</v>
      </c>
      <c r="S92" s="7">
        <v>4.7519999999999998</v>
      </c>
      <c r="T92" s="7">
        <v>0</v>
      </c>
      <c r="U92" s="7">
        <v>0</v>
      </c>
      <c r="V92" s="7">
        <v>5020.6149999999998</v>
      </c>
      <c r="W92" s="7">
        <v>0</v>
      </c>
      <c r="X92" s="7">
        <v>0</v>
      </c>
      <c r="Y92" s="7">
        <v>0</v>
      </c>
      <c r="Z92" s="7">
        <v>1997.586</v>
      </c>
      <c r="AA92" s="7">
        <v>4656.9459999999999</v>
      </c>
      <c r="AB92" s="7">
        <v>0</v>
      </c>
      <c r="AC92" s="7">
        <v>13879.278</v>
      </c>
      <c r="AD92" s="7">
        <v>0</v>
      </c>
      <c r="AE92" s="7">
        <v>14730.683000000001</v>
      </c>
      <c r="AF92" s="7">
        <v>0</v>
      </c>
      <c r="AG92" s="7">
        <v>2173.5070000000001</v>
      </c>
      <c r="AH92" s="7">
        <v>0</v>
      </c>
      <c r="AI92" s="7">
        <v>20070.468000000001</v>
      </c>
      <c r="AJ92" s="7">
        <v>3667.6060000000002</v>
      </c>
      <c r="AK92" s="7">
        <v>0</v>
      </c>
      <c r="AL92" s="7">
        <v>99362.505999999994</v>
      </c>
      <c r="AM92" s="7">
        <v>6804.6850000000004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84.575999999999993</v>
      </c>
      <c r="AV92" s="7">
        <v>0</v>
      </c>
      <c r="AW92" s="7">
        <v>0</v>
      </c>
      <c r="AX92" s="7">
        <v>1090.1030000000001</v>
      </c>
      <c r="AY92" s="7">
        <v>0</v>
      </c>
      <c r="AZ92" s="7">
        <v>48.662999999999997</v>
      </c>
      <c r="BA92" s="7">
        <v>0</v>
      </c>
      <c r="BB92" s="7">
        <v>1331.2460000000001</v>
      </c>
      <c r="BC92" s="7">
        <v>0</v>
      </c>
      <c r="BD92" s="7">
        <v>0</v>
      </c>
      <c r="BE92" s="7">
        <v>0</v>
      </c>
      <c r="BF92" s="7">
        <v>0</v>
      </c>
      <c r="BG92" s="21"/>
    </row>
    <row r="93" spans="1:59" ht="15.6" x14ac:dyDescent="0.3">
      <c r="A93" s="5" t="s">
        <v>172</v>
      </c>
      <c r="B93" s="5" t="s">
        <v>173</v>
      </c>
      <c r="C93" s="7">
        <v>3</v>
      </c>
      <c r="D93" s="7">
        <v>3</v>
      </c>
      <c r="E93" s="7">
        <v>3443.9690000000001</v>
      </c>
      <c r="F93" s="7">
        <v>1307.6489999999999</v>
      </c>
      <c r="G93" s="7">
        <v>4391.5410000000002</v>
      </c>
      <c r="H93" s="7">
        <v>0</v>
      </c>
      <c r="I93" s="7">
        <v>220.505</v>
      </c>
      <c r="J93" s="7">
        <v>1744.306</v>
      </c>
      <c r="K93" s="7">
        <v>1429.2929999999999</v>
      </c>
      <c r="L93" s="7">
        <v>1151.6289999999999</v>
      </c>
      <c r="M93" s="7">
        <v>0</v>
      </c>
      <c r="N93" s="7">
        <v>2078.6790000000001</v>
      </c>
      <c r="O93" s="7">
        <v>5185.7550000000001</v>
      </c>
      <c r="P93" s="7">
        <v>3025.4479999999999</v>
      </c>
      <c r="Q93" s="7">
        <v>0</v>
      </c>
      <c r="R93" s="7">
        <v>0</v>
      </c>
      <c r="S93" s="7">
        <v>0.88600000000000001</v>
      </c>
      <c r="T93" s="7">
        <v>0</v>
      </c>
      <c r="U93" s="7">
        <v>0</v>
      </c>
      <c r="V93" s="7">
        <v>435.89400000000001</v>
      </c>
      <c r="W93" s="7">
        <v>0</v>
      </c>
      <c r="X93" s="7">
        <v>0</v>
      </c>
      <c r="Y93" s="7">
        <v>0</v>
      </c>
      <c r="Z93" s="7">
        <v>221.12799999999999</v>
      </c>
      <c r="AA93" s="7">
        <v>269.88400000000001</v>
      </c>
      <c r="AB93" s="7">
        <v>0</v>
      </c>
      <c r="AC93" s="7">
        <v>1350.8330000000001</v>
      </c>
      <c r="AD93" s="7">
        <v>0</v>
      </c>
      <c r="AE93" s="7">
        <v>2455.9459999999999</v>
      </c>
      <c r="AF93" s="7">
        <v>0</v>
      </c>
      <c r="AG93" s="7">
        <v>371.40800000000002</v>
      </c>
      <c r="AH93" s="7">
        <v>0</v>
      </c>
      <c r="AI93" s="7">
        <v>927.99599999999998</v>
      </c>
      <c r="AJ93" s="7">
        <v>0</v>
      </c>
      <c r="AK93" s="7">
        <v>0</v>
      </c>
      <c r="AL93" s="7">
        <v>19879.82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27.9</v>
      </c>
      <c r="AV93" s="7">
        <v>0</v>
      </c>
      <c r="AW93" s="7">
        <v>0</v>
      </c>
      <c r="AX93" s="7">
        <v>0</v>
      </c>
      <c r="AY93" s="7">
        <v>0</v>
      </c>
      <c r="AZ93" s="7">
        <v>1.8340000000000001</v>
      </c>
      <c r="BA93" s="7">
        <v>0</v>
      </c>
      <c r="BB93" s="7">
        <v>301.24299999999999</v>
      </c>
      <c r="BC93" s="7">
        <v>0</v>
      </c>
      <c r="BD93" s="7">
        <v>0</v>
      </c>
      <c r="BE93" s="7">
        <v>11593.199000000001</v>
      </c>
      <c r="BF93" s="7">
        <v>0</v>
      </c>
      <c r="BG93" s="21"/>
    </row>
    <row r="94" spans="1:59" ht="15.6" x14ac:dyDescent="0.3">
      <c r="A94" s="5" t="s">
        <v>174</v>
      </c>
      <c r="B94" s="5" t="s">
        <v>175</v>
      </c>
      <c r="C94" s="7">
        <v>3</v>
      </c>
      <c r="D94" s="7">
        <v>3</v>
      </c>
      <c r="E94" s="7">
        <v>16690.861000000001</v>
      </c>
      <c r="F94" s="7">
        <v>15309.261</v>
      </c>
      <c r="G94" s="7">
        <v>25119.994999999999</v>
      </c>
      <c r="H94" s="7">
        <v>2911.9659999999999</v>
      </c>
      <c r="I94" s="7">
        <v>2081.5390000000002</v>
      </c>
      <c r="J94" s="7">
        <v>11648.339</v>
      </c>
      <c r="K94" s="7">
        <v>14492.449000000001</v>
      </c>
      <c r="L94" s="7">
        <v>6087.2420000000002</v>
      </c>
      <c r="M94" s="7">
        <v>0</v>
      </c>
      <c r="N94" s="7">
        <v>13393.888999999999</v>
      </c>
      <c r="O94" s="7">
        <v>71386.456000000006</v>
      </c>
      <c r="P94" s="7">
        <v>21218.487000000001</v>
      </c>
      <c r="Q94" s="7">
        <v>0</v>
      </c>
      <c r="R94" s="7">
        <v>0</v>
      </c>
      <c r="S94" s="7">
        <v>0.80700000000000005</v>
      </c>
      <c r="T94" s="7">
        <v>0</v>
      </c>
      <c r="U94" s="7">
        <v>0</v>
      </c>
      <c r="V94" s="7">
        <v>5161.7060000000001</v>
      </c>
      <c r="W94" s="7">
        <v>0</v>
      </c>
      <c r="X94" s="7">
        <v>0</v>
      </c>
      <c r="Y94" s="7">
        <v>0</v>
      </c>
      <c r="Z94" s="7">
        <v>1563.7380000000001</v>
      </c>
      <c r="AA94" s="7">
        <v>1245.306</v>
      </c>
      <c r="AB94" s="7">
        <v>0</v>
      </c>
      <c r="AC94" s="7">
        <v>10229.875</v>
      </c>
      <c r="AD94" s="7">
        <v>0</v>
      </c>
      <c r="AE94" s="7">
        <v>21251.672999999999</v>
      </c>
      <c r="AF94" s="7">
        <v>0</v>
      </c>
      <c r="AG94" s="7">
        <v>3804.1030000000001</v>
      </c>
      <c r="AH94" s="7">
        <v>0</v>
      </c>
      <c r="AI94" s="7">
        <v>6834.4759999999997</v>
      </c>
      <c r="AJ94" s="7">
        <v>3675.9050000000002</v>
      </c>
      <c r="AK94" s="7">
        <v>0</v>
      </c>
      <c r="AL94" s="7">
        <v>195811.47700000001</v>
      </c>
      <c r="AM94" s="7">
        <v>6802.2150000000001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310.54500000000002</v>
      </c>
      <c r="AV94" s="7">
        <v>0</v>
      </c>
      <c r="AW94" s="7">
        <v>0</v>
      </c>
      <c r="AX94" s="7">
        <v>1073.8050000000001</v>
      </c>
      <c r="AY94" s="7">
        <v>0</v>
      </c>
      <c r="AZ94" s="7">
        <v>23.425000000000001</v>
      </c>
      <c r="BA94" s="7">
        <v>0</v>
      </c>
      <c r="BB94" s="7">
        <v>31.672000000000001</v>
      </c>
      <c r="BC94" s="7">
        <v>0</v>
      </c>
      <c r="BD94" s="7">
        <v>0</v>
      </c>
      <c r="BE94" s="7">
        <v>100075.694</v>
      </c>
      <c r="BF94" s="7">
        <v>0</v>
      </c>
      <c r="BG94" s="21"/>
    </row>
    <row r="95" spans="1:59" ht="15.6" x14ac:dyDescent="0.3">
      <c r="A95" s="5" t="s">
        <v>176</v>
      </c>
      <c r="B95" s="5" t="s">
        <v>177</v>
      </c>
      <c r="C95" s="7">
        <v>3</v>
      </c>
      <c r="D95" s="7">
        <v>3</v>
      </c>
      <c r="E95" s="7">
        <v>30907.518</v>
      </c>
      <c r="F95" s="7">
        <v>23454.493999999999</v>
      </c>
      <c r="G95" s="7">
        <v>4197.2520000000004</v>
      </c>
      <c r="H95" s="7">
        <v>11496.061</v>
      </c>
      <c r="I95" s="7">
        <v>3583.2919999999999</v>
      </c>
      <c r="J95" s="7">
        <v>17506.486000000001</v>
      </c>
      <c r="K95" s="7">
        <v>7720.4849999999997</v>
      </c>
      <c r="L95" s="7">
        <v>13217.888000000001</v>
      </c>
      <c r="M95" s="7">
        <v>0</v>
      </c>
      <c r="N95" s="7">
        <v>41409.851999999999</v>
      </c>
      <c r="O95" s="7">
        <v>95387.513999999996</v>
      </c>
      <c r="P95" s="7">
        <v>40584.686000000002</v>
      </c>
      <c r="Q95" s="7">
        <v>0</v>
      </c>
      <c r="R95" s="7">
        <v>0</v>
      </c>
      <c r="S95" s="7">
        <v>1.1439999999999999</v>
      </c>
      <c r="T95" s="7">
        <v>0</v>
      </c>
      <c r="U95" s="7">
        <v>0</v>
      </c>
      <c r="V95" s="7">
        <v>9186.2720000000008</v>
      </c>
      <c r="W95" s="7">
        <v>0</v>
      </c>
      <c r="X95" s="7">
        <v>0</v>
      </c>
      <c r="Y95" s="7">
        <v>0</v>
      </c>
      <c r="Z95" s="7">
        <v>1683.4380000000001</v>
      </c>
      <c r="AA95" s="7">
        <v>4161.24</v>
      </c>
      <c r="AB95" s="7">
        <v>0</v>
      </c>
      <c r="AC95" s="7">
        <v>3591.5259999999998</v>
      </c>
      <c r="AD95" s="7">
        <v>0</v>
      </c>
      <c r="AE95" s="7">
        <v>34789.052000000003</v>
      </c>
      <c r="AF95" s="7">
        <v>0</v>
      </c>
      <c r="AG95" s="7">
        <v>4133.4740000000002</v>
      </c>
      <c r="AH95" s="7">
        <v>0</v>
      </c>
      <c r="AI95" s="7">
        <v>7066.549</v>
      </c>
      <c r="AJ95" s="7">
        <v>3404.3150000000001</v>
      </c>
      <c r="AK95" s="7">
        <v>0</v>
      </c>
      <c r="AL95" s="7">
        <v>197908.212</v>
      </c>
      <c r="AM95" s="7">
        <v>6256.527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435.73599999999999</v>
      </c>
      <c r="AV95" s="7">
        <v>0</v>
      </c>
      <c r="AW95" s="7">
        <v>0</v>
      </c>
      <c r="AX95" s="7">
        <v>949.19200000000001</v>
      </c>
      <c r="AY95" s="7">
        <v>0</v>
      </c>
      <c r="AZ95" s="7">
        <v>38.307000000000002</v>
      </c>
      <c r="BA95" s="7">
        <v>0</v>
      </c>
      <c r="BB95" s="7">
        <v>159.86699999999999</v>
      </c>
      <c r="BC95" s="7">
        <v>0</v>
      </c>
      <c r="BD95" s="7">
        <v>0</v>
      </c>
      <c r="BE95" s="7">
        <v>28426.574000000001</v>
      </c>
      <c r="BF95" s="7">
        <v>0</v>
      </c>
      <c r="BG95" s="21"/>
    </row>
    <row r="96" spans="1:59" ht="15.6" x14ac:dyDescent="0.3">
      <c r="A96" s="5" t="s">
        <v>178</v>
      </c>
      <c r="B96" s="5" t="s">
        <v>179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21"/>
    </row>
    <row r="97" spans="1:59" ht="15.6" x14ac:dyDescent="0.3">
      <c r="A97" s="5" t="s">
        <v>180</v>
      </c>
      <c r="B97" s="5" t="s">
        <v>181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21"/>
    </row>
    <row r="98" spans="1:59" ht="15.6" x14ac:dyDescent="0.3">
      <c r="A98" s="5" t="s">
        <v>182</v>
      </c>
      <c r="B98" s="5" t="s">
        <v>183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21"/>
    </row>
    <row r="99" spans="1:59" ht="15.6" x14ac:dyDescent="0.3">
      <c r="A99" s="5" t="s">
        <v>184</v>
      </c>
      <c r="B99" s="5" t="s">
        <v>185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21"/>
    </row>
    <row r="100" spans="1:59" ht="15.6" x14ac:dyDescent="0.3">
      <c r="A100" s="5" t="s">
        <v>186</v>
      </c>
      <c r="B100" s="5" t="s">
        <v>187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21"/>
    </row>
    <row r="101" spans="1:59" ht="15.6" x14ac:dyDescent="0.3">
      <c r="A101" s="5" t="s">
        <v>188</v>
      </c>
      <c r="B101" s="5" t="s">
        <v>189</v>
      </c>
      <c r="C101" s="7">
        <v>6</v>
      </c>
      <c r="D101" s="7">
        <v>6</v>
      </c>
      <c r="E101" s="7">
        <v>3926.2020000000002</v>
      </c>
      <c r="F101" s="7">
        <v>537.55700000000002</v>
      </c>
      <c r="G101" s="7">
        <v>771.78200000000004</v>
      </c>
      <c r="H101" s="7">
        <v>0</v>
      </c>
      <c r="I101" s="7">
        <v>135.95599999999999</v>
      </c>
      <c r="J101" s="7">
        <v>452.87700000000001</v>
      </c>
      <c r="K101" s="7">
        <v>3801.614</v>
      </c>
      <c r="L101" s="7">
        <v>354.69099999999997</v>
      </c>
      <c r="M101" s="7">
        <v>0</v>
      </c>
      <c r="N101" s="7">
        <v>1769.7570000000001</v>
      </c>
      <c r="O101" s="7">
        <v>4234.57</v>
      </c>
      <c r="P101" s="7">
        <v>1745.7919999999999</v>
      </c>
      <c r="Q101" s="7">
        <v>0</v>
      </c>
      <c r="R101" s="7">
        <v>0</v>
      </c>
      <c r="S101" s="7">
        <v>25.658000000000001</v>
      </c>
      <c r="T101" s="7">
        <v>0</v>
      </c>
      <c r="U101" s="7">
        <v>0.80200000000000005</v>
      </c>
      <c r="V101" s="7">
        <v>0</v>
      </c>
      <c r="W101" s="7">
        <v>0</v>
      </c>
      <c r="X101" s="7">
        <v>0</v>
      </c>
      <c r="Y101" s="7">
        <v>0</v>
      </c>
      <c r="Z101" s="7">
        <v>63.65</v>
      </c>
      <c r="AA101" s="7">
        <v>199.75399999999999</v>
      </c>
      <c r="AB101" s="7">
        <v>0</v>
      </c>
      <c r="AC101" s="7">
        <v>1587.855</v>
      </c>
      <c r="AD101" s="7">
        <v>0</v>
      </c>
      <c r="AE101" s="7">
        <v>553.31899999999996</v>
      </c>
      <c r="AF101" s="7">
        <v>0</v>
      </c>
      <c r="AG101" s="7">
        <v>97.492999999999995</v>
      </c>
      <c r="AH101" s="7">
        <v>0</v>
      </c>
      <c r="AI101" s="7">
        <v>5028.8059999999996</v>
      </c>
      <c r="AJ101" s="7">
        <v>0</v>
      </c>
      <c r="AK101" s="7">
        <v>0</v>
      </c>
      <c r="AL101" s="7">
        <v>8161.7929999999997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21"/>
    </row>
    <row r="102" spans="1:59" ht="15.6" x14ac:dyDescent="0.3">
      <c r="A102" s="5" t="s">
        <v>190</v>
      </c>
      <c r="B102" s="5" t="s">
        <v>191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21"/>
    </row>
    <row r="103" spans="1:59" ht="15.6" x14ac:dyDescent="0.3">
      <c r="A103" s="5" t="s">
        <v>192</v>
      </c>
      <c r="B103" s="5" t="s">
        <v>193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1880.32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21"/>
    </row>
    <row r="104" spans="1:59" ht="15.6" x14ac:dyDescent="0.3">
      <c r="A104" s="5" t="s">
        <v>194</v>
      </c>
      <c r="B104" s="5" t="s">
        <v>195</v>
      </c>
      <c r="C104" s="7">
        <v>4</v>
      </c>
      <c r="D104" s="7">
        <v>4</v>
      </c>
      <c r="E104" s="7">
        <v>195833.76500000001</v>
      </c>
      <c r="F104" s="7">
        <v>60069.046999999999</v>
      </c>
      <c r="G104" s="7">
        <v>0</v>
      </c>
      <c r="H104" s="7">
        <v>0</v>
      </c>
      <c r="I104" s="7">
        <v>2905.7370000000001</v>
      </c>
      <c r="J104" s="7">
        <v>0</v>
      </c>
      <c r="K104" s="7">
        <v>268740.95400000003</v>
      </c>
      <c r="L104" s="7">
        <v>14853.42</v>
      </c>
      <c r="M104" s="7">
        <v>0</v>
      </c>
      <c r="N104" s="7">
        <v>29356.994999999999</v>
      </c>
      <c r="O104" s="7">
        <v>698758.40700000001</v>
      </c>
      <c r="P104" s="7">
        <v>35078.375</v>
      </c>
      <c r="Q104" s="7">
        <v>0</v>
      </c>
      <c r="R104" s="7">
        <v>49.011000000000003</v>
      </c>
      <c r="S104" s="7">
        <v>30.268999999999998</v>
      </c>
      <c r="T104" s="7">
        <v>89.686000000000007</v>
      </c>
      <c r="U104" s="7">
        <v>0</v>
      </c>
      <c r="V104" s="7">
        <v>14311.837</v>
      </c>
      <c r="W104" s="7">
        <v>0</v>
      </c>
      <c r="X104" s="7">
        <v>1629.5809999999999</v>
      </c>
      <c r="Y104" s="7">
        <v>0</v>
      </c>
      <c r="Z104" s="7">
        <v>0</v>
      </c>
      <c r="AA104" s="7">
        <v>3907.672</v>
      </c>
      <c r="AB104" s="7">
        <v>9704.3529999999992</v>
      </c>
      <c r="AC104" s="7">
        <v>104574.849</v>
      </c>
      <c r="AD104" s="7">
        <v>0</v>
      </c>
      <c r="AE104" s="7">
        <v>0</v>
      </c>
      <c r="AF104" s="7">
        <v>3106.232</v>
      </c>
      <c r="AG104" s="7">
        <v>9351.348</v>
      </c>
      <c r="AH104" s="7">
        <v>0</v>
      </c>
      <c r="AI104" s="7">
        <v>261083.84899999999</v>
      </c>
      <c r="AJ104" s="7">
        <v>138079.00700000001</v>
      </c>
      <c r="AK104" s="7">
        <v>0</v>
      </c>
      <c r="AL104" s="7">
        <v>854551.245</v>
      </c>
      <c r="AM104" s="7">
        <v>256184.598</v>
      </c>
      <c r="AN104" s="7">
        <v>0</v>
      </c>
      <c r="AO104" s="7">
        <v>0</v>
      </c>
      <c r="AP104" s="7">
        <v>3129.7020000000002</v>
      </c>
      <c r="AQ104" s="7">
        <v>1399.941</v>
      </c>
      <c r="AR104" s="7">
        <v>0</v>
      </c>
      <c r="AS104" s="7">
        <v>0</v>
      </c>
      <c r="AT104" s="7">
        <v>0</v>
      </c>
      <c r="AU104" s="7">
        <v>299.55</v>
      </c>
      <c r="AV104" s="7">
        <v>314.27199999999999</v>
      </c>
      <c r="AW104" s="7">
        <v>0</v>
      </c>
      <c r="AX104" s="7">
        <v>41040.470999999998</v>
      </c>
      <c r="AY104" s="7">
        <v>0</v>
      </c>
      <c r="AZ104" s="7">
        <v>158.23500000000001</v>
      </c>
      <c r="BA104" s="7">
        <v>0</v>
      </c>
      <c r="BB104" s="7">
        <v>1181.55</v>
      </c>
      <c r="BC104" s="7">
        <v>0</v>
      </c>
      <c r="BD104" s="7">
        <v>0</v>
      </c>
      <c r="BE104" s="7">
        <v>0</v>
      </c>
      <c r="BF104" s="7">
        <v>693.53</v>
      </c>
      <c r="BG104" s="21"/>
    </row>
    <row r="105" spans="1:59" ht="15.6" x14ac:dyDescent="0.3">
      <c r="A105" s="5" t="s">
        <v>196</v>
      </c>
      <c r="B105" s="5" t="s">
        <v>197</v>
      </c>
      <c r="C105" s="7">
        <v>4</v>
      </c>
      <c r="D105" s="7">
        <v>4</v>
      </c>
      <c r="E105" s="7">
        <v>96666.948000000004</v>
      </c>
      <c r="F105" s="7">
        <v>28558.144</v>
      </c>
      <c r="G105" s="7">
        <v>0</v>
      </c>
      <c r="H105" s="7">
        <v>379.39800000000002</v>
      </c>
      <c r="I105" s="7">
        <v>1446.4970000000001</v>
      </c>
      <c r="J105" s="7">
        <v>0</v>
      </c>
      <c r="K105" s="7">
        <v>130095.202</v>
      </c>
      <c r="L105" s="7">
        <v>7394.1419999999998</v>
      </c>
      <c r="M105" s="7">
        <v>0</v>
      </c>
      <c r="N105" s="7">
        <v>14614.129000000001</v>
      </c>
      <c r="O105" s="7">
        <v>344315.734</v>
      </c>
      <c r="P105" s="7">
        <v>17462.275000000001</v>
      </c>
      <c r="Q105" s="7">
        <v>0</v>
      </c>
      <c r="R105" s="7">
        <v>6.2149999999999999</v>
      </c>
      <c r="S105" s="7">
        <v>15.068</v>
      </c>
      <c r="T105" s="7">
        <v>11.372999999999999</v>
      </c>
      <c r="U105" s="7">
        <v>0</v>
      </c>
      <c r="V105" s="7">
        <v>7124.5389999999998</v>
      </c>
      <c r="W105" s="7">
        <v>0</v>
      </c>
      <c r="X105" s="7">
        <v>206.655</v>
      </c>
      <c r="Y105" s="7">
        <v>0</v>
      </c>
      <c r="Z105" s="7">
        <v>0</v>
      </c>
      <c r="AA105" s="7">
        <v>1945.268</v>
      </c>
      <c r="AB105" s="7">
        <v>1230.6559999999999</v>
      </c>
      <c r="AC105" s="7">
        <v>52058.133999999998</v>
      </c>
      <c r="AD105" s="7">
        <v>0</v>
      </c>
      <c r="AE105" s="7">
        <v>0</v>
      </c>
      <c r="AF105" s="7">
        <v>393.916</v>
      </c>
      <c r="AG105" s="7">
        <v>4655.17</v>
      </c>
      <c r="AH105" s="7">
        <v>0</v>
      </c>
      <c r="AI105" s="7">
        <v>129969.474</v>
      </c>
      <c r="AJ105" s="7">
        <v>68736.751999999993</v>
      </c>
      <c r="AK105" s="7">
        <v>0</v>
      </c>
      <c r="AL105" s="7">
        <v>425316.01699999999</v>
      </c>
      <c r="AM105" s="7">
        <v>127530.59</v>
      </c>
      <c r="AN105" s="7">
        <v>0</v>
      </c>
      <c r="AO105" s="7">
        <v>0</v>
      </c>
      <c r="AP105" s="7">
        <v>396.892</v>
      </c>
      <c r="AQ105" s="7">
        <v>177.53299999999999</v>
      </c>
      <c r="AR105" s="7">
        <v>0</v>
      </c>
      <c r="AS105" s="7">
        <v>0</v>
      </c>
      <c r="AT105" s="7">
        <v>0</v>
      </c>
      <c r="AU105" s="7">
        <v>149.11799999999999</v>
      </c>
      <c r="AV105" s="7">
        <v>39.853999999999999</v>
      </c>
      <c r="AW105" s="7">
        <v>0</v>
      </c>
      <c r="AX105" s="7">
        <v>20430.25</v>
      </c>
      <c r="AY105" s="7">
        <v>0</v>
      </c>
      <c r="AZ105" s="7">
        <v>78.771000000000001</v>
      </c>
      <c r="BA105" s="7">
        <v>0</v>
      </c>
      <c r="BB105" s="7">
        <v>588.18499999999995</v>
      </c>
      <c r="BC105" s="7">
        <v>0</v>
      </c>
      <c r="BD105" s="7">
        <v>0</v>
      </c>
      <c r="BE105" s="7">
        <v>0</v>
      </c>
      <c r="BF105" s="7">
        <v>87.95</v>
      </c>
      <c r="BG105" s="21"/>
    </row>
    <row r="106" spans="1:59" ht="15.6" x14ac:dyDescent="0.3">
      <c r="A106" s="5" t="s">
        <v>198</v>
      </c>
      <c r="B106" s="5" t="s">
        <v>199</v>
      </c>
      <c r="C106" s="7">
        <v>4</v>
      </c>
      <c r="D106" s="7">
        <v>4</v>
      </c>
      <c r="E106" s="7">
        <v>43063.705999999998</v>
      </c>
      <c r="F106" s="7">
        <v>13388.171</v>
      </c>
      <c r="G106" s="7">
        <v>73.204999999999998</v>
      </c>
      <c r="H106" s="7">
        <v>4.827</v>
      </c>
      <c r="I106" s="7">
        <v>734.83600000000001</v>
      </c>
      <c r="J106" s="7">
        <v>46.341000000000001</v>
      </c>
      <c r="K106" s="7">
        <v>66061.183999999994</v>
      </c>
      <c r="L106" s="7">
        <v>3735.7280000000001</v>
      </c>
      <c r="M106" s="7">
        <v>0</v>
      </c>
      <c r="N106" s="7">
        <v>8525.2199999999993</v>
      </c>
      <c r="O106" s="7">
        <v>154763.084</v>
      </c>
      <c r="P106" s="7">
        <v>10516.540999999999</v>
      </c>
      <c r="Q106" s="7">
        <v>0</v>
      </c>
      <c r="R106" s="7">
        <v>48.938000000000002</v>
      </c>
      <c r="S106" s="7">
        <v>6.4320000000000004</v>
      </c>
      <c r="T106" s="7">
        <v>89.552999999999997</v>
      </c>
      <c r="U106" s="7">
        <v>0</v>
      </c>
      <c r="V106" s="7">
        <v>3050.9119999999998</v>
      </c>
      <c r="W106" s="7">
        <v>0</v>
      </c>
      <c r="X106" s="7">
        <v>1627.1780000000001</v>
      </c>
      <c r="Y106" s="7">
        <v>0</v>
      </c>
      <c r="Z106" s="7">
        <v>6.9269999999999996</v>
      </c>
      <c r="AA106" s="7">
        <v>844.40899999999999</v>
      </c>
      <c r="AB106" s="7">
        <v>9690.0390000000007</v>
      </c>
      <c r="AC106" s="7">
        <v>22213.56</v>
      </c>
      <c r="AD106" s="7">
        <v>0</v>
      </c>
      <c r="AE106" s="7">
        <v>51.079000000000001</v>
      </c>
      <c r="AF106" s="7">
        <v>3101.6509999999998</v>
      </c>
      <c r="AG106" s="7">
        <v>1989.626</v>
      </c>
      <c r="AH106" s="7">
        <v>0</v>
      </c>
      <c r="AI106" s="7">
        <v>55408.3</v>
      </c>
      <c r="AJ106" s="7">
        <v>29282.733</v>
      </c>
      <c r="AK106" s="7">
        <v>0</v>
      </c>
      <c r="AL106" s="7">
        <v>181436.58600000001</v>
      </c>
      <c r="AM106" s="7">
        <v>54334.699000000001</v>
      </c>
      <c r="AN106" s="7">
        <v>0</v>
      </c>
      <c r="AO106" s="7">
        <v>0</v>
      </c>
      <c r="AP106" s="7">
        <v>3125.0859999999998</v>
      </c>
      <c r="AQ106" s="7">
        <v>1397.876</v>
      </c>
      <c r="AR106" s="7">
        <v>0</v>
      </c>
      <c r="AS106" s="7">
        <v>0</v>
      </c>
      <c r="AT106" s="7">
        <v>0</v>
      </c>
      <c r="AU106" s="7">
        <v>63.784999999999997</v>
      </c>
      <c r="AV106" s="7">
        <v>313.80799999999999</v>
      </c>
      <c r="AW106" s="7">
        <v>0</v>
      </c>
      <c r="AX106" s="7">
        <v>8702.6200000000008</v>
      </c>
      <c r="AY106" s="7">
        <v>0</v>
      </c>
      <c r="AZ106" s="7">
        <v>33.707999999999998</v>
      </c>
      <c r="BA106" s="7">
        <v>0</v>
      </c>
      <c r="BB106" s="7">
        <v>255.05500000000001</v>
      </c>
      <c r="BC106" s="7">
        <v>0</v>
      </c>
      <c r="BD106" s="7">
        <v>0</v>
      </c>
      <c r="BE106" s="7">
        <v>0</v>
      </c>
      <c r="BF106" s="7">
        <v>692.50699999999995</v>
      </c>
      <c r="BG106" s="21"/>
    </row>
    <row r="107" spans="1:59" ht="15.6" x14ac:dyDescent="0.3">
      <c r="A107" s="5" t="s">
        <v>200</v>
      </c>
      <c r="B107" s="5" t="s">
        <v>201</v>
      </c>
      <c r="C107" s="7">
        <v>4</v>
      </c>
      <c r="D107" s="7">
        <v>4</v>
      </c>
      <c r="E107" s="7">
        <v>2410.259</v>
      </c>
      <c r="F107" s="7">
        <v>711.76700000000005</v>
      </c>
      <c r="G107" s="7">
        <v>1.268</v>
      </c>
      <c r="H107" s="7">
        <v>0</v>
      </c>
      <c r="I107" s="7">
        <v>36.143999999999998</v>
      </c>
      <c r="J107" s="7">
        <v>0.80300000000000005</v>
      </c>
      <c r="K107" s="7">
        <v>3240.4070000000002</v>
      </c>
      <c r="L107" s="7">
        <v>185.18</v>
      </c>
      <c r="M107" s="7">
        <v>0</v>
      </c>
      <c r="N107" s="7">
        <v>366.24900000000002</v>
      </c>
      <c r="O107" s="7">
        <v>8576.0930000000008</v>
      </c>
      <c r="P107" s="7">
        <v>437.029</v>
      </c>
      <c r="Q107" s="7">
        <v>0</v>
      </c>
      <c r="R107" s="7">
        <v>3.3319999999999999</v>
      </c>
      <c r="S107" s="7">
        <v>0.375</v>
      </c>
      <c r="T107" s="7">
        <v>6.0970000000000004</v>
      </c>
      <c r="U107" s="7">
        <v>0</v>
      </c>
      <c r="V107" s="7">
        <v>177.68199999999999</v>
      </c>
      <c r="W107" s="7">
        <v>0</v>
      </c>
      <c r="X107" s="7">
        <v>110.779</v>
      </c>
      <c r="Y107" s="7">
        <v>0</v>
      </c>
      <c r="Z107" s="7">
        <v>0.12</v>
      </c>
      <c r="AA107" s="7">
        <v>48.710999999999999</v>
      </c>
      <c r="AB107" s="7">
        <v>659.70500000000004</v>
      </c>
      <c r="AC107" s="7">
        <v>1296.931</v>
      </c>
      <c r="AD107" s="7">
        <v>0</v>
      </c>
      <c r="AE107" s="7">
        <v>0.88500000000000001</v>
      </c>
      <c r="AF107" s="7">
        <v>211.16300000000001</v>
      </c>
      <c r="AG107" s="7">
        <v>116.03100000000001</v>
      </c>
      <c r="AH107" s="7">
        <v>0</v>
      </c>
      <c r="AI107" s="7">
        <v>3237.07</v>
      </c>
      <c r="AJ107" s="7">
        <v>1711.567</v>
      </c>
      <c r="AK107" s="7">
        <v>0</v>
      </c>
      <c r="AL107" s="7">
        <v>10595.108</v>
      </c>
      <c r="AM107" s="7">
        <v>3175.5520000000001</v>
      </c>
      <c r="AN107" s="7">
        <v>0</v>
      </c>
      <c r="AO107" s="7">
        <v>0</v>
      </c>
      <c r="AP107" s="7">
        <v>212.75800000000001</v>
      </c>
      <c r="AQ107" s="7">
        <v>95.168000000000006</v>
      </c>
      <c r="AR107" s="7">
        <v>0</v>
      </c>
      <c r="AS107" s="7">
        <v>0</v>
      </c>
      <c r="AT107" s="7">
        <v>0</v>
      </c>
      <c r="AU107" s="7">
        <v>3.718</v>
      </c>
      <c r="AV107" s="7">
        <v>21.364000000000001</v>
      </c>
      <c r="AW107" s="7">
        <v>0</v>
      </c>
      <c r="AX107" s="7">
        <v>508.72</v>
      </c>
      <c r="AY107" s="7">
        <v>0</v>
      </c>
      <c r="AZ107" s="7">
        <v>1.964</v>
      </c>
      <c r="BA107" s="7">
        <v>0</v>
      </c>
      <c r="BB107" s="7">
        <v>14.724</v>
      </c>
      <c r="BC107" s="7">
        <v>0</v>
      </c>
      <c r="BD107" s="7">
        <v>0</v>
      </c>
      <c r="BE107" s="7">
        <v>0</v>
      </c>
      <c r="BF107" s="7">
        <v>47.146000000000001</v>
      </c>
      <c r="BG107" s="21"/>
    </row>
    <row r="108" spans="1:59" ht="15.6" x14ac:dyDescent="0.3">
      <c r="A108" s="5" t="s">
        <v>202</v>
      </c>
      <c r="B108" s="5" t="s">
        <v>203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21"/>
    </row>
    <row r="109" spans="1:59" ht="15.6" x14ac:dyDescent="0.3">
      <c r="A109" s="5" t="s">
        <v>204</v>
      </c>
      <c r="B109" s="5" t="s">
        <v>205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21"/>
    </row>
    <row r="110" spans="1:59" ht="15.6" x14ac:dyDescent="0.3">
      <c r="A110" s="5" t="s">
        <v>206</v>
      </c>
      <c r="B110" s="5" t="s">
        <v>207</v>
      </c>
      <c r="C110" s="7">
        <v>6</v>
      </c>
      <c r="D110" s="7">
        <v>6</v>
      </c>
      <c r="E110" s="7">
        <v>60448.821000000004</v>
      </c>
      <c r="F110" s="7">
        <v>638.83399999999995</v>
      </c>
      <c r="G110" s="7">
        <v>0</v>
      </c>
      <c r="H110" s="7">
        <v>8965.7139999999999</v>
      </c>
      <c r="I110" s="7">
        <v>0.33900000000000002</v>
      </c>
      <c r="J110" s="7">
        <v>0</v>
      </c>
      <c r="K110" s="7">
        <v>72603.857999999993</v>
      </c>
      <c r="L110" s="7">
        <v>590.34400000000005</v>
      </c>
      <c r="M110" s="7">
        <v>0</v>
      </c>
      <c r="N110" s="7">
        <v>22195.83</v>
      </c>
      <c r="O110" s="7">
        <v>121749.61900000001</v>
      </c>
      <c r="P110" s="7">
        <v>19238.504000000001</v>
      </c>
      <c r="Q110" s="7">
        <v>0</v>
      </c>
      <c r="R110" s="7">
        <v>0</v>
      </c>
      <c r="S110" s="7">
        <v>4.0000000000000001E-3</v>
      </c>
      <c r="T110" s="7">
        <v>0</v>
      </c>
      <c r="U110" s="7">
        <v>2E-3</v>
      </c>
      <c r="V110" s="7">
        <v>1.66</v>
      </c>
      <c r="W110" s="7">
        <v>0</v>
      </c>
      <c r="X110" s="7">
        <v>0</v>
      </c>
      <c r="Y110" s="7">
        <v>0</v>
      </c>
      <c r="Z110" s="7">
        <v>0</v>
      </c>
      <c r="AA110" s="7">
        <v>0.45300000000000001</v>
      </c>
      <c r="AB110" s="7">
        <v>0</v>
      </c>
      <c r="AC110" s="7">
        <v>27723.544000000002</v>
      </c>
      <c r="AD110" s="7">
        <v>0</v>
      </c>
      <c r="AE110" s="7">
        <v>0</v>
      </c>
      <c r="AF110" s="7">
        <v>0</v>
      </c>
      <c r="AG110" s="7">
        <v>1.0840000000000001</v>
      </c>
      <c r="AH110" s="7">
        <v>0</v>
      </c>
      <c r="AI110" s="7">
        <v>94537.562000000005</v>
      </c>
      <c r="AJ110" s="7">
        <v>3834.0309999999999</v>
      </c>
      <c r="AK110" s="7">
        <v>0</v>
      </c>
      <c r="AL110" s="7">
        <v>221158.74</v>
      </c>
      <c r="AM110" s="7">
        <v>5249.6310000000003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3.5000000000000003E-2</v>
      </c>
      <c r="AV110" s="7">
        <v>0</v>
      </c>
      <c r="AW110" s="7">
        <v>0</v>
      </c>
      <c r="AX110" s="7">
        <v>4.7590000000000003</v>
      </c>
      <c r="AY110" s="7">
        <v>0</v>
      </c>
      <c r="AZ110" s="7">
        <v>2.4E-2</v>
      </c>
      <c r="BA110" s="7">
        <v>0</v>
      </c>
      <c r="BB110" s="7">
        <v>0.13700000000000001</v>
      </c>
      <c r="BC110" s="7">
        <v>0</v>
      </c>
      <c r="BD110" s="7">
        <v>0</v>
      </c>
      <c r="BE110" s="7">
        <v>0</v>
      </c>
      <c r="BF110" s="7">
        <v>0</v>
      </c>
      <c r="BG110" s="21"/>
    </row>
    <row r="111" spans="1:59" ht="15.6" x14ac:dyDescent="0.3">
      <c r="A111" s="5" t="s">
        <v>208</v>
      </c>
      <c r="B111" s="5" t="s">
        <v>209</v>
      </c>
      <c r="C111" s="7">
        <v>4</v>
      </c>
      <c r="D111" s="7">
        <v>4</v>
      </c>
      <c r="E111" s="7">
        <v>68317.918999999994</v>
      </c>
      <c r="F111" s="7">
        <v>20174.605</v>
      </c>
      <c r="G111" s="7">
        <v>0</v>
      </c>
      <c r="H111" s="7">
        <v>0</v>
      </c>
      <c r="I111" s="7">
        <v>1019.567</v>
      </c>
      <c r="J111" s="7">
        <v>0</v>
      </c>
      <c r="K111" s="7">
        <v>91694.081999999995</v>
      </c>
      <c r="L111" s="7">
        <v>5215.357</v>
      </c>
      <c r="M111" s="7">
        <v>0</v>
      </c>
      <c r="N111" s="7">
        <v>10300.563</v>
      </c>
      <c r="O111" s="7">
        <v>243759.682</v>
      </c>
      <c r="P111" s="7">
        <v>12323.793</v>
      </c>
      <c r="Q111" s="7">
        <v>0</v>
      </c>
      <c r="R111" s="7">
        <v>0</v>
      </c>
      <c r="S111" s="7">
        <v>10.609</v>
      </c>
      <c r="T111" s="7">
        <v>0</v>
      </c>
      <c r="U111" s="7">
        <v>0</v>
      </c>
      <c r="V111" s="7">
        <v>5023.2169999999996</v>
      </c>
      <c r="W111" s="7">
        <v>0</v>
      </c>
      <c r="X111" s="7">
        <v>0</v>
      </c>
      <c r="Y111" s="7">
        <v>0</v>
      </c>
      <c r="Z111" s="7">
        <v>0</v>
      </c>
      <c r="AA111" s="7">
        <v>1371.1959999999999</v>
      </c>
      <c r="AB111" s="7">
        <v>0</v>
      </c>
      <c r="AC111" s="7">
        <v>36743.084999999999</v>
      </c>
      <c r="AD111" s="7">
        <v>0</v>
      </c>
      <c r="AE111" s="7">
        <v>0</v>
      </c>
      <c r="AF111" s="7">
        <v>29.959</v>
      </c>
      <c r="AG111" s="7">
        <v>3281.3809999999999</v>
      </c>
      <c r="AH111" s="7">
        <v>0</v>
      </c>
      <c r="AI111" s="7">
        <v>91832.06</v>
      </c>
      <c r="AJ111" s="7">
        <v>48524.597999999998</v>
      </c>
      <c r="AK111" s="7">
        <v>0</v>
      </c>
      <c r="AL111" s="7">
        <v>301739.62199999997</v>
      </c>
      <c r="AM111" s="7">
        <v>89965.543999999994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105.31</v>
      </c>
      <c r="AV111" s="7">
        <v>0</v>
      </c>
      <c r="AW111" s="7">
        <v>0</v>
      </c>
      <c r="AX111" s="7">
        <v>14430.531000000001</v>
      </c>
      <c r="AY111" s="7">
        <v>0</v>
      </c>
      <c r="AZ111" s="7">
        <v>55.530999999999999</v>
      </c>
      <c r="BA111" s="7">
        <v>0</v>
      </c>
      <c r="BB111" s="7">
        <v>629.22199999999998</v>
      </c>
      <c r="BC111" s="7">
        <v>0</v>
      </c>
      <c r="BD111" s="7">
        <v>0</v>
      </c>
      <c r="BE111" s="7">
        <v>15.417</v>
      </c>
      <c r="BF111" s="7">
        <v>0</v>
      </c>
      <c r="BG111" s="21"/>
    </row>
    <row r="112" spans="1:59" ht="15.6" x14ac:dyDescent="0.3">
      <c r="A112" s="5" t="s">
        <v>210</v>
      </c>
      <c r="B112" s="5" t="s">
        <v>211</v>
      </c>
      <c r="C112" s="7">
        <v>4</v>
      </c>
      <c r="D112" s="7">
        <v>4</v>
      </c>
      <c r="E112" s="7">
        <v>182623.26199999999</v>
      </c>
      <c r="F112" s="7">
        <v>52956.495999999999</v>
      </c>
      <c r="G112" s="7">
        <v>0</v>
      </c>
      <c r="H112" s="7">
        <v>0</v>
      </c>
      <c r="I112" s="7">
        <v>2692.9920000000002</v>
      </c>
      <c r="J112" s="7">
        <v>0</v>
      </c>
      <c r="K112" s="7">
        <v>235400.57199999999</v>
      </c>
      <c r="L112" s="7">
        <v>21519.384999999998</v>
      </c>
      <c r="M112" s="7">
        <v>0</v>
      </c>
      <c r="N112" s="7">
        <v>27417.394</v>
      </c>
      <c r="O112" s="7">
        <v>626140.27899999998</v>
      </c>
      <c r="P112" s="7">
        <v>33978.868000000002</v>
      </c>
      <c r="Q112" s="7">
        <v>0</v>
      </c>
      <c r="R112" s="7">
        <v>0</v>
      </c>
      <c r="S112" s="7">
        <v>0.66500000000000004</v>
      </c>
      <c r="T112" s="7">
        <v>0</v>
      </c>
      <c r="U112" s="7">
        <v>0</v>
      </c>
      <c r="V112" s="7">
        <v>16139.956</v>
      </c>
      <c r="W112" s="7">
        <v>0</v>
      </c>
      <c r="X112" s="7">
        <v>0</v>
      </c>
      <c r="Y112" s="7">
        <v>0</v>
      </c>
      <c r="Z112" s="7">
        <v>0</v>
      </c>
      <c r="AA112" s="7">
        <v>3802.6750000000002</v>
      </c>
      <c r="AB112" s="7">
        <v>0</v>
      </c>
      <c r="AC112" s="7">
        <v>99312.904999999999</v>
      </c>
      <c r="AD112" s="7">
        <v>0</v>
      </c>
      <c r="AE112" s="7">
        <v>0</v>
      </c>
      <c r="AF112" s="7">
        <v>35.502000000000002</v>
      </c>
      <c r="AG112" s="7">
        <v>8781</v>
      </c>
      <c r="AH112" s="7">
        <v>0</v>
      </c>
      <c r="AI112" s="7">
        <v>250110.826</v>
      </c>
      <c r="AJ112" s="7">
        <v>125436.87300000001</v>
      </c>
      <c r="AK112" s="7">
        <v>0</v>
      </c>
      <c r="AL112" s="7">
        <v>840329.56700000004</v>
      </c>
      <c r="AM112" s="7">
        <v>230799.40900000001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673.21299999999997</v>
      </c>
      <c r="AV112" s="7">
        <v>0</v>
      </c>
      <c r="AW112" s="7">
        <v>33632.493000000002</v>
      </c>
      <c r="AX112" s="7">
        <v>36435.440999999999</v>
      </c>
      <c r="AY112" s="7">
        <v>15127.566999999999</v>
      </c>
      <c r="AZ112" s="7">
        <v>153.81700000000001</v>
      </c>
      <c r="BA112" s="7">
        <v>0</v>
      </c>
      <c r="BB112" s="7">
        <v>1115.5219999999999</v>
      </c>
      <c r="BC112" s="7">
        <v>56984.42</v>
      </c>
      <c r="BD112" s="7">
        <v>51454.887999999999</v>
      </c>
      <c r="BE112" s="7">
        <v>31591.056</v>
      </c>
      <c r="BF112" s="7">
        <v>0</v>
      </c>
      <c r="BG112" s="21"/>
    </row>
    <row r="113" spans="1:59" ht="15.6" x14ac:dyDescent="0.3">
      <c r="A113" s="5" t="s">
        <v>212</v>
      </c>
      <c r="B113" s="5" t="s">
        <v>213</v>
      </c>
      <c r="C113" s="7">
        <v>4</v>
      </c>
      <c r="D113" s="7">
        <v>4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21"/>
    </row>
    <row r="114" spans="1:59" ht="15.6" x14ac:dyDescent="0.3">
      <c r="A114" s="5" t="s">
        <v>214</v>
      </c>
      <c r="B114" s="5" t="s">
        <v>215</v>
      </c>
      <c r="C114" s="7">
        <v>6</v>
      </c>
      <c r="D114" s="7">
        <v>6</v>
      </c>
      <c r="E114" s="7">
        <v>0</v>
      </c>
      <c r="F114" s="7">
        <v>43.164000000000001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0.74399999999999999</v>
      </c>
      <c r="O114" s="7">
        <v>-0.23599999999999999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361.68099999999998</v>
      </c>
      <c r="AJ114" s="7">
        <v>24.187000000000001</v>
      </c>
      <c r="AK114" s="7">
        <v>0</v>
      </c>
      <c r="AL114" s="7">
        <v>302.02</v>
      </c>
      <c r="AM114" s="7">
        <v>12.651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21"/>
    </row>
    <row r="115" spans="1:59" ht="15.6" x14ac:dyDescent="0.3">
      <c r="A115" s="5" t="s">
        <v>216</v>
      </c>
      <c r="B115" s="5" t="s">
        <v>217</v>
      </c>
      <c r="C115" s="7">
        <v>6</v>
      </c>
      <c r="D115" s="7">
        <v>6</v>
      </c>
      <c r="E115" s="7">
        <v>54032.796000000002</v>
      </c>
      <c r="F115" s="7">
        <v>1166.875</v>
      </c>
      <c r="G115" s="7">
        <v>0</v>
      </c>
      <c r="H115" s="7">
        <v>0</v>
      </c>
      <c r="I115" s="7">
        <v>76.994</v>
      </c>
      <c r="J115" s="7">
        <v>0</v>
      </c>
      <c r="K115" s="7">
        <v>59660.487999999998</v>
      </c>
      <c r="L115" s="7">
        <v>4606.8190000000004</v>
      </c>
      <c r="M115" s="7">
        <v>0</v>
      </c>
      <c r="N115" s="7">
        <v>31924.668000000001</v>
      </c>
      <c r="O115" s="7">
        <v>184184.321</v>
      </c>
      <c r="P115" s="7">
        <v>34325.663</v>
      </c>
      <c r="Q115" s="7">
        <v>0</v>
      </c>
      <c r="R115" s="7">
        <v>0</v>
      </c>
      <c r="S115" s="7">
        <v>25.664999999999999</v>
      </c>
      <c r="T115" s="7">
        <v>0</v>
      </c>
      <c r="U115" s="7">
        <v>25.664999999999999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256.64699999999999</v>
      </c>
      <c r="AB115" s="7">
        <v>0</v>
      </c>
      <c r="AC115" s="7">
        <v>18074.796999999999</v>
      </c>
      <c r="AD115" s="7">
        <v>0</v>
      </c>
      <c r="AE115" s="7">
        <v>2412.4789999999998</v>
      </c>
      <c r="AF115" s="7">
        <v>0</v>
      </c>
      <c r="AG115" s="7">
        <v>205.31700000000001</v>
      </c>
      <c r="AH115" s="7">
        <v>0</v>
      </c>
      <c r="AI115" s="7">
        <v>54401.904999999999</v>
      </c>
      <c r="AJ115" s="7">
        <v>113.574</v>
      </c>
      <c r="AK115" s="7">
        <v>0</v>
      </c>
      <c r="AL115" s="7">
        <v>215583.389</v>
      </c>
      <c r="AM115" s="7">
        <v>76.986000000000004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21"/>
    </row>
    <row r="116" spans="1:59" ht="15.6" x14ac:dyDescent="0.3">
      <c r="A116" s="5" t="s">
        <v>218</v>
      </c>
      <c r="B116" s="5" t="s">
        <v>219</v>
      </c>
      <c r="C116" s="7">
        <v>4</v>
      </c>
      <c r="D116" s="7">
        <v>4</v>
      </c>
      <c r="E116" s="7">
        <v>20172.913</v>
      </c>
      <c r="F116" s="7">
        <v>5959.6480000000001</v>
      </c>
      <c r="G116" s="7">
        <v>0</v>
      </c>
      <c r="H116" s="7">
        <v>11421.34</v>
      </c>
      <c r="I116" s="7">
        <v>301.86200000000002</v>
      </c>
      <c r="J116" s="7">
        <v>0</v>
      </c>
      <c r="K116" s="7">
        <v>27148.878000000001</v>
      </c>
      <c r="L116" s="7">
        <v>1543.0440000000001</v>
      </c>
      <c r="M116" s="7">
        <v>0</v>
      </c>
      <c r="N116" s="7">
        <v>3049.7449999999999</v>
      </c>
      <c r="O116" s="7">
        <v>71853.425000000003</v>
      </c>
      <c r="P116" s="7">
        <v>3644.11</v>
      </c>
      <c r="Q116" s="7">
        <v>0</v>
      </c>
      <c r="R116" s="7">
        <v>0</v>
      </c>
      <c r="S116" s="7">
        <v>3.1440000000000001</v>
      </c>
      <c r="T116" s="7">
        <v>0</v>
      </c>
      <c r="U116" s="7">
        <v>0</v>
      </c>
      <c r="V116" s="7">
        <v>1486.7819999999999</v>
      </c>
      <c r="W116" s="7">
        <v>0</v>
      </c>
      <c r="X116" s="7">
        <v>0</v>
      </c>
      <c r="Y116" s="7">
        <v>0</v>
      </c>
      <c r="Z116" s="7">
        <v>0</v>
      </c>
      <c r="AA116" s="7">
        <v>405.94799999999998</v>
      </c>
      <c r="AB116" s="7">
        <v>0</v>
      </c>
      <c r="AC116" s="7">
        <v>10863.736000000001</v>
      </c>
      <c r="AD116" s="7">
        <v>0</v>
      </c>
      <c r="AE116" s="7">
        <v>0</v>
      </c>
      <c r="AF116" s="7">
        <v>0</v>
      </c>
      <c r="AG116" s="7">
        <v>971.46299999999997</v>
      </c>
      <c r="AH116" s="7">
        <v>7360.2849999999999</v>
      </c>
      <c r="AI116" s="7">
        <v>27122.639999999999</v>
      </c>
      <c r="AJ116" s="7">
        <v>14344.308000000001</v>
      </c>
      <c r="AK116" s="7">
        <v>34099.760000000002</v>
      </c>
      <c r="AL116" s="7">
        <v>88756.944000000003</v>
      </c>
      <c r="AM116" s="7">
        <v>26613.683000000001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31.119</v>
      </c>
      <c r="AV116" s="7">
        <v>0</v>
      </c>
      <c r="AW116" s="7">
        <v>0</v>
      </c>
      <c r="AX116" s="7">
        <v>4263.4809999999998</v>
      </c>
      <c r="AY116" s="7">
        <v>0</v>
      </c>
      <c r="AZ116" s="7">
        <v>16.437999999999999</v>
      </c>
      <c r="BA116" s="7">
        <v>0</v>
      </c>
      <c r="BB116" s="7">
        <v>2096.1149999999998</v>
      </c>
      <c r="BC116" s="7">
        <v>0</v>
      </c>
      <c r="BD116" s="7">
        <v>0</v>
      </c>
      <c r="BE116" s="7">
        <v>0</v>
      </c>
      <c r="BF116" s="7">
        <v>0</v>
      </c>
      <c r="BG116" s="21"/>
    </row>
    <row r="117" spans="1:59" ht="15.6" x14ac:dyDescent="0.3">
      <c r="A117" s="5" t="s">
        <v>220</v>
      </c>
      <c r="B117" s="5" t="s">
        <v>221</v>
      </c>
      <c r="C117" s="7">
        <v>4</v>
      </c>
      <c r="D117" s="7">
        <v>4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364608.35600000003</v>
      </c>
      <c r="AP117" s="7">
        <v>0</v>
      </c>
      <c r="AQ117" s="7">
        <v>0</v>
      </c>
      <c r="AR117" s="7">
        <v>220490.56299999999</v>
      </c>
      <c r="AS117" s="7">
        <v>0</v>
      </c>
      <c r="AT117" s="7">
        <v>118327.73299999999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1577.875</v>
      </c>
      <c r="BC117" s="7">
        <v>0</v>
      </c>
      <c r="BD117" s="7">
        <v>0</v>
      </c>
      <c r="BE117" s="7">
        <v>0</v>
      </c>
      <c r="BF117" s="7">
        <v>0</v>
      </c>
      <c r="BG117" s="21"/>
    </row>
    <row r="118" spans="1:59" ht="15.6" x14ac:dyDescent="0.3">
      <c r="A118" s="5" t="s">
        <v>222</v>
      </c>
      <c r="B118" s="5" t="s">
        <v>223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2303.3110000000001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10593.013000000001</v>
      </c>
      <c r="AI118" s="7">
        <v>0</v>
      </c>
      <c r="AJ118" s="7">
        <v>0</v>
      </c>
      <c r="AK118" s="7">
        <v>43951.69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41.317999999999998</v>
      </c>
      <c r="BA118" s="7">
        <v>0</v>
      </c>
      <c r="BB118" s="7">
        <v>2065.9960000000001</v>
      </c>
      <c r="BC118" s="7">
        <v>0</v>
      </c>
      <c r="BD118" s="7">
        <v>0</v>
      </c>
      <c r="BE118" s="7">
        <v>0</v>
      </c>
      <c r="BF118" s="7">
        <v>0</v>
      </c>
      <c r="BG118" s="21"/>
    </row>
    <row r="119" spans="1:59" ht="15.6" x14ac:dyDescent="0.3">
      <c r="A119" s="5" t="s">
        <v>224</v>
      </c>
      <c r="B119" s="5" t="s">
        <v>225</v>
      </c>
      <c r="C119" s="7">
        <v>4</v>
      </c>
      <c r="D119" s="7">
        <v>3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21"/>
    </row>
    <row r="120" spans="1:59" ht="15.6" x14ac:dyDescent="0.3">
      <c r="A120" s="5" t="s">
        <v>226</v>
      </c>
      <c r="B120" s="5" t="s">
        <v>227</v>
      </c>
      <c r="C120" s="7">
        <v>4</v>
      </c>
      <c r="D120" s="7">
        <v>4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21"/>
    </row>
    <row r="121" spans="1:59" ht="15.6" x14ac:dyDescent="0.3">
      <c r="A121" s="5" t="s">
        <v>228</v>
      </c>
      <c r="B121" s="5" t="s">
        <v>229</v>
      </c>
      <c r="C121" s="7">
        <v>4</v>
      </c>
      <c r="D121" s="7">
        <v>6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21"/>
    </row>
    <row r="122" spans="1:59" ht="15.6" x14ac:dyDescent="0.3">
      <c r="A122" s="5" t="s">
        <v>230</v>
      </c>
      <c r="B122" s="5" t="s">
        <v>231</v>
      </c>
      <c r="C122" s="7">
        <v>4</v>
      </c>
      <c r="D122" s="7">
        <v>4</v>
      </c>
      <c r="E122" s="7">
        <v>154903.598</v>
      </c>
      <c r="F122" s="7">
        <v>45206.152999999998</v>
      </c>
      <c r="G122" s="7">
        <v>0</v>
      </c>
      <c r="H122" s="7">
        <v>0</v>
      </c>
      <c r="I122" s="7">
        <v>2250.0970000000002</v>
      </c>
      <c r="J122" s="7">
        <v>0</v>
      </c>
      <c r="K122" s="7">
        <v>195139.45800000001</v>
      </c>
      <c r="L122" s="7">
        <v>18326.18</v>
      </c>
      <c r="M122" s="7">
        <v>0</v>
      </c>
      <c r="N122" s="7">
        <v>22287.35</v>
      </c>
      <c r="O122" s="7">
        <v>531300.60600000003</v>
      </c>
      <c r="P122" s="7">
        <v>28102.825000000001</v>
      </c>
      <c r="Q122" s="7">
        <v>0</v>
      </c>
      <c r="R122" s="7">
        <v>1396.0239999999999</v>
      </c>
      <c r="S122" s="7">
        <v>0</v>
      </c>
      <c r="T122" s="7">
        <v>846.66800000000001</v>
      </c>
      <c r="U122" s="7">
        <v>0</v>
      </c>
      <c r="V122" s="7">
        <v>13883.367</v>
      </c>
      <c r="W122" s="7">
        <v>0</v>
      </c>
      <c r="X122" s="7">
        <v>15280.306</v>
      </c>
      <c r="Y122" s="7">
        <v>0</v>
      </c>
      <c r="Z122" s="7">
        <v>0</v>
      </c>
      <c r="AA122" s="7">
        <v>3160.4839999999999</v>
      </c>
      <c r="AB122" s="7">
        <v>0</v>
      </c>
      <c r="AC122" s="7">
        <v>90217.395000000004</v>
      </c>
      <c r="AD122" s="7">
        <v>25642.773000000001</v>
      </c>
      <c r="AE122" s="7">
        <v>0</v>
      </c>
      <c r="AF122" s="7">
        <v>36057.603999999999</v>
      </c>
      <c r="AG122" s="7">
        <v>7570.732</v>
      </c>
      <c r="AH122" s="7">
        <v>8587.3379999999997</v>
      </c>
      <c r="AI122" s="7">
        <v>227251.163</v>
      </c>
      <c r="AJ122" s="7">
        <v>107868.47</v>
      </c>
      <c r="AK122" s="7">
        <v>37462.527000000002</v>
      </c>
      <c r="AL122" s="7">
        <v>686228.77099999995</v>
      </c>
      <c r="AM122" s="7">
        <v>199267.16800000001</v>
      </c>
      <c r="AN122" s="7">
        <v>154483.05300000001</v>
      </c>
      <c r="AO122" s="7">
        <v>1048019.434</v>
      </c>
      <c r="AP122" s="7">
        <v>31007.064999999999</v>
      </c>
      <c r="AQ122" s="7">
        <v>13403.519</v>
      </c>
      <c r="AR122" s="7">
        <v>633771.52899999998</v>
      </c>
      <c r="AS122" s="7">
        <v>0</v>
      </c>
      <c r="AT122" s="7">
        <v>340117.72499999998</v>
      </c>
      <c r="AU122" s="7">
        <v>619.95299999999997</v>
      </c>
      <c r="AV122" s="7">
        <v>2680.277</v>
      </c>
      <c r="AW122" s="7">
        <v>0</v>
      </c>
      <c r="AX122" s="7">
        <v>32305.793000000001</v>
      </c>
      <c r="AY122" s="7">
        <v>0</v>
      </c>
      <c r="AZ122" s="7">
        <v>139.815</v>
      </c>
      <c r="BA122" s="7">
        <v>0</v>
      </c>
      <c r="BB122" s="7">
        <v>1013.2809999999999</v>
      </c>
      <c r="BC122" s="7">
        <v>0</v>
      </c>
      <c r="BD122" s="7">
        <v>0</v>
      </c>
      <c r="BE122" s="7">
        <v>44865.974999999999</v>
      </c>
      <c r="BF122" s="7">
        <v>0</v>
      </c>
      <c r="BG122" s="21"/>
    </row>
    <row r="123" spans="1:59" ht="15.6" x14ac:dyDescent="0.3">
      <c r="A123" s="5" t="s">
        <v>232</v>
      </c>
      <c r="B123" s="5" t="s">
        <v>233</v>
      </c>
      <c r="C123" s="7">
        <v>4</v>
      </c>
      <c r="D123" s="7">
        <v>3</v>
      </c>
      <c r="E123" s="7">
        <v>942.95399999999995</v>
      </c>
      <c r="F123" s="7">
        <v>1008.9640000000001</v>
      </c>
      <c r="G123" s="7">
        <v>892.01400000000001</v>
      </c>
      <c r="H123" s="7">
        <v>349.38900000000001</v>
      </c>
      <c r="I123" s="7">
        <v>152.83799999999999</v>
      </c>
      <c r="J123" s="7">
        <v>808.06</v>
      </c>
      <c r="K123" s="7">
        <v>268.62400000000002</v>
      </c>
      <c r="L123" s="7">
        <v>478.89100000000002</v>
      </c>
      <c r="M123" s="7">
        <v>0</v>
      </c>
      <c r="N123" s="7">
        <v>1377.671</v>
      </c>
      <c r="O123" s="7">
        <v>3762.0839999999998</v>
      </c>
      <c r="P123" s="7">
        <v>1615.1189999999999</v>
      </c>
      <c r="Q123" s="7">
        <v>0</v>
      </c>
      <c r="R123" s="7">
        <v>0</v>
      </c>
      <c r="S123" s="7">
        <v>2E-3</v>
      </c>
      <c r="T123" s="7">
        <v>590.70799999999997</v>
      </c>
      <c r="U123" s="7">
        <v>675.17600000000004</v>
      </c>
      <c r="V123" s="7">
        <v>378.07799999999997</v>
      </c>
      <c r="W123" s="7">
        <v>0</v>
      </c>
      <c r="X123" s="7">
        <v>4640.6959999999999</v>
      </c>
      <c r="Y123" s="7">
        <v>0</v>
      </c>
      <c r="Z123" s="7">
        <v>90.653000000000006</v>
      </c>
      <c r="AA123" s="7">
        <v>132.11799999999999</v>
      </c>
      <c r="AB123" s="7">
        <v>0</v>
      </c>
      <c r="AC123" s="7">
        <v>256.709</v>
      </c>
      <c r="AD123" s="7">
        <v>18089.824000000001</v>
      </c>
      <c r="AE123" s="7">
        <v>1573.1959999999999</v>
      </c>
      <c r="AF123" s="7">
        <v>0</v>
      </c>
      <c r="AG123" s="7">
        <v>215.815</v>
      </c>
      <c r="AH123" s="7">
        <v>2591.9079999999999</v>
      </c>
      <c r="AI123" s="7">
        <v>5.4939999999999998</v>
      </c>
      <c r="AJ123" s="7">
        <v>14.34</v>
      </c>
      <c r="AK123" s="7">
        <v>6563.1949999999997</v>
      </c>
      <c r="AL123" s="7">
        <v>10250.530000000001</v>
      </c>
      <c r="AM123" s="7">
        <v>24.46</v>
      </c>
      <c r="AN123" s="7">
        <v>103296.466</v>
      </c>
      <c r="AO123" s="7">
        <v>0</v>
      </c>
      <c r="AP123" s="7">
        <v>11835.347</v>
      </c>
      <c r="AQ123" s="7">
        <v>7508.2889999999998</v>
      </c>
      <c r="AR123" s="7">
        <v>0</v>
      </c>
      <c r="AS123" s="7">
        <v>0</v>
      </c>
      <c r="AT123" s="7">
        <v>0</v>
      </c>
      <c r="AU123" s="7">
        <v>21.039000000000001</v>
      </c>
      <c r="AV123" s="7">
        <v>2133.5720000000001</v>
      </c>
      <c r="AW123" s="7">
        <v>0</v>
      </c>
      <c r="AX123" s="7">
        <v>2.0110000000000001</v>
      </c>
      <c r="AY123" s="7">
        <v>0</v>
      </c>
      <c r="AZ123" s="7">
        <v>1.4339999999999999</v>
      </c>
      <c r="BA123" s="7">
        <v>0</v>
      </c>
      <c r="BB123" s="7">
        <v>47.491</v>
      </c>
      <c r="BC123" s="7">
        <v>0</v>
      </c>
      <c r="BD123" s="7">
        <v>0</v>
      </c>
      <c r="BE123" s="7">
        <v>4075.62</v>
      </c>
      <c r="BF123" s="7">
        <v>0</v>
      </c>
      <c r="BG123" s="21"/>
    </row>
    <row r="124" spans="1:59" ht="15.6" x14ac:dyDescent="0.3">
      <c r="A124" s="5" t="s">
        <v>234</v>
      </c>
      <c r="B124" s="5" t="s">
        <v>235</v>
      </c>
      <c r="C124" s="7">
        <v>4</v>
      </c>
      <c r="D124" s="7">
        <v>4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21"/>
    </row>
    <row r="125" spans="1:59" ht="15.6" x14ac:dyDescent="0.3">
      <c r="A125" s="5" t="s">
        <v>228</v>
      </c>
      <c r="B125" s="5" t="s">
        <v>236</v>
      </c>
      <c r="C125" s="7">
        <v>4</v>
      </c>
      <c r="D125" s="7">
        <v>6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21"/>
    </row>
    <row r="126" spans="1:59" ht="15.6" x14ac:dyDescent="0.3">
      <c r="A126" s="5" t="s">
        <v>237</v>
      </c>
      <c r="B126" s="5" t="s">
        <v>238</v>
      </c>
      <c r="C126" s="7">
        <v>4</v>
      </c>
      <c r="D126" s="7">
        <v>4</v>
      </c>
      <c r="E126" s="7">
        <v>426.72699999999998</v>
      </c>
      <c r="F126" s="7">
        <v>412.839</v>
      </c>
      <c r="G126" s="7">
        <v>45.881</v>
      </c>
      <c r="H126" s="7">
        <v>189.51599999999999</v>
      </c>
      <c r="I126" s="7">
        <v>64.909000000000006</v>
      </c>
      <c r="J126" s="7">
        <v>318.738</v>
      </c>
      <c r="K126" s="7">
        <v>9.1820000000000004</v>
      </c>
      <c r="L126" s="7">
        <v>220.274</v>
      </c>
      <c r="M126" s="7">
        <v>0</v>
      </c>
      <c r="N126" s="7">
        <v>725.92100000000005</v>
      </c>
      <c r="O126" s="7">
        <v>1489.1010000000001</v>
      </c>
      <c r="P126" s="7">
        <v>711.70600000000002</v>
      </c>
      <c r="Q126" s="7">
        <v>0</v>
      </c>
      <c r="R126" s="7">
        <v>0</v>
      </c>
      <c r="S126" s="7">
        <v>5.0000000000000001E-3</v>
      </c>
      <c r="T126" s="7">
        <v>0</v>
      </c>
      <c r="U126" s="7">
        <v>100.124</v>
      </c>
      <c r="V126" s="7">
        <v>164.529</v>
      </c>
      <c r="W126" s="7">
        <v>0</v>
      </c>
      <c r="X126" s="7">
        <v>0</v>
      </c>
      <c r="Y126" s="7">
        <v>0</v>
      </c>
      <c r="Z126" s="7">
        <v>29.239000000000001</v>
      </c>
      <c r="AA126" s="7">
        <v>71.635000000000005</v>
      </c>
      <c r="AB126" s="7">
        <v>0</v>
      </c>
      <c r="AC126" s="7">
        <v>5.6369999999999996</v>
      </c>
      <c r="AD126" s="7">
        <v>0</v>
      </c>
      <c r="AE126" s="7">
        <v>653.51400000000001</v>
      </c>
      <c r="AF126" s="7">
        <v>0</v>
      </c>
      <c r="AG126" s="7">
        <v>73.094999999999999</v>
      </c>
      <c r="AH126" s="7">
        <v>0</v>
      </c>
      <c r="AI126" s="7">
        <v>5.0869999999999997</v>
      </c>
      <c r="AJ126" s="7">
        <v>7.7779999999999996</v>
      </c>
      <c r="AK126" s="7">
        <v>0</v>
      </c>
      <c r="AL126" s="7">
        <v>3363.2280000000001</v>
      </c>
      <c r="AM126" s="7">
        <v>13.268000000000001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8.2390000000000008</v>
      </c>
      <c r="AV126" s="7">
        <v>0</v>
      </c>
      <c r="AW126" s="7">
        <v>0</v>
      </c>
      <c r="AX126" s="7">
        <v>1.091</v>
      </c>
      <c r="AY126" s="7">
        <v>0</v>
      </c>
      <c r="AZ126" s="7">
        <v>0.59499999999999997</v>
      </c>
      <c r="BA126" s="7">
        <v>0</v>
      </c>
      <c r="BB126" s="7">
        <v>0.20699999999999999</v>
      </c>
      <c r="BC126" s="7">
        <v>0</v>
      </c>
      <c r="BD126" s="7">
        <v>0</v>
      </c>
      <c r="BE126" s="7">
        <v>554.05200000000002</v>
      </c>
      <c r="BF126" s="7">
        <v>0</v>
      </c>
      <c r="BG126" s="21"/>
    </row>
    <row r="127" spans="1:59" ht="15.6" x14ac:dyDescent="0.3">
      <c r="A127" s="5" t="s">
        <v>239</v>
      </c>
      <c r="B127" s="5" t="s">
        <v>240</v>
      </c>
      <c r="C127" s="7">
        <v>4</v>
      </c>
      <c r="D127" s="7">
        <v>3</v>
      </c>
      <c r="E127" s="7">
        <v>3525.4059999999999</v>
      </c>
      <c r="F127" s="7">
        <v>3488.6120000000001</v>
      </c>
      <c r="G127" s="7">
        <v>345.85599999999999</v>
      </c>
      <c r="H127" s="7">
        <v>1606.9849999999999</v>
      </c>
      <c r="I127" s="7">
        <v>547.22699999999998</v>
      </c>
      <c r="J127" s="7">
        <v>2673.5729999999999</v>
      </c>
      <c r="K127" s="7">
        <v>62.015999999999998</v>
      </c>
      <c r="L127" s="7">
        <v>1838.527</v>
      </c>
      <c r="M127" s="7">
        <v>0</v>
      </c>
      <c r="N127" s="7">
        <v>6090.8810000000003</v>
      </c>
      <c r="O127" s="7">
        <v>12583.053</v>
      </c>
      <c r="P127" s="7">
        <v>5973.7629999999999</v>
      </c>
      <c r="Q127" s="7">
        <v>0</v>
      </c>
      <c r="R127" s="7">
        <v>0</v>
      </c>
      <c r="S127" s="7">
        <v>1.4999999999999999E-2</v>
      </c>
      <c r="T127" s="7">
        <v>0</v>
      </c>
      <c r="U127" s="7">
        <v>0.10100000000000001</v>
      </c>
      <c r="V127" s="7">
        <v>1390.0170000000001</v>
      </c>
      <c r="W127" s="7">
        <v>0</v>
      </c>
      <c r="X127" s="7">
        <v>0</v>
      </c>
      <c r="Y127" s="7">
        <v>0</v>
      </c>
      <c r="Z127" s="7">
        <v>245.2</v>
      </c>
      <c r="AA127" s="7">
        <v>598.404</v>
      </c>
      <c r="AB127" s="7">
        <v>0</v>
      </c>
      <c r="AC127" s="7">
        <v>34</v>
      </c>
      <c r="AD127" s="7">
        <v>0</v>
      </c>
      <c r="AE127" s="7">
        <v>5506.05</v>
      </c>
      <c r="AF127" s="7">
        <v>0</v>
      </c>
      <c r="AG127" s="7">
        <v>617.67499999999995</v>
      </c>
      <c r="AH127" s="7">
        <v>0</v>
      </c>
      <c r="AI127" s="7">
        <v>15.801</v>
      </c>
      <c r="AJ127" s="7">
        <v>65.953999999999994</v>
      </c>
      <c r="AK127" s="7">
        <v>0</v>
      </c>
      <c r="AL127" s="7">
        <v>28371.794000000002</v>
      </c>
      <c r="AM127" s="7">
        <v>112.50700000000001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69.668999999999997</v>
      </c>
      <c r="AV127" s="7">
        <v>0</v>
      </c>
      <c r="AW127" s="7">
        <v>0</v>
      </c>
      <c r="AX127" s="7">
        <v>9.2479999999999993</v>
      </c>
      <c r="AY127" s="7">
        <v>0</v>
      </c>
      <c r="AZ127" s="7">
        <v>5.0270000000000001</v>
      </c>
      <c r="BA127" s="7">
        <v>0</v>
      </c>
      <c r="BB127" s="7">
        <v>0.68400000000000005</v>
      </c>
      <c r="BC127" s="7">
        <v>0</v>
      </c>
      <c r="BD127" s="7">
        <v>0</v>
      </c>
      <c r="BE127" s="7">
        <v>4698.03</v>
      </c>
      <c r="BF127" s="7">
        <v>0</v>
      </c>
      <c r="BG127" s="21"/>
    </row>
    <row r="128" spans="1:59" ht="15.6" x14ac:dyDescent="0.3">
      <c r="A128" s="5" t="s">
        <v>241</v>
      </c>
      <c r="B128" s="5" t="s">
        <v>242</v>
      </c>
      <c r="C128" s="7">
        <v>2</v>
      </c>
      <c r="D128" s="7">
        <v>2</v>
      </c>
      <c r="E128" s="7">
        <v>34665.517999999996</v>
      </c>
      <c r="F128" s="7">
        <v>11568.355</v>
      </c>
      <c r="G128" s="7">
        <v>11409.709000000001</v>
      </c>
      <c r="H128" s="7">
        <v>0</v>
      </c>
      <c r="I128" s="7">
        <v>2264.9209999999998</v>
      </c>
      <c r="J128" s="7">
        <v>8888.4390000000003</v>
      </c>
      <c r="K128" s="7">
        <v>70005.179999999993</v>
      </c>
      <c r="L128" s="7">
        <v>11525.172</v>
      </c>
      <c r="M128" s="7">
        <v>0</v>
      </c>
      <c r="N128" s="7">
        <v>20516.452000000001</v>
      </c>
      <c r="O128" s="7">
        <v>49340.091999999997</v>
      </c>
      <c r="P128" s="7">
        <v>30703.895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3580.5859999999998</v>
      </c>
      <c r="W128" s="7">
        <v>0</v>
      </c>
      <c r="X128" s="7">
        <v>0</v>
      </c>
      <c r="Y128" s="7">
        <v>0</v>
      </c>
      <c r="Z128" s="7">
        <v>1208.0029999999999</v>
      </c>
      <c r="AA128" s="7">
        <v>3239.0529999999999</v>
      </c>
      <c r="AB128" s="7">
        <v>0</v>
      </c>
      <c r="AC128" s="7">
        <v>10706.91</v>
      </c>
      <c r="AD128" s="7">
        <v>0</v>
      </c>
      <c r="AE128" s="7">
        <v>11030.549000000001</v>
      </c>
      <c r="AF128" s="7">
        <v>0</v>
      </c>
      <c r="AG128" s="7">
        <v>1586.8209999999999</v>
      </c>
      <c r="AH128" s="7">
        <v>0</v>
      </c>
      <c r="AI128" s="7">
        <v>27631.09</v>
      </c>
      <c r="AJ128" s="7">
        <v>0</v>
      </c>
      <c r="AK128" s="7">
        <v>0</v>
      </c>
      <c r="AL128" s="7">
        <v>99861.952999999994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88.105000000000004</v>
      </c>
      <c r="AV128" s="7">
        <v>0</v>
      </c>
      <c r="AW128" s="7">
        <v>0</v>
      </c>
      <c r="AX128" s="7">
        <v>0</v>
      </c>
      <c r="AY128" s="7">
        <v>0</v>
      </c>
      <c r="AZ128" s="7">
        <v>4.2990000000000004</v>
      </c>
      <c r="BA128" s="7">
        <v>0</v>
      </c>
      <c r="BB128" s="7">
        <v>0</v>
      </c>
      <c r="BC128" s="7">
        <v>0</v>
      </c>
      <c r="BD128" s="7">
        <v>0</v>
      </c>
      <c r="BE128" s="7">
        <v>22.939</v>
      </c>
      <c r="BF128" s="7">
        <v>0</v>
      </c>
      <c r="BG128" s="21"/>
    </row>
    <row r="129" spans="1:59" ht="15.6" x14ac:dyDescent="0.3">
      <c r="A129" s="5" t="s">
        <v>243</v>
      </c>
      <c r="B129" s="5" t="s">
        <v>244</v>
      </c>
      <c r="C129" s="7">
        <v>4</v>
      </c>
      <c r="D129" s="7">
        <v>4</v>
      </c>
      <c r="E129" s="7">
        <v>28382.844000000001</v>
      </c>
      <c r="F129" s="7">
        <v>8283.5650000000005</v>
      </c>
      <c r="G129" s="7">
        <v>0</v>
      </c>
      <c r="H129" s="7">
        <v>0</v>
      </c>
      <c r="I129" s="7">
        <v>412.25900000000001</v>
      </c>
      <c r="J129" s="7">
        <v>0</v>
      </c>
      <c r="K129" s="7">
        <v>35748.572999999997</v>
      </c>
      <c r="L129" s="7">
        <v>3357.7910000000002</v>
      </c>
      <c r="M129" s="7">
        <v>0</v>
      </c>
      <c r="N129" s="7">
        <v>4082.2020000000002</v>
      </c>
      <c r="O129" s="7">
        <v>97350.735000000001</v>
      </c>
      <c r="P129" s="7">
        <v>5148.0810000000001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2544.02</v>
      </c>
      <c r="W129" s="7">
        <v>0</v>
      </c>
      <c r="X129" s="7">
        <v>0</v>
      </c>
      <c r="Y129" s="7">
        <v>0</v>
      </c>
      <c r="Z129" s="7">
        <v>0</v>
      </c>
      <c r="AA129" s="7">
        <v>578.99099999999999</v>
      </c>
      <c r="AB129" s="7">
        <v>0</v>
      </c>
      <c r="AC129" s="7">
        <v>16539.580000000002</v>
      </c>
      <c r="AD129" s="7">
        <v>0</v>
      </c>
      <c r="AE129" s="7">
        <v>0</v>
      </c>
      <c r="AF129" s="7">
        <v>6.0430000000000001</v>
      </c>
      <c r="AG129" s="7">
        <v>1387.4190000000001</v>
      </c>
      <c r="AH129" s="7">
        <v>0</v>
      </c>
      <c r="AI129" s="7">
        <v>41661.879000000001</v>
      </c>
      <c r="AJ129" s="7">
        <v>19767.037</v>
      </c>
      <c r="AK129" s="7">
        <v>0</v>
      </c>
      <c r="AL129" s="7">
        <v>125695.326</v>
      </c>
      <c r="AM129" s="7">
        <v>36517.216999999997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113.7</v>
      </c>
      <c r="AV129" s="7">
        <v>0</v>
      </c>
      <c r="AW129" s="7">
        <v>0</v>
      </c>
      <c r="AX129" s="7">
        <v>5921.6109999999999</v>
      </c>
      <c r="AY129" s="7">
        <v>0</v>
      </c>
      <c r="AZ129" s="7">
        <v>25.670999999999999</v>
      </c>
      <c r="BA129" s="7">
        <v>0</v>
      </c>
      <c r="BB129" s="7">
        <v>185.363</v>
      </c>
      <c r="BC129" s="7">
        <v>0</v>
      </c>
      <c r="BD129" s="7">
        <v>0</v>
      </c>
      <c r="BE129" s="7">
        <v>5385.9589999999998</v>
      </c>
      <c r="BF129" s="7">
        <v>0</v>
      </c>
      <c r="BG129" s="21"/>
    </row>
    <row r="130" spans="1:59" ht="15.6" x14ac:dyDescent="0.3">
      <c r="A130" s="5" t="s">
        <v>245</v>
      </c>
      <c r="B130" s="5" t="s">
        <v>246</v>
      </c>
      <c r="C130" s="7">
        <v>4</v>
      </c>
      <c r="D130" s="7">
        <v>6</v>
      </c>
      <c r="E130" s="7">
        <v>2772.953</v>
      </c>
      <c r="F130" s="7">
        <v>965.18499999999995</v>
      </c>
      <c r="G130" s="7">
        <v>21.843</v>
      </c>
      <c r="H130" s="7">
        <v>101.833</v>
      </c>
      <c r="I130" s="7">
        <v>71.709000000000003</v>
      </c>
      <c r="J130" s="7">
        <v>169.345</v>
      </c>
      <c r="K130" s="7">
        <v>3215.3139999999999</v>
      </c>
      <c r="L130" s="7">
        <v>418.142</v>
      </c>
      <c r="M130" s="7">
        <v>0</v>
      </c>
      <c r="N130" s="7">
        <v>752.68799999999999</v>
      </c>
      <c r="O130" s="7">
        <v>9542.5820000000003</v>
      </c>
      <c r="P130" s="7">
        <v>840.91800000000001</v>
      </c>
      <c r="Q130" s="7">
        <v>0</v>
      </c>
      <c r="R130" s="7">
        <v>0</v>
      </c>
      <c r="S130" s="7">
        <v>1E-3</v>
      </c>
      <c r="T130" s="7">
        <v>0</v>
      </c>
      <c r="U130" s="7">
        <v>0</v>
      </c>
      <c r="V130" s="7">
        <v>316.62200000000001</v>
      </c>
      <c r="W130" s="7">
        <v>0</v>
      </c>
      <c r="X130" s="7">
        <v>0</v>
      </c>
      <c r="Y130" s="7">
        <v>0</v>
      </c>
      <c r="Z130" s="7">
        <v>15.538</v>
      </c>
      <c r="AA130" s="7">
        <v>89.932000000000002</v>
      </c>
      <c r="AB130" s="7">
        <v>0</v>
      </c>
      <c r="AC130" s="7">
        <v>1487.9349999999999</v>
      </c>
      <c r="AD130" s="7">
        <v>0</v>
      </c>
      <c r="AE130" s="7">
        <v>348.91300000000001</v>
      </c>
      <c r="AF130" s="7">
        <v>0.54400000000000004</v>
      </c>
      <c r="AG130" s="7">
        <v>163.77199999999999</v>
      </c>
      <c r="AH130" s="7">
        <v>0</v>
      </c>
      <c r="AI130" s="7">
        <v>3743.328</v>
      </c>
      <c r="AJ130" s="7">
        <v>1779.8979999999999</v>
      </c>
      <c r="AK130" s="7">
        <v>0</v>
      </c>
      <c r="AL130" s="7">
        <v>13089.135</v>
      </c>
      <c r="AM130" s="7">
        <v>3287.556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14.625</v>
      </c>
      <c r="AV130" s="7">
        <v>0</v>
      </c>
      <c r="AW130" s="7">
        <v>0</v>
      </c>
      <c r="AX130" s="7">
        <v>532.53499999999997</v>
      </c>
      <c r="AY130" s="7">
        <v>0</v>
      </c>
      <c r="AZ130" s="7">
        <v>2.621</v>
      </c>
      <c r="BA130" s="7">
        <v>0</v>
      </c>
      <c r="BB130" s="7">
        <v>16.731000000000002</v>
      </c>
      <c r="BC130" s="7">
        <v>0</v>
      </c>
      <c r="BD130" s="7">
        <v>0</v>
      </c>
      <c r="BE130" s="7">
        <v>781.548</v>
      </c>
      <c r="BF130" s="7">
        <v>0</v>
      </c>
      <c r="BG130" s="21"/>
    </row>
    <row r="131" spans="1:59" ht="15.6" x14ac:dyDescent="0.3">
      <c r="A131" s="5" t="s">
        <v>247</v>
      </c>
      <c r="B131" s="5" t="s">
        <v>248</v>
      </c>
      <c r="C131" s="7">
        <v>6</v>
      </c>
      <c r="D131" s="7">
        <v>6</v>
      </c>
      <c r="E131" s="7">
        <v>30575.148000000001</v>
      </c>
      <c r="F131" s="7">
        <v>449.661</v>
      </c>
      <c r="G131" s="7">
        <v>0</v>
      </c>
      <c r="H131" s="7">
        <v>0</v>
      </c>
      <c r="I131" s="7">
        <v>0</v>
      </c>
      <c r="J131" s="7">
        <v>0</v>
      </c>
      <c r="K131" s="7">
        <v>21208.315999999999</v>
      </c>
      <c r="L131" s="7">
        <v>1755.373</v>
      </c>
      <c r="M131" s="7">
        <v>0</v>
      </c>
      <c r="N131" s="7">
        <v>12314.858</v>
      </c>
      <c r="O131" s="7">
        <v>75893.881999999998</v>
      </c>
      <c r="P131" s="7">
        <v>9661.5519999999997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3689.4549999999999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22064.144</v>
      </c>
      <c r="AJ131" s="7">
        <v>91.212999999999994</v>
      </c>
      <c r="AK131" s="7">
        <v>0</v>
      </c>
      <c r="AL131" s="7">
        <v>87866.023000000001</v>
      </c>
      <c r="AM131" s="7">
        <v>58.206000000000003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21"/>
    </row>
    <row r="132" spans="1:59" ht="15.6" x14ac:dyDescent="0.3">
      <c r="A132" s="5" t="s">
        <v>249</v>
      </c>
      <c r="B132" s="5" t="s">
        <v>250</v>
      </c>
      <c r="C132" s="7">
        <v>6</v>
      </c>
      <c r="D132" s="7">
        <v>6</v>
      </c>
      <c r="E132" s="7">
        <v>22060.852999999999</v>
      </c>
      <c r="F132" s="7">
        <v>2529.1190000000001</v>
      </c>
      <c r="G132" s="7">
        <v>3631.1129999999998</v>
      </c>
      <c r="H132" s="7">
        <v>0</v>
      </c>
      <c r="I132" s="7">
        <v>639.65300000000002</v>
      </c>
      <c r="J132" s="7">
        <v>2130.7139999999999</v>
      </c>
      <c r="K132" s="7">
        <v>17885.994999999999</v>
      </c>
      <c r="L132" s="7">
        <v>2437.8249999999998</v>
      </c>
      <c r="M132" s="7">
        <v>0</v>
      </c>
      <c r="N132" s="7">
        <v>13484.031000000001</v>
      </c>
      <c r="O132" s="7">
        <v>41760.781000000003</v>
      </c>
      <c r="P132" s="7">
        <v>8213.6740000000009</v>
      </c>
      <c r="Q132" s="7">
        <v>0</v>
      </c>
      <c r="R132" s="7">
        <v>0</v>
      </c>
      <c r="S132" s="7">
        <v>120.717</v>
      </c>
      <c r="T132" s="7">
        <v>0</v>
      </c>
      <c r="U132" s="7">
        <v>3.7709999999999999</v>
      </c>
      <c r="V132" s="7">
        <v>0</v>
      </c>
      <c r="W132" s="7">
        <v>0</v>
      </c>
      <c r="X132" s="7">
        <v>0</v>
      </c>
      <c r="Y132" s="7">
        <v>0</v>
      </c>
      <c r="Z132" s="7">
        <v>299.46300000000002</v>
      </c>
      <c r="AA132" s="7">
        <v>939.81200000000001</v>
      </c>
      <c r="AB132" s="7">
        <v>0</v>
      </c>
      <c r="AC132" s="7">
        <v>7470.6059999999998</v>
      </c>
      <c r="AD132" s="7">
        <v>0</v>
      </c>
      <c r="AE132" s="7">
        <v>2603.279</v>
      </c>
      <c r="AF132" s="7">
        <v>0</v>
      </c>
      <c r="AG132" s="7">
        <v>458.68799999999999</v>
      </c>
      <c r="AH132" s="7">
        <v>0</v>
      </c>
      <c r="AI132" s="7">
        <v>24938.753000000001</v>
      </c>
      <c r="AJ132" s="7">
        <v>0</v>
      </c>
      <c r="AK132" s="7">
        <v>0</v>
      </c>
      <c r="AL132" s="7">
        <v>48062.430999999997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21"/>
    </row>
    <row r="133" spans="1:59" ht="15.6" x14ac:dyDescent="0.3">
      <c r="A133" s="5" t="s">
        <v>251</v>
      </c>
      <c r="B133" s="5" t="s">
        <v>252</v>
      </c>
      <c r="C133" s="7">
        <v>6</v>
      </c>
      <c r="D133" s="7">
        <v>6</v>
      </c>
      <c r="E133" s="7">
        <v>18480.723000000002</v>
      </c>
      <c r="F133" s="7">
        <v>4502.8509999999997</v>
      </c>
      <c r="G133" s="7">
        <v>785.65499999999997</v>
      </c>
      <c r="H133" s="7">
        <v>0</v>
      </c>
      <c r="I133" s="7">
        <v>282.96699999999998</v>
      </c>
      <c r="J133" s="7">
        <v>497.34300000000002</v>
      </c>
      <c r="K133" s="7">
        <v>18689.616999999998</v>
      </c>
      <c r="L133" s="7">
        <v>3256.123</v>
      </c>
      <c r="M133" s="7">
        <v>0</v>
      </c>
      <c r="N133" s="7">
        <v>6376.3289999999997</v>
      </c>
      <c r="O133" s="7">
        <v>64145.911</v>
      </c>
      <c r="P133" s="7">
        <v>4612.0450000000001</v>
      </c>
      <c r="Q133" s="7">
        <v>0</v>
      </c>
      <c r="R133" s="7">
        <v>0</v>
      </c>
      <c r="S133" s="7">
        <v>1.0369999999999999</v>
      </c>
      <c r="T133" s="7">
        <v>0</v>
      </c>
      <c r="U133" s="7">
        <v>0</v>
      </c>
      <c r="V133" s="7">
        <v>1332.8019999999999</v>
      </c>
      <c r="W133" s="7">
        <v>0</v>
      </c>
      <c r="X133" s="7">
        <v>0</v>
      </c>
      <c r="Y133" s="7">
        <v>0</v>
      </c>
      <c r="Z133" s="7">
        <v>74.338999999999999</v>
      </c>
      <c r="AA133" s="7">
        <v>452.59699999999998</v>
      </c>
      <c r="AB133" s="7">
        <v>0</v>
      </c>
      <c r="AC133" s="7">
        <v>8294.4060000000009</v>
      </c>
      <c r="AD133" s="7">
        <v>0</v>
      </c>
      <c r="AE133" s="7">
        <v>768.27700000000004</v>
      </c>
      <c r="AF133" s="7">
        <v>1.7589999999999999</v>
      </c>
      <c r="AG133" s="7">
        <v>749.77700000000004</v>
      </c>
      <c r="AH133" s="7">
        <v>0</v>
      </c>
      <c r="AI133" s="7">
        <v>21384.46</v>
      </c>
      <c r="AJ133" s="7">
        <v>9804.3870000000006</v>
      </c>
      <c r="AK133" s="7">
        <v>0</v>
      </c>
      <c r="AL133" s="7">
        <v>70629.082999999999</v>
      </c>
      <c r="AM133" s="7">
        <v>18144.782999999999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44.685000000000002</v>
      </c>
      <c r="AV133" s="7">
        <v>0</v>
      </c>
      <c r="AW133" s="7">
        <v>0</v>
      </c>
      <c r="AX133" s="7">
        <v>2927.5639999999999</v>
      </c>
      <c r="AY133" s="7">
        <v>0</v>
      </c>
      <c r="AZ133" s="7">
        <v>13.756</v>
      </c>
      <c r="BA133" s="7">
        <v>0</v>
      </c>
      <c r="BB133" s="7">
        <v>137.09800000000001</v>
      </c>
      <c r="BC133" s="7">
        <v>0</v>
      </c>
      <c r="BD133" s="7">
        <v>0</v>
      </c>
      <c r="BE133" s="7">
        <v>1564.9880000000001</v>
      </c>
      <c r="BF133" s="7">
        <v>0</v>
      </c>
      <c r="BG133" s="21"/>
    </row>
    <row r="134" spans="1:59" ht="15.6" x14ac:dyDescent="0.3">
      <c r="A134" s="5" t="s">
        <v>253</v>
      </c>
      <c r="B134" s="5" t="s">
        <v>254</v>
      </c>
      <c r="C134" s="7">
        <v>6</v>
      </c>
      <c r="D134" s="7">
        <v>6</v>
      </c>
      <c r="E134" s="7">
        <v>118512.696</v>
      </c>
      <c r="F134" s="7">
        <v>13387.496999999999</v>
      </c>
      <c r="G134" s="7">
        <v>7680.674</v>
      </c>
      <c r="H134" s="7">
        <v>6214.0290000000005</v>
      </c>
      <c r="I134" s="7">
        <v>1127.203</v>
      </c>
      <c r="J134" s="7">
        <v>5255.6729999999998</v>
      </c>
      <c r="K134" s="7">
        <v>123789.36900000001</v>
      </c>
      <c r="L134" s="7">
        <v>9918.9789999999994</v>
      </c>
      <c r="M134" s="7">
        <v>0</v>
      </c>
      <c r="N134" s="7">
        <v>58630.8</v>
      </c>
      <c r="O134" s="7">
        <v>301173.19400000002</v>
      </c>
      <c r="P134" s="7">
        <v>52694.919000000002</v>
      </c>
      <c r="Q134" s="7">
        <v>0</v>
      </c>
      <c r="R134" s="7">
        <v>0</v>
      </c>
      <c r="S134" s="7">
        <v>195.12299999999999</v>
      </c>
      <c r="T134" s="7">
        <v>0</v>
      </c>
      <c r="U134" s="7">
        <v>106.622</v>
      </c>
      <c r="V134" s="7">
        <v>3163.11</v>
      </c>
      <c r="W134" s="7">
        <v>0</v>
      </c>
      <c r="X134" s="7">
        <v>0</v>
      </c>
      <c r="Y134" s="7">
        <v>0</v>
      </c>
      <c r="Z134" s="7">
        <v>744.77200000000005</v>
      </c>
      <c r="AA134" s="7">
        <v>2366.0500000000002</v>
      </c>
      <c r="AB134" s="7">
        <v>0</v>
      </c>
      <c r="AC134" s="7">
        <v>25319.115000000002</v>
      </c>
      <c r="AD134" s="7">
        <v>0</v>
      </c>
      <c r="AE134" s="7">
        <v>7062.64</v>
      </c>
      <c r="AF134" s="7">
        <v>0</v>
      </c>
      <c r="AG134" s="7">
        <v>1229.19</v>
      </c>
      <c r="AH134" s="7">
        <v>0</v>
      </c>
      <c r="AI134" s="7">
        <v>95663.789000000004</v>
      </c>
      <c r="AJ134" s="7">
        <v>229.79900000000001</v>
      </c>
      <c r="AK134" s="7">
        <v>0</v>
      </c>
      <c r="AL134" s="7">
        <v>296857.92700000003</v>
      </c>
      <c r="AM134" s="7">
        <v>424.16300000000001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158.13499999999999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21"/>
    </row>
    <row r="135" spans="1:59" ht="15.6" x14ac:dyDescent="0.3">
      <c r="A135" s="5" t="s">
        <v>255</v>
      </c>
      <c r="B135" s="5" t="s">
        <v>256</v>
      </c>
      <c r="C135" s="7">
        <v>6</v>
      </c>
      <c r="D135" s="7">
        <v>6</v>
      </c>
      <c r="E135" s="7">
        <v>3398.0749999999998</v>
      </c>
      <c r="F135" s="7">
        <v>32.555999999999997</v>
      </c>
      <c r="G135" s="7">
        <v>0</v>
      </c>
      <c r="H135" s="7">
        <v>0</v>
      </c>
      <c r="I135" s="7">
        <v>0</v>
      </c>
      <c r="J135" s="7">
        <v>0</v>
      </c>
      <c r="K135" s="7">
        <v>1673.0650000000001</v>
      </c>
      <c r="L135" s="7">
        <v>0</v>
      </c>
      <c r="M135" s="7">
        <v>0</v>
      </c>
      <c r="N135" s="7">
        <v>546.57500000000005</v>
      </c>
      <c r="O135" s="7">
        <v>7989.2240000000002</v>
      </c>
      <c r="P135" s="7">
        <v>396.99099999999999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284.26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1626.143</v>
      </c>
      <c r="AJ135" s="7">
        <v>157.85900000000001</v>
      </c>
      <c r="AK135" s="7">
        <v>0</v>
      </c>
      <c r="AL135" s="7">
        <v>7203.8419999999996</v>
      </c>
      <c r="AM135" s="7">
        <v>521.14300000000003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21"/>
    </row>
    <row r="136" spans="1:59" ht="15.6" x14ac:dyDescent="0.3">
      <c r="A136" s="5" t="s">
        <v>257</v>
      </c>
      <c r="B136" s="5" t="s">
        <v>258</v>
      </c>
      <c r="C136" s="7">
        <v>6</v>
      </c>
      <c r="D136" s="7">
        <v>6</v>
      </c>
      <c r="E136" s="7">
        <v>57527.580999999998</v>
      </c>
      <c r="F136" s="7">
        <v>5216.665</v>
      </c>
      <c r="G136" s="7">
        <v>4828.7879999999996</v>
      </c>
      <c r="H136" s="7">
        <v>0</v>
      </c>
      <c r="I136" s="7">
        <v>851.77</v>
      </c>
      <c r="J136" s="7">
        <v>2833.502</v>
      </c>
      <c r="K136" s="7">
        <v>78385.13</v>
      </c>
      <c r="L136" s="7">
        <v>3368.808</v>
      </c>
      <c r="M136" s="7">
        <v>0</v>
      </c>
      <c r="N136" s="7">
        <v>22176.821</v>
      </c>
      <c r="O136" s="7">
        <v>114697.09299999999</v>
      </c>
      <c r="P136" s="7">
        <v>33845.315999999999</v>
      </c>
      <c r="Q136" s="7">
        <v>0</v>
      </c>
      <c r="R136" s="7">
        <v>0</v>
      </c>
      <c r="S136" s="7">
        <v>160.53299999999999</v>
      </c>
      <c r="T136" s="7">
        <v>0</v>
      </c>
      <c r="U136" s="7">
        <v>5.0149999999999997</v>
      </c>
      <c r="V136" s="7">
        <v>0</v>
      </c>
      <c r="W136" s="7">
        <v>0</v>
      </c>
      <c r="X136" s="7">
        <v>0</v>
      </c>
      <c r="Y136" s="7">
        <v>0</v>
      </c>
      <c r="Z136" s="7">
        <v>398.23700000000002</v>
      </c>
      <c r="AA136" s="7">
        <v>1249.797</v>
      </c>
      <c r="AB136" s="7">
        <v>0</v>
      </c>
      <c r="AC136" s="7">
        <v>11658.682000000001</v>
      </c>
      <c r="AD136" s="7">
        <v>0</v>
      </c>
      <c r="AE136" s="7">
        <v>3461.9360000000001</v>
      </c>
      <c r="AF136" s="7">
        <v>0</v>
      </c>
      <c r="AG136" s="7">
        <v>609.98099999999999</v>
      </c>
      <c r="AH136" s="7">
        <v>0</v>
      </c>
      <c r="AI136" s="7">
        <v>55885.347999999998</v>
      </c>
      <c r="AJ136" s="7">
        <v>1632.835</v>
      </c>
      <c r="AK136" s="7">
        <v>0</v>
      </c>
      <c r="AL136" s="7">
        <v>134026.15400000001</v>
      </c>
      <c r="AM136" s="7">
        <v>2165.402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21"/>
    </row>
    <row r="137" spans="1:59" ht="15.6" x14ac:dyDescent="0.3">
      <c r="A137" s="5" t="s">
        <v>259</v>
      </c>
      <c r="B137" s="5" t="s">
        <v>260</v>
      </c>
      <c r="C137" s="7">
        <v>6</v>
      </c>
      <c r="D137" s="7">
        <v>6</v>
      </c>
      <c r="E137" s="7">
        <v>17520.892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16790.857</v>
      </c>
      <c r="L137" s="7">
        <v>0</v>
      </c>
      <c r="M137" s="7">
        <v>0</v>
      </c>
      <c r="N137" s="7">
        <v>2555.1309999999999</v>
      </c>
      <c r="O137" s="7">
        <v>21171.082999999999</v>
      </c>
      <c r="P137" s="7">
        <v>3285.18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4380.2269999999999</v>
      </c>
      <c r="AJ137" s="7">
        <v>0</v>
      </c>
      <c r="AK137" s="7">
        <v>0</v>
      </c>
      <c r="AL137" s="7">
        <v>27011.381000000001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21"/>
    </row>
    <row r="138" spans="1:59" ht="15.6" x14ac:dyDescent="0.3">
      <c r="A138" s="5" t="s">
        <v>261</v>
      </c>
      <c r="B138" s="5" t="s">
        <v>262</v>
      </c>
      <c r="C138" s="7">
        <v>6</v>
      </c>
      <c r="D138" s="7">
        <v>6</v>
      </c>
      <c r="E138" s="7">
        <v>681435.49800000002</v>
      </c>
      <c r="F138" s="7">
        <v>19010.322</v>
      </c>
      <c r="G138" s="7">
        <v>23070.284</v>
      </c>
      <c r="H138" s="7">
        <v>1879.8430000000001</v>
      </c>
      <c r="I138" s="7">
        <v>4498.4049999999997</v>
      </c>
      <c r="J138" s="7">
        <v>13382.348</v>
      </c>
      <c r="K138" s="7">
        <v>605867.18200000003</v>
      </c>
      <c r="L138" s="7">
        <v>45252.017</v>
      </c>
      <c r="M138" s="7">
        <v>0</v>
      </c>
      <c r="N138" s="7">
        <v>268826.11300000001</v>
      </c>
      <c r="O138" s="7">
        <v>971103.81299999997</v>
      </c>
      <c r="P138" s="7">
        <v>263921.25599999999</v>
      </c>
      <c r="Q138" s="7">
        <v>0</v>
      </c>
      <c r="R138" s="7">
        <v>0</v>
      </c>
      <c r="S138" s="7">
        <v>774.28399999999999</v>
      </c>
      <c r="T138" s="7">
        <v>0</v>
      </c>
      <c r="U138" s="7">
        <v>17.289000000000001</v>
      </c>
      <c r="V138" s="7">
        <v>0</v>
      </c>
      <c r="W138" s="7">
        <v>0</v>
      </c>
      <c r="X138" s="7">
        <v>0</v>
      </c>
      <c r="Y138" s="7">
        <v>0</v>
      </c>
      <c r="Z138" s="7">
        <v>1372.8679999999999</v>
      </c>
      <c r="AA138" s="7">
        <v>4419.1530000000002</v>
      </c>
      <c r="AB138" s="7">
        <v>0</v>
      </c>
      <c r="AC138" s="7">
        <v>111264.629</v>
      </c>
      <c r="AD138" s="7">
        <v>0</v>
      </c>
      <c r="AE138" s="7">
        <v>14622.016</v>
      </c>
      <c r="AF138" s="7">
        <v>0</v>
      </c>
      <c r="AG138" s="7">
        <v>2102.8249999999998</v>
      </c>
      <c r="AH138" s="7">
        <v>0</v>
      </c>
      <c r="AI138" s="7">
        <v>479956.85</v>
      </c>
      <c r="AJ138" s="7">
        <v>4289.2160000000003</v>
      </c>
      <c r="AK138" s="7">
        <v>0</v>
      </c>
      <c r="AL138" s="7">
        <v>1376610.997</v>
      </c>
      <c r="AM138" s="7">
        <v>11721.133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173.11600000000001</v>
      </c>
      <c r="BC138" s="7">
        <v>0</v>
      </c>
      <c r="BD138" s="7">
        <v>0</v>
      </c>
      <c r="BE138" s="7">
        <v>0</v>
      </c>
      <c r="BF138" s="7">
        <v>0</v>
      </c>
      <c r="BG138" s="21"/>
    </row>
    <row r="139" spans="1:59" ht="15.6" x14ac:dyDescent="0.3">
      <c r="A139" s="5" t="s">
        <v>263</v>
      </c>
      <c r="B139" s="5" t="s">
        <v>264</v>
      </c>
      <c r="C139" s="7">
        <v>4</v>
      </c>
      <c r="D139" s="7">
        <v>4</v>
      </c>
      <c r="E139" s="7">
        <v>110.095</v>
      </c>
      <c r="F139" s="7">
        <v>30.265000000000001</v>
      </c>
      <c r="G139" s="7">
        <v>9.8230000000000004</v>
      </c>
      <c r="H139" s="7">
        <v>0</v>
      </c>
      <c r="I139" s="7">
        <v>2.246</v>
      </c>
      <c r="J139" s="7">
        <v>6.218</v>
      </c>
      <c r="K139" s="7">
        <v>122.297</v>
      </c>
      <c r="L139" s="7">
        <v>14.747</v>
      </c>
      <c r="M139" s="7">
        <v>0</v>
      </c>
      <c r="N139" s="7">
        <v>31.091000000000001</v>
      </c>
      <c r="O139" s="7">
        <v>322.81400000000002</v>
      </c>
      <c r="P139" s="7">
        <v>32.524000000000001</v>
      </c>
      <c r="Q139" s="7">
        <v>0</v>
      </c>
      <c r="R139" s="7">
        <v>0</v>
      </c>
      <c r="S139" s="7">
        <v>1.4999999999999999E-2</v>
      </c>
      <c r="T139" s="7">
        <v>0</v>
      </c>
      <c r="U139" s="7">
        <v>0</v>
      </c>
      <c r="V139" s="7">
        <v>8.4339999999999993</v>
      </c>
      <c r="W139" s="7">
        <v>0</v>
      </c>
      <c r="X139" s="7">
        <v>0</v>
      </c>
      <c r="Y139" s="7">
        <v>0</v>
      </c>
      <c r="Z139" s="7">
        <v>0.92900000000000005</v>
      </c>
      <c r="AA139" s="7">
        <v>3.8319999999999999</v>
      </c>
      <c r="AB139" s="7">
        <v>0</v>
      </c>
      <c r="AC139" s="7">
        <v>51.018000000000001</v>
      </c>
      <c r="AD139" s="7">
        <v>0</v>
      </c>
      <c r="AE139" s="7">
        <v>6.8540000000000001</v>
      </c>
      <c r="AF139" s="7">
        <v>0</v>
      </c>
      <c r="AG139" s="7">
        <v>4.9960000000000004</v>
      </c>
      <c r="AH139" s="7">
        <v>0</v>
      </c>
      <c r="AI139" s="7">
        <v>120.58799999999999</v>
      </c>
      <c r="AJ139" s="7">
        <v>60.962000000000003</v>
      </c>
      <c r="AK139" s="7">
        <v>0</v>
      </c>
      <c r="AL139" s="7">
        <v>410.28699999999998</v>
      </c>
      <c r="AM139" s="7">
        <v>113.78100000000001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0.16700000000000001</v>
      </c>
      <c r="AV139" s="7">
        <v>0</v>
      </c>
      <c r="AW139" s="7">
        <v>0</v>
      </c>
      <c r="AX139" s="7">
        <v>17.995000000000001</v>
      </c>
      <c r="AY139" s="7">
        <v>0</v>
      </c>
      <c r="AZ139" s="7">
        <v>0.09</v>
      </c>
      <c r="BA139" s="7">
        <v>0</v>
      </c>
      <c r="BB139" s="7">
        <v>1.123</v>
      </c>
      <c r="BC139" s="7">
        <v>0</v>
      </c>
      <c r="BD139" s="7">
        <v>0</v>
      </c>
      <c r="BE139" s="7">
        <v>0</v>
      </c>
      <c r="BF139" s="7">
        <v>0</v>
      </c>
      <c r="BG139" s="21"/>
    </row>
    <row r="140" spans="1:59" ht="15.6" x14ac:dyDescent="0.3">
      <c r="A140" s="5" t="s">
        <v>265</v>
      </c>
      <c r="B140" s="5" t="s">
        <v>266</v>
      </c>
      <c r="C140" s="7">
        <v>6</v>
      </c>
      <c r="D140" s="7">
        <v>6</v>
      </c>
      <c r="E140" s="7">
        <v>2001.6220000000001</v>
      </c>
      <c r="F140" s="7">
        <v>9.0519999999999996</v>
      </c>
      <c r="G140" s="7">
        <v>0</v>
      </c>
      <c r="H140" s="7">
        <v>0</v>
      </c>
      <c r="I140" s="7">
        <v>0.45900000000000002</v>
      </c>
      <c r="J140" s="7">
        <v>0</v>
      </c>
      <c r="K140" s="7">
        <v>4164.0619999999999</v>
      </c>
      <c r="L140" s="7">
        <v>2.3439999999999999</v>
      </c>
      <c r="M140" s="7">
        <v>0</v>
      </c>
      <c r="N140" s="7">
        <v>1059.2940000000001</v>
      </c>
      <c r="O140" s="7">
        <v>5820.3469999999998</v>
      </c>
      <c r="P140" s="7">
        <v>986.44500000000005</v>
      </c>
      <c r="Q140" s="7">
        <v>0</v>
      </c>
      <c r="R140" s="7">
        <v>0</v>
      </c>
      <c r="S140" s="7">
        <v>5.0000000000000001E-3</v>
      </c>
      <c r="T140" s="7">
        <v>0</v>
      </c>
      <c r="U140" s="7">
        <v>0</v>
      </c>
      <c r="V140" s="7">
        <v>2.258</v>
      </c>
      <c r="W140" s="7">
        <v>0</v>
      </c>
      <c r="X140" s="7">
        <v>0</v>
      </c>
      <c r="Y140" s="7">
        <v>0</v>
      </c>
      <c r="Z140" s="7">
        <v>0</v>
      </c>
      <c r="AA140" s="7">
        <v>0.61699999999999999</v>
      </c>
      <c r="AB140" s="7">
        <v>0</v>
      </c>
      <c r="AC140" s="7">
        <v>855.71900000000005</v>
      </c>
      <c r="AD140" s="7">
        <v>0</v>
      </c>
      <c r="AE140" s="7">
        <v>0</v>
      </c>
      <c r="AF140" s="7">
        <v>0</v>
      </c>
      <c r="AG140" s="7">
        <v>1.476</v>
      </c>
      <c r="AH140" s="7">
        <v>0</v>
      </c>
      <c r="AI140" s="7">
        <v>3327.4679999999998</v>
      </c>
      <c r="AJ140" s="7">
        <v>21.788</v>
      </c>
      <c r="AK140" s="7">
        <v>0</v>
      </c>
      <c r="AL140" s="7">
        <v>9020.3860000000004</v>
      </c>
      <c r="AM140" s="7">
        <v>40.424999999999997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4.7E-2</v>
      </c>
      <c r="AV140" s="7">
        <v>0</v>
      </c>
      <c r="AW140" s="7">
        <v>0</v>
      </c>
      <c r="AX140" s="7">
        <v>6.476</v>
      </c>
      <c r="AY140" s="7">
        <v>0</v>
      </c>
      <c r="AZ140" s="7">
        <v>2.5000000000000001E-2</v>
      </c>
      <c r="BA140" s="7">
        <v>0</v>
      </c>
      <c r="BB140" s="7">
        <v>0.186</v>
      </c>
      <c r="BC140" s="7">
        <v>0</v>
      </c>
      <c r="BD140" s="7">
        <v>0</v>
      </c>
      <c r="BE140" s="7">
        <v>0</v>
      </c>
      <c r="BF140" s="7">
        <v>0</v>
      </c>
      <c r="BG140" s="21"/>
    </row>
    <row r="141" spans="1:59" ht="15.6" x14ac:dyDescent="0.3">
      <c r="A141" s="5" t="s">
        <v>267</v>
      </c>
      <c r="B141" s="5" t="s">
        <v>268</v>
      </c>
      <c r="C141" s="7">
        <v>4</v>
      </c>
      <c r="D141" s="7">
        <v>4</v>
      </c>
      <c r="E141" s="7">
        <v>125.572</v>
      </c>
      <c r="F141" s="7">
        <v>36.704999999999998</v>
      </c>
      <c r="G141" s="7">
        <v>0</v>
      </c>
      <c r="H141" s="7">
        <v>0</v>
      </c>
      <c r="I141" s="7">
        <v>1.831</v>
      </c>
      <c r="J141" s="7">
        <v>0</v>
      </c>
      <c r="K141" s="7">
        <v>159.54</v>
      </c>
      <c r="L141" s="7">
        <v>14.186</v>
      </c>
      <c r="M141" s="7">
        <v>0</v>
      </c>
      <c r="N141" s="7">
        <v>18.178000000000001</v>
      </c>
      <c r="O141" s="7">
        <v>432.81200000000001</v>
      </c>
      <c r="P141" s="7">
        <v>22.765000000000001</v>
      </c>
      <c r="Q141" s="7">
        <v>0</v>
      </c>
      <c r="R141" s="7">
        <v>0</v>
      </c>
      <c r="S141" s="7">
        <v>2E-3</v>
      </c>
      <c r="T141" s="7">
        <v>0</v>
      </c>
      <c r="U141" s="7">
        <v>0</v>
      </c>
      <c r="V141" s="7">
        <v>11</v>
      </c>
      <c r="W141" s="7">
        <v>0</v>
      </c>
      <c r="X141" s="7">
        <v>0</v>
      </c>
      <c r="Y141" s="7">
        <v>0</v>
      </c>
      <c r="Z141" s="7">
        <v>0</v>
      </c>
      <c r="AA141" s="7">
        <v>2.5569999999999999</v>
      </c>
      <c r="AB141" s="7">
        <v>0</v>
      </c>
      <c r="AC141" s="7">
        <v>72.466999999999999</v>
      </c>
      <c r="AD141" s="7">
        <v>0</v>
      </c>
      <c r="AE141" s="7">
        <v>0</v>
      </c>
      <c r="AF141" s="7">
        <v>2.3E-2</v>
      </c>
      <c r="AG141" s="7">
        <v>6.1260000000000003</v>
      </c>
      <c r="AH141" s="7">
        <v>0</v>
      </c>
      <c r="AI141" s="7">
        <v>182.34800000000001</v>
      </c>
      <c r="AJ141" s="7">
        <v>87.688000000000002</v>
      </c>
      <c r="AK141" s="7">
        <v>0</v>
      </c>
      <c r="AL141" s="7">
        <v>555.64300000000003</v>
      </c>
      <c r="AM141" s="7">
        <v>162.083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0.46300000000000002</v>
      </c>
      <c r="AV141" s="7">
        <v>0</v>
      </c>
      <c r="AW141" s="7">
        <v>0</v>
      </c>
      <c r="AX141" s="7">
        <v>26.242000000000001</v>
      </c>
      <c r="AY141" s="7">
        <v>0</v>
      </c>
      <c r="AZ141" s="7">
        <v>0.112</v>
      </c>
      <c r="BA141" s="7">
        <v>0</v>
      </c>
      <c r="BB141" s="7">
        <v>0.81399999999999995</v>
      </c>
      <c r="BC141" s="7">
        <v>0</v>
      </c>
      <c r="BD141" s="7">
        <v>0</v>
      </c>
      <c r="BE141" s="7">
        <v>20.792999999999999</v>
      </c>
      <c r="BF141" s="7">
        <v>0</v>
      </c>
      <c r="BG141" s="21"/>
    </row>
    <row r="142" spans="1:59" ht="15.6" x14ac:dyDescent="0.3">
      <c r="A142" s="5" t="s">
        <v>269</v>
      </c>
      <c r="B142" s="5" t="s">
        <v>270</v>
      </c>
      <c r="C142" s="7">
        <v>6</v>
      </c>
      <c r="D142" s="7">
        <v>6</v>
      </c>
      <c r="E142" s="7">
        <v>1425.5519999999999</v>
      </c>
      <c r="F142" s="7">
        <v>13.846</v>
      </c>
      <c r="G142" s="7">
        <v>19.879000000000001</v>
      </c>
      <c r="H142" s="7">
        <v>0</v>
      </c>
      <c r="I142" s="7">
        <v>3.5019999999999998</v>
      </c>
      <c r="J142" s="7">
        <v>11.664999999999999</v>
      </c>
      <c r="K142" s="7">
        <v>1760.617</v>
      </c>
      <c r="L142" s="7">
        <v>9.1359999999999992</v>
      </c>
      <c r="M142" s="7">
        <v>0</v>
      </c>
      <c r="N142" s="7">
        <v>756.53099999999995</v>
      </c>
      <c r="O142" s="7">
        <v>3319.7959999999998</v>
      </c>
      <c r="P142" s="7">
        <v>715.78300000000002</v>
      </c>
      <c r="Q142" s="7">
        <v>0</v>
      </c>
      <c r="R142" s="7">
        <v>0</v>
      </c>
      <c r="S142" s="7">
        <v>0.66100000000000003</v>
      </c>
      <c r="T142" s="7">
        <v>0</v>
      </c>
      <c r="U142" s="7">
        <v>2.1000000000000001E-2</v>
      </c>
      <c r="V142" s="7">
        <v>0</v>
      </c>
      <c r="W142" s="7">
        <v>0</v>
      </c>
      <c r="X142" s="7">
        <v>0</v>
      </c>
      <c r="Y142" s="7">
        <v>0</v>
      </c>
      <c r="Z142" s="7">
        <v>1.639</v>
      </c>
      <c r="AA142" s="7">
        <v>5.1449999999999996</v>
      </c>
      <c r="AB142" s="7">
        <v>0</v>
      </c>
      <c r="AC142" s="7">
        <v>654.37599999999998</v>
      </c>
      <c r="AD142" s="7">
        <v>0</v>
      </c>
      <c r="AE142" s="7">
        <v>14.252000000000001</v>
      </c>
      <c r="AF142" s="7">
        <v>0</v>
      </c>
      <c r="AG142" s="7">
        <v>2.5110000000000001</v>
      </c>
      <c r="AH142" s="7">
        <v>0</v>
      </c>
      <c r="AI142" s="7">
        <v>2566.2440000000001</v>
      </c>
      <c r="AJ142" s="7">
        <v>0</v>
      </c>
      <c r="AK142" s="7">
        <v>0</v>
      </c>
      <c r="AL142" s="7">
        <v>5215.518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21"/>
    </row>
    <row r="143" spans="1:59" ht="15.6" x14ac:dyDescent="0.3">
      <c r="A143" s="5" t="s">
        <v>271</v>
      </c>
      <c r="B143" s="5" t="s">
        <v>272</v>
      </c>
      <c r="C143" s="7">
        <v>4</v>
      </c>
      <c r="D143" s="7">
        <v>4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21"/>
    </row>
    <row r="144" spans="1:59" ht="15.6" x14ac:dyDescent="0.3">
      <c r="A144" s="5" t="s">
        <v>273</v>
      </c>
      <c r="B144" s="5" t="s">
        <v>274</v>
      </c>
      <c r="C144" s="7">
        <v>6</v>
      </c>
      <c r="D144" s="7">
        <v>6</v>
      </c>
      <c r="E144" s="7">
        <v>534.82899999999995</v>
      </c>
      <c r="F144" s="7">
        <v>158.00299999999999</v>
      </c>
      <c r="G144" s="7">
        <v>0</v>
      </c>
      <c r="H144" s="7">
        <v>0</v>
      </c>
      <c r="I144" s="7">
        <v>8.0030000000000001</v>
      </c>
      <c r="J144" s="7">
        <v>0</v>
      </c>
      <c r="K144" s="7">
        <v>719.77700000000004</v>
      </c>
      <c r="L144" s="7">
        <v>40.909999999999997</v>
      </c>
      <c r="M144" s="7">
        <v>0</v>
      </c>
      <c r="N144" s="7">
        <v>80.855000000000004</v>
      </c>
      <c r="O144" s="7">
        <v>1904.9929999999999</v>
      </c>
      <c r="P144" s="7">
        <v>96.613</v>
      </c>
      <c r="Q144" s="7">
        <v>0</v>
      </c>
      <c r="R144" s="7">
        <v>-5.2679999999999998</v>
      </c>
      <c r="S144" s="7">
        <v>8.3000000000000004E-2</v>
      </c>
      <c r="T144" s="7">
        <v>-9.64</v>
      </c>
      <c r="U144" s="7">
        <v>0</v>
      </c>
      <c r="V144" s="7">
        <v>39.417999999999999</v>
      </c>
      <c r="W144" s="7">
        <v>0</v>
      </c>
      <c r="X144" s="7">
        <v>-175.166</v>
      </c>
      <c r="Y144" s="7">
        <v>0</v>
      </c>
      <c r="Z144" s="7">
        <v>0</v>
      </c>
      <c r="AA144" s="7">
        <v>10.763</v>
      </c>
      <c r="AB144" s="7">
        <v>-1043.134</v>
      </c>
      <c r="AC144" s="7">
        <v>288.02199999999999</v>
      </c>
      <c r="AD144" s="7">
        <v>0</v>
      </c>
      <c r="AE144" s="7">
        <v>0</v>
      </c>
      <c r="AF144" s="7">
        <v>-333.89299999999997</v>
      </c>
      <c r="AG144" s="7">
        <v>25.756</v>
      </c>
      <c r="AH144" s="7">
        <v>0</v>
      </c>
      <c r="AI144" s="7">
        <v>719.08100000000002</v>
      </c>
      <c r="AJ144" s="7">
        <v>380.29899999999998</v>
      </c>
      <c r="AK144" s="7">
        <v>0</v>
      </c>
      <c r="AL144" s="7">
        <v>2353.143</v>
      </c>
      <c r="AM144" s="7">
        <v>705.58799999999997</v>
      </c>
      <c r="AN144" s="7">
        <v>0</v>
      </c>
      <c r="AO144" s="7">
        <v>0</v>
      </c>
      <c r="AP144" s="7">
        <v>-336.416</v>
      </c>
      <c r="AQ144" s="7">
        <v>-150.48099999999999</v>
      </c>
      <c r="AR144" s="7">
        <v>0</v>
      </c>
      <c r="AS144" s="7">
        <v>0</v>
      </c>
      <c r="AT144" s="7">
        <v>0</v>
      </c>
      <c r="AU144" s="7">
        <v>0.82499999999999996</v>
      </c>
      <c r="AV144" s="7">
        <v>-33.780999999999999</v>
      </c>
      <c r="AW144" s="7">
        <v>0</v>
      </c>
      <c r="AX144" s="7">
        <v>113.03400000000001</v>
      </c>
      <c r="AY144" s="7">
        <v>0</v>
      </c>
      <c r="AZ144" s="7">
        <v>0.436</v>
      </c>
      <c r="BA144" s="7">
        <v>0</v>
      </c>
      <c r="BB144" s="7">
        <v>3.254</v>
      </c>
      <c r="BC144" s="7">
        <v>0</v>
      </c>
      <c r="BD144" s="7">
        <v>0</v>
      </c>
      <c r="BE144" s="7">
        <v>0</v>
      </c>
      <c r="BF144" s="7">
        <v>-74.548000000000002</v>
      </c>
      <c r="BG144" s="21"/>
    </row>
    <row r="145" spans="1:59" ht="15.6" x14ac:dyDescent="0.3">
      <c r="A145" s="5" t="s">
        <v>275</v>
      </c>
      <c r="B145" s="5" t="s">
        <v>276</v>
      </c>
      <c r="C145" s="7">
        <v>6</v>
      </c>
      <c r="D145" s="7">
        <v>6</v>
      </c>
      <c r="E145" s="7">
        <v>-1194.537</v>
      </c>
      <c r="F145" s="7">
        <v>-1318.7280000000001</v>
      </c>
      <c r="G145" s="7">
        <v>2734.982</v>
      </c>
      <c r="H145" s="7">
        <v>-233.64500000000001</v>
      </c>
      <c r="I145" s="7">
        <v>169.715</v>
      </c>
      <c r="J145" s="7">
        <v>1318.3340000000001</v>
      </c>
      <c r="K145" s="7">
        <v>-7804.3069999999998</v>
      </c>
      <c r="L145" s="7">
        <v>1109.3009999999999</v>
      </c>
      <c r="M145" s="7">
        <v>0</v>
      </c>
      <c r="N145" s="7">
        <v>3328.518</v>
      </c>
      <c r="O145" s="7">
        <v>-25858.12</v>
      </c>
      <c r="P145" s="7">
        <v>2050.1610000000001</v>
      </c>
      <c r="Q145" s="7">
        <v>0</v>
      </c>
      <c r="R145" s="7">
        <v>9.0909999999999993</v>
      </c>
      <c r="S145" s="7">
        <v>14.907</v>
      </c>
      <c r="T145" s="7">
        <v>1.23</v>
      </c>
      <c r="U145" s="7">
        <v>1.4039999999999999</v>
      </c>
      <c r="V145" s="7">
        <v>-195.13900000000001</v>
      </c>
      <c r="W145" s="7">
        <v>0</v>
      </c>
      <c r="X145" s="7">
        <v>153.148</v>
      </c>
      <c r="Y145" s="7">
        <v>0</v>
      </c>
      <c r="Z145" s="7">
        <v>260.51900000000001</v>
      </c>
      <c r="AA145" s="7">
        <v>476.93299999999999</v>
      </c>
      <c r="AB145" s="7">
        <v>-30.591000000000001</v>
      </c>
      <c r="AC145" s="7">
        <v>-3166.6260000000002</v>
      </c>
      <c r="AD145" s="7">
        <v>541.49800000000005</v>
      </c>
      <c r="AE145" s="7">
        <v>1303.8869999999999</v>
      </c>
      <c r="AF145" s="7">
        <v>241.339</v>
      </c>
      <c r="AG145" s="7">
        <v>-217.851</v>
      </c>
      <c r="AH145" s="7">
        <v>-6.3170000000000002</v>
      </c>
      <c r="AI145" s="7">
        <v>-9531.5149999999994</v>
      </c>
      <c r="AJ145" s="7">
        <v>-5715.893</v>
      </c>
      <c r="AK145" s="7">
        <v>-35.985999999999997</v>
      </c>
      <c r="AL145" s="7">
        <v>-32455.348000000002</v>
      </c>
      <c r="AM145" s="7">
        <v>-10595.043</v>
      </c>
      <c r="AN145" s="7">
        <v>3011.1729999999998</v>
      </c>
      <c r="AO145" s="7">
        <v>47482.550999999999</v>
      </c>
      <c r="AP145" s="7">
        <v>312.86799999999999</v>
      </c>
      <c r="AQ145" s="7">
        <v>126.495</v>
      </c>
      <c r="AR145" s="7">
        <v>28714.246999999999</v>
      </c>
      <c r="AS145" s="7">
        <v>0</v>
      </c>
      <c r="AT145" s="7">
        <v>15409.691999999999</v>
      </c>
      <c r="AU145" s="7">
        <v>-34.753</v>
      </c>
      <c r="AV145" s="7">
        <v>7.556</v>
      </c>
      <c r="AW145" s="7">
        <v>0</v>
      </c>
      <c r="AX145" s="7">
        <v>-1704.183</v>
      </c>
      <c r="AY145" s="7">
        <v>0</v>
      </c>
      <c r="AZ145" s="7">
        <v>-2.379</v>
      </c>
      <c r="BA145" s="7">
        <v>0</v>
      </c>
      <c r="BB145" s="7">
        <v>135.124</v>
      </c>
      <c r="BC145" s="7">
        <v>0</v>
      </c>
      <c r="BD145" s="7">
        <v>0</v>
      </c>
      <c r="BE145" s="7">
        <v>-3243.8490000000002</v>
      </c>
      <c r="BF145" s="7">
        <v>-2.1859999999999999</v>
      </c>
      <c r="BG145" s="21"/>
    </row>
    <row r="146" spans="1:59" ht="15.6" x14ac:dyDescent="0.3">
      <c r="A146" s="5" t="s">
        <v>277</v>
      </c>
      <c r="B146" s="5" t="s">
        <v>278</v>
      </c>
      <c r="C146" s="7">
        <v>6</v>
      </c>
      <c r="D146" s="7">
        <v>6</v>
      </c>
      <c r="E146" s="7">
        <v>530.20699999999999</v>
      </c>
      <c r="F146" s="7">
        <v>314.60599999999999</v>
      </c>
      <c r="G146" s="7">
        <v>-119.621</v>
      </c>
      <c r="H146" s="7">
        <v>46.473999999999997</v>
      </c>
      <c r="I146" s="7">
        <v>43.993000000000002</v>
      </c>
      <c r="J146" s="7">
        <v>-88.180999999999997</v>
      </c>
      <c r="K146" s="7">
        <v>1458.626</v>
      </c>
      <c r="L146" s="7">
        <v>102.724</v>
      </c>
      <c r="M146" s="7">
        <v>0</v>
      </c>
      <c r="N146" s="7">
        <v>97.164000000000001</v>
      </c>
      <c r="O146" s="7">
        <v>5397.7920000000004</v>
      </c>
      <c r="P146" s="7">
        <v>292.05</v>
      </c>
      <c r="Q146" s="7">
        <v>0</v>
      </c>
      <c r="R146" s="7">
        <v>0</v>
      </c>
      <c r="S146" s="7">
        <v>4.7830000000000004</v>
      </c>
      <c r="T146" s="7">
        <v>0</v>
      </c>
      <c r="U146" s="7">
        <v>-0.16900000000000001</v>
      </c>
      <c r="V146" s="7">
        <v>148.345</v>
      </c>
      <c r="W146" s="7">
        <v>0</v>
      </c>
      <c r="X146" s="7">
        <v>0</v>
      </c>
      <c r="Y146" s="7">
        <v>0</v>
      </c>
      <c r="Z146" s="7">
        <v>0.71499999999999997</v>
      </c>
      <c r="AA146" s="7">
        <v>3.82</v>
      </c>
      <c r="AB146" s="7">
        <v>0</v>
      </c>
      <c r="AC146" s="7">
        <v>440.875</v>
      </c>
      <c r="AD146" s="7">
        <v>0</v>
      </c>
      <c r="AE146" s="7">
        <v>9.92</v>
      </c>
      <c r="AF146" s="7">
        <v>0.19400000000000001</v>
      </c>
      <c r="AG146" s="7">
        <v>39.707999999999998</v>
      </c>
      <c r="AH146" s="7">
        <v>0</v>
      </c>
      <c r="AI146" s="7">
        <v>1243.3599999999999</v>
      </c>
      <c r="AJ146" s="7">
        <v>523.673</v>
      </c>
      <c r="AK146" s="7">
        <v>0</v>
      </c>
      <c r="AL146" s="7">
        <v>5810.8519999999999</v>
      </c>
      <c r="AM146" s="7">
        <v>905.34500000000003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5.1550000000000002</v>
      </c>
      <c r="AV146" s="7">
        <v>0</v>
      </c>
      <c r="AW146" s="7">
        <v>0</v>
      </c>
      <c r="AX146" s="7">
        <v>152.69800000000001</v>
      </c>
      <c r="AY146" s="7">
        <v>0</v>
      </c>
      <c r="AZ146" s="7">
        <v>0.29899999999999999</v>
      </c>
      <c r="BA146" s="7">
        <v>0</v>
      </c>
      <c r="BB146" s="7">
        <v>5.8049999999999997</v>
      </c>
      <c r="BC146" s="7">
        <v>0</v>
      </c>
      <c r="BD146" s="7">
        <v>0</v>
      </c>
      <c r="BE146" s="7">
        <v>347.06400000000002</v>
      </c>
      <c r="BF146" s="7">
        <v>0</v>
      </c>
      <c r="BG146" s="21"/>
    </row>
    <row r="147" spans="1:59" ht="15.6" x14ac:dyDescent="0.3">
      <c r="A147" s="5" t="s">
        <v>279</v>
      </c>
      <c r="B147" s="5" t="s">
        <v>280</v>
      </c>
      <c r="C147" s="7">
        <v>6</v>
      </c>
      <c r="D147" s="7">
        <v>6</v>
      </c>
      <c r="E147" s="7">
        <v>-16989.394</v>
      </c>
      <c r="F147" s="7">
        <v>-3500.8020000000001</v>
      </c>
      <c r="G147" s="7">
        <v>-4508.4989999999998</v>
      </c>
      <c r="H147" s="7">
        <v>-51.21</v>
      </c>
      <c r="I147" s="7">
        <v>-581.81299999999999</v>
      </c>
      <c r="J147" s="7">
        <v>-2862.7179999999998</v>
      </c>
      <c r="K147" s="7">
        <v>-11690.63</v>
      </c>
      <c r="L147" s="7">
        <v>-3790.4490000000001</v>
      </c>
      <c r="M147" s="7">
        <v>-5.6890000000000001</v>
      </c>
      <c r="N147" s="7">
        <v>-9515.1090000000004</v>
      </c>
      <c r="O147" s="7">
        <v>-23239.96</v>
      </c>
      <c r="P147" s="7">
        <v>-9179.8729999999996</v>
      </c>
      <c r="Q147" s="7">
        <v>0</v>
      </c>
      <c r="R147" s="7">
        <v>0</v>
      </c>
      <c r="S147" s="7">
        <v>-39.597000000000001</v>
      </c>
      <c r="T147" s="7">
        <v>0</v>
      </c>
      <c r="U147" s="7">
        <v>-1.2110000000000001</v>
      </c>
      <c r="V147" s="7">
        <v>-1031.979</v>
      </c>
      <c r="W147" s="7">
        <v>0</v>
      </c>
      <c r="X147" s="7">
        <v>0</v>
      </c>
      <c r="Y147" s="7">
        <v>-4.0880000000000001</v>
      </c>
      <c r="Z147" s="7">
        <v>-426.59300000000002</v>
      </c>
      <c r="AA147" s="7">
        <v>-1125.645</v>
      </c>
      <c r="AB147" s="7">
        <v>0</v>
      </c>
      <c r="AC147" s="7">
        <v>-5694.2839999999997</v>
      </c>
      <c r="AD147" s="7">
        <v>0</v>
      </c>
      <c r="AE147" s="7">
        <v>-3321.1179999999999</v>
      </c>
      <c r="AF147" s="7">
        <v>-0.376</v>
      </c>
      <c r="AG147" s="7">
        <v>-615.76499999999999</v>
      </c>
      <c r="AH147" s="7">
        <v>5.4649999999999999</v>
      </c>
      <c r="AI147" s="7">
        <v>-13396.526</v>
      </c>
      <c r="AJ147" s="7">
        <v>-1941.45</v>
      </c>
      <c r="AK147" s="7">
        <v>14.246</v>
      </c>
      <c r="AL147" s="7">
        <v>-37481.267</v>
      </c>
      <c r="AM147" s="7">
        <v>-3591.9670000000001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-0.746</v>
      </c>
      <c r="AT147" s="7">
        <v>0</v>
      </c>
      <c r="AU147" s="7">
        <v>-22.861000000000001</v>
      </c>
      <c r="AV147" s="7">
        <v>0</v>
      </c>
      <c r="AW147" s="7">
        <v>0</v>
      </c>
      <c r="AX147" s="7">
        <v>-579.59400000000005</v>
      </c>
      <c r="AY147" s="7">
        <v>0</v>
      </c>
      <c r="AZ147" s="7">
        <v>-9.327</v>
      </c>
      <c r="BA147" s="7">
        <v>0</v>
      </c>
      <c r="BB147" s="7">
        <v>-222.042</v>
      </c>
      <c r="BC147" s="7">
        <v>0</v>
      </c>
      <c r="BD147" s="7">
        <v>0</v>
      </c>
      <c r="BE147" s="7">
        <v>-484.25599999999997</v>
      </c>
      <c r="BF147" s="7">
        <v>0</v>
      </c>
      <c r="BG147" s="21"/>
    </row>
    <row r="148" spans="1:59" ht="15.6" x14ac:dyDescent="0.3">
      <c r="A148" s="5" t="s">
        <v>281</v>
      </c>
      <c r="B148" s="5" t="s">
        <v>282</v>
      </c>
      <c r="C148" s="7">
        <v>6</v>
      </c>
      <c r="D148" s="7">
        <v>6</v>
      </c>
      <c r="E148" s="7">
        <v>-2478.7510000000002</v>
      </c>
      <c r="F148" s="7">
        <v>-1897.2619999999999</v>
      </c>
      <c r="G148" s="7">
        <v>-438.80200000000002</v>
      </c>
      <c r="H148" s="7">
        <v>-743.553</v>
      </c>
      <c r="I148" s="7">
        <v>-308.64800000000002</v>
      </c>
      <c r="J148" s="7">
        <v>-1454.096</v>
      </c>
      <c r="K148" s="7">
        <v>-1742.4259999999999</v>
      </c>
      <c r="L148" s="7">
        <v>-1132.825</v>
      </c>
      <c r="M148" s="7">
        <v>0</v>
      </c>
      <c r="N148" s="7">
        <v>-3320.5010000000002</v>
      </c>
      <c r="O148" s="7">
        <v>-7029.7150000000001</v>
      </c>
      <c r="P148" s="7">
        <v>-3514.9549999999999</v>
      </c>
      <c r="Q148" s="7">
        <v>0</v>
      </c>
      <c r="R148" s="7">
        <v>0</v>
      </c>
      <c r="S148" s="7">
        <v>-7.0000000000000001E-3</v>
      </c>
      <c r="T148" s="7">
        <v>0</v>
      </c>
      <c r="U148" s="7">
        <v>0</v>
      </c>
      <c r="V148" s="7">
        <v>-730.81600000000003</v>
      </c>
      <c r="W148" s="7">
        <v>0</v>
      </c>
      <c r="X148" s="7">
        <v>0</v>
      </c>
      <c r="Y148" s="7">
        <v>0</v>
      </c>
      <c r="Z148" s="7">
        <v>-143.02600000000001</v>
      </c>
      <c r="AA148" s="7">
        <v>-356.17399999999998</v>
      </c>
      <c r="AB148" s="7">
        <v>0</v>
      </c>
      <c r="AC148" s="7">
        <v>-277.791</v>
      </c>
      <c r="AD148" s="7">
        <v>0</v>
      </c>
      <c r="AE148" s="7">
        <v>-2817.6840000000002</v>
      </c>
      <c r="AF148" s="7">
        <v>0</v>
      </c>
      <c r="AG148" s="7">
        <v>-324.64499999999998</v>
      </c>
      <c r="AH148" s="7">
        <v>0</v>
      </c>
      <c r="AI148" s="7">
        <v>-681.78800000000001</v>
      </c>
      <c r="AJ148" s="7">
        <v>-30.516999999999999</v>
      </c>
      <c r="AK148" s="7">
        <v>0</v>
      </c>
      <c r="AL148" s="7">
        <v>-15570.307000000001</v>
      </c>
      <c r="AM148" s="7">
        <v>-52.057000000000002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-34.393000000000001</v>
      </c>
      <c r="AV148" s="7">
        <v>0</v>
      </c>
      <c r="AW148" s="7">
        <v>0</v>
      </c>
      <c r="AX148" s="7">
        <v>-4.2789999999999999</v>
      </c>
      <c r="AY148" s="7">
        <v>0</v>
      </c>
      <c r="AZ148" s="7">
        <v>-2.431</v>
      </c>
      <c r="BA148" s="7">
        <v>0</v>
      </c>
      <c r="BB148" s="7">
        <v>-0.317</v>
      </c>
      <c r="BC148" s="7">
        <v>0</v>
      </c>
      <c r="BD148" s="7">
        <v>0</v>
      </c>
      <c r="BE148" s="7">
        <v>-2174.3449999999998</v>
      </c>
      <c r="BF148" s="7">
        <v>0</v>
      </c>
      <c r="BG148" s="21"/>
    </row>
    <row r="149" spans="1:59" ht="15.6" x14ac:dyDescent="0.3">
      <c r="A149" s="5" t="s">
        <v>283</v>
      </c>
      <c r="B149" s="5" t="s">
        <v>284</v>
      </c>
      <c r="C149" s="7">
        <v>4</v>
      </c>
      <c r="D149" s="7">
        <v>4</v>
      </c>
      <c r="E149" s="7">
        <v>-348.97500000000002</v>
      </c>
      <c r="F149" s="7">
        <v>1.3540000000000001</v>
      </c>
      <c r="G149" s="7">
        <v>-145.93700000000001</v>
      </c>
      <c r="H149" s="7">
        <v>0</v>
      </c>
      <c r="I149" s="7">
        <v>-18.504999999999999</v>
      </c>
      <c r="J149" s="7">
        <v>-101.89100000000001</v>
      </c>
      <c r="K149" s="7">
        <v>-18.125</v>
      </c>
      <c r="L149" s="7">
        <v>103.712</v>
      </c>
      <c r="M149" s="7">
        <v>0</v>
      </c>
      <c r="N149" s="7">
        <v>292.92700000000002</v>
      </c>
      <c r="O149" s="7">
        <v>809.15700000000004</v>
      </c>
      <c r="P149" s="7">
        <v>-9.1329999999999991</v>
      </c>
      <c r="Q149" s="7">
        <v>0</v>
      </c>
      <c r="R149" s="7">
        <v>12.693</v>
      </c>
      <c r="S149" s="7">
        <v>0</v>
      </c>
      <c r="T149" s="7">
        <v>7.859</v>
      </c>
      <c r="U149" s="7">
        <v>0</v>
      </c>
      <c r="V149" s="7">
        <v>-0.19800000000000001</v>
      </c>
      <c r="W149" s="7">
        <v>0</v>
      </c>
      <c r="X149" s="7">
        <v>137.83099999999999</v>
      </c>
      <c r="Y149" s="7">
        <v>0</v>
      </c>
      <c r="Z149" s="7">
        <v>-9.2959999999999994</v>
      </c>
      <c r="AA149" s="7">
        <v>-9.1440000000000001</v>
      </c>
      <c r="AB149" s="7">
        <v>0</v>
      </c>
      <c r="AC149" s="7">
        <v>24.292000000000002</v>
      </c>
      <c r="AD149" s="7">
        <v>119.233</v>
      </c>
      <c r="AE149" s="7">
        <v>-110.899</v>
      </c>
      <c r="AF149" s="7">
        <v>327.221</v>
      </c>
      <c r="AG149" s="7">
        <v>2.702</v>
      </c>
      <c r="AH149" s="7">
        <v>16.869</v>
      </c>
      <c r="AI149" s="7">
        <v>73.405000000000001</v>
      </c>
      <c r="AJ149" s="7">
        <v>135.613</v>
      </c>
      <c r="AK149" s="7">
        <v>100.98699999999999</v>
      </c>
      <c r="AL149" s="7">
        <v>274.43400000000003</v>
      </c>
      <c r="AM149" s="7">
        <v>250.94300000000001</v>
      </c>
      <c r="AN149" s="7">
        <v>660.82799999999997</v>
      </c>
      <c r="AO149" s="7">
        <v>26747.672999999999</v>
      </c>
      <c r="AP149" s="7">
        <v>279.85300000000001</v>
      </c>
      <c r="AQ149" s="7">
        <v>121.411</v>
      </c>
      <c r="AR149" s="7">
        <v>16175.19</v>
      </c>
      <c r="AS149" s="7">
        <v>0</v>
      </c>
      <c r="AT149" s="7">
        <v>8680.5249999999996</v>
      </c>
      <c r="AU149" s="7">
        <v>0.23499999999999999</v>
      </c>
      <c r="AV149" s="7">
        <v>24.803000000000001</v>
      </c>
      <c r="AW149" s="7">
        <v>0</v>
      </c>
      <c r="AX149" s="7">
        <v>41.118000000000002</v>
      </c>
      <c r="AY149" s="7">
        <v>0</v>
      </c>
      <c r="AZ149" s="7">
        <v>-0.28499999999999998</v>
      </c>
      <c r="BA149" s="7">
        <v>0</v>
      </c>
      <c r="BB149" s="7">
        <v>-8.1240000000000006</v>
      </c>
      <c r="BC149" s="7">
        <v>0</v>
      </c>
      <c r="BD149" s="7">
        <v>0</v>
      </c>
      <c r="BE149" s="7">
        <v>37.715000000000003</v>
      </c>
      <c r="BF149" s="7">
        <v>0</v>
      </c>
      <c r="BG149" s="21"/>
    </row>
    <row r="150" spans="1:59" ht="15.6" x14ac:dyDescent="0.3">
      <c r="A150" s="5" t="s">
        <v>285</v>
      </c>
      <c r="B150" s="5" t="s">
        <v>286</v>
      </c>
      <c r="C150" s="7">
        <v>6</v>
      </c>
      <c r="D150" s="7">
        <v>6</v>
      </c>
      <c r="E150" s="7">
        <v>-2743.4920000000002</v>
      </c>
      <c r="F150" s="7">
        <v>-1337.0719999999999</v>
      </c>
      <c r="G150" s="7">
        <v>-75.153999999999996</v>
      </c>
      <c r="H150" s="7">
        <v>-350.36900000000003</v>
      </c>
      <c r="I150" s="7">
        <v>-148.001</v>
      </c>
      <c r="J150" s="7">
        <v>-582.67600000000004</v>
      </c>
      <c r="K150" s="7">
        <v>-2501.5129999999999</v>
      </c>
      <c r="L150" s="7">
        <v>-634.54200000000003</v>
      </c>
      <c r="M150" s="7">
        <v>0</v>
      </c>
      <c r="N150" s="7">
        <v>-1612.097</v>
      </c>
      <c r="O150" s="7">
        <v>-9518.6219999999994</v>
      </c>
      <c r="P150" s="7">
        <v>-1660.395</v>
      </c>
      <c r="Q150" s="7">
        <v>0</v>
      </c>
      <c r="R150" s="7">
        <v>6.3140000000000001</v>
      </c>
      <c r="S150" s="7">
        <v>-3.0000000000000001E-3</v>
      </c>
      <c r="T150" s="7">
        <v>-663.19399999999996</v>
      </c>
      <c r="U150" s="7">
        <v>-769.846</v>
      </c>
      <c r="V150" s="7">
        <v>-480.12200000000001</v>
      </c>
      <c r="W150" s="7">
        <v>0</v>
      </c>
      <c r="X150" s="7">
        <v>-5267.44</v>
      </c>
      <c r="Y150" s="7">
        <v>0</v>
      </c>
      <c r="Z150" s="7">
        <v>-53.460999999999999</v>
      </c>
      <c r="AA150" s="7">
        <v>-170.76499999999999</v>
      </c>
      <c r="AB150" s="7">
        <v>0</v>
      </c>
      <c r="AC150" s="7">
        <v>-1158.491</v>
      </c>
      <c r="AD150" s="7">
        <v>-20980.262999999999</v>
      </c>
      <c r="AE150" s="7">
        <v>-1200.4780000000001</v>
      </c>
      <c r="AF150" s="7">
        <v>147.17599999999999</v>
      </c>
      <c r="AG150" s="7">
        <v>-231.227</v>
      </c>
      <c r="AH150" s="7">
        <v>-4391.9319999999998</v>
      </c>
      <c r="AI150" s="7">
        <v>-2902.0740000000001</v>
      </c>
      <c r="AJ150" s="7">
        <v>-1390.1020000000001</v>
      </c>
      <c r="AK150" s="7">
        <v>-11594.883</v>
      </c>
      <c r="AL150" s="7">
        <v>-14932.938</v>
      </c>
      <c r="AM150" s="7">
        <v>-2566.011</v>
      </c>
      <c r="AN150" s="7">
        <v>-119742.056</v>
      </c>
      <c r="AO150" s="7">
        <v>74718.017000000007</v>
      </c>
      <c r="AP150" s="7">
        <v>-13439.334000000001</v>
      </c>
      <c r="AQ150" s="7">
        <v>-8519.3220000000001</v>
      </c>
      <c r="AR150" s="7">
        <v>45184.421000000002</v>
      </c>
      <c r="AS150" s="7">
        <v>0</v>
      </c>
      <c r="AT150" s="7">
        <v>24248.521000000001</v>
      </c>
      <c r="AU150" s="7">
        <v>-23.1</v>
      </c>
      <c r="AV150" s="7">
        <v>-2403.1260000000002</v>
      </c>
      <c r="AW150" s="7">
        <v>0</v>
      </c>
      <c r="AX150" s="7">
        <v>-414.13900000000001</v>
      </c>
      <c r="AY150" s="7">
        <v>0</v>
      </c>
      <c r="AZ150" s="7">
        <v>-2.88</v>
      </c>
      <c r="BA150" s="7">
        <v>0</v>
      </c>
      <c r="BB150" s="7">
        <v>-13.077999999999999</v>
      </c>
      <c r="BC150" s="7">
        <v>0</v>
      </c>
      <c r="BD150" s="7">
        <v>0</v>
      </c>
      <c r="BE150" s="7">
        <v>-1399.1559999999999</v>
      </c>
      <c r="BF150" s="7">
        <v>0</v>
      </c>
      <c r="BG150" s="21"/>
    </row>
    <row r="151" spans="1:59" ht="15.6" x14ac:dyDescent="0.3">
      <c r="A151" s="5" t="s">
        <v>287</v>
      </c>
      <c r="B151" s="5" t="s">
        <v>288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21"/>
    </row>
    <row r="152" spans="1:59" ht="15.6" x14ac:dyDescent="0.3">
      <c r="A152" s="5" t="s">
        <v>289</v>
      </c>
      <c r="B152" s="5" t="s">
        <v>290</v>
      </c>
      <c r="C152" s="7">
        <v>6</v>
      </c>
      <c r="D152" s="7">
        <v>6</v>
      </c>
      <c r="E152" s="7">
        <v>-34.593000000000004</v>
      </c>
      <c r="F152" s="7">
        <v>-11.544</v>
      </c>
      <c r="G152" s="7">
        <v>-11.385999999999999</v>
      </c>
      <c r="H152" s="7">
        <v>0</v>
      </c>
      <c r="I152" s="7">
        <v>-2.2599999999999998</v>
      </c>
      <c r="J152" s="7">
        <v>-8.8699999999999992</v>
      </c>
      <c r="K152" s="7">
        <v>-69.858000000000004</v>
      </c>
      <c r="L152" s="7">
        <v>-11.500999999999999</v>
      </c>
      <c r="M152" s="7">
        <v>0</v>
      </c>
      <c r="N152" s="7">
        <v>-20.472999999999999</v>
      </c>
      <c r="O152" s="7">
        <v>-49.237000000000002</v>
      </c>
      <c r="P152" s="7">
        <v>-30.638999999999999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-3.573</v>
      </c>
      <c r="W152" s="7">
        <v>0</v>
      </c>
      <c r="X152" s="7">
        <v>0</v>
      </c>
      <c r="Y152" s="7">
        <v>0</v>
      </c>
      <c r="Z152" s="7">
        <v>-1.2050000000000001</v>
      </c>
      <c r="AA152" s="7">
        <v>-3.2320000000000002</v>
      </c>
      <c r="AB152" s="7">
        <v>0</v>
      </c>
      <c r="AC152" s="7">
        <v>-10.683999999999999</v>
      </c>
      <c r="AD152" s="7">
        <v>0</v>
      </c>
      <c r="AE152" s="7">
        <v>-11.007</v>
      </c>
      <c r="AF152" s="7">
        <v>0</v>
      </c>
      <c r="AG152" s="7">
        <v>-1.583</v>
      </c>
      <c r="AH152" s="7">
        <v>0</v>
      </c>
      <c r="AI152" s="7">
        <v>-27.573</v>
      </c>
      <c r="AJ152" s="7">
        <v>0</v>
      </c>
      <c r="AK152" s="7">
        <v>0</v>
      </c>
      <c r="AL152" s="7">
        <v>-99.652000000000001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-8.7999999999999995E-2</v>
      </c>
      <c r="AV152" s="7">
        <v>0</v>
      </c>
      <c r="AW152" s="7">
        <v>0</v>
      </c>
      <c r="AX152" s="7">
        <v>0</v>
      </c>
      <c r="AY152" s="7">
        <v>0</v>
      </c>
      <c r="AZ152" s="7">
        <v>-4.0000000000000001E-3</v>
      </c>
      <c r="BA152" s="7">
        <v>0</v>
      </c>
      <c r="BB152" s="7">
        <v>0</v>
      </c>
      <c r="BC152" s="7">
        <v>0</v>
      </c>
      <c r="BD152" s="7">
        <v>0</v>
      </c>
      <c r="BE152" s="7">
        <v>-2.3E-2</v>
      </c>
      <c r="BF152" s="7">
        <v>0</v>
      </c>
      <c r="BG152" s="21"/>
    </row>
    <row r="153" spans="1:59" ht="15.6" x14ac:dyDescent="0.3">
      <c r="A153" s="5" t="s">
        <v>291</v>
      </c>
      <c r="B153" s="5" t="s">
        <v>292</v>
      </c>
      <c r="C153" s="7">
        <v>6</v>
      </c>
      <c r="D153" s="7">
        <v>6</v>
      </c>
      <c r="E153" s="7">
        <v>3263.4430000000002</v>
      </c>
      <c r="F153" s="7">
        <v>2678.02</v>
      </c>
      <c r="G153" s="7">
        <v>514.23699999999997</v>
      </c>
      <c r="H153" s="7">
        <v>1104.116</v>
      </c>
      <c r="I153" s="7">
        <v>431.05200000000002</v>
      </c>
      <c r="J153" s="7">
        <v>2052.2399999999998</v>
      </c>
      <c r="K153" s="7">
        <v>1744.646</v>
      </c>
      <c r="L153" s="7">
        <v>1543.414</v>
      </c>
      <c r="M153" s="7">
        <v>0</v>
      </c>
      <c r="N153" s="7">
        <v>4683.6980000000003</v>
      </c>
      <c r="O153" s="7">
        <v>9844.6</v>
      </c>
      <c r="P153" s="7">
        <v>4849.8100000000004</v>
      </c>
      <c r="Q153" s="7">
        <v>0</v>
      </c>
      <c r="R153" s="7">
        <v>0</v>
      </c>
      <c r="S153" s="7">
        <v>0.01</v>
      </c>
      <c r="T153" s="7">
        <v>706.84400000000005</v>
      </c>
      <c r="U153" s="7">
        <v>807.92200000000003</v>
      </c>
      <c r="V153" s="7">
        <v>1042.0989999999999</v>
      </c>
      <c r="W153" s="7">
        <v>0</v>
      </c>
      <c r="X153" s="7">
        <v>5553.0929999999998</v>
      </c>
      <c r="Y153" s="7">
        <v>0</v>
      </c>
      <c r="Z153" s="7">
        <v>197.84</v>
      </c>
      <c r="AA153" s="7">
        <v>489.89800000000002</v>
      </c>
      <c r="AB153" s="7">
        <v>0</v>
      </c>
      <c r="AC153" s="7">
        <v>283.608</v>
      </c>
      <c r="AD153" s="7">
        <v>21646.423999999999</v>
      </c>
      <c r="AE153" s="7">
        <v>4051.2460000000001</v>
      </c>
      <c r="AF153" s="7">
        <v>0</v>
      </c>
      <c r="AG153" s="7">
        <v>462.96899999999999</v>
      </c>
      <c r="AH153" s="7">
        <v>4533.982</v>
      </c>
      <c r="AI153" s="7">
        <v>679.78</v>
      </c>
      <c r="AJ153" s="7">
        <v>45.314999999999998</v>
      </c>
      <c r="AK153" s="7">
        <v>12039.124</v>
      </c>
      <c r="AL153" s="7">
        <v>21918.504000000001</v>
      </c>
      <c r="AM153" s="7">
        <v>77.3</v>
      </c>
      <c r="AN153" s="7">
        <v>123605.35400000001</v>
      </c>
      <c r="AO153" s="7">
        <v>0</v>
      </c>
      <c r="AP153" s="7">
        <v>14162.267</v>
      </c>
      <c r="AQ153" s="7">
        <v>8984.4770000000008</v>
      </c>
      <c r="AR153" s="7">
        <v>0</v>
      </c>
      <c r="AS153" s="7">
        <v>0</v>
      </c>
      <c r="AT153" s="7">
        <v>0</v>
      </c>
      <c r="AU153" s="7">
        <v>50.01</v>
      </c>
      <c r="AV153" s="7">
        <v>2553.049</v>
      </c>
      <c r="AW153" s="7">
        <v>0</v>
      </c>
      <c r="AX153" s="7">
        <v>6.3540000000000001</v>
      </c>
      <c r="AY153" s="7">
        <v>0</v>
      </c>
      <c r="AZ153" s="7">
        <v>3.5579999999999998</v>
      </c>
      <c r="BA153" s="7">
        <v>0</v>
      </c>
      <c r="BB153" s="7">
        <v>0.47</v>
      </c>
      <c r="BC153" s="7">
        <v>0</v>
      </c>
      <c r="BD153" s="7">
        <v>0</v>
      </c>
      <c r="BE153" s="7">
        <v>3228.4479999999999</v>
      </c>
      <c r="BF153" s="7">
        <v>0</v>
      </c>
      <c r="BG153" s="21"/>
    </row>
    <row r="154" spans="1:59" ht="15.6" x14ac:dyDescent="0.3">
      <c r="A154" s="5" t="s">
        <v>293</v>
      </c>
      <c r="B154" s="5" t="s">
        <v>294</v>
      </c>
      <c r="C154" s="7">
        <v>4</v>
      </c>
      <c r="D154" s="7">
        <v>4</v>
      </c>
      <c r="E154" s="7">
        <v>13740.927</v>
      </c>
      <c r="F154" s="7">
        <v>4059.4569999999999</v>
      </c>
      <c r="G154" s="7">
        <v>0</v>
      </c>
      <c r="H154" s="7">
        <v>0</v>
      </c>
      <c r="I154" s="7">
        <v>205.61600000000001</v>
      </c>
      <c r="J154" s="7">
        <v>0</v>
      </c>
      <c r="K154" s="7">
        <v>18492.656999999999</v>
      </c>
      <c r="L154" s="7">
        <v>1051.056</v>
      </c>
      <c r="M154" s="7">
        <v>0</v>
      </c>
      <c r="N154" s="7">
        <v>2077.3560000000002</v>
      </c>
      <c r="O154" s="7">
        <v>48943.487999999998</v>
      </c>
      <c r="P154" s="7">
        <v>2482.212</v>
      </c>
      <c r="Q154" s="7">
        <v>0</v>
      </c>
      <c r="R154" s="7">
        <v>0</v>
      </c>
      <c r="S154" s="7">
        <v>2.1429999999999998</v>
      </c>
      <c r="T154" s="7">
        <v>0</v>
      </c>
      <c r="U154" s="7">
        <v>0</v>
      </c>
      <c r="V154" s="7">
        <v>1012.731</v>
      </c>
      <c r="W154" s="7">
        <v>0</v>
      </c>
      <c r="X154" s="7">
        <v>0</v>
      </c>
      <c r="Y154" s="7">
        <v>0</v>
      </c>
      <c r="Z154" s="7">
        <v>0</v>
      </c>
      <c r="AA154" s="7">
        <v>276.51400000000001</v>
      </c>
      <c r="AB154" s="7">
        <v>0</v>
      </c>
      <c r="AC154" s="7">
        <v>7399.915</v>
      </c>
      <c r="AD154" s="7">
        <v>0</v>
      </c>
      <c r="AE154" s="7">
        <v>0</v>
      </c>
      <c r="AF154" s="7">
        <v>0</v>
      </c>
      <c r="AG154" s="7">
        <v>661.71900000000005</v>
      </c>
      <c r="AH154" s="7">
        <v>0</v>
      </c>
      <c r="AI154" s="7">
        <v>18474.786</v>
      </c>
      <c r="AJ154" s="7">
        <v>9770.7289999999994</v>
      </c>
      <c r="AK154" s="7">
        <v>0</v>
      </c>
      <c r="AL154" s="7">
        <v>60457.442999999999</v>
      </c>
      <c r="AM154" s="7">
        <v>18128.108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21.196999999999999</v>
      </c>
      <c r="AV154" s="7">
        <v>0</v>
      </c>
      <c r="AW154" s="7">
        <v>0</v>
      </c>
      <c r="AX154" s="7">
        <v>2904.1010000000001</v>
      </c>
      <c r="AY154" s="7">
        <v>0</v>
      </c>
      <c r="AZ154" s="7">
        <v>11.196999999999999</v>
      </c>
      <c r="BA154" s="7">
        <v>0</v>
      </c>
      <c r="BB154" s="7">
        <v>83.611999999999995</v>
      </c>
      <c r="BC154" s="7">
        <v>0</v>
      </c>
      <c r="BD154" s="7">
        <v>0</v>
      </c>
      <c r="BE154" s="7">
        <v>0</v>
      </c>
      <c r="BF154" s="7">
        <v>0</v>
      </c>
      <c r="BG154" s="21"/>
    </row>
    <row r="155" spans="1:59" ht="15.6" x14ac:dyDescent="0.3">
      <c r="A155" s="5" t="s">
        <v>295</v>
      </c>
      <c r="B155" s="5" t="s">
        <v>296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21"/>
    </row>
    <row r="156" spans="1:59" ht="15.6" x14ac:dyDescent="0.3">
      <c r="A156" s="5" t="s">
        <v>297</v>
      </c>
      <c r="B156" s="5" t="s">
        <v>298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21"/>
    </row>
    <row r="157" spans="1:59" ht="15.6" x14ac:dyDescent="0.3">
      <c r="A157" s="5" t="s">
        <v>299</v>
      </c>
      <c r="B157" s="5" t="s">
        <v>300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21"/>
    </row>
    <row r="158" spans="1:59" ht="15.6" x14ac:dyDescent="0.3">
      <c r="A158" s="5" t="s">
        <v>301</v>
      </c>
      <c r="B158" s="5" t="s">
        <v>302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21"/>
    </row>
    <row r="159" spans="1:59" ht="15.6" x14ac:dyDescent="0.3">
      <c r="A159" s="5" t="s">
        <v>303</v>
      </c>
      <c r="B159" s="5" t="s">
        <v>304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21"/>
    </row>
    <row r="160" spans="1:59" ht="15.6" x14ac:dyDescent="0.3">
      <c r="A160" s="5" t="s">
        <v>305</v>
      </c>
      <c r="B160" s="5" t="s">
        <v>306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21"/>
    </row>
    <row r="161" spans="1:59" ht="15.6" x14ac:dyDescent="0.3">
      <c r="A161" s="5" t="s">
        <v>307</v>
      </c>
      <c r="B161" s="5" t="s">
        <v>308</v>
      </c>
      <c r="C161" s="7">
        <v>4</v>
      </c>
      <c r="D161" s="7">
        <v>4</v>
      </c>
      <c r="E161" s="7">
        <v>-652.83900000000006</v>
      </c>
      <c r="F161" s="7">
        <v>-66.539000000000001</v>
      </c>
      <c r="G161" s="7">
        <v>-175.59700000000001</v>
      </c>
      <c r="H161" s="7">
        <v>0</v>
      </c>
      <c r="I161" s="7">
        <v>-25.629000000000001</v>
      </c>
      <c r="J161" s="7">
        <v>-122.6</v>
      </c>
      <c r="K161" s="7">
        <v>-312.57600000000002</v>
      </c>
      <c r="L161" s="7">
        <v>-60.423999999999999</v>
      </c>
      <c r="M161" s="7">
        <v>0</v>
      </c>
      <c r="N161" s="7">
        <v>-279.39800000000002</v>
      </c>
      <c r="O161" s="7">
        <v>-201.571</v>
      </c>
      <c r="P161" s="7">
        <v>-279.28699999999998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-21.202000000000002</v>
      </c>
      <c r="W161" s="7">
        <v>0</v>
      </c>
      <c r="X161" s="7">
        <v>0</v>
      </c>
      <c r="Y161" s="7">
        <v>0</v>
      </c>
      <c r="Z161" s="7">
        <v>-11.185</v>
      </c>
      <c r="AA161" s="7">
        <v>-15.712</v>
      </c>
      <c r="AB161" s="7">
        <v>0</v>
      </c>
      <c r="AC161" s="7">
        <v>-110.127</v>
      </c>
      <c r="AD161" s="7">
        <v>0</v>
      </c>
      <c r="AE161" s="7">
        <v>-133.43799999999999</v>
      </c>
      <c r="AF161" s="7">
        <v>0</v>
      </c>
      <c r="AG161" s="7">
        <v>-8.2080000000000002</v>
      </c>
      <c r="AH161" s="7">
        <v>-4.0129999999999999</v>
      </c>
      <c r="AI161" s="7">
        <v>-262.702</v>
      </c>
      <c r="AJ161" s="7">
        <v>0</v>
      </c>
      <c r="AK161" s="7">
        <v>-10.462999999999999</v>
      </c>
      <c r="AL161" s="7">
        <v>-684.80899999999997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-0.67600000000000005</v>
      </c>
      <c r="AV161" s="7">
        <v>0</v>
      </c>
      <c r="AW161" s="7">
        <v>0</v>
      </c>
      <c r="AX161" s="7">
        <v>0</v>
      </c>
      <c r="AY161" s="7">
        <v>0</v>
      </c>
      <c r="AZ161" s="7">
        <v>-0.55800000000000005</v>
      </c>
      <c r="BA161" s="7">
        <v>0</v>
      </c>
      <c r="BB161" s="7">
        <v>-11.336</v>
      </c>
      <c r="BC161" s="7">
        <v>0</v>
      </c>
      <c r="BD161" s="7">
        <v>0</v>
      </c>
      <c r="BE161" s="7">
        <v>0</v>
      </c>
      <c r="BF161" s="7">
        <v>0</v>
      </c>
      <c r="BG161" s="21"/>
    </row>
    <row r="162" spans="1:59" ht="15.6" x14ac:dyDescent="0.3">
      <c r="A162" s="5" t="s">
        <v>293</v>
      </c>
      <c r="B162" s="5" t="s">
        <v>309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21"/>
    </row>
    <row r="163" spans="1:59" ht="15.6" x14ac:dyDescent="0.3">
      <c r="A163" s="5" t="s">
        <v>310</v>
      </c>
      <c r="B163" s="5" t="s">
        <v>311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21"/>
    </row>
    <row r="164" spans="1:59" ht="15.6" x14ac:dyDescent="0.3">
      <c r="A164" s="5" t="s">
        <v>312</v>
      </c>
      <c r="B164" s="5" t="s">
        <v>313</v>
      </c>
      <c r="C164" s="7">
        <v>6</v>
      </c>
      <c r="D164" s="7">
        <v>6</v>
      </c>
      <c r="E164" s="7">
        <v>85.834000000000003</v>
      </c>
      <c r="F164" s="7">
        <v>28.643999999999998</v>
      </c>
      <c r="G164" s="7">
        <v>28.251000000000001</v>
      </c>
      <c r="H164" s="7">
        <v>0</v>
      </c>
      <c r="I164" s="7">
        <v>5.6079999999999997</v>
      </c>
      <c r="J164" s="7">
        <v>22.007999999999999</v>
      </c>
      <c r="K164" s="7">
        <v>173.33699999999999</v>
      </c>
      <c r="L164" s="7">
        <v>28.536999999999999</v>
      </c>
      <c r="M164" s="7">
        <v>0</v>
      </c>
      <c r="N164" s="7">
        <v>50.8</v>
      </c>
      <c r="O164" s="7">
        <v>122.169</v>
      </c>
      <c r="P164" s="7">
        <v>76.025000000000006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8.8659999999999997</v>
      </c>
      <c r="W164" s="7">
        <v>0</v>
      </c>
      <c r="X164" s="7">
        <v>0</v>
      </c>
      <c r="Y164" s="7">
        <v>0</v>
      </c>
      <c r="Z164" s="7">
        <v>2.9910000000000001</v>
      </c>
      <c r="AA164" s="7">
        <v>8.02</v>
      </c>
      <c r="AB164" s="7">
        <v>0</v>
      </c>
      <c r="AC164" s="7">
        <v>26.510999999999999</v>
      </c>
      <c r="AD164" s="7">
        <v>0</v>
      </c>
      <c r="AE164" s="7">
        <v>27.312000000000001</v>
      </c>
      <c r="AF164" s="7">
        <v>0</v>
      </c>
      <c r="AG164" s="7">
        <v>3.9289999999999998</v>
      </c>
      <c r="AH164" s="7">
        <v>0</v>
      </c>
      <c r="AI164" s="7">
        <v>68.415999999999997</v>
      </c>
      <c r="AJ164" s="7">
        <v>0</v>
      </c>
      <c r="AK164" s="7">
        <v>0</v>
      </c>
      <c r="AL164" s="7">
        <v>247.26499999999999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0.218</v>
      </c>
      <c r="AV164" s="7">
        <v>0</v>
      </c>
      <c r="AW164" s="7">
        <v>0</v>
      </c>
      <c r="AX164" s="7">
        <v>0</v>
      </c>
      <c r="AY164" s="7">
        <v>0</v>
      </c>
      <c r="AZ164" s="7">
        <v>1.0999999999999999E-2</v>
      </c>
      <c r="BA164" s="7">
        <v>0</v>
      </c>
      <c r="BB164" s="7">
        <v>0</v>
      </c>
      <c r="BC164" s="7">
        <v>0</v>
      </c>
      <c r="BD164" s="7">
        <v>0</v>
      </c>
      <c r="BE164" s="7">
        <v>5.7000000000000002E-2</v>
      </c>
      <c r="BF164" s="7">
        <v>0</v>
      </c>
      <c r="BG164" s="21"/>
    </row>
    <row r="165" spans="1:59" ht="15.6" x14ac:dyDescent="0.3">
      <c r="A165" s="5" t="s">
        <v>297</v>
      </c>
      <c r="B165" s="5" t="s">
        <v>314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21"/>
    </row>
    <row r="166" spans="1:59" ht="15.6" x14ac:dyDescent="0.3">
      <c r="A166" s="5" t="s">
        <v>299</v>
      </c>
      <c r="B166" s="5" t="s">
        <v>315</v>
      </c>
      <c r="C166" s="7">
        <v>6</v>
      </c>
      <c r="D166" s="7">
        <v>6</v>
      </c>
      <c r="E166" s="7">
        <v>885.52200000000005</v>
      </c>
      <c r="F166" s="7">
        <v>121.241</v>
      </c>
      <c r="G166" s="7">
        <v>174.06899999999999</v>
      </c>
      <c r="H166" s="7">
        <v>0</v>
      </c>
      <c r="I166" s="7">
        <v>30.664000000000001</v>
      </c>
      <c r="J166" s="7">
        <v>102.143</v>
      </c>
      <c r="K166" s="7">
        <v>857.42200000000003</v>
      </c>
      <c r="L166" s="7">
        <v>79.998000000000005</v>
      </c>
      <c r="M166" s="7">
        <v>0</v>
      </c>
      <c r="N166" s="7">
        <v>399.154</v>
      </c>
      <c r="O166" s="7">
        <v>955.072</v>
      </c>
      <c r="P166" s="7">
        <v>393.74900000000002</v>
      </c>
      <c r="Q166" s="7">
        <v>0</v>
      </c>
      <c r="R166" s="7">
        <v>0</v>
      </c>
      <c r="S166" s="7">
        <v>5.7869999999999999</v>
      </c>
      <c r="T166" s="7">
        <v>0</v>
      </c>
      <c r="U166" s="7">
        <v>0.18099999999999999</v>
      </c>
      <c r="V166" s="7">
        <v>0</v>
      </c>
      <c r="W166" s="7">
        <v>0</v>
      </c>
      <c r="X166" s="7">
        <v>0</v>
      </c>
      <c r="Y166" s="7">
        <v>0</v>
      </c>
      <c r="Z166" s="7">
        <v>14.356</v>
      </c>
      <c r="AA166" s="7">
        <v>45.052999999999997</v>
      </c>
      <c r="AB166" s="7">
        <v>0</v>
      </c>
      <c r="AC166" s="7">
        <v>358.12700000000001</v>
      </c>
      <c r="AD166" s="7">
        <v>0</v>
      </c>
      <c r="AE166" s="7">
        <v>124.79600000000001</v>
      </c>
      <c r="AF166" s="7">
        <v>0</v>
      </c>
      <c r="AG166" s="7">
        <v>21.989000000000001</v>
      </c>
      <c r="AH166" s="7">
        <v>0</v>
      </c>
      <c r="AI166" s="7">
        <v>1134.2049999999999</v>
      </c>
      <c r="AJ166" s="7">
        <v>0</v>
      </c>
      <c r="AK166" s="7">
        <v>0</v>
      </c>
      <c r="AL166" s="7">
        <v>1840.8240000000001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21"/>
    </row>
    <row r="167" spans="1:59" ht="15.6" x14ac:dyDescent="0.3">
      <c r="A167" s="5" t="s">
        <v>301</v>
      </c>
      <c r="B167" s="5" t="s">
        <v>316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21"/>
    </row>
    <row r="168" spans="1:59" ht="15.6" x14ac:dyDescent="0.3">
      <c r="A168" s="5" t="s">
        <v>317</v>
      </c>
      <c r="B168" s="5" t="s">
        <v>318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21"/>
    </row>
    <row r="169" spans="1:59" ht="15.6" x14ac:dyDescent="0.3">
      <c r="A169" s="5" t="s">
        <v>319</v>
      </c>
      <c r="B169" s="5" t="s">
        <v>320</v>
      </c>
      <c r="C169" s="7">
        <v>6</v>
      </c>
      <c r="D169" s="7">
        <v>6</v>
      </c>
      <c r="E169" s="7">
        <v>-37.305</v>
      </c>
      <c r="F169" s="7">
        <v>-12.449</v>
      </c>
      <c r="G169" s="7">
        <v>-12.279</v>
      </c>
      <c r="H169" s="7">
        <v>0</v>
      </c>
      <c r="I169" s="7">
        <v>-2.4369999999999998</v>
      </c>
      <c r="J169" s="7">
        <v>-9.5649999999999995</v>
      </c>
      <c r="K169" s="7">
        <v>-75.335999999999999</v>
      </c>
      <c r="L169" s="7">
        <v>-12.403</v>
      </c>
      <c r="M169" s="7">
        <v>0</v>
      </c>
      <c r="N169" s="7">
        <v>-22.079000000000001</v>
      </c>
      <c r="O169" s="7">
        <v>-53.097000000000001</v>
      </c>
      <c r="P169" s="7">
        <v>-33.042000000000002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-3.8530000000000002</v>
      </c>
      <c r="W169" s="7">
        <v>0</v>
      </c>
      <c r="X169" s="7">
        <v>0</v>
      </c>
      <c r="Y169" s="7">
        <v>0</v>
      </c>
      <c r="Z169" s="7">
        <v>-1.3</v>
      </c>
      <c r="AA169" s="7">
        <v>-3.4860000000000002</v>
      </c>
      <c r="AB169" s="7">
        <v>0</v>
      </c>
      <c r="AC169" s="7">
        <v>-11.522</v>
      </c>
      <c r="AD169" s="7">
        <v>0</v>
      </c>
      <c r="AE169" s="7">
        <v>-11.871</v>
      </c>
      <c r="AF169" s="7">
        <v>0</v>
      </c>
      <c r="AG169" s="7">
        <v>-1.708</v>
      </c>
      <c r="AH169" s="7">
        <v>0</v>
      </c>
      <c r="AI169" s="7">
        <v>-29.734999999999999</v>
      </c>
      <c r="AJ169" s="7">
        <v>0</v>
      </c>
      <c r="AK169" s="7">
        <v>0</v>
      </c>
      <c r="AL169" s="7">
        <v>-107.46599999999999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-9.5000000000000001E-2</v>
      </c>
      <c r="AV169" s="7">
        <v>0</v>
      </c>
      <c r="AW169" s="7">
        <v>0</v>
      </c>
      <c r="AX169" s="7">
        <v>0</v>
      </c>
      <c r="AY169" s="7">
        <v>0</v>
      </c>
      <c r="AZ169" s="7">
        <v>-5.0000000000000001E-3</v>
      </c>
      <c r="BA169" s="7">
        <v>0</v>
      </c>
      <c r="BB169" s="7">
        <v>0</v>
      </c>
      <c r="BC169" s="7">
        <v>0</v>
      </c>
      <c r="BD169" s="7">
        <v>0</v>
      </c>
      <c r="BE169" s="7">
        <v>-2.5000000000000001E-2</v>
      </c>
      <c r="BF169" s="7">
        <v>0</v>
      </c>
      <c r="BG169" s="21"/>
    </row>
    <row r="170" spans="1:59" ht="15.6" x14ac:dyDescent="0.3">
      <c r="A170" s="5" t="s">
        <v>305</v>
      </c>
      <c r="B170" s="5" t="s">
        <v>321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21"/>
    </row>
    <row r="171" spans="1:59" ht="15.6" x14ac:dyDescent="0.3">
      <c r="A171" s="5" t="s">
        <v>307</v>
      </c>
      <c r="B171" s="5" t="s">
        <v>322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21"/>
    </row>
    <row r="172" spans="1:59" ht="15.6" x14ac:dyDescent="0.3">
      <c r="A172" s="5" t="s">
        <v>323</v>
      </c>
      <c r="B172" s="5" t="s">
        <v>324</v>
      </c>
      <c r="C172" s="7">
        <v>4</v>
      </c>
      <c r="D172" s="7">
        <v>4</v>
      </c>
      <c r="E172" s="7">
        <v>4027.627</v>
      </c>
      <c r="F172" s="7">
        <v>1182.577</v>
      </c>
      <c r="G172" s="7">
        <v>0</v>
      </c>
      <c r="H172" s="7">
        <v>0</v>
      </c>
      <c r="I172" s="7">
        <v>59.619</v>
      </c>
      <c r="J172" s="7">
        <v>0</v>
      </c>
      <c r="K172" s="7">
        <v>5285.4629999999997</v>
      </c>
      <c r="L172" s="7">
        <v>381.05900000000003</v>
      </c>
      <c r="M172" s="7">
        <v>0</v>
      </c>
      <c r="N172" s="7">
        <v>599.48</v>
      </c>
      <c r="O172" s="7">
        <v>14114.038</v>
      </c>
      <c r="P172" s="7">
        <v>731.42899999999997</v>
      </c>
      <c r="Q172" s="7">
        <v>0</v>
      </c>
      <c r="R172" s="7">
        <v>0</v>
      </c>
      <c r="S172" s="7">
        <v>0.35699999999999998</v>
      </c>
      <c r="T172" s="7">
        <v>0</v>
      </c>
      <c r="U172" s="7">
        <v>0</v>
      </c>
      <c r="V172" s="7">
        <v>324.06</v>
      </c>
      <c r="W172" s="7">
        <v>0</v>
      </c>
      <c r="X172" s="7">
        <v>0</v>
      </c>
      <c r="Y172" s="7">
        <v>0</v>
      </c>
      <c r="Z172" s="7">
        <v>0</v>
      </c>
      <c r="AA172" s="7">
        <v>81.763999999999996</v>
      </c>
      <c r="AB172" s="7">
        <v>0</v>
      </c>
      <c r="AC172" s="7">
        <v>2225.0329999999999</v>
      </c>
      <c r="AD172" s="7">
        <v>0</v>
      </c>
      <c r="AE172" s="7">
        <v>0</v>
      </c>
      <c r="AF172" s="7">
        <v>0.36399999999999999</v>
      </c>
      <c r="AG172" s="7">
        <v>194.785</v>
      </c>
      <c r="AH172" s="7">
        <v>0</v>
      </c>
      <c r="AI172" s="7">
        <v>5577.2060000000001</v>
      </c>
      <c r="AJ172" s="7">
        <v>2833.0329999999999</v>
      </c>
      <c r="AK172" s="7">
        <v>0</v>
      </c>
      <c r="AL172" s="7">
        <v>17866.177</v>
      </c>
      <c r="AM172" s="7">
        <v>5243.7839999999997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10.349</v>
      </c>
      <c r="AV172" s="7">
        <v>0</v>
      </c>
      <c r="AW172" s="7">
        <v>0</v>
      </c>
      <c r="AX172" s="7">
        <v>841.45699999999999</v>
      </c>
      <c r="AY172" s="7">
        <v>0</v>
      </c>
      <c r="AZ172" s="7">
        <v>3.403</v>
      </c>
      <c r="BA172" s="7">
        <v>0</v>
      </c>
      <c r="BB172" s="7">
        <v>25.08</v>
      </c>
      <c r="BC172" s="7">
        <v>0</v>
      </c>
      <c r="BD172" s="7">
        <v>0</v>
      </c>
      <c r="BE172" s="7">
        <v>323.17599999999999</v>
      </c>
      <c r="BF172" s="7">
        <v>0</v>
      </c>
      <c r="BG172" s="21"/>
    </row>
    <row r="173" spans="1:59" ht="15.6" x14ac:dyDescent="0.3">
      <c r="A173" s="5" t="s">
        <v>325</v>
      </c>
      <c r="B173" s="5" t="s">
        <v>326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21"/>
    </row>
    <row r="174" spans="1:59" ht="15.6" x14ac:dyDescent="0.3">
      <c r="A174" s="5" t="s">
        <v>327</v>
      </c>
      <c r="B174" s="5" t="s">
        <v>328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21"/>
    </row>
    <row r="175" spans="1:59" ht="15.6" x14ac:dyDescent="0.3">
      <c r="A175" s="5" t="s">
        <v>329</v>
      </c>
      <c r="B175" s="5" t="s">
        <v>330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21"/>
    </row>
    <row r="176" spans="1:59" ht="15.6" x14ac:dyDescent="0.3">
      <c r="A176" s="5" t="s">
        <v>331</v>
      </c>
      <c r="B176" s="5" t="s">
        <v>332</v>
      </c>
      <c r="C176" s="7">
        <v>4</v>
      </c>
      <c r="D176" s="7">
        <v>4</v>
      </c>
      <c r="E176" s="7">
        <v>196.124</v>
      </c>
      <c r="F176" s="7">
        <v>19.989999999999998</v>
      </c>
      <c r="G176" s="7">
        <v>52.752000000000002</v>
      </c>
      <c r="H176" s="7">
        <v>0</v>
      </c>
      <c r="I176" s="7">
        <v>7.7</v>
      </c>
      <c r="J176" s="7">
        <v>36.831000000000003</v>
      </c>
      <c r="K176" s="7">
        <v>93.903000000000006</v>
      </c>
      <c r="L176" s="7">
        <v>18.152000000000001</v>
      </c>
      <c r="M176" s="7">
        <v>0</v>
      </c>
      <c r="N176" s="7">
        <v>83.936000000000007</v>
      </c>
      <c r="O176" s="7">
        <v>60.555</v>
      </c>
      <c r="P176" s="7">
        <v>83.903000000000006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6.3689999999999998</v>
      </c>
      <c r="W176" s="7">
        <v>0</v>
      </c>
      <c r="X176" s="7">
        <v>0</v>
      </c>
      <c r="Y176" s="7">
        <v>0</v>
      </c>
      <c r="Z176" s="7">
        <v>3.36</v>
      </c>
      <c r="AA176" s="7">
        <v>4.72</v>
      </c>
      <c r="AB176" s="7">
        <v>0</v>
      </c>
      <c r="AC176" s="7">
        <v>33.084000000000003</v>
      </c>
      <c r="AD176" s="7">
        <v>0</v>
      </c>
      <c r="AE176" s="7">
        <v>40.087000000000003</v>
      </c>
      <c r="AF176" s="7">
        <v>0</v>
      </c>
      <c r="AG176" s="7">
        <v>2.4660000000000002</v>
      </c>
      <c r="AH176" s="7">
        <v>1.206</v>
      </c>
      <c r="AI176" s="7">
        <v>78.92</v>
      </c>
      <c r="AJ176" s="7">
        <v>0</v>
      </c>
      <c r="AK176" s="7">
        <v>3.1429999999999998</v>
      </c>
      <c r="AL176" s="7">
        <v>205.72900000000001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0.20300000000000001</v>
      </c>
      <c r="AV176" s="7">
        <v>0</v>
      </c>
      <c r="AW176" s="7">
        <v>0</v>
      </c>
      <c r="AX176" s="7">
        <v>0</v>
      </c>
      <c r="AY176" s="7">
        <v>0</v>
      </c>
      <c r="AZ176" s="7">
        <v>0.16800000000000001</v>
      </c>
      <c r="BA176" s="7">
        <v>0</v>
      </c>
      <c r="BB176" s="7">
        <v>3.4060000000000001</v>
      </c>
      <c r="BC176" s="7">
        <v>0</v>
      </c>
      <c r="BD176" s="7">
        <v>0</v>
      </c>
      <c r="BE176" s="7">
        <v>0</v>
      </c>
      <c r="BF176" s="7">
        <v>0</v>
      </c>
      <c r="BG176" s="21"/>
    </row>
    <row r="177" spans="1:59" ht="15.6" x14ac:dyDescent="0.3">
      <c r="A177" s="5" t="s">
        <v>333</v>
      </c>
      <c r="B177" s="5" t="s">
        <v>334</v>
      </c>
      <c r="C177" s="7">
        <v>4</v>
      </c>
      <c r="D177" s="7">
        <v>4</v>
      </c>
      <c r="E177" s="7">
        <v>-6312.9979999999996</v>
      </c>
      <c r="F177" s="7">
        <v>-1855.2170000000001</v>
      </c>
      <c r="G177" s="7">
        <v>0</v>
      </c>
      <c r="H177" s="7">
        <v>0</v>
      </c>
      <c r="I177" s="7">
        <v>-93.477000000000004</v>
      </c>
      <c r="J177" s="7">
        <v>0</v>
      </c>
      <c r="K177" s="7">
        <v>-8295.2819999999992</v>
      </c>
      <c r="L177" s="7">
        <v>-586.86199999999997</v>
      </c>
      <c r="M177" s="7">
        <v>0</v>
      </c>
      <c r="N177" s="7">
        <v>-939.12099999999998</v>
      </c>
      <c r="O177" s="7">
        <v>-22156.614000000001</v>
      </c>
      <c r="P177" s="7">
        <v>-1144.501</v>
      </c>
      <c r="Q177" s="7">
        <v>0</v>
      </c>
      <c r="R177" s="7">
        <v>0</v>
      </c>
      <c r="S177" s="7">
        <v>-0.59699999999999998</v>
      </c>
      <c r="T177" s="7">
        <v>0</v>
      </c>
      <c r="U177" s="7">
        <v>0</v>
      </c>
      <c r="V177" s="7">
        <v>-504.37400000000002</v>
      </c>
      <c r="W177" s="7">
        <v>0</v>
      </c>
      <c r="X177" s="7">
        <v>0</v>
      </c>
      <c r="Y177" s="7">
        <v>0</v>
      </c>
      <c r="Z177" s="7">
        <v>0</v>
      </c>
      <c r="AA177" s="7">
        <v>-127.934</v>
      </c>
      <c r="AB177" s="7">
        <v>0</v>
      </c>
      <c r="AC177" s="7">
        <v>-3491.08</v>
      </c>
      <c r="AD177" s="7">
        <v>0</v>
      </c>
      <c r="AE177" s="7">
        <v>0</v>
      </c>
      <c r="AF177" s="7">
        <v>-0.52300000000000002</v>
      </c>
      <c r="AG177" s="7">
        <v>-305.43299999999999</v>
      </c>
      <c r="AH177" s="7">
        <v>0</v>
      </c>
      <c r="AI177" s="7">
        <v>-8747.7510000000002</v>
      </c>
      <c r="AJ177" s="7">
        <v>-4447.893</v>
      </c>
      <c r="AK177" s="7">
        <v>0</v>
      </c>
      <c r="AL177" s="7">
        <v>-27931.258999999998</v>
      </c>
      <c r="AM177" s="7">
        <v>-8236.1260000000002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-15.718</v>
      </c>
      <c r="AV177" s="7">
        <v>0</v>
      </c>
      <c r="AW177" s="7">
        <v>0</v>
      </c>
      <c r="AX177" s="7">
        <v>-1323.0550000000001</v>
      </c>
      <c r="AY177" s="7">
        <v>0</v>
      </c>
      <c r="AZ177" s="7">
        <v>-5.3330000000000002</v>
      </c>
      <c r="BA177" s="7">
        <v>0</v>
      </c>
      <c r="BB177" s="7">
        <v>-39.337000000000003</v>
      </c>
      <c r="BC177" s="7">
        <v>0</v>
      </c>
      <c r="BD177" s="7">
        <v>0</v>
      </c>
      <c r="BE177" s="7">
        <v>-464.82100000000003</v>
      </c>
      <c r="BF177" s="7">
        <v>0</v>
      </c>
      <c r="BG177" s="21"/>
    </row>
    <row r="178" spans="1:59" ht="15.6" x14ac:dyDescent="0.3">
      <c r="A178" s="5" t="s">
        <v>335</v>
      </c>
      <c r="B178" s="5" t="s">
        <v>336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21"/>
    </row>
    <row r="179" spans="1:59" ht="15.6" x14ac:dyDescent="0.3">
      <c r="A179" s="5" t="s">
        <v>337</v>
      </c>
      <c r="B179" s="5" t="s">
        <v>338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21"/>
    </row>
    <row r="180" spans="1:59" ht="15.6" x14ac:dyDescent="0.3">
      <c r="A180" s="5" t="s">
        <v>339</v>
      </c>
      <c r="B180" s="5" t="s">
        <v>340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21"/>
    </row>
    <row r="181" spans="1:59" ht="15.6" x14ac:dyDescent="0.3">
      <c r="A181" s="5" t="s">
        <v>341</v>
      </c>
      <c r="B181" s="5" t="s">
        <v>342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21"/>
    </row>
    <row r="182" spans="1:59" ht="15.6" x14ac:dyDescent="0.3">
      <c r="A182" s="5" t="s">
        <v>323</v>
      </c>
      <c r="B182" s="5" t="s">
        <v>343</v>
      </c>
      <c r="C182" s="7">
        <v>6</v>
      </c>
      <c r="D182" s="7">
        <v>6</v>
      </c>
      <c r="E182" s="7">
        <v>63.006</v>
      </c>
      <c r="F182" s="7">
        <v>18.614000000000001</v>
      </c>
      <c r="G182" s="7">
        <v>0</v>
      </c>
      <c r="H182" s="7">
        <v>0</v>
      </c>
      <c r="I182" s="7">
        <v>0.94299999999999995</v>
      </c>
      <c r="J182" s="7">
        <v>0</v>
      </c>
      <c r="K182" s="7">
        <v>84.793999999999997</v>
      </c>
      <c r="L182" s="7">
        <v>4.819</v>
      </c>
      <c r="M182" s="7">
        <v>0</v>
      </c>
      <c r="N182" s="7">
        <v>9.5250000000000004</v>
      </c>
      <c r="O182" s="7">
        <v>224.42</v>
      </c>
      <c r="P182" s="7">
        <v>11.382</v>
      </c>
      <c r="Q182" s="7">
        <v>0</v>
      </c>
      <c r="R182" s="7">
        <v>0</v>
      </c>
      <c r="S182" s="7">
        <v>0.01</v>
      </c>
      <c r="T182" s="7">
        <v>0</v>
      </c>
      <c r="U182" s="7">
        <v>0</v>
      </c>
      <c r="V182" s="7">
        <v>4.6440000000000001</v>
      </c>
      <c r="W182" s="7">
        <v>0</v>
      </c>
      <c r="X182" s="7">
        <v>0</v>
      </c>
      <c r="Y182" s="7">
        <v>0</v>
      </c>
      <c r="Z182" s="7">
        <v>0</v>
      </c>
      <c r="AA182" s="7">
        <v>1.268</v>
      </c>
      <c r="AB182" s="7">
        <v>0</v>
      </c>
      <c r="AC182" s="7">
        <v>33.930999999999997</v>
      </c>
      <c r="AD182" s="7">
        <v>0</v>
      </c>
      <c r="AE182" s="7">
        <v>0</v>
      </c>
      <c r="AF182" s="7">
        <v>0</v>
      </c>
      <c r="AG182" s="7">
        <v>3.0339999999999998</v>
      </c>
      <c r="AH182" s="7">
        <v>0</v>
      </c>
      <c r="AI182" s="7">
        <v>84.712000000000003</v>
      </c>
      <c r="AJ182" s="7">
        <v>44.802</v>
      </c>
      <c r="AK182" s="7">
        <v>0</v>
      </c>
      <c r="AL182" s="7">
        <v>277.21499999999997</v>
      </c>
      <c r="AM182" s="7">
        <v>83.123000000000005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9.7000000000000003E-2</v>
      </c>
      <c r="AV182" s="7">
        <v>0</v>
      </c>
      <c r="AW182" s="7">
        <v>0</v>
      </c>
      <c r="AX182" s="7">
        <v>13.316000000000001</v>
      </c>
      <c r="AY182" s="7">
        <v>0</v>
      </c>
      <c r="AZ182" s="7">
        <v>5.0999999999999997E-2</v>
      </c>
      <c r="BA182" s="7">
        <v>0</v>
      </c>
      <c r="BB182" s="7">
        <v>0.38300000000000001</v>
      </c>
      <c r="BC182" s="7">
        <v>0</v>
      </c>
      <c r="BD182" s="7">
        <v>0</v>
      </c>
      <c r="BE182" s="7">
        <v>0</v>
      </c>
      <c r="BF182" s="7">
        <v>0</v>
      </c>
      <c r="BG182" s="21"/>
    </row>
    <row r="183" spans="1:59" ht="15.6" x14ac:dyDescent="0.3">
      <c r="A183" s="5" t="s">
        <v>325</v>
      </c>
      <c r="B183" s="5" t="s">
        <v>344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21"/>
    </row>
    <row r="184" spans="1:59" ht="15.6" x14ac:dyDescent="0.3">
      <c r="A184" s="5" t="s">
        <v>327</v>
      </c>
      <c r="B184" s="5" t="s">
        <v>345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21"/>
    </row>
    <row r="185" spans="1:59" ht="15.6" x14ac:dyDescent="0.3">
      <c r="A185" s="5" t="s">
        <v>329</v>
      </c>
      <c r="B185" s="5" t="s">
        <v>346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21"/>
    </row>
    <row r="186" spans="1:59" ht="15.6" x14ac:dyDescent="0.3">
      <c r="A186" s="5" t="s">
        <v>331</v>
      </c>
      <c r="B186" s="5" t="s">
        <v>347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21"/>
    </row>
    <row r="187" spans="1:59" ht="15.6" x14ac:dyDescent="0.3">
      <c r="A187" s="5" t="s">
        <v>333</v>
      </c>
      <c r="B187" s="5" t="s">
        <v>348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21"/>
    </row>
    <row r="188" spans="1:59" ht="15.6" x14ac:dyDescent="0.3">
      <c r="A188" s="5" t="s">
        <v>335</v>
      </c>
      <c r="B188" s="5" t="s">
        <v>349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21"/>
    </row>
    <row r="189" spans="1:59" ht="15.6" x14ac:dyDescent="0.3">
      <c r="A189" s="5" t="s">
        <v>337</v>
      </c>
      <c r="B189" s="5" t="s">
        <v>350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21"/>
    </row>
    <row r="190" spans="1:59" ht="15.6" x14ac:dyDescent="0.3">
      <c r="A190" s="5" t="s">
        <v>339</v>
      </c>
      <c r="B190" s="5" t="s">
        <v>351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21"/>
    </row>
    <row r="191" spans="1:59" ht="15.6" x14ac:dyDescent="0.3">
      <c r="A191" s="5" t="s">
        <v>341</v>
      </c>
      <c r="B191" s="5" t="s">
        <v>352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21"/>
    </row>
    <row r="192" spans="1:59" ht="15.6" x14ac:dyDescent="0.3">
      <c r="A192" s="5" t="s">
        <v>353</v>
      </c>
      <c r="B192" s="5" t="s">
        <v>354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21"/>
    </row>
    <row r="193" spans="1:59" ht="15.6" x14ac:dyDescent="0.3">
      <c r="A193" s="5" t="s">
        <v>355</v>
      </c>
      <c r="B193" s="5" t="s">
        <v>356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21"/>
    </row>
    <row r="194" spans="1:59" ht="15.6" x14ac:dyDescent="0.3">
      <c r="A194" s="5" t="s">
        <v>357</v>
      </c>
      <c r="B194" s="5" t="s">
        <v>358</v>
      </c>
      <c r="C194" s="7">
        <v>6</v>
      </c>
      <c r="D194" s="7">
        <v>6</v>
      </c>
      <c r="E194" s="7">
        <v>27.279</v>
      </c>
      <c r="F194" s="7">
        <v>3.51</v>
      </c>
      <c r="G194" s="7">
        <v>12.694000000000001</v>
      </c>
      <c r="H194" s="7">
        <v>0</v>
      </c>
      <c r="I194" s="7">
        <v>0.90500000000000003</v>
      </c>
      <c r="J194" s="7">
        <v>8.6850000000000005</v>
      </c>
      <c r="K194" s="7">
        <v>4.5339999999999998</v>
      </c>
      <c r="L194" s="7">
        <v>8.375</v>
      </c>
      <c r="M194" s="7">
        <v>0</v>
      </c>
      <c r="N194" s="7">
        <v>18.46</v>
      </c>
      <c r="O194" s="7">
        <v>12.69</v>
      </c>
      <c r="P194" s="7">
        <v>17.943000000000001</v>
      </c>
      <c r="Q194" s="7">
        <v>0</v>
      </c>
      <c r="R194" s="7">
        <v>0</v>
      </c>
      <c r="S194" s="7">
        <v>8.9999999999999993E-3</v>
      </c>
      <c r="T194" s="7">
        <v>0</v>
      </c>
      <c r="U194" s="7">
        <v>0</v>
      </c>
      <c r="V194" s="7">
        <v>1.456</v>
      </c>
      <c r="W194" s="7">
        <v>0</v>
      </c>
      <c r="X194" s="7">
        <v>0</v>
      </c>
      <c r="Y194" s="7">
        <v>0</v>
      </c>
      <c r="Z194" s="7">
        <v>0.78100000000000003</v>
      </c>
      <c r="AA194" s="7">
        <v>2.581</v>
      </c>
      <c r="AB194" s="7">
        <v>0</v>
      </c>
      <c r="AC194" s="7">
        <v>3.9790000000000001</v>
      </c>
      <c r="AD194" s="7">
        <v>0</v>
      </c>
      <c r="AE194" s="7">
        <v>10.119999999999999</v>
      </c>
      <c r="AF194" s="7">
        <v>0</v>
      </c>
      <c r="AG194" s="7">
        <v>0.61</v>
      </c>
      <c r="AH194" s="7">
        <v>0</v>
      </c>
      <c r="AI194" s="7">
        <v>9.0210000000000008</v>
      </c>
      <c r="AJ194" s="7">
        <v>0</v>
      </c>
      <c r="AK194" s="7">
        <v>0</v>
      </c>
      <c r="AL194" s="7">
        <v>43.118000000000002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5.5E-2</v>
      </c>
      <c r="AV194" s="7">
        <v>0</v>
      </c>
      <c r="AW194" s="7">
        <v>0</v>
      </c>
      <c r="AX194" s="7">
        <v>0</v>
      </c>
      <c r="AY194" s="7">
        <v>0</v>
      </c>
      <c r="AZ194" s="7">
        <v>5.0000000000000001E-3</v>
      </c>
      <c r="BA194" s="7">
        <v>0</v>
      </c>
      <c r="BB194" s="7">
        <v>0.308</v>
      </c>
      <c r="BC194" s="7">
        <v>0</v>
      </c>
      <c r="BD194" s="7">
        <v>0</v>
      </c>
      <c r="BE194" s="7">
        <v>0</v>
      </c>
      <c r="BF194" s="7">
        <v>0</v>
      </c>
      <c r="BG194" s="21"/>
    </row>
    <row r="195" spans="1:59" ht="15.6" x14ac:dyDescent="0.3">
      <c r="A195" s="5" t="s">
        <v>359</v>
      </c>
      <c r="B195" s="5" t="s">
        <v>360</v>
      </c>
      <c r="C195" s="7">
        <v>6</v>
      </c>
      <c r="D195" s="7">
        <v>6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21"/>
    </row>
    <row r="196" spans="1:59" ht="15.6" x14ac:dyDescent="0.3">
      <c r="A196" s="5" t="s">
        <v>361</v>
      </c>
      <c r="B196" s="5" t="s">
        <v>362</v>
      </c>
      <c r="C196" s="7">
        <v>6</v>
      </c>
      <c r="D196" s="7">
        <v>6</v>
      </c>
      <c r="E196" s="7">
        <v>165.078</v>
      </c>
      <c r="F196" s="7">
        <v>0</v>
      </c>
      <c r="G196" s="7">
        <v>40.195999999999998</v>
      </c>
      <c r="H196" s="7">
        <v>0</v>
      </c>
      <c r="I196" s="7">
        <v>0</v>
      </c>
      <c r="J196" s="7">
        <v>69.918999999999997</v>
      </c>
      <c r="K196" s="7">
        <v>0</v>
      </c>
      <c r="L196" s="7">
        <v>0</v>
      </c>
      <c r="M196" s="7">
        <v>0</v>
      </c>
      <c r="N196" s="7">
        <v>0</v>
      </c>
      <c r="O196" s="7">
        <v>593.75099999999998</v>
      </c>
      <c r="P196" s="7">
        <v>86.094999999999999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508.98599999999999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21"/>
    </row>
    <row r="197" spans="1:59" ht="15.6" x14ac:dyDescent="0.3">
      <c r="A197" s="5" t="s">
        <v>363</v>
      </c>
      <c r="B197" s="5" t="s">
        <v>364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21"/>
    </row>
    <row r="198" spans="1:59" ht="15.6" x14ac:dyDescent="0.3">
      <c r="A198" s="5" t="s">
        <v>365</v>
      </c>
      <c r="B198" s="5" t="s">
        <v>366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21"/>
    </row>
    <row r="199" spans="1:59" ht="15.6" x14ac:dyDescent="0.3">
      <c r="A199" s="5" t="s">
        <v>367</v>
      </c>
      <c r="B199" s="5" t="s">
        <v>368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21"/>
    </row>
    <row r="200" spans="1:59" ht="15.6" x14ac:dyDescent="0.3">
      <c r="A200" s="5" t="s">
        <v>369</v>
      </c>
      <c r="B200" s="5" t="s">
        <v>370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21"/>
    </row>
    <row r="201" spans="1:59" ht="15.6" x14ac:dyDescent="0.3">
      <c r="A201" s="5" t="s">
        <v>371</v>
      </c>
      <c r="B201" s="5" t="s">
        <v>372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21"/>
    </row>
    <row r="202" spans="1:59" ht="15.6" x14ac:dyDescent="0.3">
      <c r="A202" s="5" t="s">
        <v>373</v>
      </c>
      <c r="B202" s="5" t="s">
        <v>374</v>
      </c>
      <c r="C202" s="7">
        <v>3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21"/>
    </row>
    <row r="203" spans="1:59" ht="15.6" x14ac:dyDescent="0.3">
      <c r="A203" s="5" t="s">
        <v>375</v>
      </c>
      <c r="B203" s="5" t="s">
        <v>376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21"/>
    </row>
    <row r="204" spans="1:59" ht="15.6" x14ac:dyDescent="0.3">
      <c r="A204" s="5" t="s">
        <v>377</v>
      </c>
      <c r="B204" s="5" t="s">
        <v>378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21"/>
    </row>
    <row r="205" spans="1:59" ht="15.6" x14ac:dyDescent="0.3">
      <c r="A205" s="5" t="s">
        <v>379</v>
      </c>
      <c r="B205" s="5" t="s">
        <v>380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21"/>
    </row>
    <row r="206" spans="1:59" ht="15.6" x14ac:dyDescent="0.3">
      <c r="A206" s="5" t="s">
        <v>381</v>
      </c>
      <c r="B206" s="5" t="s">
        <v>382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21"/>
    </row>
    <row r="207" spans="1:59" ht="15.6" x14ac:dyDescent="0.3">
      <c r="A207" s="5" t="s">
        <v>383</v>
      </c>
      <c r="B207" s="5" t="s">
        <v>384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21"/>
    </row>
    <row r="208" spans="1:59" ht="15.6" x14ac:dyDescent="0.3">
      <c r="A208" s="5" t="s">
        <v>385</v>
      </c>
      <c r="B208" s="5" t="s">
        <v>386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21"/>
    </row>
    <row r="209" spans="1:59" ht="15.6" x14ac:dyDescent="0.3">
      <c r="A209" s="5" t="s">
        <v>387</v>
      </c>
      <c r="B209" s="5" t="s">
        <v>388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21"/>
    </row>
    <row r="210" spans="1:59" ht="15.6" x14ac:dyDescent="0.3">
      <c r="A210" s="5" t="s">
        <v>389</v>
      </c>
      <c r="B210" s="5" t="s">
        <v>390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21"/>
    </row>
    <row r="211" spans="1:59" ht="15.6" x14ac:dyDescent="0.3">
      <c r="A211" s="5" t="s">
        <v>391</v>
      </c>
      <c r="B211" s="5" t="s">
        <v>392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21"/>
    </row>
    <row r="212" spans="1:59" ht="15.6" x14ac:dyDescent="0.3">
      <c r="A212" s="5" t="s">
        <v>393</v>
      </c>
      <c r="B212" s="5" t="s">
        <v>394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21"/>
    </row>
    <row r="213" spans="1:59" ht="15.6" x14ac:dyDescent="0.3">
      <c r="A213" s="5" t="s">
        <v>395</v>
      </c>
      <c r="B213" s="5" t="s">
        <v>396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21"/>
    </row>
    <row r="214" spans="1:59" ht="15.6" x14ac:dyDescent="0.3">
      <c r="A214" s="5" t="s">
        <v>353</v>
      </c>
      <c r="B214" s="5" t="s">
        <v>397</v>
      </c>
      <c r="C214" s="7">
        <v>6</v>
      </c>
      <c r="D214" s="7">
        <v>6</v>
      </c>
      <c r="E214" s="7">
        <v>1022.6369999999999</v>
      </c>
      <c r="F214" s="7">
        <v>139.44499999999999</v>
      </c>
      <c r="G214" s="7">
        <v>205.97800000000001</v>
      </c>
      <c r="H214" s="7">
        <v>2.9550000000000001</v>
      </c>
      <c r="I214" s="7">
        <v>35.268000000000001</v>
      </c>
      <c r="J214" s="7">
        <v>118.685</v>
      </c>
      <c r="K214" s="7">
        <v>1002.226</v>
      </c>
      <c r="L214" s="7">
        <v>93.343000000000004</v>
      </c>
      <c r="M214" s="7">
        <v>0</v>
      </c>
      <c r="N214" s="7">
        <v>466.10899999999998</v>
      </c>
      <c r="O214" s="7">
        <v>1109.819</v>
      </c>
      <c r="P214" s="7">
        <v>461.56099999999998</v>
      </c>
      <c r="Q214" s="7">
        <v>0</v>
      </c>
      <c r="R214" s="7">
        <v>0</v>
      </c>
      <c r="S214" s="7">
        <v>6.6559999999999997</v>
      </c>
      <c r="T214" s="7">
        <v>0</v>
      </c>
      <c r="U214" s="7">
        <v>0.20799999999999999</v>
      </c>
      <c r="V214" s="7">
        <v>0</v>
      </c>
      <c r="W214" s="7">
        <v>0</v>
      </c>
      <c r="X214" s="7">
        <v>0</v>
      </c>
      <c r="Y214" s="7">
        <v>0</v>
      </c>
      <c r="Z214" s="7">
        <v>16.510999999999999</v>
      </c>
      <c r="AA214" s="7">
        <v>51.817</v>
      </c>
      <c r="AB214" s="7">
        <v>0</v>
      </c>
      <c r="AC214" s="7">
        <v>411.89699999999999</v>
      </c>
      <c r="AD214" s="7">
        <v>0</v>
      </c>
      <c r="AE214" s="7">
        <v>143.53299999999999</v>
      </c>
      <c r="AF214" s="7">
        <v>0</v>
      </c>
      <c r="AG214" s="7">
        <v>25.29</v>
      </c>
      <c r="AH214" s="7">
        <v>0</v>
      </c>
      <c r="AI214" s="7">
        <v>1304.4949999999999</v>
      </c>
      <c r="AJ214" s="7">
        <v>0</v>
      </c>
      <c r="AK214" s="7">
        <v>0</v>
      </c>
      <c r="AL214" s="7">
        <v>2117.2049999999999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21"/>
    </row>
    <row r="215" spans="1:59" ht="15.6" x14ac:dyDescent="0.3">
      <c r="A215" s="5" t="s">
        <v>355</v>
      </c>
      <c r="B215" s="5" t="s">
        <v>398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21"/>
    </row>
    <row r="216" spans="1:59" ht="15.6" x14ac:dyDescent="0.3">
      <c r="A216" s="5" t="s">
        <v>357</v>
      </c>
      <c r="B216" s="5" t="s">
        <v>399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21"/>
    </row>
    <row r="217" spans="1:59" ht="15.6" x14ac:dyDescent="0.3">
      <c r="A217" s="5" t="s">
        <v>359</v>
      </c>
      <c r="B217" s="5" t="s">
        <v>400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21"/>
    </row>
    <row r="218" spans="1:59" ht="15.6" x14ac:dyDescent="0.3">
      <c r="A218" s="5" t="s">
        <v>361</v>
      </c>
      <c r="B218" s="5" t="s">
        <v>401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21"/>
    </row>
    <row r="219" spans="1:59" ht="15.6" x14ac:dyDescent="0.3">
      <c r="A219" s="5" t="s">
        <v>363</v>
      </c>
      <c r="B219" s="5" t="s">
        <v>402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-2E-3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21"/>
    </row>
    <row r="220" spans="1:59" ht="15.6" x14ac:dyDescent="0.3">
      <c r="A220" s="5" t="s">
        <v>365</v>
      </c>
      <c r="B220" s="5" t="s">
        <v>403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21"/>
    </row>
    <row r="221" spans="1:59" ht="15.6" x14ac:dyDescent="0.3">
      <c r="A221" s="5" t="s">
        <v>367</v>
      </c>
      <c r="B221" s="5" t="s">
        <v>404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21"/>
    </row>
    <row r="222" spans="1:59" ht="15.6" x14ac:dyDescent="0.3">
      <c r="A222" s="5" t="s">
        <v>369</v>
      </c>
      <c r="B222" s="5" t="s">
        <v>405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21"/>
    </row>
    <row r="223" spans="1:59" ht="15.6" x14ac:dyDescent="0.3">
      <c r="A223" s="5" t="s">
        <v>371</v>
      </c>
      <c r="B223" s="5" t="s">
        <v>406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21"/>
    </row>
    <row r="224" spans="1:59" ht="15.6" x14ac:dyDescent="0.3">
      <c r="A224" s="5" t="s">
        <v>373</v>
      </c>
      <c r="B224" s="5" t="s">
        <v>407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21"/>
    </row>
    <row r="225" spans="1:59" ht="15.6" x14ac:dyDescent="0.3">
      <c r="A225" s="5" t="s">
        <v>375</v>
      </c>
      <c r="B225" s="5" t="s">
        <v>408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21"/>
    </row>
    <row r="226" spans="1:59" ht="15.6" x14ac:dyDescent="0.3">
      <c r="A226" s="5" t="s">
        <v>377</v>
      </c>
      <c r="B226" s="5" t="s">
        <v>409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21"/>
    </row>
    <row r="227" spans="1:59" ht="15.6" x14ac:dyDescent="0.3">
      <c r="A227" s="5" t="s">
        <v>379</v>
      </c>
      <c r="B227" s="5" t="s">
        <v>410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21"/>
    </row>
    <row r="228" spans="1:59" ht="15.6" x14ac:dyDescent="0.3">
      <c r="A228" s="5" t="s">
        <v>381</v>
      </c>
      <c r="B228" s="5" t="s">
        <v>411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21"/>
    </row>
    <row r="229" spans="1:59" ht="15.6" x14ac:dyDescent="0.3">
      <c r="A229" s="5" t="s">
        <v>383</v>
      </c>
      <c r="B229" s="5" t="s">
        <v>412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21"/>
    </row>
    <row r="230" spans="1:59" ht="15.6" x14ac:dyDescent="0.3">
      <c r="A230" s="5" t="s">
        <v>385</v>
      </c>
      <c r="B230" s="5" t="s">
        <v>413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21"/>
    </row>
    <row r="231" spans="1:59" ht="15.6" x14ac:dyDescent="0.3">
      <c r="A231" s="5" t="s">
        <v>387</v>
      </c>
      <c r="B231" s="5" t="s">
        <v>414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21"/>
    </row>
    <row r="232" spans="1:59" ht="15.6" x14ac:dyDescent="0.3">
      <c r="A232" s="5" t="s">
        <v>389</v>
      </c>
      <c r="B232" s="5" t="s">
        <v>415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21"/>
    </row>
    <row r="233" spans="1:59" ht="15.6" x14ac:dyDescent="0.3">
      <c r="A233" s="5" t="s">
        <v>391</v>
      </c>
      <c r="B233" s="5" t="s">
        <v>416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21"/>
    </row>
    <row r="234" spans="1:59" ht="15.6" x14ac:dyDescent="0.3">
      <c r="A234" s="5" t="s">
        <v>393</v>
      </c>
      <c r="B234" s="5" t="s">
        <v>417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21"/>
    </row>
    <row r="235" spans="1:59" ht="15.6" x14ac:dyDescent="0.3">
      <c r="A235" s="5" t="s">
        <v>395</v>
      </c>
      <c r="B235" s="5" t="s">
        <v>418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21"/>
    </row>
    <row r="236" spans="1:59" ht="15.6" x14ac:dyDescent="0.3">
      <c r="A236" s="5" t="s">
        <v>419</v>
      </c>
      <c r="B236" s="5" t="s">
        <v>420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21"/>
    </row>
    <row r="237" spans="1:59" ht="15.6" x14ac:dyDescent="0.3">
      <c r="A237" s="5" t="s">
        <v>421</v>
      </c>
      <c r="B237" s="5" t="s">
        <v>422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21"/>
    </row>
    <row r="238" spans="1:59" ht="15.6" x14ac:dyDescent="0.3">
      <c r="A238" s="5" t="s">
        <v>423</v>
      </c>
      <c r="B238" s="5" t="s">
        <v>424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21"/>
    </row>
    <row r="239" spans="1:59" ht="15.6" x14ac:dyDescent="0.3">
      <c r="A239" s="5" t="s">
        <v>425</v>
      </c>
      <c r="B239" s="5" t="s">
        <v>426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21"/>
    </row>
    <row r="240" spans="1:59" ht="15.6" x14ac:dyDescent="0.3">
      <c r="A240" s="5" t="s">
        <v>427</v>
      </c>
      <c r="B240" s="5" t="s">
        <v>428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21"/>
    </row>
    <row r="241" spans="1:59" ht="15.6" x14ac:dyDescent="0.3">
      <c r="A241" s="5" t="s">
        <v>429</v>
      </c>
      <c r="B241" s="5" t="s">
        <v>430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21"/>
    </row>
    <row r="242" spans="1:59" ht="15.6" x14ac:dyDescent="0.3">
      <c r="A242" s="5" t="s">
        <v>431</v>
      </c>
      <c r="B242" s="5" t="s">
        <v>432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21"/>
    </row>
    <row r="243" spans="1:59" ht="15.6" x14ac:dyDescent="0.3">
      <c r="A243" s="5" t="s">
        <v>433</v>
      </c>
      <c r="B243" s="5" t="s">
        <v>434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21"/>
    </row>
    <row r="244" spans="1:59" ht="15.6" x14ac:dyDescent="0.3">
      <c r="A244" s="5" t="s">
        <v>435</v>
      </c>
      <c r="B244" s="5" t="s">
        <v>436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21"/>
    </row>
    <row r="245" spans="1:59" ht="15.6" x14ac:dyDescent="0.3">
      <c r="A245" s="5" t="s">
        <v>437</v>
      </c>
      <c r="B245" s="5" t="s">
        <v>438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21"/>
    </row>
    <row r="246" spans="1:59" ht="15.6" x14ac:dyDescent="0.3">
      <c r="A246" s="5" t="s">
        <v>439</v>
      </c>
      <c r="B246" s="5" t="s">
        <v>440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21"/>
    </row>
    <row r="247" spans="1:59" ht="15.6" x14ac:dyDescent="0.3">
      <c r="A247" s="5" t="s">
        <v>441</v>
      </c>
      <c r="B247" s="5" t="s">
        <v>442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21"/>
    </row>
    <row r="248" spans="1:59" ht="15.6" x14ac:dyDescent="0.3">
      <c r="A248" s="5" t="s">
        <v>443</v>
      </c>
      <c r="B248" s="5" t="s">
        <v>444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21"/>
    </row>
    <row r="249" spans="1:59" ht="15.6" x14ac:dyDescent="0.3">
      <c r="A249" s="5" t="s">
        <v>445</v>
      </c>
      <c r="B249" s="5" t="s">
        <v>446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21"/>
    </row>
    <row r="250" spans="1:59" ht="15.6" x14ac:dyDescent="0.3">
      <c r="A250" s="5" t="s">
        <v>447</v>
      </c>
      <c r="B250" s="5" t="s">
        <v>448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21"/>
    </row>
    <row r="251" spans="1:59" ht="15.6" x14ac:dyDescent="0.3">
      <c r="A251" s="5" t="s">
        <v>449</v>
      </c>
      <c r="B251" s="5" t="s">
        <v>450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21"/>
    </row>
    <row r="252" spans="1:59" ht="15.6" x14ac:dyDescent="0.3">
      <c r="A252" s="5" t="s">
        <v>451</v>
      </c>
      <c r="B252" s="5" t="s">
        <v>452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21"/>
    </row>
    <row r="253" spans="1:59" ht="15.6" x14ac:dyDescent="0.3">
      <c r="A253" s="5" t="s">
        <v>453</v>
      </c>
      <c r="B253" s="5" t="s">
        <v>454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21"/>
    </row>
    <row r="254" spans="1:59" ht="15.6" x14ac:dyDescent="0.3">
      <c r="A254" s="5" t="s">
        <v>455</v>
      </c>
      <c r="B254" s="5" t="s">
        <v>456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21"/>
    </row>
    <row r="255" spans="1:59" ht="15.6" x14ac:dyDescent="0.3">
      <c r="A255" s="5" t="s">
        <v>457</v>
      </c>
      <c r="B255" s="5" t="s">
        <v>458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21"/>
    </row>
    <row r="256" spans="1:59" ht="15.6" x14ac:dyDescent="0.3">
      <c r="A256" s="5" t="s">
        <v>459</v>
      </c>
      <c r="B256" s="5" t="s">
        <v>460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21"/>
    </row>
    <row r="257" spans="1:59" ht="15.6" x14ac:dyDescent="0.3">
      <c r="A257" s="5" t="s">
        <v>461</v>
      </c>
      <c r="B257" s="5" t="s">
        <v>462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527.58000000000004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413.947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21"/>
    </row>
    <row r="258" spans="1:59" ht="15.6" x14ac:dyDescent="0.3">
      <c r="A258" s="5" t="s">
        <v>419</v>
      </c>
      <c r="B258" s="5" t="s">
        <v>463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7.0000000000000001E-3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0.04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4.5999999999999999E-2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21"/>
    </row>
    <row r="259" spans="1:59" ht="15.6" x14ac:dyDescent="0.3">
      <c r="A259" s="5" t="s">
        <v>421</v>
      </c>
      <c r="B259" s="5" t="s">
        <v>464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21"/>
    </row>
    <row r="260" spans="1:59" ht="15.6" x14ac:dyDescent="0.3">
      <c r="A260" s="5" t="s">
        <v>423</v>
      </c>
      <c r="B260" s="5" t="s">
        <v>465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21"/>
    </row>
    <row r="261" spans="1:59" ht="15.6" x14ac:dyDescent="0.3">
      <c r="A261" s="5" t="s">
        <v>425</v>
      </c>
      <c r="B261" s="5" t="s">
        <v>466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21"/>
    </row>
    <row r="262" spans="1:59" ht="15.6" x14ac:dyDescent="0.3">
      <c r="A262" s="5" t="s">
        <v>427</v>
      </c>
      <c r="B262" s="5" t="s">
        <v>467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21"/>
    </row>
    <row r="263" spans="1:59" ht="15.6" x14ac:dyDescent="0.3">
      <c r="A263" s="5" t="s">
        <v>429</v>
      </c>
      <c r="B263" s="5" t="s">
        <v>468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21"/>
    </row>
    <row r="264" spans="1:59" ht="15.6" x14ac:dyDescent="0.3">
      <c r="A264" s="5" t="s">
        <v>431</v>
      </c>
      <c r="B264" s="5" t="s">
        <v>469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21"/>
    </row>
    <row r="265" spans="1:59" ht="15.6" x14ac:dyDescent="0.3">
      <c r="A265" s="5" t="s">
        <v>433</v>
      </c>
      <c r="B265" s="5" t="s">
        <v>470</v>
      </c>
      <c r="C265" s="7">
        <v>6</v>
      </c>
      <c r="D265" s="7">
        <v>6</v>
      </c>
      <c r="E265" s="7">
        <v>6064.0609999999997</v>
      </c>
      <c r="F265" s="7">
        <v>1791.4949999999999</v>
      </c>
      <c r="G265" s="7">
        <v>0</v>
      </c>
      <c r="H265" s="7">
        <v>0</v>
      </c>
      <c r="I265" s="7">
        <v>90.741</v>
      </c>
      <c r="J265" s="7">
        <v>0</v>
      </c>
      <c r="K265" s="7">
        <v>8161.0649999999996</v>
      </c>
      <c r="L265" s="7">
        <v>463.846</v>
      </c>
      <c r="M265" s="7">
        <v>0</v>
      </c>
      <c r="N265" s="7">
        <v>916.76599999999996</v>
      </c>
      <c r="O265" s="7">
        <v>21599.437000000002</v>
      </c>
      <c r="P265" s="7">
        <v>1095.434</v>
      </c>
      <c r="Q265" s="7">
        <v>0</v>
      </c>
      <c r="R265" s="7">
        <v>0</v>
      </c>
      <c r="S265" s="7">
        <v>0.94499999999999995</v>
      </c>
      <c r="T265" s="7">
        <v>0</v>
      </c>
      <c r="U265" s="7">
        <v>0</v>
      </c>
      <c r="V265" s="7">
        <v>446.93299999999999</v>
      </c>
      <c r="W265" s="7">
        <v>0</v>
      </c>
      <c r="X265" s="7">
        <v>0</v>
      </c>
      <c r="Y265" s="7">
        <v>0</v>
      </c>
      <c r="Z265" s="7">
        <v>0</v>
      </c>
      <c r="AA265" s="7">
        <v>122.03</v>
      </c>
      <c r="AB265" s="7">
        <v>0</v>
      </c>
      <c r="AC265" s="7">
        <v>3265.6840000000002</v>
      </c>
      <c r="AD265" s="7">
        <v>0</v>
      </c>
      <c r="AE265" s="7">
        <v>0</v>
      </c>
      <c r="AF265" s="7">
        <v>0</v>
      </c>
      <c r="AG265" s="7">
        <v>292.02600000000001</v>
      </c>
      <c r="AH265" s="7">
        <v>0</v>
      </c>
      <c r="AI265" s="7">
        <v>8153.1779999999999</v>
      </c>
      <c r="AJ265" s="7">
        <v>4311.9579999999996</v>
      </c>
      <c r="AK265" s="7">
        <v>0</v>
      </c>
      <c r="AL265" s="7">
        <v>26680.705000000002</v>
      </c>
      <c r="AM265" s="7">
        <v>8000.183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9.3539999999999992</v>
      </c>
      <c r="AV265" s="7">
        <v>0</v>
      </c>
      <c r="AW265" s="7">
        <v>0</v>
      </c>
      <c r="AX265" s="7">
        <v>1281.6199999999999</v>
      </c>
      <c r="AY265" s="7">
        <v>0</v>
      </c>
      <c r="AZ265" s="7">
        <v>4.9409999999999998</v>
      </c>
      <c r="BA265" s="7">
        <v>0</v>
      </c>
      <c r="BB265" s="7">
        <v>36.898000000000003</v>
      </c>
      <c r="BC265" s="7">
        <v>0</v>
      </c>
      <c r="BD265" s="7">
        <v>0</v>
      </c>
      <c r="BE265" s="7">
        <v>0</v>
      </c>
      <c r="BF265" s="7">
        <v>0</v>
      </c>
      <c r="BG265" s="21"/>
    </row>
    <row r="266" spans="1:59" ht="15.6" x14ac:dyDescent="0.3">
      <c r="A266" s="5" t="s">
        <v>435</v>
      </c>
      <c r="B266" s="5" t="s">
        <v>471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21"/>
    </row>
    <row r="267" spans="1:59" ht="15.6" x14ac:dyDescent="0.3">
      <c r="A267" s="5" t="s">
        <v>437</v>
      </c>
      <c r="B267" s="5" t="s">
        <v>472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21"/>
    </row>
    <row r="268" spans="1:59" ht="15.6" x14ac:dyDescent="0.3">
      <c r="A268" s="5" t="s">
        <v>439</v>
      </c>
      <c r="B268" s="5" t="s">
        <v>473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21"/>
    </row>
    <row r="269" spans="1:59" ht="15.6" x14ac:dyDescent="0.3">
      <c r="A269" s="5" t="s">
        <v>441</v>
      </c>
      <c r="B269" s="5" t="s">
        <v>474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21"/>
    </row>
    <row r="270" spans="1:59" ht="15.6" x14ac:dyDescent="0.3">
      <c r="A270" s="5" t="s">
        <v>443</v>
      </c>
      <c r="B270" s="5" t="s">
        <v>475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21"/>
    </row>
    <row r="271" spans="1:59" ht="15.6" x14ac:dyDescent="0.3">
      <c r="A271" s="5" t="s">
        <v>445</v>
      </c>
      <c r="B271" s="5" t="s">
        <v>476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21"/>
    </row>
    <row r="272" spans="1:59" ht="15.6" x14ac:dyDescent="0.3">
      <c r="A272" s="5" t="s">
        <v>447</v>
      </c>
      <c r="B272" s="5" t="s">
        <v>477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21"/>
    </row>
    <row r="273" spans="1:59" ht="15.6" x14ac:dyDescent="0.3">
      <c r="A273" s="5" t="s">
        <v>449</v>
      </c>
      <c r="B273" s="5" t="s">
        <v>478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21"/>
    </row>
    <row r="274" spans="1:59" ht="15.6" x14ac:dyDescent="0.3">
      <c r="A274" s="5" t="s">
        <v>451</v>
      </c>
      <c r="B274" s="5" t="s">
        <v>479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21"/>
    </row>
    <row r="275" spans="1:59" ht="15.6" x14ac:dyDescent="0.3">
      <c r="A275" s="5" t="s">
        <v>453</v>
      </c>
      <c r="B275" s="5" t="s">
        <v>480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21"/>
    </row>
    <row r="276" spans="1:59" ht="15.6" x14ac:dyDescent="0.3">
      <c r="A276" s="5" t="s">
        <v>455</v>
      </c>
      <c r="B276" s="5" t="s">
        <v>481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21"/>
    </row>
    <row r="277" spans="1:59" ht="15.6" x14ac:dyDescent="0.3">
      <c r="A277" s="5" t="s">
        <v>457</v>
      </c>
      <c r="B277" s="5" t="s">
        <v>482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21"/>
    </row>
    <row r="278" spans="1:59" ht="15.6" x14ac:dyDescent="0.3">
      <c r="A278" s="5" t="s">
        <v>459</v>
      </c>
      <c r="B278" s="5" t="s">
        <v>483</v>
      </c>
      <c r="C278" s="7">
        <v>6</v>
      </c>
      <c r="D278" s="7">
        <v>6</v>
      </c>
      <c r="E278" s="7">
        <v>2218.8560000000002</v>
      </c>
      <c r="F278" s="7">
        <v>2196.9839999999999</v>
      </c>
      <c r="G278" s="7">
        <v>217.09200000000001</v>
      </c>
      <c r="H278" s="7">
        <v>1012.085</v>
      </c>
      <c r="I278" s="7">
        <v>344.64600000000002</v>
      </c>
      <c r="J278" s="7">
        <v>1683.067</v>
      </c>
      <c r="K278" s="7">
        <v>39.058</v>
      </c>
      <c r="L278" s="7">
        <v>1157.912</v>
      </c>
      <c r="M278" s="7">
        <v>0</v>
      </c>
      <c r="N278" s="7">
        <v>3836.0619999999999</v>
      </c>
      <c r="O278" s="7">
        <v>7924.415</v>
      </c>
      <c r="P278" s="7">
        <v>3761.2869999999998</v>
      </c>
      <c r="Q278" s="7">
        <v>0</v>
      </c>
      <c r="R278" s="7">
        <v>0</v>
      </c>
      <c r="S278" s="7">
        <v>8.9999999999999993E-3</v>
      </c>
      <c r="T278" s="7">
        <v>0</v>
      </c>
      <c r="U278" s="7">
        <v>0</v>
      </c>
      <c r="V278" s="7">
        <v>875.43899999999996</v>
      </c>
      <c r="W278" s="7">
        <v>0</v>
      </c>
      <c r="X278" s="7">
        <v>0</v>
      </c>
      <c r="Y278" s="7">
        <v>0</v>
      </c>
      <c r="Z278" s="7">
        <v>154.428</v>
      </c>
      <c r="AA278" s="7">
        <v>376.87700000000001</v>
      </c>
      <c r="AB278" s="7">
        <v>0</v>
      </c>
      <c r="AC278" s="7">
        <v>21.35</v>
      </c>
      <c r="AD278" s="7">
        <v>0</v>
      </c>
      <c r="AE278" s="7">
        <v>3467.7330000000002</v>
      </c>
      <c r="AF278" s="7">
        <v>0</v>
      </c>
      <c r="AG278" s="7">
        <v>389.01499999999999</v>
      </c>
      <c r="AH278" s="7">
        <v>0</v>
      </c>
      <c r="AI278" s="7">
        <v>7.32</v>
      </c>
      <c r="AJ278" s="7">
        <v>41.537999999999997</v>
      </c>
      <c r="AK278" s="7">
        <v>0</v>
      </c>
      <c r="AL278" s="7">
        <v>17865.978999999999</v>
      </c>
      <c r="AM278" s="7">
        <v>70.856999999999999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43.878</v>
      </c>
      <c r="AV278" s="7">
        <v>0</v>
      </c>
      <c r="AW278" s="7">
        <v>0</v>
      </c>
      <c r="AX278" s="7">
        <v>5.8250000000000002</v>
      </c>
      <c r="AY278" s="7">
        <v>0</v>
      </c>
      <c r="AZ278" s="7">
        <v>3.1659999999999999</v>
      </c>
      <c r="BA278" s="7">
        <v>0</v>
      </c>
      <c r="BB278" s="7">
        <v>0.43099999999999999</v>
      </c>
      <c r="BC278" s="7">
        <v>0</v>
      </c>
      <c r="BD278" s="7">
        <v>0</v>
      </c>
      <c r="BE278" s="7">
        <v>2958.8389999999999</v>
      </c>
      <c r="BF278" s="7">
        <v>0</v>
      </c>
      <c r="BG278" s="21"/>
    </row>
    <row r="279" spans="1:59" ht="15.6" x14ac:dyDescent="0.3">
      <c r="A279" s="5" t="s">
        <v>461</v>
      </c>
      <c r="B279" s="5" t="s">
        <v>484</v>
      </c>
      <c r="C279" s="7">
        <v>6</v>
      </c>
      <c r="D279" s="7">
        <v>6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21"/>
    </row>
    <row r="280" spans="1:59" ht="15.6" x14ac:dyDescent="0.3">
      <c r="A280" s="5" t="s">
        <v>485</v>
      </c>
      <c r="B280" s="5" t="s">
        <v>486</v>
      </c>
      <c r="C280" s="7">
        <v>5</v>
      </c>
      <c r="D280" s="7">
        <v>5</v>
      </c>
      <c r="E280" s="7">
        <v>101659.11900000001</v>
      </c>
      <c r="F280" s="7">
        <v>0</v>
      </c>
      <c r="G280" s="7">
        <v>15646.921</v>
      </c>
      <c r="H280" s="7">
        <v>505.66399999999999</v>
      </c>
      <c r="I280" s="7">
        <v>0</v>
      </c>
      <c r="J280" s="7">
        <v>23684.098000000002</v>
      </c>
      <c r="K280" s="7">
        <v>136942.40299999999</v>
      </c>
      <c r="L280" s="7">
        <v>33367.78</v>
      </c>
      <c r="M280" s="7">
        <v>6675.2079999999996</v>
      </c>
      <c r="N280" s="7">
        <v>31355.531999999999</v>
      </c>
      <c r="O280" s="7">
        <v>196627.476</v>
      </c>
      <c r="P280" s="7">
        <v>94322.415999999997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0.44900000000000001</v>
      </c>
      <c r="Y280" s="7">
        <v>2164.9839999999999</v>
      </c>
      <c r="Z280" s="7">
        <v>474.81799999999998</v>
      </c>
      <c r="AA280" s="7">
        <v>3414.5059999999999</v>
      </c>
      <c r="AB280" s="7">
        <v>0</v>
      </c>
      <c r="AC280" s="7">
        <v>38687.258000000002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93621.244000000006</v>
      </c>
      <c r="AJ280" s="7">
        <v>13577.523999999999</v>
      </c>
      <c r="AK280" s="7">
        <v>2257.192</v>
      </c>
      <c r="AL280" s="7">
        <v>500184.30499999999</v>
      </c>
      <c r="AM280" s="7">
        <v>97674.357000000004</v>
      </c>
      <c r="AN280" s="7">
        <v>27.948</v>
      </c>
      <c r="AO280" s="7">
        <v>88.31</v>
      </c>
      <c r="AP280" s="7">
        <v>12.256</v>
      </c>
      <c r="AQ280" s="7">
        <v>0</v>
      </c>
      <c r="AR280" s="7">
        <v>117.009</v>
      </c>
      <c r="AS280" s="7">
        <v>590.06200000000001</v>
      </c>
      <c r="AT280" s="7">
        <v>645.78399999999999</v>
      </c>
      <c r="AU280" s="7">
        <v>0</v>
      </c>
      <c r="AV280" s="7">
        <v>0</v>
      </c>
      <c r="AW280" s="7">
        <v>0</v>
      </c>
      <c r="AX280" s="7">
        <v>2839.04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21"/>
    </row>
    <row r="281" spans="1:59" ht="15.6" x14ac:dyDescent="0.3">
      <c r="A281" s="5" t="s">
        <v>487</v>
      </c>
      <c r="B281" s="5" t="s">
        <v>488</v>
      </c>
      <c r="C281" s="7">
        <v>5</v>
      </c>
      <c r="D281" s="7">
        <v>5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21"/>
    </row>
    <row r="282" spans="1:59" ht="15.6" x14ac:dyDescent="0.3">
      <c r="A282" s="5" t="s">
        <v>489</v>
      </c>
      <c r="B282" s="5" t="s">
        <v>490</v>
      </c>
      <c r="C282" s="7">
        <v>5</v>
      </c>
      <c r="D282" s="7">
        <v>5</v>
      </c>
      <c r="E282" s="7">
        <v>12790.409</v>
      </c>
      <c r="F282" s="7">
        <v>1751.201</v>
      </c>
      <c r="G282" s="7">
        <v>2514.239</v>
      </c>
      <c r="H282" s="7">
        <v>0</v>
      </c>
      <c r="I282" s="7">
        <v>442.90600000000001</v>
      </c>
      <c r="J282" s="7">
        <v>1475.3389999999999</v>
      </c>
      <c r="K282" s="7">
        <v>12384.54</v>
      </c>
      <c r="L282" s="7">
        <v>1155.4780000000001</v>
      </c>
      <c r="M282" s="7">
        <v>0</v>
      </c>
      <c r="N282" s="7">
        <v>5765.3459999999995</v>
      </c>
      <c r="O282" s="7">
        <v>13794.984</v>
      </c>
      <c r="P282" s="7">
        <v>5687.2749999999996</v>
      </c>
      <c r="Q282" s="7">
        <v>0</v>
      </c>
      <c r="R282" s="7">
        <v>0</v>
      </c>
      <c r="S282" s="7">
        <v>83.585999999999999</v>
      </c>
      <c r="T282" s="7">
        <v>0</v>
      </c>
      <c r="U282" s="7">
        <v>2.6110000000000002</v>
      </c>
      <c r="V282" s="7">
        <v>0</v>
      </c>
      <c r="W282" s="7">
        <v>0</v>
      </c>
      <c r="X282" s="7">
        <v>0</v>
      </c>
      <c r="Y282" s="7">
        <v>0</v>
      </c>
      <c r="Z282" s="7">
        <v>207.35300000000001</v>
      </c>
      <c r="AA282" s="7">
        <v>650.74</v>
      </c>
      <c r="AB282" s="7">
        <v>0</v>
      </c>
      <c r="AC282" s="7">
        <v>5172.7629999999999</v>
      </c>
      <c r="AD282" s="7">
        <v>0</v>
      </c>
      <c r="AE282" s="7">
        <v>1802.55</v>
      </c>
      <c r="AF282" s="7">
        <v>0</v>
      </c>
      <c r="AG282" s="7">
        <v>317.60300000000001</v>
      </c>
      <c r="AH282" s="7">
        <v>0</v>
      </c>
      <c r="AI282" s="7">
        <v>16382.37</v>
      </c>
      <c r="AJ282" s="7">
        <v>0</v>
      </c>
      <c r="AK282" s="7">
        <v>0</v>
      </c>
      <c r="AL282" s="7">
        <v>26588.718000000001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21"/>
    </row>
    <row r="283" spans="1:59" ht="15.6" x14ac:dyDescent="0.3">
      <c r="A283" s="5" t="s">
        <v>491</v>
      </c>
      <c r="B283" s="5" t="s">
        <v>492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21"/>
    </row>
    <row r="284" spans="1:59" ht="15.6" x14ac:dyDescent="0.3">
      <c r="A284" s="5" t="s">
        <v>493</v>
      </c>
      <c r="B284" s="5" t="s">
        <v>494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21"/>
    </row>
    <row r="285" spans="1:59" ht="15.6" x14ac:dyDescent="0.3">
      <c r="A285" s="5" t="s">
        <v>495</v>
      </c>
      <c r="B285" s="5" t="s">
        <v>496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21"/>
    </row>
    <row r="286" spans="1:59" ht="15.6" x14ac:dyDescent="0.3">
      <c r="A286" s="5" t="s">
        <v>497</v>
      </c>
      <c r="B286" s="5" t="s">
        <v>498</v>
      </c>
      <c r="C286" s="7">
        <v>5</v>
      </c>
      <c r="D286" s="7">
        <v>5</v>
      </c>
      <c r="E286" s="7">
        <v>40114.553</v>
      </c>
      <c r="F286" s="7">
        <v>6017.6</v>
      </c>
      <c r="G286" s="7">
        <v>9716.9619999999995</v>
      </c>
      <c r="H286" s="7">
        <v>0</v>
      </c>
      <c r="I286" s="7">
        <v>1579.77</v>
      </c>
      <c r="J286" s="7">
        <v>5338.4390000000003</v>
      </c>
      <c r="K286" s="7">
        <v>56705.273999999998</v>
      </c>
      <c r="L286" s="7">
        <v>3823.8890000000001</v>
      </c>
      <c r="M286" s="7">
        <v>0</v>
      </c>
      <c r="N286" s="7">
        <v>21926.037</v>
      </c>
      <c r="O286" s="7">
        <v>59263.951999999997</v>
      </c>
      <c r="P286" s="7">
        <v>22999.764999999999</v>
      </c>
      <c r="Q286" s="7">
        <v>0</v>
      </c>
      <c r="R286" s="7">
        <v>0</v>
      </c>
      <c r="S286" s="7">
        <v>322.92899999999997</v>
      </c>
      <c r="T286" s="7">
        <v>0</v>
      </c>
      <c r="U286" s="7">
        <v>7.23</v>
      </c>
      <c r="V286" s="7">
        <v>0.157</v>
      </c>
      <c r="W286" s="7">
        <v>0</v>
      </c>
      <c r="X286" s="7">
        <v>0</v>
      </c>
      <c r="Y286" s="7">
        <v>0</v>
      </c>
      <c r="Z286" s="7">
        <v>574.17700000000002</v>
      </c>
      <c r="AA286" s="7">
        <v>1801.894</v>
      </c>
      <c r="AB286" s="7">
        <v>0</v>
      </c>
      <c r="AC286" s="7">
        <v>15508.391</v>
      </c>
      <c r="AD286" s="7">
        <v>0</v>
      </c>
      <c r="AE286" s="7">
        <v>4991.317</v>
      </c>
      <c r="AF286" s="7">
        <v>0</v>
      </c>
      <c r="AG286" s="7">
        <v>879.42899999999997</v>
      </c>
      <c r="AH286" s="7">
        <v>0</v>
      </c>
      <c r="AI286" s="7">
        <v>50076.864000000001</v>
      </c>
      <c r="AJ286" s="7">
        <v>0</v>
      </c>
      <c r="AK286" s="7">
        <v>0</v>
      </c>
      <c r="AL286" s="7">
        <v>91007.327000000005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3.0000000000000001E-3</v>
      </c>
      <c r="AV286" s="7">
        <v>0</v>
      </c>
      <c r="AW286" s="7">
        <v>0</v>
      </c>
      <c r="AX286" s="7">
        <v>0</v>
      </c>
      <c r="AY286" s="7">
        <v>0</v>
      </c>
      <c r="AZ286" s="7">
        <v>2E-3</v>
      </c>
      <c r="BA286" s="7">
        <v>0</v>
      </c>
      <c r="BB286" s="7">
        <v>4.3999999999999997E-2</v>
      </c>
      <c r="BC286" s="7">
        <v>0</v>
      </c>
      <c r="BD286" s="7">
        <v>0</v>
      </c>
      <c r="BE286" s="7">
        <v>0</v>
      </c>
      <c r="BF286" s="7">
        <v>0</v>
      </c>
      <c r="BG286" s="21"/>
    </row>
    <row r="287" spans="1:59" ht="15.6" x14ac:dyDescent="0.3">
      <c r="A287" s="5" t="s">
        <v>499</v>
      </c>
      <c r="B287" s="5" t="s">
        <v>500</v>
      </c>
      <c r="C287" s="7">
        <v>5</v>
      </c>
      <c r="D287" s="7">
        <v>5</v>
      </c>
      <c r="E287" s="7">
        <v>124269.605</v>
      </c>
      <c r="F287" s="7">
        <v>19063.786</v>
      </c>
      <c r="G287" s="7">
        <v>28482.064999999999</v>
      </c>
      <c r="H287" s="7">
        <v>14590.454</v>
      </c>
      <c r="I287" s="7">
        <v>5017.2730000000001</v>
      </c>
      <c r="J287" s="7">
        <v>16264.412</v>
      </c>
      <c r="K287" s="7">
        <v>134343.122</v>
      </c>
      <c r="L287" s="7">
        <v>12151.953</v>
      </c>
      <c r="M287" s="7">
        <v>0</v>
      </c>
      <c r="N287" s="7">
        <v>62126.345999999998</v>
      </c>
      <c r="O287" s="7">
        <v>147263.533</v>
      </c>
      <c r="P287" s="7">
        <v>64186.370999999999</v>
      </c>
      <c r="Q287" s="7">
        <v>0</v>
      </c>
      <c r="R287" s="7">
        <v>0</v>
      </c>
      <c r="S287" s="7">
        <v>940.81200000000001</v>
      </c>
      <c r="T287" s="7">
        <v>0</v>
      </c>
      <c r="U287" s="7">
        <v>108.139</v>
      </c>
      <c r="V287" s="7">
        <v>0</v>
      </c>
      <c r="W287" s="7">
        <v>0</v>
      </c>
      <c r="X287" s="7">
        <v>0</v>
      </c>
      <c r="Y287" s="7">
        <v>0</v>
      </c>
      <c r="Z287" s="7">
        <v>1901.0650000000001</v>
      </c>
      <c r="AA287" s="7">
        <v>6053.3919999999998</v>
      </c>
      <c r="AB287" s="7">
        <v>0</v>
      </c>
      <c r="AC287" s="7">
        <v>47774.17</v>
      </c>
      <c r="AD287" s="7">
        <v>0</v>
      </c>
      <c r="AE287" s="7">
        <v>16802.996999999999</v>
      </c>
      <c r="AF287" s="7">
        <v>0</v>
      </c>
      <c r="AG287" s="7">
        <v>2911.8649999999998</v>
      </c>
      <c r="AH287" s="7">
        <v>0</v>
      </c>
      <c r="AI287" s="7">
        <v>152334.769</v>
      </c>
      <c r="AJ287" s="7">
        <v>0</v>
      </c>
      <c r="AK287" s="7">
        <v>0</v>
      </c>
      <c r="AL287" s="7">
        <v>253573.47200000001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78.346000000000004</v>
      </c>
      <c r="BC287" s="7">
        <v>0</v>
      </c>
      <c r="BD287" s="7">
        <v>0</v>
      </c>
      <c r="BE287" s="7">
        <v>0</v>
      </c>
      <c r="BF287" s="7">
        <v>0</v>
      </c>
      <c r="BG287" s="21"/>
    </row>
    <row r="288" spans="1:59" ht="15.6" x14ac:dyDescent="0.3">
      <c r="A288" s="5" t="s">
        <v>501</v>
      </c>
      <c r="B288" s="5" t="s">
        <v>502</v>
      </c>
      <c r="C288" s="7">
        <v>5</v>
      </c>
      <c r="D288" s="7">
        <v>5</v>
      </c>
      <c r="E288" s="7">
        <v>1321.8779999999999</v>
      </c>
      <c r="F288" s="7">
        <v>0</v>
      </c>
      <c r="G288" s="7">
        <v>65.953999999999994</v>
      </c>
      <c r="H288" s="7">
        <v>0</v>
      </c>
      <c r="I288" s="7">
        <v>0</v>
      </c>
      <c r="J288" s="7">
        <v>37.140999999999998</v>
      </c>
      <c r="K288" s="7">
        <v>3260.4279999999999</v>
      </c>
      <c r="L288" s="7">
        <v>91.730999999999995</v>
      </c>
      <c r="M288" s="7">
        <v>0</v>
      </c>
      <c r="N288" s="7">
        <v>915.28499999999997</v>
      </c>
      <c r="O288" s="7">
        <v>6493.1670000000004</v>
      </c>
      <c r="P288" s="7">
        <v>275.7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2355.9769999999999</v>
      </c>
      <c r="AD288" s="7">
        <v>0</v>
      </c>
      <c r="AE288" s="7">
        <v>27.042000000000002</v>
      </c>
      <c r="AF288" s="7">
        <v>0</v>
      </c>
      <c r="AG288" s="7">
        <v>0</v>
      </c>
      <c r="AH288" s="7">
        <v>0</v>
      </c>
      <c r="AI288" s="7">
        <v>4768.7700000000004</v>
      </c>
      <c r="AJ288" s="7">
        <v>0</v>
      </c>
      <c r="AK288" s="7">
        <v>0</v>
      </c>
      <c r="AL288" s="7">
        <v>8296.98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21"/>
    </row>
    <row r="289" spans="1:59" ht="15.6" x14ac:dyDescent="0.3">
      <c r="A289" s="5" t="s">
        <v>503</v>
      </c>
      <c r="B289" s="5" t="s">
        <v>504</v>
      </c>
      <c r="C289" s="7">
        <v>5</v>
      </c>
      <c r="D289" s="7">
        <v>5</v>
      </c>
      <c r="E289" s="7">
        <v>32271.512999999999</v>
      </c>
      <c r="F289" s="7">
        <v>4151.66</v>
      </c>
      <c r="G289" s="7">
        <v>5960.63</v>
      </c>
      <c r="H289" s="7">
        <v>103.988</v>
      </c>
      <c r="I289" s="7">
        <v>1050.019</v>
      </c>
      <c r="J289" s="7">
        <v>3497.66</v>
      </c>
      <c r="K289" s="7">
        <v>31988.062000000002</v>
      </c>
      <c r="L289" s="7">
        <v>2739.35</v>
      </c>
      <c r="M289" s="7">
        <v>0</v>
      </c>
      <c r="N289" s="7">
        <v>15101.630999999999</v>
      </c>
      <c r="O289" s="7">
        <v>39914.328999999998</v>
      </c>
      <c r="P289" s="7">
        <v>14610.612999999999</v>
      </c>
      <c r="Q289" s="7">
        <v>0</v>
      </c>
      <c r="R289" s="7">
        <v>0</v>
      </c>
      <c r="S289" s="7">
        <v>198.161</v>
      </c>
      <c r="T289" s="7">
        <v>0</v>
      </c>
      <c r="U289" s="7">
        <v>6.19</v>
      </c>
      <c r="V289" s="7">
        <v>0</v>
      </c>
      <c r="W289" s="7">
        <v>0</v>
      </c>
      <c r="X289" s="7">
        <v>0</v>
      </c>
      <c r="Y289" s="7">
        <v>0</v>
      </c>
      <c r="Z289" s="7">
        <v>491.58199999999999</v>
      </c>
      <c r="AA289" s="7">
        <v>1542.742</v>
      </c>
      <c r="AB289" s="7">
        <v>0</v>
      </c>
      <c r="AC289" s="7">
        <v>14890.744000000001</v>
      </c>
      <c r="AD289" s="7">
        <v>0</v>
      </c>
      <c r="AE289" s="7">
        <v>4273.3959999999997</v>
      </c>
      <c r="AF289" s="7">
        <v>0</v>
      </c>
      <c r="AG289" s="7">
        <v>752.95699999999999</v>
      </c>
      <c r="AH289" s="7">
        <v>0</v>
      </c>
      <c r="AI289" s="7">
        <v>44083.983999999997</v>
      </c>
      <c r="AJ289" s="7">
        <v>0</v>
      </c>
      <c r="AK289" s="7">
        <v>0</v>
      </c>
      <c r="AL289" s="7">
        <v>72408.356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21"/>
    </row>
    <row r="290" spans="1:59" ht="15.6" x14ac:dyDescent="0.3">
      <c r="A290" s="5" t="s">
        <v>505</v>
      </c>
      <c r="B290" s="5" t="s">
        <v>506</v>
      </c>
      <c r="C290" s="7">
        <v>5</v>
      </c>
      <c r="D290" s="7">
        <v>5</v>
      </c>
      <c r="E290" s="7">
        <v>24717.100999999999</v>
      </c>
      <c r="F290" s="7">
        <v>1141.444</v>
      </c>
      <c r="G290" s="7">
        <v>1638.797</v>
      </c>
      <c r="H290" s="7">
        <v>3793.6759999999999</v>
      </c>
      <c r="I290" s="7">
        <v>288.68900000000002</v>
      </c>
      <c r="J290" s="7">
        <v>961.63499999999999</v>
      </c>
      <c r="K290" s="7">
        <v>28358.039000000001</v>
      </c>
      <c r="L290" s="7">
        <v>753.14800000000002</v>
      </c>
      <c r="M290" s="7">
        <v>0</v>
      </c>
      <c r="N290" s="7">
        <v>11773.485000000001</v>
      </c>
      <c r="O290" s="7">
        <v>50872.175999999999</v>
      </c>
      <c r="P290" s="7">
        <v>10483.673000000001</v>
      </c>
      <c r="Q290" s="7">
        <v>0</v>
      </c>
      <c r="R290" s="7">
        <v>0</v>
      </c>
      <c r="S290" s="7">
        <v>54.481999999999999</v>
      </c>
      <c r="T290" s="7">
        <v>0</v>
      </c>
      <c r="U290" s="7">
        <v>1.702</v>
      </c>
      <c r="V290" s="7">
        <v>0</v>
      </c>
      <c r="W290" s="7">
        <v>0</v>
      </c>
      <c r="X290" s="7">
        <v>0</v>
      </c>
      <c r="Y290" s="7">
        <v>0</v>
      </c>
      <c r="Z290" s="7">
        <v>135.154</v>
      </c>
      <c r="AA290" s="7">
        <v>424.15699999999998</v>
      </c>
      <c r="AB290" s="7">
        <v>0</v>
      </c>
      <c r="AC290" s="7">
        <v>14945.679</v>
      </c>
      <c r="AD290" s="7">
        <v>0</v>
      </c>
      <c r="AE290" s="7">
        <v>1174.914</v>
      </c>
      <c r="AF290" s="7">
        <v>0</v>
      </c>
      <c r="AG290" s="7">
        <v>207.01599999999999</v>
      </c>
      <c r="AH290" s="7">
        <v>0</v>
      </c>
      <c r="AI290" s="7">
        <v>47634.514999999999</v>
      </c>
      <c r="AJ290" s="7">
        <v>0</v>
      </c>
      <c r="AK290" s="7">
        <v>0</v>
      </c>
      <c r="AL290" s="7">
        <v>78987.891000000003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21"/>
    </row>
    <row r="291" spans="1:59" ht="15.6" x14ac:dyDescent="0.3">
      <c r="A291" s="5" t="s">
        <v>507</v>
      </c>
      <c r="B291" s="5" t="s">
        <v>508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21"/>
    </row>
    <row r="292" spans="1:59" ht="15.6" x14ac:dyDescent="0.3">
      <c r="A292" s="5" t="s">
        <v>509</v>
      </c>
      <c r="B292" s="5" t="s">
        <v>510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21"/>
    </row>
    <row r="293" spans="1:59" ht="15.6" x14ac:dyDescent="0.3">
      <c r="A293" s="5" t="s">
        <v>511</v>
      </c>
      <c r="B293" s="5" t="s">
        <v>512</v>
      </c>
      <c r="C293" s="7">
        <v>5</v>
      </c>
      <c r="D293" s="7">
        <v>5</v>
      </c>
      <c r="E293" s="7">
        <v>174738.351</v>
      </c>
      <c r="F293" s="7">
        <v>20596.222000000002</v>
      </c>
      <c r="G293" s="7">
        <v>29429.428</v>
      </c>
      <c r="H293" s="7">
        <v>0</v>
      </c>
      <c r="I293" s="7">
        <v>4782.7619999999997</v>
      </c>
      <c r="J293" s="7">
        <v>17918.935000000001</v>
      </c>
      <c r="K293" s="7">
        <v>141715.29800000001</v>
      </c>
      <c r="L293" s="7">
        <v>14230.257</v>
      </c>
      <c r="M293" s="7">
        <v>0</v>
      </c>
      <c r="N293" s="7">
        <v>68919.625</v>
      </c>
      <c r="O293" s="7">
        <v>167969.345</v>
      </c>
      <c r="P293" s="7">
        <v>65283.000999999997</v>
      </c>
      <c r="Q293" s="7">
        <v>0</v>
      </c>
      <c r="R293" s="7">
        <v>0</v>
      </c>
      <c r="S293" s="7">
        <v>908.18100000000004</v>
      </c>
      <c r="T293" s="7">
        <v>0</v>
      </c>
      <c r="U293" s="7">
        <v>57.273000000000003</v>
      </c>
      <c r="V293" s="7">
        <v>0</v>
      </c>
      <c r="W293" s="7">
        <v>0</v>
      </c>
      <c r="X293" s="7">
        <v>0</v>
      </c>
      <c r="Y293" s="7">
        <v>0</v>
      </c>
      <c r="Z293" s="7">
        <v>2921.8180000000002</v>
      </c>
      <c r="AA293" s="7">
        <v>9243.2790000000005</v>
      </c>
      <c r="AB293" s="7">
        <v>0</v>
      </c>
      <c r="AC293" s="7">
        <v>75051.962</v>
      </c>
      <c r="AD293" s="7">
        <v>0</v>
      </c>
      <c r="AE293" s="7">
        <v>26908.883999999998</v>
      </c>
      <c r="AF293" s="7">
        <v>0</v>
      </c>
      <c r="AG293" s="7">
        <v>4702.1959999999999</v>
      </c>
      <c r="AH293" s="7">
        <v>0</v>
      </c>
      <c r="AI293" s="7">
        <v>231303.48800000001</v>
      </c>
      <c r="AJ293" s="7">
        <v>0</v>
      </c>
      <c r="AK293" s="7">
        <v>0</v>
      </c>
      <c r="AL293" s="7">
        <v>372576.26400000002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21"/>
    </row>
    <row r="294" spans="1:59" ht="15.6" x14ac:dyDescent="0.3">
      <c r="A294" s="5" t="s">
        <v>513</v>
      </c>
      <c r="B294" s="5" t="s">
        <v>514</v>
      </c>
      <c r="C294" s="7">
        <v>5</v>
      </c>
      <c r="D294" s="7">
        <v>5</v>
      </c>
      <c r="E294" s="7">
        <v>11615.575000000001</v>
      </c>
      <c r="F294" s="7">
        <v>383.714</v>
      </c>
      <c r="G294" s="7">
        <v>530.25699999999995</v>
      </c>
      <c r="H294" s="7">
        <v>0</v>
      </c>
      <c r="I294" s="7">
        <v>34.619999999999997</v>
      </c>
      <c r="J294" s="7">
        <v>406.31799999999998</v>
      </c>
      <c r="K294" s="7">
        <v>1803.3340000000001</v>
      </c>
      <c r="L294" s="7">
        <v>2355.145</v>
      </c>
      <c r="M294" s="7">
        <v>0</v>
      </c>
      <c r="N294" s="7">
        <v>6580.4660000000003</v>
      </c>
      <c r="O294" s="7">
        <v>23057.757000000001</v>
      </c>
      <c r="P294" s="7">
        <v>2491.21</v>
      </c>
      <c r="Q294" s="7">
        <v>0</v>
      </c>
      <c r="R294" s="7">
        <v>0</v>
      </c>
      <c r="S294" s="7">
        <v>7.3490000000000002</v>
      </c>
      <c r="T294" s="7">
        <v>0</v>
      </c>
      <c r="U294" s="7">
        <v>4.4610000000000003</v>
      </c>
      <c r="V294" s="7">
        <v>0</v>
      </c>
      <c r="W294" s="7">
        <v>0</v>
      </c>
      <c r="X294" s="7">
        <v>0</v>
      </c>
      <c r="Y294" s="7">
        <v>0</v>
      </c>
      <c r="Z294" s="7">
        <v>116.172</v>
      </c>
      <c r="AA294" s="7">
        <v>375.37200000000001</v>
      </c>
      <c r="AB294" s="7">
        <v>0</v>
      </c>
      <c r="AC294" s="7">
        <v>3091.81</v>
      </c>
      <c r="AD294" s="7">
        <v>0</v>
      </c>
      <c r="AE294" s="7">
        <v>1230.867</v>
      </c>
      <c r="AF294" s="7">
        <v>0</v>
      </c>
      <c r="AG294" s="7">
        <v>211.15600000000001</v>
      </c>
      <c r="AH294" s="7">
        <v>0</v>
      </c>
      <c r="AI294" s="7">
        <v>11260.700999999999</v>
      </c>
      <c r="AJ294" s="7">
        <v>0</v>
      </c>
      <c r="AK294" s="7">
        <v>0</v>
      </c>
      <c r="AL294" s="7">
        <v>26834.284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21"/>
    </row>
    <row r="295" spans="1:59" ht="15.6" x14ac:dyDescent="0.3">
      <c r="A295" s="5" t="s">
        <v>515</v>
      </c>
      <c r="B295" s="5" t="s">
        <v>516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21"/>
    </row>
    <row r="296" spans="1:59" ht="15.6" x14ac:dyDescent="0.3">
      <c r="A296" s="5" t="s">
        <v>517</v>
      </c>
      <c r="B296" s="5" t="s">
        <v>518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21"/>
    </row>
    <row r="297" spans="1:59" ht="15.6" x14ac:dyDescent="0.3">
      <c r="A297" s="5" t="s">
        <v>519</v>
      </c>
      <c r="B297" s="5" t="s">
        <v>520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21"/>
    </row>
    <row r="298" spans="1:59" ht="15.6" x14ac:dyDescent="0.3">
      <c r="A298" s="5" t="s">
        <v>521</v>
      </c>
      <c r="B298" s="5" t="s">
        <v>522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21"/>
    </row>
    <row r="299" spans="1:59" ht="15.6" x14ac:dyDescent="0.3">
      <c r="A299" s="5" t="s">
        <v>523</v>
      </c>
      <c r="B299" s="5" t="s">
        <v>524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21"/>
    </row>
    <row r="300" spans="1:59" ht="15.6" x14ac:dyDescent="0.3">
      <c r="A300" s="5" t="s">
        <v>525</v>
      </c>
      <c r="B300" s="5" t="s">
        <v>526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21"/>
    </row>
    <row r="301" spans="1:59" ht="15.6" x14ac:dyDescent="0.3">
      <c r="A301" s="5" t="s">
        <v>527</v>
      </c>
      <c r="B301" s="5" t="s">
        <v>528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21"/>
    </row>
    <row r="302" spans="1:59" ht="15.6" x14ac:dyDescent="0.3">
      <c r="A302" s="5" t="s">
        <v>529</v>
      </c>
      <c r="B302" s="5" t="s">
        <v>530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21"/>
    </row>
    <row r="303" spans="1:59" ht="15.6" x14ac:dyDescent="0.3">
      <c r="A303" s="5" t="s">
        <v>531</v>
      </c>
      <c r="B303" s="5" t="s">
        <v>532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21"/>
    </row>
    <row r="304" spans="1:59" ht="15.6" x14ac:dyDescent="0.3">
      <c r="A304" s="5" t="s">
        <v>533</v>
      </c>
      <c r="B304" s="5" t="s">
        <v>534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21"/>
    </row>
    <row r="305" spans="1:59" ht="15.6" x14ac:dyDescent="0.3">
      <c r="A305" s="5" t="s">
        <v>535</v>
      </c>
      <c r="B305" s="5" t="s">
        <v>536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21"/>
    </row>
    <row r="306" spans="1:59" ht="15.6" x14ac:dyDescent="0.3">
      <c r="A306" s="5" t="s">
        <v>537</v>
      </c>
      <c r="B306" s="5" t="s">
        <v>538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21"/>
    </row>
    <row r="307" spans="1:59" ht="15.6" x14ac:dyDescent="0.3">
      <c r="A307" s="5" t="s">
        <v>539</v>
      </c>
      <c r="B307" s="5" t="s">
        <v>540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21"/>
    </row>
    <row r="308" spans="1:59" ht="15.6" x14ac:dyDescent="0.3">
      <c r="A308" s="5" t="s">
        <v>541</v>
      </c>
      <c r="B308" s="5" t="s">
        <v>542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21"/>
    </row>
    <row r="309" spans="1:59" ht="15.6" x14ac:dyDescent="0.3">
      <c r="A309" s="5" t="s">
        <v>543</v>
      </c>
      <c r="B309" s="5" t="s">
        <v>544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21"/>
    </row>
    <row r="310" spans="1:59" ht="15.6" x14ac:dyDescent="0.3">
      <c r="A310" s="5" t="s">
        <v>545</v>
      </c>
      <c r="B310" s="5" t="s">
        <v>546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21"/>
    </row>
    <row r="311" spans="1:59" ht="15.6" x14ac:dyDescent="0.3">
      <c r="A311" s="5" t="s">
        <v>547</v>
      </c>
      <c r="B311" s="5" t="s">
        <v>548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21"/>
    </row>
    <row r="312" spans="1:59" ht="15.6" x14ac:dyDescent="0.3">
      <c r="A312" s="5" t="s">
        <v>549</v>
      </c>
      <c r="B312" s="5" t="s">
        <v>550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21"/>
    </row>
    <row r="313" spans="1:59" ht="15.6" x14ac:dyDescent="0.3">
      <c r="A313" s="5" t="s">
        <v>551</v>
      </c>
      <c r="B313" s="5" t="s">
        <v>552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21"/>
    </row>
    <row r="314" spans="1:59" ht="15.6" x14ac:dyDescent="0.3">
      <c r="A314" s="5" t="s">
        <v>553</v>
      </c>
      <c r="B314" s="5" t="s">
        <v>554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21"/>
    </row>
    <row r="315" spans="1:59" ht="15.6" x14ac:dyDescent="0.3">
      <c r="A315" s="5" t="s">
        <v>555</v>
      </c>
      <c r="B315" s="5" t="s">
        <v>556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21"/>
    </row>
    <row r="316" spans="1:59" ht="15.6" x14ac:dyDescent="0.3">
      <c r="A316" s="5" t="s">
        <v>557</v>
      </c>
      <c r="B316" s="5" t="s">
        <v>558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21"/>
    </row>
    <row r="317" spans="1:59" ht="15.6" x14ac:dyDescent="0.3">
      <c r="A317" s="5" t="s">
        <v>559</v>
      </c>
      <c r="B317" s="5" t="s">
        <v>560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21"/>
    </row>
    <row r="318" spans="1:59" ht="15.6" x14ac:dyDescent="0.3">
      <c r="A318" s="5" t="s">
        <v>561</v>
      </c>
      <c r="B318" s="5" t="s">
        <v>562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21"/>
    </row>
    <row r="319" spans="1:59" ht="15.6" x14ac:dyDescent="0.3">
      <c r="A319" s="5" t="s">
        <v>563</v>
      </c>
      <c r="B319" s="5" t="s">
        <v>564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21"/>
    </row>
    <row r="320" spans="1:59" ht="15.6" x14ac:dyDescent="0.3">
      <c r="A320" s="5" t="s">
        <v>565</v>
      </c>
      <c r="B320" s="5" t="s">
        <v>566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21"/>
    </row>
    <row r="321" spans="1:59" ht="15.6" x14ac:dyDescent="0.3">
      <c r="A321" s="5" t="s">
        <v>567</v>
      </c>
      <c r="B321" s="5" t="s">
        <v>568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21"/>
    </row>
    <row r="322" spans="1:59" ht="15.6" x14ac:dyDescent="0.3">
      <c r="A322" s="5" t="s">
        <v>569</v>
      </c>
      <c r="B322" s="5" t="s">
        <v>570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21"/>
    </row>
    <row r="323" spans="1:59" ht="15.6" x14ac:dyDescent="0.3">
      <c r="A323" s="5" t="s">
        <v>571</v>
      </c>
      <c r="B323" s="5" t="s">
        <v>572</v>
      </c>
      <c r="C323" s="7">
        <v>5</v>
      </c>
      <c r="D323" s="7">
        <v>5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0</v>
      </c>
      <c r="BC323" s="7">
        <v>0</v>
      </c>
      <c r="BD323" s="7">
        <v>0</v>
      </c>
      <c r="BE323" s="7">
        <v>0</v>
      </c>
      <c r="BF323" s="7">
        <v>0</v>
      </c>
      <c r="BG323" s="21"/>
    </row>
    <row r="324" spans="1:59" ht="15.6" x14ac:dyDescent="0.3">
      <c r="A324" s="5" t="s">
        <v>573</v>
      </c>
      <c r="B324" s="5" t="s">
        <v>574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21"/>
    </row>
    <row r="325" spans="1:59" ht="15.6" x14ac:dyDescent="0.3">
      <c r="A325" s="5" t="s">
        <v>575</v>
      </c>
      <c r="B325" s="5" t="s">
        <v>576</v>
      </c>
      <c r="C325" s="7">
        <v>6</v>
      </c>
      <c r="D325" s="7">
        <v>6</v>
      </c>
      <c r="E325" s="7">
        <v>71.510999999999996</v>
      </c>
      <c r="F325" s="7">
        <v>0</v>
      </c>
      <c r="G325" s="7">
        <v>0</v>
      </c>
      <c r="H325" s="7">
        <v>0</v>
      </c>
      <c r="I325" s="7">
        <v>100.851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10627.398999999999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7">
        <v>0</v>
      </c>
      <c r="BG325" s="21"/>
    </row>
    <row r="326" spans="1:59" ht="15.6" x14ac:dyDescent="0.3">
      <c r="A326" s="5" t="s">
        <v>577</v>
      </c>
      <c r="B326" s="5" t="s">
        <v>578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21"/>
    </row>
    <row r="327" spans="1:59" ht="15.6" x14ac:dyDescent="0.3">
      <c r="A327" s="5" t="s">
        <v>579</v>
      </c>
      <c r="B327" s="5" t="s">
        <v>580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21"/>
    </row>
    <row r="328" spans="1:59" ht="15.6" x14ac:dyDescent="0.3">
      <c r="A328" s="5" t="s">
        <v>581</v>
      </c>
      <c r="B328" s="5" t="s">
        <v>582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21"/>
    </row>
    <row r="329" spans="1:59" ht="15.6" x14ac:dyDescent="0.3">
      <c r="A329" s="5" t="s">
        <v>583</v>
      </c>
      <c r="B329" s="5" t="s">
        <v>584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21"/>
    </row>
    <row r="330" spans="1:59" ht="15.6" x14ac:dyDescent="0.3">
      <c r="A330" s="5" t="s">
        <v>585</v>
      </c>
      <c r="B330" s="5" t="s">
        <v>586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21"/>
    </row>
    <row r="331" spans="1:59" ht="15.6" x14ac:dyDescent="0.3">
      <c r="A331" s="5" t="s">
        <v>587</v>
      </c>
      <c r="B331" s="5" t="s">
        <v>588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21"/>
    </row>
    <row r="332" spans="1:59" ht="15.6" x14ac:dyDescent="0.3">
      <c r="A332" s="5" t="s">
        <v>589</v>
      </c>
      <c r="B332" s="5" t="s">
        <v>590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21"/>
    </row>
    <row r="333" spans="1:59" ht="15.6" x14ac:dyDescent="0.3">
      <c r="A333" s="5" t="s">
        <v>591</v>
      </c>
      <c r="B333" s="5" t="s">
        <v>592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21"/>
    </row>
    <row r="334" spans="1:59" ht="15.6" x14ac:dyDescent="0.3">
      <c r="A334" s="5" t="s">
        <v>593</v>
      </c>
      <c r="B334" s="5" t="s">
        <v>594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21"/>
    </row>
    <row r="335" spans="1:59" ht="15.6" x14ac:dyDescent="0.3">
      <c r="A335" s="5" t="s">
        <v>595</v>
      </c>
      <c r="B335" s="5" t="s">
        <v>596</v>
      </c>
      <c r="C335" s="7">
        <v>6</v>
      </c>
      <c r="D335" s="7">
        <v>6</v>
      </c>
      <c r="E335" s="7">
        <v>9345.9639999999999</v>
      </c>
      <c r="F335" s="7">
        <v>1910.117</v>
      </c>
      <c r="G335" s="7">
        <v>2635.299</v>
      </c>
      <c r="H335" s="7">
        <v>2394.3589999999999</v>
      </c>
      <c r="I335" s="7">
        <v>339.76100000000002</v>
      </c>
      <c r="J335" s="7">
        <v>2367.7370000000001</v>
      </c>
      <c r="K335" s="7">
        <v>6426.2640000000001</v>
      </c>
      <c r="L335" s="7">
        <v>1497.903</v>
      </c>
      <c r="M335" s="7">
        <v>539.87199999999996</v>
      </c>
      <c r="N335" s="7">
        <v>4675.2520000000004</v>
      </c>
      <c r="O335" s="7">
        <v>11320.075000000001</v>
      </c>
      <c r="P335" s="7">
        <v>4536.3059999999996</v>
      </c>
      <c r="Q335" s="7">
        <v>34.122999999999998</v>
      </c>
      <c r="R335" s="7">
        <v>0.377</v>
      </c>
      <c r="S335" s="7">
        <v>201.828</v>
      </c>
      <c r="T335" s="7">
        <v>9.2829999999999995</v>
      </c>
      <c r="U335" s="7">
        <v>85.308999999999997</v>
      </c>
      <c r="V335" s="7">
        <v>442.08199999999999</v>
      </c>
      <c r="W335" s="7">
        <v>0</v>
      </c>
      <c r="X335" s="7">
        <v>227.53899999999999</v>
      </c>
      <c r="Y335" s="7">
        <v>392.435</v>
      </c>
      <c r="Z335" s="7">
        <v>180.934</v>
      </c>
      <c r="AA335" s="7">
        <v>456.87700000000001</v>
      </c>
      <c r="AB335" s="7">
        <v>74.668000000000006</v>
      </c>
      <c r="AC335" s="7">
        <v>13937.556</v>
      </c>
      <c r="AD335" s="7">
        <v>0</v>
      </c>
      <c r="AE335" s="7">
        <v>1748.9570000000001</v>
      </c>
      <c r="AF335" s="7">
        <v>23.994</v>
      </c>
      <c r="AG335" s="7">
        <v>253.94399999999999</v>
      </c>
      <c r="AH335" s="7">
        <v>21.518999999999998</v>
      </c>
      <c r="AI335" s="7">
        <v>6767.46</v>
      </c>
      <c r="AJ335" s="7">
        <v>1773.963</v>
      </c>
      <c r="AK335" s="7">
        <v>55.234999999999999</v>
      </c>
      <c r="AL335" s="7">
        <v>23794.638999999999</v>
      </c>
      <c r="AM335" s="7">
        <v>1842.973</v>
      </c>
      <c r="AN335" s="7">
        <v>364.35700000000003</v>
      </c>
      <c r="AO335" s="7">
        <v>0</v>
      </c>
      <c r="AP335" s="7">
        <v>381.66899999999998</v>
      </c>
      <c r="AQ335" s="7">
        <v>215.36699999999999</v>
      </c>
      <c r="AR335" s="7">
        <v>0</v>
      </c>
      <c r="AS335" s="7">
        <v>70.778999999999996</v>
      </c>
      <c r="AT335" s="7">
        <v>0</v>
      </c>
      <c r="AU335" s="7">
        <v>17.965</v>
      </c>
      <c r="AV335" s="7">
        <v>28.548999999999999</v>
      </c>
      <c r="AW335" s="7">
        <v>29.094000000000001</v>
      </c>
      <c r="AX335" s="7">
        <v>486.23899999999998</v>
      </c>
      <c r="AY335" s="7">
        <v>10.079000000000001</v>
      </c>
      <c r="AZ335" s="7">
        <v>5.9820000000000002</v>
      </c>
      <c r="BA335" s="7">
        <v>0</v>
      </c>
      <c r="BB335" s="7">
        <v>141.19999999999999</v>
      </c>
      <c r="BC335" s="7">
        <v>38.325000000000003</v>
      </c>
      <c r="BD335" s="7">
        <v>58.533999999999999</v>
      </c>
      <c r="BE335" s="7">
        <v>197.17099999999999</v>
      </c>
      <c r="BF335" s="7">
        <v>5.3360000000000003</v>
      </c>
      <c r="BG335" s="21"/>
    </row>
    <row r="336" spans="1:59" ht="15.6" x14ac:dyDescent="0.3">
      <c r="A336" s="5" t="s">
        <v>597</v>
      </c>
      <c r="B336" s="5" t="s">
        <v>598</v>
      </c>
      <c r="C336" s="7">
        <v>6</v>
      </c>
      <c r="D336" s="7">
        <v>6</v>
      </c>
      <c r="E336" s="7">
        <v>-8980.9079999999994</v>
      </c>
      <c r="F336" s="7">
        <v>-2198.9229999999998</v>
      </c>
      <c r="G336" s="7">
        <v>-1239.6590000000001</v>
      </c>
      <c r="H336" s="7">
        <v>-8127.4549999999999</v>
      </c>
      <c r="I336" s="7">
        <v>-376.149</v>
      </c>
      <c r="J336" s="7">
        <v>-1046.665</v>
      </c>
      <c r="K336" s="7">
        <v>-9879.0640000000003</v>
      </c>
      <c r="L336" s="7">
        <v>-1362.1790000000001</v>
      </c>
      <c r="M336" s="7">
        <v>-147.01599999999999</v>
      </c>
      <c r="N336" s="7">
        <v>-4038.2069999999999</v>
      </c>
      <c r="O336" s="7">
        <v>-20677.735000000001</v>
      </c>
      <c r="P336" s="7">
        <v>-3171.6109999999999</v>
      </c>
      <c r="Q336" s="7">
        <v>-6.3129999999999997</v>
      </c>
      <c r="R336" s="7">
        <v>-11.287000000000001</v>
      </c>
      <c r="S336" s="7">
        <v>-82.257999999999996</v>
      </c>
      <c r="T336" s="7">
        <v>-11.176</v>
      </c>
      <c r="U336" s="7">
        <v>-147.12299999999999</v>
      </c>
      <c r="V336" s="7">
        <v>-46.527999999999999</v>
      </c>
      <c r="W336" s="7">
        <v>-1.718</v>
      </c>
      <c r="X336" s="7">
        <v>-75.103999999999999</v>
      </c>
      <c r="Y336" s="7">
        <v>-103.07599999999999</v>
      </c>
      <c r="Z336" s="7">
        <v>-303.70499999999998</v>
      </c>
      <c r="AA336" s="7">
        <v>-954.1</v>
      </c>
      <c r="AB336" s="7">
        <v>-655.42600000000004</v>
      </c>
      <c r="AC336" s="7">
        <v>-2149.375</v>
      </c>
      <c r="AD336" s="7">
        <v>-321.21100000000001</v>
      </c>
      <c r="AE336" s="7">
        <v>-340.24900000000002</v>
      </c>
      <c r="AF336" s="7">
        <v>-2.0409999999999999</v>
      </c>
      <c r="AG336" s="7">
        <v>-59.194000000000003</v>
      </c>
      <c r="AH336" s="7">
        <v>-0.35399999999999998</v>
      </c>
      <c r="AI336" s="7">
        <v>-6774.3029999999999</v>
      </c>
      <c r="AJ336" s="7">
        <v>-494.95600000000002</v>
      </c>
      <c r="AK336" s="7">
        <v>-155.19800000000001</v>
      </c>
      <c r="AL336" s="7">
        <v>-23561.069</v>
      </c>
      <c r="AM336" s="7">
        <v>-1592.355</v>
      </c>
      <c r="AN336" s="7">
        <v>-306.87200000000001</v>
      </c>
      <c r="AO336" s="7">
        <v>-9237.9150000000009</v>
      </c>
      <c r="AP336" s="7">
        <v>-163.62299999999999</v>
      </c>
      <c r="AQ336" s="7">
        <v>-156.53</v>
      </c>
      <c r="AR336" s="7">
        <v>-3022.7069999999999</v>
      </c>
      <c r="AS336" s="7">
        <v>-1079.0350000000001</v>
      </c>
      <c r="AT336" s="7">
        <v>-9792.3629999999994</v>
      </c>
      <c r="AU336" s="7">
        <v>-4.4560000000000004</v>
      </c>
      <c r="AV336" s="7">
        <v>-19.427</v>
      </c>
      <c r="AW336" s="7">
        <v>-18.454999999999998</v>
      </c>
      <c r="AX336" s="7">
        <v>-148.94499999999999</v>
      </c>
      <c r="AY336" s="7">
        <v>-83.83</v>
      </c>
      <c r="AZ336" s="7">
        <v>-3.6819999999999999</v>
      </c>
      <c r="BA336" s="7">
        <v>0</v>
      </c>
      <c r="BB336" s="7">
        <v>-26.459</v>
      </c>
      <c r="BC336" s="7">
        <v>-0.19700000000000001</v>
      </c>
      <c r="BD336" s="7">
        <v>-33.973999999999997</v>
      </c>
      <c r="BE336" s="7">
        <v>-191.054</v>
      </c>
      <c r="BF336" s="7">
        <v>-17.931999999999999</v>
      </c>
      <c r="BG336" s="21"/>
    </row>
    <row r="337" spans="1:59" ht="15.6" x14ac:dyDescent="0.3">
      <c r="A337" s="5" t="s">
        <v>599</v>
      </c>
      <c r="B337" s="5" t="s">
        <v>600</v>
      </c>
      <c r="C337" s="7">
        <v>6</v>
      </c>
      <c r="D337" s="7">
        <v>6</v>
      </c>
      <c r="E337" s="7">
        <v>-647.54499999999996</v>
      </c>
      <c r="F337" s="7">
        <v>-934.47299999999996</v>
      </c>
      <c r="G337" s="7">
        <v>-187.58099999999999</v>
      </c>
      <c r="H337" s="7">
        <v>-33.927999999999997</v>
      </c>
      <c r="I337" s="7">
        <v>0</v>
      </c>
      <c r="J337" s="7">
        <v>-9.6549999999999994</v>
      </c>
      <c r="K337" s="7">
        <v>-343.01799999999997</v>
      </c>
      <c r="L337" s="7">
        <v>-71.906000000000006</v>
      </c>
      <c r="M337" s="7">
        <v>-29.795999999999999</v>
      </c>
      <c r="N337" s="7">
        <v>-562.68399999999997</v>
      </c>
      <c r="O337" s="7">
        <v>-1459.3030000000001</v>
      </c>
      <c r="P337" s="7">
        <v>-80.763999999999996</v>
      </c>
      <c r="Q337" s="7">
        <v>0</v>
      </c>
      <c r="R337" s="7">
        <v>0</v>
      </c>
      <c r="S337" s="7">
        <v>-154.25399999999999</v>
      </c>
      <c r="T337" s="7">
        <v>0</v>
      </c>
      <c r="U337" s="7">
        <v>0</v>
      </c>
      <c r="V337" s="7">
        <v>0</v>
      </c>
      <c r="W337" s="7">
        <v>0</v>
      </c>
      <c r="X337" s="7">
        <v>-9.8140000000000001</v>
      </c>
      <c r="Y337" s="7">
        <v>-3.3740000000000001</v>
      </c>
      <c r="Z337" s="7">
        <v>-17.369</v>
      </c>
      <c r="AA337" s="7">
        <v>-6.0149999999999997</v>
      </c>
      <c r="AB337" s="7">
        <v>-22.06</v>
      </c>
      <c r="AC337" s="7">
        <v>-115.515</v>
      </c>
      <c r="AD337" s="7">
        <v>-6.3440000000000003</v>
      </c>
      <c r="AE337" s="7">
        <v>0</v>
      </c>
      <c r="AF337" s="7">
        <v>-20.215</v>
      </c>
      <c r="AG337" s="7">
        <v>-10.726000000000001</v>
      </c>
      <c r="AH337" s="7">
        <v>-2.1259999999999999</v>
      </c>
      <c r="AI337" s="7">
        <v>-429.721</v>
      </c>
      <c r="AJ337" s="7">
        <v>-65.543000000000006</v>
      </c>
      <c r="AK337" s="7">
        <v>-1.056</v>
      </c>
      <c r="AL337" s="7">
        <v>-1332.0740000000001</v>
      </c>
      <c r="AM337" s="7">
        <v>-102.842</v>
      </c>
      <c r="AN337" s="7">
        <v>-5.319</v>
      </c>
      <c r="AO337" s="7">
        <v>-469.613</v>
      </c>
      <c r="AP337" s="7">
        <v>-11.657</v>
      </c>
      <c r="AQ337" s="7">
        <v>-2.0030000000000001</v>
      </c>
      <c r="AR337" s="7">
        <v>-284.10899999999998</v>
      </c>
      <c r="AS337" s="7">
        <v>-26.31</v>
      </c>
      <c r="AT337" s="7">
        <v>-724.39800000000002</v>
      </c>
      <c r="AU337" s="7">
        <v>-4.2000000000000003E-2</v>
      </c>
      <c r="AV337" s="7">
        <v>-0.06</v>
      </c>
      <c r="AW337" s="7">
        <v>-7.0629999999999997</v>
      </c>
      <c r="AX337" s="7">
        <v>-38.743000000000002</v>
      </c>
      <c r="AY337" s="7">
        <v>-8.2370000000000001</v>
      </c>
      <c r="AZ337" s="7">
        <v>0</v>
      </c>
      <c r="BA337" s="7">
        <v>0</v>
      </c>
      <c r="BB337" s="7">
        <v>0</v>
      </c>
      <c r="BC337" s="7">
        <v>-9.9339999999999993</v>
      </c>
      <c r="BD337" s="7">
        <v>-15.355</v>
      </c>
      <c r="BE337" s="7">
        <v>-53.276000000000003</v>
      </c>
      <c r="BF337" s="7">
        <v>0</v>
      </c>
      <c r="BG337" s="21"/>
    </row>
    <row r="338" spans="1:59" ht="15.6" x14ac:dyDescent="0.3">
      <c r="A338" s="5" t="s">
        <v>601</v>
      </c>
      <c r="B338" s="5" t="s">
        <v>602</v>
      </c>
      <c r="C338" s="7">
        <v>6</v>
      </c>
      <c r="D338" s="7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2.827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21"/>
    </row>
    <row r="339" spans="1:59" ht="15.6" x14ac:dyDescent="0.3">
      <c r="A339" s="5" t="s">
        <v>603</v>
      </c>
      <c r="B339" s="5" t="s">
        <v>604</v>
      </c>
      <c r="C339" s="7">
        <v>6</v>
      </c>
      <c r="D339" s="7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 s="21"/>
    </row>
    <row r="340" spans="1:59" ht="15.6" x14ac:dyDescent="0.3">
      <c r="A340" s="5" t="s">
        <v>605</v>
      </c>
      <c r="B340" s="5" t="s">
        <v>606</v>
      </c>
      <c r="C340" s="5"/>
      <c r="D340" s="5"/>
      <c r="E340">
        <v>5516040.0999999996</v>
      </c>
      <c r="F340">
        <v>899531.43400000001</v>
      </c>
      <c r="G340">
        <v>1041486.803</v>
      </c>
      <c r="H340">
        <v>1082307.24</v>
      </c>
      <c r="I340">
        <v>147735.89300000001</v>
      </c>
      <c r="J340">
        <v>721377.24899999995</v>
      </c>
      <c r="K340">
        <v>4334735.227</v>
      </c>
      <c r="L340">
        <v>855316.23300000001</v>
      </c>
      <c r="M340">
        <v>296392.25699999998</v>
      </c>
      <c r="N340">
        <v>2379218.2030000002</v>
      </c>
      <c r="O340">
        <v>8687416.8579999991</v>
      </c>
      <c r="P340">
        <v>2441320.56</v>
      </c>
      <c r="Q340">
        <v>16102.114</v>
      </c>
      <c r="R340">
        <v>6267.5010000000002</v>
      </c>
      <c r="S340">
        <v>21304.207999999999</v>
      </c>
      <c r="T340">
        <v>11360.787</v>
      </c>
      <c r="U340">
        <v>21122.155999999999</v>
      </c>
      <c r="V340">
        <v>270551.95799999998</v>
      </c>
      <c r="W340">
        <v>2676.1410000000001</v>
      </c>
      <c r="X340">
        <v>138184.90100000001</v>
      </c>
      <c r="Y340">
        <v>211120.49799999999</v>
      </c>
      <c r="Z340">
        <v>80916.884999999995</v>
      </c>
      <c r="AA340">
        <v>228131.467</v>
      </c>
      <c r="AB340">
        <v>208910.23199999999</v>
      </c>
      <c r="AC340">
        <v>1651449.7720000001</v>
      </c>
      <c r="AD340">
        <v>104899.88099999999</v>
      </c>
      <c r="AE340">
        <v>843226.71</v>
      </c>
      <c r="AF340">
        <v>213175.52</v>
      </c>
      <c r="AG340">
        <v>144821.37299999999</v>
      </c>
      <c r="AH340">
        <v>50398.985000000001</v>
      </c>
      <c r="AI340">
        <v>4309288.7180000003</v>
      </c>
      <c r="AJ340">
        <v>947708.12100000004</v>
      </c>
      <c r="AK340">
        <v>210277.48800000001</v>
      </c>
      <c r="AL340">
        <v>13535201.433</v>
      </c>
      <c r="AM340">
        <v>1819240.3870000001</v>
      </c>
      <c r="AN340">
        <v>611625.56999999995</v>
      </c>
      <c r="AO340">
        <v>8280383.1529999999</v>
      </c>
      <c r="AP340">
        <v>336850.46299999999</v>
      </c>
      <c r="AQ340">
        <v>217270.50399999999</v>
      </c>
      <c r="AR340">
        <v>5006087.2489999998</v>
      </c>
      <c r="AS340">
        <v>37807.96</v>
      </c>
      <c r="AT340">
        <v>2679412.0150000001</v>
      </c>
      <c r="AU340">
        <v>8482.7929999999997</v>
      </c>
      <c r="AV340">
        <v>37223.285000000003</v>
      </c>
      <c r="AW340">
        <v>37528.601999999999</v>
      </c>
      <c r="AX340">
        <v>280913.24400000001</v>
      </c>
      <c r="AY340">
        <v>16878.368999999999</v>
      </c>
      <c r="AZ340">
        <v>3259.712</v>
      </c>
      <c r="BA340">
        <v>0</v>
      </c>
      <c r="BB340">
        <v>74896.524999999994</v>
      </c>
      <c r="BC340">
        <v>63279.118000000002</v>
      </c>
      <c r="BD340">
        <v>57578.247000000003</v>
      </c>
      <c r="BE340">
        <v>392420.51199999999</v>
      </c>
      <c r="BF340">
        <v>40313.489000000001</v>
      </c>
      <c r="BG340" s="21"/>
    </row>
    <row r="341" spans="1:59" x14ac:dyDescent="0.25">
      <c r="BG341" s="21"/>
    </row>
    <row r="342" spans="1:59" ht="15.6" x14ac:dyDescent="0.3">
      <c r="A342" s="5" t="s">
        <v>607</v>
      </c>
      <c r="E342">
        <f t="shared" ref="E342:BF342" si="0">SUM(E7:E339)-E340</f>
        <v>0</v>
      </c>
      <c r="F342">
        <f t="shared" si="0"/>
        <v>0</v>
      </c>
      <c r="G342">
        <f t="shared" si="0"/>
        <v>0</v>
      </c>
      <c r="H342">
        <f t="shared" si="0"/>
        <v>0</v>
      </c>
      <c r="I342">
        <f t="shared" si="0"/>
        <v>0</v>
      </c>
      <c r="J342">
        <f t="shared" si="0"/>
        <v>0</v>
      </c>
      <c r="K342">
        <f t="shared" si="0"/>
        <v>0</v>
      </c>
      <c r="L342">
        <f t="shared" si="0"/>
        <v>0</v>
      </c>
      <c r="M342">
        <f t="shared" si="0"/>
        <v>0</v>
      </c>
      <c r="N342">
        <f t="shared" si="0"/>
        <v>0</v>
      </c>
      <c r="O342">
        <f t="shared" si="0"/>
        <v>0</v>
      </c>
      <c r="P342">
        <f t="shared" si="0"/>
        <v>0</v>
      </c>
      <c r="Q342">
        <f t="shared" si="0"/>
        <v>0</v>
      </c>
      <c r="R342">
        <f t="shared" si="0"/>
        <v>0</v>
      </c>
      <c r="S342">
        <f t="shared" si="0"/>
        <v>0</v>
      </c>
      <c r="T342">
        <f t="shared" si="0"/>
        <v>0</v>
      </c>
      <c r="U342">
        <f t="shared" si="0"/>
        <v>0</v>
      </c>
      <c r="V342">
        <f t="shared" si="0"/>
        <v>0</v>
      </c>
      <c r="W342">
        <f t="shared" si="0"/>
        <v>0</v>
      </c>
      <c r="X342">
        <f t="shared" si="0"/>
        <v>0</v>
      </c>
      <c r="Y342">
        <f t="shared" si="0"/>
        <v>0</v>
      </c>
      <c r="Z342">
        <f t="shared" si="0"/>
        <v>0</v>
      </c>
      <c r="AA342">
        <f t="shared" si="0"/>
        <v>0</v>
      </c>
      <c r="AB342">
        <f t="shared" si="0"/>
        <v>0</v>
      </c>
      <c r="AC342">
        <f t="shared" si="0"/>
        <v>0</v>
      </c>
      <c r="AD342">
        <f t="shared" si="0"/>
        <v>0</v>
      </c>
      <c r="AE342">
        <f t="shared" si="0"/>
        <v>0</v>
      </c>
      <c r="AF342">
        <f t="shared" si="0"/>
        <v>0</v>
      </c>
      <c r="AG342">
        <f t="shared" si="0"/>
        <v>0</v>
      </c>
      <c r="AH342">
        <f t="shared" si="0"/>
        <v>0</v>
      </c>
      <c r="AI342">
        <f t="shared" si="0"/>
        <v>0</v>
      </c>
      <c r="AJ342">
        <f t="shared" si="0"/>
        <v>0</v>
      </c>
      <c r="AK342">
        <f t="shared" si="0"/>
        <v>0</v>
      </c>
      <c r="AL342">
        <f t="shared" si="0"/>
        <v>0</v>
      </c>
      <c r="AM342">
        <f t="shared" si="0"/>
        <v>0</v>
      </c>
      <c r="AN342">
        <f t="shared" si="0"/>
        <v>0</v>
      </c>
      <c r="AO342">
        <f t="shared" si="0"/>
        <v>0</v>
      </c>
      <c r="AP342">
        <f t="shared" si="0"/>
        <v>0</v>
      </c>
      <c r="AQ342">
        <f t="shared" si="0"/>
        <v>0</v>
      </c>
      <c r="AR342">
        <f t="shared" si="0"/>
        <v>0</v>
      </c>
      <c r="AS342">
        <f>SUM(AS7:AS339)-AS340</f>
        <v>0</v>
      </c>
      <c r="AT342">
        <f>SUM(AT7:AT339)-AT340</f>
        <v>0</v>
      </c>
      <c r="AU342">
        <f>SUM(AU7:AU339)-AU340</f>
        <v>0</v>
      </c>
      <c r="AV342">
        <f>SUM(AV7:AV339)-AV340</f>
        <v>0</v>
      </c>
      <c r="AW342">
        <f t="shared" si="0"/>
        <v>0</v>
      </c>
      <c r="AX342">
        <f t="shared" si="0"/>
        <v>0</v>
      </c>
      <c r="AY342">
        <f t="shared" si="0"/>
        <v>0</v>
      </c>
      <c r="AZ342">
        <f t="shared" si="0"/>
        <v>0</v>
      </c>
      <c r="BA342">
        <f t="shared" si="0"/>
        <v>0</v>
      </c>
      <c r="BB342">
        <f t="shared" si="0"/>
        <v>0</v>
      </c>
      <c r="BC342">
        <f t="shared" si="0"/>
        <v>0</v>
      </c>
      <c r="BD342">
        <f t="shared" si="0"/>
        <v>0</v>
      </c>
      <c r="BE342">
        <f t="shared" si="0"/>
        <v>0</v>
      </c>
      <c r="BF342">
        <f t="shared" si="0"/>
        <v>0</v>
      </c>
      <c r="BG342" s="21"/>
    </row>
    <row r="343" spans="1:59" x14ac:dyDescent="0.25">
      <c r="BG343" s="21"/>
    </row>
    <row r="344" spans="1:59" x14ac:dyDescent="0.25">
      <c r="A344" t="s">
        <v>608</v>
      </c>
      <c r="D344">
        <v>1</v>
      </c>
      <c r="E344" s="16">
        <f t="shared" ref="E344:BF344" si="1">SUMIF($D$6:$D$338,$D$344,E6:E338)</f>
        <v>569360.76699999999</v>
      </c>
      <c r="F344" s="16">
        <f t="shared" si="1"/>
        <v>154509.94700000001</v>
      </c>
      <c r="G344" s="16">
        <f t="shared" si="1"/>
        <v>30550.240999999998</v>
      </c>
      <c r="H344" s="16">
        <f t="shared" si="1"/>
        <v>31131.393</v>
      </c>
      <c r="I344" s="16">
        <f t="shared" si="1"/>
        <v>12800.906000000001</v>
      </c>
      <c r="J344" s="16">
        <f t="shared" si="1"/>
        <v>22925.013000000003</v>
      </c>
      <c r="K344" s="16">
        <f t="shared" si="1"/>
        <v>625800.56599999999</v>
      </c>
      <c r="L344" s="16">
        <f t="shared" si="1"/>
        <v>78848.78</v>
      </c>
      <c r="M344" s="16">
        <f t="shared" si="1"/>
        <v>2066.4139999999998</v>
      </c>
      <c r="N344" s="16">
        <f t="shared" si="1"/>
        <v>134234.05299999999</v>
      </c>
      <c r="O344" s="16">
        <f t="shared" si="1"/>
        <v>1663929.2110000001</v>
      </c>
      <c r="P344" s="16">
        <f t="shared" si="1"/>
        <v>136800.87899999999</v>
      </c>
      <c r="Q344" s="16">
        <f>SUMIF($D$6:$D$338,$D$344,Q6:Q338)</f>
        <v>427.03500000000003</v>
      </c>
      <c r="R344" s="16">
        <f t="shared" si="1"/>
        <v>4752.0609999999997</v>
      </c>
      <c r="S344" s="16">
        <f t="shared" si="1"/>
        <v>910.9620000000001</v>
      </c>
      <c r="T344" s="16">
        <f t="shared" si="1"/>
        <v>4744.2750000000005</v>
      </c>
      <c r="U344" s="16">
        <f t="shared" si="1"/>
        <v>1337.5319999999999</v>
      </c>
      <c r="V344" s="16">
        <f t="shared" si="1"/>
        <v>50905.958000000006</v>
      </c>
      <c r="W344" s="16">
        <f t="shared" si="1"/>
        <v>23.114999999999998</v>
      </c>
      <c r="X344" s="16">
        <f t="shared" si="1"/>
        <v>79518.983999999997</v>
      </c>
      <c r="Y344" s="16">
        <f t="shared" si="1"/>
        <v>2248.9169999999999</v>
      </c>
      <c r="Z344" s="16">
        <f t="shared" si="1"/>
        <v>5224.7070000000003</v>
      </c>
      <c r="AA344" s="16">
        <f t="shared" si="1"/>
        <v>16366.98</v>
      </c>
      <c r="AB344" s="16">
        <f t="shared" si="1"/>
        <v>189302.022</v>
      </c>
      <c r="AC344" s="16">
        <f t="shared" si="1"/>
        <v>293429.989</v>
      </c>
      <c r="AD344" s="16">
        <f t="shared" si="1"/>
        <v>60167.947</v>
      </c>
      <c r="AE344" s="16">
        <f t="shared" si="1"/>
        <v>60865.731000000007</v>
      </c>
      <c r="AF344" s="16">
        <f t="shared" si="1"/>
        <v>169844.67600000001</v>
      </c>
      <c r="AG344" s="16">
        <f t="shared" si="1"/>
        <v>26123.027999999998</v>
      </c>
      <c r="AH344" s="16">
        <f t="shared" si="1"/>
        <v>13094.088999999998</v>
      </c>
      <c r="AI344" s="16">
        <f t="shared" si="1"/>
        <v>748723.19499999995</v>
      </c>
      <c r="AJ344" s="16">
        <f t="shared" si="1"/>
        <v>323766.26699999999</v>
      </c>
      <c r="AK344" s="16">
        <f t="shared" si="1"/>
        <v>64950.679000000004</v>
      </c>
      <c r="AL344" s="16">
        <f t="shared" si="1"/>
        <v>2231896.9380000001</v>
      </c>
      <c r="AM344" s="16">
        <f t="shared" si="1"/>
        <v>593521.97699999996</v>
      </c>
      <c r="AN344" s="16">
        <f t="shared" si="1"/>
        <v>346230.63800000004</v>
      </c>
      <c r="AO344" s="16">
        <f t="shared" si="1"/>
        <v>6728426.3399999999</v>
      </c>
      <c r="AP344" s="16">
        <f t="shared" si="1"/>
        <v>164587.52000000002</v>
      </c>
      <c r="AQ344" s="16">
        <f t="shared" si="1"/>
        <v>74759.417000000001</v>
      </c>
      <c r="AR344" s="16">
        <f t="shared" si="1"/>
        <v>4064941.1060000001</v>
      </c>
      <c r="AS344" s="16">
        <f>SUMIF($D$6:$D$338,$D$344,AS6:AS338)</f>
        <v>587.91499999999996</v>
      </c>
      <c r="AT344" s="16">
        <f>SUMIF($D$6:$D$338,$D$344,AT6:AT338)</f>
        <v>2182498.7960000001</v>
      </c>
      <c r="AU344" s="16">
        <f>SUMIF($D$6:$D$338,$D$344,AU6:AU338)</f>
        <v>2113.08</v>
      </c>
      <c r="AV344" s="16">
        <f>SUMIF($D$6:$D$338,$D$344,AV6:AV338)</f>
        <v>16534.046999999999</v>
      </c>
      <c r="AW344" s="16">
        <f t="shared" si="1"/>
        <v>3892.5330000000004</v>
      </c>
      <c r="AX344" s="16">
        <f t="shared" si="1"/>
        <v>100426.03199999999</v>
      </c>
      <c r="AY344" s="16">
        <f t="shared" si="1"/>
        <v>1832.79</v>
      </c>
      <c r="AZ344" s="16">
        <f t="shared" si="1"/>
        <v>522.70699999999999</v>
      </c>
      <c r="BA344" s="16">
        <f t="shared" si="1"/>
        <v>0</v>
      </c>
      <c r="BB344" s="16">
        <f t="shared" si="1"/>
        <v>10661.214</v>
      </c>
      <c r="BC344" s="16">
        <f t="shared" si="1"/>
        <v>6266.5039999999999</v>
      </c>
      <c r="BD344" s="16">
        <f t="shared" si="1"/>
        <v>6114.1540000000005</v>
      </c>
      <c r="BE344" s="16">
        <f t="shared" si="1"/>
        <v>123542.367</v>
      </c>
      <c r="BF344" s="16">
        <f t="shared" si="1"/>
        <v>38881.686000000002</v>
      </c>
      <c r="BG344" s="21"/>
    </row>
    <row r="345" spans="1:59" x14ac:dyDescent="0.25">
      <c r="A345" t="s">
        <v>609</v>
      </c>
      <c r="D345">
        <v>2</v>
      </c>
      <c r="E345" s="16">
        <f t="shared" ref="E345:BF345" si="2">SUMIF($D$6:$D$338,$D$345,E6:E338)</f>
        <v>1316402.2829999998</v>
      </c>
      <c r="F345" s="16">
        <f t="shared" si="2"/>
        <v>149331.09900000002</v>
      </c>
      <c r="G345" s="16">
        <f t="shared" si="2"/>
        <v>355008.33099999995</v>
      </c>
      <c r="H345" s="16">
        <f t="shared" si="2"/>
        <v>0</v>
      </c>
      <c r="I345" s="16">
        <f t="shared" si="2"/>
        <v>52350.222000000002</v>
      </c>
      <c r="J345" s="16">
        <f t="shared" si="2"/>
        <v>248114.30800000002</v>
      </c>
      <c r="K345" s="16">
        <f t="shared" si="2"/>
        <v>722955.55799999996</v>
      </c>
      <c r="L345" s="16">
        <f t="shared" si="2"/>
        <v>165054.39199999999</v>
      </c>
      <c r="M345" s="16">
        <f t="shared" si="2"/>
        <v>220819.65700000001</v>
      </c>
      <c r="N345" s="16">
        <f t="shared" si="2"/>
        <v>568589.50000000012</v>
      </c>
      <c r="O345" s="16">
        <f t="shared" si="2"/>
        <v>530309.07599999988</v>
      </c>
      <c r="P345" s="16">
        <f t="shared" si="2"/>
        <v>580832.73100000003</v>
      </c>
      <c r="Q345" s="16">
        <f>SUMIF($D$6:$D$338,$D$345,Q6:Q338)</f>
        <v>12403.551000000001</v>
      </c>
      <c r="R345" s="16">
        <f t="shared" si="2"/>
        <v>0</v>
      </c>
      <c r="S345" s="16">
        <f t="shared" si="2"/>
        <v>16181.386</v>
      </c>
      <c r="T345" s="16">
        <f t="shared" si="2"/>
        <v>1646.2820000000002</v>
      </c>
      <c r="U345" s="16">
        <f t="shared" si="2"/>
        <v>4554.9380000000001</v>
      </c>
      <c r="V345" s="16">
        <f t="shared" si="2"/>
        <v>47266.628000000004</v>
      </c>
      <c r="W345" s="16">
        <f t="shared" si="2"/>
        <v>2654.7440000000001</v>
      </c>
      <c r="X345" s="16">
        <f t="shared" si="2"/>
        <v>7003.3519999999999</v>
      </c>
      <c r="Y345" s="16">
        <f t="shared" si="2"/>
        <v>158662.37400000001</v>
      </c>
      <c r="Z345" s="16">
        <f t="shared" si="2"/>
        <v>23029.602999999999</v>
      </c>
      <c r="AA345" s="16">
        <f t="shared" si="2"/>
        <v>54508.608</v>
      </c>
      <c r="AB345" s="16">
        <f t="shared" si="2"/>
        <v>0</v>
      </c>
      <c r="AC345" s="16">
        <f t="shared" si="2"/>
        <v>236811.761</v>
      </c>
      <c r="AD345" s="16">
        <f t="shared" si="2"/>
        <v>0</v>
      </c>
      <c r="AE345" s="16">
        <f t="shared" si="2"/>
        <v>269893.01700000005</v>
      </c>
      <c r="AF345" s="16">
        <f t="shared" si="2"/>
        <v>3.2080000000000002</v>
      </c>
      <c r="AG345" s="16">
        <f t="shared" si="2"/>
        <v>18910.063999999998</v>
      </c>
      <c r="AH345" s="16">
        <f t="shared" si="2"/>
        <v>7641.232</v>
      </c>
      <c r="AI345" s="16">
        <f t="shared" si="2"/>
        <v>570201.34699999995</v>
      </c>
      <c r="AJ345" s="16">
        <f t="shared" si="2"/>
        <v>14438.63</v>
      </c>
      <c r="AK345" s="16">
        <f t="shared" si="2"/>
        <v>19921.101999999999</v>
      </c>
      <c r="AL345" s="16">
        <f t="shared" si="2"/>
        <v>1542418.4969999997</v>
      </c>
      <c r="AM345" s="16">
        <f t="shared" si="2"/>
        <v>26705.203000000001</v>
      </c>
      <c r="AN345" s="16">
        <f t="shared" si="2"/>
        <v>0</v>
      </c>
      <c r="AO345" s="16">
        <f t="shared" si="2"/>
        <v>0</v>
      </c>
      <c r="AP345" s="16">
        <f t="shared" si="2"/>
        <v>41744.44</v>
      </c>
      <c r="AQ345" s="16">
        <f t="shared" si="2"/>
        <v>48703.69</v>
      </c>
      <c r="AR345" s="16">
        <f t="shared" si="2"/>
        <v>0</v>
      </c>
      <c r="AS345" s="16">
        <f>SUMIF($D$6:$D$338,$D$345,AS6:AS338)</f>
        <v>28950.339</v>
      </c>
      <c r="AT345" s="16">
        <f>SUMIF($D$6:$D$338,$D$345,AT6:AT338)</f>
        <v>0</v>
      </c>
      <c r="AU345" s="16">
        <f>SUMIF($D$6:$D$338,$D$345,AU6:AU338)</f>
        <v>1481.5140000000001</v>
      </c>
      <c r="AV345" s="16">
        <f>SUMIF($D$6:$D$338,$D$345,AV6:AV338)</f>
        <v>7191.7520000000004</v>
      </c>
      <c r="AW345" s="16">
        <f t="shared" si="2"/>
        <v>0</v>
      </c>
      <c r="AX345" s="16">
        <f t="shared" si="2"/>
        <v>4316.0659999999998</v>
      </c>
      <c r="AY345" s="16">
        <f t="shared" si="2"/>
        <v>0</v>
      </c>
      <c r="AZ345" s="16">
        <f t="shared" si="2"/>
        <v>1086.0129999999999</v>
      </c>
      <c r="BA345" s="16">
        <f t="shared" si="2"/>
        <v>0</v>
      </c>
      <c r="BB345" s="16">
        <f t="shared" si="2"/>
        <v>29194.886999999999</v>
      </c>
      <c r="BC345" s="16">
        <f t="shared" si="2"/>
        <v>0</v>
      </c>
      <c r="BD345" s="16">
        <f t="shared" si="2"/>
        <v>0</v>
      </c>
      <c r="BE345" s="16">
        <f t="shared" si="2"/>
        <v>36147.574999999997</v>
      </c>
      <c r="BF345" s="16">
        <f t="shared" si="2"/>
        <v>0</v>
      </c>
      <c r="BG345" s="21"/>
    </row>
    <row r="346" spans="1:59" x14ac:dyDescent="0.25">
      <c r="A346" t="s">
        <v>610</v>
      </c>
      <c r="D346">
        <v>3</v>
      </c>
      <c r="E346" s="16">
        <f t="shared" ref="E346:BF346" si="3">SUMIF($D$6:$D$338,$D$346,E6:E338)</f>
        <v>1164467.2590000001</v>
      </c>
      <c r="F346" s="16">
        <f t="shared" si="3"/>
        <v>243535.16600000003</v>
      </c>
      <c r="G346" s="16">
        <f t="shared" si="3"/>
        <v>495275.6100000001</v>
      </c>
      <c r="H346" s="16">
        <f t="shared" si="3"/>
        <v>75294.213999999993</v>
      </c>
      <c r="I346" s="16">
        <f t="shared" si="3"/>
        <v>47199.662999999993</v>
      </c>
      <c r="J346" s="16">
        <f t="shared" si="3"/>
        <v>335553.5579999999</v>
      </c>
      <c r="K346" s="16">
        <f t="shared" si="3"/>
        <v>322009.66800000006</v>
      </c>
      <c r="L346" s="16">
        <f t="shared" si="3"/>
        <v>376782.03399999999</v>
      </c>
      <c r="M346" s="16">
        <f t="shared" si="3"/>
        <v>61515.874000000003</v>
      </c>
      <c r="N346" s="16">
        <f t="shared" si="3"/>
        <v>845126.62699999998</v>
      </c>
      <c r="O346" s="16">
        <f t="shared" si="3"/>
        <v>966414.48499999999</v>
      </c>
      <c r="P346" s="16">
        <f t="shared" si="3"/>
        <v>817891.41500000004</v>
      </c>
      <c r="Q346" s="16">
        <f>SUMIF($D$6:$D$338,$D$346,Q6:Q338)</f>
        <v>3243.7180000000003</v>
      </c>
      <c r="R346" s="16">
        <f t="shared" si="3"/>
        <v>0</v>
      </c>
      <c r="S346" s="16">
        <f t="shared" si="3"/>
        <v>178.035</v>
      </c>
      <c r="T346" s="16">
        <f t="shared" si="3"/>
        <v>3885.646999999999</v>
      </c>
      <c r="U346" s="16">
        <f t="shared" si="3"/>
        <v>14009.119000000001</v>
      </c>
      <c r="V346" s="16">
        <f t="shared" si="3"/>
        <v>99496.75</v>
      </c>
      <c r="W346" s="16">
        <f t="shared" si="3"/>
        <v>0</v>
      </c>
      <c r="X346" s="16">
        <f t="shared" si="3"/>
        <v>32263.530000000002</v>
      </c>
      <c r="Y346" s="16">
        <f t="shared" si="3"/>
        <v>44200.116999999998</v>
      </c>
      <c r="Z346" s="16">
        <f t="shared" si="3"/>
        <v>41334.328999999998</v>
      </c>
      <c r="AA346" s="16">
        <f t="shared" si="3"/>
        <v>103231.02</v>
      </c>
      <c r="AB346" s="16">
        <f t="shared" si="3"/>
        <v>0</v>
      </c>
      <c r="AC346" s="16">
        <f t="shared" si="3"/>
        <v>224557.50100000002</v>
      </c>
      <c r="AD346" s="16">
        <f t="shared" si="3"/>
        <v>18089.824000000001</v>
      </c>
      <c r="AE346" s="16">
        <f t="shared" si="3"/>
        <v>402822.51400000002</v>
      </c>
      <c r="AF346" s="16">
        <f t="shared" si="3"/>
        <v>0</v>
      </c>
      <c r="AG346" s="16">
        <f t="shared" si="3"/>
        <v>43808.652000000016</v>
      </c>
      <c r="AH346" s="16">
        <f t="shared" si="3"/>
        <v>13541.742</v>
      </c>
      <c r="AI346" s="16">
        <f t="shared" si="3"/>
        <v>334190.66499999992</v>
      </c>
      <c r="AJ346" s="16">
        <f t="shared" si="3"/>
        <v>14264.571000000002</v>
      </c>
      <c r="AK346" s="16">
        <f t="shared" si="3"/>
        <v>51171.079000000005</v>
      </c>
      <c r="AL346" s="16">
        <f t="shared" si="3"/>
        <v>2126652.4090000005</v>
      </c>
      <c r="AM346" s="16">
        <f t="shared" si="3"/>
        <v>26387.376</v>
      </c>
      <c r="AN346" s="16">
        <f t="shared" si="3"/>
        <v>103296.466</v>
      </c>
      <c r="AO346" s="16">
        <f t="shared" si="3"/>
        <v>0</v>
      </c>
      <c r="AP346" s="16">
        <f t="shared" si="3"/>
        <v>91449.116999999984</v>
      </c>
      <c r="AQ346" s="16">
        <f t="shared" si="3"/>
        <v>76713.946000000011</v>
      </c>
      <c r="AR346" s="16">
        <f t="shared" si="3"/>
        <v>0</v>
      </c>
      <c r="AS346" s="16">
        <f>SUMIF($D$6:$D$338,$D$346,AS6:AS338)</f>
        <v>8064.9769999999999</v>
      </c>
      <c r="AT346" s="16">
        <f>SUMIF($D$6:$D$338,$D$346,AT6:AT338)</f>
        <v>0</v>
      </c>
      <c r="AU346" s="16">
        <f>SUMIF($D$6:$D$338,$D$346,AU6:AU338)</f>
        <v>2660.1259999999997</v>
      </c>
      <c r="AV346" s="16">
        <f>SUMIF($D$6:$D$338,$D$346,AV6:AV338)</f>
        <v>9970.3479999999981</v>
      </c>
      <c r="AW346" s="16">
        <f t="shared" si="3"/>
        <v>0</v>
      </c>
      <c r="AX346" s="16">
        <f t="shared" si="3"/>
        <v>4143.7020000000002</v>
      </c>
      <c r="AY346" s="16">
        <f t="shared" si="3"/>
        <v>0</v>
      </c>
      <c r="AZ346" s="16">
        <f t="shared" si="3"/>
        <v>787.17999999999984</v>
      </c>
      <c r="BA346" s="16">
        <f t="shared" si="3"/>
        <v>0</v>
      </c>
      <c r="BB346" s="16">
        <f t="shared" si="3"/>
        <v>25175.006999999998</v>
      </c>
      <c r="BC346" s="16">
        <f t="shared" si="3"/>
        <v>0</v>
      </c>
      <c r="BD346" s="16">
        <f t="shared" si="3"/>
        <v>0</v>
      </c>
      <c r="BE346" s="16">
        <f t="shared" si="3"/>
        <v>148869.117</v>
      </c>
      <c r="BF346" s="16">
        <f t="shared" si="3"/>
        <v>0</v>
      </c>
      <c r="BG346" s="21"/>
    </row>
    <row r="347" spans="1:59" x14ac:dyDescent="0.25">
      <c r="A347" t="s">
        <v>611</v>
      </c>
      <c r="B347">
        <v>7</v>
      </c>
      <c r="D347">
        <v>4</v>
      </c>
      <c r="E347" s="16">
        <f t="shared" ref="E347:BF347" si="4">SUMIF($D$6:$D$338,$D$347,E6:E338)</f>
        <v>803687.47399999981</v>
      </c>
      <c r="F347" s="16">
        <f t="shared" si="4"/>
        <v>239129.02699999994</v>
      </c>
      <c r="G347" s="16">
        <f t="shared" si="4"/>
        <v>-138.60500000000002</v>
      </c>
      <c r="H347" s="16">
        <f t="shared" si="4"/>
        <v>11995.081</v>
      </c>
      <c r="I347" s="16">
        <f t="shared" si="4"/>
        <v>12004.300999999999</v>
      </c>
      <c r="J347" s="16">
        <f t="shared" si="4"/>
        <v>184.44</v>
      </c>
      <c r="K347" s="16">
        <f t="shared" si="4"/>
        <v>1068806.3690000002</v>
      </c>
      <c r="L347" s="16">
        <f t="shared" si="4"/>
        <v>77286.127000000008</v>
      </c>
      <c r="M347" s="16">
        <f t="shared" si="4"/>
        <v>0</v>
      </c>
      <c r="N347" s="16">
        <f t="shared" si="4"/>
        <v>122610.21699999999</v>
      </c>
      <c r="O347" s="16">
        <f t="shared" si="4"/>
        <v>2820631.8249999997</v>
      </c>
      <c r="P347" s="16">
        <f t="shared" si="4"/>
        <v>149323.51500000004</v>
      </c>
      <c r="Q347" s="16">
        <f>SUMIF($D$6:$D$338,$D$347,Q6:Q338)</f>
        <v>0</v>
      </c>
      <c r="R347" s="16">
        <f t="shared" si="4"/>
        <v>1516.213</v>
      </c>
      <c r="S347" s="16">
        <f t="shared" si="4"/>
        <v>68.486999999999995</v>
      </c>
      <c r="T347" s="16">
        <f t="shared" si="4"/>
        <v>1051.2359999999999</v>
      </c>
      <c r="U347" s="16">
        <f t="shared" si="4"/>
        <v>100.124</v>
      </c>
      <c r="V347" s="16">
        <f t="shared" si="4"/>
        <v>64743.661</v>
      </c>
      <c r="W347" s="16">
        <f t="shared" si="4"/>
        <v>0</v>
      </c>
      <c r="X347" s="16">
        <f t="shared" si="4"/>
        <v>18992.329999999998</v>
      </c>
      <c r="Y347" s="16">
        <f t="shared" si="4"/>
        <v>0</v>
      </c>
      <c r="Z347" s="16">
        <f t="shared" si="4"/>
        <v>20.094000000000001</v>
      </c>
      <c r="AA347" s="16">
        <f t="shared" si="4"/>
        <v>16353.586000000005</v>
      </c>
      <c r="AB347" s="16">
        <f t="shared" si="4"/>
        <v>21284.753000000001</v>
      </c>
      <c r="AC347" s="16">
        <f t="shared" si="4"/>
        <v>440030.41399999999</v>
      </c>
      <c r="AD347" s="16">
        <f t="shared" si="4"/>
        <v>25762.006000000001</v>
      </c>
      <c r="AE347" s="16">
        <f t="shared" si="4"/>
        <v>508.08200000000011</v>
      </c>
      <c r="AF347" s="16">
        <f t="shared" si="4"/>
        <v>43269.154999999999</v>
      </c>
      <c r="AG347" s="16">
        <f t="shared" si="4"/>
        <v>38736.418000000005</v>
      </c>
      <c r="AH347" s="16">
        <f t="shared" si="4"/>
        <v>15961.684999999999</v>
      </c>
      <c r="AI347" s="16">
        <f t="shared" si="4"/>
        <v>1103179.148</v>
      </c>
      <c r="AJ347" s="16">
        <f t="shared" si="4"/>
        <v>562199.25500000024</v>
      </c>
      <c r="AK347" s="16">
        <f t="shared" si="4"/>
        <v>71655.953999999998</v>
      </c>
      <c r="AL347" s="16">
        <f t="shared" si="4"/>
        <v>3569166.0590000004</v>
      </c>
      <c r="AM347" s="16">
        <f t="shared" si="4"/>
        <v>1040064.3009999999</v>
      </c>
      <c r="AN347" s="16">
        <f t="shared" si="4"/>
        <v>155143.88100000002</v>
      </c>
      <c r="AO347" s="16">
        <f t="shared" si="4"/>
        <v>1439375.463</v>
      </c>
      <c r="AP347" s="16">
        <f t="shared" si="4"/>
        <v>38151.356</v>
      </c>
      <c r="AQ347" s="16">
        <f t="shared" si="4"/>
        <v>16595.448</v>
      </c>
      <c r="AR347" s="16">
        <f t="shared" si="4"/>
        <v>870437.28199999989</v>
      </c>
      <c r="AS347" s="16">
        <f>SUMIF($D$6:$D$338,$D$347,AS6:AS338)</f>
        <v>0</v>
      </c>
      <c r="AT347" s="16">
        <f>SUMIF($D$6:$D$338,$D$347,AT6:AT338)</f>
        <v>467125.98300000001</v>
      </c>
      <c r="AU347" s="16">
        <f>SUMIF($D$6:$D$338,$D$347,AU6:AU338)</f>
        <v>2083.9250000000006</v>
      </c>
      <c r="AV347" s="16">
        <f>SUMIF($D$6:$D$338,$D$347,AV6:AV338)</f>
        <v>3394.3779999999997</v>
      </c>
      <c r="AW347" s="16">
        <f t="shared" si="4"/>
        <v>33632.493000000002</v>
      </c>
      <c r="AX347" s="16">
        <f t="shared" si="4"/>
        <v>166547.86699999997</v>
      </c>
      <c r="AY347" s="16">
        <f t="shared" si="4"/>
        <v>15127.566999999999</v>
      </c>
      <c r="AZ347" s="16">
        <f t="shared" si="4"/>
        <v>673.33900000000017</v>
      </c>
      <c r="BA347" s="16">
        <f t="shared" si="4"/>
        <v>0</v>
      </c>
      <c r="BB347" s="16">
        <f t="shared" si="4"/>
        <v>8712.3369999999995</v>
      </c>
      <c r="BC347" s="16">
        <f t="shared" si="4"/>
        <v>56984.42</v>
      </c>
      <c r="BD347" s="16">
        <f t="shared" si="4"/>
        <v>51454.887999999999</v>
      </c>
      <c r="BE347" s="16">
        <f t="shared" si="4"/>
        <v>82329.322000000015</v>
      </c>
      <c r="BF347" s="16">
        <f t="shared" si="4"/>
        <v>1521.133</v>
      </c>
      <c r="BG347" s="21"/>
    </row>
    <row r="348" spans="1:59" x14ac:dyDescent="0.25">
      <c r="A348" t="s">
        <v>612</v>
      </c>
      <c r="D348">
        <v>5</v>
      </c>
      <c r="E348" s="16">
        <f t="shared" ref="E348:BF348" si="5">SUMIF($D$6:$D$338,$D$348,E6:E338)</f>
        <v>523498.10399999999</v>
      </c>
      <c r="F348" s="16">
        <f t="shared" si="5"/>
        <v>53105.627</v>
      </c>
      <c r="G348" s="16">
        <f t="shared" si="5"/>
        <v>93985.252999999982</v>
      </c>
      <c r="H348" s="16">
        <f t="shared" si="5"/>
        <v>945488.25800000003</v>
      </c>
      <c r="I348" s="16">
        <f t="shared" si="5"/>
        <v>13196.039000000002</v>
      </c>
      <c r="J348" s="16">
        <f t="shared" si="5"/>
        <v>69583.977000000014</v>
      </c>
      <c r="K348" s="16">
        <f t="shared" si="5"/>
        <v>547500.5</v>
      </c>
      <c r="L348" s="16">
        <f t="shared" si="5"/>
        <v>70668.731000000014</v>
      </c>
      <c r="M348" s="16">
        <f t="shared" si="5"/>
        <v>6675.2079999999996</v>
      </c>
      <c r="N348" s="16">
        <f t="shared" si="5"/>
        <v>224463.75300000003</v>
      </c>
      <c r="O348" s="16">
        <f t="shared" si="5"/>
        <v>705256.71899999992</v>
      </c>
      <c r="P348" s="16">
        <f t="shared" si="5"/>
        <v>280340.02400000003</v>
      </c>
      <c r="Q348" s="16">
        <f>SUMIF($D$6:$D$338,$D$348,Q6:Q338)</f>
        <v>0</v>
      </c>
      <c r="R348" s="16">
        <f t="shared" si="5"/>
        <v>0</v>
      </c>
      <c r="S348" s="16">
        <f t="shared" si="5"/>
        <v>2515.5</v>
      </c>
      <c r="T348" s="16">
        <f t="shared" si="5"/>
        <v>0</v>
      </c>
      <c r="U348" s="16">
        <f t="shared" si="5"/>
        <v>187.60599999999999</v>
      </c>
      <c r="V348" s="16">
        <f t="shared" si="5"/>
        <v>0.157</v>
      </c>
      <c r="W348" s="16">
        <f t="shared" si="5"/>
        <v>0</v>
      </c>
      <c r="X348" s="16">
        <f t="shared" si="5"/>
        <v>0.44900000000000001</v>
      </c>
      <c r="Y348" s="16">
        <f t="shared" si="5"/>
        <v>2164.9839999999999</v>
      </c>
      <c r="Z348" s="16">
        <f t="shared" si="5"/>
        <v>6822.1390000000001</v>
      </c>
      <c r="AA348" s="16">
        <f t="shared" si="5"/>
        <v>23506.081999999999</v>
      </c>
      <c r="AB348" s="16">
        <f t="shared" si="5"/>
        <v>0</v>
      </c>
      <c r="AC348" s="16">
        <f t="shared" si="5"/>
        <v>217478.75399999999</v>
      </c>
      <c r="AD348" s="16">
        <f t="shared" si="5"/>
        <v>0</v>
      </c>
      <c r="AE348" s="16">
        <f t="shared" si="5"/>
        <v>57211.967000000004</v>
      </c>
      <c r="AF348" s="16">
        <f t="shared" si="5"/>
        <v>0</v>
      </c>
      <c r="AG348" s="16">
        <f t="shared" si="5"/>
        <v>9982.2219999999998</v>
      </c>
      <c r="AH348" s="16">
        <f t="shared" si="5"/>
        <v>0</v>
      </c>
      <c r="AI348" s="16">
        <f t="shared" si="5"/>
        <v>651466.70499999996</v>
      </c>
      <c r="AJ348" s="16">
        <f t="shared" si="5"/>
        <v>13577.523999999999</v>
      </c>
      <c r="AK348" s="16">
        <f t="shared" si="5"/>
        <v>2257.192</v>
      </c>
      <c r="AL348" s="16">
        <f t="shared" si="5"/>
        <v>1430457.5970000001</v>
      </c>
      <c r="AM348" s="16">
        <f t="shared" si="5"/>
        <v>97674.357000000004</v>
      </c>
      <c r="AN348" s="16">
        <f t="shared" si="5"/>
        <v>27.948</v>
      </c>
      <c r="AO348" s="16">
        <f t="shared" si="5"/>
        <v>88.31</v>
      </c>
      <c r="AP348" s="16">
        <f t="shared" si="5"/>
        <v>12.256</v>
      </c>
      <c r="AQ348" s="16">
        <f t="shared" si="5"/>
        <v>0</v>
      </c>
      <c r="AR348" s="16">
        <f t="shared" si="5"/>
        <v>117.009</v>
      </c>
      <c r="AS348" s="16">
        <f>SUMIF($D$6:$D$338,$D$348,AS6:AS338)</f>
        <v>590.06200000000001</v>
      </c>
      <c r="AT348" s="16">
        <f>SUMIF($D$6:$D$338,$D$348,AT6:AT338)</f>
        <v>645.78399999999999</v>
      </c>
      <c r="AU348" s="16">
        <f>SUMIF($D$6:$D$338,$D$348,AU6:AU338)</f>
        <v>3.0000000000000001E-3</v>
      </c>
      <c r="AV348" s="16">
        <f>SUMIF($D$6:$D$338,$D$348,AV6:AV338)</f>
        <v>0</v>
      </c>
      <c r="AW348" s="16">
        <f t="shared" si="5"/>
        <v>0</v>
      </c>
      <c r="AX348" s="16">
        <f t="shared" si="5"/>
        <v>2839.04</v>
      </c>
      <c r="AY348" s="16">
        <f t="shared" si="5"/>
        <v>0</v>
      </c>
      <c r="AZ348" s="16">
        <f t="shared" si="5"/>
        <v>2E-3</v>
      </c>
      <c r="BA348" s="16">
        <f t="shared" si="5"/>
        <v>0</v>
      </c>
      <c r="BB348" s="16">
        <f t="shared" si="5"/>
        <v>78.39</v>
      </c>
      <c r="BC348" s="16">
        <f t="shared" si="5"/>
        <v>0</v>
      </c>
      <c r="BD348" s="16">
        <f t="shared" si="5"/>
        <v>0</v>
      </c>
      <c r="BE348" s="16">
        <f t="shared" si="5"/>
        <v>0</v>
      </c>
      <c r="BF348" s="16">
        <f t="shared" si="5"/>
        <v>0</v>
      </c>
      <c r="BG348" s="21"/>
    </row>
    <row r="349" spans="1:59" x14ac:dyDescent="0.25">
      <c r="A349" t="s">
        <v>613</v>
      </c>
      <c r="B349">
        <v>7</v>
      </c>
      <c r="D349">
        <v>6</v>
      </c>
      <c r="E349" s="16">
        <f t="shared" ref="E349:BF349" si="6">SUMIF($D$6:$D$338,$D$349,E6:E338)+SUMIF($D$6:$D$338,$B$349,E6:E338)</f>
        <v>1138624.2129999998</v>
      </c>
      <c r="F349" s="16">
        <f t="shared" si="6"/>
        <v>59920.567999999985</v>
      </c>
      <c r="G349" s="16">
        <f t="shared" si="6"/>
        <v>66805.973000000013</v>
      </c>
      <c r="H349" s="16">
        <f t="shared" si="6"/>
        <v>18398.294000000002</v>
      </c>
      <c r="I349" s="16">
        <f t="shared" si="6"/>
        <v>10184.762000000006</v>
      </c>
      <c r="J349" s="16">
        <f t="shared" si="6"/>
        <v>45015.953000000001</v>
      </c>
      <c r="K349" s="16">
        <f t="shared" si="6"/>
        <v>1047662.5659999998</v>
      </c>
      <c r="L349" s="16">
        <f t="shared" si="6"/>
        <v>86676.169000000009</v>
      </c>
      <c r="M349" s="16">
        <f t="shared" si="6"/>
        <v>5315.1040000000003</v>
      </c>
      <c r="N349" s="16">
        <f t="shared" si="6"/>
        <v>484194.0529999999</v>
      </c>
      <c r="O349" s="16">
        <f t="shared" si="6"/>
        <v>2000875.5419999994</v>
      </c>
      <c r="P349" s="16">
        <f t="shared" si="6"/>
        <v>476131.99599999993</v>
      </c>
      <c r="Q349" s="16">
        <f>SUMIF($D$6:$D$338,$D$349,Q6:Q338)+SUMIF($D$6:$D$338,$B$349,Q6:Q338)</f>
        <v>27.81</v>
      </c>
      <c r="R349" s="16">
        <f t="shared" si="6"/>
        <v>-0.77299999999999969</v>
      </c>
      <c r="S349" s="16">
        <f t="shared" si="6"/>
        <v>1449.8380000000002</v>
      </c>
      <c r="T349" s="16">
        <f t="shared" si="6"/>
        <v>33.347000000000122</v>
      </c>
      <c r="U349" s="16">
        <f t="shared" si="6"/>
        <v>932.83699999999976</v>
      </c>
      <c r="V349" s="16">
        <f t="shared" si="6"/>
        <v>8138.8039999999992</v>
      </c>
      <c r="W349" s="16">
        <f t="shared" si="6"/>
        <v>-1.718</v>
      </c>
      <c r="X349" s="16">
        <f t="shared" si="6"/>
        <v>406.2560000000002</v>
      </c>
      <c r="Y349" s="16">
        <f t="shared" si="6"/>
        <v>3844.1059999999998</v>
      </c>
      <c r="Z349" s="16">
        <f t="shared" si="6"/>
        <v>4486.0130000000017</v>
      </c>
      <c r="AA349" s="16">
        <f t="shared" si="6"/>
        <v>14165.191000000003</v>
      </c>
      <c r="AB349" s="16">
        <f t="shared" si="6"/>
        <v>-1676.5429999999999</v>
      </c>
      <c r="AC349" s="16">
        <f t="shared" si="6"/>
        <v>239141.353</v>
      </c>
      <c r="AD349" s="16">
        <f t="shared" si="6"/>
        <v>880.10399999999959</v>
      </c>
      <c r="AE349" s="16">
        <f t="shared" si="6"/>
        <v>51925.398999999998</v>
      </c>
      <c r="AF349" s="16">
        <f t="shared" si="6"/>
        <v>58.481000000000009</v>
      </c>
      <c r="AG349" s="16">
        <f t="shared" si="6"/>
        <v>7260.9889999999996</v>
      </c>
      <c r="AH349" s="16">
        <f t="shared" si="6"/>
        <v>160.23700000000031</v>
      </c>
      <c r="AI349" s="16">
        <f t="shared" si="6"/>
        <v>901527.65799999982</v>
      </c>
      <c r="AJ349" s="16">
        <f t="shared" si="6"/>
        <v>19461.874</v>
      </c>
      <c r="AK349" s="16">
        <f t="shared" si="6"/>
        <v>321.48200000000026</v>
      </c>
      <c r="AL349" s="16">
        <f t="shared" si="6"/>
        <v>2634609.9330000007</v>
      </c>
      <c r="AM349" s="16">
        <f t="shared" si="6"/>
        <v>34887.17300000001</v>
      </c>
      <c r="AN349" s="16">
        <f t="shared" si="6"/>
        <v>6926.6370000000043</v>
      </c>
      <c r="AO349" s="16">
        <f t="shared" si="6"/>
        <v>112493.04</v>
      </c>
      <c r="AP349" s="16">
        <f t="shared" si="6"/>
        <v>905.77399999999818</v>
      </c>
      <c r="AQ349" s="16">
        <f t="shared" si="6"/>
        <v>498.00299999999987</v>
      </c>
      <c r="AR349" s="16">
        <f t="shared" si="6"/>
        <v>70591.852000000014</v>
      </c>
      <c r="AS349" s="16">
        <f>SUMIF($D$6:$D$338,$D$349,AS6:AS338)+SUMIF($D$6:$D$338,$B$349,AS6:AS338)</f>
        <v>-385.33300000000003</v>
      </c>
      <c r="AT349" s="16">
        <f>SUMIF($D$6:$D$338,$D$349,AT6:AT338)+SUMIF($D$6:$D$338,$B$349,AT6:AT338)</f>
        <v>29141.452000000005</v>
      </c>
      <c r="AU349" s="16">
        <f>SUMIF($D$6:$D$338,$D$349,AU6:AU338)+SUMIF($D$6:$D$338,$B$349,AU6:AU338)</f>
        <v>144.14500000000001</v>
      </c>
      <c r="AV349" s="16">
        <f>SUMIF($D$6:$D$338,$D$349,AV6:AV338)+SUMIF($D$6:$D$338,$B$349,AV6:AV338)</f>
        <v>132.75999999999988</v>
      </c>
      <c r="AW349" s="16">
        <f t="shared" si="6"/>
        <v>3.5760000000000032</v>
      </c>
      <c r="AX349" s="16">
        <f t="shared" si="6"/>
        <v>2640.5369999999998</v>
      </c>
      <c r="AY349" s="16">
        <f t="shared" si="6"/>
        <v>-81.988</v>
      </c>
      <c r="AZ349" s="16">
        <f t="shared" si="6"/>
        <v>190.471</v>
      </c>
      <c r="BA349" s="16">
        <f t="shared" si="6"/>
        <v>0</v>
      </c>
      <c r="BB349" s="16">
        <f t="shared" si="6"/>
        <v>1074.69</v>
      </c>
      <c r="BC349" s="16">
        <f t="shared" si="6"/>
        <v>28.194000000000003</v>
      </c>
      <c r="BD349" s="16">
        <f t="shared" si="6"/>
        <v>9.2050000000000018</v>
      </c>
      <c r="BE349" s="16">
        <f t="shared" si="6"/>
        <v>1532.1310000000001</v>
      </c>
      <c r="BF349" s="16">
        <f t="shared" si="6"/>
        <v>-89.330000000000013</v>
      </c>
      <c r="BG349" s="21"/>
    </row>
    <row r="350" spans="1:59" x14ac:dyDescent="0.25"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21"/>
    </row>
    <row r="351" spans="1:59" x14ac:dyDescent="0.25">
      <c r="E351">
        <f t="shared" ref="E351:P351" si="7">SUM(E344:E350)</f>
        <v>5516040.0999999996</v>
      </c>
      <c r="F351">
        <f t="shared" si="7"/>
        <v>899531.43400000001</v>
      </c>
      <c r="G351">
        <f t="shared" si="7"/>
        <v>1041486.8030000001</v>
      </c>
      <c r="H351">
        <f t="shared" si="7"/>
        <v>1082307.24</v>
      </c>
      <c r="I351">
        <f t="shared" si="7"/>
        <v>147735.89300000001</v>
      </c>
      <c r="J351">
        <f t="shared" si="7"/>
        <v>721377.24899999984</v>
      </c>
      <c r="K351">
        <f t="shared" si="7"/>
        <v>4334735.227</v>
      </c>
      <c r="L351">
        <f t="shared" si="7"/>
        <v>855316.23300000001</v>
      </c>
      <c r="M351">
        <f t="shared" si="7"/>
        <v>296392.25699999998</v>
      </c>
      <c r="N351">
        <f t="shared" si="7"/>
        <v>2379218.2030000002</v>
      </c>
      <c r="O351" s="17">
        <f t="shared" si="7"/>
        <v>8687416.8579999991</v>
      </c>
      <c r="P351">
        <f t="shared" si="7"/>
        <v>2441320.56</v>
      </c>
      <c r="Q351">
        <f>SUM(Q344:Q350)</f>
        <v>16102.114000000001</v>
      </c>
      <c r="R351">
        <f t="shared" ref="R351:AR351" si="8">SUM(R344:R350)</f>
        <v>6267.5009999999993</v>
      </c>
      <c r="S351">
        <f t="shared" si="8"/>
        <v>21304.208000000002</v>
      </c>
      <c r="T351">
        <f t="shared" si="8"/>
        <v>11360.786999999998</v>
      </c>
      <c r="U351">
        <f t="shared" si="8"/>
        <v>21122.155999999999</v>
      </c>
      <c r="V351">
        <f t="shared" si="8"/>
        <v>270551.95800000004</v>
      </c>
      <c r="W351">
        <f t="shared" si="8"/>
        <v>2676.1410000000001</v>
      </c>
      <c r="X351">
        <f t="shared" si="8"/>
        <v>138184.90099999998</v>
      </c>
      <c r="Y351">
        <f t="shared" si="8"/>
        <v>211120.49799999999</v>
      </c>
      <c r="Z351">
        <f t="shared" si="8"/>
        <v>80916.884999999995</v>
      </c>
      <c r="AA351">
        <f t="shared" si="8"/>
        <v>228131.467</v>
      </c>
      <c r="AB351">
        <f t="shared" si="8"/>
        <v>208910.23199999999</v>
      </c>
      <c r="AC351">
        <f t="shared" si="8"/>
        <v>1651449.7719999999</v>
      </c>
      <c r="AD351">
        <f t="shared" si="8"/>
        <v>104899.88100000001</v>
      </c>
      <c r="AE351">
        <f t="shared" si="8"/>
        <v>843226.7100000002</v>
      </c>
      <c r="AF351">
        <f t="shared" si="8"/>
        <v>213175.52000000002</v>
      </c>
      <c r="AG351">
        <f t="shared" si="8"/>
        <v>144821.37300000002</v>
      </c>
      <c r="AH351">
        <f t="shared" si="8"/>
        <v>50398.984999999993</v>
      </c>
      <c r="AI351">
        <f t="shared" si="8"/>
        <v>4309288.7180000003</v>
      </c>
      <c r="AJ351">
        <f t="shared" si="8"/>
        <v>947708.12100000016</v>
      </c>
      <c r="AK351">
        <f t="shared" si="8"/>
        <v>210277.48800000001</v>
      </c>
      <c r="AL351">
        <f t="shared" si="8"/>
        <v>13535201.433</v>
      </c>
      <c r="AM351">
        <f t="shared" si="8"/>
        <v>1819240.3869999999</v>
      </c>
      <c r="AN351">
        <f t="shared" si="8"/>
        <v>611625.57000000007</v>
      </c>
      <c r="AO351">
        <f t="shared" si="8"/>
        <v>8280383.152999999</v>
      </c>
      <c r="AP351">
        <f t="shared" si="8"/>
        <v>336850.46299999993</v>
      </c>
      <c r="AQ351">
        <f t="shared" si="8"/>
        <v>217270.50400000002</v>
      </c>
      <c r="AR351">
        <f t="shared" si="8"/>
        <v>5006087.2489999998</v>
      </c>
      <c r="AS351">
        <f>SUM(AS344:AS350)</f>
        <v>37807.96</v>
      </c>
      <c r="AT351">
        <f>SUM(AT344:AT350)</f>
        <v>2679412.0150000001</v>
      </c>
      <c r="AU351">
        <f>SUM(AU344:AU350)</f>
        <v>8482.7930000000015</v>
      </c>
      <c r="AV351">
        <f>SUM(AV344:AV350)</f>
        <v>37223.284999999996</v>
      </c>
      <c r="AW351">
        <f>SUM(AW344:AW350)</f>
        <v>37528.602000000006</v>
      </c>
      <c r="AX351">
        <f t="shared" ref="AX351:BF351" si="9">SUM(AX344:AX350)</f>
        <v>280913.24399999995</v>
      </c>
      <c r="AY351">
        <f t="shared" si="9"/>
        <v>16878.368999999999</v>
      </c>
      <c r="AZ351">
        <f t="shared" si="9"/>
        <v>3259.7119999999995</v>
      </c>
      <c r="BA351">
        <f t="shared" si="9"/>
        <v>0</v>
      </c>
      <c r="BB351">
        <f t="shared" si="9"/>
        <v>74896.524999999994</v>
      </c>
      <c r="BC351">
        <f t="shared" si="9"/>
        <v>63279.118000000002</v>
      </c>
      <c r="BD351">
        <f t="shared" si="9"/>
        <v>57578.247000000003</v>
      </c>
      <c r="BE351">
        <f t="shared" si="9"/>
        <v>392420.51200000005</v>
      </c>
      <c r="BF351">
        <f t="shared" si="9"/>
        <v>40313.489000000001</v>
      </c>
      <c r="BG351" s="21"/>
    </row>
    <row r="352" spans="1:59" x14ac:dyDescent="0.25"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21"/>
    </row>
    <row r="353" spans="1:59" x14ac:dyDescent="0.25">
      <c r="A353" s="8"/>
      <c r="B353" s="8"/>
      <c r="C353" s="8"/>
      <c r="D353" s="8"/>
      <c r="E353" s="8">
        <f t="shared" ref="E353:AT353" si="10">E351-E339</f>
        <v>5516040.0999999996</v>
      </c>
      <c r="F353" s="8">
        <f t="shared" si="10"/>
        <v>899531.43400000001</v>
      </c>
      <c r="G353" s="8">
        <f t="shared" si="10"/>
        <v>1041486.8030000001</v>
      </c>
      <c r="H353" s="8">
        <f t="shared" si="10"/>
        <v>1082307.24</v>
      </c>
      <c r="I353" s="8">
        <f t="shared" si="10"/>
        <v>147735.89300000001</v>
      </c>
      <c r="J353" s="8">
        <f t="shared" si="10"/>
        <v>721377.24899999984</v>
      </c>
      <c r="K353" s="8">
        <f t="shared" si="10"/>
        <v>4334735.227</v>
      </c>
      <c r="L353" s="8">
        <f t="shared" si="10"/>
        <v>855316.23300000001</v>
      </c>
      <c r="M353" s="8">
        <f t="shared" si="10"/>
        <v>296392.25699999998</v>
      </c>
      <c r="N353" s="8">
        <f t="shared" si="10"/>
        <v>2379218.2030000002</v>
      </c>
      <c r="O353" s="18">
        <f t="shared" si="10"/>
        <v>8687416.8579999991</v>
      </c>
      <c r="P353" s="8">
        <f t="shared" si="10"/>
        <v>2441320.56</v>
      </c>
      <c r="Q353" s="8">
        <f>Q351-Q339</f>
        <v>16102.114000000001</v>
      </c>
      <c r="R353" s="8">
        <f t="shared" si="10"/>
        <v>6267.5009999999993</v>
      </c>
      <c r="S353" s="8">
        <f t="shared" si="10"/>
        <v>21304.208000000002</v>
      </c>
      <c r="T353" s="8">
        <f t="shared" si="10"/>
        <v>11360.786999999998</v>
      </c>
      <c r="U353" s="8">
        <f t="shared" si="10"/>
        <v>21122.155999999999</v>
      </c>
      <c r="V353" s="8">
        <f t="shared" si="10"/>
        <v>270551.95800000004</v>
      </c>
      <c r="W353" s="8">
        <f t="shared" si="10"/>
        <v>2676.1410000000001</v>
      </c>
      <c r="X353" s="8">
        <f t="shared" si="10"/>
        <v>138184.90099999998</v>
      </c>
      <c r="Y353" s="8">
        <f t="shared" si="10"/>
        <v>211120.49799999999</v>
      </c>
      <c r="Z353" s="8">
        <f t="shared" si="10"/>
        <v>80916.884999999995</v>
      </c>
      <c r="AA353" s="8">
        <f t="shared" si="10"/>
        <v>228131.467</v>
      </c>
      <c r="AB353" s="8">
        <f t="shared" si="10"/>
        <v>208910.23199999999</v>
      </c>
      <c r="AC353" s="8">
        <f t="shared" si="10"/>
        <v>1651449.7719999999</v>
      </c>
      <c r="AD353" s="8">
        <f t="shared" si="10"/>
        <v>104899.88100000001</v>
      </c>
      <c r="AE353" s="8">
        <f t="shared" si="10"/>
        <v>843226.7100000002</v>
      </c>
      <c r="AF353" s="8">
        <f t="shared" si="10"/>
        <v>213175.52000000002</v>
      </c>
      <c r="AG353" s="8">
        <f t="shared" si="10"/>
        <v>144821.37300000002</v>
      </c>
      <c r="AH353" s="8">
        <f t="shared" si="10"/>
        <v>50398.984999999993</v>
      </c>
      <c r="AI353" s="8">
        <f t="shared" si="10"/>
        <v>4309288.7180000003</v>
      </c>
      <c r="AJ353" s="8">
        <f t="shared" si="10"/>
        <v>947708.12100000016</v>
      </c>
      <c r="AK353" s="8">
        <f t="shared" si="10"/>
        <v>210277.48800000001</v>
      </c>
      <c r="AL353" s="8">
        <f t="shared" si="10"/>
        <v>13535201.433</v>
      </c>
      <c r="AM353" s="8">
        <f t="shared" si="10"/>
        <v>1819240.3869999999</v>
      </c>
      <c r="AN353" s="8">
        <f t="shared" si="10"/>
        <v>611625.57000000007</v>
      </c>
      <c r="AO353" s="8">
        <f t="shared" si="10"/>
        <v>8280383.152999999</v>
      </c>
      <c r="AP353" s="8">
        <f t="shared" si="10"/>
        <v>336850.46299999993</v>
      </c>
      <c r="AQ353" s="8">
        <f t="shared" si="10"/>
        <v>217270.50400000002</v>
      </c>
      <c r="AR353" s="8">
        <f t="shared" si="10"/>
        <v>5006087.2489999998</v>
      </c>
      <c r="AS353" s="8">
        <f t="shared" si="10"/>
        <v>37807.96</v>
      </c>
      <c r="AT353" s="8">
        <f t="shared" si="10"/>
        <v>2679412.0150000001</v>
      </c>
      <c r="AU353" s="8">
        <f>AU351-AU339</f>
        <v>8482.7930000000015</v>
      </c>
      <c r="AV353" s="8">
        <f>AV351-AV339</f>
        <v>37223.284999999996</v>
      </c>
      <c r="AW353" s="8">
        <f t="shared" ref="AW353:BF353" si="11">AW351-AW339</f>
        <v>37528.602000000006</v>
      </c>
      <c r="AX353" s="8">
        <f t="shared" si="11"/>
        <v>280913.24399999995</v>
      </c>
      <c r="AY353" s="8">
        <f t="shared" si="11"/>
        <v>16878.368999999999</v>
      </c>
      <c r="AZ353" s="8">
        <f t="shared" si="11"/>
        <v>3259.7119999999995</v>
      </c>
      <c r="BA353" s="8">
        <f t="shared" si="11"/>
        <v>0</v>
      </c>
      <c r="BB353" s="8">
        <f t="shared" si="11"/>
        <v>74896.524999999994</v>
      </c>
      <c r="BC353" s="8">
        <f t="shared" si="11"/>
        <v>63279.118000000002</v>
      </c>
      <c r="BD353" s="8">
        <f t="shared" si="11"/>
        <v>57578.247000000003</v>
      </c>
      <c r="BE353" s="8">
        <f t="shared" si="11"/>
        <v>392420.51200000005</v>
      </c>
      <c r="BF353" s="8">
        <f t="shared" si="11"/>
        <v>40313.489000000001</v>
      </c>
      <c r="BG353" s="21"/>
    </row>
    <row r="354" spans="1:59" x14ac:dyDescent="0.25">
      <c r="E354" s="19">
        <f t="shared" ref="E354:P354" si="12">E4</f>
        <v>401</v>
      </c>
      <c r="F354" s="19">
        <f t="shared" si="12"/>
        <v>242</v>
      </c>
      <c r="G354" s="19">
        <f t="shared" si="12"/>
        <v>385</v>
      </c>
      <c r="H354" s="19">
        <f t="shared" si="12"/>
        <v>528</v>
      </c>
      <c r="I354" s="19">
        <f t="shared" si="12"/>
        <v>384</v>
      </c>
      <c r="J354" s="19">
        <f t="shared" si="12"/>
        <v>716</v>
      </c>
      <c r="K354" s="19">
        <f t="shared" si="12"/>
        <v>686</v>
      </c>
      <c r="L354" s="19">
        <f t="shared" si="12"/>
        <v>1190</v>
      </c>
      <c r="M354" s="19">
        <f t="shared" si="12"/>
        <v>715</v>
      </c>
      <c r="N354" s="19">
        <f t="shared" si="12"/>
        <v>211</v>
      </c>
      <c r="O354" s="19">
        <f t="shared" si="12"/>
        <v>9916</v>
      </c>
      <c r="P354" s="19">
        <f t="shared" si="12"/>
        <v>1100</v>
      </c>
      <c r="Q354" s="19">
        <f>Q4</f>
        <v>801</v>
      </c>
      <c r="R354" s="19">
        <f t="shared" ref="R354:W354" si="13">R4</f>
        <v>804</v>
      </c>
      <c r="S354" s="19">
        <f t="shared" si="13"/>
        <v>806</v>
      </c>
      <c r="T354" s="19">
        <f t="shared" si="13"/>
        <v>8765</v>
      </c>
      <c r="U354" s="19">
        <f t="shared" si="13"/>
        <v>8766</v>
      </c>
      <c r="V354" s="19">
        <f t="shared" si="13"/>
        <v>9418</v>
      </c>
      <c r="W354" s="19">
        <f t="shared" si="13"/>
        <v>9475</v>
      </c>
      <c r="X354" s="19">
        <f>X4</f>
        <v>9905</v>
      </c>
      <c r="Y354" s="19">
        <f>Y4</f>
        <v>9906</v>
      </c>
      <c r="Z354" s="19">
        <f>Z4</f>
        <v>7905</v>
      </c>
      <c r="AA354" s="19">
        <f t="shared" ref="AA354:AT354" si="14">AA4</f>
        <v>7906</v>
      </c>
      <c r="AB354" s="19">
        <f t="shared" si="14"/>
        <v>7907</v>
      </c>
      <c r="AC354" s="19">
        <f t="shared" si="14"/>
        <v>7908</v>
      </c>
      <c r="AD354" s="19">
        <f t="shared" si="14"/>
        <v>7909</v>
      </c>
      <c r="AE354" s="19">
        <f t="shared" si="14"/>
        <v>11310</v>
      </c>
      <c r="AF354" s="19">
        <f t="shared" si="14"/>
        <v>11311</v>
      </c>
      <c r="AG354" s="19">
        <f t="shared" si="14"/>
        <v>11312</v>
      </c>
      <c r="AH354" s="19">
        <f t="shared" si="14"/>
        <v>11335</v>
      </c>
      <c r="AI354" s="19">
        <f t="shared" si="14"/>
        <v>9529</v>
      </c>
      <c r="AJ354" s="19">
        <f t="shared" si="14"/>
        <v>961</v>
      </c>
      <c r="AK354" s="19">
        <f t="shared" si="14"/>
        <v>9528</v>
      </c>
      <c r="AL354" s="19">
        <f t="shared" si="14"/>
        <v>964</v>
      </c>
      <c r="AM354" s="19">
        <f t="shared" si="14"/>
        <v>968</v>
      </c>
      <c r="AN354" s="19">
        <f t="shared" si="14"/>
        <v>8629</v>
      </c>
      <c r="AO354" s="19">
        <f t="shared" si="14"/>
        <v>13264</v>
      </c>
      <c r="AP354" s="19">
        <f t="shared" si="14"/>
        <v>9917</v>
      </c>
      <c r="AQ354" s="19">
        <f t="shared" si="14"/>
        <v>8624</v>
      </c>
      <c r="AR354" s="19">
        <f t="shared" si="14"/>
        <v>13263</v>
      </c>
      <c r="AS354" s="19">
        <f t="shared" si="14"/>
        <v>13209</v>
      </c>
      <c r="AT354" s="19">
        <f t="shared" si="14"/>
        <v>13250</v>
      </c>
      <c r="AU354" s="19">
        <f>AU4</f>
        <v>14281</v>
      </c>
      <c r="AV354" s="19">
        <f>AV4</f>
        <v>14282</v>
      </c>
      <c r="AW354" s="19">
        <f t="shared" ref="AW354:BF354" si="15">AW4</f>
        <v>2049</v>
      </c>
      <c r="AX354" s="19">
        <f t="shared" si="15"/>
        <v>7975</v>
      </c>
      <c r="AY354" s="19">
        <f t="shared" si="15"/>
        <v>8004</v>
      </c>
      <c r="AZ354" s="19">
        <f t="shared" si="15"/>
        <v>1008</v>
      </c>
      <c r="BA354" s="19">
        <f t="shared" si="15"/>
        <v>9484</v>
      </c>
      <c r="BB354" s="19">
        <f t="shared" si="15"/>
        <v>682</v>
      </c>
      <c r="BC354" s="19">
        <f t="shared" si="15"/>
        <v>11352</v>
      </c>
      <c r="BD354" s="19">
        <f t="shared" si="15"/>
        <v>2058</v>
      </c>
      <c r="BE354" s="19">
        <f t="shared" si="15"/>
        <v>12088</v>
      </c>
      <c r="BF354" s="19">
        <f t="shared" si="15"/>
        <v>15007</v>
      </c>
      <c r="BG354" s="21"/>
    </row>
    <row r="355" spans="1:59" x14ac:dyDescent="0.25">
      <c r="A355" t="s">
        <v>608</v>
      </c>
      <c r="E355" s="20">
        <f t="shared" ref="E355:AR355" si="16">E344/E351</f>
        <v>0.10321911310978324</v>
      </c>
      <c r="F355" s="20">
        <f t="shared" si="16"/>
        <v>0.17176714582716851</v>
      </c>
      <c r="G355" s="20">
        <f t="shared" si="16"/>
        <v>2.9333296314461313E-2</v>
      </c>
      <c r="H355" s="20">
        <f t="shared" si="16"/>
        <v>2.8763914579375816E-2</v>
      </c>
      <c r="I355" s="20">
        <f t="shared" si="16"/>
        <v>8.6647230676704948E-2</v>
      </c>
      <c r="J355" s="20">
        <f t="shared" si="16"/>
        <v>3.1779506536669284E-2</v>
      </c>
      <c r="K355" s="20">
        <f t="shared" si="16"/>
        <v>0.14436880991070508</v>
      </c>
      <c r="L355" s="20">
        <f t="shared" si="16"/>
        <v>9.2186698858081881E-2</v>
      </c>
      <c r="M355" s="20">
        <f t="shared" si="16"/>
        <v>6.971889282519279E-3</v>
      </c>
      <c r="N355" s="20">
        <f t="shared" si="16"/>
        <v>5.6419395594208964E-2</v>
      </c>
      <c r="O355" s="20">
        <f t="shared" si="16"/>
        <v>0.19153325300232765</v>
      </c>
      <c r="P355" s="20">
        <f t="shared" si="16"/>
        <v>5.6035606811094069E-2</v>
      </c>
      <c r="Q355" s="20">
        <f>Q344/Q351</f>
        <v>2.6520430795608577E-2</v>
      </c>
      <c r="R355" s="20">
        <f t="shared" si="16"/>
        <v>0.75820666003882575</v>
      </c>
      <c r="S355" s="20">
        <f t="shared" si="16"/>
        <v>4.2759721459722885E-2</v>
      </c>
      <c r="T355" s="20">
        <f t="shared" si="16"/>
        <v>0.41760091092280854</v>
      </c>
      <c r="U355" s="20">
        <f t="shared" si="16"/>
        <v>6.332364934715945E-2</v>
      </c>
      <c r="V355" s="20">
        <f t="shared" si="16"/>
        <v>0.18815594008748587</v>
      </c>
      <c r="W355" s="20">
        <f t="shared" si="16"/>
        <v>8.6374372650768385E-3</v>
      </c>
      <c r="X355" s="20">
        <f t="shared" si="16"/>
        <v>0.57545349328722972</v>
      </c>
      <c r="Y355" s="20">
        <f t="shared" si="16"/>
        <v>1.0652291091128441E-2</v>
      </c>
      <c r="Z355" s="20">
        <f t="shared" si="16"/>
        <v>6.4568810329265647E-2</v>
      </c>
      <c r="AA355" s="20">
        <f t="shared" si="16"/>
        <v>7.1743631929566287E-2</v>
      </c>
      <c r="AB355" s="20">
        <f t="shared" si="16"/>
        <v>0.90614049961899423</v>
      </c>
      <c r="AC355" s="20">
        <f t="shared" si="16"/>
        <v>0.17768023828217286</v>
      </c>
      <c r="AD355" s="20">
        <f t="shared" si="16"/>
        <v>0.57357497860269258</v>
      </c>
      <c r="AE355" s="20">
        <f t="shared" si="16"/>
        <v>7.2181929578582715E-2</v>
      </c>
      <c r="AF355" s="20">
        <f t="shared" si="16"/>
        <v>0.79673630443120291</v>
      </c>
      <c r="AG355" s="20">
        <f t="shared" si="16"/>
        <v>0.18038102704633241</v>
      </c>
      <c r="AH355" s="20">
        <f t="shared" si="16"/>
        <v>0.25980858543083757</v>
      </c>
      <c r="AI355" s="20">
        <f t="shared" si="16"/>
        <v>0.17374635212362671</v>
      </c>
      <c r="AJ355" s="20">
        <f t="shared" si="16"/>
        <v>0.34163078254343665</v>
      </c>
      <c r="AK355" s="20">
        <f t="shared" si="16"/>
        <v>0.30888080135330509</v>
      </c>
      <c r="AL355" s="20">
        <f t="shared" si="16"/>
        <v>0.16489573125660628</v>
      </c>
      <c r="AM355" s="20">
        <f t="shared" si="16"/>
        <v>0.32624714207161015</v>
      </c>
      <c r="AN355" s="20">
        <f t="shared" si="16"/>
        <v>0.56608267375087018</v>
      </c>
      <c r="AO355" s="20">
        <f t="shared" si="16"/>
        <v>0.8125742753295514</v>
      </c>
      <c r="AP355" s="20">
        <f t="shared" si="16"/>
        <v>0.48860707666594494</v>
      </c>
      <c r="AQ355" s="20">
        <f t="shared" si="16"/>
        <v>0.34408451963640679</v>
      </c>
      <c r="AR355" s="20">
        <f t="shared" si="16"/>
        <v>0.81199965238560312</v>
      </c>
      <c r="AS355" s="20">
        <f>AS344/AS351</f>
        <v>1.5550032321236057E-2</v>
      </c>
      <c r="AT355" s="20">
        <f>AT344/AT351</f>
        <v>0.81454393119902468</v>
      </c>
      <c r="AU355" s="20">
        <f>AU344/AU351</f>
        <v>0.24910191725767675</v>
      </c>
      <c r="AV355" s="20">
        <f>AV344/AV351</f>
        <v>0.44418559511875433</v>
      </c>
      <c r="AW355" s="20">
        <f>AW344/AW351</f>
        <v>0.10372176933209502</v>
      </c>
      <c r="AX355" s="20">
        <f t="shared" ref="AX355:BF355" si="17">AX344/AX351</f>
        <v>0.35749838836363307</v>
      </c>
      <c r="AY355" s="20">
        <f t="shared" si="17"/>
        <v>0.10858809876712615</v>
      </c>
      <c r="AZ355" s="20">
        <f t="shared" si="17"/>
        <v>0.16035373677183754</v>
      </c>
      <c r="BA355" s="20" t="e">
        <f t="shared" si="17"/>
        <v>#DIV/0!</v>
      </c>
      <c r="BB355" s="20">
        <f t="shared" si="17"/>
        <v>0.14234590990703508</v>
      </c>
      <c r="BC355" s="20">
        <f t="shared" si="17"/>
        <v>9.9029572441259373E-2</v>
      </c>
      <c r="BD355" s="20">
        <f t="shared" si="17"/>
        <v>0.10618860973659028</v>
      </c>
      <c r="BE355" s="20">
        <f t="shared" si="17"/>
        <v>0.31482137967344576</v>
      </c>
      <c r="BF355" s="20">
        <f t="shared" si="17"/>
        <v>0.96448327754514129</v>
      </c>
      <c r="BG355" s="21"/>
    </row>
    <row r="356" spans="1:59" x14ac:dyDescent="0.25">
      <c r="A356" t="s">
        <v>609</v>
      </c>
      <c r="E356" s="20">
        <f t="shared" ref="E356:AR356" si="18">E345/E351</f>
        <v>0.23864987547860644</v>
      </c>
      <c r="F356" s="20">
        <f t="shared" si="18"/>
        <v>0.16600987286898972</v>
      </c>
      <c r="G356" s="20">
        <f t="shared" si="18"/>
        <v>0.34086685493987956</v>
      </c>
      <c r="H356" s="20">
        <f t="shared" si="18"/>
        <v>0</v>
      </c>
      <c r="I356" s="20">
        <f t="shared" si="18"/>
        <v>0.35435005628591554</v>
      </c>
      <c r="J356" s="20">
        <f t="shared" si="18"/>
        <v>0.34394529123831585</v>
      </c>
      <c r="K356" s="20">
        <f t="shared" si="18"/>
        <v>0.16678194171973584</v>
      </c>
      <c r="L356" s="20">
        <f t="shared" si="18"/>
        <v>0.19297469828331901</v>
      </c>
      <c r="M356" s="20">
        <f t="shared" si="18"/>
        <v>0.74502505306675415</v>
      </c>
      <c r="N356" s="20">
        <f t="shared" si="18"/>
        <v>0.23898165342004155</v>
      </c>
      <c r="O356" s="20">
        <f t="shared" si="18"/>
        <v>6.104335554148678E-2</v>
      </c>
      <c r="P356" s="20">
        <f t="shared" si="18"/>
        <v>0.23791743719227107</v>
      </c>
      <c r="Q356" s="20">
        <f>Q345/Q351</f>
        <v>0.77030574991581857</v>
      </c>
      <c r="R356" s="20">
        <f t="shared" si="18"/>
        <v>0</v>
      </c>
      <c r="S356" s="20">
        <f t="shared" si="18"/>
        <v>0.75953942995674839</v>
      </c>
      <c r="T356" s="20">
        <f t="shared" si="18"/>
        <v>0.14490915110018349</v>
      </c>
      <c r="U356" s="20">
        <f t="shared" si="18"/>
        <v>0.21564739887348622</v>
      </c>
      <c r="V356" s="20">
        <f t="shared" si="18"/>
        <v>0.17470443884202086</v>
      </c>
      <c r="W356" s="20">
        <f t="shared" si="18"/>
        <v>0.99200453189873028</v>
      </c>
      <c r="X356" s="20">
        <f t="shared" si="18"/>
        <v>5.0681021944647922E-2</v>
      </c>
      <c r="Y356" s="20">
        <f t="shared" si="18"/>
        <v>0.7515251977096038</v>
      </c>
      <c r="Z356" s="20">
        <f t="shared" si="18"/>
        <v>0.2846081259801338</v>
      </c>
      <c r="AA356" s="20">
        <f t="shared" si="18"/>
        <v>0.23893506983848045</v>
      </c>
      <c r="AB356" s="20">
        <f t="shared" si="18"/>
        <v>0</v>
      </c>
      <c r="AC356" s="20">
        <f t="shared" si="18"/>
        <v>0.14339628429219947</v>
      </c>
      <c r="AD356" s="20">
        <f t="shared" si="18"/>
        <v>0</v>
      </c>
      <c r="AE356" s="20">
        <f t="shared" si="18"/>
        <v>0.3200717123868147</v>
      </c>
      <c r="AF356" s="20">
        <f t="shared" si="18"/>
        <v>1.5048632225688953E-5</v>
      </c>
      <c r="AG356" s="20">
        <f t="shared" si="18"/>
        <v>0.13057509128849371</v>
      </c>
      <c r="AH356" s="20">
        <f t="shared" si="18"/>
        <v>0.15161479938534478</v>
      </c>
      <c r="AI356" s="20">
        <f t="shared" si="18"/>
        <v>0.13231913299711284</v>
      </c>
      <c r="AJ356" s="20">
        <f t="shared" si="18"/>
        <v>1.5235313151864398E-2</v>
      </c>
      <c r="AK356" s="20">
        <f t="shared" si="18"/>
        <v>9.4737207437060489E-2</v>
      </c>
      <c r="AL356" s="20">
        <f t="shared" si="18"/>
        <v>0.1139560799767227</v>
      </c>
      <c r="AM356" s="20">
        <f t="shared" si="18"/>
        <v>1.4679315164082274E-2</v>
      </c>
      <c r="AN356" s="20">
        <f t="shared" si="18"/>
        <v>0</v>
      </c>
      <c r="AO356" s="20">
        <f t="shared" si="18"/>
        <v>0</v>
      </c>
      <c r="AP356" s="20">
        <f t="shared" si="18"/>
        <v>0.12392573140087984</v>
      </c>
      <c r="AQ356" s="20">
        <f t="shared" si="18"/>
        <v>0.2241615364412281</v>
      </c>
      <c r="AR356" s="20">
        <f t="shared" si="18"/>
        <v>0</v>
      </c>
      <c r="AS356" s="20">
        <f>AS345/AS351</f>
        <v>0.76572073711461819</v>
      </c>
      <c r="AT356" s="20">
        <f>AT345/AT351</f>
        <v>0</v>
      </c>
      <c r="AU356" s="20">
        <f>AU345/AU351</f>
        <v>0.17464931656354221</v>
      </c>
      <c r="AV356" s="20">
        <f>AV345/AV351</f>
        <v>0.19320573130501514</v>
      </c>
      <c r="AW356" s="20">
        <f>AW345/AW351</f>
        <v>0</v>
      </c>
      <c r="AX356" s="20">
        <f t="shared" ref="AX356:BF356" si="19">AX345/AX351</f>
        <v>1.5364409091370575E-2</v>
      </c>
      <c r="AY356" s="20">
        <f t="shared" si="19"/>
        <v>0</v>
      </c>
      <c r="AZ356" s="20">
        <f t="shared" si="19"/>
        <v>0.33316225482496614</v>
      </c>
      <c r="BA356" s="20" t="e">
        <f t="shared" si="19"/>
        <v>#DIV/0!</v>
      </c>
      <c r="BB356" s="20">
        <f t="shared" si="19"/>
        <v>0.38980295814792476</v>
      </c>
      <c r="BC356" s="20">
        <f t="shared" si="19"/>
        <v>0</v>
      </c>
      <c r="BD356" s="20">
        <f t="shared" si="19"/>
        <v>0</v>
      </c>
      <c r="BE356" s="20">
        <f t="shared" si="19"/>
        <v>9.2114387231623587E-2</v>
      </c>
      <c r="BF356" s="20">
        <f t="shared" si="19"/>
        <v>0</v>
      </c>
      <c r="BG356" s="21"/>
    </row>
    <row r="357" spans="1:59" x14ac:dyDescent="0.25">
      <c r="A357" t="s">
        <v>610</v>
      </c>
      <c r="E357" s="20">
        <f t="shared" ref="E357:AR357" si="20">E346/E351</f>
        <v>0.21110565512386326</v>
      </c>
      <c r="F357" s="20">
        <f t="shared" si="20"/>
        <v>0.27073558165394812</v>
      </c>
      <c r="G357" s="20">
        <f t="shared" si="20"/>
        <v>0.47554669782983328</v>
      </c>
      <c r="H357" s="20">
        <f t="shared" si="20"/>
        <v>6.956824385652266E-2</v>
      </c>
      <c r="I357" s="20">
        <f t="shared" si="20"/>
        <v>0.31948676818841842</v>
      </c>
      <c r="J357" s="20">
        <f t="shared" si="20"/>
        <v>0.46515683501961952</v>
      </c>
      <c r="K357" s="20">
        <f t="shared" si="20"/>
        <v>7.4285890864632512E-2</v>
      </c>
      <c r="L357" s="20">
        <f t="shared" si="20"/>
        <v>0.44051781021207392</v>
      </c>
      <c r="M357" s="20">
        <f t="shared" si="20"/>
        <v>0.20754885644667839</v>
      </c>
      <c r="N357" s="20">
        <f t="shared" si="20"/>
        <v>0.35521190361370142</v>
      </c>
      <c r="O357" s="20">
        <f t="shared" si="20"/>
        <v>0.11124301973722556</v>
      </c>
      <c r="P357" s="20">
        <f t="shared" si="20"/>
        <v>0.33502008232790209</v>
      </c>
      <c r="Q357" s="20">
        <f>Q346/Q351</f>
        <v>0.20144671687208277</v>
      </c>
      <c r="R357" s="20">
        <f t="shared" si="20"/>
        <v>0</v>
      </c>
      <c r="S357" s="20">
        <f t="shared" si="20"/>
        <v>8.356799745853025E-3</v>
      </c>
      <c r="T357" s="20">
        <f t="shared" si="20"/>
        <v>0.34202269613892061</v>
      </c>
      <c r="U357" s="20">
        <f t="shared" si="20"/>
        <v>0.6632428526709111</v>
      </c>
      <c r="V357" s="20">
        <f t="shared" si="20"/>
        <v>0.36775468466578232</v>
      </c>
      <c r="W357" s="20">
        <f t="shared" si="20"/>
        <v>0</v>
      </c>
      <c r="X357" s="20">
        <f t="shared" si="20"/>
        <v>0.23348086344107891</v>
      </c>
      <c r="Y357" s="20">
        <f t="shared" si="20"/>
        <v>0.20935966625088201</v>
      </c>
      <c r="Z357" s="20">
        <f t="shared" si="20"/>
        <v>0.51082452074125195</v>
      </c>
      <c r="AA357" s="20">
        <f t="shared" si="20"/>
        <v>0.4525067118426061</v>
      </c>
      <c r="AB357" s="20">
        <f t="shared" si="20"/>
        <v>0</v>
      </c>
      <c r="AC357" s="20">
        <f t="shared" si="20"/>
        <v>0.13597597989798266</v>
      </c>
      <c r="AD357" s="20">
        <f t="shared" si="20"/>
        <v>0.17244847017509962</v>
      </c>
      <c r="AE357" s="20">
        <f t="shared" si="20"/>
        <v>0.47771555291458917</v>
      </c>
      <c r="AF357" s="20">
        <f t="shared" si="20"/>
        <v>0</v>
      </c>
      <c r="AG357" s="20">
        <f t="shared" si="20"/>
        <v>0.30250128894993977</v>
      </c>
      <c r="AH357" s="20">
        <f t="shared" si="20"/>
        <v>0.26869076827638499</v>
      </c>
      <c r="AI357" s="20">
        <f t="shared" si="20"/>
        <v>7.7551235683995287E-2</v>
      </c>
      <c r="AJ357" s="20">
        <f t="shared" si="20"/>
        <v>1.5051650063891349E-2</v>
      </c>
      <c r="AK357" s="20">
        <f t="shared" si="20"/>
        <v>0.24335024869614194</v>
      </c>
      <c r="AL357" s="20">
        <f t="shared" si="20"/>
        <v>0.15712011524372563</v>
      </c>
      <c r="AM357" s="20">
        <f t="shared" si="20"/>
        <v>1.4504612028492748E-2</v>
      </c>
      <c r="AN357" s="20">
        <f t="shared" si="20"/>
        <v>0.16888840340667902</v>
      </c>
      <c r="AO357" s="20">
        <f t="shared" si="20"/>
        <v>0</v>
      </c>
      <c r="AP357" s="20">
        <f t="shared" si="20"/>
        <v>0.27148283005328688</v>
      </c>
      <c r="AQ357" s="20">
        <f t="shared" si="20"/>
        <v>0.35308035185484726</v>
      </c>
      <c r="AR357" s="20">
        <f t="shared" si="20"/>
        <v>0</v>
      </c>
      <c r="AS357" s="20">
        <f>AS346/AS351</f>
        <v>0.21331425974847626</v>
      </c>
      <c r="AT357" s="20">
        <f>AT346/AT351</f>
        <v>0</v>
      </c>
      <c r="AU357" s="20">
        <f>AU346/AU351</f>
        <v>0.31359081849574771</v>
      </c>
      <c r="AV357" s="20">
        <f>AV346/AV351</f>
        <v>0.26785244773533551</v>
      </c>
      <c r="AW357" s="20">
        <f>AW346/AW351</f>
        <v>0</v>
      </c>
      <c r="AX357" s="20">
        <f t="shared" ref="AX357:BF357" si="21">AX346/AX351</f>
        <v>1.4750824635381025E-2</v>
      </c>
      <c r="AY357" s="20">
        <f t="shared" si="21"/>
        <v>0</v>
      </c>
      <c r="AZ357" s="20">
        <f t="shared" si="21"/>
        <v>0.24148759154182944</v>
      </c>
      <c r="BA357" s="20" t="e">
        <f t="shared" si="21"/>
        <v>#DIV/0!</v>
      </c>
      <c r="BB357" s="20">
        <f t="shared" si="21"/>
        <v>0.33613050805761679</v>
      </c>
      <c r="BC357" s="20">
        <f t="shared" si="21"/>
        <v>0</v>
      </c>
      <c r="BD357" s="20">
        <f t="shared" si="21"/>
        <v>0</v>
      </c>
      <c r="BE357" s="20">
        <f t="shared" si="21"/>
        <v>0.37936120168968124</v>
      </c>
      <c r="BF357" s="20">
        <f t="shared" si="21"/>
        <v>0</v>
      </c>
      <c r="BG357" s="21"/>
    </row>
    <row r="358" spans="1:59" x14ac:dyDescent="0.25">
      <c r="A358" t="s">
        <v>611</v>
      </c>
      <c r="E358" s="20">
        <f t="shared" ref="E358:AR358" si="22">E347/E351</f>
        <v>0.14570007821371708</v>
      </c>
      <c r="F358" s="20">
        <f t="shared" si="22"/>
        <v>0.26583732147819522</v>
      </c>
      <c r="G358" s="20">
        <f t="shared" si="22"/>
        <v>-1.3308377945908548E-4</v>
      </c>
      <c r="H358" s="20">
        <f t="shared" si="22"/>
        <v>1.1082879756029351E-2</v>
      </c>
      <c r="I358" s="20">
        <f t="shared" si="22"/>
        <v>8.1255142242244394E-2</v>
      </c>
      <c r="J358" s="20">
        <f t="shared" si="22"/>
        <v>2.5567759484469135E-4</v>
      </c>
      <c r="K358" s="20">
        <f t="shared" si="22"/>
        <v>0.24656785548115329</v>
      </c>
      <c r="L358" s="20">
        <f t="shared" si="22"/>
        <v>9.035971026636648E-2</v>
      </c>
      <c r="M358" s="20">
        <f t="shared" si="22"/>
        <v>0</v>
      </c>
      <c r="N358" s="20">
        <f t="shared" si="22"/>
        <v>5.1533826046471276E-2</v>
      </c>
      <c r="O358" s="20">
        <f t="shared" si="22"/>
        <v>0.32468015189147492</v>
      </c>
      <c r="P358" s="20">
        <f t="shared" si="22"/>
        <v>6.1165058553392118E-2</v>
      </c>
      <c r="Q358" s="20">
        <f>Q347/Q351</f>
        <v>0</v>
      </c>
      <c r="R358" s="20">
        <f t="shared" si="22"/>
        <v>0.24191667460443966</v>
      </c>
      <c r="S358" s="20">
        <f t="shared" si="22"/>
        <v>3.2147170174080157E-3</v>
      </c>
      <c r="T358" s="20">
        <f t="shared" si="22"/>
        <v>9.2531969836244621E-2</v>
      </c>
      <c r="U358" s="20">
        <f t="shared" si="22"/>
        <v>4.7402357978986618E-3</v>
      </c>
      <c r="V358" s="20">
        <f t="shared" si="22"/>
        <v>0.2393021343427128</v>
      </c>
      <c r="W358" s="20">
        <f t="shared" si="22"/>
        <v>0</v>
      </c>
      <c r="X358" s="20">
        <f t="shared" si="22"/>
        <v>0.13744142712089796</v>
      </c>
      <c r="Y358" s="20">
        <f t="shared" si="22"/>
        <v>0</v>
      </c>
      <c r="Z358" s="20">
        <f t="shared" si="22"/>
        <v>2.4832888710434172E-4</v>
      </c>
      <c r="AA358" s="20">
        <f t="shared" si="22"/>
        <v>7.1684920169298713E-2</v>
      </c>
      <c r="AB358" s="20">
        <f t="shared" si="22"/>
        <v>0.10188468413552861</v>
      </c>
      <c r="AC358" s="20">
        <f t="shared" si="22"/>
        <v>0.2664509823190675</v>
      </c>
      <c r="AD358" s="20">
        <f t="shared" si="22"/>
        <v>0.24558660843476074</v>
      </c>
      <c r="AE358" s="20">
        <f t="shared" si="22"/>
        <v>6.0254495496234932E-4</v>
      </c>
      <c r="AF358" s="20">
        <f t="shared" si="22"/>
        <v>0.20297431431151192</v>
      </c>
      <c r="AG358" s="20">
        <f t="shared" si="22"/>
        <v>0.26747721829705345</v>
      </c>
      <c r="AH358" s="20">
        <f t="shared" si="22"/>
        <v>0.31670647732290641</v>
      </c>
      <c r="AI358" s="20">
        <f t="shared" si="22"/>
        <v>0.25600028686683135</v>
      </c>
      <c r="AJ358" s="20">
        <f t="shared" si="22"/>
        <v>0.59321983482296248</v>
      </c>
      <c r="AK358" s="20">
        <f t="shared" si="22"/>
        <v>0.34076854674999729</v>
      </c>
      <c r="AL358" s="20">
        <f t="shared" si="22"/>
        <v>0.26369508253479423</v>
      </c>
      <c r="AM358" s="20">
        <f t="shared" si="22"/>
        <v>0.57170251300055375</v>
      </c>
      <c r="AN358" s="20">
        <f t="shared" si="22"/>
        <v>0.25365826513760698</v>
      </c>
      <c r="AO358" s="20">
        <f t="shared" si="22"/>
        <v>0.17382957242485952</v>
      </c>
      <c r="AP358" s="20">
        <f t="shared" si="22"/>
        <v>0.11325902793845948</v>
      </c>
      <c r="AQ358" s="20">
        <f t="shared" si="22"/>
        <v>7.6381504596684691E-2</v>
      </c>
      <c r="AR358" s="20">
        <f t="shared" si="22"/>
        <v>0.17387577137691232</v>
      </c>
      <c r="AS358" s="20">
        <f>AS347/AS351</f>
        <v>0</v>
      </c>
      <c r="AT358" s="20">
        <f>AT347/AT351</f>
        <v>0.17433898944429418</v>
      </c>
      <c r="AU358" s="20">
        <f>AU347/AU351</f>
        <v>0.24566495964241969</v>
      </c>
      <c r="AV358" s="20">
        <f>AV347/AV351</f>
        <v>9.1189641107709871E-2</v>
      </c>
      <c r="AW358" s="20">
        <f>AW347/AW351</f>
        <v>0.89618294334545145</v>
      </c>
      <c r="AX358" s="20">
        <f t="shared" ref="AX358:BF358" si="23">AX347/AX351</f>
        <v>0.59288008151014771</v>
      </c>
      <c r="AY358" s="20">
        <f t="shared" si="23"/>
        <v>0.89626947959248904</v>
      </c>
      <c r="AZ358" s="20">
        <f t="shared" si="23"/>
        <v>0.20656395411619194</v>
      </c>
      <c r="BA358" s="20" t="e">
        <f t="shared" si="23"/>
        <v>#DIV/0!</v>
      </c>
      <c r="BB358" s="20">
        <f t="shared" si="23"/>
        <v>0.11632498303492719</v>
      </c>
      <c r="BC358" s="20">
        <f t="shared" si="23"/>
        <v>0.90052487773296708</v>
      </c>
      <c r="BD358" s="20">
        <f t="shared" si="23"/>
        <v>0.89365152085995248</v>
      </c>
      <c r="BE358" s="20">
        <f t="shared" si="23"/>
        <v>0.20979872224416241</v>
      </c>
      <c r="BF358" s="20">
        <f t="shared" si="23"/>
        <v>3.7732606076343329E-2</v>
      </c>
      <c r="BG358" s="21"/>
    </row>
    <row r="359" spans="1:59" x14ac:dyDescent="0.25">
      <c r="A359" t="s">
        <v>612</v>
      </c>
      <c r="E359" s="20">
        <f t="shared" ref="E359:AR359" si="24">E348/E351</f>
        <v>9.490469512721636E-2</v>
      </c>
      <c r="F359" s="20">
        <f t="shared" si="24"/>
        <v>5.9036988583992055E-2</v>
      </c>
      <c r="G359" s="20">
        <f t="shared" si="24"/>
        <v>9.0241424787405558E-2</v>
      </c>
      <c r="H359" s="20">
        <f t="shared" si="24"/>
        <v>0.87358582023344877</v>
      </c>
      <c r="I359" s="20">
        <f t="shared" si="24"/>
        <v>8.9321821068898952E-2</v>
      </c>
      <c r="J359" s="20">
        <f t="shared" si="24"/>
        <v>9.6459899582998943E-2</v>
      </c>
      <c r="K359" s="20">
        <f t="shared" si="24"/>
        <v>0.12630540767282716</v>
      </c>
      <c r="L359" s="20">
        <f t="shared" si="24"/>
        <v>8.262292737287498E-2</v>
      </c>
      <c r="M359" s="20">
        <f t="shared" si="24"/>
        <v>2.2521533010223003E-2</v>
      </c>
      <c r="N359" s="20">
        <f t="shared" si="24"/>
        <v>9.4343491789432993E-2</v>
      </c>
      <c r="O359" s="20">
        <f t="shared" si="24"/>
        <v>8.1181406455769267E-2</v>
      </c>
      <c r="P359" s="20">
        <f t="shared" si="24"/>
        <v>0.11483130425117136</v>
      </c>
      <c r="Q359" s="20">
        <f>Q348/Q351</f>
        <v>0</v>
      </c>
      <c r="R359" s="20">
        <f t="shared" si="24"/>
        <v>0</v>
      </c>
      <c r="S359" s="20">
        <f t="shared" si="24"/>
        <v>0.11807526475520704</v>
      </c>
      <c r="T359" s="20">
        <f t="shared" si="24"/>
        <v>0</v>
      </c>
      <c r="U359" s="20">
        <f t="shared" si="24"/>
        <v>8.8819531491008772E-3</v>
      </c>
      <c r="V359" s="20">
        <f t="shared" si="24"/>
        <v>5.8029519047132523E-7</v>
      </c>
      <c r="W359" s="20">
        <f t="shared" si="24"/>
        <v>0</v>
      </c>
      <c r="X359" s="20">
        <f t="shared" si="24"/>
        <v>3.2492696144855947E-6</v>
      </c>
      <c r="Y359" s="20">
        <f t="shared" si="24"/>
        <v>1.0254731399885197E-2</v>
      </c>
      <c r="Z359" s="20">
        <f t="shared" si="24"/>
        <v>8.4310450161298234E-2</v>
      </c>
      <c r="AA359" s="20">
        <f t="shared" si="24"/>
        <v>0.10303743849593532</v>
      </c>
      <c r="AB359" s="20">
        <f t="shared" si="24"/>
        <v>0</v>
      </c>
      <c r="AC359" s="20">
        <f t="shared" si="24"/>
        <v>0.1316895964305477</v>
      </c>
      <c r="AD359" s="20">
        <f t="shared" si="24"/>
        <v>0</v>
      </c>
      <c r="AE359" s="20">
        <f t="shared" si="24"/>
        <v>6.7848855262186827E-2</v>
      </c>
      <c r="AF359" s="20">
        <f t="shared" si="24"/>
        <v>0</v>
      </c>
      <c r="AG359" s="20">
        <f t="shared" si="24"/>
        <v>6.8927823243327482E-2</v>
      </c>
      <c r="AH359" s="20">
        <f t="shared" si="24"/>
        <v>0</v>
      </c>
      <c r="AI359" s="20">
        <f t="shared" si="24"/>
        <v>0.15117731663668954</v>
      </c>
      <c r="AJ359" s="20">
        <f t="shared" si="24"/>
        <v>1.4326693735275059E-2</v>
      </c>
      <c r="AK359" s="20">
        <f t="shared" si="24"/>
        <v>1.0734349270902456E-2</v>
      </c>
      <c r="AL359" s="20">
        <f t="shared" si="24"/>
        <v>0.10568424888841475</v>
      </c>
      <c r="AM359" s="20">
        <f t="shared" si="24"/>
        <v>5.3689637553104748E-2</v>
      </c>
      <c r="AN359" s="20">
        <f t="shared" si="24"/>
        <v>4.5694623264360905E-5</v>
      </c>
      <c r="AO359" s="20">
        <f t="shared" si="24"/>
        <v>1.0664965421075367E-5</v>
      </c>
      <c r="AP359" s="20">
        <f t="shared" si="24"/>
        <v>3.6384097236642372E-5</v>
      </c>
      <c r="AQ359" s="20">
        <f t="shared" si="24"/>
        <v>0</v>
      </c>
      <c r="AR359" s="20">
        <f t="shared" si="24"/>
        <v>2.3373344126867415E-5</v>
      </c>
      <c r="AS359" s="20">
        <f>AS348/AS351</f>
        <v>1.5606819304717844E-2</v>
      </c>
      <c r="AT359" s="20">
        <f>AT348/AT351</f>
        <v>2.4101705761739669E-4</v>
      </c>
      <c r="AU359" s="20">
        <f>AU348/AU351</f>
        <v>3.536571032677562E-7</v>
      </c>
      <c r="AV359" s="20">
        <f>AV348/AV351</f>
        <v>0</v>
      </c>
      <c r="AW359" s="20">
        <f>AW348/AW351</f>
        <v>0</v>
      </c>
      <c r="AX359" s="20">
        <f t="shared" ref="AX359:BF359" si="25">AX348/AX351</f>
        <v>1.0106465468036105E-2</v>
      </c>
      <c r="AY359" s="20">
        <f t="shared" si="25"/>
        <v>0</v>
      </c>
      <c r="AZ359" s="20">
        <f t="shared" si="25"/>
        <v>6.1355113580586272E-7</v>
      </c>
      <c r="BA359" s="20" t="e">
        <f t="shared" si="25"/>
        <v>#DIV/0!</v>
      </c>
      <c r="BB359" s="20">
        <f t="shared" si="25"/>
        <v>1.0466440198660754E-3</v>
      </c>
      <c r="BC359" s="20">
        <f t="shared" si="25"/>
        <v>0</v>
      </c>
      <c r="BD359" s="20">
        <f t="shared" si="25"/>
        <v>0</v>
      </c>
      <c r="BE359" s="20">
        <f t="shared" si="25"/>
        <v>0</v>
      </c>
      <c r="BF359" s="20">
        <f t="shared" si="25"/>
        <v>0</v>
      </c>
      <c r="BG359" s="21"/>
    </row>
    <row r="360" spans="1:59" x14ac:dyDescent="0.25">
      <c r="A360" t="s">
        <v>613</v>
      </c>
      <c r="E360" s="20">
        <f t="shared" ref="E360:P360" si="26">E349/E351</f>
        <v>0.20642058294681356</v>
      </c>
      <c r="F360" s="20">
        <f t="shared" si="26"/>
        <v>6.661308958770637E-2</v>
      </c>
      <c r="G360" s="20">
        <f t="shared" si="26"/>
        <v>6.4144809907879366E-2</v>
      </c>
      <c r="H360" s="20">
        <f t="shared" si="26"/>
        <v>1.699914157462349E-2</v>
      </c>
      <c r="I360" s="20">
        <f t="shared" si="26"/>
        <v>6.8938981537817662E-2</v>
      </c>
      <c r="J360" s="20">
        <f t="shared" si="26"/>
        <v>6.2402790027551884E-2</v>
      </c>
      <c r="K360" s="20">
        <f t="shared" si="26"/>
        <v>0.2416900943509461</v>
      </c>
      <c r="L360" s="20">
        <f t="shared" si="26"/>
        <v>0.10133815500728373</v>
      </c>
      <c r="M360" s="20">
        <f t="shared" si="26"/>
        <v>1.7932668193825323E-2</v>
      </c>
      <c r="N360" s="20">
        <f t="shared" si="26"/>
        <v>0.20350972953614371</v>
      </c>
      <c r="O360" s="20">
        <f t="shared" si="26"/>
        <v>0.23031881337171581</v>
      </c>
      <c r="P360" s="20">
        <f t="shared" si="26"/>
        <v>0.19503051086416931</v>
      </c>
      <c r="Q360" s="20">
        <f>Q349/Q351</f>
        <v>1.7271024164901576E-3</v>
      </c>
      <c r="R360" s="20">
        <f t="shared" ref="R360:AR360" si="27">R349/R351</f>
        <v>-1.2333464326531415E-4</v>
      </c>
      <c r="S360" s="20">
        <f t="shared" si="27"/>
        <v>6.8054067065060578E-2</v>
      </c>
      <c r="T360" s="20">
        <f t="shared" si="27"/>
        <v>2.935272001842841E-3</v>
      </c>
      <c r="U360" s="20">
        <f t="shared" si="27"/>
        <v>4.4163910161443734E-2</v>
      </c>
      <c r="V360" s="20">
        <f t="shared" si="27"/>
        <v>3.0082221766807533E-2</v>
      </c>
      <c r="W360" s="20">
        <f t="shared" si="27"/>
        <v>-6.4196916380713869E-4</v>
      </c>
      <c r="X360" s="20">
        <f t="shared" si="27"/>
        <v>2.9399449365310922E-3</v>
      </c>
      <c r="Y360" s="20">
        <f t="shared" si="27"/>
        <v>1.8208113548500628E-2</v>
      </c>
      <c r="Z360" s="20">
        <f t="shared" si="27"/>
        <v>5.5439763900946036E-2</v>
      </c>
      <c r="AA360" s="20">
        <f t="shared" si="27"/>
        <v>6.2092227724113144E-2</v>
      </c>
      <c r="AB360" s="20">
        <f t="shared" si="27"/>
        <v>-8.0251837545228522E-3</v>
      </c>
      <c r="AC360" s="20">
        <f t="shared" si="27"/>
        <v>0.14480691877802992</v>
      </c>
      <c r="AD360" s="20">
        <f t="shared" si="27"/>
        <v>8.3899427874470096E-3</v>
      </c>
      <c r="AE360" s="20">
        <f t="shared" si="27"/>
        <v>6.1579404902864128E-2</v>
      </c>
      <c r="AF360" s="20">
        <f t="shared" si="27"/>
        <v>2.7433262505938767E-4</v>
      </c>
      <c r="AG360" s="20">
        <f t="shared" si="27"/>
        <v>5.0137551174853162E-2</v>
      </c>
      <c r="AH360" s="20">
        <f t="shared" si="27"/>
        <v>3.1793695845263614E-3</v>
      </c>
      <c r="AI360" s="20">
        <f t="shared" si="27"/>
        <v>0.20920567569174411</v>
      </c>
      <c r="AJ360" s="20">
        <f t="shared" si="27"/>
        <v>2.0535725682570147E-2</v>
      </c>
      <c r="AK360" s="20">
        <f t="shared" si="27"/>
        <v>1.5288464925926842E-3</v>
      </c>
      <c r="AL360" s="20">
        <f t="shared" si="27"/>
        <v>0.19464874209973648</v>
      </c>
      <c r="AM360" s="20">
        <f t="shared" si="27"/>
        <v>1.9176780182156329E-2</v>
      </c>
      <c r="AN360" s="20">
        <f t="shared" si="27"/>
        <v>1.1324963081579476E-2</v>
      </c>
      <c r="AO360" s="20">
        <f t="shared" si="27"/>
        <v>1.3585487280168134E-2</v>
      </c>
      <c r="AP360" s="20">
        <f t="shared" si="27"/>
        <v>2.6889498441924312E-3</v>
      </c>
      <c r="AQ360" s="20">
        <f t="shared" si="27"/>
        <v>2.292087470833132E-3</v>
      </c>
      <c r="AR360" s="20">
        <f t="shared" si="27"/>
        <v>1.4101202893357725E-2</v>
      </c>
      <c r="AS360" s="20">
        <f>AS349/AS351</f>
        <v>-1.0191848489048338E-2</v>
      </c>
      <c r="AT360" s="20">
        <f>AT349/AT351</f>
        <v>1.0876062299063776E-2</v>
      </c>
      <c r="AU360" s="20">
        <f>AU349/AU351</f>
        <v>1.699263438351024E-2</v>
      </c>
      <c r="AV360" s="20">
        <f>AV349/AV351</f>
        <v>3.5665847331851526E-3</v>
      </c>
      <c r="AW360" s="20">
        <f>AW349/AW351</f>
        <v>9.5287322453418402E-5</v>
      </c>
      <c r="AX360" s="20">
        <f t="shared" ref="AX360:BF360" si="28">AX349/AX351</f>
        <v>9.3998309314316277E-3</v>
      </c>
      <c r="AY360" s="20">
        <f t="shared" si="28"/>
        <v>-4.8575783596151974E-3</v>
      </c>
      <c r="AZ360" s="20">
        <f t="shared" si="28"/>
        <v>5.8431849194039237E-2</v>
      </c>
      <c r="BA360" s="20" t="e">
        <f t="shared" si="28"/>
        <v>#DIV/0!</v>
      </c>
      <c r="BB360" s="20">
        <f t="shared" si="28"/>
        <v>1.4348996832630087E-2</v>
      </c>
      <c r="BC360" s="20">
        <f t="shared" si="28"/>
        <v>4.4554982577348822E-4</v>
      </c>
      <c r="BD360" s="20">
        <f t="shared" si="28"/>
        <v>1.5986940345717718E-4</v>
      </c>
      <c r="BE360" s="20">
        <f t="shared" si="28"/>
        <v>3.9043091610868699E-3</v>
      </c>
      <c r="BF360" s="20">
        <f t="shared" si="28"/>
        <v>-2.2158836214846104E-3</v>
      </c>
      <c r="BG360" s="21"/>
    </row>
    <row r="361" spans="1:59" x14ac:dyDescent="0.25">
      <c r="A361" s="21" t="s">
        <v>709</v>
      </c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</row>
  </sheetData>
  <mergeCells count="3">
    <mergeCell ref="A2:BG2"/>
    <mergeCell ref="BG3:BG361"/>
    <mergeCell ref="A361:BF361"/>
  </mergeCells>
  <conditionalFormatting sqref="A18:A34">
    <cfRule type="cellIs" dxfId="3" priority="8" stopIfTrue="1" operator="lessThan">
      <formula>0</formula>
    </cfRule>
  </conditionalFormatting>
  <conditionalFormatting sqref="B24:B34">
    <cfRule type="cellIs" dxfId="2" priority="17" stopIfTrue="1" operator="lessThan">
      <formula>0</formula>
    </cfRule>
  </conditionalFormatting>
  <conditionalFormatting sqref="C17:D25">
    <cfRule type="cellIs" dxfId="1" priority="9" stopIfTrue="1" operator="lessThan">
      <formula>0</formula>
    </cfRule>
  </conditionalFormatting>
  <conditionalFormatting sqref="E16:BF24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  <Kupa_Hishtalmut xmlns="e7c93c0b-31f4-4d6d-a404-57fd37393f5c">
      <Value>6</Value>
      <Value>7</Value>
      <Value>13</Value>
      <Value>14</Value>
      <Value>9</Value>
      <Value>1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2BE28779-6ED8-40E3-B331-48895827A8A5}"/>
</file>

<file path=customXml/itemProps2.xml><?xml version="1.0" encoding="utf-8"?>
<ds:datastoreItem xmlns:ds="http://schemas.openxmlformats.org/officeDocument/2006/customXml" ds:itemID="{8CD839D7-B23B-4D58-B77A-7F48066D76EB}"/>
</file>

<file path=customXml/itemProps3.xml><?xml version="1.0" encoding="utf-8"?>
<ds:datastoreItem xmlns:ds="http://schemas.openxmlformats.org/officeDocument/2006/customXml" ds:itemID="{8B2D5D55-7951-4B16-801F-9EB15288DA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5/2024</dc:title>
  <dc:creator>פרידמן אמיר</dc:creator>
  <cp:lastModifiedBy>Tami Berman</cp:lastModifiedBy>
  <dcterms:created xsi:type="dcterms:W3CDTF">2024-06-23T11:24:50Z</dcterms:created>
  <dcterms:modified xsi:type="dcterms:W3CDTF">2024-06-24T20:15:16Z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