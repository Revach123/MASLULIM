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etapp\h_account$\דוד דוד\השקעות לא סחירות\דוחות לאוצר קבוצת הפניקס\שנת 2021\צדדים קשורים\דוחות לאתר\2021\קבצים מונגשים\"/>
    </mc:Choice>
  </mc:AlternateContent>
  <bookViews>
    <workbookView xWindow="-105" yWindow="-105" windowWidth="23250" windowHeight="12570" activeTab="0"/>
  </bookViews>
  <sheets>
    <sheet name="נספח 1" sheetId="1" r:id="rId2"/>
    <sheet name="נספח 2" sheetId="2" r:id="rId3"/>
    <sheet name="נספח 3א" sheetId="3" r:id="rId4"/>
    <sheet name="נספח 3ב" sheetId="4" r:id="rId5"/>
    <sheet name="נספח 3ג" sheetId="5" r:id="rId6"/>
    <sheet name="נספח 4" sheetId="6" r:id="rId7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</calcChain>
</file>

<file path=xl/sharedStrings.xml><?xml version="1.0" encoding="utf-8"?>
<sst xmlns="http://schemas.openxmlformats.org/spreadsheetml/2006/main" count="355" uniqueCount="168">
  <si>
    <t>עסקאות</t>
  </si>
  <si>
    <t>סה''כ היקף עסקאות
לפי שם צד קשור</t>
  </si>
  <si>
    <t>שיעור מסך
נכסי ההשקעה</t>
  </si>
  <si>
    <t>עסקאות שבוצעו לצורך
השקעה בנכסים
לא סחירים
של צד קשור</t>
  </si>
  <si>
    <t>עסקאות שבוצעו מחוץ
לבורסה, עסקאות
מתואמות ועסקאות
בנכסים אחרים שבוצעו
מול צדדים קשורים</t>
  </si>
  <si>
    <t>רכישת ני''ע בהנפקות
באמצעות צד קשור
(חתם או מי ששווק 
את ההנפקה)</t>
  </si>
  <si>
    <t>אלפי ש''ח</t>
  </si>
  <si>
    <t>אחוזים</t>
  </si>
  <si>
    <t>קניות</t>
  </si>
  <si>
    <t>מכירות (-)</t>
  </si>
  <si>
    <t>נספח 2</t>
  </si>
  <si>
    <t>נספח 3א</t>
  </si>
  <si>
    <t>נספח 3ב</t>
  </si>
  <si>
    <t>נספח 3ג</t>
  </si>
  <si>
    <t>נספח 4</t>
  </si>
  <si>
    <t>ריט 1</t>
  </si>
  <si>
    <t>סה''כ</t>
  </si>
  <si>
    <t>מספר
נייר ערך</t>
  </si>
  <si>
    <t>דירוג</t>
  </si>
  <si>
    <t>שם
המדרג</t>
  </si>
  <si>
    <t>שיעור
ריבית</t>
  </si>
  <si>
    <t>מח''מ</t>
  </si>
  <si>
    <t>תשואה
לפדיון</t>
  </si>
  <si>
    <t>שיעור
מהערך
הנקוב
המונפק</t>
  </si>
  <si>
    <t>ערך שוק/
שווי הוגן/
שווי בספרים</t>
  </si>
  <si>
    <t>שיעור מסך
נכסי
ההשקעה</t>
  </si>
  <si>
    <t>שנים</t>
  </si>
  <si>
    <t>ניירות ערך סחירים</t>
  </si>
  <si>
    <t>סה''כ ניירות ערך סחירים</t>
  </si>
  <si>
    <t>סה''כ ניירות ערך לא סחירים</t>
  </si>
  <si>
    <t>הפניקס אגח 3</t>
  </si>
  <si>
    <t>פניקס הון אגח ד</t>
  </si>
  <si>
    <t>פניקס הון אגח ו</t>
  </si>
  <si>
    <t>פניקס הון אגח ח</t>
  </si>
  <si>
    <t>קסם ETF ביטוח מניות והמירים</t>
  </si>
  <si>
    <t>קסם ETF צמודות מדד ממשלתיות 2-5 שנים</t>
  </si>
  <si>
    <t>קסם ETF צמודות מדד ממשלתיות 5-10 שנים</t>
  </si>
  <si>
    <t>קסם ETF שקליות ריבית קבועה ממשלתיות 2-5 שנים</t>
  </si>
  <si>
    <t>קסם ETF שקליות ריבית קבועה ממשלתיות 5+ שנים</t>
  </si>
  <si>
    <t>קסם ETF תלבונד שקלי</t>
  </si>
  <si>
    <t>קסם SP500 ETF</t>
  </si>
  <si>
    <t>ריט 1 אגח ד</t>
  </si>
  <si>
    <t>ריט 1 אגח ו</t>
  </si>
  <si>
    <t>שווי
עסקאות
הרכישה
באלפי ש''ח</t>
  </si>
  <si>
    <t>שווי
עסקאות
המכירה(-)
באלפי ש''ח</t>
  </si>
  <si>
    <t>ב. מניות וניירות ערך אחרים</t>
  </si>
  <si>
    <t>תאריך</t>
  </si>
  <si>
    <t>שווי
העסקה
הרכישה/מכירה</t>
  </si>
  <si>
    <t>מעלות</t>
  </si>
  <si>
    <t>AA</t>
  </si>
  <si>
    <t>שער
בורסה
בסוף יום
המסחר</t>
  </si>
  <si>
    <t>שער
העיסקה</t>
  </si>
  <si>
    <t>שווי
העיסקה
רכישה/
מכירה</t>
  </si>
  <si>
    <t>סה''כ היקף עסקאות מול כל הצדדים הקשורים</t>
  </si>
  <si>
    <t>תאריך הנפקה</t>
  </si>
  <si>
    <t>שווי
עסקת
הרכישה</t>
  </si>
  <si>
    <t>מידרוג</t>
  </si>
  <si>
    <t>AA-</t>
  </si>
  <si>
    <t>פניקס</t>
  </si>
  <si>
    <t>פניקס הון אגח ט</t>
  </si>
  <si>
    <t>פניקס הון אגח יא</t>
  </si>
  <si>
    <t>ריט 1 אגח ה</t>
  </si>
  <si>
    <t>סה''כ היקף עסקאות לצורך רכישה או מכירה של ני''ע של כל הצדדים הקשורים</t>
  </si>
  <si>
    <t>סה''כ היקף עסקאות לצורך רכישה או מכירה של ני''ע ריט 1</t>
  </si>
  <si>
    <t>מספר 
נייר ערך</t>
  </si>
  <si>
    <t>יתרות
השקעות
לסוף התקופה</t>
  </si>
  <si>
    <t>באלפי ₪</t>
  </si>
  <si>
    <t>עסקאות שבוצעו
בבורסה, בבורסת חוץ
או שוק מוסדר
לרכישת או מכירת ני''ע של צד קשור</t>
  </si>
  <si>
    <t>THE PHOENIX ANCHOR LP</t>
  </si>
  <si>
    <t>ב. ניירות ערך לא סחירים</t>
  </si>
  <si>
    <t>(2) מניות וניירות ערך אחרים</t>
  </si>
  <si>
    <t>PHOENIX ANCHOR L.P. USD K</t>
  </si>
  <si>
    <t>א. ניירות ערך סחירים</t>
  </si>
  <si>
    <t>(1) אגרות חוב קונצרניות סחירות</t>
  </si>
  <si>
    <t>(1) אגרות חוב קונצרניות לא סחירות</t>
  </si>
  <si>
    <t>הפניקס אחזקות בע''מ</t>
  </si>
  <si>
    <t>נתיבים אג''ח בע''מ</t>
  </si>
  <si>
    <t>אקסלנס נשואה חיתום (1993) בע''מ</t>
  </si>
  <si>
    <t>סה''כ השקעה ב- THE PHOENIX ANCHOR LP</t>
  </si>
  <si>
    <t>סה''כ השקעה ב- הפניקס אחזקות בע''מ</t>
  </si>
  <si>
    <t>סה''כ השקעה ב- הפניקס גיוסי הון (2009) בע''מ</t>
  </si>
  <si>
    <t>סה''כ השקעה ב-נתיבים אג''ח בע''מ</t>
  </si>
  <si>
    <t>קסם קרנות נאמנות בע''מ</t>
  </si>
  <si>
    <t>סה''כ השקעה ב-קסם קרנות נאמנות בע''מ</t>
  </si>
  <si>
    <t>סה''כ השקעה ב- ריט 1</t>
  </si>
  <si>
    <t>סה''כ השקעה בכל הצדדים הקשורים</t>
  </si>
  <si>
    <t>סה''כ היקף עסקאות לצורך רכישה או מכירה של ני''ע הפניקס אחזקות בע''מ</t>
  </si>
  <si>
    <t>סה''כ היקף עסקאות לצורך רכישה או מכירה של ני''ע קסם קרנות נאמנות בע''מ</t>
  </si>
  <si>
    <t>סה''כ רכישות</t>
  </si>
  <si>
    <t/>
  </si>
  <si>
    <t>קסם ETF ת"א 90</t>
  </si>
  <si>
    <t>הפניקס גיוסי הון (2009) בע"מ</t>
  </si>
  <si>
    <t>נתיבים אגח א-רמ 04.07.27</t>
  </si>
  <si>
    <t>נתיבים בע"מ</t>
  </si>
  <si>
    <t>סה''כ היקף עסקאות מול נתיבים אג''ח בע''מ</t>
  </si>
  <si>
    <t>קסם ETF ת"א 125</t>
  </si>
  <si>
    <t>קסם ETF ת"א SME60</t>
  </si>
  <si>
    <t>גמא ניהול וסליקה בע"מ</t>
  </si>
  <si>
    <t>גמא אגח א</t>
  </si>
  <si>
    <t>סחיר</t>
  </si>
  <si>
    <t>גמא ניהול</t>
  </si>
  <si>
    <t>סה''כ השקעה ב- גמא ניהול וסליקה בע''מ</t>
  </si>
  <si>
    <t>הפניקס אחזקות בע"מ</t>
  </si>
  <si>
    <t>נתיבים אג"ח בע"מ</t>
  </si>
  <si>
    <t>קסם ETF כשרה תלבונד 60</t>
  </si>
  <si>
    <t>קסם ETF תל בונד תשו</t>
  </si>
  <si>
    <t>קסם ETF תלבונד 20</t>
  </si>
  <si>
    <t>קסם ETF תלבונד 60</t>
  </si>
  <si>
    <t>קסם ETF תלבונד צ 3-5</t>
  </si>
  <si>
    <t>קסם ETF תלבונד צ בנק</t>
  </si>
  <si>
    <t>קסם ETF תלבונד צ יתר</t>
  </si>
  <si>
    <t>קסם iBoxx US Liquid Investment Grade Top 30 (0D) E</t>
  </si>
  <si>
    <t>קסם Nikkei225 ETF</t>
  </si>
  <si>
    <t>קסם STOXX Europe 600 (4A) ETF מנוטרלת אירו</t>
  </si>
  <si>
    <t>ריט 1 אגח ז</t>
  </si>
  <si>
    <t>א. אגרות חוב קונצרניות סחירות</t>
  </si>
  <si>
    <t>הפניקס אג"ח 5  אחזקות</t>
  </si>
  <si>
    <t>הפניקס אגח 4</t>
  </si>
  <si>
    <t>פניקס הון אגח ה</t>
  </si>
  <si>
    <t>פניקס הון אג י</t>
  </si>
  <si>
    <t>סה''כ היקף עסקאות לצורך רכישה או מכירה שלהפניקס גיוסי הון (20096) בע"מ</t>
  </si>
  <si>
    <t>קסם MSCI EM ETF</t>
  </si>
  <si>
    <t>קסם S&amp;P 500 (4A) ETF מנוטרלת מט"ח</t>
  </si>
  <si>
    <t>קסם MSCI ACWorld ETF</t>
  </si>
  <si>
    <t>קסם ETF תלבונד שקלי 50</t>
  </si>
  <si>
    <t>קסם DAX30 ETF</t>
  </si>
  <si>
    <t>קסם ETF תלבונד 40</t>
  </si>
  <si>
    <t>קסם ETF תלבונד גלובל</t>
  </si>
  <si>
    <t>קסם MSCI FE ExJPN ETF</t>
  </si>
  <si>
    <t>קסם MSCI India ETF</t>
  </si>
  <si>
    <t>קסםSTOXMID200</t>
  </si>
  <si>
    <t>קסם ETF תלבונד מאגר</t>
  </si>
  <si>
    <t>קסם ETF תלבונד צמוד</t>
  </si>
  <si>
    <t>קסם EU Stox Div30 ETF</t>
  </si>
  <si>
    <t>קסם ETF ישראטק Bstar</t>
  </si>
  <si>
    <t>גמא אגח א 1.34% שקלי 30.09.22</t>
  </si>
  <si>
    <t>1.340 %</t>
  </si>
  <si>
    <t>20/12/021</t>
  </si>
  <si>
    <t>אפי נכסים</t>
  </si>
  <si>
    <t>אפי נכסים אגח יב</t>
  </si>
  <si>
    <t>1173764</t>
  </si>
  <si>
    <t>אפי נכסים אגח יג</t>
  </si>
  <si>
    <t>1178292</t>
  </si>
  <si>
    <t>מליסרון</t>
  </si>
  <si>
    <t>מליסרון אגח יז 2.25%</t>
  </si>
  <si>
    <t>3230273</t>
  </si>
  <si>
    <t>עזריאלי</t>
  </si>
  <si>
    <t>עזריאלי  אגח ז</t>
  </si>
  <si>
    <t>1178672</t>
  </si>
  <si>
    <t>עזריאלי אגח ח</t>
  </si>
  <si>
    <t>1178680</t>
  </si>
  <si>
    <t>שיכון ובינוי</t>
  </si>
  <si>
    <t>שכון ובי אגח 10</t>
  </si>
  <si>
    <t>1175132</t>
  </si>
  <si>
    <t>סה''כ היקף עסקאות לצורך רכישה או מכירה של ני''ע גמא ניהול וסליקה בע"מ</t>
  </si>
  <si>
    <t>נספח 1 - צדדים קשורים - יתרות ועיסקאות לשנה המסתיימת ביום 31/12/2021</t>
  </si>
  <si>
    <t>הפניקס פנסיה וגמל בע"מ</t>
  </si>
  <si>
    <r>
      <t xml:space="preserve">מרכזית לפיצויים </t>
    </r>
    <r>
      <rPr>
        <b/>
        <sz val="11"/>
        <color rgb="FF000000"/>
        <rFont val="Ariel"/>
        <family val="2"/>
      </rPr>
      <t xml:space="preserve"> </t>
    </r>
  </si>
  <si>
    <t>תחילת מידע טבלה</t>
  </si>
  <si>
    <t>גבול שמאלי של המסמך</t>
  </si>
  <si>
    <t>גבול מידע טבלה צד שמאל</t>
  </si>
  <si>
    <t>סוף מידע טבלה</t>
  </si>
  <si>
    <r>
      <t xml:space="preserve">נספח 2 - צדדים קשורים - יתרות השקעה לשנה המסתיימת ביום </t>
    </r>
    <r>
      <rPr>
        <b/>
        <sz val="11"/>
        <color rgb="FF000000"/>
        <rFont val="Ariel"/>
        <family val="2"/>
      </rPr>
      <t>2131/12/20</t>
    </r>
  </si>
  <si>
    <t xml:space="preserve">מרכזית לפיצויים </t>
  </si>
  <si>
    <r>
      <t>נספח 3א - צדדים קשורים - עיסקאות שבוצעו בבורסה, בבורסת חוץ או שוק מוסדר לרכישת או מכירת ני"ע סחירים</t>
    </r>
    <r>
      <rPr>
        <b/>
        <sz val="11"/>
        <color rgb="FF000000"/>
        <rFont val="Ariel"/>
        <family val="2"/>
      </rPr>
      <t xml:space="preserve"> של צד קשור לשנה המסתיימת ביום 31/12/2021</t>
    </r>
  </si>
  <si>
    <t>נספח 3ב - צדדים קשורים - עסקאות שבוצעו לצורך השקעה בנכסים לא סחירים של צד קשור לשנה המסתיימת ביום 31/12/2021</t>
  </si>
  <si>
    <r>
      <t>נספח 3ג - צדדים קשורים - עסקאות מחוץ</t>
    </r>
    <r>
      <rPr>
        <b/>
        <sz val="11"/>
        <color rgb="FF000000"/>
        <rFont val="Ariel"/>
        <family val="2"/>
      </rPr>
      <t xml:space="preserve"> לבורסה, עסקאות מתואמות בבורסה ועסקאות בנכסים אחרים לא סחירים שבוצעו מול צדדים קשורים לשנה המסתיימת ביום 31/12/2021</t>
    </r>
  </si>
  <si>
    <t>נספח 4 - רכישת נייר ערך בהנפקות באמצעות חתם קשור או באמצעות צד קשור ששיווק את ההנפקה לשנה המסתיימת ביום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</si>
</sst>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#,##0.00_ ;\-#,##0.00\ "/>
  </numFmts>
  <fonts count="9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Arie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4" tint="0.79998"/>
      </top>
      <bottom style="thin">
        <color theme="4" tint="0.79998"/>
      </bottom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/>
    <xf numFmtId="10" fontId="0" fillId="0" borderId="0" xfId="15" applyNumberFormat="1" applyFont="1"/>
    <xf numFmtId="0" fontId="2" fillId="0" borderId="1" xfId="0" applyFont="1" applyBorder="1" applyAlignment="1">
      <alignment horizontal="right"/>
    </xf>
    <xf numFmtId="10" fontId="2" fillId="0" borderId="0" xfId="15" applyNumberFormat="1" applyFont="1"/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right"/>
    </xf>
    <xf numFmtId="10" fontId="0" fillId="0" borderId="0" xfId="15" applyNumberFormat="1" applyFont="1" applyAlignment="1">
      <alignment horizontal="right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164" fontId="0" fillId="0" borderId="0" xfId="18" applyNumberFormat="1" applyFont="1"/>
    <xf numFmtId="0" fontId="2" fillId="0" borderId="2" xfId="0" applyFont="1" applyBorder="1" applyAlignment="1">
      <alignment horizontal="right" vertical="center"/>
    </xf>
    <xf numFmtId="0" fontId="2" fillId="0" borderId="0" xfId="0" applyFont="1" applyBorder="1" applyAlignment="1">
      <alignment horizontal="right" indent="1"/>
    </xf>
    <xf numFmtId="0" fontId="2" fillId="0" borderId="0" xfId="0" applyFont="1" applyBorder="1" applyAlignment="1">
      <alignment horizontal="right" indent="2"/>
    </xf>
    <xf numFmtId="0" fontId="2" fillId="0" borderId="0" xfId="0" applyFont="1" applyBorder="1" applyAlignment="1">
      <alignment horizontal="right" indent="3"/>
    </xf>
    <xf numFmtId="0" fontId="2" fillId="0" borderId="0" xfId="0" applyFont="1" applyBorder="1" applyAlignment="1">
      <alignment horizontal="right" indent="4"/>
    </xf>
    <xf numFmtId="0" fontId="0" fillId="0" borderId="0" xfId="0" applyBorder="1" applyAlignment="1">
      <alignment horizontal="right" indent="5"/>
    </xf>
    <xf numFmtId="0" fontId="2" fillId="0" borderId="0" xfId="0" applyFont="1"/>
    <xf numFmtId="0" fontId="0" fillId="0" borderId="1" xfId="0" applyFont="1" applyBorder="1"/>
    <xf numFmtId="43" fontId="0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3" fontId="0" fillId="0" borderId="0" xfId="0" applyNumberFormat="1"/>
    <xf numFmtId="0" fontId="2" fillId="0" borderId="0" xfId="0" applyFont="1" applyBorder="1" applyAlignment="1">
      <alignment/>
    </xf>
    <xf numFmtId="3" fontId="2" fillId="0" borderId="0" xfId="0" applyNumberFormat="1" applyFont="1"/>
    <xf numFmtId="3" fontId="2" fillId="0" borderId="2" xfId="0" applyNumberFormat="1" applyFont="1" applyBorder="1" applyAlignment="1">
      <alignment horizontal="center" vertical="center" wrapText="1"/>
    </xf>
    <xf numFmtId="3" fontId="0" fillId="0" borderId="0" xfId="18" applyNumberFormat="1" applyFont="1" applyAlignment="1">
      <alignment horizontal="right"/>
    </xf>
    <xf numFmtId="3" fontId="0" fillId="0" borderId="0" xfId="18" applyNumberFormat="1" applyFont="1"/>
    <xf numFmtId="3" fontId="2" fillId="0" borderId="0" xfId="18" applyNumberFormat="1" applyFont="1"/>
    <xf numFmtId="0" fontId="2" fillId="0" borderId="2" xfId="0" applyFont="1" applyBorder="1" applyAlignment="1">
      <alignment/>
    </xf>
    <xf numFmtId="3" fontId="2" fillId="0" borderId="3" xfId="18" applyNumberFormat="1" applyFont="1" applyBorder="1"/>
    <xf numFmtId="164" fontId="3" fillId="0" borderId="3" xfId="0" applyNumberFormat="1" applyFont="1" applyBorder="1" applyAlignment="1">
      <alignment horizontal="right"/>
    </xf>
    <xf numFmtId="0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4" fontId="0" fillId="0" borderId="0" xfId="0" applyNumberFormat="1" applyAlignment="1">
      <alignment horizontal="right"/>
    </xf>
    <xf numFmtId="0" fontId="2" fillId="0" borderId="0" xfId="0" applyFont="1" applyBorder="1" applyAlignment="1">
      <alignment horizontal="right" indent="3" readingOrder="2"/>
    </xf>
    <xf numFmtId="164" fontId="0" fillId="0" borderId="0" xfId="18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0" fontId="2" fillId="0" borderId="0" xfId="15" applyNumberFormat="1" applyFont="1" applyAlignment="1">
      <alignment horizontal="right"/>
    </xf>
    <xf numFmtId="0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0" borderId="0" xfId="0" applyFont="1"/>
    <xf numFmtId="164" fontId="4" fillId="0" borderId="0" xfId="0" applyNumberFormat="1" applyFont="1" applyAlignment="1">
      <alignment horizontal="right"/>
    </xf>
    <xf numFmtId="10" fontId="4" fillId="0" borderId="0" xfId="15" applyNumberFormat="1" applyFont="1" applyAlignment="1">
      <alignment horizontal="right"/>
    </xf>
    <xf numFmtId="4" fontId="4" fillId="0" borderId="0" xfId="0" applyNumberFormat="1" applyFont="1"/>
    <xf numFmtId="10" fontId="0" fillId="0" borderId="0" xfId="0" applyNumberFormat="1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Font="1" applyAlignment="1">
      <alignment horizontal="right"/>
    </xf>
    <xf numFmtId="10" fontId="0" fillId="0" borderId="0" xfId="15" applyNumberFormat="1" applyFont="1" applyAlignment="1">
      <alignment horizontal="right"/>
    </xf>
    <xf numFmtId="164" fontId="0" fillId="0" borderId="0" xfId="0" applyNumberFormat="1" applyFont="1" applyAlignment="1">
      <alignment horizontal="right"/>
    </xf>
    <xf numFmtId="10" fontId="3" fillId="0" borderId="0" xfId="15" applyNumberFormat="1" applyFont="1" applyAlignment="1">
      <alignment horizontal="right"/>
    </xf>
    <xf numFmtId="43" fontId="0" fillId="0" borderId="0" xfId="18" applyFont="1"/>
    <xf numFmtId="4" fontId="2" fillId="0" borderId="3" xfId="0" applyNumberFormat="1" applyFont="1" applyBorder="1"/>
    <xf numFmtId="3" fontId="2" fillId="0" borderId="0" xfId="18" applyNumberFormat="1" applyFont="1" applyBorder="1"/>
    <xf numFmtId="4" fontId="0" fillId="0" borderId="0" xfId="18" applyNumberFormat="1" applyFont="1"/>
    <xf numFmtId="0" fontId="0" fillId="0" borderId="0" xfId="0" applyAlignment="1">
      <alignment horizontal="right" readingOrder="2"/>
    </xf>
    <xf numFmtId="2" fontId="0" fillId="0" borderId="0" xfId="15" applyNumberFormat="1" applyFont="1" applyAlignment="1">
      <alignment horizontal="right"/>
    </xf>
    <xf numFmtId="166" fontId="3" fillId="0" borderId="3" xfId="0" applyNumberFormat="1" applyFont="1" applyBorder="1" applyAlignment="1">
      <alignment horizontal="right"/>
    </xf>
    <xf numFmtId="164" fontId="2" fillId="0" borderId="0" xfId="18" applyNumberFormat="1" applyFont="1" applyAlignment="1">
      <alignment horizontal="right"/>
    </xf>
    <xf numFmtId="14" fontId="0" fillId="0" borderId="0" xfId="0" applyNumberFormat="1" applyFill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2" fillId="0" borderId="3" xfId="0" applyNumberFormat="1" applyFont="1" applyBorder="1"/>
    <xf numFmtId="3" fontId="2" fillId="0" borderId="3" xfId="0" applyNumberFormat="1" applyFont="1" applyBorder="1"/>
    <xf numFmtId="164" fontId="0" fillId="0" borderId="0" xfId="15" applyNumberFormat="1" applyFont="1" applyAlignment="1">
      <alignment horizontal="right"/>
    </xf>
    <xf numFmtId="164" fontId="3" fillId="0" borderId="0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readingOrder="2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 vertical="center" readingOrder="2"/>
    </xf>
    <xf numFmtId="0" fontId="5" fillId="0" borderId="4" xfId="0" applyFont="1" applyBorder="1" applyAlignment="1">
      <alignment horizontal="right"/>
    </xf>
    <xf numFmtId="0" fontId="5" fillId="0" borderId="0" xfId="0" applyFont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9</xdr:col>
      <xdr:colOff>838200</xdr:colOff>
      <xdr:row>0</xdr:row>
      <xdr:rowOff>15240</xdr:rowOff>
    </xdr:from>
    <xdr:to>
      <xdr:col>9</xdr:col>
      <xdr:colOff>1234474</xdr:colOff>
      <xdr:row>2</xdr:row>
      <xdr:rowOff>45754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58450" y="19050"/>
          <a:ext cx="400050" cy="40005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9</xdr:col>
      <xdr:colOff>220980</xdr:colOff>
      <xdr:row>0</xdr:row>
      <xdr:rowOff>0</xdr:rowOff>
    </xdr:from>
    <xdr:to>
      <xdr:col>9</xdr:col>
      <xdr:colOff>617254</xdr:colOff>
      <xdr:row>2</xdr:row>
      <xdr:rowOff>30514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63100" y="0"/>
          <a:ext cx="400050" cy="400050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868680</xdr:colOff>
      <xdr:row>0</xdr:row>
      <xdr:rowOff>7620</xdr:rowOff>
    </xdr:from>
    <xdr:to>
      <xdr:col>3</xdr:col>
      <xdr:colOff>365794</xdr:colOff>
      <xdr:row>1</xdr:row>
      <xdr:rowOff>53374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10450" y="9525"/>
          <a:ext cx="495300" cy="39052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800100</xdr:colOff>
      <xdr:row>0</xdr:row>
      <xdr:rowOff>7620</xdr:rowOff>
    </xdr:from>
    <xdr:to>
      <xdr:col>7</xdr:col>
      <xdr:colOff>373414</xdr:colOff>
      <xdr:row>2</xdr:row>
      <xdr:rowOff>38134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20075" y="9525"/>
          <a:ext cx="485775" cy="400050"/>
        </a:xfrm>
        <a:prstGeom prst="rect"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6</xdr:col>
      <xdr:colOff>594360</xdr:colOff>
      <xdr:row>0</xdr:row>
      <xdr:rowOff>15240</xdr:rowOff>
    </xdr:from>
    <xdr:to>
      <xdr:col>7</xdr:col>
      <xdr:colOff>381034</xdr:colOff>
      <xdr:row>0</xdr:row>
      <xdr:rowOff>411514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00875" y="19050"/>
          <a:ext cx="476250" cy="400050"/>
        </a:xfrm>
        <a:prstGeom prst="rect"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899160</xdr:colOff>
      <xdr:row>0</xdr:row>
      <xdr:rowOff>0</xdr:rowOff>
    </xdr:from>
    <xdr:to>
      <xdr:col>5</xdr:col>
      <xdr:colOff>373414</xdr:colOff>
      <xdr:row>0</xdr:row>
      <xdr:rowOff>396274</xdr:rowOff>
    </xdr:to>
    <xdr:pic>
      <xdr:nvPicPr>
        <xdr:cNvPr id="3" name="Picture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29325" y="0"/>
          <a:ext cx="504825" cy="40005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f06cd5b-1671-4399-9d28-f902944c1ec0}">
  <dimension ref="A1:K23"/>
  <sheetViews>
    <sheetView rightToLeft="1" tabSelected="1" workbookViewId="0" topLeftCell="A1">
      <selection pane="topLeft" activeCell="A23" sqref="A23:J23"/>
    </sheetView>
  </sheetViews>
  <sheetFormatPr defaultRowHeight="14.25"/>
  <cols>
    <col min="1" max="1" width="40.625" customWidth="1"/>
    <col min="2" max="2" width="11.625" customWidth="1"/>
    <col min="3" max="3" width="9.125" bestFit="1" customWidth="1"/>
    <col min="4" max="4" width="13.5" bestFit="1" customWidth="1"/>
    <col min="5" max="5" width="14.125" bestFit="1" customWidth="1"/>
    <col min="6" max="6" width="9.875" bestFit="1" customWidth="1"/>
    <col min="7" max="9" width="9.125" bestFit="1" customWidth="1"/>
    <col min="10" max="10" width="18.25" customWidth="1"/>
  </cols>
  <sheetData>
    <row r="1" spans="1:11" ht="15">
      <c r="A1" s="76" t="s">
        <v>155</v>
      </c>
      <c r="B1" s="76"/>
      <c r="C1" s="76"/>
      <c r="D1" s="76"/>
      <c r="E1" s="76"/>
      <c r="F1" s="76"/>
      <c r="G1" s="76"/>
      <c r="H1" s="76"/>
      <c r="I1" s="76"/>
      <c r="J1" s="76"/>
      <c r="K1" s="75" t="s">
        <v>159</v>
      </c>
    </row>
    <row r="2" spans="1:11" ht="14.25">
      <c r="A2" s="77"/>
      <c r="B2" s="77"/>
      <c r="C2" s="77"/>
      <c r="D2" s="77"/>
      <c r="E2" s="77"/>
      <c r="F2" s="77"/>
      <c r="G2" s="77"/>
      <c r="H2" s="77"/>
      <c r="I2" s="77"/>
      <c r="J2" s="77"/>
      <c r="K2" s="75"/>
    </row>
    <row r="3" spans="1:11" ht="15">
      <c r="A3" s="76" t="s">
        <v>156</v>
      </c>
      <c r="B3" s="76"/>
      <c r="C3" s="76"/>
      <c r="D3" s="76"/>
      <c r="E3" s="76"/>
      <c r="F3" s="76"/>
      <c r="G3" s="76"/>
      <c r="H3" s="76"/>
      <c r="I3" s="76"/>
      <c r="J3" s="76"/>
      <c r="K3" s="75"/>
    </row>
    <row r="4" spans="1:11" ht="14.25">
      <c r="A4" s="77"/>
      <c r="B4" s="77"/>
      <c r="C4" s="77"/>
      <c r="D4" s="77"/>
      <c r="E4" s="77"/>
      <c r="F4" s="77"/>
      <c r="G4" s="77"/>
      <c r="H4" s="77"/>
      <c r="I4" s="77"/>
      <c r="J4" s="77"/>
      <c r="K4" s="75"/>
    </row>
    <row r="5" spans="1:11" ht="15">
      <c r="A5" s="76" t="s">
        <v>157</v>
      </c>
      <c r="B5" s="76"/>
      <c r="C5" s="76"/>
      <c r="D5" s="76"/>
      <c r="E5" s="76"/>
      <c r="F5" s="76"/>
      <c r="G5" s="76"/>
      <c r="H5" s="76"/>
      <c r="I5" s="76"/>
      <c r="J5" s="76"/>
      <c r="K5" s="75"/>
    </row>
    <row r="6" spans="1:11" ht="14.25">
      <c r="A6" s="74" t="s">
        <v>158</v>
      </c>
      <c r="B6" s="74"/>
      <c r="C6" s="74"/>
      <c r="D6" s="74"/>
      <c r="E6" s="74"/>
      <c r="F6" s="74"/>
      <c r="G6" s="74"/>
      <c r="H6" s="74"/>
      <c r="I6" s="74"/>
      <c r="J6" s="74"/>
      <c r="K6" s="75"/>
    </row>
    <row r="7" spans="1:11" ht="15">
      <c r="A7" s="1"/>
      <c r="B7" s="1"/>
      <c r="C7" s="1"/>
      <c r="D7" s="79" t="s">
        <v>0</v>
      </c>
      <c r="E7" s="79"/>
      <c r="F7" s="79"/>
      <c r="G7" s="79"/>
      <c r="H7" s="79"/>
      <c r="I7" s="79"/>
      <c r="J7" s="1"/>
      <c r="K7" s="75" t="s">
        <v>160</v>
      </c>
    </row>
    <row r="8" spans="1:11" ht="78" customHeight="1">
      <c r="A8" s="2" t="s">
        <v>1</v>
      </c>
      <c r="B8" s="78" t="s">
        <v>65</v>
      </c>
      <c r="C8" s="78" t="s">
        <v>2</v>
      </c>
      <c r="D8" s="80" t="s">
        <v>67</v>
      </c>
      <c r="E8" s="79"/>
      <c r="F8" s="80" t="s">
        <v>3</v>
      </c>
      <c r="G8" s="79"/>
      <c r="H8" s="80" t="s">
        <v>4</v>
      </c>
      <c r="I8" s="79"/>
      <c r="J8" s="78" t="s">
        <v>5</v>
      </c>
      <c r="K8" s="75"/>
    </row>
    <row r="9" spans="1:11" ht="15">
      <c r="A9" s="24"/>
      <c r="B9" s="78"/>
      <c r="C9" s="78"/>
      <c r="D9" s="1" t="s">
        <v>8</v>
      </c>
      <c r="E9" s="1" t="s">
        <v>9</v>
      </c>
      <c r="F9" s="1" t="s">
        <v>8</v>
      </c>
      <c r="G9" s="1" t="s">
        <v>9</v>
      </c>
      <c r="H9" s="1" t="s">
        <v>8</v>
      </c>
      <c r="I9" s="1" t="s">
        <v>9</v>
      </c>
      <c r="J9" s="78"/>
      <c r="K9" s="75"/>
    </row>
    <row r="10" spans="1:11" ht="15">
      <c r="A10" s="1"/>
      <c r="B10" s="35" t="s">
        <v>66</v>
      </c>
      <c r="C10" s="1" t="s">
        <v>7</v>
      </c>
      <c r="D10" s="79" t="s">
        <v>66</v>
      </c>
      <c r="E10" s="79"/>
      <c r="F10" s="79" t="s">
        <v>66</v>
      </c>
      <c r="G10" s="79"/>
      <c r="H10" s="79" t="s">
        <v>66</v>
      </c>
      <c r="I10" s="79"/>
      <c r="J10" s="35" t="s">
        <v>66</v>
      </c>
      <c r="K10" s="75"/>
    </row>
    <row r="11" spans="1:11" ht="15">
      <c r="A11" s="1"/>
      <c r="B11" s="79" t="s">
        <v>10</v>
      </c>
      <c r="C11" s="79"/>
      <c r="D11" s="79" t="s">
        <v>11</v>
      </c>
      <c r="E11" s="79"/>
      <c r="F11" s="79" t="s">
        <v>12</v>
      </c>
      <c r="G11" s="79"/>
      <c r="H11" s="79" t="s">
        <v>13</v>
      </c>
      <c r="I11" s="79"/>
      <c r="J11" s="1" t="s">
        <v>14</v>
      </c>
      <c r="K11" s="75"/>
    </row>
    <row r="12" spans="1:11" ht="1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75"/>
    </row>
    <row r="13" spans="1:11" ht="15">
      <c r="A13" s="3" t="s">
        <v>68</v>
      </c>
      <c r="B13" s="25">
        <v>935.64490112500005</v>
      </c>
      <c r="C13" s="50">
        <v>0.00015828038877130907</v>
      </c>
      <c r="D13" s="30"/>
      <c r="E13" s="30"/>
      <c r="F13" s="30"/>
      <c r="G13" s="25"/>
      <c r="H13" s="25"/>
      <c r="I13" s="25"/>
      <c r="J13" s="25"/>
      <c r="K13" s="75"/>
    </row>
    <row r="14" spans="1:11" ht="15">
      <c r="A14" s="3" t="s">
        <v>97</v>
      </c>
      <c r="B14" s="25">
        <v>404.78189437600003</v>
      </c>
      <c r="C14" s="50">
        <v>6.8475802660159811E-05</v>
      </c>
      <c r="D14" s="30">
        <v>404</v>
      </c>
      <c r="E14" s="30">
        <v>0</v>
      </c>
      <c r="F14" s="30">
        <v>271</v>
      </c>
      <c r="G14" s="25">
        <v>-401</v>
      </c>
      <c r="H14" s="25"/>
      <c r="I14" s="25"/>
      <c r="J14" s="25"/>
      <c r="K14" s="75"/>
    </row>
    <row r="15" spans="1:11" ht="15">
      <c r="A15" s="3" t="s">
        <v>102</v>
      </c>
      <c r="B15" s="25">
        <v>73.538963219999999</v>
      </c>
      <c r="C15" s="50">
        <v>1.2440377406327093E-05</v>
      </c>
      <c r="D15" s="30">
        <v>6.5800000000000001</v>
      </c>
      <c r="E15" s="30">
        <v>-16566.310000000001</v>
      </c>
      <c r="F15" s="30"/>
      <c r="G15" s="25"/>
      <c r="H15" s="25"/>
      <c r="I15" s="25"/>
      <c r="J15" s="25"/>
      <c r="K15" s="75"/>
    </row>
    <row r="16" spans="1:11" ht="15">
      <c r="A16" s="3" t="s">
        <v>91</v>
      </c>
      <c r="B16" s="25">
        <v>195.223279695</v>
      </c>
      <c r="C16" s="50">
        <v>3.3025367391177E-05</v>
      </c>
      <c r="D16" s="30">
        <v>25.970000000000002</v>
      </c>
      <c r="E16" s="30">
        <v>-1745.5599999999997</v>
      </c>
      <c r="F16" s="30"/>
      <c r="G16" s="25"/>
      <c r="H16" s="30"/>
      <c r="I16" s="30"/>
      <c r="J16" s="30"/>
      <c r="K16" s="75"/>
    </row>
    <row r="17" spans="1:11" ht="15">
      <c r="A17" s="3" t="s">
        <v>103</v>
      </c>
      <c r="B17" s="25">
        <v>368.14482775600004</v>
      </c>
      <c r="C17" s="50">
        <v>6.2278014224524203E-05</v>
      </c>
      <c r="D17" s="30"/>
      <c r="E17" s="30"/>
      <c r="F17" s="30">
        <v>235</v>
      </c>
      <c r="G17" s="25">
        <v>-235</v>
      </c>
      <c r="H17" s="30"/>
      <c r="I17" s="30">
        <v>0</v>
      </c>
      <c r="J17" s="30"/>
      <c r="K17" s="75"/>
    </row>
    <row r="18" spans="1:11" ht="15">
      <c r="A18" s="3" t="s">
        <v>82</v>
      </c>
      <c r="B18" s="25">
        <v>69351.101665042952</v>
      </c>
      <c r="C18" s="50">
        <v>0.011731928769197755</v>
      </c>
      <c r="D18" s="30">
        <v>7747.5</v>
      </c>
      <c r="E18" s="30">
        <v>-20316.250000000004</v>
      </c>
      <c r="F18" s="30"/>
      <c r="G18" s="25"/>
      <c r="H18" s="30"/>
      <c r="I18" s="30"/>
      <c r="J18" s="30"/>
      <c r="K18" s="75"/>
    </row>
    <row r="19" spans="1:11" ht="15">
      <c r="A19" s="3" t="s">
        <v>15</v>
      </c>
      <c r="B19" s="25">
        <v>3668.0601287819995</v>
      </c>
      <c r="C19" s="50">
        <v>0.00062051530716629043</v>
      </c>
      <c r="D19" s="30">
        <v>853</v>
      </c>
      <c r="E19" s="30">
        <v>-558</v>
      </c>
      <c r="F19" s="30"/>
      <c r="G19" s="25"/>
      <c r="H19" s="30"/>
      <c r="I19" s="30"/>
      <c r="J19" s="30"/>
      <c r="K19" s="75"/>
    </row>
    <row r="20" spans="1:11" ht="15">
      <c r="A20" s="5" t="s">
        <v>77</v>
      </c>
      <c r="B20" s="25"/>
      <c r="C20" s="50"/>
      <c r="D20" s="30"/>
      <c r="E20" s="30"/>
      <c r="F20" s="30"/>
      <c r="G20" s="25"/>
      <c r="H20" s="30"/>
      <c r="I20" s="30"/>
      <c r="J20" s="30">
        <v>3755.23</v>
      </c>
      <c r="K20" s="75"/>
    </row>
    <row r="21" spans="1:11" ht="15">
      <c r="A21" s="3"/>
      <c r="K21" s="75"/>
    </row>
    <row r="22" spans="1:11" ht="18">
      <c r="A22" s="49" t="s">
        <v>16</v>
      </c>
      <c r="B22" s="36">
        <f>SUM(B13:B21)</f>
        <v>74996.495659996959</v>
      </c>
      <c r="C22" s="6">
        <f>SUM(C13:C21)</f>
        <v>0.012686944026817543</v>
      </c>
      <c r="D22" s="36">
        <f>SUM(D13:D20)</f>
        <v>9037.0499999999993</v>
      </c>
      <c r="E22" s="36">
        <f t="shared" si="0" ref="E22">SUM(E13:E20)</f>
        <v>-39186.12000000001</v>
      </c>
      <c r="F22" s="36">
        <f>SUM(F13:F20)</f>
        <v>506</v>
      </c>
      <c r="G22" s="36">
        <f>SUM(G13:G20)</f>
        <v>-636</v>
      </c>
      <c r="H22" s="36">
        <v>0</v>
      </c>
      <c r="I22" s="36">
        <v>0</v>
      </c>
      <c r="J22" s="36">
        <v>3755.23</v>
      </c>
      <c r="K22" s="75"/>
    </row>
    <row r="23" spans="1:11" ht="14.25">
      <c r="A23" s="74" t="s">
        <v>161</v>
      </c>
      <c r="B23" s="74"/>
      <c r="C23" s="74"/>
      <c r="D23" s="74"/>
      <c r="E23" s="74"/>
      <c r="F23" s="74"/>
      <c r="G23" s="74"/>
      <c r="H23" s="74"/>
      <c r="I23" s="74"/>
      <c r="J23" s="74"/>
      <c r="K23" s="75"/>
    </row>
  </sheetData>
  <mergeCells count="23">
    <mergeCell ref="D7:I7"/>
    <mergeCell ref="D8:E8"/>
    <mergeCell ref="F8:G8"/>
    <mergeCell ref="H8:I8"/>
    <mergeCell ref="D10:E10"/>
    <mergeCell ref="F10:G10"/>
    <mergeCell ref="H10:I10"/>
    <mergeCell ref="A6:J6"/>
    <mergeCell ref="K1:K6"/>
    <mergeCell ref="K7:K23"/>
    <mergeCell ref="A23:J23"/>
    <mergeCell ref="A1:J1"/>
    <mergeCell ref="A3:J3"/>
    <mergeCell ref="A5:J5"/>
    <mergeCell ref="A2:J2"/>
    <mergeCell ref="A4:J4"/>
    <mergeCell ref="J8:J9"/>
    <mergeCell ref="C8:C9"/>
    <mergeCell ref="B8:B9"/>
    <mergeCell ref="B11:C11"/>
    <mergeCell ref="D11:E11"/>
    <mergeCell ref="F11:G11"/>
    <mergeCell ref="H11:I11"/>
  </mergeCells>
  <pageMargins left="0.7" right="0.7" top="0.75" bottom="0.75" header="0.3" footer="0.3"/>
  <pageSetup horizontalDpi="1200" verticalDpi="1200" orientation="portrait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6f7811f-84c2-4991-8964-51e477e99542}">
  <dimension ref="A1:K115"/>
  <sheetViews>
    <sheetView rightToLeft="1" workbookViewId="0" topLeftCell="A1">
      <pane ySplit="8" topLeftCell="A113" activePane="bottomLeft" state="frozen"/>
      <selection pane="topLeft" activeCell="D29" sqref="D29"/>
      <selection pane="bottomLeft" activeCell="A115" sqref="A115:J115"/>
    </sheetView>
  </sheetViews>
  <sheetFormatPr defaultRowHeight="14.25"/>
  <cols>
    <col min="1" max="1" width="43.875" bestFit="1" customWidth="1"/>
    <col min="2" max="2" width="9.875" bestFit="1" customWidth="1"/>
    <col min="8" max="8" width="10.125" bestFit="1" customWidth="1"/>
    <col min="9" max="9" width="13.75" bestFit="1" customWidth="1"/>
    <col min="10" max="10" width="9.25" bestFit="1" customWidth="1"/>
  </cols>
  <sheetData>
    <row r="1" spans="1:11" ht="15">
      <c r="A1" s="76" t="s">
        <v>162</v>
      </c>
      <c r="B1" s="76"/>
      <c r="C1" s="76"/>
      <c r="D1" s="76"/>
      <c r="E1" s="76"/>
      <c r="F1" s="76"/>
      <c r="G1" s="76"/>
      <c r="H1" s="76"/>
      <c r="I1" s="76"/>
      <c r="J1" s="76"/>
      <c r="K1" s="75" t="s">
        <v>159</v>
      </c>
    </row>
    <row r="2" spans="1:11" ht="14.25">
      <c r="A2" s="77"/>
      <c r="B2" s="77"/>
      <c r="C2" s="77"/>
      <c r="D2" s="77"/>
      <c r="E2" s="77"/>
      <c r="F2" s="77"/>
      <c r="G2" s="77"/>
      <c r="H2" s="77"/>
      <c r="I2" s="77"/>
      <c r="J2" s="77"/>
      <c r="K2" s="75"/>
    </row>
    <row r="3" spans="1:11" ht="15">
      <c r="A3" s="81" t="s">
        <v>156</v>
      </c>
      <c r="B3" s="81"/>
      <c r="C3" s="81"/>
      <c r="D3" s="81"/>
      <c r="E3" s="81"/>
      <c r="F3" s="81"/>
      <c r="G3" s="81"/>
      <c r="H3" s="81"/>
      <c r="I3" s="81"/>
      <c r="J3" s="81"/>
      <c r="K3" s="75"/>
    </row>
    <row r="4" spans="1:11" ht="14.25">
      <c r="A4" s="77"/>
      <c r="B4" s="77"/>
      <c r="C4" s="77"/>
      <c r="D4" s="77"/>
      <c r="E4" s="77"/>
      <c r="F4" s="77"/>
      <c r="G4" s="77"/>
      <c r="H4" s="77"/>
      <c r="I4" s="77"/>
      <c r="J4" s="77"/>
      <c r="K4" s="75"/>
    </row>
    <row r="5" spans="1:11" ht="15">
      <c r="A5" s="76" t="s">
        <v>163</v>
      </c>
      <c r="B5" s="76"/>
      <c r="C5" s="76"/>
      <c r="D5" s="76"/>
      <c r="E5" s="76"/>
      <c r="F5" s="76"/>
      <c r="G5" s="76"/>
      <c r="H5" s="76"/>
      <c r="I5" s="76"/>
      <c r="J5" s="76"/>
      <c r="K5" s="75"/>
    </row>
    <row r="6" spans="1:11" ht="14.25">
      <c r="A6" s="74" t="s">
        <v>158</v>
      </c>
      <c r="B6" s="74"/>
      <c r="C6" s="74"/>
      <c r="D6" s="74"/>
      <c r="E6" s="74"/>
      <c r="F6" s="74"/>
      <c r="G6" s="74"/>
      <c r="H6" s="74"/>
      <c r="I6" s="74"/>
      <c r="J6" s="74"/>
      <c r="K6" s="75"/>
    </row>
    <row r="7" spans="1:11" ht="60">
      <c r="A7" s="37"/>
      <c r="B7" s="38" t="s">
        <v>17</v>
      </c>
      <c r="C7" s="37" t="s">
        <v>18</v>
      </c>
      <c r="D7" s="38" t="s">
        <v>19</v>
      </c>
      <c r="E7" s="38" t="s">
        <v>20</v>
      </c>
      <c r="F7" s="37" t="s">
        <v>21</v>
      </c>
      <c r="G7" s="38" t="s">
        <v>22</v>
      </c>
      <c r="H7" s="38" t="s">
        <v>23</v>
      </c>
      <c r="I7" s="38" t="s">
        <v>24</v>
      </c>
      <c r="J7" s="7" t="s">
        <v>25</v>
      </c>
      <c r="K7" s="75" t="s">
        <v>160</v>
      </c>
    </row>
    <row r="8" spans="1:11" ht="15">
      <c r="A8" s="37"/>
      <c r="B8" s="37"/>
      <c r="C8" s="37"/>
      <c r="D8" s="37"/>
      <c r="E8" s="37" t="s">
        <v>7</v>
      </c>
      <c r="F8" s="37" t="s">
        <v>26</v>
      </c>
      <c r="G8" s="37" t="s">
        <v>7</v>
      </c>
      <c r="H8" s="37" t="s">
        <v>7</v>
      </c>
      <c r="I8" s="37" t="s">
        <v>6</v>
      </c>
      <c r="J8" s="8" t="s">
        <v>7</v>
      </c>
      <c r="K8" s="75"/>
    </row>
    <row r="9" spans="1:11" ht="15">
      <c r="A9" s="20" t="s">
        <v>68</v>
      </c>
      <c r="B9" s="9"/>
      <c r="C9" s="9"/>
      <c r="D9" s="9"/>
      <c r="E9" s="9"/>
      <c r="F9" s="9"/>
      <c r="G9" s="9"/>
      <c r="H9" s="9"/>
      <c r="I9" s="39"/>
      <c r="J9" s="9"/>
      <c r="K9" s="75"/>
    </row>
    <row r="10" spans="1:11" ht="15">
      <c r="A10" s="16" t="s">
        <v>69</v>
      </c>
      <c r="B10" s="9"/>
      <c r="C10" s="9"/>
      <c r="D10" s="9"/>
      <c r="E10" s="9"/>
      <c r="F10" s="9"/>
      <c r="G10" s="9"/>
      <c r="H10" s="9"/>
      <c r="I10" s="39"/>
      <c r="J10" s="9"/>
      <c r="K10" s="75"/>
    </row>
    <row r="11" spans="1:11" ht="15">
      <c r="A11" s="40" t="s">
        <v>70</v>
      </c>
      <c r="B11" s="9"/>
      <c r="C11" s="9"/>
      <c r="D11" s="9"/>
      <c r="E11" s="9"/>
      <c r="F11" s="9"/>
      <c r="G11" s="9"/>
      <c r="H11" s="9"/>
      <c r="I11" s="39"/>
      <c r="J11" s="9"/>
      <c r="K11" s="75"/>
    </row>
    <row r="12" spans="1:11" ht="14.25">
      <c r="A12" s="9"/>
      <c r="B12" s="9"/>
      <c r="C12" s="9"/>
      <c r="D12" s="9"/>
      <c r="E12" s="10"/>
      <c r="F12" s="9"/>
      <c r="G12" s="10"/>
      <c r="H12" s="10"/>
      <c r="I12" s="41"/>
      <c r="J12" s="10"/>
      <c r="K12" s="75"/>
    </row>
    <row r="13" spans="1:11" ht="14.25">
      <c r="A13" s="19" t="s">
        <v>71</v>
      </c>
      <c r="B13" s="44">
        <v>76176445</v>
      </c>
      <c r="C13" s="9"/>
      <c r="D13" s="9"/>
      <c r="E13" s="9"/>
      <c r="F13" s="9"/>
      <c r="G13" s="9"/>
      <c r="H13" s="10">
        <v>0</v>
      </c>
      <c r="I13" s="41">
        <v>935.64490112500005</v>
      </c>
      <c r="J13" s="10">
        <v>0.00015828038877130907</v>
      </c>
      <c r="K13" s="75"/>
    </row>
    <row r="14" spans="1:11" ht="15.75">
      <c r="A14" s="19"/>
      <c r="B14" s="9"/>
      <c r="C14" s="9"/>
      <c r="D14" s="9"/>
      <c r="E14" s="9"/>
      <c r="F14" s="9"/>
      <c r="G14" s="9"/>
      <c r="H14" s="9"/>
      <c r="I14" s="42"/>
      <c r="J14" s="43"/>
      <c r="K14" s="75"/>
    </row>
    <row r="15" spans="1:11" ht="15.75">
      <c r="A15" s="17" t="s">
        <v>29</v>
      </c>
      <c r="B15" s="9"/>
      <c r="C15" s="9"/>
      <c r="D15" s="9"/>
      <c r="E15" s="4"/>
      <c r="F15" s="9"/>
      <c r="G15" s="9"/>
      <c r="H15" s="9"/>
      <c r="I15" s="42">
        <f>SUM(I13:I14)</f>
        <v>935.64490112500005</v>
      </c>
      <c r="J15" s="43">
        <f>SUM(J13:J14)</f>
        <v>0.00015828038877130907</v>
      </c>
      <c r="K15" s="75"/>
    </row>
    <row r="16" spans="1:11" ht="15.75">
      <c r="A16" s="17"/>
      <c r="B16" s="9"/>
      <c r="C16" s="9"/>
      <c r="D16" s="9"/>
      <c r="E16" s="4"/>
      <c r="F16" s="9"/>
      <c r="G16" s="9"/>
      <c r="H16" s="9"/>
      <c r="I16" s="42"/>
      <c r="J16" s="43"/>
      <c r="K16" s="75"/>
    </row>
    <row r="17" spans="1:11" ht="15.75">
      <c r="A17" s="20" t="s">
        <v>78</v>
      </c>
      <c r="B17" s="9"/>
      <c r="C17" s="9"/>
      <c r="D17" s="9"/>
      <c r="E17" s="4"/>
      <c r="F17" s="9"/>
      <c r="G17" s="9"/>
      <c r="H17" s="9"/>
      <c r="I17" s="42">
        <f>I15</f>
        <v>935.64490112500005</v>
      </c>
      <c r="J17" s="43">
        <f>J15</f>
        <v>0.00015828038877130907</v>
      </c>
      <c r="K17" s="75"/>
    </row>
    <row r="18" spans="1:11" ht="15.75">
      <c r="A18" s="11"/>
      <c r="B18" s="9"/>
      <c r="C18" s="9"/>
      <c r="D18" s="9"/>
      <c r="E18" s="4"/>
      <c r="F18" s="9"/>
      <c r="G18" s="9"/>
      <c r="H18" s="9"/>
      <c r="I18" s="42"/>
      <c r="J18" s="43"/>
      <c r="K18" s="75"/>
    </row>
    <row r="19" spans="1:11" ht="15.75">
      <c r="A19" s="20" t="s">
        <v>97</v>
      </c>
      <c r="B19" s="9"/>
      <c r="C19" s="9"/>
      <c r="D19" s="9"/>
      <c r="E19" s="9"/>
      <c r="F19" s="9"/>
      <c r="G19" s="9"/>
      <c r="H19" s="9"/>
      <c r="I19" s="42"/>
      <c r="J19" s="12"/>
      <c r="K19" s="75"/>
    </row>
    <row r="20" spans="1:11" ht="15.75">
      <c r="A20" s="16" t="s">
        <v>72</v>
      </c>
      <c r="B20" s="9"/>
      <c r="C20" s="9"/>
      <c r="D20" s="9"/>
      <c r="E20" s="9"/>
      <c r="F20" s="9"/>
      <c r="G20" s="9"/>
      <c r="H20" s="9"/>
      <c r="I20" s="42"/>
      <c r="J20" s="12"/>
      <c r="K20" s="75"/>
    </row>
    <row r="21" spans="1:11" ht="15.75">
      <c r="A21" s="40" t="s">
        <v>73</v>
      </c>
      <c r="B21" s="9"/>
      <c r="C21" s="9"/>
      <c r="D21" s="9"/>
      <c r="E21" s="9"/>
      <c r="F21" s="9"/>
      <c r="G21" s="9"/>
      <c r="H21" s="9"/>
      <c r="I21" s="42"/>
      <c r="J21" s="12"/>
      <c r="K21" s="75"/>
    </row>
    <row r="22" spans="1:11" ht="14.25">
      <c r="A22" s="9"/>
      <c r="B22" s="9"/>
      <c r="C22" s="9"/>
      <c r="D22" s="9"/>
      <c r="E22" s="10"/>
      <c r="F22" s="9"/>
      <c r="G22" s="10"/>
      <c r="H22" s="10"/>
      <c r="I22" s="41"/>
      <c r="J22" s="10"/>
      <c r="K22" s="75"/>
    </row>
    <row r="23" spans="1:11" ht="14.25">
      <c r="A23" s="19" t="s">
        <v>98</v>
      </c>
      <c r="B23" s="44">
        <v>1182583</v>
      </c>
      <c r="C23" s="9" t="s">
        <v>57</v>
      </c>
      <c r="D23" s="9" t="s">
        <v>56</v>
      </c>
      <c r="E23" s="10">
        <v>0.011900000000000001</v>
      </c>
      <c r="F23" s="9">
        <v>0.48999999999999999</v>
      </c>
      <c r="G23" s="10">
        <v>0.011599999999999999</v>
      </c>
      <c r="H23" s="10">
        <v>0.0015351317445116352</v>
      </c>
      <c r="I23" s="41">
        <v>401.79678000000001</v>
      </c>
      <c r="J23" s="10">
        <v>6.7970819345023918E-05</v>
      </c>
      <c r="K23" s="75"/>
    </row>
    <row r="24" spans="1:11" ht="14.25">
      <c r="A24" s="9"/>
      <c r="B24" s="9"/>
      <c r="C24" s="9"/>
      <c r="D24" s="9"/>
      <c r="E24" s="10"/>
      <c r="F24" s="9"/>
      <c r="G24" s="10"/>
      <c r="H24" s="10"/>
      <c r="I24" s="41"/>
      <c r="J24" s="10"/>
      <c r="K24" s="75"/>
    </row>
    <row r="25" spans="1:11" ht="15">
      <c r="A25" s="40" t="s">
        <v>70</v>
      </c>
      <c r="B25" s="9"/>
      <c r="C25" s="9"/>
      <c r="D25" s="9"/>
      <c r="E25" s="10"/>
      <c r="F25" s="9"/>
      <c r="G25" s="10"/>
      <c r="H25" s="10"/>
      <c r="I25" s="41"/>
      <c r="J25" s="10"/>
      <c r="K25" s="75"/>
    </row>
    <row r="26" spans="1:11" ht="14.25">
      <c r="A26" s="9"/>
      <c r="B26" s="9"/>
      <c r="C26" s="9"/>
      <c r="D26" s="9"/>
      <c r="E26" s="10"/>
      <c r="F26" s="9"/>
      <c r="G26" s="10"/>
      <c r="H26" s="10"/>
      <c r="I26" s="41"/>
      <c r="J26" s="10"/>
      <c r="K26" s="75"/>
    </row>
    <row r="27" spans="1:11" ht="14.25">
      <c r="A27" s="19" t="s">
        <v>100</v>
      </c>
      <c r="B27" s="44">
        <v>1177484</v>
      </c>
      <c r="C27" s="9"/>
      <c r="D27" s="9"/>
      <c r="E27" s="10"/>
      <c r="F27" s="9"/>
      <c r="G27" s="10"/>
      <c r="H27" s="10">
        <v>3.8760264755435794E-06</v>
      </c>
      <c r="I27" s="41">
        <v>2.9851143759999998</v>
      </c>
      <c r="J27" s="10">
        <v>5.0498331513589973E-07</v>
      </c>
      <c r="K27" s="75"/>
    </row>
    <row r="28" spans="1:11" ht="14.25">
      <c r="A28" s="9"/>
      <c r="B28" s="9"/>
      <c r="C28" s="9"/>
      <c r="D28" s="9"/>
      <c r="E28" s="10"/>
      <c r="F28" s="9"/>
      <c r="G28" s="10"/>
      <c r="H28" s="10"/>
      <c r="I28" s="41"/>
      <c r="J28" s="10"/>
      <c r="K28" s="75"/>
    </row>
    <row r="29" spans="1:11" ht="15.75">
      <c r="A29" s="17" t="s">
        <v>28</v>
      </c>
      <c r="B29" s="9"/>
      <c r="C29" s="9"/>
      <c r="D29" s="9"/>
      <c r="E29" s="10"/>
      <c r="F29" s="9"/>
      <c r="G29" s="10"/>
      <c r="H29" s="10"/>
      <c r="I29" s="42">
        <f>I27+I23</f>
        <v>404.78189437600003</v>
      </c>
      <c r="J29" s="43">
        <f>J27+J23</f>
        <v>6.8475802660159811E-05</v>
      </c>
      <c r="K29" s="75"/>
    </row>
    <row r="30" spans="1:11" ht="15">
      <c r="A30" s="17"/>
      <c r="B30" s="9"/>
      <c r="C30" s="9"/>
      <c r="D30" s="9"/>
      <c r="E30" s="10"/>
      <c r="F30" s="9"/>
      <c r="G30" s="10"/>
      <c r="H30" s="10"/>
      <c r="I30" s="41"/>
      <c r="J30" s="10"/>
      <c r="K30" s="75"/>
    </row>
    <row r="31" spans="1:11" ht="15.75">
      <c r="A31" s="20" t="s">
        <v>101</v>
      </c>
      <c r="B31" s="9"/>
      <c r="C31" s="9"/>
      <c r="D31" s="9"/>
      <c r="E31" s="10"/>
      <c r="F31" s="9"/>
      <c r="G31" s="10"/>
      <c r="H31" s="10"/>
      <c r="I31" s="42">
        <f>I29</f>
        <v>404.78189437600003</v>
      </c>
      <c r="J31" s="43">
        <f>J29</f>
        <v>6.8475802660159811E-05</v>
      </c>
      <c r="K31" s="75"/>
    </row>
    <row r="32" spans="1:11" ht="15.75">
      <c r="A32" s="20"/>
      <c r="B32" s="9"/>
      <c r="C32" s="9"/>
      <c r="D32" s="9"/>
      <c r="E32" s="10"/>
      <c r="F32" s="9"/>
      <c r="G32" s="10"/>
      <c r="H32" s="10"/>
      <c r="I32" s="42"/>
      <c r="J32" s="43"/>
      <c r="K32" s="75"/>
    </row>
    <row r="33" spans="1:11" ht="15.75">
      <c r="A33" s="20" t="s">
        <v>102</v>
      </c>
      <c r="B33" s="9"/>
      <c r="C33" s="9"/>
      <c r="D33" s="9"/>
      <c r="E33" s="9"/>
      <c r="F33" s="9"/>
      <c r="G33" s="9"/>
      <c r="H33" s="9"/>
      <c r="I33" s="42"/>
      <c r="J33" s="12"/>
      <c r="K33" s="75"/>
    </row>
    <row r="34" spans="1:11" ht="15.75">
      <c r="A34" s="16" t="s">
        <v>72</v>
      </c>
      <c r="B34" s="9"/>
      <c r="C34" s="9"/>
      <c r="D34" s="9"/>
      <c r="E34" s="9"/>
      <c r="F34" s="9"/>
      <c r="G34" s="9"/>
      <c r="H34" s="9"/>
      <c r="I34" s="42"/>
      <c r="J34" s="12"/>
      <c r="K34" s="75"/>
    </row>
    <row r="35" spans="1:11" ht="15.75">
      <c r="A35" s="40" t="s">
        <v>73</v>
      </c>
      <c r="B35" s="9"/>
      <c r="C35" s="9"/>
      <c r="D35" s="9"/>
      <c r="E35" s="9"/>
      <c r="F35" s="9"/>
      <c r="G35" s="9"/>
      <c r="H35" s="9"/>
      <c r="I35" s="42"/>
      <c r="J35" s="12"/>
      <c r="K35" s="75"/>
    </row>
    <row r="36" spans="1:11" ht="14.25">
      <c r="A36" s="9"/>
      <c r="B36" s="9"/>
      <c r="C36" s="9"/>
      <c r="D36" s="9"/>
      <c r="E36" s="10"/>
      <c r="F36" s="9"/>
      <c r="G36" s="10"/>
      <c r="H36" s="10"/>
      <c r="I36" s="41"/>
      <c r="J36" s="10"/>
      <c r="K36" s="75"/>
    </row>
    <row r="37" spans="1:11" ht="14.25">
      <c r="A37" s="19" t="s">
        <v>30</v>
      </c>
      <c r="B37" s="44">
        <v>7670201</v>
      </c>
      <c r="C37" s="9" t="s">
        <v>57</v>
      </c>
      <c r="D37" s="9" t="s">
        <v>48</v>
      </c>
      <c r="E37" s="10" t="s">
        <v>99</v>
      </c>
      <c r="F37" s="45">
        <v>2.9699999999662365</v>
      </c>
      <c r="G37" s="10">
        <v>0.010800000000444825</v>
      </c>
      <c r="H37" s="10">
        <v>6.7660932653908462E-05</v>
      </c>
      <c r="I37" s="41">
        <v>19.219664883999997</v>
      </c>
      <c r="J37" s="10">
        <v>3.251336085128068E-06</v>
      </c>
      <c r="K37" s="75"/>
    </row>
    <row r="38" spans="1:11" ht="14.25">
      <c r="A38" s="19"/>
      <c r="B38" s="44"/>
      <c r="C38" s="9"/>
      <c r="D38" s="9"/>
      <c r="E38" s="10"/>
      <c r="F38" s="45"/>
      <c r="G38" s="10"/>
      <c r="H38" s="10"/>
      <c r="I38" s="41"/>
      <c r="J38" s="10"/>
      <c r="K38" s="75"/>
    </row>
    <row r="39" spans="1:11" ht="15">
      <c r="A39" s="40" t="s">
        <v>70</v>
      </c>
      <c r="B39" s="44"/>
      <c r="C39" s="9"/>
      <c r="D39" s="9"/>
      <c r="E39" s="10"/>
      <c r="F39" s="45"/>
      <c r="G39" s="10"/>
      <c r="H39" s="10"/>
      <c r="I39" s="41"/>
      <c r="J39" s="10"/>
      <c r="K39" s="75"/>
    </row>
    <row r="40" spans="1:11" ht="14.25">
      <c r="A40" s="19"/>
      <c r="B40" s="44"/>
      <c r="C40" s="9"/>
      <c r="D40" s="9"/>
      <c r="E40" s="10"/>
      <c r="F40" s="45"/>
      <c r="G40" s="10"/>
      <c r="H40" s="10"/>
      <c r="I40" s="41"/>
      <c r="J40" s="10"/>
      <c r="K40" s="75"/>
    </row>
    <row r="41" spans="1:11" ht="14.25">
      <c r="A41" s="19" t="s">
        <v>58</v>
      </c>
      <c r="B41" s="44">
        <v>767012</v>
      </c>
      <c r="C41" s="9"/>
      <c r="D41" s="9"/>
      <c r="E41" s="10"/>
      <c r="F41" s="45"/>
      <c r="G41" s="10"/>
      <c r="H41" s="10">
        <v>5.3467512875158729E-06</v>
      </c>
      <c r="I41" s="41">
        <v>54.319298336000003</v>
      </c>
      <c r="J41" s="10">
        <v>9.1890413211990255E-06</v>
      </c>
      <c r="K41" s="75"/>
    </row>
    <row r="42" spans="1:11" ht="15.75">
      <c r="A42" s="20"/>
      <c r="B42" s="9"/>
      <c r="C42" s="9"/>
      <c r="D42" s="9"/>
      <c r="E42" s="10"/>
      <c r="F42" s="9"/>
      <c r="G42" s="10"/>
      <c r="H42" s="10"/>
      <c r="I42" s="42"/>
      <c r="J42" s="43"/>
      <c r="K42" s="75"/>
    </row>
    <row r="43" spans="1:11" ht="15.75">
      <c r="A43" s="17" t="s">
        <v>28</v>
      </c>
      <c r="B43" s="9"/>
      <c r="C43" s="9"/>
      <c r="D43" s="9"/>
      <c r="E43" s="10"/>
      <c r="F43" s="9"/>
      <c r="G43" s="10"/>
      <c r="H43" s="10"/>
      <c r="I43" s="42">
        <f>SUM(I37:I42)</f>
        <v>73.538963219999999</v>
      </c>
      <c r="J43" s="43">
        <f>SUM(J37:J42)</f>
        <v>1.2440377406327093E-05</v>
      </c>
      <c r="K43" s="75"/>
    </row>
    <row r="44" spans="1:11" ht="15">
      <c r="A44" s="17"/>
      <c r="B44" s="9"/>
      <c r="C44" s="9"/>
      <c r="D44" s="9"/>
      <c r="E44" s="10"/>
      <c r="F44" s="9"/>
      <c r="G44" s="10"/>
      <c r="H44" s="10"/>
      <c r="I44" s="41"/>
      <c r="J44" s="10"/>
      <c r="K44" s="75"/>
    </row>
    <row r="45" spans="1:11" ht="15.75">
      <c r="A45" s="20" t="s">
        <v>79</v>
      </c>
      <c r="B45" s="9"/>
      <c r="C45" s="9"/>
      <c r="D45" s="9"/>
      <c r="E45" s="10"/>
      <c r="F45" s="9"/>
      <c r="G45" s="10"/>
      <c r="H45" s="10"/>
      <c r="I45" s="42">
        <f>I43</f>
        <v>73.538963219999999</v>
      </c>
      <c r="J45" s="43">
        <f>J43</f>
        <v>1.2440377406327093E-05</v>
      </c>
      <c r="K45" s="75"/>
    </row>
    <row r="46" spans="1:11" ht="15.75">
      <c r="A46" s="20"/>
      <c r="B46" s="9"/>
      <c r="C46" s="9"/>
      <c r="D46" s="9"/>
      <c r="E46" s="10"/>
      <c r="F46" s="9"/>
      <c r="G46" s="10"/>
      <c r="H46" s="10"/>
      <c r="I46" s="42"/>
      <c r="J46" s="43"/>
      <c r="K46" s="75"/>
    </row>
    <row r="47" spans="1:11" ht="15.75">
      <c r="A47" s="20" t="s">
        <v>91</v>
      </c>
      <c r="B47" s="9"/>
      <c r="C47" s="9"/>
      <c r="D47" s="9"/>
      <c r="E47" s="10"/>
      <c r="F47" s="9"/>
      <c r="G47" s="10"/>
      <c r="H47" s="10"/>
      <c r="I47" s="42"/>
      <c r="J47" s="43"/>
      <c r="K47" s="75"/>
    </row>
    <row r="48" spans="1:11" ht="15.75">
      <c r="A48" s="20" t="s">
        <v>72</v>
      </c>
      <c r="B48" s="9"/>
      <c r="C48" s="9"/>
      <c r="D48" s="9"/>
      <c r="E48" s="10"/>
      <c r="F48" s="9"/>
      <c r="G48" s="10"/>
      <c r="H48" s="10"/>
      <c r="I48" s="42"/>
      <c r="J48" s="43"/>
      <c r="K48" s="75"/>
    </row>
    <row r="49" spans="1:11" ht="15.75">
      <c r="A49" s="40" t="s">
        <v>73</v>
      </c>
      <c r="B49" s="9"/>
      <c r="C49" s="9"/>
      <c r="D49" s="9"/>
      <c r="E49" s="10"/>
      <c r="F49" s="9"/>
      <c r="G49" s="10"/>
      <c r="H49" s="10"/>
      <c r="I49" s="42"/>
      <c r="J49" s="43"/>
      <c r="K49" s="75"/>
    </row>
    <row r="50" spans="1:11" ht="15.75">
      <c r="A50" s="20"/>
      <c r="B50" s="9"/>
      <c r="C50" s="9"/>
      <c r="D50" s="9"/>
      <c r="E50" s="10"/>
      <c r="F50" s="9"/>
      <c r="G50" s="10"/>
      <c r="H50" s="10"/>
      <c r="I50" s="42"/>
      <c r="J50" s="43"/>
      <c r="K50" s="75"/>
    </row>
    <row r="51" spans="1:11" ht="14.25">
      <c r="A51" s="19" t="s">
        <v>31</v>
      </c>
      <c r="B51" s="44">
        <v>1133529</v>
      </c>
      <c r="C51" s="55" t="s">
        <v>57</v>
      </c>
      <c r="D51" s="55" t="s">
        <v>48</v>
      </c>
      <c r="E51" s="56">
        <v>0.0385</v>
      </c>
      <c r="F51" s="55">
        <v>1.9999999999916112</v>
      </c>
      <c r="G51" s="56">
        <v>0.0093999999993784854</v>
      </c>
      <c r="H51" s="56">
        <v>6.766093420270742E-05</v>
      </c>
      <c r="I51" s="57">
        <v>29.033460714</v>
      </c>
      <c r="J51" s="56">
        <v>4.9115080343653893E-06</v>
      </c>
      <c r="K51" s="75"/>
    </row>
    <row r="52" spans="1:11" ht="14.25">
      <c r="A52" s="19" t="s">
        <v>32</v>
      </c>
      <c r="B52" s="44">
        <v>1136696</v>
      </c>
      <c r="C52" s="55" t="s">
        <v>57</v>
      </c>
      <c r="D52" s="55" t="s">
        <v>48</v>
      </c>
      <c r="E52" s="56">
        <v>0.030499999999999999</v>
      </c>
      <c r="F52" s="55">
        <v>1.0599999999463641</v>
      </c>
      <c r="G52" s="56">
        <v>0.0057999999997391883</v>
      </c>
      <c r="H52" s="56">
        <v>6.7660926689858719E-05</v>
      </c>
      <c r="I52" s="57">
        <v>28.878482998999999</v>
      </c>
      <c r="J52" s="56">
        <v>4.8852908947736543E-06</v>
      </c>
      <c r="K52" s="75"/>
    </row>
    <row r="53" spans="1:11" ht="14.25">
      <c r="A53" s="19" t="s">
        <v>33</v>
      </c>
      <c r="B53" s="44">
        <v>1139815</v>
      </c>
      <c r="C53" s="55" t="s">
        <v>57</v>
      </c>
      <c r="D53" s="55" t="s">
        <v>48</v>
      </c>
      <c r="E53" s="56">
        <v>0.0361</v>
      </c>
      <c r="F53" s="55">
        <v>3.3599999999859618</v>
      </c>
      <c r="G53" s="56">
        <v>0.011399999999849366</v>
      </c>
      <c r="H53" s="56">
        <v>6.766093221758958E-05</v>
      </c>
      <c r="I53" s="57">
        <v>57.211022578999994</v>
      </c>
      <c r="J53" s="56">
        <v>9.6782260929549824E-06</v>
      </c>
      <c r="K53" s="75"/>
    </row>
    <row r="54" spans="1:11" ht="14.25">
      <c r="A54" s="19" t="s">
        <v>59</v>
      </c>
      <c r="B54" s="44">
        <v>1155522</v>
      </c>
      <c r="C54" s="55" t="s">
        <v>57</v>
      </c>
      <c r="D54" s="55" t="s">
        <v>48</v>
      </c>
      <c r="E54" s="56">
        <v>0.033000000000000002</v>
      </c>
      <c r="F54" s="55">
        <v>4.3399999999916714</v>
      </c>
      <c r="G54" s="56">
        <v>0.011800000000021248</v>
      </c>
      <c r="H54" s="56">
        <v>6.7660943809693687E-05</v>
      </c>
      <c r="I54" s="57">
        <v>23.097331728</v>
      </c>
      <c r="J54" s="56">
        <v>3.9073099645944824E-06</v>
      </c>
      <c r="K54" s="75"/>
    </row>
    <row r="55" spans="1:11" ht="14.25">
      <c r="A55" s="19" t="s">
        <v>60</v>
      </c>
      <c r="B55" s="44">
        <v>1159359</v>
      </c>
      <c r="C55" s="55" t="s">
        <v>57</v>
      </c>
      <c r="D55" s="55" t="s">
        <v>56</v>
      </c>
      <c r="E55" s="56">
        <v>0.026200000000000001</v>
      </c>
      <c r="F55" s="55">
        <v>6.710000000009134</v>
      </c>
      <c r="G55" s="56">
        <v>0.019099999999970311</v>
      </c>
      <c r="H55" s="56">
        <v>6.7660931637500014E-05</v>
      </c>
      <c r="I55" s="57">
        <v>57.002981675000001</v>
      </c>
      <c r="J55" s="56">
        <v>9.6430324044884916E-06</v>
      </c>
      <c r="K55" s="75"/>
    </row>
    <row r="56" spans="1:11" ht="15.75">
      <c r="A56" s="20"/>
      <c r="B56" s="9"/>
      <c r="C56" s="9"/>
      <c r="D56" s="9"/>
      <c r="E56" s="10"/>
      <c r="F56" s="9"/>
      <c r="G56" s="10"/>
      <c r="H56" s="10"/>
      <c r="I56" s="42"/>
      <c r="J56" s="43"/>
      <c r="K56" s="75"/>
    </row>
    <row r="57" spans="1:11" ht="15.75">
      <c r="A57" s="17" t="s">
        <v>28</v>
      </c>
      <c r="B57" s="9"/>
      <c r="C57" s="9"/>
      <c r="D57" s="9"/>
      <c r="E57" s="10"/>
      <c r="F57" s="9"/>
      <c r="G57" s="10"/>
      <c r="H57" s="10"/>
      <c r="I57" s="42">
        <f>SUM(I51:I56)</f>
        <v>195.223279695</v>
      </c>
      <c r="J57" s="58">
        <f>SUM(J51:J56)</f>
        <v>3.3025367391177E-05</v>
      </c>
      <c r="K57" s="75"/>
    </row>
    <row r="58" spans="1:11" ht="15.75">
      <c r="A58" s="17"/>
      <c r="B58" s="9"/>
      <c r="C58" s="9"/>
      <c r="D58" s="9"/>
      <c r="E58" s="10"/>
      <c r="F58" s="9"/>
      <c r="G58" s="10"/>
      <c r="H58" s="10"/>
      <c r="I58" s="42"/>
      <c r="J58" s="58"/>
      <c r="K58" s="75"/>
    </row>
    <row r="59" spans="1:11" ht="15.75">
      <c r="A59" s="20" t="s">
        <v>80</v>
      </c>
      <c r="B59" s="9"/>
      <c r="C59" s="9"/>
      <c r="D59" s="9"/>
      <c r="E59" s="10"/>
      <c r="F59" s="9"/>
      <c r="G59" s="10"/>
      <c r="H59" s="10"/>
      <c r="I59" s="42">
        <f>I57</f>
        <v>195.223279695</v>
      </c>
      <c r="J59" s="58">
        <f>J57</f>
        <v>3.3025367391177E-05</v>
      </c>
      <c r="K59" s="75"/>
    </row>
    <row r="60" spans="1:11" ht="15.75">
      <c r="A60" s="20"/>
      <c r="B60" s="9"/>
      <c r="C60" s="9"/>
      <c r="D60" s="9"/>
      <c r="E60" s="10"/>
      <c r="F60" s="9"/>
      <c r="G60" s="10"/>
      <c r="H60" s="10"/>
      <c r="I60" s="42"/>
      <c r="J60" s="43"/>
      <c r="K60" s="75"/>
    </row>
    <row r="61" spans="1:11" ht="15.75">
      <c r="A61" s="20" t="s">
        <v>103</v>
      </c>
      <c r="B61" s="9"/>
      <c r="C61" s="9"/>
      <c r="D61" s="9"/>
      <c r="E61" s="10"/>
      <c r="F61" s="9"/>
      <c r="G61" s="10"/>
      <c r="H61" s="10"/>
      <c r="I61" s="42"/>
      <c r="J61" s="43"/>
      <c r="K61" s="75"/>
    </row>
    <row r="62" spans="1:11" ht="15.75">
      <c r="A62" s="16" t="s">
        <v>69</v>
      </c>
      <c r="B62" s="9"/>
      <c r="C62" s="9"/>
      <c r="D62" s="9"/>
      <c r="E62" s="10"/>
      <c r="F62" s="9"/>
      <c r="G62" s="10"/>
      <c r="H62" s="10"/>
      <c r="I62" s="42"/>
      <c r="J62" s="43"/>
      <c r="K62" s="75"/>
    </row>
    <row r="63" spans="1:11" ht="15.75">
      <c r="A63" s="40" t="s">
        <v>74</v>
      </c>
      <c r="B63" s="9"/>
      <c r="C63" s="9"/>
      <c r="D63" s="9"/>
      <c r="E63" s="10"/>
      <c r="F63" s="9"/>
      <c r="G63" s="10"/>
      <c r="H63" s="10"/>
      <c r="I63" s="42"/>
      <c r="J63" s="43"/>
      <c r="K63" s="75"/>
    </row>
    <row r="64" spans="1:11" ht="15.75">
      <c r="A64" s="9"/>
      <c r="B64" s="9"/>
      <c r="C64" s="9"/>
      <c r="D64" s="9"/>
      <c r="E64" s="10"/>
      <c r="F64" s="9"/>
      <c r="G64" s="10"/>
      <c r="H64" s="10"/>
      <c r="I64" s="42"/>
      <c r="J64" s="43"/>
      <c r="K64" s="75"/>
    </row>
    <row r="65" spans="1:11" ht="14.25">
      <c r="A65" s="19" t="s">
        <v>92</v>
      </c>
      <c r="B65" s="44">
        <v>10902810</v>
      </c>
      <c r="C65" s="9" t="s">
        <v>49</v>
      </c>
      <c r="D65" s="9" t="s">
        <v>56</v>
      </c>
      <c r="E65" s="10">
        <v>0.079699999999999993</v>
      </c>
      <c r="F65" s="45">
        <v>2.5300000000038847</v>
      </c>
      <c r="G65" s="10">
        <v>0.015100000000002788</v>
      </c>
      <c r="H65" s="10"/>
      <c r="I65" s="41">
        <v>368.14482775600004</v>
      </c>
      <c r="J65" s="10">
        <v>6.2278014224524203E-05</v>
      </c>
      <c r="K65" s="75"/>
    </row>
    <row r="66" spans="1:11" ht="15.75">
      <c r="A66" s="9"/>
      <c r="B66" s="9"/>
      <c r="C66" s="9"/>
      <c r="D66" s="9"/>
      <c r="E66" s="10"/>
      <c r="F66" s="9"/>
      <c r="G66" s="10"/>
      <c r="H66" s="10"/>
      <c r="I66" s="42"/>
      <c r="J66" s="43"/>
      <c r="K66" s="75"/>
    </row>
    <row r="67" spans="1:11" ht="15.75">
      <c r="A67" s="17" t="s">
        <v>29</v>
      </c>
      <c r="B67" s="9"/>
      <c r="C67" s="9"/>
      <c r="D67" s="9"/>
      <c r="E67" s="10"/>
      <c r="F67" s="9"/>
      <c r="G67" s="10"/>
      <c r="H67" s="10"/>
      <c r="I67" s="42">
        <f>SUM(I65:I66)</f>
        <v>368.14482775600004</v>
      </c>
      <c r="J67" s="43">
        <f>SUM(J65:J66)</f>
        <v>6.2278014224524203E-05</v>
      </c>
      <c r="K67" s="75"/>
    </row>
    <row r="68" spans="1:11" ht="15">
      <c r="A68" s="17"/>
      <c r="B68" s="9"/>
      <c r="C68" s="9"/>
      <c r="D68" s="9"/>
      <c r="E68" s="10"/>
      <c r="F68" s="9"/>
      <c r="G68" s="10"/>
      <c r="H68" s="10"/>
      <c r="I68" s="41"/>
      <c r="J68" s="10"/>
      <c r="K68" s="75"/>
    </row>
    <row r="69" spans="1:11" ht="15.75">
      <c r="A69" s="20" t="s">
        <v>81</v>
      </c>
      <c r="B69" s="9"/>
      <c r="C69" s="9"/>
      <c r="D69" s="9"/>
      <c r="E69" s="4"/>
      <c r="F69" s="9"/>
      <c r="G69" s="9"/>
      <c r="H69" s="9"/>
      <c r="I69" s="42">
        <f>I67</f>
        <v>368.14482775600004</v>
      </c>
      <c r="J69" s="43">
        <f>J67</f>
        <v>6.2278014224524203E-05</v>
      </c>
      <c r="K69" s="75"/>
    </row>
    <row r="70" spans="1:11" ht="15.75">
      <c r="A70" s="11"/>
      <c r="B70" s="9"/>
      <c r="C70" s="9"/>
      <c r="D70" s="9"/>
      <c r="E70" s="4"/>
      <c r="F70" s="9"/>
      <c r="G70" s="9"/>
      <c r="H70" s="9"/>
      <c r="I70" s="42"/>
      <c r="J70" s="43"/>
      <c r="K70" s="75"/>
    </row>
    <row r="71" spans="1:11" ht="15.75">
      <c r="A71" s="20" t="s">
        <v>82</v>
      </c>
      <c r="B71" s="9"/>
      <c r="C71" s="9"/>
      <c r="D71" s="9"/>
      <c r="E71" s="10"/>
      <c r="F71" s="9"/>
      <c r="G71" s="10"/>
      <c r="H71" s="10"/>
      <c r="I71" s="42"/>
      <c r="J71" s="43"/>
      <c r="K71" s="75"/>
    </row>
    <row r="72" spans="1:11" ht="15.75">
      <c r="A72" s="16" t="s">
        <v>72</v>
      </c>
      <c r="B72" s="9"/>
      <c r="C72" s="9"/>
      <c r="D72" s="9"/>
      <c r="E72" s="10"/>
      <c r="F72" s="9"/>
      <c r="G72" s="10"/>
      <c r="H72" s="10"/>
      <c r="I72" s="42"/>
      <c r="J72" s="43"/>
      <c r="K72" s="75"/>
    </row>
    <row r="73" spans="1:11" ht="15">
      <c r="A73" s="40" t="s">
        <v>70</v>
      </c>
      <c r="B73" s="9"/>
      <c r="C73" s="9"/>
      <c r="D73" s="9"/>
      <c r="E73" s="10"/>
      <c r="F73" s="9"/>
      <c r="G73" s="10"/>
      <c r="H73" s="10"/>
      <c r="I73" s="41"/>
      <c r="J73" s="10"/>
      <c r="K73" s="75"/>
    </row>
    <row r="74" spans="1:11" ht="14.25">
      <c r="A74" s="9"/>
      <c r="B74" s="9"/>
      <c r="C74" s="9"/>
      <c r="D74" s="9"/>
      <c r="E74" s="10"/>
      <c r="F74" s="9"/>
      <c r="G74" s="10"/>
      <c r="H74" s="10"/>
      <c r="I74" s="41"/>
      <c r="J74" s="10"/>
      <c r="K74" s="75"/>
    </row>
    <row r="75" spans="1:11" ht="14.25">
      <c r="A75" s="19" t="s">
        <v>104</v>
      </c>
      <c r="B75" s="44">
        <v>1155126</v>
      </c>
      <c r="C75" s="9"/>
      <c r="D75" s="9" t="s">
        <v>89</v>
      </c>
      <c r="E75" s="10"/>
      <c r="F75" s="9"/>
      <c r="G75" s="10"/>
      <c r="H75" s="10">
        <v>5.0014836469647865E-07</v>
      </c>
      <c r="I75" s="41">
        <v>0.13022659099999998</v>
      </c>
      <c r="J75" s="10">
        <v>2.2030062288650782E-08</v>
      </c>
      <c r="K75" s="75"/>
    </row>
    <row r="76" spans="1:11" ht="14.25">
      <c r="A76" s="19" t="s">
        <v>35</v>
      </c>
      <c r="B76" s="44">
        <v>1146158</v>
      </c>
      <c r="C76" s="9"/>
      <c r="D76" s="9" t="s">
        <v>89</v>
      </c>
      <c r="E76" s="10"/>
      <c r="F76" s="9"/>
      <c r="G76" s="10"/>
      <c r="H76" s="10">
        <v>0.013033195884119024</v>
      </c>
      <c r="I76" s="41">
        <v>1869.151399116</v>
      </c>
      <c r="J76" s="10">
        <v>0.00031619902996189345</v>
      </c>
      <c r="K76" s="75"/>
    </row>
    <row r="77" spans="1:11" ht="14.25">
      <c r="A77" s="19" t="s">
        <v>36</v>
      </c>
      <c r="B77" s="44">
        <v>1145739</v>
      </c>
      <c r="C77" s="9"/>
      <c r="D77" s="9" t="s">
        <v>89</v>
      </c>
      <c r="E77" s="10"/>
      <c r="F77" s="9"/>
      <c r="G77" s="10"/>
      <c r="H77" s="10">
        <v>0.0006311375040817486</v>
      </c>
      <c r="I77" s="41">
        <v>115.126018285</v>
      </c>
      <c r="J77" s="10">
        <v>1.9475541319075914E-05</v>
      </c>
      <c r="K77" s="75"/>
    </row>
    <row r="78" spans="1:11" ht="14.25">
      <c r="A78" s="19" t="s">
        <v>37</v>
      </c>
      <c r="B78" s="44">
        <v>1146190</v>
      </c>
      <c r="C78" s="9"/>
      <c r="D78" s="9"/>
      <c r="E78" s="10"/>
      <c r="F78" s="9"/>
      <c r="G78" s="10"/>
      <c r="H78" s="10">
        <v>0.0022457331031574012</v>
      </c>
      <c r="I78" s="41">
        <v>1192.791302159</v>
      </c>
      <c r="J78" s="10">
        <v>0.00020178111461063779</v>
      </c>
      <c r="K78" s="75"/>
    </row>
    <row r="79" spans="1:11" ht="14.25">
      <c r="A79" s="19" t="s">
        <v>38</v>
      </c>
      <c r="B79" s="44">
        <v>1146174</v>
      </c>
      <c r="C79" s="9"/>
      <c r="D79" s="9"/>
      <c r="E79" s="10"/>
      <c r="F79" s="9"/>
      <c r="G79" s="10"/>
      <c r="H79" s="10">
        <v>0.0040580815862641274</v>
      </c>
      <c r="I79" s="41">
        <v>450.14354213399997</v>
      </c>
      <c r="J79" s="10">
        <v>7.614950369119252E-05</v>
      </c>
      <c r="K79" s="75"/>
    </row>
    <row r="80" spans="1:11" ht="14.25">
      <c r="A80" s="19" t="s">
        <v>96</v>
      </c>
      <c r="B80" s="44">
        <v>1146539</v>
      </c>
      <c r="C80" s="9"/>
      <c r="D80" s="9"/>
      <c r="E80" s="10"/>
      <c r="F80" s="9"/>
      <c r="G80" s="10"/>
      <c r="H80" s="10">
        <v>0.0013069514268928923</v>
      </c>
      <c r="I80" s="41">
        <v>125.58384742300001</v>
      </c>
      <c r="J80" s="10">
        <v>2.1244662552651071E-05</v>
      </c>
      <c r="K80" s="75"/>
    </row>
    <row r="81" spans="1:11" ht="14.25">
      <c r="A81" s="19" t="s">
        <v>105</v>
      </c>
      <c r="B81" s="44">
        <v>1146950</v>
      </c>
      <c r="C81" s="9"/>
      <c r="D81" s="9"/>
      <c r="E81" s="10"/>
      <c r="F81" s="9"/>
      <c r="G81" s="10"/>
      <c r="H81" s="10">
        <v>6.83947941293057E-05</v>
      </c>
      <c r="I81" s="41">
        <v>25.119814434999999</v>
      </c>
      <c r="J81" s="10">
        <v>4.2494476161354722E-06</v>
      </c>
      <c r="K81" s="75"/>
    </row>
    <row r="82" spans="1:11" ht="14.25">
      <c r="A82" s="19" t="s">
        <v>106</v>
      </c>
      <c r="B82" s="44">
        <v>1145960</v>
      </c>
      <c r="C82" s="9"/>
      <c r="D82" s="9"/>
      <c r="E82" s="10"/>
      <c r="F82" s="9"/>
      <c r="G82" s="10"/>
      <c r="H82" s="10">
        <v>3.1499681510809054E-05</v>
      </c>
      <c r="I82" s="41">
        <v>24.817844394000005</v>
      </c>
      <c r="J82" s="10">
        <v>4.1983642025142378E-06</v>
      </c>
      <c r="K82" s="75"/>
    </row>
    <row r="83" spans="1:11" ht="14.25">
      <c r="A83" s="19" t="s">
        <v>107</v>
      </c>
      <c r="B83" s="44">
        <v>1146232</v>
      </c>
      <c r="C83" s="9"/>
      <c r="D83" s="9"/>
      <c r="E83" s="10"/>
      <c r="F83" s="9"/>
      <c r="G83" s="10"/>
      <c r="H83" s="10">
        <v>5.068939478631099E-06</v>
      </c>
      <c r="I83" s="41">
        <v>7.2391308790000011</v>
      </c>
      <c r="J83" s="10">
        <v>1.2246231968098232E-06</v>
      </c>
      <c r="K83" s="75"/>
    </row>
    <row r="84" spans="1:11" ht="14.25">
      <c r="A84" s="19" t="s">
        <v>108</v>
      </c>
      <c r="B84" s="44">
        <v>1150754</v>
      </c>
      <c r="C84" s="9"/>
      <c r="D84" s="9"/>
      <c r="E84" s="10"/>
      <c r="F84" s="9"/>
      <c r="G84" s="10"/>
      <c r="H84" s="10">
        <v>0.1669922592774552</v>
      </c>
      <c r="I84" s="41">
        <v>8032.8525299999992</v>
      </c>
      <c r="J84" s="10">
        <v>0.001358894832710825</v>
      </c>
      <c r="K84" s="75"/>
    </row>
    <row r="85" spans="1:11" ht="14.25">
      <c r="A85" s="19" t="s">
        <v>109</v>
      </c>
      <c r="B85" s="44">
        <v>1146281</v>
      </c>
      <c r="C85" s="9"/>
      <c r="D85" s="9"/>
      <c r="E85" s="10"/>
      <c r="F85" s="9"/>
      <c r="G85" s="10"/>
      <c r="H85" s="10">
        <v>0.00025277601636291105</v>
      </c>
      <c r="I85" s="41">
        <v>36.759457844000003</v>
      </c>
      <c r="J85" s="10">
        <v>6.2184930111573974E-06</v>
      </c>
      <c r="K85" s="75"/>
    </row>
    <row r="86" spans="1:11" ht="14.25">
      <c r="A86" s="19" t="s">
        <v>110</v>
      </c>
      <c r="B86" s="44">
        <v>1146935</v>
      </c>
      <c r="C86" s="9"/>
      <c r="D86" s="9" t="s">
        <v>89</v>
      </c>
      <c r="E86" s="10"/>
      <c r="F86" s="9"/>
      <c r="G86" s="10"/>
      <c r="H86" s="10">
        <v>0.00032547504632566003</v>
      </c>
      <c r="I86" s="41">
        <v>14.771662142</v>
      </c>
      <c r="J86" s="10">
        <v>2.4988801027216072E-06</v>
      </c>
      <c r="K86" s="75"/>
    </row>
    <row r="87" spans="1:11" ht="14.25">
      <c r="A87" s="19" t="s">
        <v>39</v>
      </c>
      <c r="B87" s="44">
        <v>1146414</v>
      </c>
      <c r="C87" s="9"/>
      <c r="D87" s="9" t="s">
        <v>89</v>
      </c>
      <c r="E87" s="10"/>
      <c r="F87" s="9"/>
      <c r="G87" s="10"/>
      <c r="H87" s="10">
        <v>0.0033406397267343522</v>
      </c>
      <c r="I87" s="41">
        <v>2202.0693067789998</v>
      </c>
      <c r="J87" s="10">
        <v>0.00037251780623104405</v>
      </c>
      <c r="K87" s="75"/>
    </row>
    <row r="88" spans="1:11" ht="14.25">
      <c r="A88" s="19" t="s">
        <v>111</v>
      </c>
      <c r="B88" s="44">
        <v>1146919</v>
      </c>
      <c r="C88" s="9"/>
      <c r="D88" s="9" t="s">
        <v>89</v>
      </c>
      <c r="E88" s="10"/>
      <c r="F88" s="9"/>
      <c r="G88" s="10"/>
      <c r="H88" s="10">
        <v>1.9472640605769473E-05</v>
      </c>
      <c r="I88" s="41">
        <v>0.63308284899999989</v>
      </c>
      <c r="J88" s="10">
        <v>1.0709682631058428E-07</v>
      </c>
      <c r="K88" s="75"/>
    </row>
    <row r="89" spans="1:11" ht="14.25">
      <c r="A89" s="19" t="s">
        <v>112</v>
      </c>
      <c r="B89" s="44">
        <v>1145945</v>
      </c>
      <c r="C89" s="9"/>
      <c r="D89" s="9"/>
      <c r="E89" s="10"/>
      <c r="F89" s="9"/>
      <c r="G89" s="10"/>
      <c r="H89" s="10">
        <v>0.17336886260861975</v>
      </c>
      <c r="I89" s="41">
        <v>19291.977499999997</v>
      </c>
      <c r="J89" s="10">
        <v>0.0032635690048605313</v>
      </c>
      <c r="K89" s="75"/>
    </row>
    <row r="90" spans="1:11" ht="14.25">
      <c r="A90" s="19" t="s">
        <v>113</v>
      </c>
      <c r="B90" s="44">
        <v>1146182</v>
      </c>
      <c r="C90" s="9"/>
      <c r="D90" s="9"/>
      <c r="E90" s="10"/>
      <c r="F90" s="9"/>
      <c r="G90" s="10"/>
      <c r="H90" s="10">
        <v>0.23932662675410427</v>
      </c>
      <c r="I90" s="41">
        <v>35961.935000012956</v>
      </c>
      <c r="J90" s="10">
        <v>0.0060835783382419666</v>
      </c>
      <c r="K90" s="75"/>
    </row>
    <row r="91" spans="1:11" ht="14.25">
      <c r="A91" s="19"/>
      <c r="B91" s="44"/>
      <c r="C91" s="9"/>
      <c r="D91" s="9"/>
      <c r="E91" s="10"/>
      <c r="F91" s="9"/>
      <c r="G91" s="10"/>
      <c r="H91" s="10"/>
      <c r="I91" s="41"/>
      <c r="J91" s="10"/>
      <c r="K91" s="75"/>
    </row>
    <row r="92" spans="1:11" ht="15.75">
      <c r="A92" s="17" t="s">
        <v>28</v>
      </c>
      <c r="B92" s="9"/>
      <c r="C92" s="9"/>
      <c r="D92" s="9"/>
      <c r="E92" s="10"/>
      <c r="F92" s="9"/>
      <c r="G92" s="10"/>
      <c r="H92" s="10"/>
      <c r="I92" s="42">
        <f>SUM(I75:I91)</f>
        <v>69351.101665042952</v>
      </c>
      <c r="J92" s="58">
        <f>SUM(J75:J91)</f>
        <v>0.011731928769197755</v>
      </c>
      <c r="K92" s="75"/>
    </row>
    <row r="93" spans="1:11" ht="15">
      <c r="A93" s="17"/>
      <c r="B93" s="9"/>
      <c r="C93" s="9"/>
      <c r="D93" s="9"/>
      <c r="E93" s="10"/>
      <c r="F93" s="9"/>
      <c r="G93" s="10"/>
      <c r="H93" s="10"/>
      <c r="I93" s="41"/>
      <c r="J93" s="10"/>
      <c r="K93" s="75"/>
    </row>
    <row r="94" spans="1:11" ht="15.75">
      <c r="A94" s="20" t="s">
        <v>83</v>
      </c>
      <c r="B94" s="9"/>
      <c r="C94" s="9"/>
      <c r="D94" s="9"/>
      <c r="E94" s="10"/>
      <c r="F94" s="9"/>
      <c r="G94" s="10"/>
      <c r="H94" s="10"/>
      <c r="I94" s="42">
        <f>I92</f>
        <v>69351.101665042952</v>
      </c>
      <c r="J94" s="43">
        <f>J92</f>
        <v>0.011731928769197755</v>
      </c>
      <c r="K94" s="75"/>
    </row>
    <row r="95" spans="11:11" ht="14.25">
      <c r="K95" s="75"/>
    </row>
    <row r="96" spans="1:11" ht="15.75">
      <c r="A96" s="20" t="s">
        <v>15</v>
      </c>
      <c r="B96" s="9"/>
      <c r="C96" s="9"/>
      <c r="D96" s="9"/>
      <c r="E96" s="9"/>
      <c r="F96" s="9"/>
      <c r="G96" s="9"/>
      <c r="H96" s="9"/>
      <c r="I96" s="42"/>
      <c r="J96" s="12"/>
      <c r="K96" s="75"/>
    </row>
    <row r="97" spans="1:11" ht="15.75">
      <c r="A97" s="16" t="s">
        <v>72</v>
      </c>
      <c r="B97" s="9"/>
      <c r="C97" s="9"/>
      <c r="D97" s="9"/>
      <c r="E97" s="9"/>
      <c r="F97" s="9"/>
      <c r="G97" s="9"/>
      <c r="H97" s="9"/>
      <c r="I97" s="42"/>
      <c r="J97" s="12"/>
      <c r="K97" s="75"/>
    </row>
    <row r="98" spans="1:11" ht="15.75">
      <c r="A98" s="40" t="s">
        <v>70</v>
      </c>
      <c r="B98" s="9"/>
      <c r="C98" s="9"/>
      <c r="D98" s="9"/>
      <c r="E98" s="9"/>
      <c r="F98" s="9"/>
      <c r="G98" s="9"/>
      <c r="H98" s="9"/>
      <c r="I98" s="42"/>
      <c r="J98" s="12"/>
      <c r="K98" s="75"/>
    </row>
    <row r="99" spans="1:11" ht="15.75">
      <c r="A99" s="16"/>
      <c r="B99" s="9"/>
      <c r="C99" s="9"/>
      <c r="D99" s="9"/>
      <c r="E99" s="9"/>
      <c r="F99" s="9"/>
      <c r="G99" s="9"/>
      <c r="H99" s="9"/>
      <c r="I99" s="42"/>
      <c r="J99" s="12"/>
      <c r="K99" s="75"/>
    </row>
    <row r="100" spans="1:11" ht="14.25">
      <c r="A100" s="19" t="s">
        <v>15</v>
      </c>
      <c r="B100" s="44">
        <v>1098920</v>
      </c>
      <c r="C100" s="9"/>
      <c r="D100" s="9"/>
      <c r="E100" s="9"/>
      <c r="F100" s="9"/>
      <c r="G100" s="9"/>
      <c r="H100" s="10">
        <v>0.00056186648410975451</v>
      </c>
      <c r="I100" s="41">
        <v>2309.2796162669997</v>
      </c>
      <c r="J100" s="10">
        <v>0.00039065426958979205</v>
      </c>
      <c r="K100" s="75"/>
    </row>
    <row r="101" spans="1:11" ht="15.75">
      <c r="A101" s="16"/>
      <c r="B101" s="9"/>
      <c r="C101" s="9"/>
      <c r="D101" s="9"/>
      <c r="E101" s="9"/>
      <c r="F101" s="9"/>
      <c r="G101" s="9"/>
      <c r="H101" s="9"/>
      <c r="I101" s="42"/>
      <c r="J101" s="12"/>
      <c r="K101" s="75"/>
    </row>
    <row r="102" spans="1:11" ht="15.75">
      <c r="A102" s="40" t="s">
        <v>73</v>
      </c>
      <c r="B102" s="9"/>
      <c r="C102" s="9"/>
      <c r="D102" s="9"/>
      <c r="E102" s="9"/>
      <c r="F102" s="9"/>
      <c r="G102" s="9"/>
      <c r="H102" s="9"/>
      <c r="I102" s="42"/>
      <c r="J102" s="12"/>
      <c r="K102" s="75"/>
    </row>
    <row r="103" spans="1:11" ht="14.25">
      <c r="A103" s="9"/>
      <c r="B103" s="9"/>
      <c r="C103" s="9"/>
      <c r="D103" s="9"/>
      <c r="E103" s="10"/>
      <c r="F103" s="9"/>
      <c r="G103" s="10"/>
      <c r="H103" s="10"/>
      <c r="I103" s="41"/>
      <c r="J103" s="10"/>
      <c r="K103" s="75"/>
    </row>
    <row r="104" spans="1:11" ht="14.25">
      <c r="A104" s="19" t="s">
        <v>41</v>
      </c>
      <c r="B104" s="44">
        <v>1129899</v>
      </c>
      <c r="C104" s="9" t="s">
        <v>49</v>
      </c>
      <c r="D104" s="9" t="s">
        <v>48</v>
      </c>
      <c r="E104" s="10">
        <v>0.040000000000000001</v>
      </c>
      <c r="F104" s="9">
        <v>1.6899999999523365</v>
      </c>
      <c r="G104" s="10">
        <v>-0.018799999999817615</v>
      </c>
      <c r="H104" s="10">
        <v>7.2736975709272535E-05</v>
      </c>
      <c r="I104" s="41">
        <v>20.242933834000002</v>
      </c>
      <c r="J104" s="10">
        <v>3.4244395852154078E-06</v>
      </c>
      <c r="K104" s="75"/>
    </row>
    <row r="105" spans="1:11" ht="14.25">
      <c r="A105" s="19" t="s">
        <v>61</v>
      </c>
      <c r="B105" s="44">
        <v>1136753</v>
      </c>
      <c r="C105" s="9" t="s">
        <v>49</v>
      </c>
      <c r="D105" s="9" t="s">
        <v>48</v>
      </c>
      <c r="E105" s="10">
        <v>0.040000000000000001</v>
      </c>
      <c r="F105" s="9">
        <v>4.1999999999995641</v>
      </c>
      <c r="G105" s="10">
        <v>-0.012200000000006032</v>
      </c>
      <c r="H105" s="10">
        <v>0.00050818096385695931</v>
      </c>
      <c r="I105" s="41">
        <v>659.31238250599995</v>
      </c>
      <c r="J105" s="10">
        <v>0.00011153400194808088</v>
      </c>
      <c r="K105" s="75"/>
    </row>
    <row r="106" spans="1:11" ht="14.25">
      <c r="A106" s="19" t="s">
        <v>42</v>
      </c>
      <c r="B106" s="44">
        <v>1138544</v>
      </c>
      <c r="C106" s="9" t="s">
        <v>49</v>
      </c>
      <c r="D106" s="9" t="s">
        <v>48</v>
      </c>
      <c r="E106" s="10">
        <v>0.035000000000000003</v>
      </c>
      <c r="F106" s="9">
        <v>5.7199999999966451</v>
      </c>
      <c r="G106" s="10">
        <v>-0.0070000000000230225</v>
      </c>
      <c r="H106" s="10">
        <v>0.00050148705212823663</v>
      </c>
      <c r="I106" s="41">
        <v>613.51451617800001</v>
      </c>
      <c r="J106" s="10">
        <v>0.00010378650706131739</v>
      </c>
      <c r="K106" s="75"/>
    </row>
    <row r="107" spans="1:11" ht="14.25">
      <c r="A107" s="19" t="s">
        <v>114</v>
      </c>
      <c r="B107" s="44">
        <v>1171271</v>
      </c>
      <c r="C107" s="9" t="s">
        <v>49</v>
      </c>
      <c r="D107" s="9" t="s">
        <v>48</v>
      </c>
      <c r="E107" s="10">
        <v>0.025000000000000001</v>
      </c>
      <c r="F107" s="9">
        <v>7.5299999999994398</v>
      </c>
      <c r="G107" s="10">
        <v>-0.0014999999999083359</v>
      </c>
      <c r="H107" s="10">
        <v>0.00013674821692332908</v>
      </c>
      <c r="I107" s="41">
        <v>65.710679997</v>
      </c>
      <c r="J107" s="10">
        <v>1.1116088981884732E-05</v>
      </c>
      <c r="K107" s="75"/>
    </row>
    <row r="108" spans="1:11" ht="14.25">
      <c r="A108" s="9"/>
      <c r="B108" s="9"/>
      <c r="C108" s="9"/>
      <c r="D108" s="9"/>
      <c r="E108" s="10"/>
      <c r="F108" s="9"/>
      <c r="G108" s="10"/>
      <c r="H108" s="10"/>
      <c r="I108" s="41"/>
      <c r="J108" s="10"/>
      <c r="K108" s="75"/>
    </row>
    <row r="109" spans="1:11" ht="15.75">
      <c r="A109" s="17" t="s">
        <v>28</v>
      </c>
      <c r="B109" s="9"/>
      <c r="C109" s="9"/>
      <c r="D109" s="9"/>
      <c r="E109" s="10"/>
      <c r="F109" s="9"/>
      <c r="G109" s="10"/>
      <c r="H109" s="10"/>
      <c r="I109" s="42">
        <f>SUM(I100:I108)</f>
        <v>3668.0601287819995</v>
      </c>
      <c r="J109" s="43">
        <f>SUM(J100:J108)</f>
        <v>0.00062051530716629043</v>
      </c>
      <c r="K109" s="75"/>
    </row>
    <row r="110" spans="1:11" ht="15">
      <c r="A110" s="17"/>
      <c r="B110" s="9"/>
      <c r="C110" s="9"/>
      <c r="D110" s="9"/>
      <c r="E110" s="10"/>
      <c r="F110" s="9"/>
      <c r="G110" s="10"/>
      <c r="H110" s="10"/>
      <c r="I110" s="41"/>
      <c r="J110" s="10"/>
      <c r="K110" s="75"/>
    </row>
    <row r="111" spans="1:11" ht="15.75">
      <c r="A111" s="20" t="s">
        <v>84</v>
      </c>
      <c r="B111" s="9"/>
      <c r="C111" s="9"/>
      <c r="D111" s="9"/>
      <c r="E111" s="10"/>
      <c r="F111" s="9"/>
      <c r="G111" s="10"/>
      <c r="H111" s="10"/>
      <c r="I111" s="42">
        <f>I109</f>
        <v>3668.0601287819995</v>
      </c>
      <c r="J111" s="43">
        <f>J109</f>
        <v>0.00062051530716629043</v>
      </c>
      <c r="K111" s="75"/>
    </row>
    <row r="112" spans="1:11" ht="15.75">
      <c r="A112" s="20"/>
      <c r="B112" s="9"/>
      <c r="C112" s="9"/>
      <c r="D112" s="9"/>
      <c r="E112" s="10"/>
      <c r="F112" s="9"/>
      <c r="G112" s="10"/>
      <c r="H112" s="10"/>
      <c r="I112" s="42"/>
      <c r="J112" s="43"/>
      <c r="K112" s="75"/>
    </row>
    <row r="113" spans="11:11" ht="14.25">
      <c r="K113" s="75"/>
    </row>
    <row r="114" spans="1:11" ht="18">
      <c r="A114" s="46" t="s">
        <v>85</v>
      </c>
      <c r="I114" s="47">
        <f>I111+I94+I69+I59+I45+I31+I17</f>
        <v>74996.495659996945</v>
      </c>
      <c r="J114" s="48">
        <f>J111+J94+J69+J59+J45+J31+J17</f>
        <v>0.012686944026817543</v>
      </c>
      <c r="K114" s="75"/>
    </row>
    <row r="115" spans="1:11" ht="14.25">
      <c r="A115" s="74" t="s">
        <v>161</v>
      </c>
      <c r="B115" s="74"/>
      <c r="C115" s="74"/>
      <c r="D115" s="74"/>
      <c r="E115" s="74"/>
      <c r="F115" s="74"/>
      <c r="G115" s="74"/>
      <c r="H115" s="74"/>
      <c r="I115" s="74"/>
      <c r="J115" s="74"/>
      <c r="K115" s="75"/>
    </row>
  </sheetData>
  <mergeCells count="9">
    <mergeCell ref="K1:K6"/>
    <mergeCell ref="K7:K115"/>
    <mergeCell ref="A115:J115"/>
    <mergeCell ref="A1:J1"/>
    <mergeCell ref="A3:J3"/>
    <mergeCell ref="A5:J5"/>
    <mergeCell ref="A6:J6"/>
    <mergeCell ref="A2:J2"/>
    <mergeCell ref="A4:J4"/>
  </mergeCells>
  <pageMargins left="0.7" right="0.7" top="0.75" bottom="0.75" header="0.3" footer="0.3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4d670a1-97c5-4ee8-8cb3-e27dba9b3dd2}">
  <dimension ref="A1:H124"/>
  <sheetViews>
    <sheetView rightToLeft="1" workbookViewId="0" topLeftCell="A1">
      <selection pane="topLeft" activeCell="A95" sqref="A95:C95"/>
    </sheetView>
  </sheetViews>
  <sheetFormatPr defaultRowHeight="14.25"/>
  <cols>
    <col min="1" max="1" width="72.75" bestFit="1" customWidth="1"/>
    <col min="2" max="3" width="13.125" style="25" bestFit="1" customWidth="1"/>
  </cols>
  <sheetData>
    <row r="1" spans="1:4" ht="27.6" customHeight="1">
      <c r="A1" s="82" t="s">
        <v>164</v>
      </c>
      <c r="B1" s="82"/>
      <c r="C1" s="82"/>
      <c r="D1" s="75" t="s">
        <v>159</v>
      </c>
    </row>
    <row r="2" spans="1:4" ht="14.25">
      <c r="A2" s="77"/>
      <c r="B2" s="77"/>
      <c r="C2" s="77"/>
      <c r="D2" s="75"/>
    </row>
    <row r="3" spans="1:4" ht="15">
      <c r="A3" s="81" t="s">
        <v>156</v>
      </c>
      <c r="B3" s="81"/>
      <c r="C3" s="81"/>
      <c r="D3" s="75"/>
    </row>
    <row r="4" spans="1:4" ht="14.25">
      <c r="A4" s="77"/>
      <c r="B4" s="77"/>
      <c r="C4" s="77"/>
      <c r="D4" s="75"/>
    </row>
    <row r="5" spans="1:4" ht="15">
      <c r="A5" s="83" t="s">
        <v>163</v>
      </c>
      <c r="B5" s="83"/>
      <c r="C5" s="83"/>
      <c r="D5" s="75"/>
    </row>
    <row r="6" spans="1:4" ht="14.25">
      <c r="A6" s="84" t="s">
        <v>158</v>
      </c>
      <c r="B6" s="84"/>
      <c r="C6" s="84"/>
      <c r="D6" s="75"/>
    </row>
    <row r="7" spans="1:4" ht="60">
      <c r="A7" s="14"/>
      <c r="B7" s="28" t="s">
        <v>43</v>
      </c>
      <c r="C7" s="28" t="s">
        <v>44</v>
      </c>
      <c r="D7" s="75" t="s">
        <v>160</v>
      </c>
    </row>
    <row r="8" spans="1:4" ht="15">
      <c r="A8" s="15"/>
      <c r="B8" s="29"/>
      <c r="C8" s="29"/>
      <c r="D8" s="75"/>
    </row>
    <row r="9" spans="1:4" ht="15">
      <c r="A9" s="15" t="s">
        <v>75</v>
      </c>
      <c r="B9" s="31"/>
      <c r="C9" s="31"/>
      <c r="D9" s="75"/>
    </row>
    <row r="10" spans="1:4" ht="15">
      <c r="A10" s="16" t="s">
        <v>27</v>
      </c>
      <c r="B10" s="29"/>
      <c r="C10" s="29"/>
      <c r="D10" s="75"/>
    </row>
    <row r="11" spans="1:4" ht="15">
      <c r="A11" s="17" t="s">
        <v>115</v>
      </c>
      <c r="B11" s="29"/>
      <c r="C11" s="29"/>
      <c r="D11" s="75"/>
    </row>
    <row r="12" spans="1:4" ht="14.25">
      <c r="A12" s="19" t="s">
        <v>30</v>
      </c>
      <c r="B12" s="13">
        <v>2.6099999999999999</v>
      </c>
      <c r="C12" s="13">
        <v>-2.8599999999999999</v>
      </c>
      <c r="D12" s="75"/>
    </row>
    <row r="13" spans="1:4" ht="14.25">
      <c r="A13" s="19" t="s">
        <v>116</v>
      </c>
      <c r="B13" s="13"/>
      <c r="C13" s="13">
        <v>-11015.639999999999</v>
      </c>
      <c r="D13" s="75"/>
    </row>
    <row r="14" spans="1:4" ht="14.25">
      <c r="A14" s="19" t="s">
        <v>117</v>
      </c>
      <c r="B14" s="13"/>
      <c r="C14" s="13">
        <v>-260.79000000000002</v>
      </c>
      <c r="D14" s="75"/>
    </row>
    <row r="15" spans="1:4" ht="15">
      <c r="A15" s="16"/>
      <c r="B15" s="41"/>
      <c r="C15" s="41"/>
      <c r="D15" s="75"/>
    </row>
    <row r="16" spans="1:4" ht="15">
      <c r="A16" s="16"/>
      <c r="B16" s="41"/>
      <c r="C16" s="41"/>
      <c r="D16" s="75"/>
    </row>
    <row r="17" spans="1:4" ht="15">
      <c r="A17" s="17" t="s">
        <v>45</v>
      </c>
      <c r="B17" s="41"/>
      <c r="C17" s="41"/>
      <c r="D17" s="75"/>
    </row>
    <row r="18" spans="1:4" ht="14.25">
      <c r="A18" s="19" t="s">
        <v>58</v>
      </c>
      <c r="B18" s="13">
        <v>3.9700000000000002</v>
      </c>
      <c r="C18" s="13">
        <v>-5287.0200000000004</v>
      </c>
      <c r="D18" s="75"/>
    </row>
    <row r="19" spans="1:4" ht="14.25">
      <c r="A19" s="19"/>
      <c r="B19" s="41"/>
      <c r="C19" s="41"/>
      <c r="D19" s="75"/>
    </row>
    <row r="20" spans="1:4" ht="15">
      <c r="A20" s="26" t="s">
        <v>86</v>
      </c>
      <c r="B20" s="70">
        <f>SUM(B12:B16)+B18</f>
        <v>6.5800000000000001</v>
      </c>
      <c r="C20" s="70">
        <f>SUM(C12:C16)+C18</f>
        <v>-16566.310000000001</v>
      </c>
      <c r="D20" s="75"/>
    </row>
    <row r="21" spans="1:4" ht="14.25">
      <c r="A21" s="19"/>
      <c r="B21" s="29"/>
      <c r="C21" s="29"/>
      <c r="D21" s="75"/>
    </row>
    <row r="22" spans="1:4" ht="15">
      <c r="A22" s="15" t="s">
        <v>91</v>
      </c>
      <c r="B22" s="31"/>
      <c r="C22" s="31"/>
      <c r="D22" s="75"/>
    </row>
    <row r="23" spans="1:4" ht="15">
      <c r="A23" s="16" t="s">
        <v>27</v>
      </c>
      <c r="B23" s="30"/>
      <c r="C23" s="30"/>
      <c r="D23" s="75"/>
    </row>
    <row r="24" spans="1:4" ht="15">
      <c r="A24" s="17" t="s">
        <v>115</v>
      </c>
      <c r="B24" s="30"/>
      <c r="C24" s="59"/>
      <c r="D24" s="75"/>
    </row>
    <row r="25" spans="1:4" ht="14.25">
      <c r="A25" s="19" t="s">
        <v>32</v>
      </c>
      <c r="B25" s="13">
        <v>3.9199999999999999</v>
      </c>
      <c r="C25" s="13">
        <v>-95.769999999999996</v>
      </c>
      <c r="D25" s="75"/>
    </row>
    <row r="26" spans="1:4" ht="14.25">
      <c r="A26" s="19" t="s">
        <v>59</v>
      </c>
      <c r="B26" s="13">
        <v>3.1699999999999999</v>
      </c>
      <c r="C26" s="13">
        <v>-413.06999999999999</v>
      </c>
      <c r="D26" s="75"/>
    </row>
    <row r="27" spans="1:4" ht="14.25">
      <c r="A27" s="19" t="s">
        <v>33</v>
      </c>
      <c r="B27" s="13">
        <v>7.4900000000000002</v>
      </c>
      <c r="C27" s="13">
        <v>-223.93000000000001</v>
      </c>
      <c r="D27" s="75"/>
    </row>
    <row r="28" spans="1:4" ht="14.25">
      <c r="A28" s="19" t="s">
        <v>60</v>
      </c>
      <c r="B28" s="13">
        <v>7.4500000000000002</v>
      </c>
      <c r="C28" s="13">
        <v>-265.38999999999999</v>
      </c>
      <c r="D28" s="75"/>
    </row>
    <row r="29" spans="1:4" ht="14.25">
      <c r="A29" s="19" t="s">
        <v>31</v>
      </c>
      <c r="B29" s="13">
        <v>3.9399999999999999</v>
      </c>
      <c r="C29" s="13">
        <v>-93.709999999999994</v>
      </c>
      <c r="D29" s="75"/>
    </row>
    <row r="30" spans="1:4" ht="14.25">
      <c r="A30" s="19" t="s">
        <v>118</v>
      </c>
      <c r="B30" s="13" t="s">
        <v>89</v>
      </c>
      <c r="C30" s="13">
        <v>-393.85000000000002</v>
      </c>
      <c r="D30" s="75"/>
    </row>
    <row r="31" spans="1:4" ht="14.25">
      <c r="A31" s="19" t="s">
        <v>119</v>
      </c>
      <c r="B31" s="13" t="s">
        <v>89</v>
      </c>
      <c r="C31" s="13">
        <v>-259.83999999999997</v>
      </c>
      <c r="D31" s="75"/>
    </row>
    <row r="32" spans="1:4" ht="15">
      <c r="A32" s="16"/>
      <c r="B32" s="13"/>
      <c r="C32" s="13"/>
      <c r="D32" s="75"/>
    </row>
    <row r="33" spans="1:4" ht="14.25">
      <c r="A33" s="19"/>
      <c r="B33" s="30"/>
      <c r="C33" s="30"/>
      <c r="D33" s="75"/>
    </row>
    <row r="34" spans="1:4" ht="15">
      <c r="A34" s="26" t="s">
        <v>120</v>
      </c>
      <c r="B34" s="71">
        <f>SUBTOTAL(9,B25:B32)</f>
        <v>25.970000000000002</v>
      </c>
      <c r="C34" s="71">
        <f>SUBTOTAL(9,C25:C32)</f>
        <v>-1745.5599999999997</v>
      </c>
      <c r="D34" s="75"/>
    </row>
    <row r="35" spans="1:4" ht="14.25">
      <c r="A35" s="19"/>
      <c r="B35" s="29"/>
      <c r="C35" s="29"/>
      <c r="D35" s="75"/>
    </row>
    <row r="36" spans="1:4" ht="15">
      <c r="A36" s="15" t="s">
        <v>82</v>
      </c>
      <c r="B36" s="31"/>
      <c r="C36" s="31"/>
      <c r="D36" s="75"/>
    </row>
    <row r="37" spans="1:4" ht="15">
      <c r="A37" s="16" t="s">
        <v>27</v>
      </c>
      <c r="B37" s="29"/>
      <c r="C37" s="29"/>
      <c r="D37" s="75"/>
    </row>
    <row r="38" spans="1:4" ht="15">
      <c r="A38" s="17" t="s">
        <v>45</v>
      </c>
      <c r="B38" s="29"/>
      <c r="C38" s="29"/>
      <c r="D38" s="75"/>
    </row>
    <row r="39" spans="1:4" ht="14.25">
      <c r="A39" s="19" t="s">
        <v>34</v>
      </c>
      <c r="B39" s="25">
        <v>64</v>
      </c>
      <c r="C39" s="13">
        <v>-257.39999999999998</v>
      </c>
      <c r="D39" s="75"/>
    </row>
    <row r="40" spans="1:4" ht="14.25">
      <c r="A40" s="19" t="s">
        <v>35</v>
      </c>
      <c r="B40" s="59"/>
      <c r="C40" s="13">
        <v>-838.45000000000005</v>
      </c>
      <c r="D40" s="75"/>
    </row>
    <row r="41" spans="1:4" ht="14.25">
      <c r="A41" s="19" t="s">
        <v>37</v>
      </c>
      <c r="B41" s="59"/>
      <c r="C41" s="13">
        <v>-637.94000000000005</v>
      </c>
      <c r="D41" s="75"/>
    </row>
    <row r="42" spans="1:4" ht="14.25">
      <c r="A42" s="19" t="s">
        <v>38</v>
      </c>
      <c r="B42" s="59"/>
      <c r="C42" s="13">
        <v>-635.29999999999995</v>
      </c>
      <c r="D42" s="75"/>
    </row>
    <row r="43" spans="1:4" ht="14.25">
      <c r="A43" s="19" t="s">
        <v>95</v>
      </c>
      <c r="B43" s="59"/>
      <c r="C43" s="13">
        <v>-12445.1</v>
      </c>
      <c r="D43" s="75"/>
    </row>
    <row r="44" spans="1:4" ht="14.25">
      <c r="A44" s="19" t="s">
        <v>90</v>
      </c>
      <c r="B44" s="13"/>
      <c r="C44" s="13">
        <v>-155.28999999999999</v>
      </c>
      <c r="D44" s="75"/>
    </row>
    <row r="45" spans="1:4" ht="14.25">
      <c r="A45" s="19" t="s">
        <v>96</v>
      </c>
      <c r="B45" s="13">
        <v>123.83</v>
      </c>
      <c r="C45" s="13" t="s">
        <v>89</v>
      </c>
      <c r="D45" s="75"/>
    </row>
    <row r="46" spans="1:4" ht="14.25">
      <c r="A46" s="19" t="s">
        <v>121</v>
      </c>
      <c r="B46" s="13">
        <v>59.68</v>
      </c>
      <c r="C46" s="13">
        <v>-127.62000000000001</v>
      </c>
      <c r="D46" s="75"/>
    </row>
    <row r="47" spans="1:4" ht="12.75" customHeight="1">
      <c r="A47" s="19" t="s">
        <v>40</v>
      </c>
      <c r="B47" s="13"/>
      <c r="C47" s="13">
        <v>-3.4900000000000002</v>
      </c>
      <c r="D47" s="75"/>
    </row>
    <row r="48" spans="1:4" ht="12.75" customHeight="1">
      <c r="A48" s="19" t="s">
        <v>112</v>
      </c>
      <c r="B48" s="13"/>
      <c r="C48" s="13">
        <v>-497.77999999999997</v>
      </c>
      <c r="D48" s="75"/>
    </row>
    <row r="49" spans="1:4" ht="12.75" customHeight="1">
      <c r="A49" s="19" t="s">
        <v>36</v>
      </c>
      <c r="B49" s="13"/>
      <c r="C49" s="13">
        <v>-63.890000000000001</v>
      </c>
      <c r="D49" s="75"/>
    </row>
    <row r="50" spans="1:4" ht="12.75" customHeight="1">
      <c r="A50" s="19" t="s">
        <v>122</v>
      </c>
      <c r="B50" s="13"/>
      <c r="C50" s="13">
        <v>-3541.25</v>
      </c>
      <c r="D50" s="75"/>
    </row>
    <row r="51" spans="1:4" ht="12.75" customHeight="1">
      <c r="A51" s="19" t="s">
        <v>113</v>
      </c>
      <c r="B51" s="13"/>
      <c r="C51" s="13">
        <v>-382.86000000000001</v>
      </c>
      <c r="D51" s="75"/>
    </row>
    <row r="52" spans="1:4" ht="12.75" customHeight="1">
      <c r="A52" s="19" t="s">
        <v>123</v>
      </c>
      <c r="B52" s="13"/>
      <c r="C52" s="13">
        <v>-8.5</v>
      </c>
      <c r="D52" s="75"/>
    </row>
    <row r="53" spans="1:4" ht="12.75" customHeight="1">
      <c r="A53" s="19" t="s">
        <v>124</v>
      </c>
      <c r="B53" s="13"/>
      <c r="C53" s="13">
        <v>-51.380000000000003</v>
      </c>
      <c r="D53" s="75"/>
    </row>
    <row r="54" spans="1:4" ht="12.75" customHeight="1">
      <c r="A54" s="19" t="s">
        <v>106</v>
      </c>
      <c r="B54" s="13"/>
      <c r="C54" s="13">
        <v>-58</v>
      </c>
      <c r="D54" s="75"/>
    </row>
    <row r="55" spans="1:4" ht="12.75" customHeight="1">
      <c r="A55" s="19" t="s">
        <v>39</v>
      </c>
      <c r="B55" s="13"/>
      <c r="C55" s="13">
        <v>-1</v>
      </c>
      <c r="D55" s="75"/>
    </row>
    <row r="56" spans="1:4" ht="12.75" customHeight="1">
      <c r="A56" s="19" t="s">
        <v>107</v>
      </c>
      <c r="B56" s="13"/>
      <c r="C56" s="13">
        <v>-333</v>
      </c>
      <c r="D56" s="75"/>
    </row>
    <row r="57" spans="1:4" ht="12.75" customHeight="1">
      <c r="A57" s="19" t="s">
        <v>125</v>
      </c>
      <c r="B57" s="13"/>
      <c r="C57" s="13">
        <v>-5</v>
      </c>
      <c r="D57" s="75"/>
    </row>
    <row r="58" spans="1:4" ht="12.75" customHeight="1">
      <c r="A58" s="19" t="s">
        <v>126</v>
      </c>
      <c r="B58" s="13"/>
      <c r="C58" s="13">
        <v>-19</v>
      </c>
      <c r="D58" s="75"/>
    </row>
    <row r="59" spans="1:4" ht="12.75" customHeight="1">
      <c r="A59" s="19" t="s">
        <v>127</v>
      </c>
      <c r="B59" s="13"/>
      <c r="C59" s="13">
        <v>0</v>
      </c>
      <c r="D59" s="75"/>
    </row>
    <row r="60" spans="1:4" ht="12.75" customHeight="1">
      <c r="A60" s="19" t="s">
        <v>108</v>
      </c>
      <c r="B60" s="13">
        <v>7499.9899999999998</v>
      </c>
      <c r="C60" s="13">
        <v>-4</v>
      </c>
      <c r="D60" s="75"/>
    </row>
    <row r="61" spans="1:4" ht="12.75" customHeight="1">
      <c r="A61" s="19" t="s">
        <v>128</v>
      </c>
      <c r="B61" s="13"/>
      <c r="C61" s="13">
        <v>-2</v>
      </c>
      <c r="D61" s="75"/>
    </row>
    <row r="62" spans="1:4" ht="12.75" customHeight="1">
      <c r="A62" s="19" t="s">
        <v>129</v>
      </c>
      <c r="B62" s="13"/>
      <c r="C62" s="13">
        <v>-1</v>
      </c>
      <c r="D62" s="75"/>
    </row>
    <row r="63" spans="1:4" ht="12.75" customHeight="1">
      <c r="A63" s="19" t="s">
        <v>130</v>
      </c>
      <c r="B63" s="59"/>
      <c r="C63" s="13">
        <v>-6</v>
      </c>
      <c r="D63" s="75"/>
    </row>
    <row r="64" spans="1:4" ht="12.75" customHeight="1">
      <c r="A64" s="19" t="s">
        <v>131</v>
      </c>
      <c r="B64" s="59"/>
      <c r="C64" s="13">
        <v>-123</v>
      </c>
      <c r="D64" s="75"/>
    </row>
    <row r="65" spans="1:4" ht="12.75" customHeight="1">
      <c r="A65" s="19" t="s">
        <v>132</v>
      </c>
      <c r="B65" s="59"/>
      <c r="C65" s="13">
        <v>-116</v>
      </c>
      <c r="D65" s="75"/>
    </row>
    <row r="66" spans="1:4" ht="12.75" customHeight="1">
      <c r="A66" s="19" t="s">
        <v>133</v>
      </c>
      <c r="B66" s="59"/>
      <c r="C66" s="13">
        <v>-2</v>
      </c>
      <c r="D66" s="75"/>
    </row>
    <row r="67" spans="1:4" ht="12.75" customHeight="1">
      <c r="A67" s="19" t="s">
        <v>134</v>
      </c>
      <c r="B67" s="59"/>
      <c r="C67" s="13">
        <v>0</v>
      </c>
      <c r="D67" s="75"/>
    </row>
    <row r="68" spans="4:4" ht="12.75" customHeight="1">
      <c r="D68" s="75"/>
    </row>
    <row r="69" spans="1:4" ht="15">
      <c r="A69" s="26" t="s">
        <v>87</v>
      </c>
      <c r="B69" s="71">
        <f>SUBTOTAL(9,B39:B67)</f>
        <v>7747.5</v>
      </c>
      <c r="C69" s="71">
        <f>SUBTOTAL(9,C39:C67)</f>
        <v>-20316.250000000004</v>
      </c>
      <c r="D69" s="75"/>
    </row>
    <row r="70" spans="1:4" ht="14.25">
      <c r="A70" s="19"/>
      <c r="D70" s="75"/>
    </row>
    <row r="71" spans="1:4" ht="15">
      <c r="A71" s="15" t="s">
        <v>97</v>
      </c>
      <c r="D71" s="75"/>
    </row>
    <row r="72" spans="1:4" ht="15">
      <c r="A72" s="16" t="s">
        <v>27</v>
      </c>
      <c r="D72" s="75"/>
    </row>
    <row r="73" spans="1:4" ht="15">
      <c r="A73" s="17" t="s">
        <v>115</v>
      </c>
      <c r="D73" s="75"/>
    </row>
    <row r="74" spans="1:4" ht="14.25">
      <c r="A74" s="19" t="s">
        <v>98</v>
      </c>
      <c r="B74" s="25">
        <v>401</v>
      </c>
      <c r="C74" s="25">
        <v>0</v>
      </c>
      <c r="D74" s="75"/>
    </row>
    <row r="75" spans="1:4" ht="15">
      <c r="A75" s="17"/>
      <c r="D75" s="75"/>
    </row>
    <row r="76" spans="1:4" ht="15">
      <c r="A76" s="17" t="s">
        <v>45</v>
      </c>
      <c r="D76" s="75"/>
    </row>
    <row r="77" spans="1:4" ht="14.25">
      <c r="A77" s="19" t="s">
        <v>100</v>
      </c>
      <c r="B77" s="25">
        <v>3</v>
      </c>
      <c r="D77" s="75"/>
    </row>
    <row r="78" spans="1:4" ht="14.25">
      <c r="A78" s="19"/>
      <c r="D78" s="75"/>
    </row>
    <row r="79" spans="1:4" ht="15">
      <c r="A79" s="26" t="s">
        <v>154</v>
      </c>
      <c r="B79" s="71">
        <f>SUBTOTAL(9,B74:B78)</f>
        <v>404</v>
      </c>
      <c r="C79" s="71">
        <f>SUBTOTAL(9,C74:C78)</f>
        <v>0</v>
      </c>
      <c r="D79" s="75"/>
    </row>
    <row r="80" spans="1:4" ht="15">
      <c r="A80" s="26"/>
      <c r="D80" s="75"/>
    </row>
    <row r="81" spans="1:4" ht="15">
      <c r="A81" s="15" t="s">
        <v>15</v>
      </c>
      <c r="B81" s="31"/>
      <c r="C81" s="31"/>
      <c r="D81" s="75"/>
    </row>
    <row r="82" spans="1:4" ht="15">
      <c r="A82" s="16" t="s">
        <v>27</v>
      </c>
      <c r="B82" s="30"/>
      <c r="C82" s="30"/>
      <c r="D82" s="75"/>
    </row>
    <row r="83" spans="1:4" ht="15">
      <c r="A83" s="17" t="s">
        <v>115</v>
      </c>
      <c r="B83" s="30"/>
      <c r="C83" s="59"/>
      <c r="D83" s="75"/>
    </row>
    <row r="84" spans="1:4" ht="14.25">
      <c r="A84" s="19" t="s">
        <v>61</v>
      </c>
      <c r="B84" s="59">
        <v>11</v>
      </c>
      <c r="C84" s="59">
        <v>-293</v>
      </c>
      <c r="D84" s="75"/>
    </row>
    <row r="85" spans="1:4" ht="14.25">
      <c r="A85" s="19" t="s">
        <v>42</v>
      </c>
      <c r="B85" s="59">
        <v>208</v>
      </c>
      <c r="C85" s="59">
        <v>-55</v>
      </c>
      <c r="D85" s="75"/>
    </row>
    <row r="86" spans="1:4" ht="14.25">
      <c r="A86" s="19" t="s">
        <v>114</v>
      </c>
      <c r="B86" s="59">
        <v>84</v>
      </c>
      <c r="C86" s="59" t="s">
        <v>89</v>
      </c>
      <c r="D86" s="75"/>
    </row>
    <row r="87" spans="1:4" ht="14.25">
      <c r="A87" s="19" t="s">
        <v>41</v>
      </c>
      <c r="B87" s="59">
        <v>2</v>
      </c>
      <c r="C87" s="59">
        <v>-76</v>
      </c>
      <c r="D87" s="75"/>
    </row>
    <row r="88" spans="1:4" ht="15">
      <c r="A88" s="17"/>
      <c r="B88" s="30"/>
      <c r="C88" s="59"/>
      <c r="D88" s="75"/>
    </row>
    <row r="89" spans="1:4" ht="15">
      <c r="A89" s="17" t="s">
        <v>45</v>
      </c>
      <c r="B89" s="30"/>
      <c r="C89" s="30"/>
      <c r="D89" s="75"/>
    </row>
    <row r="90" spans="1:4" ht="14.25">
      <c r="A90" s="19" t="s">
        <v>15</v>
      </c>
      <c r="B90" s="25">
        <v>548</v>
      </c>
      <c r="C90" s="25">
        <v>-134</v>
      </c>
      <c r="D90" s="75"/>
    </row>
    <row r="91" spans="1:4" ht="14.25">
      <c r="A91" s="19"/>
      <c r="B91" s="30"/>
      <c r="C91" s="30"/>
      <c r="D91" s="75"/>
    </row>
    <row r="92" spans="1:4" ht="15">
      <c r="A92" s="26" t="s">
        <v>63</v>
      </c>
      <c r="B92" s="60">
        <f>SUBTOTAL(9,B84:B90)</f>
        <v>853</v>
      </c>
      <c r="C92" s="60">
        <f>SUBTOTAL(9,C84:C90)</f>
        <v>-558</v>
      </c>
      <c r="D92" s="75"/>
    </row>
    <row r="93" spans="1:4" ht="15">
      <c r="A93" s="26"/>
      <c r="B93" s="27"/>
      <c r="C93" s="27"/>
      <c r="D93" s="75"/>
    </row>
    <row r="94" spans="1:4" ht="15">
      <c r="A94" s="32" t="s">
        <v>62</v>
      </c>
      <c r="B94" s="60">
        <f>B20+B34+B69+B92+B79</f>
        <v>9037.0499999999993</v>
      </c>
      <c r="C94" s="60">
        <f>C20+C34+C69+C92+C79</f>
        <v>-39186.12000000001</v>
      </c>
      <c r="D94" s="75"/>
    </row>
    <row r="95" spans="1:4" ht="14.25">
      <c r="A95" s="74" t="s">
        <v>161</v>
      </c>
      <c r="B95" s="74"/>
      <c r="C95" s="74"/>
      <c r="D95" s="75"/>
    </row>
    <row r="109" spans="8:8" ht="14.25" hidden="1">
      <c r="H109" t="s">
        <v>121</v>
      </c>
    </row>
    <row r="124" spans="8:8" ht="14.25" hidden="1">
      <c r="H124" t="s">
        <v>108</v>
      </c>
    </row>
  </sheetData>
  <mergeCells count="9">
    <mergeCell ref="D1:D6"/>
    <mergeCell ref="D7:D95"/>
    <mergeCell ref="A95:C95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f7f7ce6-7afb-45be-85f1-bea06e51229a}">
  <dimension ref="A1:H35"/>
  <sheetViews>
    <sheetView rightToLeft="1" workbookViewId="0" topLeftCell="A1">
      <selection pane="topLeft" activeCell="A35" sqref="A35:G35"/>
    </sheetView>
  </sheetViews>
  <sheetFormatPr defaultRowHeight="14.25"/>
  <cols>
    <col min="1" max="1" width="44.25" bestFit="1" customWidth="1"/>
    <col min="2" max="6" width="10.625" customWidth="1"/>
    <col min="7" max="7" width="12" bestFit="1" customWidth="1"/>
  </cols>
  <sheetData>
    <row r="1" spans="1:8" ht="15">
      <c r="A1" s="76" t="s">
        <v>165</v>
      </c>
      <c r="B1" s="76"/>
      <c r="C1" s="76"/>
      <c r="D1" s="76"/>
      <c r="E1" s="76"/>
      <c r="F1" s="76"/>
      <c r="G1" s="76"/>
      <c r="H1" s="75" t="s">
        <v>159</v>
      </c>
    </row>
    <row r="2" spans="1:8" ht="14.25">
      <c r="A2" s="77"/>
      <c r="B2" s="77"/>
      <c r="C2" s="77"/>
      <c r="D2" s="77"/>
      <c r="E2" s="77"/>
      <c r="F2" s="77"/>
      <c r="G2" s="77"/>
      <c r="H2" s="75"/>
    </row>
    <row r="3" spans="1:8" ht="15">
      <c r="A3" s="81" t="s">
        <v>156</v>
      </c>
      <c r="B3" s="81"/>
      <c r="C3" s="81"/>
      <c r="D3" s="81"/>
      <c r="E3" s="81"/>
      <c r="F3" s="81"/>
      <c r="G3" s="81"/>
      <c r="H3" s="75"/>
    </row>
    <row r="4" spans="1:8" ht="14.25">
      <c r="A4" s="77"/>
      <c r="B4" s="77"/>
      <c r="C4" s="77"/>
      <c r="D4" s="77"/>
      <c r="E4" s="77"/>
      <c r="F4" s="77"/>
      <c r="G4" s="77"/>
      <c r="H4" s="75"/>
    </row>
    <row r="5" spans="1:8" ht="15">
      <c r="A5" s="76" t="s">
        <v>163</v>
      </c>
      <c r="B5" s="76"/>
      <c r="C5" s="76"/>
      <c r="D5" s="76"/>
      <c r="E5" s="76"/>
      <c r="F5" s="76"/>
      <c r="G5" s="76"/>
      <c r="H5" s="75"/>
    </row>
    <row r="6" spans="1:8" ht="14.25">
      <c r="A6" s="74" t="s">
        <v>158</v>
      </c>
      <c r="B6" s="74"/>
      <c r="C6" s="74"/>
      <c r="D6" s="74"/>
      <c r="E6" s="74"/>
      <c r="F6" s="74"/>
      <c r="G6" s="74"/>
      <c r="H6" s="75"/>
    </row>
    <row r="7" spans="1:8" ht="60">
      <c r="A7" s="1"/>
      <c r="B7" s="1" t="s">
        <v>46</v>
      </c>
      <c r="C7" s="1" t="s">
        <v>18</v>
      </c>
      <c r="D7" s="2" t="s">
        <v>19</v>
      </c>
      <c r="E7" s="2" t="s">
        <v>20</v>
      </c>
      <c r="F7" s="2" t="s">
        <v>23</v>
      </c>
      <c r="G7" s="2" t="s">
        <v>47</v>
      </c>
      <c r="H7" s="75" t="s">
        <v>160</v>
      </c>
    </row>
    <row r="8" spans="1:8" ht="15">
      <c r="A8" s="1"/>
      <c r="B8" s="1"/>
      <c r="C8" s="1"/>
      <c r="D8" s="1"/>
      <c r="E8" s="1" t="s">
        <v>7</v>
      </c>
      <c r="F8" s="1" t="s">
        <v>7</v>
      </c>
      <c r="G8" s="1" t="s">
        <v>6</v>
      </c>
      <c r="H8" s="75"/>
    </row>
    <row r="9" spans="8:8" ht="14.25">
      <c r="H9" s="75"/>
    </row>
    <row r="10" spans="1:8" ht="15">
      <c r="A10" s="20" t="s">
        <v>76</v>
      </c>
      <c r="B10" s="9"/>
      <c r="C10" s="9"/>
      <c r="D10" s="9"/>
      <c r="E10" s="10"/>
      <c r="F10" s="9"/>
      <c r="G10" s="10"/>
      <c r="H10" s="75"/>
    </row>
    <row r="11" spans="1:8" ht="15">
      <c r="A11" s="16" t="s">
        <v>69</v>
      </c>
      <c r="B11" s="9"/>
      <c r="C11" s="9"/>
      <c r="D11" s="9"/>
      <c r="E11" s="10"/>
      <c r="F11" s="9"/>
      <c r="G11" s="10"/>
      <c r="H11" s="75"/>
    </row>
    <row r="12" spans="1:8" ht="15">
      <c r="A12" s="40" t="s">
        <v>74</v>
      </c>
      <c r="B12" s="9"/>
      <c r="C12" s="9"/>
      <c r="D12" s="9"/>
      <c r="E12" s="10"/>
      <c r="F12" s="9"/>
      <c r="G12" s="10"/>
      <c r="H12" s="75"/>
    </row>
    <row r="13" spans="1:8" ht="14.25">
      <c r="A13" s="9"/>
      <c r="B13" s="9"/>
      <c r="C13" s="9"/>
      <c r="D13" s="9"/>
      <c r="E13" s="10"/>
      <c r="F13" s="9"/>
      <c r="G13" s="10"/>
      <c r="H13" s="75"/>
    </row>
    <row r="14" spans="1:8" ht="14.25">
      <c r="A14" s="19" t="s">
        <v>92</v>
      </c>
      <c r="B14" s="52">
        <v>44383</v>
      </c>
      <c r="C14" s="9" t="s">
        <v>49</v>
      </c>
      <c r="D14" s="9" t="s">
        <v>56</v>
      </c>
      <c r="E14" s="10">
        <v>0.079699999999999993</v>
      </c>
      <c r="F14" s="9"/>
      <c r="G14" s="62">
        <v>235</v>
      </c>
      <c r="H14" s="75"/>
    </row>
    <row r="15" spans="8:8" ht="14.25">
      <c r="H15" s="75"/>
    </row>
    <row r="16" spans="1:8" ht="14.25">
      <c r="A16" s="9"/>
      <c r="B16" s="9"/>
      <c r="C16" s="9"/>
      <c r="D16" s="9"/>
      <c r="E16" s="10"/>
      <c r="F16" s="9"/>
      <c r="H16" s="75"/>
    </row>
    <row r="17" spans="1:8" ht="15">
      <c r="A17" s="40" t="s">
        <v>70</v>
      </c>
      <c r="B17" s="9"/>
      <c r="C17" s="9"/>
      <c r="D17" s="9"/>
      <c r="E17" s="10"/>
      <c r="F17" s="9"/>
      <c r="H17" s="75"/>
    </row>
    <row r="18" spans="1:8" ht="14.25">
      <c r="A18" s="19" t="s">
        <v>93</v>
      </c>
      <c r="B18" s="52">
        <v>44383</v>
      </c>
      <c r="C18" s="9" t="s">
        <v>49</v>
      </c>
      <c r="D18" s="9" t="s">
        <v>56</v>
      </c>
      <c r="E18" s="10">
        <v>0.079699999999999993</v>
      </c>
      <c r="F18" s="9"/>
      <c r="G18" s="62">
        <v>-235</v>
      </c>
      <c r="H18" s="75"/>
    </row>
    <row r="19" spans="1:8" ht="15">
      <c r="A19" s="40"/>
      <c r="B19" s="9"/>
      <c r="C19" s="9"/>
      <c r="D19" s="9"/>
      <c r="E19" s="10"/>
      <c r="F19" s="9"/>
      <c r="G19" s="61"/>
      <c r="H19" s="75"/>
    </row>
    <row r="20" spans="1:8" ht="15.75">
      <c r="A20" s="17" t="s">
        <v>29</v>
      </c>
      <c r="B20" s="9"/>
      <c r="C20" s="9"/>
      <c r="D20" s="9"/>
      <c r="E20" s="10"/>
      <c r="F20" s="9"/>
      <c r="G20" s="34">
        <f>SUM(G14:G18)</f>
        <v>0</v>
      </c>
      <c r="H20" s="75"/>
    </row>
    <row r="21" spans="1:8" ht="15">
      <c r="A21" s="18"/>
      <c r="B21" s="9"/>
      <c r="C21" s="9"/>
      <c r="D21" s="9"/>
      <c r="E21" s="10"/>
      <c r="F21" s="9"/>
      <c r="G21" s="33"/>
      <c r="H21" s="75"/>
    </row>
    <row r="22" spans="1:8" ht="15.75">
      <c r="A22" s="11" t="s">
        <v>94</v>
      </c>
      <c r="B22" s="9"/>
      <c r="C22" s="9"/>
      <c r="D22" s="9"/>
      <c r="E22" s="10"/>
      <c r="F22" s="9"/>
      <c r="G22" s="72">
        <f>G20</f>
        <v>0</v>
      </c>
      <c r="H22" s="75"/>
    </row>
    <row r="23" spans="1:8" ht="15.75">
      <c r="A23" s="11"/>
      <c r="B23" s="9"/>
      <c r="C23" s="9"/>
      <c r="D23" s="9"/>
      <c r="E23" s="10"/>
      <c r="F23" s="9"/>
      <c r="G23" s="10"/>
      <c r="H23" s="75"/>
    </row>
    <row r="24" spans="1:8" ht="15.75">
      <c r="A24" s="11"/>
      <c r="B24" s="9"/>
      <c r="C24" s="9"/>
      <c r="D24" s="9"/>
      <c r="E24" s="10"/>
      <c r="F24" s="9"/>
      <c r="G24" s="10"/>
      <c r="H24" s="75"/>
    </row>
    <row r="25" spans="1:8" ht="15">
      <c r="A25" s="20" t="s">
        <v>97</v>
      </c>
      <c r="B25" s="9"/>
      <c r="C25" s="9"/>
      <c r="D25" s="9"/>
      <c r="E25" s="10"/>
      <c r="F25" s="9"/>
      <c r="G25" s="10"/>
      <c r="H25" s="75"/>
    </row>
    <row r="26" spans="1:8" ht="15">
      <c r="A26" s="16" t="s">
        <v>69</v>
      </c>
      <c r="B26" s="9"/>
      <c r="C26" s="9"/>
      <c r="D26" s="9"/>
      <c r="E26" s="10"/>
      <c r="F26" s="9"/>
      <c r="G26" s="10"/>
      <c r="H26" s="75"/>
    </row>
    <row r="27" spans="1:8" ht="15">
      <c r="A27" s="40" t="s">
        <v>74</v>
      </c>
      <c r="B27" s="9"/>
      <c r="C27" s="9"/>
      <c r="D27" s="9"/>
      <c r="E27" s="10"/>
      <c r="F27" s="9"/>
      <c r="G27" s="10"/>
      <c r="H27" s="75"/>
    </row>
    <row r="28" spans="1:8" ht="14.25">
      <c r="A28" s="19" t="s">
        <v>135</v>
      </c>
      <c r="B28" s="9" t="s">
        <v>137</v>
      </c>
      <c r="C28" s="63" t="s">
        <v>57</v>
      </c>
      <c r="D28" s="9" t="s">
        <v>56</v>
      </c>
      <c r="E28" s="10" t="s">
        <v>136</v>
      </c>
      <c r="F28" s="9"/>
      <c r="G28" s="64">
        <v>-401</v>
      </c>
      <c r="H28" s="75"/>
    </row>
    <row r="29" spans="1:8" ht="14.25">
      <c r="A29" s="19" t="s">
        <v>135</v>
      </c>
      <c r="B29" s="52">
        <v>44201</v>
      </c>
      <c r="C29" s="63" t="s">
        <v>57</v>
      </c>
      <c r="D29" s="9" t="s">
        <v>56</v>
      </c>
      <c r="E29" s="10" t="s">
        <v>136</v>
      </c>
      <c r="F29" s="9"/>
      <c r="G29" s="64">
        <v>271</v>
      </c>
      <c r="H29" s="75"/>
    </row>
    <row r="30" spans="1:8" ht="15.75">
      <c r="A30" s="11"/>
      <c r="B30" s="9"/>
      <c r="C30" s="9"/>
      <c r="D30" s="9"/>
      <c r="E30" s="10"/>
      <c r="F30" s="9"/>
      <c r="G30" s="64"/>
      <c r="H30" s="75"/>
    </row>
    <row r="31" spans="1:8" ht="15.75">
      <c r="A31" s="17" t="s">
        <v>29</v>
      </c>
      <c r="B31" s="9"/>
      <c r="C31" s="9"/>
      <c r="D31" s="9"/>
      <c r="E31" s="10"/>
      <c r="F31" s="9"/>
      <c r="G31" s="34">
        <f>SUM(G28:G30)</f>
        <v>-130</v>
      </c>
      <c r="H31" s="75"/>
    </row>
    <row r="32" spans="1:8" ht="15.75">
      <c r="A32" s="17"/>
      <c r="B32" s="9"/>
      <c r="C32" s="9"/>
      <c r="D32" s="9"/>
      <c r="E32" s="10"/>
      <c r="F32" s="9"/>
      <c r="G32" s="73"/>
      <c r="H32" s="75"/>
    </row>
    <row r="33" spans="1:8" ht="15">
      <c r="A33" s="18"/>
      <c r="B33" s="9"/>
      <c r="C33" s="9"/>
      <c r="D33" s="9"/>
      <c r="E33" s="9"/>
      <c r="F33" s="9"/>
      <c r="H33" s="75"/>
    </row>
    <row r="34" spans="1:8" ht="15.75">
      <c r="A34" s="11" t="s">
        <v>53</v>
      </c>
      <c r="G34" s="65">
        <f>G22+G31</f>
        <v>-130</v>
      </c>
      <c r="H34" s="75"/>
    </row>
    <row r="35" spans="1:8" ht="14.25">
      <c r="A35" s="74" t="s">
        <v>161</v>
      </c>
      <c r="B35" s="74"/>
      <c r="C35" s="74"/>
      <c r="D35" s="74"/>
      <c r="E35" s="74"/>
      <c r="F35" s="74"/>
      <c r="G35" s="74"/>
      <c r="H35" s="75"/>
    </row>
  </sheetData>
  <mergeCells count="9">
    <mergeCell ref="H1:H6"/>
    <mergeCell ref="H7:H35"/>
    <mergeCell ref="A35:G35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orientation="portrait" paperSize="9" r:id="rId2"/>
  <ignoredErrors>
    <ignoredError sqref="E28:E29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7b5f883-ed9b-4b70-9ca4-7751cc608534}">
  <dimension ref="A1:L15"/>
  <sheetViews>
    <sheetView rightToLeft="1" workbookViewId="0" topLeftCell="A1">
      <selection pane="topLeft" activeCell="A15" sqref="A15:G15"/>
    </sheetView>
  </sheetViews>
  <sheetFormatPr defaultRowHeight="14.25"/>
  <cols>
    <col min="1" max="1" width="38.25" bestFit="1" customWidth="1"/>
    <col min="2" max="2" width="9.875" bestFit="1" customWidth="1"/>
    <col min="3" max="3" width="9" bestFit="1" customWidth="1"/>
  </cols>
  <sheetData>
    <row r="1" spans="1:8" ht="69" customHeight="1">
      <c r="A1" s="82" t="s">
        <v>166</v>
      </c>
      <c r="B1" s="82"/>
      <c r="C1" s="82"/>
      <c r="D1" s="82"/>
      <c r="E1" s="82"/>
      <c r="F1" s="82"/>
      <c r="G1" s="82"/>
      <c r="H1" s="75" t="s">
        <v>159</v>
      </c>
    </row>
    <row r="2" spans="1:8" ht="15">
      <c r="A2" s="81" t="s">
        <v>156</v>
      </c>
      <c r="B2" s="81"/>
      <c r="C2" s="81"/>
      <c r="D2" s="81"/>
      <c r="E2" s="81"/>
      <c r="F2" s="81"/>
      <c r="G2" s="81"/>
      <c r="H2" s="75"/>
    </row>
    <row r="3" spans="1:8" ht="14.25">
      <c r="A3" s="77"/>
      <c r="B3" s="77"/>
      <c r="C3" s="77"/>
      <c r="D3" s="77"/>
      <c r="E3" s="77"/>
      <c r="F3" s="77"/>
      <c r="G3" s="77"/>
      <c r="H3" s="75"/>
    </row>
    <row r="4" spans="1:8" ht="15">
      <c r="A4" s="76" t="s">
        <v>163</v>
      </c>
      <c r="B4" s="76"/>
      <c r="C4" s="76"/>
      <c r="D4" s="76"/>
      <c r="E4" s="76"/>
      <c r="F4" s="76"/>
      <c r="G4" s="76"/>
      <c r="H4" s="75"/>
    </row>
    <row r="5" spans="1:8" ht="14.25">
      <c r="A5" s="75" t="s">
        <v>158</v>
      </c>
      <c r="B5" s="75"/>
      <c r="C5" s="75"/>
      <c r="D5" s="75"/>
      <c r="E5" s="75"/>
      <c r="F5" s="75"/>
      <c r="G5" s="75"/>
      <c r="H5" s="75"/>
    </row>
    <row r="6" spans="1:12" ht="60">
      <c r="A6" s="1"/>
      <c r="B6" s="23" t="s">
        <v>46</v>
      </c>
      <c r="C6" s="24" t="s">
        <v>64</v>
      </c>
      <c r="D6" s="24" t="s">
        <v>23</v>
      </c>
      <c r="E6" s="24" t="s">
        <v>50</v>
      </c>
      <c r="F6" s="24" t="s">
        <v>51</v>
      </c>
      <c r="G6" s="24" t="s">
        <v>52</v>
      </c>
      <c r="H6" s="85" t="s">
        <v>160</v>
      </c>
      <c r="I6" s="1"/>
      <c r="J6" s="1"/>
      <c r="K6" s="1"/>
      <c r="L6" s="1"/>
    </row>
    <row r="7" spans="1:12" ht="15">
      <c r="A7" s="1"/>
      <c r="B7" s="23"/>
      <c r="C7" s="23"/>
      <c r="D7" s="23" t="s">
        <v>7</v>
      </c>
      <c r="E7" s="23" t="s">
        <v>6</v>
      </c>
      <c r="F7" s="23" t="s">
        <v>6</v>
      </c>
      <c r="G7" s="23" t="s">
        <v>6</v>
      </c>
      <c r="H7" s="85"/>
      <c r="I7" s="1"/>
      <c r="J7" s="1"/>
      <c r="K7" s="1"/>
      <c r="L7" s="1"/>
    </row>
    <row r="8" spans="1:12" ht="15">
      <c r="A8" s="15"/>
      <c r="B8" s="51"/>
      <c r="C8" s="51"/>
      <c r="D8" s="51"/>
      <c r="E8" s="51"/>
      <c r="F8" s="51"/>
      <c r="G8" s="51"/>
      <c r="H8" s="85"/>
      <c r="I8" s="9"/>
      <c r="J8" s="9"/>
      <c r="K8" s="9"/>
      <c r="L8" s="9"/>
    </row>
    <row r="9" spans="1:8" ht="15">
      <c r="A9" s="16"/>
      <c r="B9" s="51"/>
      <c r="C9" s="51"/>
      <c r="D9" s="51"/>
      <c r="E9" s="51"/>
      <c r="F9" s="51"/>
      <c r="G9" s="51"/>
      <c r="H9" s="85"/>
    </row>
    <row r="10" spans="1:8" ht="14.25">
      <c r="A10" s="19"/>
      <c r="B10" s="52"/>
      <c r="C10" s="9"/>
      <c r="D10" s="50"/>
      <c r="E10" s="25"/>
      <c r="F10" s="25"/>
      <c r="G10" s="41"/>
      <c r="H10" s="85"/>
    </row>
    <row r="11" spans="1:8" ht="15">
      <c r="A11" s="16"/>
      <c r="B11" s="51"/>
      <c r="C11" s="51"/>
      <c r="D11" s="51"/>
      <c r="E11" s="51"/>
      <c r="F11" s="51"/>
      <c r="G11" s="51"/>
      <c r="H11" s="85"/>
    </row>
    <row r="12" spans="1:8" ht="15.75">
      <c r="A12" s="11"/>
      <c r="B12" s="51"/>
      <c r="C12" s="51"/>
      <c r="D12" s="51"/>
      <c r="E12" s="51"/>
      <c r="F12" s="51"/>
      <c r="G12" s="53"/>
      <c r="H12" s="85"/>
    </row>
    <row r="13" spans="1:8" ht="15">
      <c r="A13" s="16"/>
      <c r="B13" s="51"/>
      <c r="C13" s="51"/>
      <c r="D13" s="51"/>
      <c r="E13" s="51"/>
      <c r="F13" s="51"/>
      <c r="G13" s="51"/>
      <c r="H13" s="85"/>
    </row>
    <row r="14" spans="1:8" ht="15.75">
      <c r="A14" s="11" t="s">
        <v>53</v>
      </c>
      <c r="B14" s="51"/>
      <c r="C14" s="51"/>
      <c r="D14" s="51"/>
      <c r="E14" s="51"/>
      <c r="F14" s="51"/>
      <c r="G14" s="53">
        <v>0</v>
      </c>
      <c r="H14" s="85"/>
    </row>
    <row r="15" spans="1:8" ht="14.25">
      <c r="A15" s="74" t="s">
        <v>161</v>
      </c>
      <c r="B15" s="74"/>
      <c r="C15" s="74"/>
      <c r="D15" s="74"/>
      <c r="E15" s="74"/>
      <c r="F15" s="74"/>
      <c r="G15" s="74"/>
      <c r="H15" s="85"/>
    </row>
  </sheetData>
  <mergeCells count="8">
    <mergeCell ref="H1:H5"/>
    <mergeCell ref="H6:H15"/>
    <mergeCell ref="A15:G15"/>
    <mergeCell ref="A1:G1"/>
    <mergeCell ref="A2:G2"/>
    <mergeCell ref="A4:G4"/>
    <mergeCell ref="A3:G3"/>
    <mergeCell ref="A5:G5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f7c2943-0fe4-4824-b9b5-2d968b987503}">
  <dimension ref="A1:F43"/>
  <sheetViews>
    <sheetView rightToLeft="1" workbookViewId="0" topLeftCell="A1">
      <selection pane="topLeft" activeCell="A5" sqref="A5:E5"/>
    </sheetView>
  </sheetViews>
  <sheetFormatPr defaultRowHeight="14.25"/>
  <cols>
    <col min="1" max="1" width="37" customWidth="1"/>
    <col min="2" max="2" width="11.5" bestFit="1" customWidth="1"/>
    <col min="4" max="4" width="9.875" bestFit="1" customWidth="1"/>
    <col min="5" max="5" width="13.5" bestFit="1" customWidth="1"/>
  </cols>
  <sheetData>
    <row r="1" spans="1:6" ht="55.15" customHeight="1">
      <c r="A1" s="82" t="s">
        <v>167</v>
      </c>
      <c r="B1" s="82"/>
      <c r="C1" s="82"/>
      <c r="D1" s="82"/>
      <c r="E1" s="82"/>
      <c r="F1" s="75" t="s">
        <v>159</v>
      </c>
    </row>
    <row r="2" spans="1:6" ht="15">
      <c r="A2" s="81" t="s">
        <v>156</v>
      </c>
      <c r="B2" s="81"/>
      <c r="C2" s="81"/>
      <c r="D2" s="81"/>
      <c r="E2" s="81"/>
      <c r="F2" s="75"/>
    </row>
    <row r="3" spans="1:6" ht="14.25">
      <c r="A3" s="77"/>
      <c r="B3" s="77"/>
      <c r="C3" s="77"/>
      <c r="D3" s="77"/>
      <c r="E3" s="77"/>
      <c r="F3" s="75"/>
    </row>
    <row r="4" spans="1:6" ht="15">
      <c r="A4" s="81" t="s">
        <v>163</v>
      </c>
      <c r="B4" s="81"/>
      <c r="C4" s="81"/>
      <c r="D4" s="81"/>
      <c r="E4" s="81"/>
      <c r="F4" s="75"/>
    </row>
    <row r="5" spans="1:6" ht="14.25">
      <c r="A5" s="75" t="s">
        <v>158</v>
      </c>
      <c r="B5" s="75"/>
      <c r="C5" s="75"/>
      <c r="D5" s="75"/>
      <c r="E5" s="75"/>
      <c r="F5" s="75"/>
    </row>
    <row r="6" spans="1:6" ht="60">
      <c r="A6" s="1"/>
      <c r="B6" s="1" t="s">
        <v>54</v>
      </c>
      <c r="C6" s="2" t="s">
        <v>17</v>
      </c>
      <c r="D6" s="2" t="s">
        <v>23</v>
      </c>
      <c r="E6" s="2" t="s">
        <v>55</v>
      </c>
      <c r="F6" s="85" t="s">
        <v>160</v>
      </c>
    </row>
    <row r="7" spans="1:6" ht="15">
      <c r="A7" s="1"/>
      <c r="B7" s="1"/>
      <c r="C7" s="1"/>
      <c r="D7" s="1" t="s">
        <v>7</v>
      </c>
      <c r="E7" s="1" t="s">
        <v>6</v>
      </c>
      <c r="F7" s="85"/>
    </row>
    <row r="8" spans="1:6" ht="18">
      <c r="A8" s="69" t="s">
        <v>77</v>
      </c>
      <c r="B8" s="68"/>
      <c r="C8" s="68"/>
      <c r="D8" s="68"/>
      <c r="E8" s="68"/>
      <c r="F8" s="85"/>
    </row>
    <row r="9" spans="1:6" ht="15">
      <c r="A9" s="5" t="s">
        <v>138</v>
      </c>
      <c r="B9" s="21"/>
      <c r="C9" s="21"/>
      <c r="D9" s="22"/>
      <c r="E9" s="22"/>
      <c r="F9" s="85"/>
    </row>
    <row r="10" spans="1:6" ht="15">
      <c r="A10" s="16" t="s">
        <v>72</v>
      </c>
      <c r="B10" s="21"/>
      <c r="C10" s="21"/>
      <c r="D10" s="22"/>
      <c r="E10" s="22"/>
      <c r="F10" s="85"/>
    </row>
    <row r="11" spans="1:6" ht="15">
      <c r="A11" s="40" t="s">
        <v>73</v>
      </c>
      <c r="B11" s="21"/>
      <c r="C11" s="21"/>
      <c r="D11" s="22"/>
      <c r="E11" s="22"/>
      <c r="F11" s="85"/>
    </row>
    <row r="12" spans="1:6" ht="14.25">
      <c r="A12" s="19" t="s">
        <v>139</v>
      </c>
      <c r="B12" s="54">
        <v>44262</v>
      </c>
      <c r="C12" s="44" t="s">
        <v>140</v>
      </c>
      <c r="D12" s="10">
        <v>0.00080430741790787766</v>
      </c>
      <c r="E12" s="41">
        <v>483.89999999999998</v>
      </c>
      <c r="F12" s="85"/>
    </row>
    <row r="13" spans="1:6" ht="14.25">
      <c r="A13" s="19" t="s">
        <v>141</v>
      </c>
      <c r="B13" s="54">
        <v>44385</v>
      </c>
      <c r="C13" s="44" t="s">
        <v>142</v>
      </c>
      <c r="D13" s="10">
        <v>0.00075204045966666654</v>
      </c>
      <c r="E13" s="41">
        <v>338.39999999999998</v>
      </c>
      <c r="F13" s="85"/>
    </row>
    <row r="14" spans="1:6" ht="14.25">
      <c r="A14" s="19"/>
      <c r="B14" s="54"/>
      <c r="C14" s="44"/>
      <c r="D14" s="10"/>
      <c r="E14" s="41"/>
      <c r="F14" s="85"/>
    </row>
    <row r="15" spans="1:6" ht="15">
      <c r="A15" s="17" t="s">
        <v>28</v>
      </c>
      <c r="B15" s="54"/>
      <c r="C15" s="44"/>
      <c r="D15" s="10"/>
      <c r="E15" s="66">
        <f>SUM(E12:E14)</f>
        <v>822.29999999999995</v>
      </c>
      <c r="F15" s="85"/>
    </row>
    <row r="16" spans="1:6" ht="14.25">
      <c r="A16" s="19"/>
      <c r="B16" s="54"/>
      <c r="C16" s="44"/>
      <c r="D16" s="10"/>
      <c r="E16" s="41"/>
      <c r="F16" s="85"/>
    </row>
    <row r="17" spans="1:6" ht="15">
      <c r="A17" s="5" t="s">
        <v>143</v>
      </c>
      <c r="B17" s="54"/>
      <c r="C17" s="44"/>
      <c r="D17" s="10"/>
      <c r="E17" s="41"/>
      <c r="F17" s="85"/>
    </row>
    <row r="18" spans="1:6" ht="15">
      <c r="A18" s="16" t="s">
        <v>72</v>
      </c>
      <c r="B18" s="54"/>
      <c r="C18" s="44"/>
      <c r="D18" s="10"/>
      <c r="E18" s="41"/>
      <c r="F18" s="85"/>
    </row>
    <row r="19" spans="1:6" ht="15">
      <c r="A19" s="40" t="s">
        <v>73</v>
      </c>
      <c r="B19" s="54"/>
      <c r="C19" s="44"/>
      <c r="D19" s="10"/>
      <c r="E19" s="41"/>
      <c r="F19" s="85"/>
    </row>
    <row r="20" spans="1:6" ht="14.25">
      <c r="A20" s="19" t="s">
        <v>144</v>
      </c>
      <c r="B20" s="67">
        <v>44308</v>
      </c>
      <c r="C20" s="44" t="s">
        <v>145</v>
      </c>
      <c r="D20" s="10">
        <v>0.00055933729045346654</v>
      </c>
      <c r="E20" s="41">
        <v>642.10000000000002</v>
      </c>
      <c r="F20" s="85"/>
    </row>
    <row r="21" spans="1:6" ht="14.25">
      <c r="A21" s="19"/>
      <c r="B21" s="54"/>
      <c r="C21" s="44"/>
      <c r="D21" s="10"/>
      <c r="E21" s="41"/>
      <c r="F21" s="85"/>
    </row>
    <row r="22" spans="1:6" ht="15">
      <c r="A22" s="17" t="s">
        <v>28</v>
      </c>
      <c r="B22" s="54"/>
      <c r="C22" s="44"/>
      <c r="D22" s="10"/>
      <c r="E22" s="66">
        <f>SUM(E20:E21)</f>
        <v>642.10000000000002</v>
      </c>
      <c r="F22" s="85"/>
    </row>
    <row r="23" spans="1:6" ht="14.25">
      <c r="A23" s="19"/>
      <c r="B23" s="54"/>
      <c r="C23" s="44"/>
      <c r="D23" s="10"/>
      <c r="E23" s="41"/>
      <c r="F23" s="85"/>
    </row>
    <row r="24" spans="1:6" ht="15">
      <c r="A24" s="5" t="s">
        <v>146</v>
      </c>
      <c r="B24" s="54"/>
      <c r="C24" s="44"/>
      <c r="D24" s="10"/>
      <c r="E24" s="41"/>
      <c r="F24" s="85"/>
    </row>
    <row r="25" spans="1:6" ht="15">
      <c r="A25" s="16" t="s">
        <v>72</v>
      </c>
      <c r="B25" s="54"/>
      <c r="C25" s="44"/>
      <c r="D25" s="10"/>
      <c r="E25" s="41"/>
      <c r="F25" s="85"/>
    </row>
    <row r="26" spans="1:6" ht="15">
      <c r="A26" s="40" t="s">
        <v>73</v>
      </c>
      <c r="B26" s="54"/>
      <c r="C26" s="44"/>
      <c r="D26" s="10"/>
      <c r="E26" s="41"/>
      <c r="F26" s="85"/>
    </row>
    <row r="27" spans="1:6" ht="14.25">
      <c r="A27" s="19" t="s">
        <v>147</v>
      </c>
      <c r="B27" s="54">
        <v>44397</v>
      </c>
      <c r="C27" s="44" t="s">
        <v>148</v>
      </c>
      <c r="D27" s="10">
        <v>0.00085310220420719521</v>
      </c>
      <c r="E27" s="41">
        <v>1623.96</v>
      </c>
      <c r="F27" s="85"/>
    </row>
    <row r="28" spans="1:6" ht="14.25">
      <c r="A28" s="19" t="s">
        <v>149</v>
      </c>
      <c r="B28" s="54">
        <v>44397</v>
      </c>
      <c r="C28" s="44" t="s">
        <v>150</v>
      </c>
      <c r="D28" s="10">
        <v>0.0002570265007701996</v>
      </c>
      <c r="E28" s="41">
        <v>450.10000000000002</v>
      </c>
      <c r="F28" s="85"/>
    </row>
    <row r="29" spans="1:6" ht="15">
      <c r="A29" s="40"/>
      <c r="B29" s="54"/>
      <c r="C29" s="44"/>
      <c r="D29" s="10"/>
      <c r="E29" s="41"/>
      <c r="F29" s="85"/>
    </row>
    <row r="30" spans="1:6" ht="15">
      <c r="A30" s="17" t="s">
        <v>28</v>
      </c>
      <c r="B30" s="54"/>
      <c r="C30" s="44"/>
      <c r="D30" s="10"/>
      <c r="E30" s="66">
        <f>SUM(E27:E29)</f>
        <v>2074.0599999999999</v>
      </c>
      <c r="F30" s="85"/>
    </row>
    <row r="31" spans="1:6" ht="15">
      <c r="A31" s="17"/>
      <c r="B31" s="54"/>
      <c r="C31" s="44"/>
      <c r="D31" s="10"/>
      <c r="E31" s="66"/>
      <c r="F31" s="85"/>
    </row>
    <row r="32" spans="1:6" ht="15">
      <c r="A32" s="5" t="s">
        <v>151</v>
      </c>
      <c r="B32" s="54"/>
      <c r="C32" s="44"/>
      <c r="D32" s="10"/>
      <c r="E32" s="66"/>
      <c r="F32" s="85"/>
    </row>
    <row r="33" spans="1:6" ht="15">
      <c r="A33" s="16" t="s">
        <v>72</v>
      </c>
      <c r="B33" s="54"/>
      <c r="C33" s="44"/>
      <c r="D33" s="10"/>
      <c r="E33" s="66"/>
      <c r="F33" s="85"/>
    </row>
    <row r="34" spans="1:6" ht="15">
      <c r="A34" s="40" t="s">
        <v>73</v>
      </c>
      <c r="B34" s="54"/>
      <c r="C34" s="44"/>
      <c r="D34" s="10"/>
      <c r="E34" s="66"/>
      <c r="F34" s="85"/>
    </row>
    <row r="35" spans="1:6" ht="14.25">
      <c r="A35" s="19" t="s">
        <v>152</v>
      </c>
      <c r="B35" s="54">
        <v>44314</v>
      </c>
      <c r="C35" s="44" t="s">
        <v>153</v>
      </c>
      <c r="D35" s="10">
        <v>0.00042172004484208967</v>
      </c>
      <c r="E35" s="41">
        <v>216.77000000000001</v>
      </c>
      <c r="F35" s="85"/>
    </row>
    <row r="36" spans="1:6" ht="14.25">
      <c r="A36" s="19"/>
      <c r="C36" s="44"/>
      <c r="D36" s="10"/>
      <c r="E36" s="41"/>
      <c r="F36" s="85"/>
    </row>
    <row r="37" spans="1:6" ht="15">
      <c r="A37" s="17" t="s">
        <v>28</v>
      </c>
      <c r="B37" s="54"/>
      <c r="C37" s="44"/>
      <c r="D37" s="10"/>
      <c r="E37" s="66">
        <f>SUM(E34:E36)</f>
        <v>216.77000000000001</v>
      </c>
      <c r="F37" s="85"/>
    </row>
    <row r="38" spans="1:6" ht="14.25">
      <c r="A38" s="19"/>
      <c r="C38" s="44"/>
      <c r="D38" s="10"/>
      <c r="E38" s="41"/>
      <c r="F38" s="85"/>
    </row>
    <row r="39" spans="1:6" ht="14.25">
      <c r="A39" s="19"/>
      <c r="C39" s="44"/>
      <c r="D39" s="10"/>
      <c r="E39" s="41"/>
      <c r="F39" s="85"/>
    </row>
    <row r="40" spans="1:6" ht="15.75">
      <c r="A40" s="17" t="s">
        <v>28</v>
      </c>
      <c r="E40" s="42">
        <f>E15+E22+E30+E37</f>
        <v>3755.23</v>
      </c>
      <c r="F40" s="85"/>
    </row>
    <row r="41" spans="1:6" ht="15">
      <c r="A41" s="17"/>
      <c r="E41" s="13"/>
      <c r="F41" s="85"/>
    </row>
    <row r="42" spans="1:6" ht="18">
      <c r="A42" s="11" t="s">
        <v>88</v>
      </c>
      <c r="E42" s="47">
        <f>E40</f>
        <v>3755.23</v>
      </c>
      <c r="F42" s="85"/>
    </row>
    <row r="43" spans="1:6" ht="14.25">
      <c r="A43" s="74" t="s">
        <v>161</v>
      </c>
      <c r="B43" s="74"/>
      <c r="C43" s="74"/>
      <c r="D43" s="74"/>
      <c r="E43" s="74"/>
      <c r="F43" s="85"/>
    </row>
  </sheetData>
  <mergeCells count="8">
    <mergeCell ref="F1:F5"/>
    <mergeCell ref="F6:F43"/>
    <mergeCell ref="A43:E43"/>
    <mergeCell ref="A1:E1"/>
    <mergeCell ref="A2:E2"/>
    <mergeCell ref="A4:E4"/>
    <mergeCell ref="A3:E3"/>
    <mergeCell ref="A5:E5"/>
  </mergeCells>
  <pageMargins left="0.7" right="0.7" top="0.75" bottom="0.75" header="0.3" footer="0.3"/>
  <pageSetup orientation="portrait"/>
  <ignoredErrors>
    <ignoredError sqref="C12:C36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3</Category>
    <Kupa_kml xmlns="e7c93c0b-31f4-4d6d-a404-57fd37393f5c">
      <Value>12</Value>
      <Value>1</Value>
      <Value>2</Value>
      <Value>4</Value>
      <Value>5</Value>
      <Value>6</Value>
      <Value>7</Value>
      <Value>8</Value>
      <Value>10</Value>
      <Value>11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F17D6093-2EE3-4056-BCDE-36FC538DBDA4}"/>
</file>

<file path=customXml/itemProps2.xml><?xml version="1.0" encoding="utf-8"?>
<ds:datastoreItem xmlns:ds="http://schemas.openxmlformats.org/officeDocument/2006/customXml" ds:itemID="{219B29DF-0314-4852-8645-5D673876E945}"/>
</file>

<file path=customXml/itemProps3.xml><?xml version="1.0" encoding="utf-8"?>
<ds:datastoreItem xmlns:ds="http://schemas.openxmlformats.org/officeDocument/2006/customXml" ds:itemID="{A67B3352-D61D-467D-A8C5-E9A124C940E8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