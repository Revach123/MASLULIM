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 activeTab="0"/>
  </bookViews>
  <sheets>
    <sheet name="נספח 1" sheetId="1" r:id="rId2"/>
    <sheet name="נספח 2" sheetId="2" r:id="rId3"/>
    <sheet name="נספח 3" sheetId="3" r:id="rId4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2" l="1"/>
</calcChain>
</file>

<file path=xl/sharedStrings.xml><?xml version="1.0" encoding="utf-8"?>
<sst xmlns="http://schemas.openxmlformats.org/spreadsheetml/2006/main" count="123" uniqueCount="114">
  <si>
    <t>קוד אוצר</t>
  </si>
  <si>
    <t xml:space="preserve">אלפי ₪ </t>
  </si>
  <si>
    <t>1. סה"כ עמלות קנייה ומכירה</t>
  </si>
  <si>
    <t>YT100</t>
  </si>
  <si>
    <t>סך עמלות קנייה ומכירה לצדדים קשורים</t>
  </si>
  <si>
    <t>YT101</t>
  </si>
  <si>
    <t>סך עמלות קנייה ומכירה לצדדים שאינם קשורים</t>
  </si>
  <si>
    <t>2. סה"כ עמלות קסטודיאן</t>
  </si>
  <si>
    <t>YT102</t>
  </si>
  <si>
    <t>סך עמלות קסטודיאן לצדדים קשורים</t>
  </si>
  <si>
    <t>YT103</t>
  </si>
  <si>
    <t>סך עמלות קסטודיאן לצדדים שאינם קשורים</t>
  </si>
  <si>
    <t>3. סה"כ מהשקעות לא סחירות</t>
  </si>
  <si>
    <t>YT104</t>
  </si>
  <si>
    <t>א.סך הוצאות הנובעות מהשקעה בניירות ערך לא סחירים שאינם לצורך מימון פרויקטים לתשתיות</t>
  </si>
  <si>
    <t>YT105</t>
  </si>
  <si>
    <t>ב. סך הוצאות הנובעות ממימון פרוייקטים לתשתיות</t>
  </si>
  <si>
    <t>YT106</t>
  </si>
  <si>
    <t>ג. סך הוצאות הנובעות מהשקעה בזכויות מקרקעין</t>
  </si>
  <si>
    <t>4. סה"כ עמלות ניהול חיצוני</t>
  </si>
  <si>
    <t>YT107</t>
  </si>
  <si>
    <t>סך תשלומים הנובעים מהשקעה בקרנות השקעה בישראל</t>
  </si>
  <si>
    <t>YT108</t>
  </si>
  <si>
    <t>סך תשלומים הנובעים מהשקעה בקרנות השקעה בחו"ל</t>
  </si>
  <si>
    <t>YT109</t>
  </si>
  <si>
    <t>סך תשלומים למנהלי תיקים ישראלים בגין השקעה בחו"ל</t>
  </si>
  <si>
    <t>YT110</t>
  </si>
  <si>
    <t>סך תשלומים למנהלי תיקים זרים</t>
  </si>
  <si>
    <t>YT111</t>
  </si>
  <si>
    <t>סך תשלומים בגין השקעה בקרנות סל ישראליות</t>
  </si>
  <si>
    <t>YT112</t>
  </si>
  <si>
    <t>סך תשלומים בגין השקעה בקרנות סל זרות</t>
  </si>
  <si>
    <t>YT113</t>
  </si>
  <si>
    <t>סך תשלומים בגין השקעה בקרנות נאמנות ישראליות</t>
  </si>
  <si>
    <t>YT114</t>
  </si>
  <si>
    <t>סך תשלומים בגין השקעה בקרנות נאמנות זרות</t>
  </si>
  <si>
    <t>5. סה"כ הוצאות אחרות</t>
  </si>
  <si>
    <t>YT115</t>
  </si>
  <si>
    <t>א.סך הוצאות בעד ניהול תביעות</t>
  </si>
  <si>
    <t>YT116</t>
  </si>
  <si>
    <t>ב.סך הוצאות בעד מתן משכנתאות</t>
  </si>
  <si>
    <t>YT117</t>
  </si>
  <si>
    <t xml:space="preserve"> 6. סה"כ הוצאות ישירות (סיכום סעיפים 1 עד 5)</t>
  </si>
  <si>
    <t>7. שיעור הוצאות ישירות</t>
  </si>
  <si>
    <t>YT118</t>
  </si>
  <si>
    <t>א. שיעור סך ההוצאות הישירות, שההוצאה בגינן מוגבלת לשיעור של 0.25% לפי התקנות (סיכום סעיפים 3א,4, 5ב) חלקי סך הנכסים</t>
  </si>
  <si>
    <t>YT119</t>
  </si>
  <si>
    <t>ב. שיעור סך הוצאות ישירות מתוך יתרת נכסים ממוצעת (באחוזים)</t>
  </si>
  <si>
    <t>YT120</t>
  </si>
  <si>
    <t>סך נכסים לסוף שנה קודמת</t>
  </si>
  <si>
    <t>ברוקראז'- עמלות קנייה ומכירה בגין ביצוע עסקאות בניירות ערך סחירים</t>
  </si>
  <si>
    <t>צדדים קשורים</t>
  </si>
  <si>
    <t>אקסלנס</t>
  </si>
  <si>
    <t>צדדים שאינם קשורים</t>
  </si>
  <si>
    <t>איביאי</t>
  </si>
  <si>
    <t>אחרים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</si>
  <si>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</si>
  <si>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</si>
  <si>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</si>
  <si>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</si>
  <si>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סך הוצאות הנובעת מהשקעה בניירות ערך לא סחירים וממתן הלוואה</t>
  </si>
  <si>
    <t>הוצאות הנובעות ממימון פרוייקטים לתשתיות</t>
  </si>
  <si>
    <t>סך הוצאות הנובעות ממימון פרוייקטים לתשתיות</t>
  </si>
  <si>
    <t>הוצאה הנובעת מהשקעה בזכויות מקרקעין</t>
  </si>
  <si>
    <t>סך הוצאות הנובעות מהשקעה בזכויות במקרקעין</t>
  </si>
  <si>
    <t>הוצאה הנובעת מניהול תביעה או תובענה</t>
  </si>
  <si>
    <t>סך הוצאות הנובעות מניהול תביעה או תובענה</t>
  </si>
  <si>
    <t>הוצאה הנובעת ממתן משכנתא</t>
  </si>
  <si>
    <t>סך הוצאות הנובעות  ממתן משכנתא</t>
  </si>
  <si>
    <t>סך הכל עמלות והוצאות</t>
  </si>
  <si>
    <t>תאור</t>
  </si>
  <si>
    <t xml:space="preserve">אלפי ש"ח </t>
  </si>
  <si>
    <t>תשלום הנובע מהשקעה בקרנות השקעה</t>
  </si>
  <si>
    <t>סך תשלומים הנובעים מהשקעה בקרנות השקעה</t>
  </si>
  <si>
    <t>תשלום למנהל תיקים ישראלי</t>
  </si>
  <si>
    <t xml:space="preserve">סך תשלומים למנהלי תיקים ישראליים </t>
  </si>
  <si>
    <t>תשלום למנהל תיקים זר</t>
  </si>
  <si>
    <t xml:space="preserve">סך תשלומים למנהלי תיקים זרים </t>
  </si>
  <si>
    <t>תשלום בגין השקעה בקרן נאמנות</t>
  </si>
  <si>
    <t>קרן נאמנות ישראלית</t>
  </si>
  <si>
    <t>קרן חוץ</t>
  </si>
  <si>
    <t>סך תשלומים בגין השקעה בקרנות נאמנות</t>
  </si>
  <si>
    <t xml:space="preserve">תשלומים בגין השקעה בקרנות סל </t>
  </si>
  <si>
    <t>קרן סל ישראלית</t>
  </si>
  <si>
    <t>קרן סל זרה</t>
  </si>
  <si>
    <t>iShares</t>
  </si>
  <si>
    <t>Invesco</t>
  </si>
  <si>
    <t>SPDR</t>
  </si>
  <si>
    <t>סך תשלומים בגין השקעה בקרנות סל</t>
  </si>
  <si>
    <t>סך הכול עמלות ניהול חיצוני</t>
  </si>
  <si>
    <t>בנק הפועלים</t>
  </si>
  <si>
    <t>PIMCO</t>
  </si>
  <si>
    <t>סך התשלומים ששולמו בעד כל סוג של הוצאה ישירה לתקופה המסתיימת ביום 31.12.2021</t>
  </si>
  <si>
    <t>פירוט עמלות והוצאות לשנה המסתיימת ביום 31.12.2021</t>
  </si>
  <si>
    <t xml:space="preserve">לאומי </t>
  </si>
  <si>
    <t xml:space="preserve">מזרחי </t>
  </si>
  <si>
    <t xml:space="preserve">פועלים </t>
  </si>
  <si>
    <t>אלקטרה נדל"ן בע''מ</t>
  </si>
  <si>
    <t>Threadneedle Lux</t>
  </si>
  <si>
    <t>קסם קרנות נאמנות בע"מ</t>
  </si>
  <si>
    <t>פסגות קרנות נאמנות בע"מ</t>
  </si>
  <si>
    <t>מיטב תכלית קרנות נאמנות בע"מ</t>
  </si>
  <si>
    <t>פירוט עמלות ניהול חיצוני לשנה המסתיימת ביום 31.12.2021</t>
  </si>
  <si>
    <t>הפניקס סנונית</t>
  </si>
  <si>
    <t>בנק מזרחי</t>
  </si>
  <si>
    <t>לידר שוקי הון</t>
  </si>
  <si>
    <t>OPPENHEIMER</t>
  </si>
  <si>
    <t>קוף דלת פוטו וולטאית שותפות מוגבלת</t>
  </si>
  <si>
    <t>Hamilton</t>
  </si>
  <si>
    <t>Ashoka India</t>
  </si>
  <si>
    <t>Acadian European Equity UCITS</t>
  </si>
  <si>
    <t>הראל קרנות נאמנות בע"מ</t>
  </si>
  <si>
    <t>AMUNDI</t>
  </si>
  <si>
    <t>VANGUARD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</si>
</sst>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</numFmts>
  <fonts count="10"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theme="1"/>
      <name val="Arial"/>
      <family val="2"/>
      <scheme val="minor"/>
    </font>
    <font>
      <sz val="11"/>
      <color indexed="8"/>
      <name val="Arial"/>
      <family val="2"/>
      <charset val="177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rgb="FF9BC2E6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5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" fillId="0" borderId="0">
      <alignment/>
      <protection/>
    </xf>
  </cellStyleXfs>
  <cellXfs count="40">
    <xf numFmtId="0" fontId="0" fillId="0" borderId="0" xfId="0"/>
    <xf numFmtId="0" fontId="5" fillId="0" borderId="0" xfId="0" applyFont="1" applyFill="1" applyBorder="1"/>
    <xf numFmtId="164" fontId="4" fillId="0" borderId="1" xfId="22" applyNumberFormat="1" applyFont="1" applyFill="1" applyBorder="1" applyAlignment="1">
      <alignment/>
    </xf>
    <xf numFmtId="0" fontId="4" fillId="0" borderId="1" xfId="21" applyFont="1" applyFill="1" applyBorder="1" applyAlignment="1">
      <alignment/>
      <protection/>
    </xf>
    <xf numFmtId="0" fontId="6" fillId="0" borderId="2" xfId="0" applyFont="1" applyFill="1" applyBorder="1"/>
    <xf numFmtId="41" fontId="5" fillId="0" borderId="0" xfId="0" applyNumberFormat="1" applyFont="1" applyFill="1" applyBorder="1"/>
    <xf numFmtId="0" fontId="6" fillId="0" borderId="0" xfId="0" applyFont="1" applyFill="1" applyBorder="1"/>
    <xf numFmtId="0" fontId="3" fillId="2" borderId="1" xfId="20" applyFont="1" applyFill="1" applyBorder="1" applyAlignment="1">
      <alignment horizontal="center"/>
      <protection/>
    </xf>
    <xf numFmtId="0" fontId="4" fillId="2" borderId="1" xfId="20" applyFont="1" applyFill="1" applyBorder="1" applyAlignment="1">
      <alignment horizontal="center" wrapText="1"/>
      <protection/>
    </xf>
    <xf numFmtId="0" fontId="4" fillId="3" borderId="1" xfId="21" applyFont="1" applyFill="1" applyBorder="1" applyAlignment="1">
      <alignment horizontal="center" wrapText="1"/>
      <protection/>
    </xf>
    <xf numFmtId="0" fontId="2" fillId="3" borderId="3" xfId="21" applyFill="1" applyBorder="1" applyAlignment="1">
      <alignment/>
      <protection/>
    </xf>
    <xf numFmtId="0" fontId="4" fillId="3" borderId="1" xfId="21" applyFont="1" applyFill="1" applyBorder="1" applyAlignment="1">
      <alignment horizontal="center"/>
      <protection/>
    </xf>
    <xf numFmtId="0" fontId="7" fillId="3" borderId="1" xfId="21" applyFont="1" applyFill="1" applyBorder="1" applyAlignment="1">
      <alignment horizontal="right" readingOrder="2"/>
      <protection/>
    </xf>
    <xf numFmtId="0" fontId="4" fillId="3" borderId="4" xfId="21" applyFont="1" applyFill="1" applyBorder="1" applyAlignment="1">
      <alignment/>
      <protection/>
    </xf>
    <xf numFmtId="164" fontId="4" fillId="4" borderId="1" xfId="18" applyNumberFormat="1" applyFont="1" applyFill="1" applyBorder="1" applyAlignment="1">
      <alignment/>
    </xf>
    <xf numFmtId="0" fontId="2" fillId="3" borderId="3" xfId="21" applyFont="1" applyFill="1" applyBorder="1" applyAlignment="1">
      <alignment/>
      <protection/>
    </xf>
    <xf numFmtId="164" fontId="2" fillId="3" borderId="4" xfId="18" applyNumberFormat="1" applyFont="1" applyFill="1" applyBorder="1" applyAlignment="1">
      <alignment/>
    </xf>
    <xf numFmtId="164" fontId="4" fillId="3" borderId="1" xfId="22" applyNumberFormat="1" applyFont="1" applyFill="1" applyBorder="1" applyAlignment="1">
      <alignment/>
    </xf>
    <xf numFmtId="0" fontId="7" fillId="3" borderId="3" xfId="21" applyFont="1" applyFill="1" applyBorder="1" applyAlignment="1">
      <alignment horizontal="right" wrapText="1" readingOrder="2"/>
      <protection/>
    </xf>
    <xf numFmtId="10" fontId="4" fillId="4" borderId="1" xfId="23" applyNumberFormat="1" applyFont="1" applyFill="1" applyBorder="1" applyAlignment="1">
      <alignment/>
    </xf>
    <xf numFmtId="10" fontId="4" fillId="3" borderId="1" xfId="23" applyNumberFormat="1" applyFont="1" applyFill="1" applyBorder="1" applyAlignment="1">
      <alignment/>
    </xf>
    <xf numFmtId="164" fontId="4" fillId="4" borderId="1" xfId="22" applyNumberFormat="1" applyFont="1" applyFill="1" applyBorder="1" applyAlignment="1">
      <alignment/>
    </xf>
    <xf numFmtId="0" fontId="2" fillId="3" borderId="3" xfId="21" applyFill="1" applyBorder="1" applyAlignment="1">
      <alignment horizontal="center"/>
      <protection/>
    </xf>
    <xf numFmtId="0" fontId="4" fillId="3" borderId="1" xfId="21" applyFont="1" applyFill="1" applyBorder="1" applyAlignment="1">
      <alignment/>
      <protection/>
    </xf>
    <xf numFmtId="0" fontId="4" fillId="3" borderId="3" xfId="21" applyFont="1" applyFill="1" applyBorder="1" applyAlignment="1">
      <alignment/>
      <protection/>
    </xf>
    <xf numFmtId="0" fontId="2" fillId="3" borderId="3" xfId="21" applyFont="1" applyFill="1" applyBorder="1" applyAlignment="1">
      <alignment readingOrder="2"/>
      <protection/>
    </xf>
    <xf numFmtId="164" fontId="2" fillId="0" borderId="1" xfId="18" applyNumberFormat="1" applyFont="1" applyBorder="1" applyAlignment="1">
      <alignment/>
    </xf>
    <xf numFmtId="0" fontId="2" fillId="3" borderId="3" xfId="21" applyFont="1" applyFill="1" applyBorder="1" applyAlignment="1">
      <alignment horizontal="right" readingOrder="2"/>
      <protection/>
    </xf>
    <xf numFmtId="164" fontId="4" fillId="0" borderId="1" xfId="22" applyNumberFormat="1" applyFont="1" applyBorder="1" applyAlignment="1">
      <alignment/>
    </xf>
    <xf numFmtId="0" fontId="2" fillId="3" borderId="3" xfId="21" applyFont="1" applyFill="1" applyBorder="1" applyAlignment="1">
      <alignment horizontal="right"/>
      <protection/>
    </xf>
    <xf numFmtId="164" fontId="2" fillId="4" borderId="1" xfId="22" applyNumberFormat="1" applyFont="1" applyFill="1" applyBorder="1" applyAlignment="1">
      <alignment/>
    </xf>
    <xf numFmtId="0" fontId="4" fillId="3" borderId="3" xfId="21" applyFont="1" applyFill="1" applyBorder="1" applyAlignment="1">
      <alignment horizontal="right"/>
      <protection/>
    </xf>
    <xf numFmtId="0" fontId="4" fillId="3" borderId="3" xfId="21" applyFont="1" applyFill="1" applyBorder="1" applyAlignment="1">
      <alignment readingOrder="2"/>
      <protection/>
    </xf>
    <xf numFmtId="164" fontId="2" fillId="4" borderId="1" xfId="18" applyNumberFormat="1" applyFont="1" applyFill="1" applyBorder="1" applyAlignment="1">
      <alignment/>
    </xf>
    <xf numFmtId="0" fontId="4" fillId="3" borderId="3" xfId="21" applyFont="1" applyFill="1" applyBorder="1" applyAlignment="1">
      <alignment horizontal="right" readingOrder="2"/>
      <protection/>
    </xf>
    <xf numFmtId="43" fontId="2" fillId="4" borderId="1" xfId="22" applyNumberFormat="1" applyFont="1" applyFill="1" applyBorder="1" applyAlignment="1">
      <alignment/>
    </xf>
    <xf numFmtId="43" fontId="4" fillId="4" borderId="1" xfId="22" applyNumberFormat="1" applyFont="1" applyFill="1" applyBorder="1" applyAlignment="1">
      <alignment/>
    </xf>
    <xf numFmtId="0" fontId="7" fillId="3" borderId="3" xfId="21" applyFont="1" applyFill="1" applyBorder="1" applyAlignment="1">
      <alignment horizontal="right" readingOrder="2"/>
      <protection/>
    </xf>
    <xf numFmtId="0" fontId="2" fillId="3" borderId="1" xfId="21" applyFont="1" applyFill="1" applyBorder="1" applyAlignment="1">
      <alignment horizontal="right" readingOrder="2"/>
      <protection/>
    </xf>
    <xf numFmtId="0" fontId="9" fillId="3" borderId="3" xfId="21" applyFont="1" applyFill="1" applyBorder="1" applyAlignment="1">
      <alignment horizontal="right" readingOrder="2"/>
      <protection/>
    </xf>
  </cellXfs>
  <cellStyles count="11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2" xfId="20"/>
    <cellStyle name="Normal 10 2 2" xfId="21"/>
    <cellStyle name="Comma 2 5 2" xfId="22"/>
    <cellStyle name="Percent 2" xfId="23"/>
    <cellStyle name="Normal 2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d58ac1da-129e-4b78-8e0e-df999cf65f02}">
  <dimension ref="A1:C38"/>
  <sheetViews>
    <sheetView rightToLeft="1" tabSelected="1" workbookViewId="0" topLeftCell="A1"/>
  </sheetViews>
  <sheetFormatPr defaultColWidth="8.625" defaultRowHeight="14.25"/>
  <cols>
    <col min="2" max="2" width="67.25" customWidth="1"/>
    <col min="3" max="3" width="26.125" customWidth="1"/>
    <col min="4" max="16384" width="8.625" style="1"/>
  </cols>
  <sheetData>
    <row r="1" spans="2:3" ht="39">
      <c r="B1" s="7" t="s">
        <v>103</v>
      </c>
      <c r="C1" s="8" t="s">
        <v>92</v>
      </c>
    </row>
    <row r="2" spans="1:3" ht="14.25">
      <c r="A2" s="9" t="s">
        <v>0</v>
      </c>
      <c r="B2" s="10"/>
      <c r="C2" s="11" t="s">
        <v>1</v>
      </c>
    </row>
    <row r="3" spans="1:3" ht="14.25">
      <c r="A3" s="9"/>
      <c r="B3" s="12" t="s">
        <v>2</v>
      </c>
      <c r="C3" s="13"/>
    </row>
    <row r="4" spans="1:3" ht="14.25">
      <c r="A4" s="9" t="s">
        <v>3</v>
      </c>
      <c r="B4" s="12" t="s">
        <v>4</v>
      </c>
      <c r="C4" s="14">
        <v>0.010965179591720248</v>
      </c>
    </row>
    <row r="5" spans="1:3" ht="14.25">
      <c r="A5" s="9" t="s">
        <v>5</v>
      </c>
      <c r="B5" s="12" t="s">
        <v>6</v>
      </c>
      <c r="C5" s="14">
        <v>1.9839417535451207</v>
      </c>
    </row>
    <row r="6" spans="1:3" ht="14.25">
      <c r="A6" s="9"/>
      <c r="B6" s="15"/>
      <c r="C6" s="16"/>
    </row>
    <row r="7" spans="1:3" ht="14.25">
      <c r="A7" s="9"/>
      <c r="B7" s="12" t="s">
        <v>7</v>
      </c>
      <c r="C7" s="16"/>
    </row>
    <row r="8" spans="1:3" ht="14.25">
      <c r="A8" s="9" t="s">
        <v>8</v>
      </c>
      <c r="B8" s="12" t="s">
        <v>9</v>
      </c>
      <c r="C8" s="14">
        <v>0</v>
      </c>
    </row>
    <row r="9" spans="1:3" ht="14.25">
      <c r="A9" s="9" t="s">
        <v>10</v>
      </c>
      <c r="B9" s="12" t="s">
        <v>11</v>
      </c>
      <c r="C9" s="14">
        <v>0.79642809647438539</v>
      </c>
    </row>
    <row r="10" spans="1:3" ht="14.25">
      <c r="A10" s="9"/>
      <c r="B10" s="15"/>
      <c r="C10" s="16"/>
    </row>
    <row r="11" spans="1:3" ht="14.25">
      <c r="A11" s="9"/>
      <c r="B11" s="12" t="s">
        <v>12</v>
      </c>
      <c r="C11" s="16"/>
    </row>
    <row r="12" spans="1:3" ht="14.25">
      <c r="A12" s="9" t="s">
        <v>13</v>
      </c>
      <c r="B12" s="12" t="s">
        <v>14</v>
      </c>
      <c r="C12" s="14">
        <v>0</v>
      </c>
    </row>
    <row r="13" spans="1:3" ht="14.25">
      <c r="A13" s="9" t="s">
        <v>15</v>
      </c>
      <c r="B13" s="12" t="s">
        <v>16</v>
      </c>
      <c r="C13" s="14">
        <v>0</v>
      </c>
    </row>
    <row r="14" spans="1:3" ht="14.25">
      <c r="A14" s="9" t="s">
        <v>17</v>
      </c>
      <c r="B14" s="12" t="s">
        <v>18</v>
      </c>
      <c r="C14" s="14">
        <v>0</v>
      </c>
    </row>
    <row r="15" spans="1:3" ht="14.25">
      <c r="A15" s="9"/>
      <c r="B15" s="15"/>
      <c r="C15" s="16"/>
    </row>
    <row r="16" spans="1:3" ht="14.25">
      <c r="A16" s="9"/>
      <c r="B16" s="12" t="s">
        <v>19</v>
      </c>
      <c r="C16" s="16"/>
    </row>
    <row r="17" spans="1:3" ht="14.25">
      <c r="A17" s="9" t="s">
        <v>20</v>
      </c>
      <c r="B17" s="12" t="s">
        <v>21</v>
      </c>
      <c r="C17" s="14">
        <v>56.862760000000009</v>
      </c>
    </row>
    <row r="18" spans="1:3" ht="14.25">
      <c r="A18" s="9" t="s">
        <v>22</v>
      </c>
      <c r="B18" s="12" t="s">
        <v>23</v>
      </c>
      <c r="C18" s="14">
        <v>221.79662999999999</v>
      </c>
    </row>
    <row r="19" spans="1:3" ht="14.25">
      <c r="A19" s="9" t="s">
        <v>24</v>
      </c>
      <c r="B19" s="12" t="s">
        <v>25</v>
      </c>
      <c r="C19" s="14">
        <v>0</v>
      </c>
    </row>
    <row r="20" spans="1:3" ht="14.25">
      <c r="A20" s="9" t="s">
        <v>26</v>
      </c>
      <c r="B20" s="12" t="s">
        <v>27</v>
      </c>
      <c r="C20" s="14">
        <v>0</v>
      </c>
    </row>
    <row r="21" spans="1:3" ht="14.25">
      <c r="A21" s="9" t="s">
        <v>28</v>
      </c>
      <c r="B21" s="12" t="s">
        <v>29</v>
      </c>
      <c r="C21" s="14">
        <v>93.495003774941026</v>
      </c>
    </row>
    <row r="22" spans="1:3" ht="14.25">
      <c r="A22" s="9" t="s">
        <v>30</v>
      </c>
      <c r="B22" s="12" t="s">
        <v>31</v>
      </c>
      <c r="C22" s="14">
        <v>45.414229894168393</v>
      </c>
    </row>
    <row r="23" spans="1:3" ht="14.25">
      <c r="A23" s="9" t="s">
        <v>32</v>
      </c>
      <c r="B23" s="12" t="s">
        <v>33</v>
      </c>
      <c r="C23" s="14">
        <v>0</v>
      </c>
    </row>
    <row r="24" spans="1:3" ht="14.25">
      <c r="A24" s="9" t="s">
        <v>34</v>
      </c>
      <c r="B24" s="12" t="s">
        <v>35</v>
      </c>
      <c r="C24" s="14">
        <v>19.478017957332472</v>
      </c>
    </row>
    <row r="25" spans="1:3" ht="14.25">
      <c r="A25" s="9"/>
      <c r="B25" s="15"/>
      <c r="C25" s="16"/>
    </row>
    <row r="26" spans="1:3" ht="14.25">
      <c r="A26" s="9"/>
      <c r="B26" s="12" t="s">
        <v>36</v>
      </c>
      <c r="C26" s="16"/>
    </row>
    <row r="27" spans="1:3" ht="14.25">
      <c r="A27" s="9" t="s">
        <v>37</v>
      </c>
      <c r="B27" s="12" t="s">
        <v>38</v>
      </c>
      <c r="C27" s="14">
        <v>0</v>
      </c>
    </row>
    <row r="28" spans="1:3" ht="14.25">
      <c r="A28" s="9" t="s">
        <v>39</v>
      </c>
      <c r="B28" s="12" t="s">
        <v>40</v>
      </c>
      <c r="C28" s="14">
        <v>0</v>
      </c>
    </row>
    <row r="29" spans="1:3" ht="14.25">
      <c r="A29" s="9"/>
      <c r="B29" s="15"/>
      <c r="C29" s="16"/>
    </row>
    <row r="30" spans="1:3" ht="14.25">
      <c r="A30" s="9" t="s">
        <v>41</v>
      </c>
      <c r="B30" s="12" t="s">
        <v>42</v>
      </c>
      <c r="C30" s="14">
        <v>439.83797665605317</v>
      </c>
    </row>
    <row r="31" spans="1:3" ht="14.25">
      <c r="A31" s="9"/>
      <c r="B31" s="15"/>
      <c r="C31" s="17"/>
    </row>
    <row r="32" spans="1:3" ht="14.25">
      <c r="A32" s="9"/>
      <c r="B32" s="12" t="s">
        <v>43</v>
      </c>
      <c r="C32" s="17"/>
    </row>
    <row r="33" spans="1:3" ht="14.25">
      <c r="A33" s="9"/>
      <c r="B33" s="18"/>
      <c r="C33" s="17"/>
    </row>
    <row r="34" spans="1:3" ht="25.5">
      <c r="A34" s="9" t="s">
        <v>44</v>
      </c>
      <c r="B34" s="18" t="s">
        <v>45</v>
      </c>
      <c r="C34" s="19">
        <v>0.0013068078100667141</v>
      </c>
    </row>
    <row r="35" spans="1:3" ht="14.25">
      <c r="A35" s="9"/>
      <c r="B35" s="15"/>
      <c r="C35" s="20"/>
    </row>
    <row r="36" spans="1:3" ht="14.25">
      <c r="A36" s="9" t="s">
        <v>46</v>
      </c>
      <c r="B36" s="12" t="s">
        <v>47</v>
      </c>
      <c r="C36" s="19">
        <v>0.0019657375274212754</v>
      </c>
    </row>
    <row r="37" spans="1:3" ht="14.25">
      <c r="A37" s="9"/>
      <c r="B37" s="15"/>
      <c r="C37" s="17"/>
    </row>
    <row r="38" spans="1:3" ht="14.25">
      <c r="A38" s="9" t="s">
        <v>48</v>
      </c>
      <c r="B38" s="12" t="s">
        <v>49</v>
      </c>
      <c r="C38" s="21">
        <v>334438.34530199983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1c665df4-d4fc-45da-a01e-e57fcb285d7c}">
  <dimension ref="A1:K42"/>
  <sheetViews>
    <sheetView rightToLeft="1" workbookViewId="0" topLeftCell="A1"/>
  </sheetViews>
  <sheetFormatPr defaultColWidth="8.625" defaultRowHeight="14.25"/>
  <cols>
    <col min="1" max="1" width="49.875" bestFit="1" customWidth="1"/>
    <col min="2" max="2" width="17.125" customWidth="1"/>
    <col min="3" max="9" width="8.625" style="1"/>
    <col min="10" max="10" width="25.75" style="1" bestFit="1" customWidth="1"/>
    <col min="11" max="16384" width="8.625" style="1"/>
  </cols>
  <sheetData>
    <row r="1" spans="1:2" ht="39">
      <c r="A1" s="7" t="s">
        <v>103</v>
      </c>
      <c r="B1" s="8" t="s">
        <v>93</v>
      </c>
    </row>
    <row r="2" spans="1:2" ht="14.25">
      <c r="A2" s="22"/>
      <c r="B2" s="23" t="s">
        <v>1</v>
      </c>
    </row>
    <row r="3" spans="1:2" ht="14.25">
      <c r="A3" s="24" t="s">
        <v>50</v>
      </c>
      <c r="B3" s="17"/>
    </row>
    <row r="4" spans="1:2" ht="14.25">
      <c r="A4" s="24" t="s">
        <v>51</v>
      </c>
      <c r="B4" s="17"/>
    </row>
    <row r="5" spans="1:2" ht="14.25">
      <c r="A5" s="27" t="s">
        <v>52</v>
      </c>
      <c r="B5" s="26">
        <v>0.010965179591720249</v>
      </c>
    </row>
    <row r="6" spans="1:2" ht="14.25">
      <c r="A6" s="24" t="s">
        <v>53</v>
      </c>
      <c r="B6" s="17"/>
    </row>
    <row r="7" spans="1:2" ht="14.25">
      <c r="A7" s="27" t="s">
        <v>54</v>
      </c>
      <c r="B7" s="26">
        <v>0.64908299140379133</v>
      </c>
    </row>
    <row r="8" spans="1:2" ht="14.25">
      <c r="A8" s="27" t="s">
        <v>104</v>
      </c>
      <c r="B8" s="26">
        <v>0.22251551492268312</v>
      </c>
    </row>
    <row r="9" spans="1:2" ht="14.25">
      <c r="A9" s="27" t="s">
        <v>90</v>
      </c>
      <c r="B9" s="26">
        <v>0.28252916677107115</v>
      </c>
    </row>
    <row r="10" spans="1:2" ht="14.25">
      <c r="A10" s="27" t="s">
        <v>105</v>
      </c>
      <c r="B10" s="26">
        <v>0.36678360574298785</v>
      </c>
    </row>
    <row r="11" spans="1:11" ht="15">
      <c r="A11" s="27" t="s">
        <v>106</v>
      </c>
      <c r="B11" s="26">
        <v>0.12923942487501525</v>
      </c>
      <c r="I11" s="4"/>
      <c r="K11" s="5"/>
    </row>
    <row r="12" spans="1:11" ht="15">
      <c r="A12" s="27" t="s">
        <v>55</v>
      </c>
      <c r="B12" s="26">
        <v>0.33379104982957292</v>
      </c>
      <c r="I12" s="4"/>
      <c r="K12" s="5"/>
    </row>
    <row r="13" spans="1:11" ht="15">
      <c r="A13" s="24" t="s">
        <v>56</v>
      </c>
      <c r="B13" s="17">
        <v>1.9949069331368419</v>
      </c>
      <c r="I13" s="6"/>
      <c r="K13" s="5"/>
    </row>
    <row r="14" spans="1:11" ht="15">
      <c r="A14" s="24" t="s">
        <v>57</v>
      </c>
      <c r="B14" s="17"/>
      <c r="I14" s="6"/>
      <c r="K14" s="5"/>
    </row>
    <row r="15" spans="1:11" ht="15">
      <c r="A15" s="24" t="s">
        <v>51</v>
      </c>
      <c r="B15" s="17"/>
      <c r="I15" s="4"/>
      <c r="K15" s="5"/>
    </row>
    <row r="16" spans="1:11" ht="15">
      <c r="A16" s="25"/>
      <c r="B16" s="28">
        <v>0</v>
      </c>
      <c r="I16" s="6"/>
      <c r="K16" s="5"/>
    </row>
    <row r="17" spans="1:11" ht="15">
      <c r="A17" s="24" t="s">
        <v>53</v>
      </c>
      <c r="B17" s="17"/>
      <c r="I17" s="6"/>
      <c r="K17" s="5"/>
    </row>
    <row r="18" spans="1:11" ht="15">
      <c r="A18" s="27" t="s">
        <v>94</v>
      </c>
      <c r="B18" s="26">
        <v>0.25665483999089167</v>
      </c>
      <c r="I18" s="4"/>
      <c r="K18" s="5"/>
    </row>
    <row r="19" spans="1:11" ht="15">
      <c r="A19" s="27" t="s">
        <v>95</v>
      </c>
      <c r="B19" s="26">
        <v>0.31564955864499278</v>
      </c>
      <c r="I19" s="6"/>
      <c r="K19" s="5"/>
    </row>
    <row r="20" spans="1:11" ht="15">
      <c r="A20" s="27" t="s">
        <v>96</v>
      </c>
      <c r="B20" s="26">
        <v>0.22412369783850097</v>
      </c>
      <c r="I20" s="6"/>
      <c r="K20" s="5"/>
    </row>
    <row r="21" spans="1:11" ht="15">
      <c r="A21" s="24" t="s">
        <v>58</v>
      </c>
      <c r="B21" s="2">
        <v>0.79642809647438539</v>
      </c>
      <c r="I21" s="6"/>
      <c r="K21" s="5"/>
    </row>
    <row r="22" spans="1:11" ht="15">
      <c r="A22" s="24"/>
      <c r="B22" s="17"/>
      <c r="I22" s="6"/>
      <c r="K22" s="5"/>
    </row>
    <row r="23" spans="1:11" ht="15">
      <c r="A23" s="24" t="s">
        <v>59</v>
      </c>
      <c r="B23" s="17"/>
      <c r="I23" s="4"/>
      <c r="K23" s="5"/>
    </row>
    <row r="24" spans="1:11" ht="15">
      <c r="A24" s="24" t="s">
        <v>60</v>
      </c>
      <c r="B24" s="2">
        <v>0</v>
      </c>
      <c r="I24" s="4"/>
      <c r="K24" s="5"/>
    </row>
    <row r="25" spans="1:11" ht="15">
      <c r="A25" s="29"/>
      <c r="B25" s="17"/>
      <c r="I25" s="6"/>
      <c r="K25" s="5"/>
    </row>
    <row r="26" spans="1:11" ht="15">
      <c r="A26" s="24" t="s">
        <v>61</v>
      </c>
      <c r="B26" s="17"/>
      <c r="I26" s="4"/>
      <c r="K26" s="5"/>
    </row>
    <row r="27" spans="1:2" ht="14.25">
      <c r="A27" s="24" t="s">
        <v>62</v>
      </c>
      <c r="B27" s="2">
        <v>0</v>
      </c>
    </row>
    <row r="28" spans="1:2" ht="14.25">
      <c r="A28" s="24"/>
      <c r="B28" s="17"/>
    </row>
    <row r="29" spans="1:2" ht="14.25">
      <c r="A29" s="24" t="s">
        <v>63</v>
      </c>
      <c r="B29" s="17"/>
    </row>
    <row r="30" spans="1:2" ht="14.25">
      <c r="A30" s="24" t="s">
        <v>64</v>
      </c>
      <c r="B30" s="2">
        <v>0</v>
      </c>
    </row>
    <row r="31" spans="1:2" ht="14.25">
      <c r="A31" s="31"/>
      <c r="B31" s="17"/>
    </row>
    <row r="32" spans="1:2" ht="14.25">
      <c r="A32" s="24" t="s">
        <v>65</v>
      </c>
      <c r="B32" s="17"/>
    </row>
    <row r="33" spans="1:2" ht="14.25">
      <c r="A33" s="27"/>
      <c r="B33" s="30"/>
    </row>
    <row r="34" spans="1:2" ht="14.25">
      <c r="A34" s="24" t="s">
        <v>66</v>
      </c>
      <c r="B34" s="2">
        <v>0</v>
      </c>
    </row>
    <row r="35" spans="1:2" ht="14.25">
      <c r="A35" s="31"/>
      <c r="B35" s="17"/>
    </row>
    <row r="36" spans="1:2" ht="14.25">
      <c r="A36" s="24" t="s">
        <v>67</v>
      </c>
      <c r="B36" s="17"/>
    </row>
    <row r="37" spans="1:2" ht="14.25">
      <c r="A37" s="25"/>
      <c r="B37" s="2">
        <v>0</v>
      </c>
    </row>
    <row r="38" spans="1:2" ht="14.25">
      <c r="A38" s="24" t="s">
        <v>68</v>
      </c>
      <c r="B38" s="2">
        <v>0</v>
      </c>
    </row>
    <row r="39" spans="1:2" ht="14.25">
      <c r="A39" s="31"/>
      <c r="B39" s="17"/>
    </row>
    <row r="40" spans="1:2" ht="14.25">
      <c r="A40" s="24" t="s">
        <v>69</v>
      </c>
      <c r="B40" s="14">
        <f>+B34+B38+B30+B27+B24+B21+B13</f>
        <v>2.7913350296112274</v>
      </c>
    </row>
    <row r="41" spans="1:2" ht="14.25">
      <c r="A41" s="24"/>
      <c r="B41" s="17"/>
    </row>
    <row r="42" spans="1:2" ht="14.25">
      <c r="A42" s="12" t="s">
        <v>49</v>
      </c>
      <c r="B42" s="21">
        <v>334438.34530199983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mc:Ignorable="x14ac" xr:uid="{abab5e1c-5af1-4d3b-a07c-4d5072d7d911}">
  <dimension ref="A1:B44"/>
  <sheetViews>
    <sheetView rightToLeft="1" workbookViewId="0" topLeftCell="A1">
      <selection pane="topLeft" activeCell="B43" sqref="B43"/>
    </sheetView>
  </sheetViews>
  <sheetFormatPr defaultColWidth="8.625" defaultRowHeight="14.25"/>
  <cols>
    <col min="1" max="1" width="33.75" bestFit="1" customWidth="1"/>
    <col min="2" max="2" width="28.375" customWidth="1"/>
    <col min="3" max="16384" width="8.625" style="1"/>
  </cols>
  <sheetData>
    <row r="1" spans="1:2" ht="26.25">
      <c r="A1" s="7" t="s">
        <v>103</v>
      </c>
      <c r="B1" s="8" t="s">
        <v>102</v>
      </c>
    </row>
    <row r="2" spans="1:2" ht="14.25">
      <c r="A2" s="23" t="s">
        <v>70</v>
      </c>
      <c r="B2" s="23" t="s">
        <v>71</v>
      </c>
    </row>
    <row r="3" spans="1:2" ht="14.25">
      <c r="A3" s="32" t="s">
        <v>72</v>
      </c>
      <c r="B3" s="23"/>
    </row>
    <row r="4" spans="1:2" ht="14.25">
      <c r="A4" s="27" t="s">
        <v>97</v>
      </c>
      <c r="B4" s="33">
        <v>216.15349000000001</v>
      </c>
    </row>
    <row r="5" spans="1:2" ht="14.25">
      <c r="A5" s="27" t="s">
        <v>107</v>
      </c>
      <c r="B5" s="33">
        <v>56.862760000000009</v>
      </c>
    </row>
    <row r="6" spans="1:2" ht="14.25">
      <c r="A6" s="27" t="s">
        <v>108</v>
      </c>
      <c r="B6" s="33">
        <v>5.6431399999999989</v>
      </c>
    </row>
    <row r="7" spans="1:2" ht="14.25">
      <c r="A7" s="34" t="s">
        <v>73</v>
      </c>
      <c r="B7" s="14">
        <v>278.65939000000003</v>
      </c>
    </row>
    <row r="8" spans="1:2" ht="14.25">
      <c r="A8" s="27"/>
      <c r="B8" s="23"/>
    </row>
    <row r="9" spans="1:2" ht="14.25">
      <c r="A9" s="34" t="s">
        <v>74</v>
      </c>
      <c r="B9" s="23"/>
    </row>
    <row r="10" spans="1:2" ht="14.25">
      <c r="A10" s="27"/>
      <c r="B10" s="35">
        <v>0</v>
      </c>
    </row>
    <row r="11" spans="1:2" ht="14.25">
      <c r="A11" s="34" t="s">
        <v>75</v>
      </c>
      <c r="B11" s="35">
        <v>0</v>
      </c>
    </row>
    <row r="12" spans="1:2" ht="14.25">
      <c r="A12" s="27"/>
      <c r="B12" s="23"/>
    </row>
    <row r="13" spans="1:2" ht="14.25">
      <c r="A13" s="34" t="s">
        <v>76</v>
      </c>
      <c r="B13" s="23"/>
    </row>
    <row r="14" spans="1:2" ht="14.25">
      <c r="A14" s="27"/>
      <c r="B14" s="35">
        <v>0</v>
      </c>
    </row>
    <row r="15" spans="1:2" ht="14.25">
      <c r="A15" s="34" t="s">
        <v>77</v>
      </c>
      <c r="B15" s="35">
        <v>0</v>
      </c>
    </row>
    <row r="16" spans="1:2" ht="14.25">
      <c r="A16" s="34"/>
      <c r="B16" s="23"/>
    </row>
    <row r="17" spans="1:2" ht="14.25">
      <c r="A17" s="34" t="s">
        <v>78</v>
      </c>
      <c r="B17" s="23"/>
    </row>
    <row r="18" spans="1:2" ht="14.25">
      <c r="A18" s="32" t="s">
        <v>79</v>
      </c>
      <c r="B18" s="36"/>
    </row>
    <row r="19" spans="1:2" ht="14.25">
      <c r="A19" s="27"/>
      <c r="B19" s="33"/>
    </row>
    <row r="20" spans="1:2" ht="14.25">
      <c r="A20" s="32" t="s">
        <v>80</v>
      </c>
      <c r="B20" s="3"/>
    </row>
    <row r="21" spans="1:2" ht="14.25">
      <c r="A21" s="27" t="s">
        <v>109</v>
      </c>
      <c r="B21" s="33">
        <v>9.0007260915924974</v>
      </c>
    </row>
    <row r="22" spans="1:2" ht="14.25">
      <c r="A22" s="27" t="s">
        <v>91</v>
      </c>
      <c r="B22" s="33">
        <v>3.066970483045</v>
      </c>
    </row>
    <row r="23" spans="1:2" ht="14.25">
      <c r="A23" s="27" t="s">
        <v>110</v>
      </c>
      <c r="B23" s="33">
        <v>2.9248788000000001</v>
      </c>
    </row>
    <row r="24" spans="1:2" ht="14.25">
      <c r="A24" s="27" t="s">
        <v>98</v>
      </c>
      <c r="B24" s="33">
        <v>2.1398800573897505</v>
      </c>
    </row>
    <row r="25" spans="1:2" ht="14.25">
      <c r="A25" s="27" t="s">
        <v>55</v>
      </c>
      <c r="B25" s="33">
        <v>2.3455625253052381</v>
      </c>
    </row>
    <row r="26" spans="1:2" ht="14.25">
      <c r="A26" s="34" t="s">
        <v>81</v>
      </c>
      <c r="B26" s="14">
        <v>19.478017957332487</v>
      </c>
    </row>
    <row r="27" spans="1:2" ht="14.25">
      <c r="A27" s="27"/>
      <c r="B27" s="23"/>
    </row>
    <row r="28" spans="1:2" ht="14.25">
      <c r="A28" s="34" t="s">
        <v>82</v>
      </c>
      <c r="B28" s="23"/>
    </row>
    <row r="29" spans="1:2" ht="14.25">
      <c r="A29" s="37" t="s">
        <v>83</v>
      </c>
      <c r="B29" s="14"/>
    </row>
    <row r="30" spans="1:2" ht="14.25">
      <c r="A30" s="39" t="s">
        <v>99</v>
      </c>
      <c r="B30" s="33">
        <v>46.277821500670299</v>
      </c>
    </row>
    <row r="31" spans="1:2" ht="14.25">
      <c r="A31" s="39" t="s">
        <v>101</v>
      </c>
      <c r="B31" s="33">
        <v>35.90645657141372</v>
      </c>
    </row>
    <row r="32" spans="1:2" ht="14.25">
      <c r="A32" s="39" t="s">
        <v>100</v>
      </c>
      <c r="B32" s="33">
        <v>10.375440211428574</v>
      </c>
    </row>
    <row r="33" spans="1:2" ht="14.25">
      <c r="A33" s="39" t="s">
        <v>111</v>
      </c>
      <c r="B33" s="33">
        <v>0.93528549142857165</v>
      </c>
    </row>
    <row r="34" spans="1:2" ht="14.25">
      <c r="A34" s="37" t="s">
        <v>84</v>
      </c>
      <c r="B34" s="14"/>
    </row>
    <row r="35" spans="1:2" ht="14.25">
      <c r="A35" s="27" t="s">
        <v>86</v>
      </c>
      <c r="B35" s="33">
        <v>12.893595431361691</v>
      </c>
    </row>
    <row r="36" spans="1:2" ht="14.25">
      <c r="A36" s="27" t="s">
        <v>87</v>
      </c>
      <c r="B36" s="33">
        <v>11.957215191939504</v>
      </c>
    </row>
    <row r="37" spans="1:2" ht="14.25">
      <c r="A37" s="27" t="s">
        <v>85</v>
      </c>
      <c r="B37" s="33">
        <v>8.1600549142578966</v>
      </c>
    </row>
    <row r="38" spans="1:2" ht="14.25">
      <c r="A38" s="27" t="s">
        <v>112</v>
      </c>
      <c r="B38" s="33">
        <v>7.4955747333244851</v>
      </c>
    </row>
    <row r="39" spans="1:2" ht="14.25">
      <c r="A39" s="27" t="s">
        <v>113</v>
      </c>
      <c r="B39" s="33">
        <v>3.2985361957360007</v>
      </c>
    </row>
    <row r="40" spans="1:2" ht="14.25">
      <c r="A40" s="27" t="s">
        <v>55</v>
      </c>
      <c r="B40" s="33">
        <v>1.6092534275488262</v>
      </c>
    </row>
    <row r="41" spans="1:2" ht="14.25">
      <c r="A41" s="34" t="s">
        <v>88</v>
      </c>
      <c r="B41" s="14">
        <v>138.90923366910957</v>
      </c>
    </row>
    <row r="42" spans="1:2" ht="14.25">
      <c r="A42" s="27"/>
      <c r="B42" s="38"/>
    </row>
    <row r="43" spans="1:2" ht="14.25">
      <c r="A43" s="32" t="s">
        <v>89</v>
      </c>
      <c r="B43" s="14">
        <f>+B41+B26+B7</f>
        <v>437.04664162644212</v>
      </c>
    </row>
    <row r="44" spans="1:2" ht="14.25">
      <c r="A44" s="12" t="s">
        <v>49</v>
      </c>
      <c r="B44" s="21">
        <v>334438.34530199983</v>
      </c>
    </row>
  </sheetData>
  <pageMargins left="0.7" right="0.7" top="0.75" bottom="0.75" header="0.3" footer="0.3"/>
  <pageSetup orientation="portrait" paperSize="9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3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36AD28BE-84DF-44B2-9CAC-41C694449C79}"/>
</file>

<file path=customXml/itemProps2.xml><?xml version="1.0" encoding="utf-8"?>
<ds:datastoreItem xmlns:ds="http://schemas.openxmlformats.org/officeDocument/2006/customXml" ds:itemID="{185CB0AF-1057-45DF-8DB6-D297561D3773}"/>
</file>

<file path=customXml/itemProps3.xml><?xml version="1.0" encoding="utf-8"?>
<ds:datastoreItem xmlns:ds="http://schemas.openxmlformats.org/officeDocument/2006/customXml" ds:itemID="{F406C2B1-CC52-4211-983D-4C6FB7100B67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נספח 1</vt:lpstr>
      <vt:lpstr>נספח 2</vt:lpstr>
      <vt:lpstr>נספח 3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