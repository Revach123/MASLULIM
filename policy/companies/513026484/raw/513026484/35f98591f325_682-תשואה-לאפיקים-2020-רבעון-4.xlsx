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6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Applications/הלמן אלדובי /"/>
    </mc:Choice>
  </mc:AlternateContent>
  <bookViews>
    <workbookView xWindow="120" yWindow="500" windowWidth="17040" windowHeight="10560" activeTab="0"/>
  </bookViews>
  <sheets>
    <sheet name="פירוט תרומת אפיקי ההשקעה לתשואה" sheetId="1" r:id="rId2"/>
  </sheets>
  <definedNames/>
  <calcPr fullCalcOnLoad="1"/>
  <extLst/>
</workbook>
</file>

<file path=xl/calcChain.xml><?xml version="1.0" encoding="utf-8"?>
<calcChain xmlns="http://schemas.openxmlformats.org/spreadsheetml/2006/main">
  <c r="AB44" i="1" l="1"/>
</calcChain>
</file>

<file path=xl/sharedStrings.xml><?xml version="1.0" encoding="utf-8"?>
<sst xmlns="http://schemas.openxmlformats.org/spreadsheetml/2006/main" count="96" uniqueCount="68">
  <si>
    <t>פירוט תרומת אפיקי ההשקעה לתשואה הכוללת IRA סנונית הלמן (606)</t>
  </si>
  <si>
    <t>הופק ב 15:45 26/01/2021</t>
  </si>
  <si>
    <t>קידוד:</t>
  </si>
  <si>
    <t>פירוט תרומת אפיקי ההשקעה לתשואה הכוללת</t>
  </si>
  <si>
    <t>סנונית בניהול אישי</t>
  </si>
  <si>
    <t>IRA סנונית הלמן (606)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</si>
  <si>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</si>
  <si>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</si>
  <si>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</si>
  <si>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</si>
  <si>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</si>
  <si>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</si>
  <si>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</si>
  <si>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</si>
  <si>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</si>
  <si>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</si>
  <si>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</si>
  <si>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</si>
  <si>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</si>
  <si>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</si>
  <si>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</si>
  <si>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</si>
  <si>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</si>
  <si>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</si>
  <si>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</si>
  <si>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</si>
  <si>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</si>
  <si>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</si>
  <si>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</si>
  <si>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</si>
  <si>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</si>
  <si>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</si>
  <si>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</si>
  <si>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</si>
  <si>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</si>
  <si>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</si>
  <si>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</si>
  <si>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</si>
  <si>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</si>
  <si>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</si>
  <si>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</si>
  <si>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</si>
  <si>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</si>
  <si>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</si>
  <si>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</si>
  <si>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</si>
  <si>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</si>
  <si>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</si>
  <si>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</si>
  <si>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</si>
  <si>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</si>
  <si>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</si>
  <si>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</si>
  <si>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</si>
  <si>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</si>
  <si>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</si>
  <si>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</si>
  <si>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</si>
  <si>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</si>
  <si>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</si>
  <si>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</si>
  <si>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</si>
  <si>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</si>
  <si>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</si>
  <si>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</si>
  <si>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</si>
  <si>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>הופק בתוכנת פריים זהב, מהדורה 5.20.127, פריים מערכות, טלפון 03-7760600, www.primesys.co.il</t>
  </si>
  <si>
    <t>חישוב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</si>
</sst>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0.0000%"/>
    <numFmt numFmtId="165" formatCode="0.000000%"/>
    <numFmt numFmtId="166" formatCode="0.000000000000000000%"/>
    <numFmt numFmtId="167" formatCode="0.000%"/>
    <numFmt numFmtId="168" formatCode="0.00000000000000000%"/>
  </numFmts>
  <fonts count="8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4"/>
      <color rgb="FF800080"/>
      <name val="Ariel"/>
      <family val="2"/>
    </font>
    <font>
      <b/>
      <sz val="10"/>
      <color rgb="FF000000"/>
      <name val="Ariel"/>
      <family val="2"/>
    </font>
    <font>
      <b/>
      <sz val="12"/>
      <color rgb="FF000080"/>
      <name val="Ariel"/>
      <family val="2"/>
    </font>
    <font>
      <sz val="10"/>
      <color rgb="FF000000"/>
      <name val="Ariel"/>
      <family val="2"/>
    </font>
    <font>
      <b/>
      <sz val="10"/>
      <color rgb="FF0000FF"/>
      <name val="Arie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2"/>
    </xf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165" fontId="0" fillId="0" borderId="0" xfId="0" applyNumberFormat="1"/>
    <xf numFmtId="10" fontId="6" fillId="0" borderId="0" xfId="0" applyNumberFormat="1" applyFont="1" applyAlignment="1">
      <alignment horizontal="right" readingOrder="2"/>
    </xf>
    <xf numFmtId="166" fontId="0" fillId="0" borderId="0" xfId="0" applyNumberFormat="1"/>
    <xf numFmtId="168" fontId="0" fillId="0" borderId="0" xfId="0" applyNumberFormat="1"/>
    <xf numFmtId="0" fontId="0" fillId="2" borderId="0" xfId="0" applyFill="1"/>
    <xf numFmtId="167" fontId="2" fillId="2" borderId="0" xfId="20" applyNumberFormat="1" applyFill="1">
      <alignment/>
      <protection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Percent 2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79"/>
  <sheetViews>
    <sheetView rightToLeft="1" tabSelected="1" workbookViewId="0" topLeftCell="A1">
      <selection pane="topLeft" activeCell="G80" sqref="G80"/>
    </sheetView>
  </sheetViews>
  <sheetFormatPr defaultColWidth="26.3342857142857" defaultRowHeight="13.5"/>
  <sheetData>
    <row r="2" spans="1:1" ht="18">
      <c r="A2" s="1"/>
    </row>
    <row r="4" spans="1:1" ht="18">
      <c r="A4" s="1" t="s">
        <v>0</v>
      </c>
    </row>
    <row r="6" spans="1:1" ht="13">
      <c r="A6" s="2" t="s">
        <v>1</v>
      </c>
    </row>
    <row r="8" spans="1:11" ht="16">
      <c r="A8" s="3" t="s">
        <v>2</v>
      </c>
      <c r="K8" s="10"/>
    </row>
    <row r="10" spans="11:11" ht="13">
      <c r="K10" s="12"/>
    </row>
    <row r="11" spans="1:26" ht="13">
      <c r="A11" s="4"/>
      <c r="B11" s="4" t="s">
        <v>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">
      <c r="A12" s="4"/>
      <c r="B12" s="4" t="s">
        <v>4</v>
      </c>
      <c r="C12" s="4"/>
      <c r="D12" s="4"/>
      <c r="E12" s="4"/>
      <c r="F12" s="4"/>
      <c r="G12" s="4"/>
      <c r="H12" s="4"/>
      <c r="I12" s="4"/>
      <c r="J12" s="4"/>
      <c r="K12" s="1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8" ht="13">
      <c r="A13" s="4"/>
      <c r="B13" s="4" t="s">
        <v>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B13" s="14" t="s">
        <v>67</v>
      </c>
    </row>
    <row r="14" spans="1:28" ht="13">
      <c r="A14" s="4"/>
      <c r="B14" s="5">
        <v>2020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B14" s="14"/>
    </row>
    <row r="15" spans="1:28" ht="13">
      <c r="A15" s="6"/>
      <c r="B15" s="6" t="s">
        <v>6</v>
      </c>
      <c r="C15" s="6" t="s">
        <v>7</v>
      </c>
      <c r="D15" s="6" t="s">
        <v>8</v>
      </c>
      <c r="E15" s="6" t="s">
        <v>9</v>
      </c>
      <c r="F15" s="6" t="s">
        <v>10</v>
      </c>
      <c r="G15" s="6" t="s">
        <v>11</v>
      </c>
      <c r="H15" s="6" t="s">
        <v>12</v>
      </c>
      <c r="I15" s="6" t="s">
        <v>13</v>
      </c>
      <c r="J15" s="6" t="s">
        <v>14</v>
      </c>
      <c r="K15" s="6" t="s">
        <v>15</v>
      </c>
      <c r="L15" s="6" t="s">
        <v>16</v>
      </c>
      <c r="M15" s="6" t="s">
        <v>17</v>
      </c>
      <c r="N15" s="6" t="s">
        <v>18</v>
      </c>
      <c r="O15" s="6" t="s">
        <v>19</v>
      </c>
      <c r="P15" s="6" t="s">
        <v>20</v>
      </c>
      <c r="Q15" s="6" t="s">
        <v>21</v>
      </c>
      <c r="R15" s="6" t="s">
        <v>22</v>
      </c>
      <c r="S15" s="6" t="s">
        <v>23</v>
      </c>
      <c r="T15" s="6" t="s">
        <v>24</v>
      </c>
      <c r="U15" s="6" t="s">
        <v>25</v>
      </c>
      <c r="V15" s="6" t="s">
        <v>26</v>
      </c>
      <c r="W15" s="6" t="s">
        <v>27</v>
      </c>
      <c r="X15" s="6" t="s">
        <v>28</v>
      </c>
      <c r="Y15" s="6" t="s">
        <v>29</v>
      </c>
      <c r="Z15" s="6" t="s">
        <v>30</v>
      </c>
      <c r="AB15" s="14"/>
    </row>
    <row r="16" spans="1:28" ht="14">
      <c r="A16" s="4"/>
      <c r="B16" s="4" t="s">
        <v>31</v>
      </c>
      <c r="C16" s="7">
        <v>-2.5999999999999998E-05</v>
      </c>
      <c r="D16" s="7">
        <v>0.043851000000000001</v>
      </c>
      <c r="E16" s="7">
        <v>-2.3E-05</v>
      </c>
      <c r="F16" s="7">
        <v>0.048424000000000002</v>
      </c>
      <c r="G16" s="7">
        <v>-0.00051599999999999997</v>
      </c>
      <c r="H16" s="7">
        <v>0.075158000000000003</v>
      </c>
      <c r="I16" s="7">
        <v>-8.0000000000000007E-05</v>
      </c>
      <c r="J16" s="7">
        <v>0.069101999999999997</v>
      </c>
      <c r="K16" s="7">
        <v>6.0000000000000002E-05</v>
      </c>
      <c r="L16" s="7">
        <v>0.078215999999999994</v>
      </c>
      <c r="M16" s="7">
        <v>-6.4999999999999994E-05</v>
      </c>
      <c r="N16" s="7">
        <v>0.073084999999999997</v>
      </c>
      <c r="O16" s="7">
        <v>-0.000147</v>
      </c>
      <c r="P16" s="7">
        <v>0.072581000000000007</v>
      </c>
      <c r="Q16" s="7">
        <v>-0.000194</v>
      </c>
      <c r="R16" s="7">
        <v>0.077477000000000004</v>
      </c>
      <c r="S16" s="7">
        <v>7.2000000000000002E-05</v>
      </c>
      <c r="T16" s="7">
        <v>0.071798000000000001</v>
      </c>
      <c r="U16" s="7">
        <v>-6.0999999999999999E-05</v>
      </c>
      <c r="V16" s="7">
        <v>0.070781999999999998</v>
      </c>
      <c r="W16" s="7">
        <v>-0.00025099999999999998</v>
      </c>
      <c r="X16" s="7">
        <v>0.18245600000000001</v>
      </c>
      <c r="Y16" s="7">
        <v>-0.000204</v>
      </c>
      <c r="Z16" s="7">
        <v>0.097719</v>
      </c>
      <c r="AB16" s="15">
        <f>(1+C16)*(1+E16)*(1+G16)*(1+I16)*(1+K16)*(1+M16)-1</f>
        <v>-0.00064992959321907851</v>
      </c>
    </row>
    <row r="17" spans="1:28" ht="14">
      <c r="A17" s="4"/>
      <c r="B17" s="4" t="s">
        <v>32</v>
      </c>
      <c r="C17" s="7">
        <v>0.00066500000000000001</v>
      </c>
      <c r="D17" s="7">
        <v>0.304894</v>
      </c>
      <c r="E17" s="7">
        <v>0.0016540000000000001</v>
      </c>
      <c r="F17" s="7">
        <v>0.299234</v>
      </c>
      <c r="G17" s="7">
        <v>-0.0097660000000000004</v>
      </c>
      <c r="H17" s="7">
        <v>0.30782599999999999</v>
      </c>
      <c r="I17" s="7">
        <v>0.0045120000000000004</v>
      </c>
      <c r="J17" s="7">
        <v>0.303647</v>
      </c>
      <c r="K17" s="7">
        <v>0.0024420000000000002</v>
      </c>
      <c r="L17" s="7">
        <v>0.28499200000000002</v>
      </c>
      <c r="M17" s="7">
        <v>-0.00060300000000000002</v>
      </c>
      <c r="N17" s="7">
        <v>0.28852899999999998</v>
      </c>
      <c r="O17" s="7">
        <v>-0.000562</v>
      </c>
      <c r="P17" s="7">
        <v>0.283528</v>
      </c>
      <c r="Q17" s="7">
        <v>0.0013090000000000001</v>
      </c>
      <c r="R17" s="7">
        <v>0.28057100000000001</v>
      </c>
      <c r="S17" s="7">
        <v>-0.0020449999999999999</v>
      </c>
      <c r="T17" s="7">
        <v>0.28253200000000001</v>
      </c>
      <c r="U17" s="7">
        <v>-0.00053600000000000002</v>
      </c>
      <c r="V17" s="7">
        <v>0.28384199999999998</v>
      </c>
      <c r="W17" s="7">
        <v>0.0015139999999999999</v>
      </c>
      <c r="X17" s="7">
        <v>0.26725100000000002</v>
      </c>
      <c r="Y17" s="7">
        <v>0.00084000000000000003</v>
      </c>
      <c r="Z17" s="7">
        <v>0.29535699999999998</v>
      </c>
      <c r="AB17" s="15">
        <f t="shared" si="0" ref="AB17:AB44">(1+C17)*(1+E17)*(1+G17)*(1+I17)*(1+K17)*(1+M17)-1</f>
        <v>-0.0011582235243978722</v>
      </c>
    </row>
    <row r="18" spans="1:28" ht="14">
      <c r="A18" s="4"/>
      <c r="B18" s="4" t="s">
        <v>33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B18" s="15">
        <f>(1+C18)*(1+E18)*(1+G18)*(1+I18)*(1+K18)*(1+M18)-1</f>
        <v>0</v>
      </c>
    </row>
    <row r="19" spans="1:28" ht="14">
      <c r="A19" s="4"/>
      <c r="B19" s="4" t="s">
        <v>34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B19" s="15">
        <f>(1+C19)*(1+E19)*(1+G19)*(1+I19)*(1+K19)*(1+M19)-1</f>
        <v>0</v>
      </c>
    </row>
    <row r="20" spans="1:28" ht="14">
      <c r="A20" s="4"/>
      <c r="B20" s="4" t="s">
        <v>35</v>
      </c>
      <c r="C20" s="7">
        <v>0.00026899999999999998</v>
      </c>
      <c r="D20" s="7">
        <v>0.28673300000000002</v>
      </c>
      <c r="E20" s="7">
        <v>-0.00076499999999999995</v>
      </c>
      <c r="F20" s="7">
        <v>0.29021999999999998</v>
      </c>
      <c r="G20" s="7">
        <v>-0.018339999999999999</v>
      </c>
      <c r="H20" s="7">
        <v>0.27943800000000002</v>
      </c>
      <c r="I20" s="7">
        <v>0.011819</v>
      </c>
      <c r="J20" s="7">
        <v>0.28050900000000001</v>
      </c>
      <c r="K20" s="7">
        <v>0.001784</v>
      </c>
      <c r="L20" s="7">
        <v>0.281026</v>
      </c>
      <c r="M20" s="7">
        <v>-0.0047130000000000002</v>
      </c>
      <c r="N20" s="7">
        <v>0.27548499999999998</v>
      </c>
      <c r="O20" s="7">
        <v>0.0056270000000000001</v>
      </c>
      <c r="P20" s="7">
        <v>0.27507300000000001</v>
      </c>
      <c r="Q20" s="7">
        <v>0.0039490000000000003</v>
      </c>
      <c r="R20" s="7">
        <v>0.26570899999999997</v>
      </c>
      <c r="S20" s="7">
        <v>-0.001052</v>
      </c>
      <c r="T20" s="7">
        <v>0.26502399999999998</v>
      </c>
      <c r="U20" s="7">
        <v>0.000183</v>
      </c>
      <c r="V20" s="7">
        <v>0.26717000000000002</v>
      </c>
      <c r="W20" s="7">
        <v>0.0028909999999999999</v>
      </c>
      <c r="X20" s="7">
        <v>0.19921900000000001</v>
      </c>
      <c r="Y20" s="7">
        <v>0.00087399999999999999</v>
      </c>
      <c r="Z20" s="7">
        <v>0.21645</v>
      </c>
      <c r="AB20" s="15">
        <f>(1+C20)*(1+E20)*(1+G20)*(1+I20)*(1+K20)*(1+M20)-1</f>
        <v>-0.010146791631702179</v>
      </c>
    </row>
    <row r="21" spans="1:28" ht="14">
      <c r="A21" s="4"/>
      <c r="B21" s="4" t="s">
        <v>36</v>
      </c>
      <c r="C21" s="7">
        <v>3.8999999999999999E-05</v>
      </c>
      <c r="D21" s="7">
        <v>0.0095340000000000008</v>
      </c>
      <c r="E21" s="7">
        <v>9.9999999999999995E-07</v>
      </c>
      <c r="F21" s="7">
        <v>0.010316000000000001</v>
      </c>
      <c r="G21" s="7">
        <v>-0.00051599999999999997</v>
      </c>
      <c r="H21" s="7">
        <v>0.007979</v>
      </c>
      <c r="I21" s="7">
        <v>-0.0019430000000000001</v>
      </c>
      <c r="J21" s="7">
        <v>0.0054590000000000003</v>
      </c>
      <c r="K21" s="7">
        <v>5.7000000000000003E-05</v>
      </c>
      <c r="L21" s="7">
        <v>0.0054710000000000002</v>
      </c>
      <c r="M21" s="7">
        <v>-2.8E-05</v>
      </c>
      <c r="N21" s="7">
        <v>0.0055040000000000002</v>
      </c>
      <c r="O21" s="7">
        <v>-9.9999999999999995E-07</v>
      </c>
      <c r="P21" s="7">
        <v>0.0054289999999999998</v>
      </c>
      <c r="Q21" s="7">
        <v>2.0999999999999999E-05</v>
      </c>
      <c r="R21" s="7">
        <v>0.0053369999999999997</v>
      </c>
      <c r="S21" s="7">
        <v>3.9999999999999998E-06</v>
      </c>
      <c r="T21" s="7">
        <v>0.0049810000000000002</v>
      </c>
      <c r="U21" s="7">
        <v>-9.9999999999999995E-07</v>
      </c>
      <c r="V21" s="7">
        <v>0.0046239999999999996</v>
      </c>
      <c r="W21" s="7">
        <v>6.9999999999999999E-06</v>
      </c>
      <c r="X21" s="7">
        <v>0.003826</v>
      </c>
      <c r="Y21" s="7">
        <v>9.9999999999999995E-07</v>
      </c>
      <c r="Z21" s="7">
        <v>0.003307</v>
      </c>
      <c r="AB21" s="15">
        <f>(1+C21)*(1+E21)*(1+G21)*(1+I21)*(1+K21)*(1+M21)-1</f>
        <v>-0.0023891674099083549</v>
      </c>
    </row>
    <row r="22" spans="1:28" ht="14">
      <c r="A22" s="4"/>
      <c r="B22" s="4" t="s">
        <v>37</v>
      </c>
      <c r="C22" s="7">
        <v>6.3999999999999997E-05</v>
      </c>
      <c r="D22" s="7">
        <v>0.10319200000000001</v>
      </c>
      <c r="E22" s="7">
        <v>-0.0065970000000000004</v>
      </c>
      <c r="F22" s="7">
        <v>0.100104</v>
      </c>
      <c r="G22" s="7">
        <v>-0.017741</v>
      </c>
      <c r="H22" s="7">
        <v>0.087559999999999999</v>
      </c>
      <c r="I22" s="7">
        <v>0.0088199999999999997</v>
      </c>
      <c r="J22" s="7">
        <v>0.093726000000000004</v>
      </c>
      <c r="K22" s="7">
        <v>-0.00035199999999999999</v>
      </c>
      <c r="L22" s="7">
        <v>0.091401999999999997</v>
      </c>
      <c r="M22" s="7">
        <v>-0.0031359999999999999</v>
      </c>
      <c r="N22" s="7">
        <v>0.090068999999999996</v>
      </c>
      <c r="O22" s="7">
        <v>0.0040899999999999999</v>
      </c>
      <c r="P22" s="7">
        <v>0.093922000000000005</v>
      </c>
      <c r="Q22" s="7">
        <v>0.0050029999999999996</v>
      </c>
      <c r="R22" s="7">
        <v>0.099909999999999999</v>
      </c>
      <c r="S22" s="7">
        <v>-0.003898</v>
      </c>
      <c r="T22" s="7">
        <v>0.103022</v>
      </c>
      <c r="U22" s="7">
        <v>0.0029160000000000002</v>
      </c>
      <c r="V22" s="7">
        <v>0.106229</v>
      </c>
      <c r="W22" s="7">
        <v>0.010355</v>
      </c>
      <c r="X22" s="7">
        <v>0.11149199999999999</v>
      </c>
      <c r="Y22" s="7">
        <v>0.0053610000000000003</v>
      </c>
      <c r="Z22" s="7">
        <v>0.12606899999999999</v>
      </c>
      <c r="AB22" s="15">
        <f>(1+C22)*(1+E22)*(1+G22)*(1+I22)*(1+K22)*(1+M22)-1</f>
        <v>-0.018984260193282365</v>
      </c>
    </row>
    <row r="23" spans="1:28" ht="14">
      <c r="A23" s="4"/>
      <c r="B23" s="4" t="s">
        <v>38</v>
      </c>
      <c r="C23" s="7">
        <v>-8.1000000000000004E-05</v>
      </c>
      <c r="D23" s="7">
        <v>0.219467</v>
      </c>
      <c r="E23" s="7">
        <v>-0.011044</v>
      </c>
      <c r="F23" s="7">
        <v>0.22003700000000001</v>
      </c>
      <c r="G23" s="7">
        <v>-0.026322999999999999</v>
      </c>
      <c r="H23" s="7">
        <v>0.20938899999999999</v>
      </c>
      <c r="I23" s="7">
        <v>0.014833000000000001</v>
      </c>
      <c r="J23" s="7">
        <v>0.211947</v>
      </c>
      <c r="K23" s="7">
        <v>0.0046509999999999998</v>
      </c>
      <c r="L23" s="7">
        <v>0.219556</v>
      </c>
      <c r="M23" s="7">
        <v>-5.1E-05</v>
      </c>
      <c r="N23" s="7">
        <v>0.22398399999999999</v>
      </c>
      <c r="O23" s="7">
        <v>0.0076880000000000004</v>
      </c>
      <c r="P23" s="7">
        <v>0.22689799999999999</v>
      </c>
      <c r="Q23" s="7">
        <v>0.0079579999999999998</v>
      </c>
      <c r="R23" s="7">
        <v>0.23100599999999999</v>
      </c>
      <c r="S23" s="7">
        <v>-0.0045849999999999997</v>
      </c>
      <c r="T23" s="7">
        <v>0.22938400000000001</v>
      </c>
      <c r="U23" s="7">
        <v>-0.001849</v>
      </c>
      <c r="V23" s="7">
        <v>0.22503799999999999</v>
      </c>
      <c r="W23" s="7">
        <v>0.013896</v>
      </c>
      <c r="X23" s="7">
        <v>0.19281799999999999</v>
      </c>
      <c r="Y23" s="7">
        <v>0.0025990000000000002</v>
      </c>
      <c r="Z23" s="7">
        <v>0.21301300000000001</v>
      </c>
      <c r="AB23" s="15">
        <f>(1+C23)*(1+E23)*(1+G23)*(1+I23)*(1+K23)*(1+M23)-1</f>
        <v>-0.018377839920270089</v>
      </c>
    </row>
    <row r="24" spans="1:28" ht="14">
      <c r="A24" s="4"/>
      <c r="B24" s="4" t="s">
        <v>39</v>
      </c>
      <c r="C24" s="7">
        <v>-0.000111</v>
      </c>
      <c r="D24" s="7">
        <v>0.01175</v>
      </c>
      <c r="E24" s="7">
        <v>-0.00046999999999999999</v>
      </c>
      <c r="F24" s="7">
        <v>0.011001</v>
      </c>
      <c r="G24" s="7">
        <v>-0.0012639999999999999</v>
      </c>
      <c r="H24" s="7">
        <v>0.011244000000000001</v>
      </c>
      <c r="I24" s="7">
        <v>0.00051699999999999999</v>
      </c>
      <c r="J24" s="7">
        <v>0.015356</v>
      </c>
      <c r="K24" s="7">
        <v>0.00074100000000000001</v>
      </c>
      <c r="L24" s="7">
        <v>0.017623</v>
      </c>
      <c r="M24" s="7">
        <v>0.00031</v>
      </c>
      <c r="N24" s="7">
        <v>0.018157</v>
      </c>
      <c r="O24" s="7">
        <v>0.00065300000000000004</v>
      </c>
      <c r="P24" s="7">
        <v>0.019227999999999999</v>
      </c>
      <c r="Q24" s="7">
        <v>0.00021100000000000001</v>
      </c>
      <c r="R24" s="7">
        <v>0.018676999999999999</v>
      </c>
      <c r="S24" s="7">
        <v>0.00031700000000000001</v>
      </c>
      <c r="T24" s="7">
        <v>0.021554</v>
      </c>
      <c r="U24" s="7">
        <v>-6.3E-05</v>
      </c>
      <c r="V24" s="7">
        <v>0.022537999999999999</v>
      </c>
      <c r="W24" s="7">
        <v>0.001075</v>
      </c>
      <c r="X24" s="7">
        <v>0.023366000000000001</v>
      </c>
      <c r="Y24" s="7">
        <v>0.00020000000000000001</v>
      </c>
      <c r="Z24" s="7">
        <v>0.027696999999999999</v>
      </c>
      <c r="AB24" s="15">
        <f>(1+C24)*(1+E24)*(1+G24)*(1+I24)*(1+K24)*(1+M24)-1</f>
        <v>-0.00027833346890737687</v>
      </c>
    </row>
    <row r="25" spans="1:28" ht="14">
      <c r="A25" s="4"/>
      <c r="B25" s="4" t="s">
        <v>40</v>
      </c>
      <c r="C25" s="7">
        <v>-1.7E-05</v>
      </c>
      <c r="D25" s="7">
        <v>0.011684</v>
      </c>
      <c r="E25" s="7">
        <v>-8.2000000000000001E-05</v>
      </c>
      <c r="F25" s="7">
        <v>0.012505000000000001</v>
      </c>
      <c r="G25" s="7">
        <v>1.2E-05</v>
      </c>
      <c r="H25" s="7">
        <v>0.014128</v>
      </c>
      <c r="I25" s="7">
        <v>-6.2000000000000003E-05</v>
      </c>
      <c r="J25" s="7">
        <v>0.013624000000000001</v>
      </c>
      <c r="K25" s="7">
        <v>8.2999999999999998E-05</v>
      </c>
      <c r="L25" s="7">
        <v>0.014290000000000001</v>
      </c>
      <c r="M25" s="7">
        <v>-1.0000000000000001E-05</v>
      </c>
      <c r="N25" s="7">
        <v>0.014718999999999999</v>
      </c>
      <c r="O25" s="7">
        <v>-5.8E-05</v>
      </c>
      <c r="P25" s="7">
        <v>0.014685</v>
      </c>
      <c r="Q25" s="7">
        <v>-6.4999999999999994E-05</v>
      </c>
      <c r="R25" s="7">
        <v>0.011879000000000001</v>
      </c>
      <c r="S25" s="7">
        <v>0.000223</v>
      </c>
      <c r="T25" s="7">
        <v>0.012344000000000001</v>
      </c>
      <c r="U25" s="7">
        <v>-3.1000000000000001E-05</v>
      </c>
      <c r="V25" s="7">
        <v>0.012429000000000001</v>
      </c>
      <c r="W25" s="7">
        <v>-1.0000000000000001E-05</v>
      </c>
      <c r="X25" s="7">
        <v>0.012255</v>
      </c>
      <c r="Y25" s="7">
        <v>8.6000000000000003E-05</v>
      </c>
      <c r="Z25" s="7">
        <v>0.012973999999999999</v>
      </c>
      <c r="AB25" s="15">
        <f>(1+C25)*(1+E25)*(1+G25)*(1+I25)*(1+K25)*(1+M25)-1</f>
        <v>-7.6006106463633039E-05</v>
      </c>
    </row>
    <row r="26" spans="1:28" ht="14">
      <c r="A26" s="4"/>
      <c r="B26" s="4" t="s">
        <v>41</v>
      </c>
      <c r="C26" s="7">
        <v>6.0000000000000002E-06</v>
      </c>
      <c r="D26" s="7">
        <v>4.1E-05</v>
      </c>
      <c r="E26" s="7">
        <v>5.0000000000000004E-06</v>
      </c>
      <c r="F26" s="7">
        <v>5.1E-05</v>
      </c>
      <c r="G26" s="7">
        <v>-1.7E-05</v>
      </c>
      <c r="H26" s="7">
        <v>4.0000000000000003E-05</v>
      </c>
      <c r="I26" s="7">
        <v>-6.9999999999999999E-06</v>
      </c>
      <c r="J26" s="7">
        <v>3.1000000000000001E-05</v>
      </c>
      <c r="K26" s="7">
        <v>-3.0000000000000001E-06</v>
      </c>
      <c r="L26" s="7">
        <v>2.8E-05</v>
      </c>
      <c r="M26" s="7">
        <v>-6.0000000000000002E-06</v>
      </c>
      <c r="N26" s="7">
        <v>2.1999999999999999E-05</v>
      </c>
      <c r="O26" s="7">
        <v>-1.1E-05</v>
      </c>
      <c r="P26" s="7">
        <v>1.1E-05</v>
      </c>
      <c r="Q26" s="7">
        <v>5.0000000000000004E-06</v>
      </c>
      <c r="R26" s="7">
        <v>1.5999999999999999E-05</v>
      </c>
      <c r="S26" s="7">
        <v>-1.9999999999999999E-06</v>
      </c>
      <c r="T26" s="7">
        <v>1.5E-05</v>
      </c>
      <c r="U26" s="7">
        <v>-9.9999999999999995E-07</v>
      </c>
      <c r="V26" s="7">
        <v>1.2999999999999999E-05</v>
      </c>
      <c r="W26" s="7">
        <v>1.5999999999999999E-05</v>
      </c>
      <c r="X26" s="7">
        <v>2.9E-05</v>
      </c>
      <c r="Y26" s="7">
        <v>3.0000000000000001E-06</v>
      </c>
      <c r="Z26" s="7">
        <v>3.6000000000000001E-05</v>
      </c>
      <c r="AB26" s="15">
        <f>(1+C26)*(1+E26)*(1+G26)*(1+I26)*(1+K26)*(1+M26)-1</f>
        <v>-2.1999979998632568E-05</v>
      </c>
    </row>
    <row r="27" spans="1:28" ht="14">
      <c r="A27" s="4"/>
      <c r="B27" s="4" t="s">
        <v>42</v>
      </c>
      <c r="C27" s="7">
        <v>2.0999999999999999E-05</v>
      </c>
      <c r="D27" s="7">
        <v>7.9999999999999996E-06</v>
      </c>
      <c r="E27" s="7">
        <v>-2.8E-05</v>
      </c>
      <c r="F27" s="7">
        <v>-2.1999999999999999E-05</v>
      </c>
      <c r="G27" s="7">
        <v>5.5999999999999999E-05</v>
      </c>
      <c r="H27" s="7">
        <v>2.0999999999999999E-05</v>
      </c>
      <c r="I27" s="7">
        <v>0.00011</v>
      </c>
      <c r="J27" s="7">
        <v>0.00013100000000000001</v>
      </c>
      <c r="K27" s="7">
        <v>2.6999999999999999E-05</v>
      </c>
      <c r="L27" s="7">
        <v>0.000165</v>
      </c>
      <c r="M27" s="7">
        <v>0.000174</v>
      </c>
      <c r="N27" s="7">
        <v>0.00034699999999999998</v>
      </c>
      <c r="O27" s="7">
        <v>0.00014799999999999999</v>
      </c>
      <c r="P27" s="7">
        <v>0.00011900000000000001</v>
      </c>
      <c r="Q27" s="7">
        <v>0.00021699999999999999</v>
      </c>
      <c r="R27" s="7">
        <v>0.00033300000000000002</v>
      </c>
      <c r="S27" s="7">
        <v>-7.7000000000000001E-05</v>
      </c>
      <c r="T27" s="7">
        <v>0.000263</v>
      </c>
      <c r="U27" s="7">
        <v>0.00011400000000000001</v>
      </c>
      <c r="V27" s="7">
        <v>0.00027300000000000002</v>
      </c>
      <c r="W27" s="7">
        <v>0.00015899999999999999</v>
      </c>
      <c r="X27" s="7">
        <v>0.00042700000000000002</v>
      </c>
      <c r="Y27" s="7">
        <v>0.00020699999999999999</v>
      </c>
      <c r="Z27" s="7">
        <v>0.00070100000000000002</v>
      </c>
      <c r="AB27" s="15">
        <f>(1+C27)*(1+E27)*(1+G27)*(1+I27)*(1+K27)*(1+M27)-1</f>
        <v>0.0003600410684925226</v>
      </c>
    </row>
    <row r="28" spans="1:28" ht="14">
      <c r="A28" s="4"/>
      <c r="B28" s="4" t="s">
        <v>43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B28" s="15">
        <f>(1+C28)*(1+E28)*(1+G28)*(1+I28)*(1+K28)*(1+M28)-1</f>
        <v>0</v>
      </c>
    </row>
    <row r="29" spans="1:28" ht="14">
      <c r="A29" s="4"/>
      <c r="B29" s="4" t="s">
        <v>44</v>
      </c>
      <c r="C29" s="7">
        <v>6.0000000000000002E-06</v>
      </c>
      <c r="D29" s="7">
        <v>0.0065900000000000004</v>
      </c>
      <c r="E29" s="7">
        <v>-2.0999999999999999E-05</v>
      </c>
      <c r="F29" s="7">
        <v>0.0063709999999999999</v>
      </c>
      <c r="G29" s="7">
        <v>-0.00035399999999999999</v>
      </c>
      <c r="H29" s="7">
        <v>0.0061869999999999998</v>
      </c>
      <c r="I29" s="7">
        <v>0.000146</v>
      </c>
      <c r="J29" s="7">
        <v>0.0060920000000000002</v>
      </c>
      <c r="K29" s="7">
        <v>8.2999999999999998E-05</v>
      </c>
      <c r="L29" s="7">
        <v>0.0060879999999999997</v>
      </c>
      <c r="M29" s="7">
        <v>-0.000113</v>
      </c>
      <c r="N29" s="7">
        <v>0.0060889999999999998</v>
      </c>
      <c r="O29" s="7">
        <v>4.3000000000000002E-05</v>
      </c>
      <c r="P29" s="7">
        <v>0.0060730000000000003</v>
      </c>
      <c r="Q29" s="7">
        <v>5.1E-05</v>
      </c>
      <c r="R29" s="7">
        <v>0.0078220000000000008</v>
      </c>
      <c r="S29" s="7">
        <v>-7.3999999999999996E-05</v>
      </c>
      <c r="T29" s="7">
        <v>0.0078980000000000005</v>
      </c>
      <c r="U29" s="7">
        <v>-1.8E-05</v>
      </c>
      <c r="V29" s="7">
        <v>0.0062839999999999997</v>
      </c>
      <c r="W29" s="7">
        <v>8.0000000000000007E-05</v>
      </c>
      <c r="X29" s="7">
        <v>0.0051999999999999998</v>
      </c>
      <c r="Y29" s="7">
        <v>2.8E-05</v>
      </c>
      <c r="Z29" s="7">
        <v>0.0057409999999999996</v>
      </c>
      <c r="AB29" s="15">
        <f>(1+C29)*(1+E29)*(1+G29)*(1+I29)*(1+K29)*(1+M29)-1</f>
        <v>-0.00025305137464581851</v>
      </c>
    </row>
    <row r="30" spans="1:28" ht="14">
      <c r="A30" s="4"/>
      <c r="B30" s="4" t="s">
        <v>45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B30" s="15">
        <f>(1+C30)*(1+E30)*(1+G30)*(1+I30)*(1+K30)*(1+M30)-1</f>
        <v>0</v>
      </c>
    </row>
    <row r="31" spans="1:28" ht="14">
      <c r="A31" s="4"/>
      <c r="B31" s="4" t="s">
        <v>46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B31" s="15">
        <f>(1+C31)*(1+E31)*(1+G31)*(1+I31)*(1+K31)*(1+M31)-1</f>
        <v>0</v>
      </c>
    </row>
    <row r="32" spans="1:28" ht="14">
      <c r="A32" s="4"/>
      <c r="B32" s="4" t="s">
        <v>47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B32" s="15">
        <f>(1+C32)*(1+E32)*(1+G32)*(1+I32)*(1+K32)*(1+M32)-1</f>
        <v>0</v>
      </c>
    </row>
    <row r="33" spans="1:28" ht="14">
      <c r="A33" s="4"/>
      <c r="B33" s="4" t="s">
        <v>48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B33" s="15">
        <f>(1+C33)*(1+E33)*(1+G33)*(1+I33)*(1+K33)*(1+M33)-1</f>
        <v>0</v>
      </c>
    </row>
    <row r="34" spans="1:28" ht="14">
      <c r="A34" s="4"/>
      <c r="B34" s="4" t="s">
        <v>49</v>
      </c>
      <c r="C34" s="7">
        <v>-0.00029500000000000001</v>
      </c>
      <c r="D34" s="7">
        <v>0.0022550000000000001</v>
      </c>
      <c r="E34" s="7">
        <v>-0.00090499999999999999</v>
      </c>
      <c r="F34" s="7">
        <v>0.0017600000000000001</v>
      </c>
      <c r="G34" s="7">
        <v>0.0030590000000000001</v>
      </c>
      <c r="H34" s="7">
        <v>0.0010319999999999999</v>
      </c>
      <c r="I34" s="7">
        <v>8.1000000000000004E-05</v>
      </c>
      <c r="J34" s="7">
        <v>0.000377</v>
      </c>
      <c r="K34" s="7">
        <v>8.7000000000000001E-05</v>
      </c>
      <c r="L34" s="7">
        <v>0.0011440000000000001</v>
      </c>
      <c r="M34" s="7">
        <v>-5.0000000000000004E-06</v>
      </c>
      <c r="N34" s="7">
        <v>0.0040099999999999997</v>
      </c>
      <c r="O34" s="7">
        <v>8.7000000000000001E-05</v>
      </c>
      <c r="P34" s="7">
        <v>0.0024529999999999999</v>
      </c>
      <c r="Q34" s="7">
        <v>9.0000000000000006E-05</v>
      </c>
      <c r="R34" s="7">
        <v>0.001263</v>
      </c>
      <c r="S34" s="7">
        <v>5.0000000000000004E-06</v>
      </c>
      <c r="T34" s="7">
        <v>0.001186</v>
      </c>
      <c r="U34" s="7">
        <v>-6.9999999999999994E-05</v>
      </c>
      <c r="V34" s="7">
        <v>0.00077700000000000002</v>
      </c>
      <c r="W34" s="7">
        <v>4.6E-05</v>
      </c>
      <c r="X34" s="7">
        <v>0.0016609999999999999</v>
      </c>
      <c r="Y34" s="7">
        <v>0.00047699999999999999</v>
      </c>
      <c r="Z34" s="7">
        <v>0.00093599999999999998</v>
      </c>
      <c r="AB34" s="15">
        <f>(1+C34)*(1+E34)*(1+G34)*(1+I34)*(1+K34)*(1+M34)-1</f>
        <v>0.0020189056724682075</v>
      </c>
    </row>
    <row r="35" spans="1:28" ht="14">
      <c r="A35" s="6"/>
      <c r="B35" s="6" t="s">
        <v>50</v>
      </c>
      <c r="C35" s="8">
        <v>0.00053899999999999998</v>
      </c>
      <c r="D35" s="8">
        <v>1</v>
      </c>
      <c r="E35" s="8">
        <v>-0.018275</v>
      </c>
      <c r="F35" s="8">
        <v>1</v>
      </c>
      <c r="G35" s="8">
        <v>-0.071711999999999998</v>
      </c>
      <c r="H35" s="8">
        <v>1</v>
      </c>
      <c r="I35" s="8">
        <v>0.038747999999999998</v>
      </c>
      <c r="J35" s="8">
        <v>1</v>
      </c>
      <c r="K35" s="8">
        <f>0.9573%+0.0087%</f>
        <v>0.0096600000000000002</v>
      </c>
      <c r="L35" s="8">
        <v>1</v>
      </c>
      <c r="M35" s="8">
        <v>-0.0082459999999999999</v>
      </c>
      <c r="N35" s="8">
        <v>1</v>
      </c>
      <c r="O35" s="8">
        <v>0.017555999999999999</v>
      </c>
      <c r="P35" s="8">
        <v>1</v>
      </c>
      <c r="Q35" s="8">
        <v>0.018554999999999999</v>
      </c>
      <c r="R35" s="8">
        <v>1</v>
      </c>
      <c r="S35" s="8">
        <v>-0.011113</v>
      </c>
      <c r="T35" s="8">
        <v>1</v>
      </c>
      <c r="U35" s="8">
        <v>0.00058100000000000003</v>
      </c>
      <c r="V35" s="8">
        <v>1</v>
      </c>
      <c r="W35" s="8">
        <v>0.029776</v>
      </c>
      <c r="X35" s="8">
        <v>1</v>
      </c>
      <c r="Y35" s="8">
        <v>0.010470999999999999</v>
      </c>
      <c r="Z35" s="8">
        <v>1</v>
      </c>
      <c r="AB35" s="15">
        <f>(1+C35)*(1+E35)*(1+G35)*(1+I35)*(1+K35)*(1+M35)-1</f>
        <v>-0.051590444369619348</v>
      </c>
    </row>
    <row r="36" spans="1:28" ht="14">
      <c r="A36" s="6"/>
      <c r="B36" s="6" t="s">
        <v>51</v>
      </c>
      <c r="C36" s="9">
        <v>482.73200000000003</v>
      </c>
      <c r="D36" s="6"/>
      <c r="E36" s="9">
        <v>-8715.0036600000003</v>
      </c>
      <c r="F36" s="6"/>
      <c r="G36" s="9">
        <v>-33931.740559999998</v>
      </c>
      <c r="H36" s="6"/>
      <c r="I36" s="9">
        <v>14951.02572</v>
      </c>
      <c r="J36" s="6"/>
      <c r="K36" s="9">
        <v>3827.0482299999999</v>
      </c>
      <c r="L36" s="6"/>
      <c r="M36" s="9">
        <v>-3151.4555799999998</v>
      </c>
      <c r="N36" s="6"/>
      <c r="O36" s="9">
        <v>6598.6649799999996</v>
      </c>
      <c r="P36" s="6"/>
      <c r="Q36" s="9">
        <v>7031.5484699999997</v>
      </c>
      <c r="R36" s="6"/>
      <c r="S36" s="9">
        <v>-4277.4490599999999</v>
      </c>
      <c r="T36" s="6"/>
      <c r="U36" s="9">
        <v>244.85283000000001</v>
      </c>
      <c r="V36" s="6"/>
      <c r="W36" s="9">
        <v>11088.89769</v>
      </c>
      <c r="X36" s="6"/>
      <c r="Y36" s="9">
        <v>3757.07413</v>
      </c>
      <c r="Z36" s="6"/>
      <c r="AB36" s="15">
        <f>(1+C36)*(1+E36)*(1+G36)*(1+I36)*(1+K36)*(1+M36)-1</f>
        <v>-2.5790911510155606E+22</v>
      </c>
    </row>
    <row r="37" spans="1:28" ht="1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B37" s="15">
        <f>(1+C37)*(1+E37)*(1+G37)*(1+I37)*(1+K37)*(1+M37)-1</f>
        <v>0</v>
      </c>
    </row>
    <row r="38" spans="1:28" ht="14">
      <c r="A38" s="4"/>
      <c r="B38" s="4" t="s">
        <v>52</v>
      </c>
      <c r="C38" s="7">
        <v>0.000203</v>
      </c>
      <c r="D38" s="7">
        <v>0.834507</v>
      </c>
      <c r="E38" s="7">
        <v>-0.0095680000000000001</v>
      </c>
      <c r="F38" s="7">
        <v>0.82880799999999999</v>
      </c>
      <c r="G38" s="7">
        <v>-0.057926999999999999</v>
      </c>
      <c r="H38" s="7">
        <v>0.835225</v>
      </c>
      <c r="I38" s="7">
        <v>0.027418999999999999</v>
      </c>
      <c r="J38" s="7">
        <v>0.82432399999999995</v>
      </c>
      <c r="K38" s="7">
        <f>0.2196%+0.0087%</f>
        <v>0.0022829999999999999</v>
      </c>
      <c r="L38" s="7">
        <v>0.82852599999999998</v>
      </c>
      <c r="M38" s="7">
        <v>-0.011457999999999999</v>
      </c>
      <c r="N38" s="7">
        <v>0.81730700000000001</v>
      </c>
      <c r="O38" s="7">
        <v>0.01189</v>
      </c>
      <c r="P38" s="7">
        <v>0.82361099999999998</v>
      </c>
      <c r="Q38" s="7">
        <v>0.013617000000000001</v>
      </c>
      <c r="R38" s="7">
        <v>0.82400099999999998</v>
      </c>
      <c r="S38" s="7">
        <v>-0.011258000000000001</v>
      </c>
      <c r="T38" s="7">
        <v>0.81516599999999995</v>
      </c>
      <c r="U38" s="7">
        <v>0.0018519999999999999</v>
      </c>
      <c r="V38" s="7">
        <v>0.81282299999999996</v>
      </c>
      <c r="W38" s="7">
        <v>0.022631999999999999</v>
      </c>
      <c r="X38" s="7">
        <v>0.82877100000000004</v>
      </c>
      <c r="Y38" s="7">
        <v>0.0089409999999999993</v>
      </c>
      <c r="Z38" s="7">
        <v>0.81052500000000005</v>
      </c>
      <c r="AB38" s="15">
        <f>(1+C38)*(1+E38)*(1+G38)*(1+I38)*(1+K38)*(1+M38)-1</f>
        <v>-0.04998501353888618</v>
      </c>
    </row>
    <row r="39" spans="1:28" ht="14">
      <c r="A39" s="4"/>
      <c r="B39" s="4" t="s">
        <v>53</v>
      </c>
      <c r="C39" s="7">
        <v>0.00033599999999999998</v>
      </c>
      <c r="D39" s="7">
        <v>0.165493</v>
      </c>
      <c r="E39" s="7">
        <v>-0.0087060000000000002</v>
      </c>
      <c r="F39" s="7">
        <v>0.17119200000000001</v>
      </c>
      <c r="G39" s="7">
        <v>-0.013785</v>
      </c>
      <c r="H39" s="7">
        <v>0.16477500000000001</v>
      </c>
      <c r="I39" s="7">
        <v>0.01133</v>
      </c>
      <c r="J39" s="7">
        <v>0.175676</v>
      </c>
      <c r="K39" s="7">
        <v>0.0073769999999999999</v>
      </c>
      <c r="L39" s="7">
        <v>0.17147399999999999</v>
      </c>
      <c r="M39" s="7">
        <v>0.003212</v>
      </c>
      <c r="N39" s="7">
        <v>0.18269299999999999</v>
      </c>
      <c r="O39" s="7">
        <v>0.005666</v>
      </c>
      <c r="P39" s="7">
        <v>0.17638899999999999</v>
      </c>
      <c r="Q39" s="7">
        <v>0.0049379999999999997</v>
      </c>
      <c r="R39" s="7">
        <v>0.17599899999999999</v>
      </c>
      <c r="S39" s="7">
        <v>0.000145</v>
      </c>
      <c r="T39" s="7">
        <v>0.184834</v>
      </c>
      <c r="U39" s="7">
        <v>-0.001271</v>
      </c>
      <c r="V39" s="7">
        <v>0.18717700000000001</v>
      </c>
      <c r="W39" s="7">
        <v>0.0071440000000000002</v>
      </c>
      <c r="X39" s="7">
        <v>0.17122899999999999</v>
      </c>
      <c r="Y39" s="7">
        <v>0.0015299999999999999</v>
      </c>
      <c r="Z39" s="7">
        <v>0.18947500000000001</v>
      </c>
      <c r="AB39" s="15">
        <f>(1+C39)*(1+E39)*(1+G39)*(1+I39)*(1+K39)*(1+M39)-1</f>
        <v>-0.00046589006588693138</v>
      </c>
    </row>
    <row r="40" spans="1:28" ht="14">
      <c r="A40" s="6"/>
      <c r="B40" s="6" t="s">
        <v>50</v>
      </c>
      <c r="C40" s="8">
        <v>0.00053899999999999998</v>
      </c>
      <c r="D40" s="8">
        <v>1</v>
      </c>
      <c r="E40" s="8">
        <v>-0.018275</v>
      </c>
      <c r="F40" s="8">
        <v>1</v>
      </c>
      <c r="G40" s="8">
        <v>-0.071711999999999998</v>
      </c>
      <c r="H40" s="8">
        <v>1</v>
      </c>
      <c r="I40" s="8">
        <v>0.038747999999999998</v>
      </c>
      <c r="J40" s="8">
        <v>1</v>
      </c>
      <c r="K40" s="8">
        <f>0.9573%+0.0087%</f>
        <v>0.0096600000000000002</v>
      </c>
      <c r="L40" s="8">
        <v>1</v>
      </c>
      <c r="M40" s="8">
        <v>-0.0082459999999999999</v>
      </c>
      <c r="N40" s="8">
        <v>1</v>
      </c>
      <c r="O40" s="8">
        <v>0.017555999999999999</v>
      </c>
      <c r="P40" s="8">
        <v>1</v>
      </c>
      <c r="Q40" s="8">
        <v>0.018554999999999999</v>
      </c>
      <c r="R40" s="8">
        <v>1</v>
      </c>
      <c r="S40" s="8">
        <v>-0.011113</v>
      </c>
      <c r="T40" s="8">
        <v>1</v>
      </c>
      <c r="U40" s="8">
        <v>0.00058100000000000003</v>
      </c>
      <c r="V40" s="8">
        <v>1</v>
      </c>
      <c r="W40" s="8">
        <v>0.029776</v>
      </c>
      <c r="X40" s="8">
        <v>1</v>
      </c>
      <c r="Y40" s="8">
        <v>0.010470999999999999</v>
      </c>
      <c r="Z40" s="8">
        <v>1</v>
      </c>
      <c r="AB40" s="15">
        <f>(1+C40)*(1+E40)*(1+G40)*(1+I40)*(1+K40)*(1+M40)-1</f>
        <v>-0.051590444369619348</v>
      </c>
    </row>
    <row r="41" spans="1:28" ht="1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B41" s="15">
        <f>(1+C41)*(1+E41)*(1+G41)*(1+I41)*(1+K41)*(1+M41)-1</f>
        <v>0</v>
      </c>
    </row>
    <row r="42" spans="1:28" ht="14">
      <c r="A42" s="4"/>
      <c r="B42" s="4" t="s">
        <v>54</v>
      </c>
      <c r="C42" s="7">
        <v>0.00074700000000000005</v>
      </c>
      <c r="D42" s="7">
        <v>0.97875299999999998</v>
      </c>
      <c r="E42" s="7">
        <v>-0.017388000000000001</v>
      </c>
      <c r="F42" s="7">
        <v>0.97717699999999996</v>
      </c>
      <c r="G42" s="7">
        <v>-0.071354000000000001</v>
      </c>
      <c r="H42" s="7">
        <v>0.97784599999999999</v>
      </c>
      <c r="I42" s="7">
        <v>0.040640000000000003</v>
      </c>
      <c r="J42" s="7">
        <v>0.98076099999999999</v>
      </c>
      <c r="K42" s="7">
        <v>0.0092110000000000004</v>
      </c>
      <c r="L42" s="7">
        <v>0.980047</v>
      </c>
      <c r="M42" s="7">
        <v>-0.0085620000000000002</v>
      </c>
      <c r="N42" s="7">
        <v>0.97940300000000002</v>
      </c>
      <c r="O42" s="7">
        <v>0.017403999999999999</v>
      </c>
      <c r="P42" s="7">
        <v>0.97974000000000006</v>
      </c>
      <c r="Q42" s="7">
        <v>0.018371999999999999</v>
      </c>
      <c r="R42" s="7">
        <v>0.98242499999999999</v>
      </c>
      <c r="S42" s="7">
        <v>-0.011279000000000001</v>
      </c>
      <c r="T42" s="7">
        <v>0.98238599999999998</v>
      </c>
      <c r="U42" s="7">
        <v>0.00051500000000000005</v>
      </c>
      <c r="V42" s="7">
        <v>0.98264700000000005</v>
      </c>
      <c r="W42" s="7">
        <v>0.029617999999999998</v>
      </c>
      <c r="X42" s="7">
        <v>0.983456</v>
      </c>
      <c r="Y42" s="7">
        <v>0.0097540000000000005</v>
      </c>
      <c r="Z42" s="7">
        <v>0.98297900000000005</v>
      </c>
      <c r="AB42" s="15">
        <f>(1+C42)*(1+E42)*(1+G42)*(1+I42)*(1+K42)*(1+M42)-1</f>
        <v>-0.049166215983422967</v>
      </c>
    </row>
    <row r="43" spans="1:28" ht="14">
      <c r="A43" s="4"/>
      <c r="B43" s="4" t="s">
        <v>55</v>
      </c>
      <c r="C43" s="7">
        <v>-0.00020799999999999999</v>
      </c>
      <c r="D43" s="7">
        <v>0.021246999999999999</v>
      </c>
      <c r="E43" s="7">
        <v>-0.00088599999999999996</v>
      </c>
      <c r="F43" s="7">
        <v>0.022823</v>
      </c>
      <c r="G43" s="7">
        <v>-0.000357</v>
      </c>
      <c r="H43" s="7">
        <v>0.022154</v>
      </c>
      <c r="I43" s="7">
        <v>-0.001892</v>
      </c>
      <c r="J43" s="7">
        <v>0.019238999999999999</v>
      </c>
      <c r="K43" s="7">
        <f>0.0362%+0.0087%</f>
        <v>0.00044900000000000002</v>
      </c>
      <c r="L43" s="7">
        <v>0.019952999999999999</v>
      </c>
      <c r="M43" s="7">
        <v>0.00031700000000000001</v>
      </c>
      <c r="N43" s="7">
        <v>0.020597000000000001</v>
      </c>
      <c r="O43" s="7">
        <v>0.00015200000000000001</v>
      </c>
      <c r="P43" s="7">
        <v>0.02026</v>
      </c>
      <c r="Q43" s="7">
        <v>0.000183</v>
      </c>
      <c r="R43" s="7">
        <v>0.017575</v>
      </c>
      <c r="S43" s="7">
        <v>0.000166</v>
      </c>
      <c r="T43" s="7">
        <v>0.017614000000000001</v>
      </c>
      <c r="U43" s="7">
        <v>6.7000000000000002E-05</v>
      </c>
      <c r="V43" s="7">
        <v>0.017353</v>
      </c>
      <c r="W43" s="7">
        <v>0.00015799999999999999</v>
      </c>
      <c r="X43" s="7">
        <v>0.016544</v>
      </c>
      <c r="Y43" s="7">
        <v>0.00071699999999999997</v>
      </c>
      <c r="Z43" s="7">
        <v>0.017021000000000001</v>
      </c>
      <c r="AB43" s="15">
        <f>(1+C43)*(1+E43)*(1+G43)*(1+I43)*(1+K43)*(1+M43)-1</f>
        <v>-0.0025760973532797937</v>
      </c>
    </row>
    <row r="44" spans="1:28" ht="14">
      <c r="A44" s="6"/>
      <c r="B44" s="6" t="s">
        <v>50</v>
      </c>
      <c r="C44" s="8">
        <v>0.00053899999999999998</v>
      </c>
      <c r="D44" s="8">
        <v>1</v>
      </c>
      <c r="E44" s="8">
        <v>-0.018275</v>
      </c>
      <c r="F44" s="8">
        <v>1</v>
      </c>
      <c r="G44" s="8">
        <v>-0.071711999999999998</v>
      </c>
      <c r="H44" s="8">
        <v>1</v>
      </c>
      <c r="I44" s="8">
        <v>0.038747999999999998</v>
      </c>
      <c r="J44" s="8">
        <v>1</v>
      </c>
      <c r="K44" s="8">
        <f>0.9573%+0.0087%</f>
        <v>0.0096600000000000002</v>
      </c>
      <c r="L44" s="8">
        <v>1</v>
      </c>
      <c r="M44" s="8">
        <v>-0.0082459999999999999</v>
      </c>
      <c r="N44" s="8">
        <v>1</v>
      </c>
      <c r="O44" s="8">
        <v>0.017555999999999999</v>
      </c>
      <c r="P44" s="8">
        <v>1</v>
      </c>
      <c r="Q44" s="8">
        <v>0.018554999999999999</v>
      </c>
      <c r="R44" s="8">
        <v>1</v>
      </c>
      <c r="S44" s="8">
        <v>-0.011113</v>
      </c>
      <c r="T44" s="8">
        <v>1</v>
      </c>
      <c r="U44" s="8">
        <v>0.00058100000000000003</v>
      </c>
      <c r="V44" s="8">
        <v>1</v>
      </c>
      <c r="W44" s="8">
        <v>0.029776</v>
      </c>
      <c r="X44" s="8">
        <v>1</v>
      </c>
      <c r="Y44" s="8">
        <v>0.010470999999999999</v>
      </c>
      <c r="Z44" s="8">
        <v>1</v>
      </c>
      <c r="AB44" s="15">
        <f>(1+C44)*(1+E44)*(1+G44)*(1+I44)*(1+K44)*(1+M44)-1</f>
        <v>-0.051590444369619348</v>
      </c>
    </row>
    <row r="45" spans="1:26" ht="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10" ht="13">
      <c r="A46" s="6"/>
      <c r="B46" s="6" t="s">
        <v>56</v>
      </c>
      <c r="C46" s="6" t="s">
        <v>57</v>
      </c>
      <c r="D46" s="6" t="s">
        <v>58</v>
      </c>
      <c r="E46" s="6" t="s">
        <v>59</v>
      </c>
      <c r="F46" s="6" t="s">
        <v>60</v>
      </c>
      <c r="G46" s="6" t="s">
        <v>61</v>
      </c>
      <c r="H46" s="6" t="s">
        <v>62</v>
      </c>
      <c r="I46" s="6" t="s">
        <v>63</v>
      </c>
      <c r="J46" s="6" t="s">
        <v>64</v>
      </c>
    </row>
    <row r="47" spans="1:10" ht="13">
      <c r="A47" s="4"/>
      <c r="B47" s="4" t="s">
        <v>31</v>
      </c>
      <c r="C47" s="7">
        <v>-0.00056497411830847</v>
      </c>
      <c r="D47" s="7">
        <v>0.075158000000000003</v>
      </c>
      <c r="E47" s="7">
        <v>-0.00064992959321907905</v>
      </c>
      <c r="F47" s="7">
        <v>0.073084999999999997</v>
      </c>
      <c r="G47" s="7">
        <v>-0.00091875079668413096</v>
      </c>
      <c r="H47" s="7">
        <v>0.071798000000000001</v>
      </c>
      <c r="I47" s="7">
        <v>-0.00143419783793719</v>
      </c>
      <c r="J47" s="7">
        <v>0.097719</v>
      </c>
    </row>
    <row r="48" spans="1:10" ht="13">
      <c r="A48" s="4"/>
      <c r="B48" s="4" t="s">
        <v>32</v>
      </c>
      <c r="C48" s="7">
        <v>-0.0074685581857212302</v>
      </c>
      <c r="D48" s="7">
        <v>0.30782599999999999</v>
      </c>
      <c r="E48" s="7">
        <v>-0.0011582235243978701</v>
      </c>
      <c r="F48" s="7">
        <v>0.28852899999999998</v>
      </c>
      <c r="G48" s="7">
        <v>-0.0024569792992089599</v>
      </c>
      <c r="H48" s="7">
        <v>0.28253200000000001</v>
      </c>
      <c r="I48" s="7">
        <v>-0.00064343677617262297</v>
      </c>
      <c r="J48" s="7">
        <v>0.29535699999999998</v>
      </c>
    </row>
    <row r="49" spans="1:10" ht="13">
      <c r="A49" s="4"/>
      <c r="B49" s="4" t="s">
        <v>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</row>
    <row r="50" spans="1:10" ht="13">
      <c r="A50" s="4"/>
      <c r="B50" s="4" t="s">
        <v>34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</row>
    <row r="51" spans="1:10" ht="13">
      <c r="A51" s="4"/>
      <c r="B51" s="4" t="s">
        <v>35</v>
      </c>
      <c r="C51" s="7">
        <v>-0.018827105370903201</v>
      </c>
      <c r="D51" s="7">
        <v>0.27943800000000002</v>
      </c>
      <c r="E51" s="7">
        <v>-0.0101467916317022</v>
      </c>
      <c r="F51" s="7">
        <v>0.27548499999999998</v>
      </c>
      <c r="G51" s="7">
        <v>-0.0016972822056887701</v>
      </c>
      <c r="H51" s="7">
        <v>0.26502399999999998</v>
      </c>
      <c r="I51" s="7">
        <v>0.0022472276567710998</v>
      </c>
      <c r="J51" s="7">
        <v>0.21645</v>
      </c>
    </row>
    <row r="52" spans="1:10" ht="13">
      <c r="A52" s="4"/>
      <c r="B52" s="4" t="s">
        <v>36</v>
      </c>
      <c r="C52" s="7">
        <v>-0.00047602060102036598</v>
      </c>
      <c r="D52" s="7">
        <v>0.007979</v>
      </c>
      <c r="E52" s="7">
        <v>-0.0023891674099083501</v>
      </c>
      <c r="F52" s="7">
        <v>0.0055040000000000002</v>
      </c>
      <c r="G52" s="7">
        <v>-0.0023652246910672598</v>
      </c>
      <c r="H52" s="7">
        <v>0.0049810000000000002</v>
      </c>
      <c r="I52" s="7">
        <v>-0.00235824124863782</v>
      </c>
      <c r="J52" s="7">
        <v>0.003307</v>
      </c>
    </row>
    <row r="53" spans="1:10" ht="13">
      <c r="A53" s="4"/>
      <c r="B53" s="4" t="s">
        <v>37</v>
      </c>
      <c r="C53" s="7">
        <v>-0.024158512764607801</v>
      </c>
      <c r="D53" s="7">
        <v>0.087559999999999999</v>
      </c>
      <c r="E53" s="7">
        <v>-0.0189842601932824</v>
      </c>
      <c r="F53" s="7">
        <v>0.090068999999999996</v>
      </c>
      <c r="G53" s="7">
        <v>-0.0139026594898753</v>
      </c>
      <c r="H53" s="7">
        <v>0.103022</v>
      </c>
      <c r="I53" s="7">
        <v>0.0045703978857887196</v>
      </c>
      <c r="J53" s="7">
        <v>0.12606899999999999</v>
      </c>
    </row>
    <row r="54" spans="1:10" ht="13">
      <c r="A54" s="4"/>
      <c r="B54" s="4" t="s">
        <v>38</v>
      </c>
      <c r="C54" s="7">
        <v>-0.037154285608608201</v>
      </c>
      <c r="D54" s="7">
        <v>0.20938899999999999</v>
      </c>
      <c r="E54" s="7">
        <v>-0.0183778399202701</v>
      </c>
      <c r="F54" s="7">
        <v>0.22398399999999999</v>
      </c>
      <c r="G54" s="7">
        <v>-0.00753075438081086</v>
      </c>
      <c r="H54" s="7">
        <v>0.22938400000000001</v>
      </c>
      <c r="I54" s="7">
        <v>0.0070104580683814097</v>
      </c>
      <c r="J54" s="7">
        <v>0.21301300000000001</v>
      </c>
    </row>
    <row r="55" spans="1:10" ht="13">
      <c r="A55" s="4"/>
      <c r="B55" s="4" t="s">
        <v>39</v>
      </c>
      <c r="C55" s="7">
        <v>-0.00184421351194286</v>
      </c>
      <c r="D55" s="7">
        <v>0.011244000000000001</v>
      </c>
      <c r="E55" s="7">
        <v>-0.00027833346890737698</v>
      </c>
      <c r="F55" s="7">
        <v>0.018157</v>
      </c>
      <c r="G55" s="7">
        <v>0.00090274941934898002</v>
      </c>
      <c r="H55" s="7">
        <v>0.021554</v>
      </c>
      <c r="I55" s="7">
        <v>0.00211597833466581</v>
      </c>
      <c r="J55" s="7">
        <v>0.027696999999999999</v>
      </c>
    </row>
    <row r="56" spans="1:10" ht="13">
      <c r="A56" s="4"/>
      <c r="B56" s="4" t="s">
        <v>40</v>
      </c>
      <c r="C56" s="7">
        <v>-8.6999793983411094E-05</v>
      </c>
      <c r="D56" s="7">
        <v>0.014128</v>
      </c>
      <c r="E56" s="7">
        <v>-7.6006106463632998E-05</v>
      </c>
      <c r="F56" s="7">
        <v>0.014718999999999999</v>
      </c>
      <c r="G56" s="7">
        <v>2.3962636564789401E-05</v>
      </c>
      <c r="H56" s="7">
        <v>0.012344000000000001</v>
      </c>
      <c r="I56" s="7">
        <v>6.8960498833092702E-05</v>
      </c>
      <c r="J56" s="7">
        <v>0.012973999999999999</v>
      </c>
    </row>
    <row r="57" spans="1:10" ht="13">
      <c r="A57" s="4"/>
      <c r="B57" s="4" t="s">
        <v>41</v>
      </c>
      <c r="C57" s="7">
        <v>-6.0001570005852003E-06</v>
      </c>
      <c r="D57" s="7">
        <v>4.0000000000000003E-05</v>
      </c>
      <c r="E57" s="7">
        <v>-2.1999979998632599E-05</v>
      </c>
      <c r="F57" s="7">
        <v>2.1999999999999999E-05</v>
      </c>
      <c r="G57" s="7">
        <v>-2.9999846997697001E-05</v>
      </c>
      <c r="H57" s="7">
        <v>1.5E-05</v>
      </c>
      <c r="I57" s="7">
        <v>-1.20003579957562E-05</v>
      </c>
      <c r="J57" s="7">
        <v>3.6000000000000001E-05</v>
      </c>
    </row>
    <row r="58" spans="1:10" ht="13">
      <c r="A58" s="4"/>
      <c r="B58" s="4" t="s">
        <v>42</v>
      </c>
      <c r="C58" s="7">
        <v>4.8999019967244102E-05</v>
      </c>
      <c r="D58" s="7">
        <v>2.0999999999999999E-05</v>
      </c>
      <c r="E58" s="7">
        <v>0.00036004106849252298</v>
      </c>
      <c r="F58" s="7">
        <v>0.00034699999999999998</v>
      </c>
      <c r="G58" s="7">
        <v>0.00064814877029051299</v>
      </c>
      <c r="H58" s="7">
        <v>0.000263</v>
      </c>
      <c r="I58" s="7">
        <v>0.00112853457083073</v>
      </c>
      <c r="J58" s="7">
        <v>0.00070100000000000002</v>
      </c>
    </row>
    <row r="59" spans="1:10" ht="13">
      <c r="A59" s="4"/>
      <c r="B59" s="4" t="s">
        <v>43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</row>
    <row r="60" spans="1:10" ht="13">
      <c r="A60" s="4"/>
      <c r="B60" s="4" t="s">
        <v>44</v>
      </c>
      <c r="C60" s="7">
        <v>-0.00036899481595542599</v>
      </c>
      <c r="D60" s="7">
        <v>0.0061869999999999998</v>
      </c>
      <c r="E60" s="7">
        <v>-0.00025305137464581802</v>
      </c>
      <c r="F60" s="7">
        <v>0.0060889999999999998</v>
      </c>
      <c r="G60" s="7">
        <v>-0.00023306119763022399</v>
      </c>
      <c r="H60" s="7">
        <v>0.0078980000000000005</v>
      </c>
      <c r="I60" s="7">
        <v>-0.00014308187724731999</v>
      </c>
      <c r="J60" s="7">
        <v>0.0057409999999999996</v>
      </c>
    </row>
    <row r="61" spans="1:10" ht="13">
      <c r="A61" s="4"/>
      <c r="B61" s="4" t="s">
        <v>45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</row>
    <row r="62" spans="1:10" ht="13">
      <c r="A62" s="4"/>
      <c r="B62" s="4" t="s">
        <v>46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</row>
    <row r="63" spans="1:10" ht="13">
      <c r="A63" s="4"/>
      <c r="B63" s="4" t="s">
        <v>47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</row>
    <row r="64" spans="1:10" ht="13">
      <c r="A64" s="4"/>
      <c r="B64" s="4" t="s">
        <v>48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</row>
    <row r="65" spans="1:10" ht="13">
      <c r="A65" s="4"/>
      <c r="B65" s="4" t="s">
        <v>49</v>
      </c>
      <c r="C65" s="7">
        <v>0.0018555969916762599</v>
      </c>
      <c r="D65" s="7">
        <v>0.0010319999999999999</v>
      </c>
      <c r="E65" s="7">
        <v>0.0020189056724682075</v>
      </c>
      <c r="F65" s="7">
        <v>0.0040099999999999997</v>
      </c>
      <c r="G65" s="7">
        <v>0.0022012818459344885</v>
      </c>
      <c r="H65" s="7">
        <v>0.001186</v>
      </c>
      <c r="I65" s="7">
        <v>0.0026552643247830243</v>
      </c>
      <c r="J65" s="7">
        <v>0.00093599999999999998</v>
      </c>
    </row>
    <row r="66" spans="1:10" ht="13">
      <c r="A66" s="6"/>
      <c r="B66" s="6" t="s">
        <v>65</v>
      </c>
      <c r="C66" s="8">
        <v>-0.088185259813664804</v>
      </c>
      <c r="D66" s="8">
        <v>1</v>
      </c>
      <c r="E66" s="8">
        <v>-0.051590444369619348</v>
      </c>
      <c r="F66" s="8">
        <v>1</v>
      </c>
      <c r="G66" s="8">
        <v>-0.02795718792071944</v>
      </c>
      <c r="H66" s="8">
        <v>1</v>
      </c>
      <c r="I66" s="8">
        <v>0.012055349741445731</v>
      </c>
      <c r="J66" s="8">
        <v>1</v>
      </c>
    </row>
    <row r="67" spans="1:10" ht="13">
      <c r="A67" s="6"/>
      <c r="B67" s="6" t="s">
        <v>51</v>
      </c>
      <c r="C67" s="9">
        <v>-42164.012219999997</v>
      </c>
      <c r="D67" s="6"/>
      <c r="E67" s="9">
        <v>-26537.39385</v>
      </c>
      <c r="F67" s="6"/>
      <c r="G67" s="9">
        <v>-17184.62946</v>
      </c>
      <c r="H67" s="6"/>
      <c r="I67" s="9">
        <v>-2093.8048100000001</v>
      </c>
      <c r="J67" s="6"/>
    </row>
    <row r="68" spans="1:15" ht="13">
      <c r="A68" s="4"/>
      <c r="B68" s="4"/>
      <c r="C68" s="4"/>
      <c r="D68" s="4"/>
      <c r="E68" s="4"/>
      <c r="F68" s="4"/>
      <c r="G68" s="4"/>
      <c r="H68" s="4"/>
      <c r="I68" s="4"/>
      <c r="J68" s="4"/>
      <c r="O68" s="13"/>
    </row>
    <row r="69" spans="1:10" ht="13">
      <c r="A69" s="4"/>
      <c r="B69" s="4" t="s">
        <v>52</v>
      </c>
      <c r="C69" s="7">
        <v>-0.066751343437156205</v>
      </c>
      <c r="D69" s="7">
        <v>0.835225</v>
      </c>
      <c r="E69" s="7">
        <v>-0.04998501353888618</v>
      </c>
      <c r="F69" s="7">
        <v>0.81730700000000001</v>
      </c>
      <c r="G69" s="7">
        <v>-0.036568972595648619</v>
      </c>
      <c r="H69" s="7">
        <v>0.81516599999999995</v>
      </c>
      <c r="I69" s="7">
        <v>-0.0057314560000000002</v>
      </c>
      <c r="J69" s="7">
        <v>0.81052500000000005</v>
      </c>
    </row>
    <row r="70" spans="1:10" ht="13">
      <c r="A70" s="4"/>
      <c r="B70" s="4" t="s">
        <v>53</v>
      </c>
      <c r="C70" s="7">
        <v>-0.022042504441897599</v>
      </c>
      <c r="D70" s="7">
        <v>0.16477500000000001</v>
      </c>
      <c r="E70" s="7">
        <v>-0.000465890065886931</v>
      </c>
      <c r="F70" s="7">
        <v>0.18269299999999999</v>
      </c>
      <c r="G70" s="7">
        <v>0.010307608673472401</v>
      </c>
      <c r="H70" s="7">
        <v>0.184834</v>
      </c>
      <c r="I70" s="7">
        <v>0.017786806558489899</v>
      </c>
      <c r="J70" s="7">
        <v>0.18947500000000001</v>
      </c>
    </row>
    <row r="71" spans="1:10" ht="13">
      <c r="A71" s="6"/>
      <c r="B71" s="6" t="s">
        <v>65</v>
      </c>
      <c r="C71" s="8">
        <v>-0.088185259813664804</v>
      </c>
      <c r="D71" s="8">
        <v>1</v>
      </c>
      <c r="E71" s="8">
        <v>-0.051590444369619348</v>
      </c>
      <c r="F71" s="8">
        <v>1</v>
      </c>
      <c r="G71" s="8">
        <v>-0.02795718792071944</v>
      </c>
      <c r="H71" s="8">
        <v>1</v>
      </c>
      <c r="I71" s="8">
        <v>0.012055349741445731</v>
      </c>
      <c r="J71" s="8">
        <v>1</v>
      </c>
    </row>
    <row r="72" spans="1:10" ht="1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13">
      <c r="A73" s="4"/>
      <c r="B73" s="4" t="s">
        <v>54</v>
      </c>
      <c r="C73" s="7">
        <v>-0.086819660116596004</v>
      </c>
      <c r="D73" s="7">
        <v>0.97784599999999999</v>
      </c>
      <c r="E73" s="7">
        <v>-0.049166215983423002</v>
      </c>
      <c r="F73" s="7">
        <v>0.97940300000000002</v>
      </c>
      <c r="G73" s="7">
        <v>-0.025956722383106999</v>
      </c>
      <c r="H73" s="7">
        <v>0.98238599999999998</v>
      </c>
      <c r="I73" s="7">
        <v>0.013196232247555</v>
      </c>
      <c r="J73" s="7">
        <v>0.98297900000000005</v>
      </c>
    </row>
    <row r="74" spans="1:10" ht="13">
      <c r="A74" s="4"/>
      <c r="B74" s="4" t="s">
        <v>55</v>
      </c>
      <c r="C74" s="7">
        <v>-0.0014504252197908899</v>
      </c>
      <c r="D74" s="7">
        <v>0.022154</v>
      </c>
      <c r="E74" s="7">
        <v>-0.0025760973532797937</v>
      </c>
      <c r="F74" s="7">
        <v>0.020597000000000001</v>
      </c>
      <c r="G74" s="7">
        <v>-0.002076304762361536</v>
      </c>
      <c r="H74" s="7">
        <v>0.017614000000000001</v>
      </c>
      <c r="I74" s="7">
        <v>-0.0011360890798126633</v>
      </c>
      <c r="J74" s="7">
        <v>0.017021000000000001</v>
      </c>
    </row>
    <row r="75" spans="1:10" ht="13">
      <c r="A75" s="6"/>
      <c r="B75" s="6" t="s">
        <v>65</v>
      </c>
      <c r="C75" s="8">
        <v>-0.088185259813664804</v>
      </c>
      <c r="D75" s="8">
        <v>1</v>
      </c>
      <c r="E75" s="8">
        <v>-0.051590444369619348</v>
      </c>
      <c r="F75" s="8">
        <v>1</v>
      </c>
      <c r="G75" s="8">
        <v>-0.02795718792071944</v>
      </c>
      <c r="H75" s="8">
        <v>1</v>
      </c>
      <c r="I75" s="8">
        <v>0.012055349741445731</v>
      </c>
      <c r="J75" s="8">
        <v>1</v>
      </c>
    </row>
    <row r="76" spans="1:10" ht="13">
      <c r="A76" s="4"/>
      <c r="B76" s="4"/>
      <c r="C76" s="4"/>
      <c r="D76" s="4"/>
      <c r="E76" s="4"/>
      <c r="F76" s="4"/>
      <c r="G76" s="4"/>
      <c r="H76" s="4"/>
      <c r="I76" s="4"/>
      <c r="J76" s="4"/>
    </row>
    <row r="79" spans="1:1" ht="13">
      <c r="A79" s="2" t="s">
        <v>66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2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A58BC25F-E525-4842-927E-9BEED5CF536D}"/>
</file>

<file path=customXml/itemProps2.xml><?xml version="1.0" encoding="utf-8"?>
<ds:datastoreItem xmlns:ds="http://schemas.openxmlformats.org/officeDocument/2006/customXml" ds:itemID="{4E74476E-9085-430E-B61A-E04A55E07352}"/>
</file>

<file path=customXml/itemProps3.xml><?xml version="1.0" encoding="utf-8"?>
<ds:datastoreItem xmlns:ds="http://schemas.openxmlformats.org/officeDocument/2006/customXml" ds:itemID="{EB310992-460D-4C81-9959-8716681CB646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תשואה לאפיקים 2020 רבעון 4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