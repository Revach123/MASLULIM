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8_{F0190D99-6236-4F97-B27B-70AC13812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352" i="1" l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V349" i="1" s="1"/>
  <c r="V351" i="1" s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H349" i="1" l="1"/>
  <c r="H355" i="1" s="1"/>
  <c r="H351" i="1"/>
  <c r="H356" i="1"/>
  <c r="AR349" i="1"/>
  <c r="AR357" i="1" s="1"/>
  <c r="AC349" i="1"/>
  <c r="AC351" i="1" s="1"/>
  <c r="U349" i="1"/>
  <c r="U351" i="1" s="1"/>
  <c r="AV349" i="1"/>
  <c r="AV351" i="1" s="1"/>
  <c r="E349" i="1"/>
  <c r="E357" i="1" s="1"/>
  <c r="L349" i="1"/>
  <c r="L351" i="1" s="1"/>
  <c r="Y349" i="1"/>
  <c r="Y354" i="1" s="1"/>
  <c r="F349" i="1"/>
  <c r="F358" i="1" s="1"/>
  <c r="H353" i="1"/>
  <c r="AO356" i="1"/>
  <c r="V357" i="1"/>
  <c r="Y351" i="1"/>
  <c r="Y358" i="1"/>
  <c r="AS358" i="1"/>
  <c r="E351" i="1"/>
  <c r="E354" i="1"/>
  <c r="E355" i="1"/>
  <c r="E358" i="1"/>
  <c r="F355" i="1"/>
  <c r="F351" i="1"/>
  <c r="F354" i="1"/>
  <c r="F356" i="1"/>
  <c r="V355" i="1"/>
  <c r="X353" i="1"/>
  <c r="V354" i="1"/>
  <c r="V356" i="1"/>
  <c r="AR351" i="1"/>
  <c r="AR353" i="1"/>
  <c r="AR358" i="1"/>
  <c r="BC354" i="1"/>
  <c r="O356" i="1"/>
  <c r="H358" i="1"/>
  <c r="H354" i="1"/>
  <c r="X355" i="1"/>
  <c r="AR356" i="1"/>
  <c r="H357" i="1"/>
  <c r="V358" i="1"/>
  <c r="E353" i="1"/>
  <c r="BC356" i="1"/>
  <c r="AH358" i="1"/>
  <c r="AU349" i="1"/>
  <c r="AU351" i="1" s="1"/>
  <c r="AB353" i="1"/>
  <c r="AB355" i="1"/>
  <c r="AB357" i="1"/>
  <c r="AV357" i="1"/>
  <c r="AS349" i="1"/>
  <c r="AS354" i="1" s="1"/>
  <c r="E356" i="1"/>
  <c r="W349" i="1"/>
  <c r="W351" i="1" s="1"/>
  <c r="Y355" i="1"/>
  <c r="AA349" i="1"/>
  <c r="AA354" i="1" s="1"/>
  <c r="AA355" i="1"/>
  <c r="AC355" i="1"/>
  <c r="AC356" i="1"/>
  <c r="AC358" i="1"/>
  <c r="X349" i="1"/>
  <c r="AQ349" i="1"/>
  <c r="AQ351" i="1" s="1"/>
  <c r="AT349" i="1"/>
  <c r="AT356" i="1" s="1"/>
  <c r="AD353" i="1"/>
  <c r="AO349" i="1"/>
  <c r="AO358" i="1" s="1"/>
  <c r="G349" i="1"/>
  <c r="G351" i="1" s="1"/>
  <c r="AD354" i="1"/>
  <c r="AP349" i="1"/>
  <c r="AP358" i="1" s="1"/>
  <c r="O353" i="1"/>
  <c r="AI355" i="1"/>
  <c r="BC357" i="1"/>
  <c r="V353" i="1"/>
  <c r="Z349" i="1"/>
  <c r="Z353" i="1" s="1"/>
  <c r="AY358" i="1"/>
  <c r="AY356" i="1"/>
  <c r="AY357" i="1"/>
  <c r="AZ353" i="1"/>
  <c r="L354" i="1"/>
  <c r="L355" i="1"/>
  <c r="L356" i="1"/>
  <c r="L357" i="1"/>
  <c r="L358" i="1"/>
  <c r="BF353" i="1"/>
  <c r="BF354" i="1"/>
  <c r="BF355" i="1"/>
  <c r="BG355" i="1"/>
  <c r="S356" i="1"/>
  <c r="T354" i="1"/>
  <c r="T358" i="1"/>
  <c r="AN358" i="1"/>
  <c r="BH358" i="1"/>
  <c r="L353" i="1"/>
  <c r="M349" i="1"/>
  <c r="M351" i="1" s="1"/>
  <c r="AG349" i="1"/>
  <c r="AG351" i="1" s="1"/>
  <c r="BA349" i="1"/>
  <c r="BA351" i="1" s="1"/>
  <c r="K349" i="1"/>
  <c r="K351" i="1" s="1"/>
  <c r="N349" i="1"/>
  <c r="N351" i="1" s="1"/>
  <c r="AH349" i="1"/>
  <c r="AH351" i="1" s="1"/>
  <c r="BB349" i="1"/>
  <c r="BB351" i="1" s="1"/>
  <c r="AB349" i="1"/>
  <c r="AB351" i="1" s="1"/>
  <c r="AY349" i="1"/>
  <c r="AY351" i="1" s="1"/>
  <c r="O349" i="1"/>
  <c r="O351" i="1" s="1"/>
  <c r="AI349" i="1"/>
  <c r="AI351" i="1" s="1"/>
  <c r="BC349" i="1"/>
  <c r="BC351" i="1" s="1"/>
  <c r="I349" i="1"/>
  <c r="I351" i="1" s="1"/>
  <c r="P349" i="1"/>
  <c r="P351" i="1" s="1"/>
  <c r="AJ349" i="1"/>
  <c r="AJ351" i="1" s="1"/>
  <c r="BD349" i="1"/>
  <c r="BD351" i="1" s="1"/>
  <c r="AF349" i="1"/>
  <c r="AF351" i="1" s="1"/>
  <c r="Q349" i="1"/>
  <c r="Q351" i="1" s="1"/>
  <c r="AK349" i="1"/>
  <c r="AK351" i="1" s="1"/>
  <c r="BE349" i="1"/>
  <c r="BE351" i="1" s="1"/>
  <c r="AC353" i="1"/>
  <c r="AE349" i="1"/>
  <c r="AE351" i="1" s="1"/>
  <c r="R349" i="1"/>
  <c r="R351" i="1" s="1"/>
  <c r="AL349" i="1"/>
  <c r="AL351" i="1" s="1"/>
  <c r="BF349" i="1"/>
  <c r="BF351" i="1" s="1"/>
  <c r="S349" i="1"/>
  <c r="S351" i="1" s="1"/>
  <c r="AM349" i="1"/>
  <c r="AM351" i="1" s="1"/>
  <c r="BG349" i="1"/>
  <c r="BG351" i="1" s="1"/>
  <c r="AW349" i="1"/>
  <c r="AW351" i="1" s="1"/>
  <c r="J349" i="1"/>
  <c r="J351" i="1" s="1"/>
  <c r="AD349" i="1"/>
  <c r="AD351" i="1" s="1"/>
  <c r="AX349" i="1"/>
  <c r="AX351" i="1" s="1"/>
  <c r="AZ349" i="1"/>
  <c r="AZ351" i="1" s="1"/>
  <c r="T349" i="1"/>
  <c r="T351" i="1" s="1"/>
  <c r="AN349" i="1"/>
  <c r="AN351" i="1" s="1"/>
  <c r="BH349" i="1"/>
  <c r="BH351" i="1" s="1"/>
  <c r="J355" i="1" l="1"/>
  <c r="J354" i="1"/>
  <c r="BB355" i="1"/>
  <c r="AV353" i="1"/>
  <c r="BG354" i="1"/>
  <c r="J353" i="1"/>
  <c r="BB353" i="1"/>
  <c r="AH355" i="1"/>
  <c r="S353" i="1"/>
  <c r="BB354" i="1"/>
  <c r="AH357" i="1"/>
  <c r="AM358" i="1"/>
  <c r="J356" i="1"/>
  <c r="AH354" i="1"/>
  <c r="I354" i="1"/>
  <c r="U358" i="1"/>
  <c r="S358" i="1"/>
  <c r="BF357" i="1"/>
  <c r="AD358" i="1"/>
  <c r="AD355" i="1"/>
  <c r="BB358" i="1"/>
  <c r="AW353" i="1"/>
  <c r="AV358" i="1"/>
  <c r="AT357" i="1"/>
  <c r="BC358" i="1"/>
  <c r="P353" i="1"/>
  <c r="AR354" i="1"/>
  <c r="F357" i="1"/>
  <c r="U357" i="1"/>
  <c r="Y356" i="1"/>
  <c r="BB357" i="1"/>
  <c r="AM353" i="1"/>
  <c r="BB356" i="1"/>
  <c r="AW354" i="1"/>
  <c r="AV354" i="1"/>
  <c r="U354" i="1"/>
  <c r="BG358" i="1"/>
  <c r="AC354" i="1"/>
  <c r="AH353" i="1"/>
  <c r="BF358" i="1"/>
  <c r="AR355" i="1"/>
  <c r="AS356" i="1"/>
  <c r="AM356" i="1"/>
  <c r="BF356" i="1"/>
  <c r="AF354" i="1"/>
  <c r="AJ354" i="1"/>
  <c r="AX355" i="1"/>
  <c r="AX354" i="1"/>
  <c r="I353" i="1"/>
  <c r="AB358" i="1"/>
  <c r="AO354" i="1"/>
  <c r="O357" i="1"/>
  <c r="O358" i="1"/>
  <c r="U356" i="1"/>
  <c r="Y357" i="1"/>
  <c r="AU353" i="1"/>
  <c r="AL357" i="1"/>
  <c r="BE354" i="1"/>
  <c r="O354" i="1"/>
  <c r="AT355" i="1"/>
  <c r="BA358" i="1"/>
  <c r="AX353" i="1"/>
  <c r="BD358" i="1"/>
  <c r="AQ358" i="1"/>
  <c r="AG358" i="1"/>
  <c r="P356" i="1"/>
  <c r="W358" i="1"/>
  <c r="AP354" i="1"/>
  <c r="AI354" i="1"/>
  <c r="F353" i="1"/>
  <c r="G358" i="1"/>
  <c r="BH353" i="1"/>
  <c r="T353" i="1"/>
  <c r="AP356" i="1"/>
  <c r="AU358" i="1"/>
  <c r="AQ357" i="1"/>
  <c r="AT358" i="1"/>
  <c r="AL358" i="1"/>
  <c r="AU357" i="1"/>
  <c r="W357" i="1"/>
  <c r="Z358" i="1"/>
  <c r="AL356" i="1"/>
  <c r="BE358" i="1"/>
  <c r="AW358" i="1"/>
  <c r="AA356" i="1"/>
  <c r="AJ358" i="1"/>
  <c r="M358" i="1"/>
  <c r="AM357" i="1"/>
  <c r="AK358" i="1"/>
  <c r="Y353" i="1"/>
  <c r="AV356" i="1"/>
  <c r="Q355" i="1"/>
  <c r="U355" i="1"/>
  <c r="Z356" i="1"/>
  <c r="AU354" i="1"/>
  <c r="BC355" i="1"/>
  <c r="S357" i="1"/>
  <c r="Q358" i="1"/>
  <c r="U353" i="1"/>
  <c r="AD357" i="1"/>
  <c r="AW357" i="1"/>
  <c r="AB356" i="1"/>
  <c r="P358" i="1"/>
  <c r="AO353" i="1"/>
  <c r="Z355" i="1"/>
  <c r="AF353" i="1"/>
  <c r="AN353" i="1"/>
  <c r="AL355" i="1"/>
  <c r="AS355" i="1"/>
  <c r="BG357" i="1"/>
  <c r="G354" i="1"/>
  <c r="BG356" i="1"/>
  <c r="AZ358" i="1"/>
  <c r="BD357" i="1"/>
  <c r="AX356" i="1"/>
  <c r="AC357" i="1"/>
  <c r="AV355" i="1"/>
  <c r="AJ355" i="1"/>
  <c r="BD355" i="1"/>
  <c r="BE357" i="1"/>
  <c r="R358" i="1"/>
  <c r="BA357" i="1"/>
  <c r="K358" i="1"/>
  <c r="Q354" i="1"/>
  <c r="Q356" i="1"/>
  <c r="BE356" i="1"/>
  <c r="R357" i="1"/>
  <c r="AE357" i="1"/>
  <c r="X357" i="1"/>
  <c r="X351" i="1"/>
  <c r="X354" i="1"/>
  <c r="X358" i="1"/>
  <c r="X356" i="1"/>
  <c r="AF358" i="1"/>
  <c r="AG356" i="1"/>
  <c r="AT353" i="1"/>
  <c r="AT351" i="1"/>
  <c r="AJ356" i="1"/>
  <c r="AT354" i="1"/>
  <c r="M356" i="1"/>
  <c r="G353" i="1"/>
  <c r="AJ353" i="1"/>
  <c r="AN357" i="1"/>
  <c r="R356" i="1"/>
  <c r="AE356" i="1"/>
  <c r="I358" i="1"/>
  <c r="K356" i="1"/>
  <c r="AG355" i="1"/>
  <c r="BE353" i="1"/>
  <c r="AK354" i="1"/>
  <c r="W353" i="1"/>
  <c r="AQ356" i="1"/>
  <c r="BH356" i="1"/>
  <c r="AY355" i="1"/>
  <c r="M355" i="1"/>
  <c r="P354" i="1"/>
  <c r="P357" i="1"/>
  <c r="W356" i="1"/>
  <c r="AN356" i="1"/>
  <c r="R355" i="1"/>
  <c r="AZ356" i="1"/>
  <c r="AE355" i="1"/>
  <c r="BA354" i="1"/>
  <c r="AI358" i="1"/>
  <c r="BD354" i="1"/>
  <c r="I357" i="1"/>
  <c r="AK356" i="1"/>
  <c r="N353" i="1"/>
  <c r="AK355" i="1"/>
  <c r="G356" i="1"/>
  <c r="N354" i="1"/>
  <c r="AE358" i="1"/>
  <c r="Q357" i="1"/>
  <c r="N355" i="1"/>
  <c r="Q353" i="1"/>
  <c r="BH357" i="1"/>
  <c r="BA355" i="1"/>
  <c r="AQ353" i="1"/>
  <c r="N358" i="1"/>
  <c r="T356" i="1"/>
  <c r="AM355" i="1"/>
  <c r="AF356" i="1"/>
  <c r="K355" i="1"/>
  <c r="AG354" i="1"/>
  <c r="AP357" i="1"/>
  <c r="AP355" i="1"/>
  <c r="AP351" i="1"/>
  <c r="AI357" i="1"/>
  <c r="AW356" i="1"/>
  <c r="AK353" i="1"/>
  <c r="AB354" i="1"/>
  <c r="AJ357" i="1"/>
  <c r="AQ355" i="1"/>
  <c r="AP353" i="1"/>
  <c r="BH355" i="1"/>
  <c r="S355" i="1"/>
  <c r="AL354" i="1"/>
  <c r="AY354" i="1"/>
  <c r="M354" i="1"/>
  <c r="K354" i="1"/>
  <c r="AH356" i="1"/>
  <c r="AI353" i="1"/>
  <c r="BD356" i="1"/>
  <c r="P355" i="1"/>
  <c r="W355" i="1"/>
  <c r="AK357" i="1"/>
  <c r="AG357" i="1"/>
  <c r="M357" i="1"/>
  <c r="AA351" i="1"/>
  <c r="AA357" i="1"/>
  <c r="AA358" i="1"/>
  <c r="AA353" i="1"/>
  <c r="K357" i="1"/>
  <c r="N357" i="1"/>
  <c r="AZ357" i="1"/>
  <c r="G357" i="1"/>
  <c r="AF357" i="1"/>
  <c r="AN355" i="1"/>
  <c r="R354" i="1"/>
  <c r="AZ355" i="1"/>
  <c r="BA353" i="1"/>
  <c r="BD353" i="1"/>
  <c r="T355" i="1"/>
  <c r="AM354" i="1"/>
  <c r="AF355" i="1"/>
  <c r="AG353" i="1"/>
  <c r="AW355" i="1"/>
  <c r="AQ354" i="1"/>
  <c r="BH354" i="1"/>
  <c r="S354" i="1"/>
  <c r="AL353" i="1"/>
  <c r="AE353" i="1"/>
  <c r="M353" i="1"/>
  <c r="J357" i="1"/>
  <c r="AX358" i="1"/>
  <c r="BC353" i="1"/>
  <c r="AU355" i="1"/>
  <c r="O355" i="1"/>
  <c r="W354" i="1"/>
  <c r="BE355" i="1"/>
  <c r="BA356" i="1"/>
  <c r="T357" i="1"/>
  <c r="AE354" i="1"/>
  <c r="AO357" i="1"/>
  <c r="AO355" i="1"/>
  <c r="AO351" i="1"/>
  <c r="I356" i="1"/>
  <c r="G355" i="1"/>
  <c r="AY353" i="1"/>
  <c r="AX357" i="1"/>
  <c r="AI356" i="1"/>
  <c r="AN354" i="1"/>
  <c r="BG353" i="1"/>
  <c r="R353" i="1"/>
  <c r="AZ354" i="1"/>
  <c r="K353" i="1"/>
  <c r="Z357" i="1"/>
  <c r="Z351" i="1"/>
  <c r="AD356" i="1"/>
  <c r="J358" i="1"/>
  <c r="Z354" i="1"/>
  <c r="I355" i="1"/>
  <c r="AS351" i="1"/>
  <c r="AS357" i="1"/>
  <c r="AS353" i="1"/>
  <c r="AU356" i="1"/>
  <c r="N356" i="1"/>
</calcChain>
</file>

<file path=xl/sharedStrings.xml><?xml version="1.0" encoding="utf-8"?>
<sst xmlns="http://schemas.openxmlformats.org/spreadsheetml/2006/main" count="774" uniqueCount="705">
  <si>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</si>
  <si>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</si>
  <si>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</si>
  <si>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</si>
  <si>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</si>
  <si>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</si>
  <si>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</si>
  <si>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</si>
  <si>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</si>
  <si>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</si>
  <si>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</si>
  <si>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</si>
  <si>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</si>
  <si>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</si>
  <si>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</si>
  <si>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</si>
  <si>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</si>
  <si>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</si>
  <si>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</si>
  <si>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</si>
  <si>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</si>
  <si>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</si>
  <si>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</si>
  <si>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</si>
  <si>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</si>
  <si>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</si>
  <si>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</si>
  <si>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</si>
  <si>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</si>
  <si>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</si>
  <si>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</si>
  <si>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</si>
  <si>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</si>
  <si>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</si>
  <si>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</si>
  <si>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</si>
  <si>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</si>
  <si>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</si>
  <si>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</si>
  <si>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</si>
  <si>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</si>
  <si>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</si>
  <si>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</si>
  <si>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</si>
  <si>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</si>
  <si>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</si>
  <si>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</si>
  <si>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</si>
  <si>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</si>
  <si>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</si>
  <si>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</si>
  <si>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</si>
  <si>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</si>
  <si>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</si>
  <si>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</si>
  <si>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</si>
  <si>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</si>
  <si>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</si>
  <si>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</si>
  <si>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</si>
  <si>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</si>
  <si>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</si>
  <si>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</si>
  <si>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</si>
  <si>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</si>
  <si>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</si>
  <si>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</si>
  <si>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</si>
  <si>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</si>
  <si>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</si>
  <si>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</si>
  <si>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</si>
  <si>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</si>
  <si>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</si>
  <si>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</si>
  <si>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</si>
  <si>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</si>
  <si>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</si>
  <si>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</si>
  <si>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</si>
  <si>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</si>
  <si>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</si>
  <si>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</si>
  <si>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</si>
  <si>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</si>
  <si>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</si>
  <si>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</si>
  <si>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</si>
  <si>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</si>
  <si>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</si>
  <si>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</si>
  <si>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</si>
  <si>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</si>
  <si>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</si>
  <si>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</si>
  <si>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</si>
  <si>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</si>
  <si>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</si>
  <si>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</si>
  <si>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</si>
  <si>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</si>
  <si>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</si>
  <si>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</si>
  <si>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</si>
  <si>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</si>
  <si>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</si>
  <si>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</si>
  <si>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</si>
  <si>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</si>
  <si>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</si>
  <si>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</si>
  <si>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</si>
  <si>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</si>
  <si>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</si>
  <si>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</si>
  <si>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</si>
  <si>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</si>
  <si>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</si>
  <si>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</si>
  <si>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</si>
  <si>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</si>
  <si>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</si>
  <si>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</si>
  <si>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</si>
  <si>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</si>
  <si>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</si>
  <si>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</si>
  <si>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</si>
  <si>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</si>
  <si>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</si>
  <si>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</si>
  <si>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</si>
  <si>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</si>
  <si>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</si>
  <si>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</si>
  <si>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</si>
  <si>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</si>
  <si>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</si>
  <si>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</si>
  <si>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</si>
  <si>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</si>
  <si>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</si>
  <si>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</si>
  <si>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</si>
  <si>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</si>
  <si>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</si>
  <si>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</si>
  <si>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</si>
  <si>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</si>
  <si>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</si>
  <si>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</si>
  <si>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</si>
  <si>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</si>
  <si>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</si>
  <si>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</si>
  <si>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</si>
  <si>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</si>
  <si>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</si>
  <si>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</si>
  <si>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</si>
  <si>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</si>
  <si>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</si>
  <si>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</si>
  <si>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</si>
  <si>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</si>
  <si>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</si>
  <si>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</si>
  <si>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</si>
  <si>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</si>
  <si>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</si>
  <si>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</si>
  <si>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</si>
  <si>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</si>
  <si>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</si>
  <si>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</si>
  <si>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</si>
  <si>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</si>
  <si>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</si>
  <si>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</si>
  <si>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</si>
  <si>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</si>
  <si>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</si>
  <si>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</si>
  <si>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</si>
  <si>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</si>
  <si>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</si>
  <si>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</si>
  <si>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</si>
  <si>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</si>
  <si>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</si>
  <si>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</si>
  <si>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</si>
  <si>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</si>
  <si>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</si>
  <si>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</si>
  <si>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</si>
  <si>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</si>
  <si>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</si>
  <si>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</si>
  <si>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</si>
  <si>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</si>
  <si>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</si>
  <si>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</si>
  <si>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</si>
  <si>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</si>
  <si>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</si>
  <si>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</si>
  <si>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</si>
  <si>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</si>
  <si>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</si>
  <si>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</si>
  <si>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</si>
  <si>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</si>
  <si>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</si>
  <si>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</si>
  <si>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</si>
  <si>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</si>
  <si>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</si>
  <si>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</si>
  <si>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</si>
  <si>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</si>
  <si>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</si>
  <si>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</si>
  <si>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</si>
  <si>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</si>
  <si>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</si>
  <si>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</si>
  <si>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</si>
  <si>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</si>
  <si>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</si>
  <si>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</si>
  <si>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</si>
  <si>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</si>
  <si>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</si>
  <si>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</si>
  <si>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</si>
  <si>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</si>
  <si>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</si>
  <si>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</si>
  <si>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</si>
  <si>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</si>
  <si>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</si>
  <si>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</si>
  <si>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</si>
  <si>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</si>
  <si>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</si>
  <si>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</si>
  <si>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</si>
  <si>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</si>
  <si>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</si>
  <si>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</si>
  <si>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</si>
  <si>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</si>
  <si>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</si>
  <si>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</si>
  <si>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</si>
  <si>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</si>
  <si>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</si>
  <si>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</si>
  <si>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</si>
  <si>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</si>
  <si>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</si>
  <si>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</si>
  <si>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</si>
  <si>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</si>
  <si>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</si>
  <si>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</si>
  <si>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</si>
  <si>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</si>
  <si>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</si>
  <si>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</si>
  <si>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</si>
  <si>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</si>
  <si>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</si>
  <si>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</si>
  <si>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</si>
  <si>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</si>
  <si>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</si>
  <si>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</si>
  <si>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</si>
  <si>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</si>
  <si>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</si>
  <si>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</si>
  <si>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</si>
  <si>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</si>
  <si>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</si>
  <si>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</si>
  <si>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</si>
  <si>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</si>
  <si>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</si>
  <si>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</si>
  <si>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</si>
  <si>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</si>
  <si>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</si>
  <si>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</si>
  <si>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</si>
  <si>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</si>
  <si>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</si>
  <si>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</si>
  <si>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</si>
  <si>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</si>
  <si>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</si>
  <si>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</si>
  <si>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</si>
  <si>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</si>
  <si>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</si>
  <si>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</si>
  <si>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</si>
  <si>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</si>
  <si>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</si>
  <si>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</si>
  <si>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</si>
  <si>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</si>
  <si>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</si>
  <si>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</si>
  <si>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</si>
  <si>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</si>
  <si>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</si>
  <si>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</si>
  <si>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</si>
  <si>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</si>
  <si>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</si>
  <si>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</si>
  <si>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</si>
  <si>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</si>
  <si>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</si>
  <si>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</si>
  <si>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</si>
  <si>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</si>
  <si>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</si>
  <si>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</si>
  <si>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</si>
  <si>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</si>
  <si>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</si>
  <si>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</si>
  <si>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</si>
  <si>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</si>
  <si>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</si>
  <si>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</si>
  <si>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</si>
  <si>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</si>
  <si>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</si>
  <si>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</si>
  <si>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</si>
  <si>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</si>
  <si>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</si>
  <si>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</si>
  <si>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</si>
  <si>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</si>
  <si>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</si>
  <si>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</si>
  <si>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</si>
  <si>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</si>
  <si>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</si>
  <si>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</si>
  <si>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</si>
  <si>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</si>
  <si>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</si>
  <si>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</si>
  <si>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</si>
  <si>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</si>
  <si>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</si>
  <si>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</si>
  <si>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</si>
  <si>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</si>
  <si>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</si>
  <si>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</si>
  <si>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</si>
  <si>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</si>
  <si>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</si>
  <si>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</si>
  <si>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</si>
  <si>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</si>
  <si>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</si>
  <si>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</si>
  <si>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</si>
  <si>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</si>
  <si>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</si>
  <si>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</si>
  <si>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</si>
  <si>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</si>
  <si>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</si>
  <si>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</si>
  <si>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</si>
  <si>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</si>
  <si>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</si>
  <si>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</si>
  <si>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</si>
  <si>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</si>
  <si>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</si>
  <si>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</si>
  <si>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</si>
  <si>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</si>
  <si>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</si>
  <si>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</si>
  <si>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</si>
  <si>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</si>
  <si>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</si>
  <si>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</si>
  <si>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</si>
  <si>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</si>
  <si>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</si>
  <si>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</si>
  <si>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</si>
  <si>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</si>
  <si>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</si>
  <si>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</si>
  <si>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</si>
  <si>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</si>
  <si>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</si>
  <si>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</si>
  <si>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</si>
  <si>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</si>
  <si>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</si>
  <si>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</si>
  <si>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</si>
  <si>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</si>
  <si>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</si>
  <si>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</si>
  <si>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</si>
  <si>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</si>
  <si>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</si>
  <si>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</si>
  <si>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</si>
  <si>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</si>
  <si>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</si>
  <si>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</si>
  <si>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</si>
  <si>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</si>
  <si>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</si>
  <si>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</si>
  <si>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</si>
  <si>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</si>
  <si>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</si>
  <si>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</si>
  <si>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</si>
  <si>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</si>
  <si>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</si>
  <si>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</si>
  <si>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</si>
  <si>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</si>
  <si>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</si>
  <si>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</si>
  <si>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</si>
  <si>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</si>
  <si>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</si>
  <si>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</si>
  <si>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</si>
  <si>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</si>
  <si>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</si>
  <si>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</si>
  <si>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</si>
  <si>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</si>
  <si>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</si>
  <si>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</si>
  <si>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</si>
  <si>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</si>
  <si>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</si>
  <si>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</si>
  <si>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</si>
  <si>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</si>
  <si>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</si>
  <si>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</si>
  <si>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</si>
  <si>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</si>
  <si>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</si>
  <si>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</si>
  <si>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</si>
  <si>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</si>
  <si>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</si>
  <si>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</si>
  <si>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</si>
  <si>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</si>
  <si>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</si>
  <si>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</si>
  <si>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</si>
  <si>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</si>
  <si>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</si>
  <si>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</si>
  <si>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</si>
  <si>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</si>
  <si>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</si>
  <si>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</si>
  <si>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</si>
  <si>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</si>
  <si>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</si>
  <si>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</si>
  <si>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</si>
  <si>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</si>
  <si>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</si>
  <si>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</si>
  <si>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</si>
  <si>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</si>
  <si>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</si>
  <si>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</si>
  <si>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</si>
  <si>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</si>
  <si>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</si>
  <si>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</si>
  <si>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</si>
  <si>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</si>
  <si>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</si>
  <si>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</si>
  <si>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</si>
  <si>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</si>
  <si>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</si>
  <si>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</si>
  <si>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</si>
  <si>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</si>
  <si>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</si>
  <si>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</si>
  <si>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</si>
  <si>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</si>
  <si>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</si>
  <si>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</si>
  <si>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</si>
  <si>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</si>
  <si>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</si>
  <si>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</si>
  <si>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</si>
  <si>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</si>
  <si>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</si>
  <si>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</si>
  <si>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</si>
  <si>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</si>
  <si>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</si>
  <si>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</si>
  <si>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</si>
  <si>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</si>
  <si>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</si>
  <si>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</si>
  <si>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</si>
  <si>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</si>
  <si>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</si>
  <si>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</si>
  <si>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</si>
  <si>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</si>
  <si>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</si>
  <si>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</si>
  <si>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</si>
  <si>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</si>
  <si>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</si>
  <si>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</si>
  <si>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</si>
  <si>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</si>
  <si>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</si>
  <si>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</si>
  <si>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</si>
  <si>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</si>
  <si>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</si>
  <si>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</si>
  <si>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</si>
  <si>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</si>
  <si>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</si>
  <si>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</si>
  <si>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</si>
  <si>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</si>
  <si>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</si>
  <si>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</si>
  <si>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</si>
  <si>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</si>
  <si>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</si>
  <si>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</si>
  <si>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</si>
  <si>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</si>
  <si>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</si>
  <si>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</si>
  <si>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</si>
  <si>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</si>
  <si>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</si>
  <si>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</si>
  <si>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</si>
  <si>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</si>
  <si>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</si>
  <si>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</si>
  <si>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</si>
  <si>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</si>
  <si>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</si>
  <si>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</si>
  <si>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</si>
  <si>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</si>
  <si>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</si>
  <si>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</si>
  <si>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</si>
  <si>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</si>
  <si>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</si>
  <si>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</si>
  <si>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</si>
  <si>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</si>
  <si>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</si>
  <si>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</si>
  <si>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</si>
  <si>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</si>
  <si>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</si>
  <si>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</si>
  <si>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</si>
  <si>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</si>
  <si>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</si>
  <si>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</si>
  <si>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</si>
  <si>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</si>
  <si>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</si>
  <si>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</si>
  <si>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</si>
  <si>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</si>
  <si>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</si>
  <si>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</si>
  <si>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</si>
  <si>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</si>
  <si>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</si>
  <si>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</si>
  <si>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</si>
  <si>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</si>
  <si>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</si>
  <si>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</si>
  <si>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</si>
  <si>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</si>
  <si>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</si>
  <si>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</si>
  <si>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</si>
  <si>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</si>
  <si>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</si>
  <si>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</si>
  <si>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</si>
  <si>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</si>
  <si>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</si>
  <si>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</si>
  <si>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</si>
  <si>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</si>
  <si>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</si>
  <si>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</si>
  <si>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</si>
  <si>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</si>
  <si>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</si>
  <si>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</si>
  <si>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</si>
  <si>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</si>
  <si>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</si>
  <si>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</si>
  <si>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</si>
  <si>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</si>
  <si>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</si>
  <si>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</si>
  <si>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</si>
  <si>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</si>
  <si>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</si>
  <si>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</si>
  <si>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</si>
  <si>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</si>
  <si>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</si>
  <si>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</si>
  <si>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</si>
  <si>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</si>
  <si>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</si>
  <si>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</si>
  <si>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</si>
  <si>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</si>
  <si>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</si>
  <si>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</si>
  <si>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</si>
  <si>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הפניקס גמל אגח סחיר</t>
  </si>
  <si>
    <t>הפניקס גמל מניות סחיר</t>
  </si>
  <si>
    <t>הפניקס גמל עוקב מדדי מניות</t>
  </si>
  <si>
    <t>הפניקס השתלמות משולב סחיר</t>
  </si>
  <si>
    <t>הפניקס השתלמות אגח סחיר</t>
  </si>
  <si>
    <t>הפניקס גמל להשקעה משולב סחיר</t>
  </si>
  <si>
    <t>הפניקס גמל להשקעה מניות סחיר</t>
  </si>
  <si>
    <t xml:space="preserve">הפניקס גמל עוקב מדדים גמיש </t>
  </si>
  <si>
    <t>הפניקס גמל להשקעה אגח סחיר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</si>
  <si>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</si>
  <si>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</si>
  <si>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</si>
  <si>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</si>
  <si>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</si>
  <si>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</si>
  <si>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</si>
  <si>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</si>
  <si>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</si>
  <si>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</si>
  <si>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</si>
  <si>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</si>
  <si>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</si>
  <si>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</si>
  <si>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</si>
  <si>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</si>
  <si>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</si>
  <si>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</si>
  <si>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</si>
  <si>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</si>
  <si>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</si>
  <si>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</si>
  <si>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</si>
  <si>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</si>
  <si>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</si>
  <si>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</si>
  <si>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</si>
  <si>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</si>
  <si>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</si>
  <si>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</si>
  <si>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</si>
  <si>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</si>
  <si>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</si>
  <si>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</si>
  <si>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סיום מידע טבלה צד שמאל</t>
  </si>
  <si>
    <t xml:space="preserve">סיום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</si>
</sst>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0</xdr:rowOff>
    </xdr:from>
    <xdr:to>
      <xdr:col>3</xdr:col>
      <xdr:colOff>257175</xdr:colOff>
      <xdr:row>3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27941927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61</xdr:col>
      <xdr:colOff>0</xdr:colOff>
      <xdr:row>0</xdr:row>
      <xdr:rowOff>0</xdr:rowOff>
    </xdr:from>
    <xdr:to>
      <xdr:col>61</xdr:col>
      <xdr:colOff>365760</xdr:colOff>
      <xdr:row>1</xdr:row>
      <xdr:rowOff>151416</xdr:rowOff>
    </xdr:to>
    <xdr:pic>
      <xdr:nvPicPr>
        <xdr:cNvPr id="4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18D4C53D-F81A-46DB-86BA-A134C091D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5185120" y="0"/>
          <a:ext cx="365760" cy="349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24"/>
      <sheetName val="גיליון226"/>
      <sheetName val="גיליון228"/>
      <sheetName val="גיליון230"/>
      <sheetName val="גיליון232"/>
      <sheetName val="גיליון234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59"/>
  <sheetViews>
    <sheetView rightToLeft="1" tabSelected="1" workbookViewId="0">
      <selection activeCell="A2" sqref="A2"/>
    </sheetView>
  </sheetViews>
  <sheetFormatPr defaultRowHeight="13.8" x14ac:dyDescent="0.25"/>
  <sheetData>
    <row r="1" spans="1:61" ht="15.6" x14ac:dyDescent="0.3">
      <c r="A1" s="1"/>
      <c r="B1" s="2"/>
      <c r="C1" s="2"/>
      <c r="D1" s="2"/>
      <c r="E1">
        <v>6</v>
      </c>
      <c r="F1">
        <v>10</v>
      </c>
      <c r="G1">
        <v>30</v>
      </c>
      <c r="H1">
        <v>50</v>
      </c>
      <c r="I1">
        <v>93</v>
      </c>
      <c r="J1">
        <v>99</v>
      </c>
      <c r="K1">
        <v>102</v>
      </c>
      <c r="L1">
        <v>122</v>
      </c>
      <c r="M1">
        <v>142</v>
      </c>
      <c r="N1">
        <v>164</v>
      </c>
      <c r="O1">
        <v>167</v>
      </c>
      <c r="P1">
        <v>169</v>
      </c>
      <c r="Q1">
        <v>425</v>
      </c>
      <c r="R1">
        <v>426</v>
      </c>
      <c r="S1">
        <v>499</v>
      </c>
      <c r="T1">
        <v>519</v>
      </c>
      <c r="U1">
        <v>526</v>
      </c>
      <c r="V1">
        <v>570</v>
      </c>
      <c r="W1">
        <v>571</v>
      </c>
      <c r="X1">
        <v>572</v>
      </c>
      <c r="Y1">
        <v>573</v>
      </c>
      <c r="Z1">
        <v>574</v>
      </c>
      <c r="AA1">
        <v>628</v>
      </c>
      <c r="AB1">
        <v>629</v>
      </c>
      <c r="AC1">
        <v>631</v>
      </c>
      <c r="AD1">
        <v>632</v>
      </c>
      <c r="AE1">
        <v>658</v>
      </c>
      <c r="AF1">
        <v>660</v>
      </c>
      <c r="AG1">
        <v>662</v>
      </c>
      <c r="AH1">
        <v>664</v>
      </c>
      <c r="AI1">
        <v>666</v>
      </c>
      <c r="AJ1">
        <v>726</v>
      </c>
      <c r="AK1">
        <v>737</v>
      </c>
      <c r="AL1">
        <v>827</v>
      </c>
      <c r="AM1">
        <v>575</v>
      </c>
      <c r="AN1">
        <v>576</v>
      </c>
      <c r="AO1">
        <v>359</v>
      </c>
      <c r="AP1" s="9">
        <v>828</v>
      </c>
      <c r="AQ1" s="9">
        <v>844</v>
      </c>
      <c r="AR1" s="9">
        <v>839</v>
      </c>
      <c r="AS1" s="9">
        <v>857</v>
      </c>
      <c r="AT1" s="9">
        <v>608</v>
      </c>
      <c r="AU1" s="9">
        <v>849</v>
      </c>
      <c r="AV1" s="9">
        <v>846</v>
      </c>
      <c r="AW1" s="9">
        <v>834</v>
      </c>
      <c r="AX1" s="9">
        <v>506</v>
      </c>
      <c r="AY1" s="9">
        <v>521</v>
      </c>
      <c r="AZ1" s="9">
        <v>522</v>
      </c>
      <c r="BA1" s="9">
        <v>528</v>
      </c>
      <c r="BB1" s="9">
        <v>548</v>
      </c>
      <c r="BC1" s="9">
        <v>551</v>
      </c>
      <c r="BD1" s="9">
        <v>555</v>
      </c>
      <c r="BE1" s="9">
        <v>558</v>
      </c>
      <c r="BF1" s="9">
        <v>578</v>
      </c>
      <c r="BG1" s="9">
        <v>580</v>
      </c>
      <c r="BH1" s="9">
        <v>577</v>
      </c>
      <c r="BI1" s="21" t="s">
        <v>703</v>
      </c>
    </row>
    <row r="2" spans="1:61" x14ac:dyDescent="0.25">
      <c r="E2" s="10">
        <v>401</v>
      </c>
      <c r="F2" s="10">
        <v>242</v>
      </c>
      <c r="G2" s="10">
        <v>385</v>
      </c>
      <c r="H2" s="10">
        <v>528</v>
      </c>
      <c r="I2" s="10">
        <v>384</v>
      </c>
      <c r="J2" s="10">
        <v>716</v>
      </c>
      <c r="K2" s="10">
        <v>715</v>
      </c>
      <c r="L2" s="10">
        <v>9916</v>
      </c>
      <c r="M2" s="10">
        <v>1100</v>
      </c>
      <c r="N2" s="10">
        <v>801</v>
      </c>
      <c r="O2" s="10">
        <v>804</v>
      </c>
      <c r="P2" s="10">
        <v>806</v>
      </c>
      <c r="Q2" s="10">
        <v>8765</v>
      </c>
      <c r="R2" s="10">
        <v>8766</v>
      </c>
      <c r="S2" s="10">
        <v>9418</v>
      </c>
      <c r="T2" s="10">
        <v>9475</v>
      </c>
      <c r="U2" s="10">
        <v>9906</v>
      </c>
      <c r="V2" s="10">
        <v>7905</v>
      </c>
      <c r="W2" s="10">
        <v>7906</v>
      </c>
      <c r="X2" s="10">
        <v>7907</v>
      </c>
      <c r="Y2" s="10">
        <v>7908</v>
      </c>
      <c r="Z2" s="10">
        <v>7909</v>
      </c>
      <c r="AA2" s="10">
        <v>11310</v>
      </c>
      <c r="AB2" s="10">
        <v>11311</v>
      </c>
      <c r="AC2" s="10">
        <v>11312</v>
      </c>
      <c r="AD2" s="10">
        <v>11335</v>
      </c>
      <c r="AE2" s="10">
        <v>9529</v>
      </c>
      <c r="AF2" s="10">
        <v>961</v>
      </c>
      <c r="AG2" s="10">
        <v>9528</v>
      </c>
      <c r="AH2" s="10">
        <v>964</v>
      </c>
      <c r="AI2" s="10">
        <v>968</v>
      </c>
      <c r="AJ2" s="10">
        <v>8629</v>
      </c>
      <c r="AK2" s="10">
        <v>13264</v>
      </c>
      <c r="AL2" s="10">
        <v>13263</v>
      </c>
      <c r="AM2" s="10">
        <v>13209</v>
      </c>
      <c r="AN2" s="10">
        <v>13250</v>
      </c>
      <c r="AO2" s="10">
        <v>14281</v>
      </c>
      <c r="AP2" s="11">
        <v>2049</v>
      </c>
      <c r="AQ2" s="12">
        <v>7975</v>
      </c>
      <c r="AR2" s="12">
        <v>8004</v>
      </c>
      <c r="AS2" s="11">
        <v>1008</v>
      </c>
      <c r="AT2" s="11">
        <v>9484</v>
      </c>
      <c r="AU2" s="11">
        <v>682</v>
      </c>
      <c r="AV2" s="11">
        <v>11352</v>
      </c>
      <c r="AW2" s="11">
        <v>2058</v>
      </c>
      <c r="AX2" s="11">
        <v>15007</v>
      </c>
      <c r="AY2" s="11">
        <v>15208</v>
      </c>
      <c r="AZ2" s="11">
        <v>15209</v>
      </c>
      <c r="BA2" s="11">
        <v>15210</v>
      </c>
      <c r="BB2" s="11">
        <v>15211</v>
      </c>
      <c r="BC2" s="11">
        <v>15212</v>
      </c>
      <c r="BD2" s="11">
        <v>15232</v>
      </c>
      <c r="BE2" s="11">
        <v>15214</v>
      </c>
      <c r="BF2" s="11">
        <v>15233</v>
      </c>
      <c r="BG2" s="11">
        <v>15234</v>
      </c>
      <c r="BH2" s="11">
        <v>15215</v>
      </c>
      <c r="BI2" s="21"/>
    </row>
    <row r="3" spans="1:61" ht="15.6" x14ac:dyDescent="0.3">
      <c r="A3" s="3">
        <v>46143</v>
      </c>
      <c r="B3" s="2"/>
      <c r="C3" s="2"/>
      <c r="D3" s="2"/>
      <c r="E3" t="s">
        <v>614</v>
      </c>
      <c r="F3" t="s">
        <v>615</v>
      </c>
      <c r="G3" t="s">
        <v>616</v>
      </c>
      <c r="H3" t="s">
        <v>617</v>
      </c>
      <c r="I3" t="s">
        <v>618</v>
      </c>
      <c r="J3" t="s">
        <v>619</v>
      </c>
      <c r="K3" t="s">
        <v>620</v>
      </c>
      <c r="L3" t="s">
        <v>621</v>
      </c>
      <c r="M3" t="s">
        <v>622</v>
      </c>
      <c r="N3" t="s">
        <v>623</v>
      </c>
      <c r="O3" t="s">
        <v>624</v>
      </c>
      <c r="P3" t="s">
        <v>625</v>
      </c>
      <c r="Q3" t="s">
        <v>626</v>
      </c>
      <c r="R3" t="s">
        <v>627</v>
      </c>
      <c r="S3" t="s">
        <v>628</v>
      </c>
      <c r="T3" t="s">
        <v>629</v>
      </c>
      <c r="U3" t="s">
        <v>630</v>
      </c>
      <c r="V3" t="s">
        <v>631</v>
      </c>
      <c r="W3" t="s">
        <v>632</v>
      </c>
      <c r="X3" t="s">
        <v>633</v>
      </c>
      <c r="Y3" t="s">
        <v>634</v>
      </c>
      <c r="Z3" t="s">
        <v>635</v>
      </c>
      <c r="AA3" t="s">
        <v>636</v>
      </c>
      <c r="AB3" t="s">
        <v>637</v>
      </c>
      <c r="AC3" t="s">
        <v>638</v>
      </c>
      <c r="AD3" t="s">
        <v>639</v>
      </c>
      <c r="AE3" t="s">
        <v>640</v>
      </c>
      <c r="AF3" t="s">
        <v>641</v>
      </c>
      <c r="AG3" t="s">
        <v>642</v>
      </c>
      <c r="AH3" t="s">
        <v>643</v>
      </c>
      <c r="AI3" t="s">
        <v>644</v>
      </c>
      <c r="AJ3" t="s">
        <v>645</v>
      </c>
      <c r="AK3" t="s">
        <v>646</v>
      </c>
      <c r="AL3" t="s">
        <v>647</v>
      </c>
      <c r="AM3" t="s">
        <v>648</v>
      </c>
      <c r="AN3" t="s">
        <v>649</v>
      </c>
      <c r="AO3" t="s">
        <v>650</v>
      </c>
      <c r="AP3" s="13" t="s">
        <v>651</v>
      </c>
      <c r="AQ3" s="14" t="s">
        <v>652</v>
      </c>
      <c r="AR3" s="13" t="s">
        <v>653</v>
      </c>
      <c r="AS3" s="13" t="s">
        <v>654</v>
      </c>
      <c r="AT3" s="13" t="s">
        <v>655</v>
      </c>
      <c r="AU3" s="13" t="s">
        <v>656</v>
      </c>
      <c r="AV3" s="13" t="s">
        <v>657</v>
      </c>
      <c r="AW3" s="13" t="s">
        <v>658</v>
      </c>
      <c r="AX3" s="13" t="s">
        <v>659</v>
      </c>
      <c r="AY3" t="s">
        <v>660</v>
      </c>
      <c r="AZ3" t="s">
        <v>661</v>
      </c>
      <c r="BA3" t="s">
        <v>662</v>
      </c>
      <c r="BB3" t="s">
        <v>663</v>
      </c>
      <c r="BC3" t="s">
        <v>664</v>
      </c>
      <c r="BD3" t="s">
        <v>664</v>
      </c>
      <c r="BE3" t="s">
        <v>665</v>
      </c>
      <c r="BF3" t="s">
        <v>666</v>
      </c>
      <c r="BG3" t="s">
        <v>667</v>
      </c>
      <c r="BH3" t="s">
        <v>668</v>
      </c>
      <c r="BI3" s="21"/>
    </row>
    <row r="4" spans="1:61" ht="15.6" x14ac:dyDescent="0.3">
      <c r="A4" s="4"/>
      <c r="B4" s="5"/>
      <c r="C4" s="5"/>
      <c r="D4" s="6" t="s">
        <v>0</v>
      </c>
      <c r="E4" s="15" t="s">
        <v>669</v>
      </c>
      <c r="F4" s="15" t="s">
        <v>670</v>
      </c>
      <c r="G4" s="15" t="s">
        <v>671</v>
      </c>
      <c r="H4" s="15" t="s">
        <v>672</v>
      </c>
      <c r="I4" s="15" t="s">
        <v>673</v>
      </c>
      <c r="J4" s="15" t="s">
        <v>674</v>
      </c>
      <c r="K4" s="15" t="s">
        <v>675</v>
      </c>
      <c r="L4" s="15" t="s">
        <v>676</v>
      </c>
      <c r="M4" s="15" t="s">
        <v>677</v>
      </c>
      <c r="N4" s="15" t="s">
        <v>678</v>
      </c>
      <c r="O4" s="15" t="s">
        <v>679</v>
      </c>
      <c r="P4" s="15" t="s">
        <v>680</v>
      </c>
      <c r="Q4" s="15" t="s">
        <v>681</v>
      </c>
      <c r="R4" s="15" t="s">
        <v>682</v>
      </c>
      <c r="S4" s="15" t="s">
        <v>683</v>
      </c>
      <c r="T4" s="15" t="s">
        <v>684</v>
      </c>
      <c r="U4" s="15" t="s">
        <v>685</v>
      </c>
      <c r="V4" s="15" t="s">
        <v>686</v>
      </c>
      <c r="W4" s="15" t="s">
        <v>687</v>
      </c>
      <c r="X4" s="15" t="s">
        <v>688</v>
      </c>
      <c r="Y4" s="15" t="s">
        <v>689</v>
      </c>
      <c r="Z4" s="15" t="s">
        <v>690</v>
      </c>
      <c r="AA4" s="15" t="s">
        <v>691</v>
      </c>
      <c r="AB4" s="15" t="s">
        <v>692</v>
      </c>
      <c r="AC4" s="15" t="s">
        <v>693</v>
      </c>
      <c r="AD4" s="15" t="s">
        <v>694</v>
      </c>
      <c r="AE4" s="15" t="s">
        <v>695</v>
      </c>
      <c r="AF4" s="15" t="s">
        <v>696</v>
      </c>
      <c r="AG4" s="15" t="s">
        <v>697</v>
      </c>
      <c r="AH4" s="15" t="s">
        <v>698</v>
      </c>
      <c r="AI4" s="15" t="s">
        <v>699</v>
      </c>
      <c r="AJ4" s="15" t="s">
        <v>700</v>
      </c>
      <c r="AK4" s="15" t="s">
        <v>701</v>
      </c>
      <c r="AL4" s="15" t="s">
        <v>702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21"/>
    </row>
    <row r="5" spans="1:61" ht="15.6" x14ac:dyDescent="0.3">
      <c r="A5" s="5" t="s">
        <v>1</v>
      </c>
      <c r="B5" s="5" t="s">
        <v>2</v>
      </c>
      <c r="C5" s="7">
        <v>1</v>
      </c>
      <c r="D5" s="7">
        <v>1</v>
      </c>
      <c r="E5" s="7">
        <v>247368.446</v>
      </c>
      <c r="F5" s="7">
        <v>29359.449000000001</v>
      </c>
      <c r="G5" s="7">
        <v>19422.705000000002</v>
      </c>
      <c r="H5" s="7">
        <v>-3445.2420000000002</v>
      </c>
      <c r="I5" s="7">
        <v>2608.8110000000001</v>
      </c>
      <c r="J5" s="7">
        <v>11737.397999999999</v>
      </c>
      <c r="K5" s="7">
        <v>3697.5509999999999</v>
      </c>
      <c r="L5" s="7">
        <v>317661.66200000001</v>
      </c>
      <c r="M5" s="7">
        <v>46844.353000000003</v>
      </c>
      <c r="N5" s="7">
        <v>0.72199999999999998</v>
      </c>
      <c r="O5" s="7">
        <v>1029.5609999999999</v>
      </c>
      <c r="P5" s="7">
        <v>55.042000000000002</v>
      </c>
      <c r="Q5" s="7">
        <v>633.08299999999997</v>
      </c>
      <c r="R5" s="7">
        <v>361.28500000000003</v>
      </c>
      <c r="S5" s="7">
        <v>9488.4509999999991</v>
      </c>
      <c r="T5" s="7">
        <v>2.1999999999999999E-2</v>
      </c>
      <c r="U5" s="7">
        <v>2497.2910000000002</v>
      </c>
      <c r="V5" s="7">
        <v>2503.9850000000001</v>
      </c>
      <c r="W5" s="7">
        <v>6099.5219999999999</v>
      </c>
      <c r="X5" s="7">
        <v>20434.714</v>
      </c>
      <c r="Y5" s="7">
        <v>87800.963000000003</v>
      </c>
      <c r="Z5" s="7">
        <v>2297.607</v>
      </c>
      <c r="AA5" s="7">
        <v>32966.764000000003</v>
      </c>
      <c r="AB5" s="7">
        <v>35596.637000000002</v>
      </c>
      <c r="AC5" s="7">
        <v>5898.1080000000002</v>
      </c>
      <c r="AD5" s="7">
        <v>1701.5239999999999</v>
      </c>
      <c r="AE5" s="7">
        <v>252967.75599999999</v>
      </c>
      <c r="AF5" s="7">
        <v>160329.728</v>
      </c>
      <c r="AG5" s="7">
        <v>11031.273999999999</v>
      </c>
      <c r="AH5" s="7">
        <v>635631.54599999997</v>
      </c>
      <c r="AI5" s="7">
        <v>235490.49299999999</v>
      </c>
      <c r="AJ5" s="7">
        <v>10818.677</v>
      </c>
      <c r="AK5" s="7">
        <v>16577.252</v>
      </c>
      <c r="AL5" s="7">
        <v>8520.77</v>
      </c>
      <c r="AM5" s="7">
        <v>580.63199999999995</v>
      </c>
      <c r="AN5" s="7">
        <v>5654.0339999999997</v>
      </c>
      <c r="AO5" s="7">
        <v>7238.2560000000003</v>
      </c>
      <c r="AP5" s="7">
        <v>5662.26</v>
      </c>
      <c r="AQ5" s="7">
        <v>66249.875</v>
      </c>
      <c r="AR5" s="7">
        <v>955.03599999999994</v>
      </c>
      <c r="AS5" s="7">
        <v>154.90600000000001</v>
      </c>
      <c r="AT5" s="7">
        <v>0</v>
      </c>
      <c r="AU5" s="7">
        <v>7821.2179999999998</v>
      </c>
      <c r="AV5" s="7">
        <v>2978.4110000000001</v>
      </c>
      <c r="AW5" s="7">
        <v>7430.8980000000001</v>
      </c>
      <c r="AX5" s="7">
        <v>27109.474999999999</v>
      </c>
      <c r="AY5" s="7">
        <v>3640.6709999999998</v>
      </c>
      <c r="AZ5" s="7">
        <v>32677.612000000001</v>
      </c>
      <c r="BA5" s="7">
        <v>22806.394</v>
      </c>
      <c r="BB5" s="7">
        <v>5632.61</v>
      </c>
      <c r="BC5" s="7">
        <v>1374.982</v>
      </c>
      <c r="BD5" s="7">
        <v>44048.279000000002</v>
      </c>
      <c r="BE5" s="7">
        <v>1570.7950000000001</v>
      </c>
      <c r="BF5" s="7">
        <v>14871.306</v>
      </c>
      <c r="BG5" s="7">
        <v>6933.1840000000002</v>
      </c>
      <c r="BH5" s="7">
        <v>322.86</v>
      </c>
      <c r="BI5" s="21"/>
    </row>
    <row r="6" spans="1:61" ht="15.6" x14ac:dyDescent="0.3">
      <c r="A6" s="5" t="s">
        <v>3</v>
      </c>
      <c r="B6" s="5" t="s">
        <v>4</v>
      </c>
      <c r="C6" s="7">
        <v>1</v>
      </c>
      <c r="D6" s="7">
        <v>1</v>
      </c>
      <c r="E6" s="7">
        <v>173939.98199999999</v>
      </c>
      <c r="F6" s="7">
        <v>12929.528</v>
      </c>
      <c r="G6" s="7">
        <v>8936.6859999999997</v>
      </c>
      <c r="H6" s="7">
        <v>1405.26</v>
      </c>
      <c r="I6" s="7">
        <v>4024.47</v>
      </c>
      <c r="J6" s="7">
        <v>4761.357</v>
      </c>
      <c r="K6" s="7">
        <v>0</v>
      </c>
      <c r="L6" s="7">
        <v>211242.51199999999</v>
      </c>
      <c r="M6" s="7">
        <v>40709.245000000003</v>
      </c>
      <c r="N6" s="7">
        <v>0</v>
      </c>
      <c r="O6" s="7">
        <v>58.783000000000001</v>
      </c>
      <c r="P6" s="7">
        <v>567.67399999999998</v>
      </c>
      <c r="Q6" s="7">
        <v>47.51</v>
      </c>
      <c r="R6" s="7">
        <v>262.91199999999998</v>
      </c>
      <c r="S6" s="7">
        <v>2839.5479999999998</v>
      </c>
      <c r="T6" s="7">
        <v>0</v>
      </c>
      <c r="U6" s="7">
        <v>0</v>
      </c>
      <c r="V6" s="7">
        <v>804.20299999999997</v>
      </c>
      <c r="W6" s="7">
        <v>2742.0410000000002</v>
      </c>
      <c r="X6" s="7">
        <v>204.20599999999999</v>
      </c>
      <c r="Y6" s="7">
        <v>52229.446000000004</v>
      </c>
      <c r="Z6" s="7">
        <v>1830.364</v>
      </c>
      <c r="AA6" s="7">
        <v>21348.945</v>
      </c>
      <c r="AB6" s="7">
        <v>1764.9359999999999</v>
      </c>
      <c r="AC6" s="7">
        <v>4745.7759999999998</v>
      </c>
      <c r="AD6" s="7">
        <v>471.97300000000001</v>
      </c>
      <c r="AE6" s="7">
        <v>147833.321</v>
      </c>
      <c r="AF6" s="7">
        <v>64008.578999999998</v>
      </c>
      <c r="AG6" s="7">
        <v>2327.7220000000002</v>
      </c>
      <c r="AH6" s="7">
        <v>338756.44300000003</v>
      </c>
      <c r="AI6" s="7">
        <v>89111.411999999997</v>
      </c>
      <c r="AJ6" s="7">
        <v>8461.1610000000001</v>
      </c>
      <c r="AK6" s="7">
        <v>227560.72399999999</v>
      </c>
      <c r="AL6" s="7">
        <v>115695.886</v>
      </c>
      <c r="AM6" s="7">
        <v>0</v>
      </c>
      <c r="AN6" s="7">
        <v>76902.612999999998</v>
      </c>
      <c r="AO6" s="7">
        <v>2596.5729999999999</v>
      </c>
      <c r="AP6" s="7">
        <v>8577.0259999999998</v>
      </c>
      <c r="AQ6" s="7">
        <v>25817.773000000001</v>
      </c>
      <c r="AR6" s="7">
        <v>2116.5230000000001</v>
      </c>
      <c r="AS6" s="7">
        <v>43.877000000000002</v>
      </c>
      <c r="AT6" s="7">
        <v>0</v>
      </c>
      <c r="AU6" s="7">
        <v>3176.44</v>
      </c>
      <c r="AV6" s="7">
        <v>5174.1310000000003</v>
      </c>
      <c r="AW6" s="7">
        <v>12581.235000000001</v>
      </c>
      <c r="AX6" s="7">
        <v>237.50299999999999</v>
      </c>
      <c r="AY6" s="7">
        <v>300.68799999999999</v>
      </c>
      <c r="AZ6" s="7">
        <v>693.60599999999999</v>
      </c>
      <c r="BA6" s="7">
        <v>162.941</v>
      </c>
      <c r="BB6" s="7">
        <v>1133.6220000000001</v>
      </c>
      <c r="BC6" s="7">
        <v>220.16499999999999</v>
      </c>
      <c r="BD6" s="7">
        <v>866.64099999999996</v>
      </c>
      <c r="BE6" s="7">
        <v>355.59500000000003</v>
      </c>
      <c r="BF6" s="7">
        <v>306.39100000000002</v>
      </c>
      <c r="BG6" s="7">
        <v>6118.317</v>
      </c>
      <c r="BH6" s="7">
        <v>38.447000000000003</v>
      </c>
      <c r="BI6" s="21"/>
    </row>
    <row r="7" spans="1:61" ht="15.6" x14ac:dyDescent="0.3">
      <c r="A7" s="5" t="s">
        <v>5</v>
      </c>
      <c r="B7" s="5" t="s">
        <v>6</v>
      </c>
      <c r="C7" s="7">
        <v>1</v>
      </c>
      <c r="D7" s="7">
        <v>1</v>
      </c>
      <c r="E7" s="7">
        <v>162448.79399999999</v>
      </c>
      <c r="F7" s="7">
        <v>12947.465</v>
      </c>
      <c r="G7" s="7">
        <v>14545.771000000001</v>
      </c>
      <c r="H7" s="7">
        <v>8.484</v>
      </c>
      <c r="I7" s="7">
        <v>1153.6949999999999</v>
      </c>
      <c r="J7" s="7">
        <v>8556.4439999999995</v>
      </c>
      <c r="K7" s="7">
        <v>2227.0309999999999</v>
      </c>
      <c r="L7" s="7">
        <v>208026.31899999999</v>
      </c>
      <c r="M7" s="7">
        <v>14393.436</v>
      </c>
      <c r="N7" s="7">
        <v>78.715000000000003</v>
      </c>
      <c r="O7" s="7">
        <v>2031.7360000000001</v>
      </c>
      <c r="P7" s="7">
        <v>390.71800000000002</v>
      </c>
      <c r="Q7" s="7">
        <v>858.29</v>
      </c>
      <c r="R7" s="7">
        <v>375.322</v>
      </c>
      <c r="S7" s="7">
        <v>3819.6060000000002</v>
      </c>
      <c r="T7" s="7">
        <v>52.286000000000001</v>
      </c>
      <c r="U7" s="7">
        <v>371.577</v>
      </c>
      <c r="V7" s="7">
        <v>1231.2639999999999</v>
      </c>
      <c r="W7" s="7">
        <v>1779.723</v>
      </c>
      <c r="X7" s="7">
        <v>765.16300000000001</v>
      </c>
      <c r="Y7" s="7">
        <v>45594.337</v>
      </c>
      <c r="Z7" s="7">
        <v>4379.027</v>
      </c>
      <c r="AA7" s="7">
        <v>20681.48</v>
      </c>
      <c r="AB7" s="7">
        <v>72728.527000000002</v>
      </c>
      <c r="AC7" s="7">
        <v>1297.31</v>
      </c>
      <c r="AD7" s="7">
        <v>3049.913</v>
      </c>
      <c r="AE7" s="7">
        <v>205448.46599999999</v>
      </c>
      <c r="AF7" s="7">
        <v>48981.110999999997</v>
      </c>
      <c r="AG7" s="7">
        <v>21278.815999999999</v>
      </c>
      <c r="AH7" s="7">
        <v>391210.97499999998</v>
      </c>
      <c r="AI7" s="7">
        <v>63239.487999999998</v>
      </c>
      <c r="AJ7" s="7">
        <v>21419.311000000002</v>
      </c>
      <c r="AK7" s="7">
        <v>251761.155</v>
      </c>
      <c r="AL7" s="7">
        <v>131339.64600000001</v>
      </c>
      <c r="AM7" s="7">
        <v>138.64699999999999</v>
      </c>
      <c r="AN7" s="7">
        <v>86154.78</v>
      </c>
      <c r="AO7" s="7">
        <v>4481.0680000000002</v>
      </c>
      <c r="AP7" s="7">
        <v>0</v>
      </c>
      <c r="AQ7" s="7">
        <v>12083.121999999999</v>
      </c>
      <c r="AR7" s="7">
        <v>0</v>
      </c>
      <c r="AS7" s="7">
        <v>16.995000000000001</v>
      </c>
      <c r="AT7" s="7">
        <v>0</v>
      </c>
      <c r="AU7" s="7">
        <v>220.00899999999999</v>
      </c>
      <c r="AV7" s="7">
        <v>0</v>
      </c>
      <c r="AW7" s="7">
        <v>0</v>
      </c>
      <c r="AX7" s="7">
        <v>11173.986999999999</v>
      </c>
      <c r="AY7" s="7">
        <v>350.86799999999999</v>
      </c>
      <c r="AZ7" s="7">
        <v>1657.8019999999999</v>
      </c>
      <c r="BA7" s="7">
        <v>464.98399999999998</v>
      </c>
      <c r="BB7" s="7">
        <v>542.976</v>
      </c>
      <c r="BC7" s="7">
        <v>144.571</v>
      </c>
      <c r="BD7" s="7">
        <v>2099.3919999999998</v>
      </c>
      <c r="BE7" s="7">
        <v>163.59</v>
      </c>
      <c r="BF7" s="7">
        <v>732.81899999999996</v>
      </c>
      <c r="BG7" s="7">
        <v>11453.111000000001</v>
      </c>
      <c r="BH7" s="7">
        <v>45.77</v>
      </c>
      <c r="BI7" s="21"/>
    </row>
    <row r="8" spans="1:61" ht="15.6" x14ac:dyDescent="0.3">
      <c r="A8" s="5" t="s">
        <v>7</v>
      </c>
      <c r="B8" s="5" t="s">
        <v>8</v>
      </c>
      <c r="C8" s="7">
        <v>1</v>
      </c>
      <c r="D8" s="7">
        <v>1</v>
      </c>
      <c r="E8" s="7">
        <v>713054.76</v>
      </c>
      <c r="F8" s="7">
        <v>93923.638999999996</v>
      </c>
      <c r="G8" s="7">
        <v>0</v>
      </c>
      <c r="H8" s="7">
        <v>0</v>
      </c>
      <c r="I8" s="7">
        <v>2601.2139999999999</v>
      </c>
      <c r="J8" s="7">
        <v>0</v>
      </c>
      <c r="K8" s="7">
        <v>0</v>
      </c>
      <c r="L8" s="7">
        <v>1428100.344</v>
      </c>
      <c r="M8" s="7">
        <v>43310.999000000003</v>
      </c>
      <c r="N8" s="7">
        <v>0</v>
      </c>
      <c r="O8" s="7">
        <v>9351.7610000000004</v>
      </c>
      <c r="P8" s="7">
        <v>0</v>
      </c>
      <c r="Q8" s="7">
        <v>5120.32</v>
      </c>
      <c r="R8" s="7">
        <v>1091.088</v>
      </c>
      <c r="S8" s="7">
        <v>30254.835999999999</v>
      </c>
      <c r="T8" s="7">
        <v>0</v>
      </c>
      <c r="U8" s="7">
        <v>0</v>
      </c>
      <c r="V8" s="7">
        <v>0</v>
      </c>
      <c r="W8" s="7">
        <v>10182.161</v>
      </c>
      <c r="X8" s="7">
        <v>71603.448999999993</v>
      </c>
      <c r="Y8" s="7">
        <v>343141.15299999999</v>
      </c>
      <c r="Z8" s="7">
        <v>34528.826999999997</v>
      </c>
      <c r="AA8" s="7">
        <v>58663.987999999998</v>
      </c>
      <c r="AB8" s="7">
        <v>323815.70699999999</v>
      </c>
      <c r="AC8" s="7">
        <v>19482.782999999999</v>
      </c>
      <c r="AD8" s="7">
        <v>14387.629000000001</v>
      </c>
      <c r="AE8" s="7">
        <v>991893.01800000004</v>
      </c>
      <c r="AF8" s="7">
        <v>871422.01</v>
      </c>
      <c r="AG8" s="7">
        <v>90663.031000000003</v>
      </c>
      <c r="AH8" s="7">
        <v>2535601.8390000002</v>
      </c>
      <c r="AI8" s="7">
        <v>1262625.93</v>
      </c>
      <c r="AJ8" s="7">
        <v>164518.10200000001</v>
      </c>
      <c r="AK8" s="7">
        <v>5294874.3219999997</v>
      </c>
      <c r="AL8" s="7">
        <v>2721583.6770000001</v>
      </c>
      <c r="AM8" s="7">
        <v>0</v>
      </c>
      <c r="AN8" s="7">
        <v>1805930.74</v>
      </c>
      <c r="AO8" s="7">
        <v>29947.822</v>
      </c>
      <c r="AP8" s="7">
        <v>0</v>
      </c>
      <c r="AQ8" s="7">
        <v>354134.88400000002</v>
      </c>
      <c r="AR8" s="7">
        <v>0</v>
      </c>
      <c r="AS8" s="7">
        <v>306.26400000000001</v>
      </c>
      <c r="AT8" s="7">
        <v>0</v>
      </c>
      <c r="AU8" s="7">
        <v>1935.876</v>
      </c>
      <c r="AV8" s="7">
        <v>0</v>
      </c>
      <c r="AW8" s="7">
        <v>0</v>
      </c>
      <c r="AX8" s="7">
        <v>94991.812000000005</v>
      </c>
      <c r="AY8" s="7">
        <v>0</v>
      </c>
      <c r="AZ8" s="7">
        <v>0</v>
      </c>
      <c r="BA8" s="7">
        <v>73281.411999999997</v>
      </c>
      <c r="BB8" s="7">
        <v>13894.357</v>
      </c>
      <c r="BC8" s="7">
        <v>0</v>
      </c>
      <c r="BD8" s="7">
        <v>0</v>
      </c>
      <c r="BE8" s="7">
        <v>4260.6289999999999</v>
      </c>
      <c r="BF8" s="7">
        <v>0</v>
      </c>
      <c r="BG8" s="7">
        <v>97579.698999999993</v>
      </c>
      <c r="BH8" s="7">
        <v>0</v>
      </c>
      <c r="BI8" s="21"/>
    </row>
    <row r="9" spans="1:61" ht="15.6" x14ac:dyDescent="0.3">
      <c r="A9" s="5" t="s">
        <v>9</v>
      </c>
      <c r="B9" s="5" t="s">
        <v>10</v>
      </c>
      <c r="C9" s="7">
        <v>1</v>
      </c>
      <c r="D9" s="7">
        <v>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21"/>
    </row>
    <row r="10" spans="1:61" ht="15.6" x14ac:dyDescent="0.3">
      <c r="A10" s="5" t="s">
        <v>11</v>
      </c>
      <c r="B10" s="5" t="s">
        <v>12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21"/>
    </row>
    <row r="11" spans="1:61" ht="15.6" x14ac:dyDescent="0.3">
      <c r="A11" s="5" t="s">
        <v>13</v>
      </c>
      <c r="B11" s="5" t="s">
        <v>14</v>
      </c>
      <c r="C11" s="7">
        <v>1</v>
      </c>
      <c r="D11" s="7">
        <v>1</v>
      </c>
      <c r="E11" s="7">
        <v>42189.881999999998</v>
      </c>
      <c r="F11" s="7">
        <v>7250.7560000000003</v>
      </c>
      <c r="G11" s="7">
        <v>5417.5630000000001</v>
      </c>
      <c r="H11" s="7">
        <v>0</v>
      </c>
      <c r="I11" s="7">
        <v>566.48</v>
      </c>
      <c r="J11" s="7">
        <v>2570.8069999999998</v>
      </c>
      <c r="K11" s="7">
        <v>0</v>
      </c>
      <c r="L11" s="7">
        <v>42965.133999999998</v>
      </c>
      <c r="M11" s="7">
        <v>8619.3070000000007</v>
      </c>
      <c r="N11" s="7">
        <v>0</v>
      </c>
      <c r="O11" s="7">
        <v>165.166</v>
      </c>
      <c r="P11" s="7">
        <v>42.875999999999998</v>
      </c>
      <c r="Q11" s="7">
        <v>100.76600000000001</v>
      </c>
      <c r="R11" s="7">
        <v>71.742000000000004</v>
      </c>
      <c r="S11" s="7">
        <v>2079.002</v>
      </c>
      <c r="T11" s="7">
        <v>0</v>
      </c>
      <c r="U11" s="7">
        <v>0</v>
      </c>
      <c r="V11" s="7">
        <v>530.39099999999996</v>
      </c>
      <c r="W11" s="7">
        <v>1926.7090000000001</v>
      </c>
      <c r="X11" s="7">
        <v>12620.987999999999</v>
      </c>
      <c r="Y11" s="7">
        <v>13847.561</v>
      </c>
      <c r="Z11" s="7">
        <v>2278.971</v>
      </c>
      <c r="AA11" s="7">
        <v>9057.1370000000006</v>
      </c>
      <c r="AB11" s="7">
        <v>3705.4189999999999</v>
      </c>
      <c r="AC11" s="7">
        <v>1231.0229999999999</v>
      </c>
      <c r="AD11" s="7">
        <v>514.31899999999996</v>
      </c>
      <c r="AE11" s="7">
        <v>37585.904999999999</v>
      </c>
      <c r="AF11" s="7">
        <v>21776.782999999999</v>
      </c>
      <c r="AG11" s="7">
        <v>2148.7750000000001</v>
      </c>
      <c r="AH11" s="7">
        <v>100186.815</v>
      </c>
      <c r="AI11" s="7">
        <v>40974.667000000001</v>
      </c>
      <c r="AJ11" s="7">
        <v>11342.960999999999</v>
      </c>
      <c r="AK11" s="7">
        <v>438724.83199999999</v>
      </c>
      <c r="AL11" s="7">
        <v>225506.07800000001</v>
      </c>
      <c r="AM11" s="7">
        <v>0</v>
      </c>
      <c r="AN11" s="7">
        <v>149636.53700000001</v>
      </c>
      <c r="AO11" s="7">
        <v>1132.549</v>
      </c>
      <c r="AP11" s="7">
        <v>0</v>
      </c>
      <c r="AQ11" s="7">
        <v>6915.4979999999996</v>
      </c>
      <c r="AR11" s="7">
        <v>0</v>
      </c>
      <c r="AS11" s="7">
        <v>11.69</v>
      </c>
      <c r="AT11" s="7">
        <v>0</v>
      </c>
      <c r="AU11" s="7">
        <v>140.952</v>
      </c>
      <c r="AV11" s="7">
        <v>0</v>
      </c>
      <c r="AW11" s="7">
        <v>0</v>
      </c>
      <c r="AX11" s="7">
        <v>16743.473999999998</v>
      </c>
      <c r="AY11" s="7">
        <v>234.506</v>
      </c>
      <c r="AZ11" s="7">
        <v>678.65300000000002</v>
      </c>
      <c r="BA11" s="7">
        <v>12916.75</v>
      </c>
      <c r="BB11" s="7">
        <v>524.697</v>
      </c>
      <c r="BC11" s="7">
        <v>106.705</v>
      </c>
      <c r="BD11" s="7">
        <v>859.42600000000004</v>
      </c>
      <c r="BE11" s="7">
        <v>159.84700000000001</v>
      </c>
      <c r="BF11" s="7">
        <v>299.99299999999999</v>
      </c>
      <c r="BG11" s="7">
        <v>6534.491</v>
      </c>
      <c r="BH11" s="7">
        <v>34.186</v>
      </c>
      <c r="BI11" s="21"/>
    </row>
    <row r="12" spans="1:61" ht="15.6" x14ac:dyDescent="0.3">
      <c r="A12" s="5" t="s">
        <v>3</v>
      </c>
      <c r="B12" s="5" t="s">
        <v>15</v>
      </c>
      <c r="C12" s="7">
        <v>1</v>
      </c>
      <c r="D12" s="7">
        <v>1</v>
      </c>
      <c r="E12" s="7">
        <v>25.666</v>
      </c>
      <c r="F12" s="7">
        <v>3.5510000000000002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114.41500000000001</v>
      </c>
      <c r="M12" s="7">
        <v>8.4930000000000003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7.8390000000000004</v>
      </c>
      <c r="AF12" s="7">
        <v>1.167</v>
      </c>
      <c r="AG12" s="7">
        <v>0</v>
      </c>
      <c r="AH12" s="7">
        <v>73.465999999999994</v>
      </c>
      <c r="AI12" s="7">
        <v>0.79100000000000004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21"/>
    </row>
    <row r="13" spans="1:61" ht="15.6" x14ac:dyDescent="0.3">
      <c r="A13" s="5" t="s">
        <v>16</v>
      </c>
      <c r="B13" s="5" t="s">
        <v>17</v>
      </c>
      <c r="C13" s="7">
        <v>1</v>
      </c>
      <c r="D13" s="7">
        <v>1</v>
      </c>
      <c r="E13" s="7">
        <v>6439.6670000000004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5668.9989999999998</v>
      </c>
      <c r="M13" s="7">
        <v>12821.06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1.9E-2</v>
      </c>
      <c r="Y13" s="7">
        <v>117.565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499.96600000000001</v>
      </c>
      <c r="AF13" s="7">
        <v>7012.1049999999996</v>
      </c>
      <c r="AG13" s="7">
        <v>0</v>
      </c>
      <c r="AH13" s="7">
        <v>5745.83</v>
      </c>
      <c r="AI13" s="7">
        <v>24829.812999999998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2751.2440000000001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21"/>
    </row>
    <row r="14" spans="1:61" ht="15.6" x14ac:dyDescent="0.3">
      <c r="A14" s="5" t="s">
        <v>18</v>
      </c>
      <c r="B14" s="5" t="s">
        <v>19</v>
      </c>
      <c r="C14" s="7">
        <v>2</v>
      </c>
      <c r="D14" s="7">
        <v>2</v>
      </c>
      <c r="E14" s="7">
        <v>1054732.56</v>
      </c>
      <c r="F14" s="7">
        <v>79179.937000000005</v>
      </c>
      <c r="G14" s="7">
        <v>187738.019</v>
      </c>
      <c r="H14" s="7">
        <v>0</v>
      </c>
      <c r="I14" s="7">
        <v>23565.432000000001</v>
      </c>
      <c r="J14" s="7">
        <v>119824.514</v>
      </c>
      <c r="K14" s="7">
        <v>0</v>
      </c>
      <c r="L14" s="7">
        <v>358620.53200000001</v>
      </c>
      <c r="M14" s="7">
        <v>299441.72700000001</v>
      </c>
      <c r="N14" s="7">
        <v>0</v>
      </c>
      <c r="O14" s="7">
        <v>0</v>
      </c>
      <c r="P14" s="7">
        <v>12905.04</v>
      </c>
      <c r="Q14" s="7">
        <v>920.38300000000004</v>
      </c>
      <c r="R14" s="7">
        <v>1281.45</v>
      </c>
      <c r="S14" s="7">
        <v>24517.241999999998</v>
      </c>
      <c r="T14" s="7">
        <v>0</v>
      </c>
      <c r="U14" s="7">
        <v>0</v>
      </c>
      <c r="V14" s="7">
        <v>18527.54</v>
      </c>
      <c r="W14" s="7">
        <v>27820.093000000001</v>
      </c>
      <c r="X14" s="7">
        <v>0</v>
      </c>
      <c r="Y14" s="7">
        <v>236267.18599999999</v>
      </c>
      <c r="Z14" s="7">
        <v>0</v>
      </c>
      <c r="AA14" s="7">
        <v>242926.747</v>
      </c>
      <c r="AB14" s="7">
        <v>0</v>
      </c>
      <c r="AC14" s="7">
        <v>10891.038</v>
      </c>
      <c r="AD14" s="7">
        <v>6377.8789999999999</v>
      </c>
      <c r="AE14" s="7">
        <v>651386.16899999999</v>
      </c>
      <c r="AF14" s="7">
        <v>0</v>
      </c>
      <c r="AG14" s="7">
        <v>25834.218000000001</v>
      </c>
      <c r="AH14" s="7">
        <v>1281279.588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16350.516</v>
      </c>
      <c r="AP14" s="7">
        <v>0</v>
      </c>
      <c r="AQ14" s="7">
        <v>0</v>
      </c>
      <c r="AR14" s="7">
        <v>0</v>
      </c>
      <c r="AS14" s="7">
        <v>673.34</v>
      </c>
      <c r="AT14" s="7">
        <v>0</v>
      </c>
      <c r="AU14" s="7">
        <v>15425.674999999999</v>
      </c>
      <c r="AV14" s="7">
        <v>0</v>
      </c>
      <c r="AW14" s="7">
        <v>0</v>
      </c>
      <c r="AX14" s="7">
        <v>0</v>
      </c>
      <c r="AY14" s="7">
        <v>15359.993</v>
      </c>
      <c r="AZ14" s="7">
        <v>0</v>
      </c>
      <c r="BA14" s="7">
        <v>0</v>
      </c>
      <c r="BB14" s="7">
        <v>8131.7389999999996</v>
      </c>
      <c r="BC14" s="7">
        <v>6715.1040000000003</v>
      </c>
      <c r="BD14" s="7">
        <v>0</v>
      </c>
      <c r="BE14" s="7">
        <v>2267.2930000000001</v>
      </c>
      <c r="BF14" s="7">
        <v>0</v>
      </c>
      <c r="BG14" s="7">
        <v>0</v>
      </c>
      <c r="BH14" s="7">
        <v>2065.056</v>
      </c>
      <c r="BI14" s="21"/>
    </row>
    <row r="15" spans="1:61" ht="15.6" x14ac:dyDescent="0.3">
      <c r="A15" s="5" t="s">
        <v>20</v>
      </c>
      <c r="B15" s="5" t="s">
        <v>21</v>
      </c>
      <c r="C15" s="7">
        <v>2</v>
      </c>
      <c r="D15" s="7">
        <v>2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21"/>
    </row>
    <row r="16" spans="1:61" ht="15.6" x14ac:dyDescent="0.3">
      <c r="A16" s="5" t="s">
        <v>22</v>
      </c>
      <c r="B16" s="5" t="s">
        <v>23</v>
      </c>
      <c r="C16" s="7">
        <v>2</v>
      </c>
      <c r="D16" s="7">
        <v>2</v>
      </c>
      <c r="E16" s="7">
        <v>1015654.807</v>
      </c>
      <c r="F16" s="7">
        <v>76246.327000000005</v>
      </c>
      <c r="G16" s="7">
        <v>180782.34</v>
      </c>
      <c r="H16" s="7">
        <v>0</v>
      </c>
      <c r="I16" s="7">
        <v>22692.334999999999</v>
      </c>
      <c r="J16" s="7">
        <v>115385.027</v>
      </c>
      <c r="K16" s="7">
        <v>62733.894999999997</v>
      </c>
      <c r="L16" s="7">
        <v>345333.67300000001</v>
      </c>
      <c r="M16" s="7">
        <v>288347.435</v>
      </c>
      <c r="N16" s="7">
        <v>12723.514999999999</v>
      </c>
      <c r="O16" s="7">
        <v>0</v>
      </c>
      <c r="P16" s="7">
        <v>0</v>
      </c>
      <c r="Q16" s="7">
        <v>1458.1179999999999</v>
      </c>
      <c r="R16" s="7">
        <v>2030.1410000000001</v>
      </c>
      <c r="S16" s="7">
        <v>23608.878000000001</v>
      </c>
      <c r="T16" s="7">
        <v>0</v>
      </c>
      <c r="U16" s="7">
        <v>45820.798000000003</v>
      </c>
      <c r="V16" s="7">
        <v>17841.096000000001</v>
      </c>
      <c r="W16" s="7">
        <v>26789.361000000001</v>
      </c>
      <c r="X16" s="7">
        <v>0</v>
      </c>
      <c r="Y16" s="7">
        <v>227513.505</v>
      </c>
      <c r="Z16" s="7">
        <v>0</v>
      </c>
      <c r="AA16" s="7">
        <v>233926.33300000001</v>
      </c>
      <c r="AB16" s="7">
        <v>0</v>
      </c>
      <c r="AC16" s="7">
        <v>10487.526</v>
      </c>
      <c r="AD16" s="7">
        <v>6141.5780000000004</v>
      </c>
      <c r="AE16" s="7">
        <v>627252.36699999997</v>
      </c>
      <c r="AF16" s="7">
        <v>0</v>
      </c>
      <c r="AG16" s="7">
        <v>24877.062000000002</v>
      </c>
      <c r="AH16" s="7">
        <v>1234139.3289999999</v>
      </c>
      <c r="AI16" s="7">
        <v>0</v>
      </c>
      <c r="AJ16" s="7">
        <v>0</v>
      </c>
      <c r="AK16" s="7">
        <v>0</v>
      </c>
      <c r="AL16" s="7">
        <v>0</v>
      </c>
      <c r="AM16" s="7">
        <v>12582.662</v>
      </c>
      <c r="AN16" s="7">
        <v>0</v>
      </c>
      <c r="AO16" s="7">
        <v>15744.728999999999</v>
      </c>
      <c r="AP16" s="7">
        <v>0</v>
      </c>
      <c r="AQ16" s="7">
        <v>0</v>
      </c>
      <c r="AR16" s="7">
        <v>0</v>
      </c>
      <c r="AS16" s="7">
        <v>648.39200000000005</v>
      </c>
      <c r="AT16" s="7">
        <v>0</v>
      </c>
      <c r="AU16" s="7">
        <v>15349.477000000001</v>
      </c>
      <c r="AV16" s="7">
        <v>0</v>
      </c>
      <c r="AW16" s="7">
        <v>0</v>
      </c>
      <c r="AX16" s="7">
        <v>0</v>
      </c>
      <c r="AY16" s="7">
        <v>14790.906000000001</v>
      </c>
      <c r="AZ16" s="7">
        <v>0</v>
      </c>
      <c r="BA16" s="7">
        <v>0</v>
      </c>
      <c r="BB16" s="7">
        <v>7830.4589999999998</v>
      </c>
      <c r="BC16" s="7">
        <v>6466.31</v>
      </c>
      <c r="BD16" s="7">
        <v>0</v>
      </c>
      <c r="BE16" s="7">
        <v>2183.29</v>
      </c>
      <c r="BF16" s="7">
        <v>0</v>
      </c>
      <c r="BG16" s="7">
        <v>0</v>
      </c>
      <c r="BH16" s="7">
        <v>1988.5450000000001</v>
      </c>
      <c r="BI16" s="21"/>
    </row>
    <row r="17" spans="1:61" ht="15.6" x14ac:dyDescent="0.3">
      <c r="A17" s="5" t="s">
        <v>24</v>
      </c>
      <c r="B17" s="5" t="s">
        <v>25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21"/>
    </row>
    <row r="18" spans="1:61" ht="15.6" x14ac:dyDescent="0.3">
      <c r="A18" s="5" t="s">
        <v>26</v>
      </c>
      <c r="B18" s="5" t="s">
        <v>27</v>
      </c>
      <c r="C18" s="7">
        <v>2</v>
      </c>
      <c r="D18" s="7">
        <v>2</v>
      </c>
      <c r="E18" s="7">
        <v>156319.15299999999</v>
      </c>
      <c r="F18" s="7">
        <v>21446.094000000001</v>
      </c>
      <c r="G18" s="7">
        <v>0</v>
      </c>
      <c r="H18" s="7">
        <v>0</v>
      </c>
      <c r="I18" s="7">
        <v>593.94899999999996</v>
      </c>
      <c r="J18" s="7">
        <v>0</v>
      </c>
      <c r="K18" s="7">
        <v>120723.50599999999</v>
      </c>
      <c r="L18" s="7">
        <v>326084.304</v>
      </c>
      <c r="M18" s="7">
        <v>9889.4359999999997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6908.2510000000002</v>
      </c>
      <c r="T18" s="7">
        <v>967.82299999999998</v>
      </c>
      <c r="U18" s="7">
        <v>88176.373000000007</v>
      </c>
      <c r="V18" s="7">
        <v>0</v>
      </c>
      <c r="W18" s="7">
        <v>2324.9470000000001</v>
      </c>
      <c r="X18" s="7">
        <v>24806.156999999999</v>
      </c>
      <c r="Y18" s="7">
        <v>77215.179000000004</v>
      </c>
      <c r="Z18" s="7">
        <v>0</v>
      </c>
      <c r="AA18" s="7">
        <v>13268.597</v>
      </c>
      <c r="AB18" s="7">
        <v>0</v>
      </c>
      <c r="AC18" s="7">
        <v>4448.6090000000004</v>
      </c>
      <c r="AD18" s="7">
        <v>0</v>
      </c>
      <c r="AE18" s="7">
        <v>218675.736</v>
      </c>
      <c r="AF18" s="7">
        <v>198976.389</v>
      </c>
      <c r="AG18" s="7">
        <v>0</v>
      </c>
      <c r="AH18" s="7">
        <v>578000.255</v>
      </c>
      <c r="AI18" s="7">
        <v>288302.24099999998</v>
      </c>
      <c r="AJ18" s="7">
        <v>0</v>
      </c>
      <c r="AK18" s="7">
        <v>0</v>
      </c>
      <c r="AL18" s="7">
        <v>0</v>
      </c>
      <c r="AM18" s="7">
        <v>24213.753000000001</v>
      </c>
      <c r="AN18" s="7">
        <v>0</v>
      </c>
      <c r="AO18" s="7">
        <v>6838.1509999999998</v>
      </c>
      <c r="AP18" s="7">
        <v>0</v>
      </c>
      <c r="AQ18" s="7">
        <v>80861.542000000001</v>
      </c>
      <c r="AR18" s="7">
        <v>0</v>
      </c>
      <c r="AS18" s="7">
        <v>69.930000000000007</v>
      </c>
      <c r="AT18" s="7">
        <v>0</v>
      </c>
      <c r="AU18" s="7">
        <v>519.68799999999999</v>
      </c>
      <c r="AV18" s="7">
        <v>0</v>
      </c>
      <c r="AW18" s="7">
        <v>0</v>
      </c>
      <c r="AX18" s="7">
        <v>32908.773999999998</v>
      </c>
      <c r="AY18" s="7">
        <v>0</v>
      </c>
      <c r="AZ18" s="7">
        <v>0</v>
      </c>
      <c r="BA18" s="7">
        <v>25387.469000000001</v>
      </c>
      <c r="BB18" s="7">
        <v>3172.5749999999998</v>
      </c>
      <c r="BC18" s="7">
        <v>0</v>
      </c>
      <c r="BD18" s="7">
        <v>0</v>
      </c>
      <c r="BE18" s="7">
        <v>972.85</v>
      </c>
      <c r="BF18" s="7">
        <v>0</v>
      </c>
      <c r="BG18" s="7">
        <v>0</v>
      </c>
      <c r="BH18" s="7">
        <v>0</v>
      </c>
      <c r="BI18" s="21"/>
    </row>
    <row r="19" spans="1:61" ht="15.6" x14ac:dyDescent="0.3">
      <c r="A19" s="5" t="s">
        <v>28</v>
      </c>
      <c r="B19" s="5" t="s">
        <v>29</v>
      </c>
      <c r="C19" s="7">
        <v>6</v>
      </c>
      <c r="D19" s="7">
        <v>6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21"/>
    </row>
    <row r="20" spans="1:61" ht="15.6" x14ac:dyDescent="0.3">
      <c r="A20" s="5" t="s">
        <v>30</v>
      </c>
      <c r="B20" s="5" t="s">
        <v>31</v>
      </c>
      <c r="C20" s="7">
        <v>5</v>
      </c>
      <c r="D20" s="7">
        <v>5</v>
      </c>
      <c r="E20" s="7">
        <v>0</v>
      </c>
      <c r="F20" s="7">
        <v>0</v>
      </c>
      <c r="G20" s="7">
        <v>0</v>
      </c>
      <c r="H20" s="7">
        <v>995470.57700000005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21"/>
    </row>
    <row r="21" spans="1:61" ht="15.6" x14ac:dyDescent="0.3">
      <c r="A21" s="5" t="s">
        <v>32</v>
      </c>
      <c r="B21" s="5" t="s">
        <v>33</v>
      </c>
      <c r="C21" s="7">
        <v>2</v>
      </c>
      <c r="D21" s="7">
        <v>2</v>
      </c>
      <c r="E21" s="7">
        <v>30621.548999999999</v>
      </c>
      <c r="F21" s="7">
        <v>1939.3810000000001</v>
      </c>
      <c r="G21" s="7">
        <v>6060.2089999999998</v>
      </c>
      <c r="H21" s="7">
        <v>0</v>
      </c>
      <c r="I21" s="7">
        <v>577.19600000000003</v>
      </c>
      <c r="J21" s="7">
        <v>4056.5619999999999</v>
      </c>
      <c r="K21" s="7">
        <v>0</v>
      </c>
      <c r="L21" s="7">
        <v>12350.797</v>
      </c>
      <c r="M21" s="7">
        <v>9040.6290000000008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600.50900000000001</v>
      </c>
      <c r="T21" s="7">
        <v>0</v>
      </c>
      <c r="U21" s="7">
        <v>0</v>
      </c>
      <c r="V21" s="7">
        <v>453.80099999999999</v>
      </c>
      <c r="W21" s="7">
        <v>681.40700000000004</v>
      </c>
      <c r="X21" s="7">
        <v>0</v>
      </c>
      <c r="Y21" s="7">
        <v>5786.973</v>
      </c>
      <c r="Z21" s="7">
        <v>0</v>
      </c>
      <c r="AA21" s="7">
        <v>5950.0879999999997</v>
      </c>
      <c r="AB21" s="7">
        <v>0</v>
      </c>
      <c r="AC21" s="7">
        <v>266.75799999999998</v>
      </c>
      <c r="AD21" s="7">
        <v>156.21600000000001</v>
      </c>
      <c r="AE21" s="7">
        <v>16619.116000000002</v>
      </c>
      <c r="AF21" s="7">
        <v>0</v>
      </c>
      <c r="AG21" s="7">
        <v>632.76599999999996</v>
      </c>
      <c r="AH21" s="7">
        <v>34737.165999999997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400.47899999999998</v>
      </c>
      <c r="AP21" s="7">
        <v>0</v>
      </c>
      <c r="AQ21" s="7">
        <v>0</v>
      </c>
      <c r="AR21" s="7">
        <v>0</v>
      </c>
      <c r="AS21" s="7">
        <v>16.492000000000001</v>
      </c>
      <c r="AT21" s="7">
        <v>0</v>
      </c>
      <c r="AU21" s="7">
        <v>289.76499999999999</v>
      </c>
      <c r="AV21" s="7">
        <v>0</v>
      </c>
      <c r="AW21" s="7">
        <v>0</v>
      </c>
      <c r="AX21" s="7">
        <v>0</v>
      </c>
      <c r="AY21" s="7">
        <v>376.21800000000002</v>
      </c>
      <c r="AZ21" s="7">
        <v>0</v>
      </c>
      <c r="BA21" s="7">
        <v>0</v>
      </c>
      <c r="BB21" s="7">
        <v>199.173</v>
      </c>
      <c r="BC21" s="7">
        <v>164.47499999999999</v>
      </c>
      <c r="BD21" s="7">
        <v>0</v>
      </c>
      <c r="BE21" s="7">
        <v>55.533999999999999</v>
      </c>
      <c r="BF21" s="7">
        <v>0</v>
      </c>
      <c r="BG21" s="7">
        <v>6791.03</v>
      </c>
      <c r="BH21" s="7">
        <v>50.58</v>
      </c>
      <c r="BI21" s="21"/>
    </row>
    <row r="22" spans="1:61" ht="15.6" x14ac:dyDescent="0.3">
      <c r="A22" s="5" t="s">
        <v>34</v>
      </c>
      <c r="B22" s="5" t="s">
        <v>35</v>
      </c>
      <c r="C22" s="7">
        <v>2</v>
      </c>
      <c r="D22" s="7">
        <v>2</v>
      </c>
      <c r="E22" s="7">
        <v>82398.426000000007</v>
      </c>
      <c r="F22" s="7">
        <v>8267.7469999999994</v>
      </c>
      <c r="G22" s="7">
        <v>8413.0750000000007</v>
      </c>
      <c r="H22" s="7">
        <v>0</v>
      </c>
      <c r="I22" s="7">
        <v>1323.0050000000001</v>
      </c>
      <c r="J22" s="7">
        <v>5712.7479999999996</v>
      </c>
      <c r="K22" s="7">
        <v>0</v>
      </c>
      <c r="L22" s="7">
        <v>74082.736000000004</v>
      </c>
      <c r="M22" s="7">
        <v>15483.002</v>
      </c>
      <c r="N22" s="7">
        <v>0</v>
      </c>
      <c r="O22" s="7">
        <v>132.07900000000001</v>
      </c>
      <c r="P22" s="7">
        <v>0</v>
      </c>
      <c r="Q22" s="7">
        <v>39.700000000000003</v>
      </c>
      <c r="R22" s="7">
        <v>0</v>
      </c>
      <c r="S22" s="7">
        <v>2632.9140000000002</v>
      </c>
      <c r="T22" s="7">
        <v>0</v>
      </c>
      <c r="U22" s="7">
        <v>0</v>
      </c>
      <c r="V22" s="7">
        <v>1143.289</v>
      </c>
      <c r="W22" s="7">
        <v>2516.9279999999999</v>
      </c>
      <c r="X22" s="7">
        <v>1037.857</v>
      </c>
      <c r="Y22" s="7">
        <v>30899.81</v>
      </c>
      <c r="Z22" s="7">
        <v>293.36399999999998</v>
      </c>
      <c r="AA22" s="7">
        <v>7818.7610000000004</v>
      </c>
      <c r="AB22" s="7">
        <v>3201.9540000000002</v>
      </c>
      <c r="AC22" s="7">
        <v>1611.126</v>
      </c>
      <c r="AD22" s="7">
        <v>183.55</v>
      </c>
      <c r="AE22" s="7">
        <v>110621.173</v>
      </c>
      <c r="AF22" s="7">
        <v>10313.468000000001</v>
      </c>
      <c r="AG22" s="7">
        <v>1425.502</v>
      </c>
      <c r="AH22" s="7">
        <v>194468.095</v>
      </c>
      <c r="AI22" s="7">
        <v>14943.460999999999</v>
      </c>
      <c r="AJ22" s="7">
        <v>1422.258</v>
      </c>
      <c r="AK22" s="7">
        <v>1215477.96</v>
      </c>
      <c r="AL22" s="7">
        <v>624759.86699999997</v>
      </c>
      <c r="AM22" s="7">
        <v>0</v>
      </c>
      <c r="AN22" s="7">
        <v>414564.89299999998</v>
      </c>
      <c r="AO22" s="7">
        <v>1251.9000000000001</v>
      </c>
      <c r="AP22" s="7">
        <v>0</v>
      </c>
      <c r="AQ22" s="7">
        <v>4191.2659999999996</v>
      </c>
      <c r="AR22" s="7">
        <v>0</v>
      </c>
      <c r="AS22" s="7">
        <v>9.0890000000000004</v>
      </c>
      <c r="AT22" s="7">
        <v>0</v>
      </c>
      <c r="AU22" s="7">
        <v>143.60400000000001</v>
      </c>
      <c r="AV22" s="7">
        <v>0</v>
      </c>
      <c r="AW22" s="7">
        <v>0</v>
      </c>
      <c r="AX22" s="7">
        <v>1376.86</v>
      </c>
      <c r="AY22" s="7">
        <v>51.509</v>
      </c>
      <c r="AZ22" s="7">
        <v>0</v>
      </c>
      <c r="BA22" s="7">
        <v>1062.1780000000001</v>
      </c>
      <c r="BB22" s="7">
        <v>598.13900000000001</v>
      </c>
      <c r="BC22" s="7">
        <v>22.518999999999998</v>
      </c>
      <c r="BD22" s="7">
        <v>0</v>
      </c>
      <c r="BE22" s="7">
        <v>203.57599999999999</v>
      </c>
      <c r="BF22" s="7">
        <v>0</v>
      </c>
      <c r="BG22" s="7">
        <v>7131.348</v>
      </c>
      <c r="BH22" s="7">
        <v>6.9249999999999998</v>
      </c>
      <c r="BI22" s="21"/>
    </row>
    <row r="23" spans="1:61" ht="15.6" x14ac:dyDescent="0.3">
      <c r="A23" s="5" t="s">
        <v>36</v>
      </c>
      <c r="B23" s="5" t="s">
        <v>37</v>
      </c>
      <c r="C23" s="7">
        <v>6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21"/>
    </row>
    <row r="24" spans="1:61" ht="15.6" x14ac:dyDescent="0.3">
      <c r="A24" s="5" t="s">
        <v>38</v>
      </c>
      <c r="B24" s="5" t="s">
        <v>39</v>
      </c>
      <c r="C24" s="7">
        <v>6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21"/>
    </row>
    <row r="25" spans="1:61" ht="15.6" x14ac:dyDescent="0.3">
      <c r="A25" s="5" t="s">
        <v>40</v>
      </c>
      <c r="B25" s="5" t="s">
        <v>41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21"/>
    </row>
    <row r="26" spans="1:61" ht="15.6" x14ac:dyDescent="0.3">
      <c r="A26" s="5" t="s">
        <v>42</v>
      </c>
      <c r="B26" s="5" t="s">
        <v>43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21"/>
    </row>
    <row r="27" spans="1:61" ht="15.6" x14ac:dyDescent="0.3">
      <c r="A27" s="5" t="s">
        <v>44</v>
      </c>
      <c r="B27" s="5" t="s">
        <v>45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21"/>
    </row>
    <row r="28" spans="1:61" ht="15.6" x14ac:dyDescent="0.3">
      <c r="A28" s="5" t="s">
        <v>46</v>
      </c>
      <c r="B28" s="5" t="s">
        <v>47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21"/>
    </row>
    <row r="29" spans="1:61" ht="15.6" x14ac:dyDescent="0.3">
      <c r="A29" s="5" t="s">
        <v>48</v>
      </c>
      <c r="B29" s="5" t="s">
        <v>49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21"/>
    </row>
    <row r="30" spans="1:61" ht="15.6" x14ac:dyDescent="0.3">
      <c r="A30" s="5" t="s">
        <v>50</v>
      </c>
      <c r="B30" s="5" t="s">
        <v>51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21"/>
    </row>
    <row r="31" spans="1:61" ht="15.6" x14ac:dyDescent="0.3">
      <c r="A31" s="5" t="s">
        <v>52</v>
      </c>
      <c r="B31" s="5" t="s">
        <v>53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21"/>
    </row>
    <row r="32" spans="1:61" ht="15.6" x14ac:dyDescent="0.3">
      <c r="A32" s="5" t="s">
        <v>54</v>
      </c>
      <c r="B32" s="5" t="s">
        <v>55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21"/>
    </row>
    <row r="33" spans="1:61" ht="15.6" x14ac:dyDescent="0.3">
      <c r="A33" s="5" t="s">
        <v>56</v>
      </c>
      <c r="B33" s="5" t="s">
        <v>57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21"/>
    </row>
    <row r="34" spans="1:61" ht="15.6" x14ac:dyDescent="0.3">
      <c r="A34" s="5" t="s">
        <v>58</v>
      </c>
      <c r="B34" s="5" t="s">
        <v>59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21"/>
    </row>
    <row r="35" spans="1:61" ht="15.6" x14ac:dyDescent="0.3">
      <c r="A35" s="5" t="s">
        <v>60</v>
      </c>
      <c r="B35" s="5" t="s">
        <v>61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21"/>
    </row>
    <row r="36" spans="1:61" ht="15.6" x14ac:dyDescent="0.3">
      <c r="A36" s="5" t="s">
        <v>62</v>
      </c>
      <c r="B36" s="5" t="s">
        <v>63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21"/>
    </row>
    <row r="37" spans="1:61" ht="15.6" x14ac:dyDescent="0.3">
      <c r="A37" s="5" t="s">
        <v>64</v>
      </c>
      <c r="B37" s="5" t="s">
        <v>65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21"/>
    </row>
    <row r="38" spans="1:61" ht="15.6" x14ac:dyDescent="0.3">
      <c r="A38" s="5" t="s">
        <v>66</v>
      </c>
      <c r="B38" s="5" t="s">
        <v>67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21"/>
    </row>
    <row r="39" spans="1:61" ht="15.6" x14ac:dyDescent="0.3">
      <c r="A39" s="5" t="s">
        <v>68</v>
      </c>
      <c r="B39" s="5" t="s">
        <v>69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21"/>
    </row>
    <row r="40" spans="1:61" ht="15.6" x14ac:dyDescent="0.3">
      <c r="A40" s="5" t="s">
        <v>70</v>
      </c>
      <c r="B40" s="5" t="s">
        <v>71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21"/>
    </row>
    <row r="41" spans="1:61" ht="15.6" x14ac:dyDescent="0.3">
      <c r="A41" s="5" t="s">
        <v>72</v>
      </c>
      <c r="B41" s="5" t="s">
        <v>73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21"/>
    </row>
    <row r="42" spans="1:61" ht="15.6" x14ac:dyDescent="0.3">
      <c r="A42" s="5" t="s">
        <v>74</v>
      </c>
      <c r="B42" s="5" t="s">
        <v>75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21"/>
    </row>
    <row r="43" spans="1:61" ht="15.6" x14ac:dyDescent="0.3">
      <c r="A43" s="5" t="s">
        <v>76</v>
      </c>
      <c r="B43" s="5" t="s">
        <v>77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21"/>
    </row>
    <row r="44" spans="1:61" ht="15.6" x14ac:dyDescent="0.3">
      <c r="A44" s="5" t="s">
        <v>78</v>
      </c>
      <c r="B44" s="5" t="s">
        <v>79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21"/>
    </row>
    <row r="45" spans="1:61" ht="15.6" x14ac:dyDescent="0.3">
      <c r="A45" s="5" t="s">
        <v>80</v>
      </c>
      <c r="B45" s="5" t="s">
        <v>81</v>
      </c>
      <c r="C45" s="7">
        <v>6</v>
      </c>
      <c r="D45" s="7">
        <v>6</v>
      </c>
      <c r="E45" s="7">
        <v>3480.7570000000001</v>
      </c>
      <c r="F45" s="7">
        <v>507.68900000000002</v>
      </c>
      <c r="G45" s="7">
        <v>802.01400000000001</v>
      </c>
      <c r="H45" s="7">
        <v>0</v>
      </c>
      <c r="I45" s="7">
        <v>70.453999999999994</v>
      </c>
      <c r="J45" s="7">
        <v>463.33300000000003</v>
      </c>
      <c r="K45" s="7">
        <v>11804.699000000001</v>
      </c>
      <c r="L45" s="7">
        <v>1244.95</v>
      </c>
      <c r="M45" s="7">
        <v>1607.327</v>
      </c>
      <c r="N45" s="7">
        <v>0</v>
      </c>
      <c r="O45" s="7">
        <v>0</v>
      </c>
      <c r="P45" s="7">
        <v>6.6000000000000003E-2</v>
      </c>
      <c r="Q45" s="7">
        <v>0</v>
      </c>
      <c r="R45" s="7">
        <v>0</v>
      </c>
      <c r="S45" s="7">
        <v>229.78899999999999</v>
      </c>
      <c r="T45" s="7">
        <v>0</v>
      </c>
      <c r="U45" s="7">
        <v>8622.1450000000004</v>
      </c>
      <c r="V45" s="7">
        <v>121.76300000000001</v>
      </c>
      <c r="W45" s="7">
        <v>161.096</v>
      </c>
      <c r="X45" s="7">
        <v>0</v>
      </c>
      <c r="Y45" s="7">
        <v>571.31100000000004</v>
      </c>
      <c r="Z45" s="7">
        <v>0</v>
      </c>
      <c r="AA45" s="7">
        <v>941.60900000000004</v>
      </c>
      <c r="AB45" s="7">
        <v>0</v>
      </c>
      <c r="AC45" s="7">
        <v>79.364999999999995</v>
      </c>
      <c r="AD45" s="7">
        <v>0</v>
      </c>
      <c r="AE45" s="7">
        <v>550.10799999999995</v>
      </c>
      <c r="AF45" s="7">
        <v>0</v>
      </c>
      <c r="AG45" s="7">
        <v>0</v>
      </c>
      <c r="AH45" s="7">
        <v>3101.413</v>
      </c>
      <c r="AI45" s="7">
        <v>0</v>
      </c>
      <c r="AJ45" s="7">
        <v>0</v>
      </c>
      <c r="AK45" s="7">
        <v>0</v>
      </c>
      <c r="AL45" s="7">
        <v>0</v>
      </c>
      <c r="AM45" s="7">
        <v>2367.6909999999998</v>
      </c>
      <c r="AN45" s="7">
        <v>0</v>
      </c>
      <c r="AO45" s="7">
        <v>99.375</v>
      </c>
      <c r="AP45" s="7">
        <v>0</v>
      </c>
      <c r="AQ45" s="7">
        <v>0</v>
      </c>
      <c r="AR45" s="7">
        <v>0</v>
      </c>
      <c r="AS45" s="7">
        <v>2.0630000000000002</v>
      </c>
      <c r="AT45" s="7">
        <v>0</v>
      </c>
      <c r="AU45" s="7">
        <v>60.832999999999998</v>
      </c>
      <c r="AV45" s="7">
        <v>0</v>
      </c>
      <c r="AW45" s="7">
        <v>0</v>
      </c>
      <c r="AX45" s="7">
        <v>0</v>
      </c>
      <c r="AY45" s="7">
        <v>127.72199999999999</v>
      </c>
      <c r="AZ45" s="7">
        <v>0</v>
      </c>
      <c r="BA45" s="7">
        <v>0</v>
      </c>
      <c r="BB45" s="7">
        <v>46.225000000000001</v>
      </c>
      <c r="BC45" s="7">
        <v>63.968000000000004</v>
      </c>
      <c r="BD45" s="7">
        <v>0</v>
      </c>
      <c r="BE45" s="7">
        <v>13.978</v>
      </c>
      <c r="BF45" s="7">
        <v>0</v>
      </c>
      <c r="BG45" s="7">
        <v>0</v>
      </c>
      <c r="BH45" s="7">
        <v>20.622</v>
      </c>
      <c r="BI45" s="21"/>
    </row>
    <row r="46" spans="1:61" ht="15.6" x14ac:dyDescent="0.3">
      <c r="A46" s="5" t="s">
        <v>82</v>
      </c>
      <c r="B46" s="5" t="s">
        <v>83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21"/>
    </row>
    <row r="47" spans="1:61" ht="15.6" x14ac:dyDescent="0.3">
      <c r="A47" s="5" t="s">
        <v>84</v>
      </c>
      <c r="B47" s="5" t="s">
        <v>85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21"/>
    </row>
    <row r="48" spans="1:61" ht="15.6" x14ac:dyDescent="0.3">
      <c r="A48" s="5" t="s">
        <v>86</v>
      </c>
      <c r="B48" s="5" t="s">
        <v>87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21"/>
    </row>
    <row r="49" spans="1:61" ht="15.6" x14ac:dyDescent="0.3">
      <c r="A49" s="5" t="s">
        <v>88</v>
      </c>
      <c r="B49" s="5" t="s">
        <v>89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21"/>
    </row>
    <row r="50" spans="1:61" ht="15.6" x14ac:dyDescent="0.3">
      <c r="A50" s="5" t="s">
        <v>90</v>
      </c>
      <c r="B50" s="5" t="s">
        <v>91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21"/>
    </row>
    <row r="51" spans="1:61" ht="15.6" x14ac:dyDescent="0.3">
      <c r="A51" s="5" t="s">
        <v>92</v>
      </c>
      <c r="B51" s="5" t="s">
        <v>93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21"/>
    </row>
    <row r="52" spans="1:61" ht="15.6" x14ac:dyDescent="0.3">
      <c r="A52" s="5" t="s">
        <v>94</v>
      </c>
      <c r="B52" s="5" t="s">
        <v>95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21"/>
    </row>
    <row r="53" spans="1:61" ht="15.6" x14ac:dyDescent="0.3">
      <c r="A53" s="5" t="s">
        <v>96</v>
      </c>
      <c r="B53" s="5" t="s">
        <v>97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21"/>
    </row>
    <row r="54" spans="1:61" ht="15.6" x14ac:dyDescent="0.3">
      <c r="A54" s="5" t="s">
        <v>98</v>
      </c>
      <c r="B54" s="5" t="s">
        <v>99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21"/>
    </row>
    <row r="55" spans="1:61" ht="15.6" x14ac:dyDescent="0.3">
      <c r="A55" s="5" t="s">
        <v>100</v>
      </c>
      <c r="B55" s="5" t="s">
        <v>101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21"/>
    </row>
    <row r="56" spans="1:61" ht="15.6" x14ac:dyDescent="0.3">
      <c r="A56" s="5" t="s">
        <v>102</v>
      </c>
      <c r="B56" s="5" t="s">
        <v>103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21"/>
    </row>
    <row r="57" spans="1:61" ht="15.6" x14ac:dyDescent="0.3">
      <c r="A57" s="5" t="s">
        <v>104</v>
      </c>
      <c r="B57" s="5" t="s">
        <v>105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21"/>
    </row>
    <row r="58" spans="1:61" ht="15.6" x14ac:dyDescent="0.3">
      <c r="A58" s="5" t="s">
        <v>106</v>
      </c>
      <c r="B58" s="5" t="s">
        <v>107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21"/>
    </row>
    <row r="59" spans="1:61" ht="15.6" x14ac:dyDescent="0.3">
      <c r="A59" s="5" t="s">
        <v>108</v>
      </c>
      <c r="B59" s="5" t="s">
        <v>109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21"/>
    </row>
    <row r="60" spans="1:61" ht="15.6" x14ac:dyDescent="0.3">
      <c r="A60" s="5" t="s">
        <v>110</v>
      </c>
      <c r="B60" s="5" t="s">
        <v>111</v>
      </c>
      <c r="C60" s="7">
        <v>3</v>
      </c>
      <c r="D60" s="7">
        <v>3</v>
      </c>
      <c r="E60" s="7">
        <v>1028461.956</v>
      </c>
      <c r="F60" s="7">
        <v>103121.47100000001</v>
      </c>
      <c r="G60" s="7">
        <v>228699.554</v>
      </c>
      <c r="H60" s="7">
        <v>0</v>
      </c>
      <c r="I60" s="7">
        <v>19120.413</v>
      </c>
      <c r="J60" s="7">
        <v>158020.85999999999</v>
      </c>
      <c r="K60" s="7">
        <v>0</v>
      </c>
      <c r="L60" s="7">
        <v>424793.44900000002</v>
      </c>
      <c r="M60" s="7">
        <v>470967.446</v>
      </c>
      <c r="N60" s="7">
        <v>0</v>
      </c>
      <c r="O60" s="7">
        <v>0</v>
      </c>
      <c r="P60" s="7">
        <v>30.591999999999999</v>
      </c>
      <c r="Q60" s="7">
        <v>1979.0329999999999</v>
      </c>
      <c r="R60" s="7">
        <v>5069.49</v>
      </c>
      <c r="S60" s="7">
        <v>41388.152000000002</v>
      </c>
      <c r="T60" s="7">
        <v>0</v>
      </c>
      <c r="U60" s="7">
        <v>0</v>
      </c>
      <c r="V60" s="7">
        <v>27963.768</v>
      </c>
      <c r="W60" s="7">
        <v>53718.953000000001</v>
      </c>
      <c r="X60" s="7">
        <v>0</v>
      </c>
      <c r="Y60" s="7">
        <v>219689.37400000001</v>
      </c>
      <c r="Z60" s="7">
        <v>0</v>
      </c>
      <c r="AA60" s="7">
        <v>248657.307</v>
      </c>
      <c r="AB60" s="7">
        <v>0</v>
      </c>
      <c r="AC60" s="7">
        <v>18275.785</v>
      </c>
      <c r="AD60" s="7">
        <v>191.32300000000001</v>
      </c>
      <c r="AE60" s="7">
        <v>634593.25399999996</v>
      </c>
      <c r="AF60" s="7">
        <v>0</v>
      </c>
      <c r="AG60" s="7">
        <v>4.8099999999999996</v>
      </c>
      <c r="AH60" s="7">
        <v>1238828.2409999999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23678.473000000002</v>
      </c>
      <c r="AP60" s="7">
        <v>0</v>
      </c>
      <c r="AQ60" s="7">
        <v>0</v>
      </c>
      <c r="AR60" s="7">
        <v>0</v>
      </c>
      <c r="AS60" s="7">
        <v>272.286</v>
      </c>
      <c r="AT60" s="7">
        <v>0</v>
      </c>
      <c r="AU60" s="7">
        <v>9466.1239999999998</v>
      </c>
      <c r="AV60" s="7">
        <v>0</v>
      </c>
      <c r="AW60" s="7">
        <v>0</v>
      </c>
      <c r="AX60" s="7">
        <v>0</v>
      </c>
      <c r="AY60" s="7">
        <v>30141.311000000002</v>
      </c>
      <c r="AZ60" s="7">
        <v>0</v>
      </c>
      <c r="BA60" s="7">
        <v>0</v>
      </c>
      <c r="BB60" s="7">
        <v>11255.614</v>
      </c>
      <c r="BC60" s="7">
        <v>15167.761</v>
      </c>
      <c r="BD60" s="7">
        <v>0</v>
      </c>
      <c r="BE60" s="7">
        <v>3447.2930000000001</v>
      </c>
      <c r="BF60" s="7">
        <v>0</v>
      </c>
      <c r="BG60" s="7">
        <v>0</v>
      </c>
      <c r="BH60" s="7">
        <v>4922.0739999999996</v>
      </c>
      <c r="BI60" s="21"/>
    </row>
    <row r="61" spans="1:61" ht="15.6" x14ac:dyDescent="0.3">
      <c r="A61" s="5" t="s">
        <v>112</v>
      </c>
      <c r="B61" s="5" t="s">
        <v>113</v>
      </c>
      <c r="C61" s="7">
        <v>3</v>
      </c>
      <c r="D61" s="7">
        <v>3</v>
      </c>
      <c r="E61" s="7">
        <v>4653.1329999999998</v>
      </c>
      <c r="F61" s="7">
        <v>667.03499999999997</v>
      </c>
      <c r="G61" s="7">
        <v>1070.0889999999999</v>
      </c>
      <c r="H61" s="7">
        <v>0</v>
      </c>
      <c r="I61" s="7">
        <v>93.762</v>
      </c>
      <c r="J61" s="7">
        <v>624.64</v>
      </c>
      <c r="K61" s="7">
        <v>0</v>
      </c>
      <c r="L61" s="7">
        <v>1678.421</v>
      </c>
      <c r="M61" s="7">
        <v>2147.7179999999998</v>
      </c>
      <c r="N61" s="7">
        <v>0</v>
      </c>
      <c r="O61" s="7">
        <v>0</v>
      </c>
      <c r="P61" s="7">
        <v>0.09</v>
      </c>
      <c r="Q61" s="7">
        <v>20.053999999999998</v>
      </c>
      <c r="R61" s="7">
        <v>51.371000000000002</v>
      </c>
      <c r="S61" s="7">
        <v>300.59899999999999</v>
      </c>
      <c r="T61" s="7">
        <v>0</v>
      </c>
      <c r="U61" s="7">
        <v>0</v>
      </c>
      <c r="V61" s="7">
        <v>160.78200000000001</v>
      </c>
      <c r="W61" s="7">
        <v>216.87700000000001</v>
      </c>
      <c r="X61" s="7">
        <v>0</v>
      </c>
      <c r="Y61" s="7">
        <v>776.38199999999995</v>
      </c>
      <c r="Z61" s="7">
        <v>0</v>
      </c>
      <c r="AA61" s="7">
        <v>1251.412</v>
      </c>
      <c r="AB61" s="7">
        <v>0</v>
      </c>
      <c r="AC61" s="7">
        <v>104.81</v>
      </c>
      <c r="AD61" s="7">
        <v>0</v>
      </c>
      <c r="AE61" s="7">
        <v>852.70299999999997</v>
      </c>
      <c r="AF61" s="7">
        <v>0</v>
      </c>
      <c r="AG61" s="7">
        <v>0</v>
      </c>
      <c r="AH61" s="7">
        <v>4147.451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131.43299999999999</v>
      </c>
      <c r="AP61" s="7">
        <v>0</v>
      </c>
      <c r="AQ61" s="7">
        <v>0</v>
      </c>
      <c r="AR61" s="7">
        <v>0</v>
      </c>
      <c r="AS61" s="7">
        <v>2.6749999999999998</v>
      </c>
      <c r="AT61" s="7">
        <v>0</v>
      </c>
      <c r="AU61" s="7">
        <v>69.53</v>
      </c>
      <c r="AV61" s="7">
        <v>0</v>
      </c>
      <c r="AW61" s="7">
        <v>0</v>
      </c>
      <c r="AX61" s="7">
        <v>0</v>
      </c>
      <c r="AY61" s="7">
        <v>168.85300000000001</v>
      </c>
      <c r="AZ61" s="7">
        <v>0</v>
      </c>
      <c r="BA61" s="7">
        <v>0</v>
      </c>
      <c r="BB61" s="7">
        <v>61.197000000000003</v>
      </c>
      <c r="BC61" s="7">
        <v>84.587000000000003</v>
      </c>
      <c r="BD61" s="7">
        <v>0</v>
      </c>
      <c r="BE61" s="7">
        <v>18.515999999999998</v>
      </c>
      <c r="BF61" s="7">
        <v>0</v>
      </c>
      <c r="BG61" s="7">
        <v>0</v>
      </c>
      <c r="BH61" s="7">
        <v>27.276</v>
      </c>
      <c r="BI61" s="21"/>
    </row>
    <row r="62" spans="1:61" ht="15.6" x14ac:dyDescent="0.3">
      <c r="A62" s="5" t="s">
        <v>114</v>
      </c>
      <c r="B62" s="5" t="s">
        <v>115</v>
      </c>
      <c r="C62" s="7">
        <v>3</v>
      </c>
      <c r="D62" s="7">
        <v>3</v>
      </c>
      <c r="E62" s="7">
        <v>296470.26899999997</v>
      </c>
      <c r="F62" s="7">
        <v>35016.629999999997</v>
      </c>
      <c r="G62" s="7">
        <v>66859.601999999999</v>
      </c>
      <c r="H62" s="7">
        <v>0</v>
      </c>
      <c r="I62" s="7">
        <v>5703.1869999999999</v>
      </c>
      <c r="J62" s="7">
        <v>43169.025000000001</v>
      </c>
      <c r="K62" s="7">
        <v>14276.652</v>
      </c>
      <c r="L62" s="7">
        <v>116027.88499999999</v>
      </c>
      <c r="M62" s="7">
        <v>136209.48300000001</v>
      </c>
      <c r="N62" s="7">
        <v>0</v>
      </c>
      <c r="O62" s="7">
        <v>0</v>
      </c>
      <c r="P62" s="7">
        <v>7.55</v>
      </c>
      <c r="Q62" s="7">
        <v>698.20299999999997</v>
      </c>
      <c r="R62" s="7">
        <v>1788.537</v>
      </c>
      <c r="S62" s="7">
        <v>14921.725</v>
      </c>
      <c r="T62" s="7">
        <v>0</v>
      </c>
      <c r="U62" s="7">
        <v>10427.657999999999</v>
      </c>
      <c r="V62" s="7">
        <v>8965.1910000000007</v>
      </c>
      <c r="W62" s="7">
        <v>14794.816999999999</v>
      </c>
      <c r="X62" s="7">
        <v>0</v>
      </c>
      <c r="Y62" s="7">
        <v>57587.572</v>
      </c>
      <c r="Z62" s="7">
        <v>0</v>
      </c>
      <c r="AA62" s="7">
        <v>75014.756999999998</v>
      </c>
      <c r="AB62" s="7">
        <v>0</v>
      </c>
      <c r="AC62" s="7">
        <v>5852.11</v>
      </c>
      <c r="AD62" s="7">
        <v>0</v>
      </c>
      <c r="AE62" s="7">
        <v>129668.583</v>
      </c>
      <c r="AF62" s="7">
        <v>0</v>
      </c>
      <c r="AG62" s="7">
        <v>0</v>
      </c>
      <c r="AH62" s="7">
        <v>318727.21600000001</v>
      </c>
      <c r="AI62" s="7">
        <v>0</v>
      </c>
      <c r="AJ62" s="7">
        <v>0</v>
      </c>
      <c r="AK62" s="7">
        <v>0</v>
      </c>
      <c r="AL62" s="7">
        <v>0</v>
      </c>
      <c r="AM62" s="7">
        <v>2863.4960000000001</v>
      </c>
      <c r="AN62" s="7">
        <v>0</v>
      </c>
      <c r="AO62" s="7">
        <v>7467.0010000000002</v>
      </c>
      <c r="AP62" s="7">
        <v>0</v>
      </c>
      <c r="AQ62" s="7">
        <v>0</v>
      </c>
      <c r="AR62" s="7">
        <v>0</v>
      </c>
      <c r="AS62" s="7">
        <v>116.571</v>
      </c>
      <c r="AT62" s="7">
        <v>0</v>
      </c>
      <c r="AU62" s="7">
        <v>3483.163</v>
      </c>
      <c r="AV62" s="7">
        <v>0</v>
      </c>
      <c r="AW62" s="7">
        <v>0</v>
      </c>
      <c r="AX62" s="7">
        <v>0</v>
      </c>
      <c r="AY62" s="7">
        <v>9545.8739999999998</v>
      </c>
      <c r="AZ62" s="7">
        <v>0</v>
      </c>
      <c r="BA62" s="7">
        <v>0</v>
      </c>
      <c r="BB62" s="7">
        <v>3515.6709999999998</v>
      </c>
      <c r="BC62" s="7">
        <v>4793.5389999999998</v>
      </c>
      <c r="BD62" s="7">
        <v>0</v>
      </c>
      <c r="BE62" s="7">
        <v>1070.7919999999999</v>
      </c>
      <c r="BF62" s="7">
        <v>0</v>
      </c>
      <c r="BG62" s="7">
        <v>0</v>
      </c>
      <c r="BH62" s="7">
        <v>1551.0050000000001</v>
      </c>
      <c r="BI62" s="21"/>
    </row>
    <row r="63" spans="1:61" ht="15.6" x14ac:dyDescent="0.3">
      <c r="A63" s="5" t="s">
        <v>116</v>
      </c>
      <c r="B63" s="5" t="s">
        <v>117</v>
      </c>
      <c r="C63" s="7">
        <v>3</v>
      </c>
      <c r="D63" s="7">
        <v>3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21"/>
    </row>
    <row r="64" spans="1:61" ht="15.6" x14ac:dyDescent="0.3">
      <c r="A64" s="5" t="s">
        <v>118</v>
      </c>
      <c r="B64" s="5" t="s">
        <v>119</v>
      </c>
      <c r="C64" s="7">
        <v>3</v>
      </c>
      <c r="D64" s="7">
        <v>3</v>
      </c>
      <c r="E64" s="7">
        <v>188772.73800000001</v>
      </c>
      <c r="F64" s="7">
        <v>27558.521000000001</v>
      </c>
      <c r="G64" s="7">
        <v>43741.37</v>
      </c>
      <c r="H64" s="7">
        <v>1826.4690000000001</v>
      </c>
      <c r="I64" s="7">
        <v>3791.96</v>
      </c>
      <c r="J64" s="7">
        <v>25430.778999999999</v>
      </c>
      <c r="K64" s="7">
        <v>0</v>
      </c>
      <c r="L64" s="7">
        <v>70486.842999999993</v>
      </c>
      <c r="M64" s="7">
        <v>87514.29</v>
      </c>
      <c r="N64" s="7">
        <v>0</v>
      </c>
      <c r="O64" s="7">
        <v>0</v>
      </c>
      <c r="P64" s="7">
        <v>3.53</v>
      </c>
      <c r="Q64" s="7">
        <v>523.92999999999995</v>
      </c>
      <c r="R64" s="7">
        <v>1342.095</v>
      </c>
      <c r="S64" s="7">
        <v>12367.709000000001</v>
      </c>
      <c r="T64" s="7">
        <v>0</v>
      </c>
      <c r="U64" s="7">
        <v>0</v>
      </c>
      <c r="V64" s="7">
        <v>6553.5249999999996</v>
      </c>
      <c r="W64" s="7">
        <v>8670.5139999999992</v>
      </c>
      <c r="X64" s="7">
        <v>0</v>
      </c>
      <c r="Y64" s="7">
        <v>30887.33</v>
      </c>
      <c r="Z64" s="7">
        <v>0</v>
      </c>
      <c r="AA64" s="7">
        <v>50769.107000000004</v>
      </c>
      <c r="AB64" s="7">
        <v>0</v>
      </c>
      <c r="AC64" s="7">
        <v>4271.5929999999998</v>
      </c>
      <c r="AD64" s="7">
        <v>0</v>
      </c>
      <c r="AE64" s="7">
        <v>30458.978999999999</v>
      </c>
      <c r="AF64" s="7">
        <v>0</v>
      </c>
      <c r="AG64" s="7">
        <v>0</v>
      </c>
      <c r="AH64" s="7">
        <v>166504.405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5348.5330000000004</v>
      </c>
      <c r="AP64" s="7">
        <v>0</v>
      </c>
      <c r="AQ64" s="7">
        <v>0</v>
      </c>
      <c r="AR64" s="7">
        <v>0</v>
      </c>
      <c r="AS64" s="7">
        <v>111.072</v>
      </c>
      <c r="AT64" s="7">
        <v>0</v>
      </c>
      <c r="AU64" s="7">
        <v>2895.2820000000002</v>
      </c>
      <c r="AV64" s="7">
        <v>0</v>
      </c>
      <c r="AW64" s="7">
        <v>0</v>
      </c>
      <c r="AX64" s="7">
        <v>0</v>
      </c>
      <c r="AY64" s="7">
        <v>6874.2489999999998</v>
      </c>
      <c r="AZ64" s="7">
        <v>0</v>
      </c>
      <c r="BA64" s="7">
        <v>0</v>
      </c>
      <c r="BB64" s="7">
        <v>2487.8960000000002</v>
      </c>
      <c r="BC64" s="7">
        <v>3442.8919999999998</v>
      </c>
      <c r="BD64" s="7">
        <v>0</v>
      </c>
      <c r="BE64" s="7">
        <v>752.35199999999998</v>
      </c>
      <c r="BF64" s="7">
        <v>0</v>
      </c>
      <c r="BG64" s="7">
        <v>0</v>
      </c>
      <c r="BH64" s="7">
        <v>1109.915</v>
      </c>
      <c r="BI64" s="21"/>
    </row>
    <row r="65" spans="1:61" ht="15.6" x14ac:dyDescent="0.3">
      <c r="A65" s="5" t="s">
        <v>120</v>
      </c>
      <c r="B65" s="5" t="s">
        <v>121</v>
      </c>
      <c r="C65" s="7">
        <v>3</v>
      </c>
      <c r="D65" s="7">
        <v>3</v>
      </c>
      <c r="E65" s="7">
        <v>4563.2489999999998</v>
      </c>
      <c r="F65" s="7">
        <v>665.57799999999997</v>
      </c>
      <c r="G65" s="7">
        <v>1051.4359999999999</v>
      </c>
      <c r="H65" s="7">
        <v>0</v>
      </c>
      <c r="I65" s="7">
        <v>92.364999999999995</v>
      </c>
      <c r="J65" s="7">
        <v>607.42600000000004</v>
      </c>
      <c r="K65" s="7">
        <v>0</v>
      </c>
      <c r="L65" s="7">
        <v>1632.1210000000001</v>
      </c>
      <c r="M65" s="7">
        <v>2107.194</v>
      </c>
      <c r="N65" s="7">
        <v>0</v>
      </c>
      <c r="O65" s="7">
        <v>0</v>
      </c>
      <c r="P65" s="7">
        <v>8.5999999999999993E-2</v>
      </c>
      <c r="Q65" s="7">
        <v>41.396999999999998</v>
      </c>
      <c r="R65" s="7">
        <v>106.044</v>
      </c>
      <c r="S65" s="7">
        <v>301.25099999999998</v>
      </c>
      <c r="T65" s="7">
        <v>0</v>
      </c>
      <c r="U65" s="7">
        <v>0</v>
      </c>
      <c r="V65" s="7">
        <v>159.631</v>
      </c>
      <c r="W65" s="7">
        <v>211.196</v>
      </c>
      <c r="X65" s="7">
        <v>0</v>
      </c>
      <c r="Y65" s="7">
        <v>748.98400000000004</v>
      </c>
      <c r="Z65" s="7">
        <v>0</v>
      </c>
      <c r="AA65" s="7">
        <v>1234.443</v>
      </c>
      <c r="AB65" s="7">
        <v>0</v>
      </c>
      <c r="AC65" s="7">
        <v>104.047</v>
      </c>
      <c r="AD65" s="7">
        <v>0</v>
      </c>
      <c r="AE65" s="7">
        <v>721.18799999999999</v>
      </c>
      <c r="AF65" s="7">
        <v>0</v>
      </c>
      <c r="AG65" s="7">
        <v>0</v>
      </c>
      <c r="AH65" s="7">
        <v>3984.2640000000001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130.279</v>
      </c>
      <c r="AP65" s="7">
        <v>0</v>
      </c>
      <c r="AQ65" s="7">
        <v>0</v>
      </c>
      <c r="AR65" s="7">
        <v>0</v>
      </c>
      <c r="AS65" s="7">
        <v>2.7050000000000001</v>
      </c>
      <c r="AT65" s="7">
        <v>0</v>
      </c>
      <c r="AU65" s="7">
        <v>77.275999999999996</v>
      </c>
      <c r="AV65" s="7">
        <v>0</v>
      </c>
      <c r="AW65" s="7">
        <v>0</v>
      </c>
      <c r="AX65" s="7">
        <v>0</v>
      </c>
      <c r="AY65" s="7">
        <v>167.44200000000001</v>
      </c>
      <c r="AZ65" s="7">
        <v>0</v>
      </c>
      <c r="BA65" s="7">
        <v>0</v>
      </c>
      <c r="BB65" s="7">
        <v>60.600999999999999</v>
      </c>
      <c r="BC65" s="7">
        <v>83.861000000000004</v>
      </c>
      <c r="BD65" s="7">
        <v>0</v>
      </c>
      <c r="BE65" s="7">
        <v>18.324999999999999</v>
      </c>
      <c r="BF65" s="7">
        <v>0</v>
      </c>
      <c r="BG65" s="7">
        <v>0</v>
      </c>
      <c r="BH65" s="7">
        <v>27.035</v>
      </c>
      <c r="BI65" s="21"/>
    </row>
    <row r="66" spans="1:61" ht="15.6" x14ac:dyDescent="0.3">
      <c r="A66" s="5" t="s">
        <v>122</v>
      </c>
      <c r="B66" s="5" t="s">
        <v>123</v>
      </c>
      <c r="C66" s="7">
        <v>3</v>
      </c>
      <c r="D66" s="7">
        <v>3</v>
      </c>
      <c r="E66" s="7">
        <v>187964.75399999999</v>
      </c>
      <c r="F66" s="7">
        <v>27415.795999999998</v>
      </c>
      <c r="G66" s="7">
        <v>43309.659</v>
      </c>
      <c r="H66" s="7">
        <v>0</v>
      </c>
      <c r="I66" s="7">
        <v>3804.58</v>
      </c>
      <c r="J66" s="7">
        <v>25020.504000000001</v>
      </c>
      <c r="K66" s="7">
        <v>657.40200000000004</v>
      </c>
      <c r="L66" s="7">
        <v>67228.691999999995</v>
      </c>
      <c r="M66" s="7">
        <v>86797.4</v>
      </c>
      <c r="N66" s="7">
        <v>0</v>
      </c>
      <c r="O66" s="7">
        <v>0</v>
      </c>
      <c r="P66" s="7">
        <v>3.5390000000000001</v>
      </c>
      <c r="Q66" s="7">
        <v>841.41499999999996</v>
      </c>
      <c r="R66" s="7">
        <v>2155.3870000000002</v>
      </c>
      <c r="S66" s="7">
        <v>12408.864</v>
      </c>
      <c r="T66" s="7">
        <v>0</v>
      </c>
      <c r="U66" s="7">
        <v>480.166</v>
      </c>
      <c r="V66" s="7">
        <v>6575.335</v>
      </c>
      <c r="W66" s="7">
        <v>8699.3649999999998</v>
      </c>
      <c r="X66" s="7">
        <v>0</v>
      </c>
      <c r="Y66" s="7">
        <v>30851.423999999999</v>
      </c>
      <c r="Z66" s="7">
        <v>0</v>
      </c>
      <c r="AA66" s="7">
        <v>50847.93</v>
      </c>
      <c r="AB66" s="7">
        <v>0</v>
      </c>
      <c r="AC66" s="7">
        <v>4285.8109999999997</v>
      </c>
      <c r="AD66" s="7">
        <v>0</v>
      </c>
      <c r="AE66" s="7">
        <v>29706.41</v>
      </c>
      <c r="AF66" s="7">
        <v>0</v>
      </c>
      <c r="AG66" s="7">
        <v>0</v>
      </c>
      <c r="AH66" s="7">
        <v>164119.29300000001</v>
      </c>
      <c r="AI66" s="7">
        <v>0</v>
      </c>
      <c r="AJ66" s="7">
        <v>0</v>
      </c>
      <c r="AK66" s="7">
        <v>0</v>
      </c>
      <c r="AL66" s="7">
        <v>0</v>
      </c>
      <c r="AM66" s="7">
        <v>131.85599999999999</v>
      </c>
      <c r="AN66" s="7">
        <v>0</v>
      </c>
      <c r="AO66" s="7">
        <v>5366.3310000000001</v>
      </c>
      <c r="AP66" s="7">
        <v>0</v>
      </c>
      <c r="AQ66" s="7">
        <v>0</v>
      </c>
      <c r="AR66" s="7">
        <v>0</v>
      </c>
      <c r="AS66" s="7">
        <v>111.44799999999999</v>
      </c>
      <c r="AT66" s="7">
        <v>0</v>
      </c>
      <c r="AU66" s="7">
        <v>2925.4879999999998</v>
      </c>
      <c r="AV66" s="7">
        <v>0</v>
      </c>
      <c r="AW66" s="7">
        <v>0</v>
      </c>
      <c r="AX66" s="7">
        <v>0</v>
      </c>
      <c r="AY66" s="7">
        <v>6897.1220000000003</v>
      </c>
      <c r="AZ66" s="7">
        <v>0</v>
      </c>
      <c r="BA66" s="7">
        <v>0</v>
      </c>
      <c r="BB66" s="7">
        <v>2496.1750000000002</v>
      </c>
      <c r="BC66" s="7">
        <v>3454.3519999999999</v>
      </c>
      <c r="BD66" s="7">
        <v>0</v>
      </c>
      <c r="BE66" s="7">
        <v>754.85</v>
      </c>
      <c r="BF66" s="7">
        <v>0</v>
      </c>
      <c r="BG66" s="7">
        <v>0</v>
      </c>
      <c r="BH66" s="7">
        <v>1113.5999999999999</v>
      </c>
      <c r="BI66" s="21"/>
    </row>
    <row r="67" spans="1:61" ht="15.6" x14ac:dyDescent="0.3">
      <c r="A67" s="5" t="s">
        <v>124</v>
      </c>
      <c r="B67" s="5" t="s">
        <v>125</v>
      </c>
      <c r="C67" s="7">
        <v>3</v>
      </c>
      <c r="D67" s="7">
        <v>3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21"/>
    </row>
    <row r="68" spans="1:61" ht="15.6" x14ac:dyDescent="0.3">
      <c r="A68" s="5" t="s">
        <v>126</v>
      </c>
      <c r="B68" s="5" t="s">
        <v>127</v>
      </c>
      <c r="C68" s="7">
        <v>3</v>
      </c>
      <c r="D68" s="7">
        <v>3</v>
      </c>
      <c r="E68" s="7">
        <v>68300.539999999994</v>
      </c>
      <c r="F68" s="7">
        <v>9962.0450000000001</v>
      </c>
      <c r="G68" s="7">
        <v>15737.383</v>
      </c>
      <c r="H68" s="7">
        <v>21359.025000000001</v>
      </c>
      <c r="I68" s="7">
        <v>1382.4659999999999</v>
      </c>
      <c r="J68" s="7">
        <v>9091.6720000000005</v>
      </c>
      <c r="K68" s="7">
        <v>0</v>
      </c>
      <c r="L68" s="7">
        <v>24428.814999999999</v>
      </c>
      <c r="M68" s="7">
        <v>31539.473000000002</v>
      </c>
      <c r="N68" s="7">
        <v>0</v>
      </c>
      <c r="O68" s="7">
        <v>0</v>
      </c>
      <c r="P68" s="7">
        <v>1.2869999999999999</v>
      </c>
      <c r="Q68" s="7">
        <v>37.807000000000002</v>
      </c>
      <c r="R68" s="7">
        <v>96.847999999999999</v>
      </c>
      <c r="S68" s="7">
        <v>4508.9930000000004</v>
      </c>
      <c r="T68" s="7">
        <v>0</v>
      </c>
      <c r="U68" s="7">
        <v>0</v>
      </c>
      <c r="V68" s="7">
        <v>2389.2710000000002</v>
      </c>
      <c r="W68" s="7">
        <v>3161.078</v>
      </c>
      <c r="X68" s="7">
        <v>0</v>
      </c>
      <c r="Y68" s="7">
        <v>11210.445</v>
      </c>
      <c r="Z68" s="7">
        <v>0</v>
      </c>
      <c r="AA68" s="7">
        <v>18476.555</v>
      </c>
      <c r="AB68" s="7">
        <v>0</v>
      </c>
      <c r="AC68" s="7">
        <v>1557.328</v>
      </c>
      <c r="AD68" s="7">
        <v>0</v>
      </c>
      <c r="AE68" s="7">
        <v>10794.380999999999</v>
      </c>
      <c r="AF68" s="7">
        <v>0</v>
      </c>
      <c r="AG68" s="7">
        <v>0</v>
      </c>
      <c r="AH68" s="7">
        <v>59634.58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1949.954</v>
      </c>
      <c r="AP68" s="7">
        <v>0</v>
      </c>
      <c r="AQ68" s="7">
        <v>0</v>
      </c>
      <c r="AR68" s="7">
        <v>0</v>
      </c>
      <c r="AS68" s="7">
        <v>40.494999999999997</v>
      </c>
      <c r="AT68" s="7">
        <v>0</v>
      </c>
      <c r="AU68" s="7">
        <v>1044.588</v>
      </c>
      <c r="AV68" s="7">
        <v>0</v>
      </c>
      <c r="AW68" s="7">
        <v>0</v>
      </c>
      <c r="AX68" s="7">
        <v>0</v>
      </c>
      <c r="AY68" s="7">
        <v>2506.201</v>
      </c>
      <c r="AZ68" s="7">
        <v>0</v>
      </c>
      <c r="BA68" s="7">
        <v>0</v>
      </c>
      <c r="BB68" s="7">
        <v>907.03099999999995</v>
      </c>
      <c r="BC68" s="7">
        <v>1255.202</v>
      </c>
      <c r="BD68" s="7">
        <v>0</v>
      </c>
      <c r="BE68" s="7">
        <v>274.28899999999999</v>
      </c>
      <c r="BF68" s="7">
        <v>0</v>
      </c>
      <c r="BG68" s="7">
        <v>0</v>
      </c>
      <c r="BH68" s="7">
        <v>404.649</v>
      </c>
      <c r="BI68" s="21"/>
    </row>
    <row r="69" spans="1:61" ht="15.6" x14ac:dyDescent="0.3">
      <c r="A69" s="5" t="s">
        <v>128</v>
      </c>
      <c r="B69" s="5" t="s">
        <v>129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21"/>
    </row>
    <row r="70" spans="1:61" ht="15.6" x14ac:dyDescent="0.3">
      <c r="A70" s="5" t="s">
        <v>130</v>
      </c>
      <c r="B70" s="5" t="s">
        <v>131</v>
      </c>
      <c r="C70" s="7">
        <v>3</v>
      </c>
      <c r="D70" s="7">
        <v>3</v>
      </c>
      <c r="E70" s="7">
        <v>96948.225999999995</v>
      </c>
      <c r="F70" s="7">
        <v>14140.483</v>
      </c>
      <c r="G70" s="7">
        <v>22338.205000000002</v>
      </c>
      <c r="H70" s="7">
        <v>27538.31</v>
      </c>
      <c r="I70" s="7">
        <v>1962.319</v>
      </c>
      <c r="J70" s="7">
        <v>12905.041999999999</v>
      </c>
      <c r="K70" s="7">
        <v>12513.356</v>
      </c>
      <c r="L70" s="7">
        <v>34675.129999999997</v>
      </c>
      <c r="M70" s="7">
        <v>44768.254000000001</v>
      </c>
      <c r="N70" s="7">
        <v>0</v>
      </c>
      <c r="O70" s="7">
        <v>0</v>
      </c>
      <c r="P70" s="7">
        <v>1.823</v>
      </c>
      <c r="Q70" s="7">
        <v>36.530999999999999</v>
      </c>
      <c r="R70" s="7">
        <v>93.578000000000003</v>
      </c>
      <c r="S70" s="7">
        <v>6400.2280000000001</v>
      </c>
      <c r="T70" s="7">
        <v>0</v>
      </c>
      <c r="U70" s="7">
        <v>9139.7469999999994</v>
      </c>
      <c r="V70" s="7">
        <v>3391.4169999999999</v>
      </c>
      <c r="W70" s="7">
        <v>4486.951</v>
      </c>
      <c r="X70" s="7">
        <v>0</v>
      </c>
      <c r="Y70" s="7">
        <v>15912.509</v>
      </c>
      <c r="Z70" s="7">
        <v>0</v>
      </c>
      <c r="AA70" s="7">
        <v>26226.284</v>
      </c>
      <c r="AB70" s="7">
        <v>0</v>
      </c>
      <c r="AC70" s="7">
        <v>2210.5300000000002</v>
      </c>
      <c r="AD70" s="7">
        <v>0</v>
      </c>
      <c r="AE70" s="7">
        <v>15321.931</v>
      </c>
      <c r="AF70" s="7">
        <v>9.8360000000000003</v>
      </c>
      <c r="AG70" s="7">
        <v>0</v>
      </c>
      <c r="AH70" s="7">
        <v>84713.486000000004</v>
      </c>
      <c r="AI70" s="7">
        <v>34.136000000000003</v>
      </c>
      <c r="AJ70" s="7">
        <v>0</v>
      </c>
      <c r="AK70" s="7">
        <v>0</v>
      </c>
      <c r="AL70" s="7">
        <v>0</v>
      </c>
      <c r="AM70" s="7">
        <v>2509.8290000000002</v>
      </c>
      <c r="AN70" s="7">
        <v>0</v>
      </c>
      <c r="AO70" s="7">
        <v>2767.835</v>
      </c>
      <c r="AP70" s="7">
        <v>0</v>
      </c>
      <c r="AQ70" s="7">
        <v>0</v>
      </c>
      <c r="AR70" s="7">
        <v>0</v>
      </c>
      <c r="AS70" s="7">
        <v>57.478999999999999</v>
      </c>
      <c r="AT70" s="7">
        <v>0</v>
      </c>
      <c r="AU70" s="7">
        <v>1490.8040000000001</v>
      </c>
      <c r="AV70" s="7">
        <v>0</v>
      </c>
      <c r="AW70" s="7">
        <v>0</v>
      </c>
      <c r="AX70" s="7">
        <v>0</v>
      </c>
      <c r="AY70" s="7">
        <v>3557.3870000000002</v>
      </c>
      <c r="AZ70" s="7">
        <v>0</v>
      </c>
      <c r="BA70" s="7">
        <v>0</v>
      </c>
      <c r="BB70" s="7">
        <v>1287.479</v>
      </c>
      <c r="BC70" s="7">
        <v>1781.6769999999999</v>
      </c>
      <c r="BD70" s="7">
        <v>0</v>
      </c>
      <c r="BE70" s="7">
        <v>389.33499999999998</v>
      </c>
      <c r="BF70" s="7">
        <v>0</v>
      </c>
      <c r="BG70" s="7">
        <v>0</v>
      </c>
      <c r="BH70" s="7">
        <v>574.37199999999996</v>
      </c>
      <c r="BI70" s="21"/>
    </row>
    <row r="71" spans="1:61" ht="15.6" x14ac:dyDescent="0.3">
      <c r="A71" s="5" t="s">
        <v>132</v>
      </c>
      <c r="B71" s="5" t="s">
        <v>133</v>
      </c>
      <c r="C71" s="7">
        <v>3</v>
      </c>
      <c r="D71" s="7">
        <v>3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21"/>
    </row>
    <row r="72" spans="1:61" ht="15.6" x14ac:dyDescent="0.3">
      <c r="A72" s="5" t="s">
        <v>134</v>
      </c>
      <c r="B72" s="5" t="s">
        <v>135</v>
      </c>
      <c r="C72" s="7">
        <v>6</v>
      </c>
      <c r="D72" s="7">
        <v>6</v>
      </c>
      <c r="E72" s="7">
        <v>76886.509999999995</v>
      </c>
      <c r="F72" s="7">
        <v>6802.3180000000002</v>
      </c>
      <c r="G72" s="7">
        <v>17171.489000000001</v>
      </c>
      <c r="H72" s="7">
        <v>1832.7090000000001</v>
      </c>
      <c r="I72" s="7">
        <v>1347.143</v>
      </c>
      <c r="J72" s="7">
        <v>12899.218999999999</v>
      </c>
      <c r="K72" s="7">
        <v>0</v>
      </c>
      <c r="L72" s="7">
        <v>35649.89</v>
      </c>
      <c r="M72" s="7">
        <v>34920.730000000003</v>
      </c>
      <c r="N72" s="7">
        <v>0</v>
      </c>
      <c r="O72" s="7">
        <v>0</v>
      </c>
      <c r="P72" s="7">
        <v>27.850999999999999</v>
      </c>
      <c r="Q72" s="7">
        <v>0</v>
      </c>
      <c r="R72" s="7">
        <v>130.61500000000001</v>
      </c>
      <c r="S72" s="7">
        <v>2160.6979999999999</v>
      </c>
      <c r="T72" s="7">
        <v>0</v>
      </c>
      <c r="U72" s="7">
        <v>0</v>
      </c>
      <c r="V72" s="7">
        <v>1737.069</v>
      </c>
      <c r="W72" s="7">
        <v>3848.9749999999999</v>
      </c>
      <c r="X72" s="7">
        <v>0</v>
      </c>
      <c r="Y72" s="7">
        <v>17199.591</v>
      </c>
      <c r="Z72" s="7">
        <v>0</v>
      </c>
      <c r="AA72" s="7">
        <v>16196.124</v>
      </c>
      <c r="AB72" s="7">
        <v>0</v>
      </c>
      <c r="AC72" s="7">
        <v>1189.4090000000001</v>
      </c>
      <c r="AD72" s="7">
        <v>0</v>
      </c>
      <c r="AE72" s="7">
        <v>62226.01</v>
      </c>
      <c r="AF72" s="7">
        <v>0</v>
      </c>
      <c r="AG72" s="7">
        <v>0</v>
      </c>
      <c r="AH72" s="7">
        <v>107051.68799999999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1421.893</v>
      </c>
      <c r="AP72" s="7">
        <v>0</v>
      </c>
      <c r="AQ72" s="7">
        <v>0</v>
      </c>
      <c r="AR72" s="7">
        <v>0</v>
      </c>
      <c r="AS72" s="7">
        <v>11.02</v>
      </c>
      <c r="AT72" s="7">
        <v>0</v>
      </c>
      <c r="AU72" s="7">
        <v>461.88900000000001</v>
      </c>
      <c r="AV72" s="7">
        <v>0</v>
      </c>
      <c r="AW72" s="7">
        <v>0</v>
      </c>
      <c r="AX72" s="7">
        <v>0</v>
      </c>
      <c r="AY72" s="7">
        <v>1802.904</v>
      </c>
      <c r="AZ72" s="7">
        <v>0</v>
      </c>
      <c r="BA72" s="7">
        <v>0</v>
      </c>
      <c r="BB72" s="7">
        <v>681.76599999999996</v>
      </c>
      <c r="BC72" s="7">
        <v>909.02200000000005</v>
      </c>
      <c r="BD72" s="7">
        <v>0</v>
      </c>
      <c r="BE72" s="7">
        <v>209.84299999999999</v>
      </c>
      <c r="BF72" s="7">
        <v>0</v>
      </c>
      <c r="BG72" s="7">
        <v>0</v>
      </c>
      <c r="BH72" s="7">
        <v>295.77499999999998</v>
      </c>
      <c r="BI72" s="21"/>
    </row>
    <row r="73" spans="1:61" ht="15.6" x14ac:dyDescent="0.3">
      <c r="A73" s="5" t="s">
        <v>136</v>
      </c>
      <c r="B73" s="5" t="s">
        <v>137</v>
      </c>
      <c r="C73" s="7">
        <v>6</v>
      </c>
      <c r="D73" s="7">
        <v>6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21"/>
    </row>
    <row r="74" spans="1:61" ht="15.6" x14ac:dyDescent="0.3">
      <c r="A74" s="5" t="s">
        <v>138</v>
      </c>
      <c r="B74" s="5" t="s">
        <v>139</v>
      </c>
      <c r="C74" s="7">
        <v>6</v>
      </c>
      <c r="D74" s="7">
        <v>6</v>
      </c>
      <c r="E74" s="7">
        <v>9990.3780000000006</v>
      </c>
      <c r="F74" s="7">
        <v>1736.587</v>
      </c>
      <c r="G74" s="7">
        <v>1385.816</v>
      </c>
      <c r="H74" s="7">
        <v>0</v>
      </c>
      <c r="I74" s="7">
        <v>141.173</v>
      </c>
      <c r="J74" s="7">
        <v>1368.107</v>
      </c>
      <c r="K74" s="7">
        <v>0</v>
      </c>
      <c r="L74" s="7">
        <v>15630.892</v>
      </c>
      <c r="M74" s="7">
        <v>3896.5329999999999</v>
      </c>
      <c r="N74" s="7">
        <v>0</v>
      </c>
      <c r="O74" s="7">
        <v>0</v>
      </c>
      <c r="P74" s="7">
        <v>7.1959999999999997</v>
      </c>
      <c r="Q74" s="7">
        <v>0</v>
      </c>
      <c r="R74" s="7">
        <v>220.24600000000001</v>
      </c>
      <c r="S74" s="7">
        <v>331.964</v>
      </c>
      <c r="T74" s="7">
        <v>0</v>
      </c>
      <c r="U74" s="7">
        <v>0</v>
      </c>
      <c r="V74" s="7">
        <v>198.97399999999999</v>
      </c>
      <c r="W74" s="7">
        <v>302.11900000000003</v>
      </c>
      <c r="X74" s="7">
        <v>0</v>
      </c>
      <c r="Y74" s="7">
        <v>1372.7560000000001</v>
      </c>
      <c r="Z74" s="7">
        <v>0</v>
      </c>
      <c r="AA74" s="7">
        <v>1546.896</v>
      </c>
      <c r="AB74" s="7">
        <v>0</v>
      </c>
      <c r="AC74" s="7">
        <v>144.37899999999999</v>
      </c>
      <c r="AD74" s="7">
        <v>0</v>
      </c>
      <c r="AE74" s="7">
        <v>4000.1990000000001</v>
      </c>
      <c r="AF74" s="7">
        <v>0</v>
      </c>
      <c r="AG74" s="7">
        <v>0</v>
      </c>
      <c r="AH74" s="7">
        <v>16477.684000000001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143.56100000000001</v>
      </c>
      <c r="AP74" s="7">
        <v>0</v>
      </c>
      <c r="AQ74" s="7">
        <v>0</v>
      </c>
      <c r="AR74" s="7">
        <v>0</v>
      </c>
      <c r="AS74" s="7">
        <v>2.9820000000000002</v>
      </c>
      <c r="AT74" s="7">
        <v>0</v>
      </c>
      <c r="AU74" s="7">
        <v>76.905000000000001</v>
      </c>
      <c r="AV74" s="7">
        <v>0</v>
      </c>
      <c r="AW74" s="7">
        <v>0</v>
      </c>
      <c r="AX74" s="7">
        <v>0</v>
      </c>
      <c r="AY74" s="7">
        <v>184.51300000000001</v>
      </c>
      <c r="AZ74" s="7">
        <v>0</v>
      </c>
      <c r="BA74" s="7">
        <v>0</v>
      </c>
      <c r="BB74" s="7">
        <v>66.778000000000006</v>
      </c>
      <c r="BC74" s="7">
        <v>92.41</v>
      </c>
      <c r="BD74" s="7">
        <v>0</v>
      </c>
      <c r="BE74" s="7">
        <v>20.193999999999999</v>
      </c>
      <c r="BF74" s="7">
        <v>0</v>
      </c>
      <c r="BG74" s="7">
        <v>0</v>
      </c>
      <c r="BH74" s="7">
        <v>29.791</v>
      </c>
      <c r="BI74" s="21"/>
    </row>
    <row r="75" spans="1:61" ht="15.6" x14ac:dyDescent="0.3">
      <c r="A75" s="5" t="s">
        <v>140</v>
      </c>
      <c r="B75" s="5" t="s">
        <v>141</v>
      </c>
      <c r="C75" s="7">
        <v>6</v>
      </c>
      <c r="D75" s="7">
        <v>6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21"/>
    </row>
    <row r="76" spans="1:61" ht="15.6" x14ac:dyDescent="0.3">
      <c r="A76" s="5" t="s">
        <v>142</v>
      </c>
      <c r="B76" s="5" t="s">
        <v>143</v>
      </c>
      <c r="C76" s="7">
        <v>6</v>
      </c>
      <c r="D76" s="7">
        <v>6</v>
      </c>
      <c r="E76" s="7">
        <v>9001.1049999999996</v>
      </c>
      <c r="F76" s="7">
        <v>1184.8389999999999</v>
      </c>
      <c r="G76" s="7">
        <v>1837.6030000000001</v>
      </c>
      <c r="H76" s="7">
        <v>5474.0690000000004</v>
      </c>
      <c r="I76" s="7">
        <v>184.43</v>
      </c>
      <c r="J76" s="7">
        <v>1069.627</v>
      </c>
      <c r="K76" s="7">
        <v>0</v>
      </c>
      <c r="L76" s="7">
        <v>4003.482</v>
      </c>
      <c r="M76" s="7">
        <v>3869.6489999999999</v>
      </c>
      <c r="N76" s="7">
        <v>0</v>
      </c>
      <c r="O76" s="7">
        <v>0</v>
      </c>
      <c r="P76" s="7">
        <v>8.5340000000000007</v>
      </c>
      <c r="Q76" s="7">
        <v>0</v>
      </c>
      <c r="R76" s="7">
        <v>0</v>
      </c>
      <c r="S76" s="7">
        <v>449.44600000000003</v>
      </c>
      <c r="T76" s="7">
        <v>0</v>
      </c>
      <c r="U76" s="7">
        <v>0</v>
      </c>
      <c r="V76" s="7">
        <v>265.46600000000001</v>
      </c>
      <c r="W76" s="7">
        <v>397.23200000000003</v>
      </c>
      <c r="X76" s="7">
        <v>0</v>
      </c>
      <c r="Y76" s="7">
        <v>1765.4380000000001</v>
      </c>
      <c r="Z76" s="7">
        <v>0</v>
      </c>
      <c r="AA76" s="7">
        <v>2062.5949999999998</v>
      </c>
      <c r="AB76" s="7">
        <v>0</v>
      </c>
      <c r="AC76" s="7">
        <v>190.41800000000001</v>
      </c>
      <c r="AD76" s="7">
        <v>0</v>
      </c>
      <c r="AE76" s="7">
        <v>3182.5050000000001</v>
      </c>
      <c r="AF76" s="7">
        <v>0</v>
      </c>
      <c r="AG76" s="7">
        <v>0</v>
      </c>
      <c r="AH76" s="7">
        <v>10546.800999999999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194.36699999999999</v>
      </c>
      <c r="AP76" s="7">
        <v>0</v>
      </c>
      <c r="AQ76" s="7">
        <v>0</v>
      </c>
      <c r="AR76" s="7">
        <v>0</v>
      </c>
      <c r="AS76" s="7">
        <v>4.0369999999999999</v>
      </c>
      <c r="AT76" s="7">
        <v>0</v>
      </c>
      <c r="AU76" s="7">
        <v>104.127</v>
      </c>
      <c r="AV76" s="7">
        <v>0</v>
      </c>
      <c r="AW76" s="7">
        <v>0</v>
      </c>
      <c r="AX76" s="7">
        <v>0</v>
      </c>
      <c r="AY76" s="7">
        <v>249.81200000000001</v>
      </c>
      <c r="AZ76" s="7">
        <v>0</v>
      </c>
      <c r="BA76" s="7">
        <v>0</v>
      </c>
      <c r="BB76" s="7">
        <v>90.411000000000001</v>
      </c>
      <c r="BC76" s="7">
        <v>125.11499999999999</v>
      </c>
      <c r="BD76" s="7">
        <v>0</v>
      </c>
      <c r="BE76" s="7">
        <v>27.34</v>
      </c>
      <c r="BF76" s="7">
        <v>0</v>
      </c>
      <c r="BG76" s="7">
        <v>0</v>
      </c>
      <c r="BH76" s="7">
        <v>40.334000000000003</v>
      </c>
      <c r="BI76" s="21"/>
    </row>
    <row r="77" spans="1:61" ht="15.6" x14ac:dyDescent="0.3">
      <c r="A77" s="5" t="s">
        <v>144</v>
      </c>
      <c r="B77" s="5" t="s">
        <v>145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21"/>
    </row>
    <row r="78" spans="1:61" ht="15.6" x14ac:dyDescent="0.3">
      <c r="A78" s="5" t="s">
        <v>146</v>
      </c>
      <c r="B78" s="5" t="s">
        <v>147</v>
      </c>
      <c r="C78" s="7">
        <v>6</v>
      </c>
      <c r="D78" s="7">
        <v>6</v>
      </c>
      <c r="E78" s="7">
        <v>5993.19</v>
      </c>
      <c r="F78" s="7">
        <v>866.16399999999999</v>
      </c>
      <c r="G78" s="7">
        <v>1316.61</v>
      </c>
      <c r="H78" s="7">
        <v>0</v>
      </c>
      <c r="I78" s="7">
        <v>91.781999999999996</v>
      </c>
      <c r="J78" s="7">
        <v>941.26099999999997</v>
      </c>
      <c r="K78" s="7">
        <v>0</v>
      </c>
      <c r="L78" s="7">
        <v>7427.1319999999996</v>
      </c>
      <c r="M78" s="7">
        <v>2226.8690000000001</v>
      </c>
      <c r="N78" s="7">
        <v>0</v>
      </c>
      <c r="O78" s="7">
        <v>0</v>
      </c>
      <c r="P78" s="7">
        <v>9.5559999999999992</v>
      </c>
      <c r="Q78" s="7">
        <v>0</v>
      </c>
      <c r="R78" s="7">
        <v>94.614999999999995</v>
      </c>
      <c r="S78" s="7">
        <v>127.10299999999999</v>
      </c>
      <c r="T78" s="7">
        <v>0</v>
      </c>
      <c r="U78" s="7">
        <v>0</v>
      </c>
      <c r="V78" s="7">
        <v>98.281000000000006</v>
      </c>
      <c r="W78" s="7">
        <v>182.142</v>
      </c>
      <c r="X78" s="7">
        <v>0</v>
      </c>
      <c r="Y78" s="7">
        <v>1195.3699999999999</v>
      </c>
      <c r="Z78" s="7">
        <v>0</v>
      </c>
      <c r="AA78" s="7">
        <v>841.39</v>
      </c>
      <c r="AB78" s="7">
        <v>0</v>
      </c>
      <c r="AC78" s="7">
        <v>83.751000000000005</v>
      </c>
      <c r="AD78" s="7">
        <v>0</v>
      </c>
      <c r="AE78" s="7">
        <v>3621.797</v>
      </c>
      <c r="AF78" s="7">
        <v>0</v>
      </c>
      <c r="AG78" s="7">
        <v>0</v>
      </c>
      <c r="AH78" s="7">
        <v>10800.319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54.966999999999999</v>
      </c>
      <c r="AP78" s="7">
        <v>0</v>
      </c>
      <c r="AQ78" s="7">
        <v>0</v>
      </c>
      <c r="AR78" s="7">
        <v>0</v>
      </c>
      <c r="AS78" s="7">
        <v>1.1419999999999999</v>
      </c>
      <c r="AT78" s="7">
        <v>0</v>
      </c>
      <c r="AU78" s="7">
        <v>29.446999999999999</v>
      </c>
      <c r="AV78" s="7">
        <v>0</v>
      </c>
      <c r="AW78" s="7">
        <v>0</v>
      </c>
      <c r="AX78" s="7">
        <v>0</v>
      </c>
      <c r="AY78" s="7">
        <v>70.647000000000006</v>
      </c>
      <c r="AZ78" s="7">
        <v>0</v>
      </c>
      <c r="BA78" s="7">
        <v>0</v>
      </c>
      <c r="BB78" s="7">
        <v>25.568000000000001</v>
      </c>
      <c r="BC78" s="7">
        <v>35.381999999999998</v>
      </c>
      <c r="BD78" s="7">
        <v>0</v>
      </c>
      <c r="BE78" s="7">
        <v>7.7320000000000002</v>
      </c>
      <c r="BF78" s="7">
        <v>0</v>
      </c>
      <c r="BG78" s="7">
        <v>0</v>
      </c>
      <c r="BH78" s="7">
        <v>11.406000000000001</v>
      </c>
      <c r="BI78" s="21"/>
    </row>
    <row r="79" spans="1:61" ht="15.6" x14ac:dyDescent="0.3">
      <c r="A79" s="5" t="s">
        <v>148</v>
      </c>
      <c r="B79" s="5" t="s">
        <v>149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21"/>
    </row>
    <row r="80" spans="1:61" ht="15.6" x14ac:dyDescent="0.3">
      <c r="A80" s="5" t="s">
        <v>150</v>
      </c>
      <c r="B80" s="5" t="s">
        <v>151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21"/>
    </row>
    <row r="81" spans="1:61" ht="15.6" x14ac:dyDescent="0.3">
      <c r="A81" s="5" t="s">
        <v>152</v>
      </c>
      <c r="B81" s="5" t="s">
        <v>153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21"/>
    </row>
    <row r="82" spans="1:61" ht="15.6" x14ac:dyDescent="0.3">
      <c r="A82" s="5" t="s">
        <v>154</v>
      </c>
      <c r="B82" s="5" t="s">
        <v>155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21"/>
    </row>
    <row r="83" spans="1:61" ht="15.6" x14ac:dyDescent="0.3">
      <c r="A83" s="5" t="s">
        <v>156</v>
      </c>
      <c r="B83" s="5" t="s">
        <v>157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21"/>
    </row>
    <row r="84" spans="1:61" ht="15.6" x14ac:dyDescent="0.3">
      <c r="A84" s="5" t="s">
        <v>158</v>
      </c>
      <c r="B84" s="5" t="s">
        <v>159</v>
      </c>
      <c r="C84" s="7">
        <v>6</v>
      </c>
      <c r="D84" s="7">
        <v>6</v>
      </c>
      <c r="E84" s="7">
        <v>15837.715</v>
      </c>
      <c r="F84" s="7">
        <v>2704.0949999999998</v>
      </c>
      <c r="G84" s="7">
        <v>3187.1329999999998</v>
      </c>
      <c r="H84" s="7">
        <v>2107.098</v>
      </c>
      <c r="I84" s="7">
        <v>464.452</v>
      </c>
      <c r="J84" s="7">
        <v>2065.277</v>
      </c>
      <c r="K84" s="7">
        <v>0</v>
      </c>
      <c r="L84" s="7">
        <v>15605.972</v>
      </c>
      <c r="M84" s="7">
        <v>6639.2910000000002</v>
      </c>
      <c r="N84" s="7">
        <v>0</v>
      </c>
      <c r="O84" s="7">
        <v>0</v>
      </c>
      <c r="P84" s="7">
        <v>66.704999999999998</v>
      </c>
      <c r="Q84" s="7">
        <v>0</v>
      </c>
      <c r="R84" s="7">
        <v>107.98099999999999</v>
      </c>
      <c r="S84" s="7">
        <v>811.28099999999995</v>
      </c>
      <c r="T84" s="7">
        <v>0</v>
      </c>
      <c r="U84" s="7">
        <v>0</v>
      </c>
      <c r="V84" s="7">
        <v>429.87900000000002</v>
      </c>
      <c r="W84" s="7">
        <v>568.70600000000002</v>
      </c>
      <c r="X84" s="7">
        <v>0</v>
      </c>
      <c r="Y84" s="7">
        <v>2016.845</v>
      </c>
      <c r="Z84" s="7">
        <v>0</v>
      </c>
      <c r="AA84" s="7">
        <v>3324.5749999999998</v>
      </c>
      <c r="AB84" s="7">
        <v>0</v>
      </c>
      <c r="AC84" s="7">
        <v>280.22199999999998</v>
      </c>
      <c r="AD84" s="7">
        <v>0</v>
      </c>
      <c r="AE84" s="7">
        <v>2827.498</v>
      </c>
      <c r="AF84" s="7">
        <v>6.0000000000000001E-3</v>
      </c>
      <c r="AG84" s="7">
        <v>0</v>
      </c>
      <c r="AH84" s="7">
        <v>21777.883999999998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350.92899999999997</v>
      </c>
      <c r="AP84" s="7">
        <v>0</v>
      </c>
      <c r="AQ84" s="7">
        <v>1E-3</v>
      </c>
      <c r="AR84" s="7">
        <v>0</v>
      </c>
      <c r="AS84" s="7">
        <v>7.2850000000000001</v>
      </c>
      <c r="AT84" s="7">
        <v>0</v>
      </c>
      <c r="AU84" s="7">
        <v>187.922</v>
      </c>
      <c r="AV84" s="7">
        <v>0</v>
      </c>
      <c r="AW84" s="7">
        <v>0</v>
      </c>
      <c r="AX84" s="7">
        <v>0</v>
      </c>
      <c r="AY84" s="7">
        <v>450.85399999999998</v>
      </c>
      <c r="AZ84" s="7">
        <v>0</v>
      </c>
      <c r="BA84" s="7">
        <v>0</v>
      </c>
      <c r="BB84" s="7">
        <v>163.23599999999999</v>
      </c>
      <c r="BC84" s="7">
        <v>225.80600000000001</v>
      </c>
      <c r="BD84" s="7">
        <v>0</v>
      </c>
      <c r="BE84" s="7">
        <v>49.363</v>
      </c>
      <c r="BF84" s="7">
        <v>0</v>
      </c>
      <c r="BG84" s="7">
        <v>0</v>
      </c>
      <c r="BH84" s="7">
        <v>72.795000000000002</v>
      </c>
      <c r="BI84" s="21"/>
    </row>
    <row r="85" spans="1:61" ht="15.6" x14ac:dyDescent="0.3">
      <c r="A85" s="5" t="s">
        <v>160</v>
      </c>
      <c r="B85" s="5" t="s">
        <v>161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21"/>
    </row>
    <row r="86" spans="1:61" ht="15.6" x14ac:dyDescent="0.3">
      <c r="A86" s="5" t="s">
        <v>162</v>
      </c>
      <c r="B86" s="5" t="s">
        <v>163</v>
      </c>
      <c r="C86" s="7">
        <v>6</v>
      </c>
      <c r="D86" s="7">
        <v>6</v>
      </c>
      <c r="E86" s="7">
        <v>33772.741999999998</v>
      </c>
      <c r="F86" s="7">
        <v>4879.5839999999998</v>
      </c>
      <c r="G86" s="7">
        <v>7699.3270000000002</v>
      </c>
      <c r="H86" s="7">
        <v>1654.1369999999999</v>
      </c>
      <c r="I86" s="7">
        <v>682.50199999999995</v>
      </c>
      <c r="J86" s="7">
        <v>4450.1369999999997</v>
      </c>
      <c r="K86" s="7">
        <v>0</v>
      </c>
      <c r="L86" s="7">
        <v>12488.828</v>
      </c>
      <c r="M86" s="7">
        <v>15490.671</v>
      </c>
      <c r="N86" s="7">
        <v>0</v>
      </c>
      <c r="O86" s="7">
        <v>0</v>
      </c>
      <c r="P86" s="7">
        <v>2.871</v>
      </c>
      <c r="Q86" s="7">
        <v>0</v>
      </c>
      <c r="R86" s="7">
        <v>0</v>
      </c>
      <c r="S86" s="7">
        <v>2185.3870000000002</v>
      </c>
      <c r="T86" s="7">
        <v>0</v>
      </c>
      <c r="U86" s="7">
        <v>0</v>
      </c>
      <c r="V86" s="7">
        <v>1165.309</v>
      </c>
      <c r="W86" s="7">
        <v>1554.0319999999999</v>
      </c>
      <c r="X86" s="7">
        <v>0</v>
      </c>
      <c r="Y86" s="7">
        <v>5711.1850000000004</v>
      </c>
      <c r="Z86" s="7">
        <v>0</v>
      </c>
      <c r="AA86" s="7">
        <v>9014.0949999999993</v>
      </c>
      <c r="AB86" s="7">
        <v>0</v>
      </c>
      <c r="AC86" s="7">
        <v>764.19500000000005</v>
      </c>
      <c r="AD86" s="7">
        <v>0</v>
      </c>
      <c r="AE86" s="7">
        <v>6003.4949999999999</v>
      </c>
      <c r="AF86" s="7">
        <v>0</v>
      </c>
      <c r="AG86" s="7">
        <v>0</v>
      </c>
      <c r="AH86" s="7">
        <v>30572.032999999999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945.09100000000001</v>
      </c>
      <c r="AP86" s="7">
        <v>0</v>
      </c>
      <c r="AQ86" s="7">
        <v>0</v>
      </c>
      <c r="AR86" s="7">
        <v>0</v>
      </c>
      <c r="AS86" s="7">
        <v>19.628</v>
      </c>
      <c r="AT86" s="7">
        <v>0</v>
      </c>
      <c r="AU86" s="7">
        <v>506.29500000000002</v>
      </c>
      <c r="AV86" s="7">
        <v>0</v>
      </c>
      <c r="AW86" s="7">
        <v>0</v>
      </c>
      <c r="AX86" s="7">
        <v>0</v>
      </c>
      <c r="AY86" s="7">
        <v>1214.6859999999999</v>
      </c>
      <c r="AZ86" s="7">
        <v>0</v>
      </c>
      <c r="BA86" s="7">
        <v>0</v>
      </c>
      <c r="BB86" s="7">
        <v>439.613</v>
      </c>
      <c r="BC86" s="7">
        <v>608.36300000000006</v>
      </c>
      <c r="BD86" s="7">
        <v>0</v>
      </c>
      <c r="BE86" s="7">
        <v>132.94</v>
      </c>
      <c r="BF86" s="7">
        <v>0</v>
      </c>
      <c r="BG86" s="7">
        <v>0</v>
      </c>
      <c r="BH86" s="7">
        <v>196.124</v>
      </c>
      <c r="BI86" s="21"/>
    </row>
    <row r="87" spans="1:61" ht="15.6" x14ac:dyDescent="0.3">
      <c r="A87" s="5" t="s">
        <v>164</v>
      </c>
      <c r="B87" s="5" t="s">
        <v>165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21"/>
    </row>
    <row r="88" spans="1:61" ht="15.6" x14ac:dyDescent="0.3">
      <c r="A88" s="5" t="s">
        <v>166</v>
      </c>
      <c r="B88" s="5" t="s">
        <v>167</v>
      </c>
      <c r="C88" s="7">
        <v>3</v>
      </c>
      <c r="D88" s="7">
        <v>3</v>
      </c>
      <c r="E88" s="7">
        <v>20367.444</v>
      </c>
      <c r="F88" s="7">
        <v>2970.7150000000001</v>
      </c>
      <c r="G88" s="7">
        <v>4692.9380000000001</v>
      </c>
      <c r="H88" s="7">
        <v>0</v>
      </c>
      <c r="I88" s="7">
        <v>412.25599999999997</v>
      </c>
      <c r="J88" s="7">
        <v>2711.1660000000002</v>
      </c>
      <c r="K88" s="7">
        <v>0</v>
      </c>
      <c r="L88" s="7">
        <v>7284.7520000000004</v>
      </c>
      <c r="M88" s="7">
        <v>9405.1740000000009</v>
      </c>
      <c r="N88" s="7">
        <v>0</v>
      </c>
      <c r="O88" s="7">
        <v>0</v>
      </c>
      <c r="P88" s="7">
        <v>0.38400000000000001</v>
      </c>
      <c r="Q88" s="7">
        <v>0</v>
      </c>
      <c r="R88" s="7">
        <v>0</v>
      </c>
      <c r="S88" s="7">
        <v>1344.597</v>
      </c>
      <c r="T88" s="7">
        <v>0</v>
      </c>
      <c r="U88" s="7">
        <v>0</v>
      </c>
      <c r="V88" s="7">
        <v>712.48900000000003</v>
      </c>
      <c r="W88" s="7">
        <v>942.64400000000001</v>
      </c>
      <c r="X88" s="7">
        <v>0</v>
      </c>
      <c r="Y88" s="7">
        <v>3342.9920000000002</v>
      </c>
      <c r="Z88" s="7">
        <v>0</v>
      </c>
      <c r="AA88" s="7">
        <v>5509.7690000000002</v>
      </c>
      <c r="AB88" s="7">
        <v>0</v>
      </c>
      <c r="AC88" s="7">
        <v>464.40100000000001</v>
      </c>
      <c r="AD88" s="7">
        <v>0</v>
      </c>
      <c r="AE88" s="7">
        <v>3218.92</v>
      </c>
      <c r="AF88" s="7">
        <v>0</v>
      </c>
      <c r="AG88" s="7">
        <v>0</v>
      </c>
      <c r="AH88" s="7">
        <v>17783.225999999999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581.48299999999995</v>
      </c>
      <c r="AP88" s="7">
        <v>0</v>
      </c>
      <c r="AQ88" s="7">
        <v>0</v>
      </c>
      <c r="AR88" s="7">
        <v>0</v>
      </c>
      <c r="AS88" s="7">
        <v>12.076000000000001</v>
      </c>
      <c r="AT88" s="7">
        <v>0</v>
      </c>
      <c r="AU88" s="7">
        <v>311.50400000000002</v>
      </c>
      <c r="AV88" s="7">
        <v>0</v>
      </c>
      <c r="AW88" s="7">
        <v>0</v>
      </c>
      <c r="AX88" s="7">
        <v>0</v>
      </c>
      <c r="AY88" s="7">
        <v>747.35699999999997</v>
      </c>
      <c r="AZ88" s="7">
        <v>0</v>
      </c>
      <c r="BA88" s="7">
        <v>0</v>
      </c>
      <c r="BB88" s="7">
        <v>270.48</v>
      </c>
      <c r="BC88" s="7">
        <v>374.30500000000001</v>
      </c>
      <c r="BD88" s="7">
        <v>0</v>
      </c>
      <c r="BE88" s="7">
        <v>81.793999999999997</v>
      </c>
      <c r="BF88" s="7">
        <v>0</v>
      </c>
      <c r="BG88" s="7">
        <v>0</v>
      </c>
      <c r="BH88" s="7">
        <v>120.66800000000001</v>
      </c>
      <c r="BI88" s="21"/>
    </row>
    <row r="89" spans="1:61" ht="15.6" x14ac:dyDescent="0.3">
      <c r="A89" s="5" t="s">
        <v>168</v>
      </c>
      <c r="B89" s="5" t="s">
        <v>169</v>
      </c>
      <c r="C89" s="7">
        <v>3</v>
      </c>
      <c r="D89" s="7">
        <v>3</v>
      </c>
      <c r="E89" s="7">
        <v>39523.364000000001</v>
      </c>
      <c r="F89" s="7">
        <v>4157.8969999999999</v>
      </c>
      <c r="G89" s="7">
        <v>9638.65</v>
      </c>
      <c r="H89" s="7">
        <v>0</v>
      </c>
      <c r="I89" s="7">
        <v>706.005</v>
      </c>
      <c r="J89" s="7">
        <v>6990.8639999999996</v>
      </c>
      <c r="K89" s="7">
        <v>0</v>
      </c>
      <c r="L89" s="7">
        <v>16100.620999999999</v>
      </c>
      <c r="M89" s="7">
        <v>18761.178</v>
      </c>
      <c r="N89" s="7">
        <v>0</v>
      </c>
      <c r="O89" s="7">
        <v>0</v>
      </c>
      <c r="P89" s="7">
        <v>1.073</v>
      </c>
      <c r="Q89" s="7">
        <v>0</v>
      </c>
      <c r="R89" s="7">
        <v>113.023</v>
      </c>
      <c r="S89" s="7">
        <v>1621.604</v>
      </c>
      <c r="T89" s="7">
        <v>0</v>
      </c>
      <c r="U89" s="7">
        <v>0</v>
      </c>
      <c r="V89" s="7">
        <v>1055.163</v>
      </c>
      <c r="W89" s="7">
        <v>1939.0129999999999</v>
      </c>
      <c r="X89" s="7">
        <v>0</v>
      </c>
      <c r="Y89" s="7">
        <v>7824.0659999999998</v>
      </c>
      <c r="Z89" s="7">
        <v>0</v>
      </c>
      <c r="AA89" s="7">
        <v>9212.1299999999992</v>
      </c>
      <c r="AB89" s="7">
        <v>0</v>
      </c>
      <c r="AC89" s="7">
        <v>689.346</v>
      </c>
      <c r="AD89" s="7">
        <v>0</v>
      </c>
      <c r="AE89" s="7">
        <v>24793.807000000001</v>
      </c>
      <c r="AF89" s="7">
        <v>0</v>
      </c>
      <c r="AG89" s="7">
        <v>0</v>
      </c>
      <c r="AH89" s="7">
        <v>47666.836000000003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888.96</v>
      </c>
      <c r="AP89" s="7">
        <v>0</v>
      </c>
      <c r="AQ89" s="7">
        <v>0</v>
      </c>
      <c r="AR89" s="7">
        <v>0</v>
      </c>
      <c r="AS89" s="7">
        <v>11.335000000000001</v>
      </c>
      <c r="AT89" s="7">
        <v>0</v>
      </c>
      <c r="AU89" s="7">
        <v>360.79700000000003</v>
      </c>
      <c r="AV89" s="7">
        <v>0</v>
      </c>
      <c r="AW89" s="7">
        <v>0</v>
      </c>
      <c r="AX89" s="7">
        <v>0</v>
      </c>
      <c r="AY89" s="7">
        <v>1133.0740000000001</v>
      </c>
      <c r="AZ89" s="7">
        <v>0</v>
      </c>
      <c r="BA89" s="7">
        <v>0</v>
      </c>
      <c r="BB89" s="7">
        <v>421.34399999999999</v>
      </c>
      <c r="BC89" s="7">
        <v>569.81799999999998</v>
      </c>
      <c r="BD89" s="7">
        <v>0</v>
      </c>
      <c r="BE89" s="7">
        <v>128.82900000000001</v>
      </c>
      <c r="BF89" s="7">
        <v>0</v>
      </c>
      <c r="BG89" s="7">
        <v>0</v>
      </c>
      <c r="BH89" s="7">
        <v>184.74700000000001</v>
      </c>
      <c r="BI89" s="21"/>
    </row>
    <row r="90" spans="1:61" ht="15.6" x14ac:dyDescent="0.3">
      <c r="A90" s="5" t="s">
        <v>170</v>
      </c>
      <c r="B90" s="5" t="s">
        <v>171</v>
      </c>
      <c r="C90" s="7">
        <v>3</v>
      </c>
      <c r="D90" s="7">
        <v>3</v>
      </c>
      <c r="E90" s="7">
        <v>54329.103000000003</v>
      </c>
      <c r="F90" s="7">
        <v>7924.2269999999999</v>
      </c>
      <c r="G90" s="7">
        <v>12518.171</v>
      </c>
      <c r="H90" s="7">
        <v>0</v>
      </c>
      <c r="I90" s="7">
        <v>1099.67</v>
      </c>
      <c r="J90" s="7">
        <v>7231.8950000000004</v>
      </c>
      <c r="K90" s="7">
        <v>0</v>
      </c>
      <c r="L90" s="7">
        <v>19431.699000000001</v>
      </c>
      <c r="M90" s="7">
        <v>25087.814999999999</v>
      </c>
      <c r="N90" s="7">
        <v>0</v>
      </c>
      <c r="O90" s="7">
        <v>0</v>
      </c>
      <c r="P90" s="7">
        <v>1.0249999999999999</v>
      </c>
      <c r="Q90" s="7">
        <v>0</v>
      </c>
      <c r="R90" s="7">
        <v>0</v>
      </c>
      <c r="S90" s="7">
        <v>3586.6439999999998</v>
      </c>
      <c r="T90" s="7">
        <v>0</v>
      </c>
      <c r="U90" s="7">
        <v>0</v>
      </c>
      <c r="V90" s="7">
        <v>1900.5260000000001</v>
      </c>
      <c r="W90" s="7">
        <v>2514.4540000000002</v>
      </c>
      <c r="X90" s="7">
        <v>0</v>
      </c>
      <c r="Y90" s="7">
        <v>8917.2579999999998</v>
      </c>
      <c r="Z90" s="7">
        <v>0</v>
      </c>
      <c r="AA90" s="7">
        <v>14697.025</v>
      </c>
      <c r="AB90" s="7">
        <v>0</v>
      </c>
      <c r="AC90" s="7">
        <v>1238.7660000000001</v>
      </c>
      <c r="AD90" s="7">
        <v>0</v>
      </c>
      <c r="AE90" s="7">
        <v>8586.3029999999999</v>
      </c>
      <c r="AF90" s="7">
        <v>0</v>
      </c>
      <c r="AG90" s="7">
        <v>0</v>
      </c>
      <c r="AH90" s="7">
        <v>47435.834999999999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1551.077</v>
      </c>
      <c r="AP90" s="7">
        <v>0</v>
      </c>
      <c r="AQ90" s="7">
        <v>0</v>
      </c>
      <c r="AR90" s="7">
        <v>0</v>
      </c>
      <c r="AS90" s="7">
        <v>32.21</v>
      </c>
      <c r="AT90" s="7">
        <v>0</v>
      </c>
      <c r="AU90" s="7">
        <v>830.923</v>
      </c>
      <c r="AV90" s="7">
        <v>0</v>
      </c>
      <c r="AW90" s="7">
        <v>0</v>
      </c>
      <c r="AX90" s="7">
        <v>0</v>
      </c>
      <c r="AY90" s="7">
        <v>1993.5360000000001</v>
      </c>
      <c r="AZ90" s="7">
        <v>0</v>
      </c>
      <c r="BA90" s="7">
        <v>0</v>
      </c>
      <c r="BB90" s="7">
        <v>721.49099999999999</v>
      </c>
      <c r="BC90" s="7">
        <v>998.43899999999996</v>
      </c>
      <c r="BD90" s="7">
        <v>0</v>
      </c>
      <c r="BE90" s="7">
        <v>218.18</v>
      </c>
      <c r="BF90" s="7">
        <v>0</v>
      </c>
      <c r="BG90" s="7">
        <v>0</v>
      </c>
      <c r="BH90" s="7">
        <v>321.87400000000002</v>
      </c>
      <c r="BI90" s="21"/>
    </row>
    <row r="91" spans="1:61" ht="15.6" x14ac:dyDescent="0.3">
      <c r="A91" s="5" t="s">
        <v>172</v>
      </c>
      <c r="B91" s="5" t="s">
        <v>173</v>
      </c>
      <c r="C91" s="7">
        <v>3</v>
      </c>
      <c r="D91" s="7">
        <v>3</v>
      </c>
      <c r="E91" s="7">
        <v>18769.411</v>
      </c>
      <c r="F91" s="7">
        <v>1696.1559999999999</v>
      </c>
      <c r="G91" s="7">
        <v>4827.6270000000004</v>
      </c>
      <c r="H91" s="7">
        <v>0</v>
      </c>
      <c r="I91" s="7">
        <v>28.957999999999998</v>
      </c>
      <c r="J91" s="7">
        <v>1367.1479999999999</v>
      </c>
      <c r="K91" s="7">
        <v>0</v>
      </c>
      <c r="L91" s="7">
        <v>18581.359</v>
      </c>
      <c r="M91" s="7">
        <v>2971.7820000000002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700.19799999999998</v>
      </c>
      <c r="T91" s="7">
        <v>0</v>
      </c>
      <c r="U91" s="7">
        <v>0</v>
      </c>
      <c r="V91" s="7">
        <v>419.03699999999998</v>
      </c>
      <c r="W91" s="7">
        <v>151.767</v>
      </c>
      <c r="X91" s="7">
        <v>0</v>
      </c>
      <c r="Y91" s="7">
        <v>5705.6270000000004</v>
      </c>
      <c r="Z91" s="7">
        <v>0</v>
      </c>
      <c r="AA91" s="7">
        <v>2452.3629999999998</v>
      </c>
      <c r="AB91" s="7">
        <v>0</v>
      </c>
      <c r="AC91" s="7">
        <v>845.04399999999998</v>
      </c>
      <c r="AD91" s="7">
        <v>0</v>
      </c>
      <c r="AE91" s="7">
        <v>55074.544000000002</v>
      </c>
      <c r="AF91" s="7">
        <v>0</v>
      </c>
      <c r="AG91" s="7">
        <v>0</v>
      </c>
      <c r="AH91" s="7">
        <v>56919.892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923.60299999999995</v>
      </c>
      <c r="AP91" s="7">
        <v>0</v>
      </c>
      <c r="AQ91" s="7">
        <v>0</v>
      </c>
      <c r="AR91" s="7">
        <v>0</v>
      </c>
      <c r="AS91" s="7">
        <v>2.137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424.73</v>
      </c>
      <c r="BC91" s="7">
        <v>0</v>
      </c>
      <c r="BD91" s="7">
        <v>0</v>
      </c>
      <c r="BE91" s="7">
        <v>127.74299999999999</v>
      </c>
      <c r="BF91" s="7">
        <v>0</v>
      </c>
      <c r="BG91" s="7">
        <v>0</v>
      </c>
      <c r="BH91" s="7">
        <v>0</v>
      </c>
      <c r="BI91" s="21"/>
    </row>
    <row r="92" spans="1:61" ht="15.6" x14ac:dyDescent="0.3">
      <c r="A92" s="5" t="s">
        <v>174</v>
      </c>
      <c r="B92" s="5" t="s">
        <v>175</v>
      </c>
      <c r="C92" s="7">
        <v>3</v>
      </c>
      <c r="D92" s="7">
        <v>3</v>
      </c>
      <c r="E92" s="7">
        <v>90800.907000000007</v>
      </c>
      <c r="F92" s="7">
        <v>15088.147000000001</v>
      </c>
      <c r="G92" s="7">
        <v>19942.659</v>
      </c>
      <c r="H92" s="7">
        <v>0</v>
      </c>
      <c r="I92" s="7">
        <v>725.25599999999997</v>
      </c>
      <c r="J92" s="7">
        <v>11456.351000000001</v>
      </c>
      <c r="K92" s="7">
        <v>0</v>
      </c>
      <c r="L92" s="7">
        <v>100715.09699999999</v>
      </c>
      <c r="M92" s="7">
        <v>14977.306</v>
      </c>
      <c r="N92" s="7">
        <v>0</v>
      </c>
      <c r="O92" s="7">
        <v>0</v>
      </c>
      <c r="P92" s="7">
        <v>0.28199999999999997</v>
      </c>
      <c r="Q92" s="7">
        <v>0</v>
      </c>
      <c r="R92" s="7">
        <v>0</v>
      </c>
      <c r="S92" s="7">
        <v>6272.0680000000002</v>
      </c>
      <c r="T92" s="7">
        <v>0</v>
      </c>
      <c r="U92" s="7">
        <v>0</v>
      </c>
      <c r="V92" s="7">
        <v>2860.7840000000001</v>
      </c>
      <c r="W92" s="7">
        <v>823.36300000000006</v>
      </c>
      <c r="X92" s="7">
        <v>0</v>
      </c>
      <c r="Y92" s="7">
        <v>25497.492999999999</v>
      </c>
      <c r="Z92" s="7">
        <v>0</v>
      </c>
      <c r="AA92" s="7">
        <v>25241.489000000001</v>
      </c>
      <c r="AB92" s="7">
        <v>0</v>
      </c>
      <c r="AC92" s="7">
        <v>4800.2619999999997</v>
      </c>
      <c r="AD92" s="7">
        <v>0</v>
      </c>
      <c r="AE92" s="7">
        <v>228040.96100000001</v>
      </c>
      <c r="AF92" s="7">
        <v>6874.1260000000002</v>
      </c>
      <c r="AG92" s="7">
        <v>0</v>
      </c>
      <c r="AH92" s="7">
        <v>269534.26500000001</v>
      </c>
      <c r="AI92" s="7">
        <v>10566.371999999999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7243.7659999999996</v>
      </c>
      <c r="AP92" s="7">
        <v>0</v>
      </c>
      <c r="AQ92" s="7">
        <v>2709.585</v>
      </c>
      <c r="AR92" s="7">
        <v>0</v>
      </c>
      <c r="AS92" s="7">
        <v>22.745000000000001</v>
      </c>
      <c r="AT92" s="7">
        <v>0</v>
      </c>
      <c r="AU92" s="7">
        <v>34.883000000000003</v>
      </c>
      <c r="AV92" s="7">
        <v>0</v>
      </c>
      <c r="AW92" s="7">
        <v>0</v>
      </c>
      <c r="AX92" s="7">
        <v>0</v>
      </c>
      <c r="AY92" s="7">
        <v>172.23099999999999</v>
      </c>
      <c r="AZ92" s="7">
        <v>4808.4539999999997</v>
      </c>
      <c r="BA92" s="7">
        <v>0</v>
      </c>
      <c r="BB92" s="7">
        <v>3322.8310000000001</v>
      </c>
      <c r="BC92" s="7">
        <v>25.248000000000001</v>
      </c>
      <c r="BD92" s="7">
        <v>6089.2860000000001</v>
      </c>
      <c r="BE92" s="7">
        <v>1001.326</v>
      </c>
      <c r="BF92" s="7">
        <v>2125.54</v>
      </c>
      <c r="BG92" s="7">
        <v>0</v>
      </c>
      <c r="BH92" s="7">
        <v>8.2289999999999992</v>
      </c>
      <c r="BI92" s="21"/>
    </row>
    <row r="93" spans="1:61" ht="15.6" x14ac:dyDescent="0.3">
      <c r="A93" s="5" t="s">
        <v>176</v>
      </c>
      <c r="B93" s="5" t="s">
        <v>177</v>
      </c>
      <c r="C93" s="7">
        <v>3</v>
      </c>
      <c r="D93" s="7">
        <v>3</v>
      </c>
      <c r="E93" s="7">
        <v>60197.012000000002</v>
      </c>
      <c r="F93" s="7">
        <v>27713.888999999999</v>
      </c>
      <c r="G93" s="7">
        <v>3293.991</v>
      </c>
      <c r="H93" s="7">
        <v>522.10900000000004</v>
      </c>
      <c r="I93" s="7">
        <v>1899.0619999999999</v>
      </c>
      <c r="J93" s="7">
        <v>18413.696</v>
      </c>
      <c r="K93" s="7">
        <v>0</v>
      </c>
      <c r="L93" s="7">
        <v>103533.402</v>
      </c>
      <c r="M93" s="7">
        <v>9678.6569999999992</v>
      </c>
      <c r="N93" s="7">
        <v>0</v>
      </c>
      <c r="O93" s="7">
        <v>0</v>
      </c>
      <c r="P93" s="7">
        <v>1.081</v>
      </c>
      <c r="Q93" s="7">
        <v>0</v>
      </c>
      <c r="R93" s="7">
        <v>0</v>
      </c>
      <c r="S93" s="7">
        <v>11501.53</v>
      </c>
      <c r="T93" s="7">
        <v>0</v>
      </c>
      <c r="U93" s="7">
        <v>0</v>
      </c>
      <c r="V93" s="7">
        <v>3785.3539999999998</v>
      </c>
      <c r="W93" s="7">
        <v>807.05200000000002</v>
      </c>
      <c r="X93" s="7">
        <v>0</v>
      </c>
      <c r="Y93" s="7">
        <v>13017.375</v>
      </c>
      <c r="Z93" s="7">
        <v>0</v>
      </c>
      <c r="AA93" s="7">
        <v>48461.942000000003</v>
      </c>
      <c r="AB93" s="7">
        <v>0</v>
      </c>
      <c r="AC93" s="7">
        <v>4946.7139999999999</v>
      </c>
      <c r="AD93" s="7">
        <v>0</v>
      </c>
      <c r="AE93" s="7">
        <v>46326.540999999997</v>
      </c>
      <c r="AF93" s="7">
        <v>32423.251</v>
      </c>
      <c r="AG93" s="7">
        <v>0</v>
      </c>
      <c r="AH93" s="7">
        <v>170105.91</v>
      </c>
      <c r="AI93" s="7">
        <v>50198.661999999997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11508.578</v>
      </c>
      <c r="AP93" s="7">
        <v>0</v>
      </c>
      <c r="AQ93" s="7">
        <v>12838.191999999999</v>
      </c>
      <c r="AR93" s="7">
        <v>0</v>
      </c>
      <c r="AS93" s="7">
        <v>51.289000000000001</v>
      </c>
      <c r="AT93" s="7">
        <v>0</v>
      </c>
      <c r="AU93" s="7">
        <v>189.822</v>
      </c>
      <c r="AV93" s="7">
        <v>0</v>
      </c>
      <c r="AW93" s="7">
        <v>0</v>
      </c>
      <c r="AX93" s="7">
        <v>0</v>
      </c>
      <c r="AY93" s="7">
        <v>772.54399999999998</v>
      </c>
      <c r="AZ93" s="7">
        <v>22844.063999999998</v>
      </c>
      <c r="BA93" s="7">
        <v>0</v>
      </c>
      <c r="BB93" s="7">
        <v>5261.2340000000004</v>
      </c>
      <c r="BC93" s="7">
        <v>96.111999999999995</v>
      </c>
      <c r="BD93" s="7">
        <v>28929.054</v>
      </c>
      <c r="BE93" s="7">
        <v>1585.2460000000001</v>
      </c>
      <c r="BF93" s="7">
        <v>10098.040999999999</v>
      </c>
      <c r="BG93" s="7">
        <v>0</v>
      </c>
      <c r="BH93" s="7">
        <v>30.984000000000002</v>
      </c>
      <c r="BI93" s="21"/>
    </row>
    <row r="94" spans="1:61" ht="15.6" x14ac:dyDescent="0.3">
      <c r="A94" s="5" t="s">
        <v>178</v>
      </c>
      <c r="B94" s="5" t="s">
        <v>179</v>
      </c>
      <c r="C94" s="7">
        <v>6</v>
      </c>
      <c r="D94" s="7">
        <v>6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21"/>
    </row>
    <row r="95" spans="1:61" ht="15.6" x14ac:dyDescent="0.3">
      <c r="A95" s="5" t="s">
        <v>180</v>
      </c>
      <c r="B95" s="5" t="s">
        <v>181</v>
      </c>
      <c r="C95" s="7">
        <v>6</v>
      </c>
      <c r="D95" s="7">
        <v>6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21"/>
    </row>
    <row r="96" spans="1:61" ht="15.6" x14ac:dyDescent="0.3">
      <c r="A96" s="5" t="s">
        <v>182</v>
      </c>
      <c r="B96" s="5" t="s">
        <v>183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21"/>
    </row>
    <row r="97" spans="1:61" ht="15.6" x14ac:dyDescent="0.3">
      <c r="A97" s="5" t="s">
        <v>184</v>
      </c>
      <c r="B97" s="5" t="s">
        <v>185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21"/>
    </row>
    <row r="98" spans="1:61" ht="15.6" x14ac:dyDescent="0.3">
      <c r="A98" s="5" t="s">
        <v>186</v>
      </c>
      <c r="B98" s="5" t="s">
        <v>187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21"/>
    </row>
    <row r="99" spans="1:61" ht="15.6" x14ac:dyDescent="0.3">
      <c r="A99" s="5" t="s">
        <v>188</v>
      </c>
      <c r="B99" s="5" t="s">
        <v>189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21"/>
    </row>
    <row r="100" spans="1:61" ht="15.6" x14ac:dyDescent="0.3">
      <c r="A100" s="5" t="s">
        <v>190</v>
      </c>
      <c r="B100" s="5" t="s">
        <v>191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21"/>
    </row>
    <row r="101" spans="1:61" ht="15.6" x14ac:dyDescent="0.3">
      <c r="A101" s="5" t="s">
        <v>192</v>
      </c>
      <c r="B101" s="5" t="s">
        <v>193</v>
      </c>
      <c r="C101" s="7">
        <v>6</v>
      </c>
      <c r="D101" s="7">
        <v>6</v>
      </c>
      <c r="E101" s="7">
        <v>27082.152999999998</v>
      </c>
      <c r="F101" s="7">
        <v>0</v>
      </c>
      <c r="G101" s="7">
        <v>0</v>
      </c>
      <c r="H101" s="7">
        <v>1420.472</v>
      </c>
      <c r="I101" s="7">
        <v>0</v>
      </c>
      <c r="J101" s="7">
        <v>0</v>
      </c>
      <c r="K101" s="7">
        <v>0</v>
      </c>
      <c r="L101" s="7">
        <v>20038.027999999998</v>
      </c>
      <c r="M101" s="7">
        <v>17802.054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332.31099999999998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4028.4079999999999</v>
      </c>
      <c r="AF101" s="7">
        <v>0</v>
      </c>
      <c r="AG101" s="7">
        <v>0</v>
      </c>
      <c r="AH101" s="7">
        <v>23512.005000000001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21"/>
    </row>
    <row r="102" spans="1:61" ht="15.6" x14ac:dyDescent="0.3">
      <c r="A102" s="5" t="s">
        <v>194</v>
      </c>
      <c r="B102" s="5" t="s">
        <v>195</v>
      </c>
      <c r="C102" s="7">
        <v>4</v>
      </c>
      <c r="D102" s="7">
        <v>4</v>
      </c>
      <c r="E102" s="7">
        <v>464575.61599999998</v>
      </c>
      <c r="F102" s="7">
        <v>105378.106</v>
      </c>
      <c r="G102" s="7">
        <v>853.98400000000004</v>
      </c>
      <c r="H102" s="7">
        <v>14147.091</v>
      </c>
      <c r="I102" s="7">
        <v>1962.1880000000001</v>
      </c>
      <c r="J102" s="7">
        <v>493.35700000000003</v>
      </c>
      <c r="K102" s="7">
        <v>0</v>
      </c>
      <c r="L102" s="7">
        <v>1157082.608</v>
      </c>
      <c r="M102" s="7">
        <v>51485.877</v>
      </c>
      <c r="N102" s="7">
        <v>0</v>
      </c>
      <c r="O102" s="7">
        <v>388.892</v>
      </c>
      <c r="P102" s="7">
        <v>20.594000000000001</v>
      </c>
      <c r="Q102" s="7">
        <v>339.74099999999999</v>
      </c>
      <c r="R102" s="7">
        <v>0</v>
      </c>
      <c r="S102" s="7">
        <v>32728.066999999999</v>
      </c>
      <c r="T102" s="7">
        <v>0</v>
      </c>
      <c r="U102" s="7">
        <v>0</v>
      </c>
      <c r="V102" s="7">
        <v>129.65299999999999</v>
      </c>
      <c r="W102" s="7">
        <v>11792.732</v>
      </c>
      <c r="X102" s="7">
        <v>0</v>
      </c>
      <c r="Y102" s="7">
        <v>231732.69200000001</v>
      </c>
      <c r="Z102" s="7">
        <v>0</v>
      </c>
      <c r="AA102" s="7">
        <v>36396.877999999997</v>
      </c>
      <c r="AB102" s="7">
        <v>25122.001</v>
      </c>
      <c r="AC102" s="7">
        <v>20819.560000000001</v>
      </c>
      <c r="AD102" s="7">
        <v>0</v>
      </c>
      <c r="AE102" s="7">
        <v>646623.36699999997</v>
      </c>
      <c r="AF102" s="7">
        <v>718459.48</v>
      </c>
      <c r="AG102" s="7">
        <v>0</v>
      </c>
      <c r="AH102" s="7">
        <v>1825793.1569999999</v>
      </c>
      <c r="AI102" s="7">
        <v>1126970.057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23339.312000000002</v>
      </c>
      <c r="AP102" s="7">
        <v>0</v>
      </c>
      <c r="AQ102" s="7">
        <v>286829.25400000002</v>
      </c>
      <c r="AR102" s="7">
        <v>0</v>
      </c>
      <c r="AS102" s="7">
        <v>308.06299999999999</v>
      </c>
      <c r="AT102" s="7">
        <v>0</v>
      </c>
      <c r="AU102" s="7">
        <v>2428.6640000000002</v>
      </c>
      <c r="AV102" s="7">
        <v>0</v>
      </c>
      <c r="AW102" s="7">
        <v>0</v>
      </c>
      <c r="AX102" s="7">
        <v>0</v>
      </c>
      <c r="AY102" s="7">
        <v>13171.598</v>
      </c>
      <c r="AZ102" s="7">
        <v>512857.04399999999</v>
      </c>
      <c r="BA102" s="7">
        <v>0</v>
      </c>
      <c r="BB102" s="7">
        <v>10490.366</v>
      </c>
      <c r="BC102" s="7">
        <v>68.113</v>
      </c>
      <c r="BD102" s="7">
        <v>649467.147</v>
      </c>
      <c r="BE102" s="7">
        <v>2983.1990000000001</v>
      </c>
      <c r="BF102" s="7">
        <v>226704.46299999999</v>
      </c>
      <c r="BG102" s="7">
        <v>0</v>
      </c>
      <c r="BH102" s="7">
        <v>21.959</v>
      </c>
      <c r="BI102" s="21"/>
    </row>
    <row r="103" spans="1:61" ht="15.6" x14ac:dyDescent="0.3">
      <c r="A103" s="5" t="s">
        <v>196</v>
      </c>
      <c r="B103" s="5" t="s">
        <v>197</v>
      </c>
      <c r="C103" s="7">
        <v>4</v>
      </c>
      <c r="D103" s="7">
        <v>4</v>
      </c>
      <c r="E103" s="7">
        <v>221636.50099999999</v>
      </c>
      <c r="F103" s="7">
        <v>47604.478000000003</v>
      </c>
      <c r="G103" s="7">
        <v>362.952</v>
      </c>
      <c r="H103" s="7">
        <v>24089.13</v>
      </c>
      <c r="I103" s="7">
        <v>941.95899999999995</v>
      </c>
      <c r="J103" s="7">
        <v>209.68199999999999</v>
      </c>
      <c r="K103" s="7">
        <v>0</v>
      </c>
      <c r="L103" s="7">
        <v>549562.82999999996</v>
      </c>
      <c r="M103" s="7">
        <v>24730.844000000001</v>
      </c>
      <c r="N103" s="7">
        <v>0</v>
      </c>
      <c r="O103" s="7">
        <v>127.318</v>
      </c>
      <c r="P103" s="7">
        <v>9.9239999999999995</v>
      </c>
      <c r="Q103" s="7">
        <v>111.224</v>
      </c>
      <c r="R103" s="7">
        <v>0</v>
      </c>
      <c r="S103" s="7">
        <v>15768.938</v>
      </c>
      <c r="T103" s="7">
        <v>0</v>
      </c>
      <c r="U103" s="7">
        <v>0</v>
      </c>
      <c r="V103" s="7">
        <v>55.103999999999999</v>
      </c>
      <c r="W103" s="7">
        <v>5677.1639999999998</v>
      </c>
      <c r="X103" s="7">
        <v>0</v>
      </c>
      <c r="Y103" s="7">
        <v>111717.07</v>
      </c>
      <c r="Z103" s="7">
        <v>0</v>
      </c>
      <c r="AA103" s="7">
        <v>17494.819</v>
      </c>
      <c r="AB103" s="7">
        <v>8224.44</v>
      </c>
      <c r="AC103" s="7">
        <v>10035.287</v>
      </c>
      <c r="AD103" s="7">
        <v>0</v>
      </c>
      <c r="AE103" s="7">
        <v>311282.68199999997</v>
      </c>
      <c r="AF103" s="7">
        <v>346473.35399999999</v>
      </c>
      <c r="AG103" s="7">
        <v>0</v>
      </c>
      <c r="AH103" s="7">
        <v>871366.43099999998</v>
      </c>
      <c r="AI103" s="7">
        <v>543475.45700000005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11249.206</v>
      </c>
      <c r="AP103" s="7">
        <v>0</v>
      </c>
      <c r="AQ103" s="7">
        <v>138321.913</v>
      </c>
      <c r="AR103" s="7">
        <v>0</v>
      </c>
      <c r="AS103" s="7">
        <v>148.43899999999999</v>
      </c>
      <c r="AT103" s="7">
        <v>0</v>
      </c>
      <c r="AU103" s="7">
        <v>1167.972</v>
      </c>
      <c r="AV103" s="7">
        <v>0</v>
      </c>
      <c r="AW103" s="7">
        <v>0</v>
      </c>
      <c r="AX103" s="7">
        <v>0</v>
      </c>
      <c r="AY103" s="7">
        <v>6344.1509999999998</v>
      </c>
      <c r="AZ103" s="7">
        <v>247322.641</v>
      </c>
      <c r="BA103" s="7">
        <v>0</v>
      </c>
      <c r="BB103" s="7">
        <v>5056.1030000000001</v>
      </c>
      <c r="BC103" s="7">
        <v>28.949000000000002</v>
      </c>
      <c r="BD103" s="7">
        <v>313202.15700000001</v>
      </c>
      <c r="BE103" s="7">
        <v>1437.7809999999999</v>
      </c>
      <c r="BF103" s="7">
        <v>109327.05100000001</v>
      </c>
      <c r="BG103" s="7">
        <v>0</v>
      </c>
      <c r="BH103" s="7">
        <v>9.3320000000000007</v>
      </c>
      <c r="BI103" s="21"/>
    </row>
    <row r="104" spans="1:61" ht="15.6" x14ac:dyDescent="0.3">
      <c r="A104" s="5" t="s">
        <v>198</v>
      </c>
      <c r="B104" s="5" t="s">
        <v>199</v>
      </c>
      <c r="C104" s="7">
        <v>4</v>
      </c>
      <c r="D104" s="7">
        <v>4</v>
      </c>
      <c r="E104" s="7">
        <v>102252.864</v>
      </c>
      <c r="F104" s="7">
        <v>21878.702000000001</v>
      </c>
      <c r="G104" s="7">
        <v>478.27800000000002</v>
      </c>
      <c r="H104" s="7">
        <v>7920.26</v>
      </c>
      <c r="I104" s="7">
        <v>451.52800000000002</v>
      </c>
      <c r="J104" s="7">
        <v>276.30700000000002</v>
      </c>
      <c r="K104" s="7">
        <v>0</v>
      </c>
      <c r="L104" s="7">
        <v>249463.136</v>
      </c>
      <c r="M104" s="7">
        <v>12500.731</v>
      </c>
      <c r="N104" s="7">
        <v>0</v>
      </c>
      <c r="O104" s="7">
        <v>146.881</v>
      </c>
      <c r="P104" s="7">
        <v>4.4909999999999997</v>
      </c>
      <c r="Q104" s="7">
        <v>128.315</v>
      </c>
      <c r="R104" s="7">
        <v>0</v>
      </c>
      <c r="S104" s="7">
        <v>7185.8940000000002</v>
      </c>
      <c r="T104" s="7">
        <v>0</v>
      </c>
      <c r="U104" s="7">
        <v>0</v>
      </c>
      <c r="V104" s="7">
        <v>72.613</v>
      </c>
      <c r="W104" s="7">
        <v>2617.85</v>
      </c>
      <c r="X104" s="7">
        <v>0</v>
      </c>
      <c r="Y104" s="7">
        <v>50494.415000000001</v>
      </c>
      <c r="Z104" s="7">
        <v>0</v>
      </c>
      <c r="AA104" s="7">
        <v>8242.0380000000005</v>
      </c>
      <c r="AB104" s="7">
        <v>9488.2459999999992</v>
      </c>
      <c r="AC104" s="7">
        <v>4546.8140000000003</v>
      </c>
      <c r="AD104" s="7">
        <v>0</v>
      </c>
      <c r="AE104" s="7">
        <v>141051.359</v>
      </c>
      <c r="AF104" s="7">
        <v>155910.228</v>
      </c>
      <c r="AG104" s="7">
        <v>0</v>
      </c>
      <c r="AH104" s="7">
        <v>395533.41800000001</v>
      </c>
      <c r="AI104" s="7">
        <v>244569.80799999999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5100.8999999999996</v>
      </c>
      <c r="AP104" s="7">
        <v>0</v>
      </c>
      <c r="AQ104" s="7">
        <v>62241.616999999998</v>
      </c>
      <c r="AR104" s="7">
        <v>0</v>
      </c>
      <c r="AS104" s="7">
        <v>67.602000000000004</v>
      </c>
      <c r="AT104" s="7">
        <v>0</v>
      </c>
      <c r="AU104" s="7">
        <v>546.41899999999998</v>
      </c>
      <c r="AV104" s="7">
        <v>0</v>
      </c>
      <c r="AW104" s="7">
        <v>0</v>
      </c>
      <c r="AX104" s="7">
        <v>0</v>
      </c>
      <c r="AY104" s="7">
        <v>2904.8809999999999</v>
      </c>
      <c r="AZ104" s="7">
        <v>111289.372</v>
      </c>
      <c r="BA104" s="7">
        <v>0</v>
      </c>
      <c r="BB104" s="7">
        <v>2293.2849999999999</v>
      </c>
      <c r="BC104" s="7">
        <v>38.148000000000003</v>
      </c>
      <c r="BD104" s="7">
        <v>140933.60999999999</v>
      </c>
      <c r="BE104" s="7">
        <v>652.46</v>
      </c>
      <c r="BF104" s="7">
        <v>49194.603000000003</v>
      </c>
      <c r="BG104" s="7">
        <v>0</v>
      </c>
      <c r="BH104" s="7">
        <v>12.297000000000001</v>
      </c>
      <c r="BI104" s="21"/>
    </row>
    <row r="105" spans="1:61" ht="15.6" x14ac:dyDescent="0.3">
      <c r="A105" s="5" t="s">
        <v>200</v>
      </c>
      <c r="B105" s="5" t="s">
        <v>201</v>
      </c>
      <c r="C105" s="7">
        <v>4</v>
      </c>
      <c r="D105" s="7">
        <v>4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21"/>
    </row>
    <row r="106" spans="1:61" ht="15.6" x14ac:dyDescent="0.3">
      <c r="A106" s="5" t="s">
        <v>202</v>
      </c>
      <c r="B106" s="5" t="s">
        <v>203</v>
      </c>
      <c r="C106" s="7">
        <v>4</v>
      </c>
      <c r="D106" s="7">
        <v>4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21"/>
    </row>
    <row r="107" spans="1:61" ht="15.6" x14ac:dyDescent="0.3">
      <c r="A107" s="5" t="s">
        <v>204</v>
      </c>
      <c r="B107" s="5" t="s">
        <v>205</v>
      </c>
      <c r="C107" s="7">
        <v>4</v>
      </c>
      <c r="D107" s="7">
        <v>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21"/>
    </row>
    <row r="108" spans="1:61" ht="15.6" x14ac:dyDescent="0.3">
      <c r="A108" s="5" t="s">
        <v>206</v>
      </c>
      <c r="B108" s="5" t="s">
        <v>207</v>
      </c>
      <c r="C108" s="7">
        <v>6</v>
      </c>
      <c r="D108" s="7">
        <v>6</v>
      </c>
      <c r="E108" s="7">
        <v>127185.55</v>
      </c>
      <c r="F108" s="7">
        <v>426.49</v>
      </c>
      <c r="G108" s="7">
        <v>0</v>
      </c>
      <c r="H108" s="7">
        <v>7826.3280000000004</v>
      </c>
      <c r="I108" s="7">
        <v>0.02</v>
      </c>
      <c r="J108" s="7">
        <v>0</v>
      </c>
      <c r="K108" s="7">
        <v>0</v>
      </c>
      <c r="L108" s="7">
        <v>167617.37599999999</v>
      </c>
      <c r="M108" s="7">
        <v>25496.973999999998</v>
      </c>
      <c r="N108" s="7">
        <v>0</v>
      </c>
      <c r="O108" s="7">
        <v>0</v>
      </c>
      <c r="P108" s="7">
        <v>0</v>
      </c>
      <c r="Q108" s="7">
        <v>0</v>
      </c>
      <c r="R108" s="7">
        <v>1E-3</v>
      </c>
      <c r="S108" s="7">
        <v>0.33600000000000002</v>
      </c>
      <c r="T108" s="7">
        <v>0</v>
      </c>
      <c r="U108" s="7">
        <v>0</v>
      </c>
      <c r="V108" s="7">
        <v>0</v>
      </c>
      <c r="W108" s="7">
        <v>0.11899999999999999</v>
      </c>
      <c r="X108" s="7">
        <v>0</v>
      </c>
      <c r="Y108" s="7">
        <v>46895.555</v>
      </c>
      <c r="Z108" s="7">
        <v>0</v>
      </c>
      <c r="AA108" s="7">
        <v>0.36599999999999999</v>
      </c>
      <c r="AB108" s="7">
        <v>0</v>
      </c>
      <c r="AC108" s="7">
        <v>0.214</v>
      </c>
      <c r="AD108" s="7">
        <v>0</v>
      </c>
      <c r="AE108" s="7">
        <v>156368.356</v>
      </c>
      <c r="AF108" s="7">
        <v>12577.744000000001</v>
      </c>
      <c r="AG108" s="7">
        <v>0</v>
      </c>
      <c r="AH108" s="7">
        <v>403123.95600000001</v>
      </c>
      <c r="AI108" s="7">
        <v>14832.616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0.24</v>
      </c>
      <c r="AP108" s="7">
        <v>0</v>
      </c>
      <c r="AQ108" s="7">
        <v>2.9630000000000001</v>
      </c>
      <c r="AR108" s="7">
        <v>0</v>
      </c>
      <c r="AS108" s="7">
        <v>7.0000000000000001E-3</v>
      </c>
      <c r="AT108" s="7">
        <v>0</v>
      </c>
      <c r="AU108" s="7">
        <v>1.6E-2</v>
      </c>
      <c r="AV108" s="7">
        <v>0</v>
      </c>
      <c r="AW108" s="7">
        <v>0</v>
      </c>
      <c r="AX108" s="7">
        <v>0</v>
      </c>
      <c r="AY108" s="7">
        <v>0.13400000000000001</v>
      </c>
      <c r="AZ108" s="7">
        <v>5.2960000000000003</v>
      </c>
      <c r="BA108" s="7">
        <v>0</v>
      </c>
      <c r="BB108" s="7">
        <v>0.108</v>
      </c>
      <c r="BC108" s="7">
        <v>0</v>
      </c>
      <c r="BD108" s="7">
        <v>6.7069999999999999</v>
      </c>
      <c r="BE108" s="7">
        <v>0.03</v>
      </c>
      <c r="BF108" s="7">
        <v>2.34</v>
      </c>
      <c r="BG108" s="7">
        <v>0</v>
      </c>
      <c r="BH108" s="7">
        <v>0</v>
      </c>
      <c r="BI108" s="21"/>
    </row>
    <row r="109" spans="1:61" ht="15.6" x14ac:dyDescent="0.3">
      <c r="A109" s="5" t="s">
        <v>208</v>
      </c>
      <c r="B109" s="5" t="s">
        <v>209</v>
      </c>
      <c r="C109" s="7">
        <v>4</v>
      </c>
      <c r="D109" s="7">
        <v>4</v>
      </c>
      <c r="E109" s="7">
        <v>129536.882</v>
      </c>
      <c r="F109" s="7">
        <v>27958.080000000002</v>
      </c>
      <c r="G109" s="7">
        <v>0</v>
      </c>
      <c r="H109" s="7">
        <v>0</v>
      </c>
      <c r="I109" s="7">
        <v>536.41800000000001</v>
      </c>
      <c r="J109" s="7">
        <v>0</v>
      </c>
      <c r="K109" s="7">
        <v>0</v>
      </c>
      <c r="L109" s="7">
        <v>324347.98200000002</v>
      </c>
      <c r="M109" s="7">
        <v>14159.625</v>
      </c>
      <c r="N109" s="7">
        <v>0</v>
      </c>
      <c r="O109" s="7">
        <v>0</v>
      </c>
      <c r="P109" s="7">
        <v>5.8330000000000002</v>
      </c>
      <c r="Q109" s="7">
        <v>0</v>
      </c>
      <c r="R109" s="7">
        <v>0</v>
      </c>
      <c r="S109" s="7">
        <v>9233.2739999999994</v>
      </c>
      <c r="T109" s="7">
        <v>0</v>
      </c>
      <c r="U109" s="7">
        <v>0</v>
      </c>
      <c r="V109" s="7">
        <v>0</v>
      </c>
      <c r="W109" s="7">
        <v>3303.279</v>
      </c>
      <c r="X109" s="7">
        <v>0</v>
      </c>
      <c r="Y109" s="7">
        <v>65730.514999999999</v>
      </c>
      <c r="Z109" s="7">
        <v>0</v>
      </c>
      <c r="AA109" s="7">
        <v>10060.674000000001</v>
      </c>
      <c r="AB109" s="7">
        <v>5.7240000000000002</v>
      </c>
      <c r="AC109" s="7">
        <v>5893.8559999999998</v>
      </c>
      <c r="AD109" s="7">
        <v>0</v>
      </c>
      <c r="AE109" s="7">
        <v>182849.40100000001</v>
      </c>
      <c r="AF109" s="7">
        <v>204276.43400000001</v>
      </c>
      <c r="AG109" s="7">
        <v>0</v>
      </c>
      <c r="AH109" s="7">
        <v>514093.03499999997</v>
      </c>
      <c r="AI109" s="7">
        <v>320393.90999999997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6604.03</v>
      </c>
      <c r="AP109" s="7">
        <v>0</v>
      </c>
      <c r="AQ109" s="7">
        <v>81535.774000000005</v>
      </c>
      <c r="AR109" s="7">
        <v>0</v>
      </c>
      <c r="AS109" s="7">
        <v>86.94</v>
      </c>
      <c r="AT109" s="7">
        <v>0</v>
      </c>
      <c r="AU109" s="7">
        <v>849.86599999999999</v>
      </c>
      <c r="AV109" s="7">
        <v>0</v>
      </c>
      <c r="AW109" s="7">
        <v>0</v>
      </c>
      <c r="AX109" s="7">
        <v>0</v>
      </c>
      <c r="AY109" s="7">
        <v>3705.3180000000002</v>
      </c>
      <c r="AZ109" s="7">
        <v>145777.53700000001</v>
      </c>
      <c r="BA109" s="7">
        <v>0</v>
      </c>
      <c r="BB109" s="7">
        <v>2967.8539999999998</v>
      </c>
      <c r="BC109" s="7">
        <v>0</v>
      </c>
      <c r="BD109" s="7">
        <v>184608.40900000001</v>
      </c>
      <c r="BE109" s="7">
        <v>843.73299999999995</v>
      </c>
      <c r="BF109" s="7">
        <v>64439.826999999997</v>
      </c>
      <c r="BG109" s="7">
        <v>0</v>
      </c>
      <c r="BH109" s="7">
        <v>0</v>
      </c>
      <c r="BI109" s="21"/>
    </row>
    <row r="110" spans="1:61" ht="15.6" x14ac:dyDescent="0.3">
      <c r="A110" s="5" t="s">
        <v>210</v>
      </c>
      <c r="B110" s="5" t="s">
        <v>211</v>
      </c>
      <c r="C110" s="7">
        <v>4</v>
      </c>
      <c r="D110" s="7">
        <v>4</v>
      </c>
      <c r="E110" s="7">
        <v>281685.53700000001</v>
      </c>
      <c r="F110" s="7">
        <v>42841.635999999999</v>
      </c>
      <c r="G110" s="7">
        <v>13.826000000000001</v>
      </c>
      <c r="H110" s="7">
        <v>0</v>
      </c>
      <c r="I110" s="7">
        <v>1306.6489999999999</v>
      </c>
      <c r="J110" s="7">
        <v>148.095</v>
      </c>
      <c r="K110" s="7">
        <v>0</v>
      </c>
      <c r="L110" s="7">
        <v>593292.81400000001</v>
      </c>
      <c r="M110" s="7">
        <v>23482.227999999999</v>
      </c>
      <c r="N110" s="7">
        <v>0</v>
      </c>
      <c r="O110" s="7">
        <v>0</v>
      </c>
      <c r="P110" s="7">
        <v>0.56599999999999995</v>
      </c>
      <c r="Q110" s="7">
        <v>0</v>
      </c>
      <c r="R110" s="7">
        <v>0</v>
      </c>
      <c r="S110" s="7">
        <v>13738.629000000001</v>
      </c>
      <c r="T110" s="7">
        <v>0</v>
      </c>
      <c r="U110" s="7">
        <v>0</v>
      </c>
      <c r="V110" s="7">
        <v>30.001000000000001</v>
      </c>
      <c r="W110" s="7">
        <v>4633.4110000000001</v>
      </c>
      <c r="X110" s="7">
        <v>36443.521000000001</v>
      </c>
      <c r="Y110" s="7">
        <v>139919.28200000001</v>
      </c>
      <c r="Z110" s="7">
        <v>0</v>
      </c>
      <c r="AA110" s="7">
        <v>24012.465</v>
      </c>
      <c r="AB110" s="7">
        <v>0</v>
      </c>
      <c r="AC110" s="7">
        <v>8668.0529999999999</v>
      </c>
      <c r="AD110" s="7">
        <v>0</v>
      </c>
      <c r="AE110" s="7">
        <v>392901.96500000003</v>
      </c>
      <c r="AF110" s="7">
        <v>366461.01699999999</v>
      </c>
      <c r="AG110" s="7">
        <v>0</v>
      </c>
      <c r="AH110" s="7">
        <v>1169796.648</v>
      </c>
      <c r="AI110" s="7">
        <v>537789.39300000004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12402.295</v>
      </c>
      <c r="AP110" s="7">
        <v>109866.639</v>
      </c>
      <c r="AQ110" s="7">
        <v>146829.99900000001</v>
      </c>
      <c r="AR110" s="7">
        <v>27084.144</v>
      </c>
      <c r="AS110" s="7">
        <v>128.11600000000001</v>
      </c>
      <c r="AT110" s="7">
        <v>0</v>
      </c>
      <c r="AU110" s="7">
        <v>820.07100000000003</v>
      </c>
      <c r="AV110" s="7">
        <v>72847.42</v>
      </c>
      <c r="AW110" s="7">
        <v>161460.64499999999</v>
      </c>
      <c r="AX110" s="7">
        <v>48347.341</v>
      </c>
      <c r="AY110" s="7">
        <v>358.35700000000003</v>
      </c>
      <c r="AZ110" s="7">
        <v>14098.789000000001</v>
      </c>
      <c r="BA110" s="7">
        <v>37297.542000000001</v>
      </c>
      <c r="BB110" s="7">
        <v>5744.2479999999996</v>
      </c>
      <c r="BC110" s="7">
        <v>0</v>
      </c>
      <c r="BD110" s="7">
        <v>17854.294000000002</v>
      </c>
      <c r="BE110" s="7">
        <v>1754.8820000000001</v>
      </c>
      <c r="BF110" s="7">
        <v>6232.26</v>
      </c>
      <c r="BG110" s="7">
        <v>0</v>
      </c>
      <c r="BH110" s="7">
        <v>0</v>
      </c>
      <c r="BI110" s="21"/>
    </row>
    <row r="111" spans="1:61" ht="15.6" x14ac:dyDescent="0.3">
      <c r="A111" s="5" t="s">
        <v>212</v>
      </c>
      <c r="B111" s="5" t="s">
        <v>213</v>
      </c>
      <c r="C111" s="7">
        <v>4</v>
      </c>
      <c r="D111" s="7">
        <v>4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21"/>
    </row>
    <row r="112" spans="1:61" ht="15.6" x14ac:dyDescent="0.3">
      <c r="A112" s="5" t="s">
        <v>214</v>
      </c>
      <c r="B112" s="5" t="s">
        <v>215</v>
      </c>
      <c r="C112" s="7">
        <v>6</v>
      </c>
      <c r="D112" s="7">
        <v>6</v>
      </c>
      <c r="E112" s="7">
        <v>0.56200000000000006</v>
      </c>
      <c r="F112" s="7">
        <v>0.16300000000000001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0.01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1.3660000000000001</v>
      </c>
      <c r="AF112" s="7">
        <v>9.0999999999999998E-2</v>
      </c>
      <c r="AG112" s="7">
        <v>0</v>
      </c>
      <c r="AH112" s="7">
        <v>1.141</v>
      </c>
      <c r="AI112" s="7">
        <v>4.8000000000000001E-2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21"/>
    </row>
    <row r="113" spans="1:61" ht="15.6" x14ac:dyDescent="0.3">
      <c r="A113" s="5" t="s">
        <v>216</v>
      </c>
      <c r="B113" s="5" t="s">
        <v>217</v>
      </c>
      <c r="C113" s="7">
        <v>6</v>
      </c>
      <c r="D113" s="7">
        <v>6</v>
      </c>
      <c r="E113" s="7">
        <v>64856.241000000002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149926.56099999999</v>
      </c>
      <c r="M113" s="7">
        <v>30052.814999999999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15724.227000000001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46865.455000000002</v>
      </c>
      <c r="AF113" s="7">
        <v>7.0000000000000001E-3</v>
      </c>
      <c r="AG113" s="7">
        <v>0</v>
      </c>
      <c r="AH113" s="7">
        <v>217102.09299999999</v>
      </c>
      <c r="AI113" s="7">
        <v>0.01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21"/>
    </row>
    <row r="114" spans="1:61" ht="15.6" x14ac:dyDescent="0.3">
      <c r="A114" s="5" t="s">
        <v>218</v>
      </c>
      <c r="B114" s="5" t="s">
        <v>219</v>
      </c>
      <c r="C114" s="7">
        <v>4</v>
      </c>
      <c r="D114" s="7">
        <v>4</v>
      </c>
      <c r="E114" s="7">
        <v>44053.504000000001</v>
      </c>
      <c r="F114" s="7">
        <v>9506.5130000000008</v>
      </c>
      <c r="G114" s="7">
        <v>0</v>
      </c>
      <c r="H114" s="7">
        <v>21075.117999999999</v>
      </c>
      <c r="I114" s="7">
        <v>182.62200000000001</v>
      </c>
      <c r="J114" s="7">
        <v>0</v>
      </c>
      <c r="K114" s="7">
        <v>0</v>
      </c>
      <c r="L114" s="7">
        <v>110165.628</v>
      </c>
      <c r="M114" s="7">
        <v>4816.6819999999998</v>
      </c>
      <c r="N114" s="7">
        <v>0</v>
      </c>
      <c r="O114" s="7">
        <v>0</v>
      </c>
      <c r="P114" s="7">
        <v>1.986</v>
      </c>
      <c r="Q114" s="7">
        <v>0</v>
      </c>
      <c r="R114" s="7">
        <v>0</v>
      </c>
      <c r="S114" s="7">
        <v>3143.4270000000001</v>
      </c>
      <c r="T114" s="7">
        <v>0</v>
      </c>
      <c r="U114" s="7">
        <v>0</v>
      </c>
      <c r="V114" s="7">
        <v>0</v>
      </c>
      <c r="W114" s="7">
        <v>1124.586</v>
      </c>
      <c r="X114" s="7">
        <v>0</v>
      </c>
      <c r="Y114" s="7">
        <v>22365.973999999998</v>
      </c>
      <c r="Z114" s="7">
        <v>0</v>
      </c>
      <c r="AA114" s="7">
        <v>3425.1120000000001</v>
      </c>
      <c r="AB114" s="7">
        <v>0</v>
      </c>
      <c r="AC114" s="7">
        <v>2006.537</v>
      </c>
      <c r="AD114" s="7">
        <v>16292.036</v>
      </c>
      <c r="AE114" s="7">
        <v>62195.724000000002</v>
      </c>
      <c r="AF114" s="7">
        <v>69525.536999999997</v>
      </c>
      <c r="AG114" s="7">
        <v>75725.327999999994</v>
      </c>
      <c r="AH114" s="7">
        <v>174577.91899999999</v>
      </c>
      <c r="AI114" s="7">
        <v>109057.226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2248.3130000000001</v>
      </c>
      <c r="AP114" s="7">
        <v>0</v>
      </c>
      <c r="AQ114" s="7">
        <v>27756.552</v>
      </c>
      <c r="AR114" s="7">
        <v>0</v>
      </c>
      <c r="AS114" s="7">
        <v>29.599</v>
      </c>
      <c r="AT114" s="7">
        <v>0</v>
      </c>
      <c r="AU114" s="7">
        <v>3444.7040000000002</v>
      </c>
      <c r="AV114" s="7">
        <v>0</v>
      </c>
      <c r="AW114" s="7">
        <v>0</v>
      </c>
      <c r="AX114" s="7">
        <v>0</v>
      </c>
      <c r="AY114" s="7">
        <v>1261.4580000000001</v>
      </c>
      <c r="AZ114" s="7">
        <v>77833.562000000005</v>
      </c>
      <c r="BA114" s="7">
        <v>0</v>
      </c>
      <c r="BB114" s="7">
        <v>1010.393</v>
      </c>
      <c r="BC114" s="7">
        <v>0</v>
      </c>
      <c r="BD114" s="7">
        <v>62849.127999999997</v>
      </c>
      <c r="BE114" s="7">
        <v>287.245</v>
      </c>
      <c r="BF114" s="7">
        <v>21938.258000000002</v>
      </c>
      <c r="BG114" s="7">
        <v>0</v>
      </c>
      <c r="BH114" s="7">
        <v>0</v>
      </c>
      <c r="BI114" s="21"/>
    </row>
    <row r="115" spans="1:61" ht="15.6" x14ac:dyDescent="0.3">
      <c r="A115" s="5" t="s">
        <v>220</v>
      </c>
      <c r="B115" s="5" t="s">
        <v>221</v>
      </c>
      <c r="C115" s="7">
        <v>4</v>
      </c>
      <c r="D115" s="7">
        <v>4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263.65800000000002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630216.09</v>
      </c>
      <c r="AL115" s="7">
        <v>323933.24699999997</v>
      </c>
      <c r="AM115" s="7">
        <v>0</v>
      </c>
      <c r="AN115" s="7">
        <v>214948.74900000001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785.62199999999996</v>
      </c>
      <c r="AV115" s="7">
        <v>0</v>
      </c>
      <c r="AW115" s="7">
        <v>0</v>
      </c>
      <c r="AX115" s="7">
        <v>349.77800000000002</v>
      </c>
      <c r="AY115" s="7">
        <v>0</v>
      </c>
      <c r="AZ115" s="7">
        <v>0</v>
      </c>
      <c r="BA115" s="7">
        <v>269.83600000000001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21"/>
    </row>
    <row r="116" spans="1:61" ht="15.6" x14ac:dyDescent="0.3">
      <c r="A116" s="5" t="s">
        <v>222</v>
      </c>
      <c r="B116" s="5" t="s">
        <v>223</v>
      </c>
      <c r="C116" s="7">
        <v>4</v>
      </c>
      <c r="D116" s="7">
        <v>3</v>
      </c>
      <c r="E116" s="7">
        <v>10785.407999999999</v>
      </c>
      <c r="F116" s="7">
        <v>1572.31</v>
      </c>
      <c r="G116" s="7">
        <v>2484.9630000000002</v>
      </c>
      <c r="H116" s="7">
        <v>0</v>
      </c>
      <c r="I116" s="7">
        <v>218.27699999999999</v>
      </c>
      <c r="J116" s="7">
        <v>1436.038</v>
      </c>
      <c r="K116" s="7">
        <v>11590.415000000001</v>
      </c>
      <c r="L116" s="7">
        <v>3858.558</v>
      </c>
      <c r="M116" s="7">
        <v>4980.3609999999999</v>
      </c>
      <c r="N116" s="7">
        <v>2980.5569999999998</v>
      </c>
      <c r="O116" s="7">
        <v>0</v>
      </c>
      <c r="P116" s="7">
        <v>0.20300000000000001</v>
      </c>
      <c r="Q116" s="7">
        <v>0</v>
      </c>
      <c r="R116" s="7">
        <v>0</v>
      </c>
      <c r="S116" s="7">
        <v>711.56399999999996</v>
      </c>
      <c r="T116" s="7">
        <v>0</v>
      </c>
      <c r="U116" s="7">
        <v>8465.6319999999996</v>
      </c>
      <c r="V116" s="7">
        <v>377.15499999999997</v>
      </c>
      <c r="W116" s="7">
        <v>499.274</v>
      </c>
      <c r="X116" s="7">
        <v>0</v>
      </c>
      <c r="Y116" s="7">
        <v>1771.13</v>
      </c>
      <c r="Z116" s="7">
        <v>0</v>
      </c>
      <c r="AA116" s="7">
        <v>2917.1419999999998</v>
      </c>
      <c r="AB116" s="7">
        <v>0</v>
      </c>
      <c r="AC116" s="7">
        <v>245.83</v>
      </c>
      <c r="AD116" s="7">
        <v>12041.362999999999</v>
      </c>
      <c r="AE116" s="7">
        <v>1712.6790000000001</v>
      </c>
      <c r="AF116" s="7">
        <v>0</v>
      </c>
      <c r="AG116" s="7">
        <v>49997.061999999998</v>
      </c>
      <c r="AH116" s="7">
        <v>9483.9869999999992</v>
      </c>
      <c r="AI116" s="7">
        <v>0</v>
      </c>
      <c r="AJ116" s="7">
        <v>0</v>
      </c>
      <c r="AK116" s="7">
        <v>0</v>
      </c>
      <c r="AL116" s="7">
        <v>0</v>
      </c>
      <c r="AM116" s="7">
        <v>2324.7130000000002</v>
      </c>
      <c r="AN116" s="7">
        <v>0</v>
      </c>
      <c r="AO116" s="7">
        <v>307.82100000000003</v>
      </c>
      <c r="AP116" s="7">
        <v>0</v>
      </c>
      <c r="AQ116" s="7">
        <v>0</v>
      </c>
      <c r="AR116" s="7">
        <v>0</v>
      </c>
      <c r="AS116" s="7">
        <v>53.783999999999999</v>
      </c>
      <c r="AT116" s="7">
        <v>0</v>
      </c>
      <c r="AU116" s="7">
        <v>2510.3240000000001</v>
      </c>
      <c r="AV116" s="7">
        <v>0</v>
      </c>
      <c r="AW116" s="7">
        <v>0</v>
      </c>
      <c r="AX116" s="7">
        <v>0</v>
      </c>
      <c r="AY116" s="7">
        <v>395.62400000000002</v>
      </c>
      <c r="AZ116" s="7">
        <v>0</v>
      </c>
      <c r="BA116" s="7">
        <v>0</v>
      </c>
      <c r="BB116" s="7">
        <v>143.18899999999999</v>
      </c>
      <c r="BC116" s="7">
        <v>198.14500000000001</v>
      </c>
      <c r="BD116" s="7">
        <v>0</v>
      </c>
      <c r="BE116" s="7">
        <v>43.3</v>
      </c>
      <c r="BF116" s="7">
        <v>0</v>
      </c>
      <c r="BG116" s="7">
        <v>0</v>
      </c>
      <c r="BH116" s="7">
        <v>63.878999999999998</v>
      </c>
      <c r="BI116" s="21"/>
    </row>
    <row r="117" spans="1:61" ht="15.6" x14ac:dyDescent="0.3">
      <c r="A117" s="5" t="s">
        <v>224</v>
      </c>
      <c r="B117" s="5" t="s">
        <v>225</v>
      </c>
      <c r="C117" s="7">
        <v>4</v>
      </c>
      <c r="D117" s="7">
        <v>3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21"/>
    </row>
    <row r="118" spans="1:61" ht="15.6" x14ac:dyDescent="0.3">
      <c r="A118" s="5" t="s">
        <v>226</v>
      </c>
      <c r="B118" s="5" t="s">
        <v>227</v>
      </c>
      <c r="C118" s="7">
        <v>4</v>
      </c>
      <c r="D118" s="7">
        <v>4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21"/>
    </row>
    <row r="119" spans="1:61" ht="15.6" x14ac:dyDescent="0.3">
      <c r="A119" s="5" t="s">
        <v>228</v>
      </c>
      <c r="B119" s="5" t="s">
        <v>229</v>
      </c>
      <c r="C119" s="7">
        <v>4</v>
      </c>
      <c r="D119" s="7">
        <v>6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21"/>
    </row>
    <row r="120" spans="1:61" ht="15.6" x14ac:dyDescent="0.3">
      <c r="A120" s="5" t="s">
        <v>230</v>
      </c>
      <c r="B120" s="5" t="s">
        <v>231</v>
      </c>
      <c r="C120" s="7">
        <v>4</v>
      </c>
      <c r="D120" s="7">
        <v>4</v>
      </c>
      <c r="E120" s="7">
        <v>534348.02899999998</v>
      </c>
      <c r="F120" s="7">
        <v>73372.474000000002</v>
      </c>
      <c r="G120" s="7">
        <v>0</v>
      </c>
      <c r="H120" s="7">
        <v>0</v>
      </c>
      <c r="I120" s="7">
        <v>2034.588</v>
      </c>
      <c r="J120" s="7">
        <v>0</v>
      </c>
      <c r="K120" s="7">
        <v>0</v>
      </c>
      <c r="L120" s="7">
        <v>1114663.7350000001</v>
      </c>
      <c r="M120" s="7">
        <v>33896.720000000001</v>
      </c>
      <c r="N120" s="7">
        <v>0</v>
      </c>
      <c r="O120" s="7">
        <v>2520.8850000000002</v>
      </c>
      <c r="P120" s="7">
        <v>0</v>
      </c>
      <c r="Q120" s="7">
        <v>579.03800000000001</v>
      </c>
      <c r="R120" s="7">
        <v>0</v>
      </c>
      <c r="S120" s="7">
        <v>23632.864000000001</v>
      </c>
      <c r="T120" s="7">
        <v>0</v>
      </c>
      <c r="U120" s="7">
        <v>0</v>
      </c>
      <c r="V120" s="7">
        <v>0</v>
      </c>
      <c r="W120" s="7">
        <v>7953.8950000000004</v>
      </c>
      <c r="X120" s="7">
        <v>48751.712</v>
      </c>
      <c r="Y120" s="7">
        <v>263945.20600000001</v>
      </c>
      <c r="Z120" s="7">
        <v>29051.438999999998</v>
      </c>
      <c r="AA120" s="7">
        <v>45356.118999999999</v>
      </c>
      <c r="AB120" s="7">
        <v>55187.824000000001</v>
      </c>
      <c r="AC120" s="7">
        <v>15215.603999999999</v>
      </c>
      <c r="AD120" s="7">
        <v>7557.6390000000001</v>
      </c>
      <c r="AE120" s="7">
        <v>760986.804</v>
      </c>
      <c r="AF120" s="7">
        <v>680293.35499999998</v>
      </c>
      <c r="AG120" s="7">
        <v>32979.945</v>
      </c>
      <c r="AH120" s="7">
        <v>1975721.7560000001</v>
      </c>
      <c r="AI120" s="7">
        <v>985728.26500000001</v>
      </c>
      <c r="AJ120" s="7">
        <v>154069.96100000001</v>
      </c>
      <c r="AK120" s="7">
        <v>1283074.801</v>
      </c>
      <c r="AL120" s="7">
        <v>659504.87600000005</v>
      </c>
      <c r="AM120" s="7">
        <v>0</v>
      </c>
      <c r="AN120" s="7">
        <v>437620.24900000001</v>
      </c>
      <c r="AO120" s="7">
        <v>23374.885999999999</v>
      </c>
      <c r="AP120" s="7">
        <v>0</v>
      </c>
      <c r="AQ120" s="7">
        <v>276425.74900000001</v>
      </c>
      <c r="AR120" s="7">
        <v>0</v>
      </c>
      <c r="AS120" s="7">
        <v>239.04599999999999</v>
      </c>
      <c r="AT120" s="7">
        <v>0</v>
      </c>
      <c r="AU120" s="7">
        <v>1510.9880000000001</v>
      </c>
      <c r="AV120" s="7">
        <v>0</v>
      </c>
      <c r="AW120" s="7">
        <v>0</v>
      </c>
      <c r="AX120" s="7">
        <v>64675.843999999997</v>
      </c>
      <c r="AY120" s="7">
        <v>0</v>
      </c>
      <c r="AZ120" s="7">
        <v>0</v>
      </c>
      <c r="BA120" s="7">
        <v>49894.165000000001</v>
      </c>
      <c r="BB120" s="7">
        <v>10844.826999999999</v>
      </c>
      <c r="BC120" s="7">
        <v>0</v>
      </c>
      <c r="BD120" s="7">
        <v>0</v>
      </c>
      <c r="BE120" s="7">
        <v>3325.5030000000002</v>
      </c>
      <c r="BF120" s="7">
        <v>0</v>
      </c>
      <c r="BG120" s="7">
        <v>58871.953000000001</v>
      </c>
      <c r="BH120" s="7">
        <v>0</v>
      </c>
      <c r="BI120" s="21"/>
    </row>
    <row r="121" spans="1:61" ht="15.6" x14ac:dyDescent="0.3">
      <c r="A121" s="5" t="s">
        <v>232</v>
      </c>
      <c r="B121" s="5" t="s">
        <v>233</v>
      </c>
      <c r="C121" s="7">
        <v>4</v>
      </c>
      <c r="D121" s="7">
        <v>3</v>
      </c>
      <c r="E121" s="7">
        <v>4977.5789999999997</v>
      </c>
      <c r="F121" s="7">
        <v>943.03099999999995</v>
      </c>
      <c r="G121" s="7">
        <v>1106.9000000000001</v>
      </c>
      <c r="H121" s="7">
        <v>0</v>
      </c>
      <c r="I121" s="7">
        <v>49.683999999999997</v>
      </c>
      <c r="J121" s="7">
        <v>747.96299999999997</v>
      </c>
      <c r="K121" s="7">
        <v>0</v>
      </c>
      <c r="L121" s="7">
        <v>5349.1719999999996</v>
      </c>
      <c r="M121" s="7">
        <v>722.38699999999994</v>
      </c>
      <c r="N121" s="7">
        <v>0</v>
      </c>
      <c r="O121" s="7">
        <v>0</v>
      </c>
      <c r="P121" s="7">
        <v>2E-3</v>
      </c>
      <c r="Q121" s="7">
        <v>297.23899999999998</v>
      </c>
      <c r="R121" s="7">
        <v>340.50599999999997</v>
      </c>
      <c r="S121" s="7">
        <v>399.19</v>
      </c>
      <c r="T121" s="7">
        <v>0</v>
      </c>
      <c r="U121" s="7">
        <v>0</v>
      </c>
      <c r="V121" s="7">
        <v>182.874</v>
      </c>
      <c r="W121" s="7">
        <v>34.332999999999998</v>
      </c>
      <c r="X121" s="7">
        <v>0</v>
      </c>
      <c r="Y121" s="7">
        <v>1292.867</v>
      </c>
      <c r="Z121" s="7">
        <v>5174.95</v>
      </c>
      <c r="AA121" s="7">
        <v>1688.9839999999999</v>
      </c>
      <c r="AB121" s="7">
        <v>0</v>
      </c>
      <c r="AC121" s="7">
        <v>283.52199999999999</v>
      </c>
      <c r="AD121" s="7">
        <v>1934.4649999999999</v>
      </c>
      <c r="AE121" s="7">
        <v>12451.168</v>
      </c>
      <c r="AF121" s="7">
        <v>10.683</v>
      </c>
      <c r="AG121" s="7">
        <v>7509.5420000000004</v>
      </c>
      <c r="AH121" s="7">
        <v>14587.107</v>
      </c>
      <c r="AI121" s="7">
        <v>8.0000000000000002E-3</v>
      </c>
      <c r="AJ121" s="7">
        <v>23600.455999999998</v>
      </c>
      <c r="AK121" s="7">
        <v>0</v>
      </c>
      <c r="AL121" s="7">
        <v>0</v>
      </c>
      <c r="AM121" s="7">
        <v>0</v>
      </c>
      <c r="AN121" s="7">
        <v>0</v>
      </c>
      <c r="AO121" s="7">
        <v>463.56400000000002</v>
      </c>
      <c r="AP121" s="7">
        <v>0</v>
      </c>
      <c r="AQ121" s="7">
        <v>1.5740000000000001</v>
      </c>
      <c r="AR121" s="7">
        <v>0</v>
      </c>
      <c r="AS121" s="7">
        <v>1.343</v>
      </c>
      <c r="AT121" s="7">
        <v>0</v>
      </c>
      <c r="AU121" s="7">
        <v>37.640999999999998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212.64099999999999</v>
      </c>
      <c r="BC121" s="7">
        <v>0</v>
      </c>
      <c r="BD121" s="7">
        <v>0</v>
      </c>
      <c r="BE121" s="7">
        <v>64.218999999999994</v>
      </c>
      <c r="BF121" s="7">
        <v>0</v>
      </c>
      <c r="BG121" s="7">
        <v>14944.874</v>
      </c>
      <c r="BH121" s="7">
        <v>0</v>
      </c>
      <c r="BI121" s="21"/>
    </row>
    <row r="122" spans="1:61" ht="15.6" x14ac:dyDescent="0.3">
      <c r="A122" s="5" t="s">
        <v>234</v>
      </c>
      <c r="B122" s="5" t="s">
        <v>235</v>
      </c>
      <c r="C122" s="7">
        <v>4</v>
      </c>
      <c r="D122" s="7">
        <v>4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21"/>
    </row>
    <row r="123" spans="1:61" ht="15.6" x14ac:dyDescent="0.3">
      <c r="A123" s="5" t="s">
        <v>228</v>
      </c>
      <c r="B123" s="5" t="s">
        <v>236</v>
      </c>
      <c r="C123" s="7">
        <v>4</v>
      </c>
      <c r="D123" s="7">
        <v>6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21"/>
    </row>
    <row r="124" spans="1:61" ht="15.6" x14ac:dyDescent="0.3">
      <c r="A124" s="5" t="s">
        <v>237</v>
      </c>
      <c r="B124" s="5" t="s">
        <v>238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4681.2070000000003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83.188000000000002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21"/>
    </row>
    <row r="125" spans="1:61" ht="15.6" x14ac:dyDescent="0.3">
      <c r="A125" s="5" t="s">
        <v>239</v>
      </c>
      <c r="B125" s="5" t="s">
        <v>240</v>
      </c>
      <c r="C125" s="7">
        <v>4</v>
      </c>
      <c r="D125" s="7">
        <v>3</v>
      </c>
      <c r="E125" s="7">
        <v>2074.5419999999999</v>
      </c>
      <c r="F125" s="7">
        <v>1411.3420000000001</v>
      </c>
      <c r="G125" s="7">
        <v>103.389</v>
      </c>
      <c r="H125" s="7">
        <v>0</v>
      </c>
      <c r="I125" s="7">
        <v>107.43</v>
      </c>
      <c r="J125" s="7">
        <v>1107.44</v>
      </c>
      <c r="K125" s="7">
        <v>0</v>
      </c>
      <c r="L125" s="7">
        <v>3099.5770000000002</v>
      </c>
      <c r="M125" s="7">
        <v>166.346</v>
      </c>
      <c r="N125" s="7">
        <v>0</v>
      </c>
      <c r="O125" s="7">
        <v>0</v>
      </c>
      <c r="P125" s="7">
        <v>4.0000000000000001E-3</v>
      </c>
      <c r="Q125" s="7">
        <v>0</v>
      </c>
      <c r="R125" s="7">
        <v>0</v>
      </c>
      <c r="S125" s="7">
        <v>607.17200000000003</v>
      </c>
      <c r="T125" s="7">
        <v>0</v>
      </c>
      <c r="U125" s="7">
        <v>0</v>
      </c>
      <c r="V125" s="7">
        <v>224.34800000000001</v>
      </c>
      <c r="W125" s="7">
        <v>2.097</v>
      </c>
      <c r="X125" s="7">
        <v>0</v>
      </c>
      <c r="Y125" s="7">
        <v>84.116</v>
      </c>
      <c r="Z125" s="7">
        <v>0</v>
      </c>
      <c r="AA125" s="7">
        <v>2848.3049999999998</v>
      </c>
      <c r="AB125" s="7">
        <v>0</v>
      </c>
      <c r="AC125" s="7">
        <v>240.84399999999999</v>
      </c>
      <c r="AD125" s="7">
        <v>0</v>
      </c>
      <c r="AE125" s="7">
        <v>741.33699999999999</v>
      </c>
      <c r="AF125" s="7">
        <v>26.51</v>
      </c>
      <c r="AG125" s="7">
        <v>0</v>
      </c>
      <c r="AH125" s="7">
        <v>5031.0780000000004</v>
      </c>
      <c r="AI125" s="7">
        <v>0.02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644.58900000000006</v>
      </c>
      <c r="AP125" s="7">
        <v>0</v>
      </c>
      <c r="AQ125" s="7">
        <v>3.9049999999999998</v>
      </c>
      <c r="AR125" s="7">
        <v>0</v>
      </c>
      <c r="AS125" s="7">
        <v>2.1629999999999998</v>
      </c>
      <c r="AT125" s="7">
        <v>0</v>
      </c>
      <c r="AU125" s="7">
        <v>0.26600000000000001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295.09399999999999</v>
      </c>
      <c r="BC125" s="7">
        <v>0</v>
      </c>
      <c r="BD125" s="7">
        <v>0</v>
      </c>
      <c r="BE125" s="7">
        <v>89.409000000000006</v>
      </c>
      <c r="BF125" s="7">
        <v>0</v>
      </c>
      <c r="BG125" s="7">
        <v>0</v>
      </c>
      <c r="BH125" s="7">
        <v>0</v>
      </c>
      <c r="BI125" s="21"/>
    </row>
    <row r="126" spans="1:61" ht="15.6" x14ac:dyDescent="0.3">
      <c r="A126" s="5" t="s">
        <v>241</v>
      </c>
      <c r="B126" s="5" t="s">
        <v>242</v>
      </c>
      <c r="C126" s="7">
        <v>2</v>
      </c>
      <c r="D126" s="7">
        <v>2</v>
      </c>
      <c r="E126" s="7">
        <v>97879.372000000003</v>
      </c>
      <c r="F126" s="7">
        <v>9578.5679999999993</v>
      </c>
      <c r="G126" s="7">
        <v>9781.6470000000008</v>
      </c>
      <c r="H126" s="7">
        <v>0</v>
      </c>
      <c r="I126" s="7">
        <v>1782.596</v>
      </c>
      <c r="J126" s="7">
        <v>7361.3159999999998</v>
      </c>
      <c r="K126" s="7">
        <v>0</v>
      </c>
      <c r="L126" s="7">
        <v>76102.774000000005</v>
      </c>
      <c r="M126" s="7">
        <v>19581.113000000001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2990.7269999999999</v>
      </c>
      <c r="T126" s="7">
        <v>0</v>
      </c>
      <c r="U126" s="7">
        <v>0</v>
      </c>
      <c r="V126" s="7">
        <v>1448.3889999999999</v>
      </c>
      <c r="W126" s="7">
        <v>3349.569</v>
      </c>
      <c r="X126" s="7">
        <v>0</v>
      </c>
      <c r="Y126" s="7">
        <v>36545.417999999998</v>
      </c>
      <c r="Z126" s="7">
        <v>0</v>
      </c>
      <c r="AA126" s="7">
        <v>8460.3029999999999</v>
      </c>
      <c r="AB126" s="7">
        <v>0</v>
      </c>
      <c r="AC126" s="7">
        <v>1684.972</v>
      </c>
      <c r="AD126" s="7">
        <v>0</v>
      </c>
      <c r="AE126" s="7">
        <v>123551.13800000001</v>
      </c>
      <c r="AF126" s="7">
        <v>0</v>
      </c>
      <c r="AG126" s="7">
        <v>0</v>
      </c>
      <c r="AH126" s="7">
        <v>216524.69699999999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915.99099999999999</v>
      </c>
      <c r="AP126" s="7">
        <v>0</v>
      </c>
      <c r="AQ126" s="7">
        <v>0</v>
      </c>
      <c r="AR126" s="7">
        <v>0</v>
      </c>
      <c r="AS126" s="7">
        <v>3.98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449.20499999999998</v>
      </c>
      <c r="BC126" s="7">
        <v>0</v>
      </c>
      <c r="BD126" s="7">
        <v>0</v>
      </c>
      <c r="BE126" s="7">
        <v>169.554</v>
      </c>
      <c r="BF126" s="7">
        <v>0</v>
      </c>
      <c r="BG126" s="7">
        <v>0</v>
      </c>
      <c r="BH126" s="7">
        <v>0</v>
      </c>
      <c r="BI126" s="21"/>
    </row>
    <row r="127" spans="1:61" ht="15.6" x14ac:dyDescent="0.3">
      <c r="A127" s="5" t="s">
        <v>243</v>
      </c>
      <c r="B127" s="5" t="s">
        <v>244</v>
      </c>
      <c r="C127" s="7">
        <v>4</v>
      </c>
      <c r="D127" s="7">
        <v>4</v>
      </c>
      <c r="E127" s="7">
        <v>40870.285000000003</v>
      </c>
      <c r="F127" s="7">
        <v>5644.4189999999999</v>
      </c>
      <c r="G127" s="7">
        <v>0</v>
      </c>
      <c r="H127" s="7">
        <v>0</v>
      </c>
      <c r="I127" s="7">
        <v>155.45599999999999</v>
      </c>
      <c r="J127" s="7">
        <v>0</v>
      </c>
      <c r="K127" s="7">
        <v>0</v>
      </c>
      <c r="L127" s="7">
        <v>85452.615000000005</v>
      </c>
      <c r="M127" s="7">
        <v>2607.4670000000001</v>
      </c>
      <c r="N127" s="7">
        <v>0</v>
      </c>
      <c r="O127" s="7">
        <v>0</v>
      </c>
      <c r="P127" s="7">
        <v>2.1000000000000001E-2</v>
      </c>
      <c r="Q127" s="7">
        <v>0</v>
      </c>
      <c r="R127" s="7">
        <v>0</v>
      </c>
      <c r="S127" s="7">
        <v>1819.0630000000001</v>
      </c>
      <c r="T127" s="7">
        <v>0</v>
      </c>
      <c r="U127" s="7">
        <v>0</v>
      </c>
      <c r="V127" s="7">
        <v>0</v>
      </c>
      <c r="W127" s="7">
        <v>612.91600000000005</v>
      </c>
      <c r="X127" s="7">
        <v>0</v>
      </c>
      <c r="Y127" s="7">
        <v>20194.737000000001</v>
      </c>
      <c r="Z127" s="7">
        <v>0</v>
      </c>
      <c r="AA127" s="7">
        <v>3465.7489999999998</v>
      </c>
      <c r="AB127" s="7">
        <v>0</v>
      </c>
      <c r="AC127" s="7">
        <v>1171.2059999999999</v>
      </c>
      <c r="AD127" s="7">
        <v>0</v>
      </c>
      <c r="AE127" s="7">
        <v>57179.792000000001</v>
      </c>
      <c r="AF127" s="7">
        <v>52167.887999999999</v>
      </c>
      <c r="AG127" s="7">
        <v>0</v>
      </c>
      <c r="AH127" s="7">
        <v>151081.64000000001</v>
      </c>
      <c r="AI127" s="7">
        <v>75676.953999999998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1791.317</v>
      </c>
      <c r="AP127" s="7">
        <v>0</v>
      </c>
      <c r="AQ127" s="7">
        <v>21195.028999999999</v>
      </c>
      <c r="AR127" s="7">
        <v>0</v>
      </c>
      <c r="AS127" s="7">
        <v>18.390999999999998</v>
      </c>
      <c r="AT127" s="7">
        <v>0</v>
      </c>
      <c r="AU127" s="7">
        <v>116.70399999999999</v>
      </c>
      <c r="AV127" s="7">
        <v>0</v>
      </c>
      <c r="AW127" s="7">
        <v>0</v>
      </c>
      <c r="AX127" s="7">
        <v>0</v>
      </c>
      <c r="AY127" s="7">
        <v>13.57</v>
      </c>
      <c r="AZ127" s="7">
        <v>533.88300000000004</v>
      </c>
      <c r="BA127" s="7">
        <v>0</v>
      </c>
      <c r="BB127" s="7">
        <v>830.73299999999995</v>
      </c>
      <c r="BC127" s="7">
        <v>0</v>
      </c>
      <c r="BD127" s="7">
        <v>676.09400000000005</v>
      </c>
      <c r="BE127" s="7">
        <v>254.49600000000001</v>
      </c>
      <c r="BF127" s="7">
        <v>235.999</v>
      </c>
      <c r="BG127" s="7">
        <v>0</v>
      </c>
      <c r="BH127" s="7">
        <v>0</v>
      </c>
      <c r="BI127" s="21"/>
    </row>
    <row r="128" spans="1:61" ht="15.6" x14ac:dyDescent="0.3">
      <c r="A128" s="5" t="s">
        <v>245</v>
      </c>
      <c r="B128" s="5" t="s">
        <v>246</v>
      </c>
      <c r="C128" s="7">
        <v>4</v>
      </c>
      <c r="D128" s="7">
        <v>6</v>
      </c>
      <c r="E128" s="7">
        <v>18.576000000000001</v>
      </c>
      <c r="F128" s="7">
        <v>12.637</v>
      </c>
      <c r="G128" s="7">
        <v>0.92600000000000005</v>
      </c>
      <c r="H128" s="7">
        <v>0</v>
      </c>
      <c r="I128" s="7">
        <v>0.96199999999999997</v>
      </c>
      <c r="J128" s="7">
        <v>9.9160000000000004</v>
      </c>
      <c r="K128" s="7">
        <v>0</v>
      </c>
      <c r="L128" s="7">
        <v>27.754000000000001</v>
      </c>
      <c r="M128" s="7">
        <v>1.4890000000000001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5.4370000000000003</v>
      </c>
      <c r="T128" s="7">
        <v>0</v>
      </c>
      <c r="U128" s="7">
        <v>0</v>
      </c>
      <c r="V128" s="7">
        <v>2.0089999999999999</v>
      </c>
      <c r="W128" s="7">
        <v>1.9E-2</v>
      </c>
      <c r="X128" s="7">
        <v>0</v>
      </c>
      <c r="Y128" s="7">
        <v>0.753</v>
      </c>
      <c r="Z128" s="7">
        <v>0</v>
      </c>
      <c r="AA128" s="7">
        <v>25.504000000000001</v>
      </c>
      <c r="AB128" s="7">
        <v>0</v>
      </c>
      <c r="AC128" s="7">
        <v>2.157</v>
      </c>
      <c r="AD128" s="7">
        <v>0</v>
      </c>
      <c r="AE128" s="7">
        <v>6.6379999999999999</v>
      </c>
      <c r="AF128" s="7">
        <v>0.23699999999999999</v>
      </c>
      <c r="AG128" s="7">
        <v>0</v>
      </c>
      <c r="AH128" s="7">
        <v>45.048999999999999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5.7720000000000002</v>
      </c>
      <c r="AP128" s="7">
        <v>0</v>
      </c>
      <c r="AQ128" s="7">
        <v>3.5000000000000003E-2</v>
      </c>
      <c r="AR128" s="7">
        <v>0</v>
      </c>
      <c r="AS128" s="7">
        <v>1.9E-2</v>
      </c>
      <c r="AT128" s="7">
        <v>0</v>
      </c>
      <c r="AU128" s="7">
        <v>1E-3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2.6419999999999999</v>
      </c>
      <c r="BC128" s="7">
        <v>0</v>
      </c>
      <c r="BD128" s="7">
        <v>0</v>
      </c>
      <c r="BE128" s="7">
        <v>0.80100000000000005</v>
      </c>
      <c r="BF128" s="7">
        <v>0</v>
      </c>
      <c r="BG128" s="7">
        <v>0</v>
      </c>
      <c r="BH128" s="7">
        <v>0</v>
      </c>
      <c r="BI128" s="21"/>
    </row>
    <row r="129" spans="1:61" ht="15.6" x14ac:dyDescent="0.3">
      <c r="A129" s="5" t="s">
        <v>247</v>
      </c>
      <c r="B129" s="5" t="s">
        <v>248</v>
      </c>
      <c r="C129" s="7">
        <v>6</v>
      </c>
      <c r="D129" s="7">
        <v>6</v>
      </c>
      <c r="E129" s="7">
        <v>52175.883999999998</v>
      </c>
      <c r="F129" s="7">
        <v>194.91499999999999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72053.519</v>
      </c>
      <c r="M129" s="7">
        <v>11368.096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6460.6409999999996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28425.844000000001</v>
      </c>
      <c r="AF129" s="7">
        <v>182.72</v>
      </c>
      <c r="AG129" s="7">
        <v>0</v>
      </c>
      <c r="AH129" s="7">
        <v>140181.25</v>
      </c>
      <c r="AI129" s="7">
        <v>345.26400000000001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21"/>
    </row>
    <row r="130" spans="1:61" ht="15.6" x14ac:dyDescent="0.3">
      <c r="A130" s="5" t="s">
        <v>249</v>
      </c>
      <c r="B130" s="5" t="s">
        <v>250</v>
      </c>
      <c r="C130" s="7">
        <v>6</v>
      </c>
      <c r="D130" s="7">
        <v>6</v>
      </c>
      <c r="E130" s="7">
        <v>7185.9359999999997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17369.919000000002</v>
      </c>
      <c r="M130" s="7">
        <v>590.26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1073.634</v>
      </c>
      <c r="AF130" s="7">
        <v>0</v>
      </c>
      <c r="AG130" s="7">
        <v>0</v>
      </c>
      <c r="AH130" s="7">
        <v>7416.0320000000002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21"/>
    </row>
    <row r="131" spans="1:61" ht="15.6" x14ac:dyDescent="0.3">
      <c r="A131" s="5" t="s">
        <v>251</v>
      </c>
      <c r="B131" s="5" t="s">
        <v>252</v>
      </c>
      <c r="C131" s="7">
        <v>6</v>
      </c>
      <c r="D131" s="7">
        <v>6</v>
      </c>
      <c r="E131" s="7">
        <v>16207.694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98577.77</v>
      </c>
      <c r="M131" s="7">
        <v>2131.5459999999998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247.11500000000001</v>
      </c>
      <c r="AB131" s="7">
        <v>0</v>
      </c>
      <c r="AC131" s="7">
        <v>0</v>
      </c>
      <c r="AD131" s="7">
        <v>0</v>
      </c>
      <c r="AE131" s="7">
        <v>21773.842000000001</v>
      </c>
      <c r="AF131" s="7">
        <v>0</v>
      </c>
      <c r="AG131" s="7">
        <v>0</v>
      </c>
      <c r="AH131" s="7">
        <v>135189.68799999999</v>
      </c>
      <c r="AI131" s="7">
        <v>24996.879000000001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21"/>
    </row>
    <row r="132" spans="1:61" ht="15.6" x14ac:dyDescent="0.3">
      <c r="A132" s="5" t="s">
        <v>253</v>
      </c>
      <c r="B132" s="5" t="s">
        <v>254</v>
      </c>
      <c r="C132" s="7">
        <v>6</v>
      </c>
      <c r="D132" s="7">
        <v>6</v>
      </c>
      <c r="E132" s="7">
        <v>273232.36800000002</v>
      </c>
      <c r="F132" s="7">
        <v>13130.251</v>
      </c>
      <c r="G132" s="7">
        <v>11265.08</v>
      </c>
      <c r="H132" s="7">
        <v>3592.6080000000002</v>
      </c>
      <c r="I132" s="7">
        <v>1979.538</v>
      </c>
      <c r="J132" s="7">
        <v>7261.8720000000003</v>
      </c>
      <c r="K132" s="7">
        <v>0</v>
      </c>
      <c r="L132" s="7">
        <v>318688.83600000001</v>
      </c>
      <c r="M132" s="7">
        <v>67654.27</v>
      </c>
      <c r="N132" s="7">
        <v>0</v>
      </c>
      <c r="O132" s="7">
        <v>0</v>
      </c>
      <c r="P132" s="7">
        <v>273.76</v>
      </c>
      <c r="Q132" s="7">
        <v>0</v>
      </c>
      <c r="R132" s="7">
        <v>84.489000000000004</v>
      </c>
      <c r="S132" s="7">
        <v>3378.424</v>
      </c>
      <c r="T132" s="7">
        <v>0</v>
      </c>
      <c r="U132" s="7">
        <v>0</v>
      </c>
      <c r="V132" s="7">
        <v>1237.7550000000001</v>
      </c>
      <c r="W132" s="7">
        <v>3537.7869999999998</v>
      </c>
      <c r="X132" s="7">
        <v>0</v>
      </c>
      <c r="Y132" s="7">
        <v>53500.167999999998</v>
      </c>
      <c r="Z132" s="7">
        <v>0</v>
      </c>
      <c r="AA132" s="7">
        <v>10882.058999999999</v>
      </c>
      <c r="AB132" s="7">
        <v>0</v>
      </c>
      <c r="AC132" s="7">
        <v>1852.42</v>
      </c>
      <c r="AD132" s="7">
        <v>0</v>
      </c>
      <c r="AE132" s="7">
        <v>193458.106</v>
      </c>
      <c r="AF132" s="7">
        <v>13113.383</v>
      </c>
      <c r="AG132" s="7">
        <v>0</v>
      </c>
      <c r="AH132" s="7">
        <v>611589.04399999999</v>
      </c>
      <c r="AI132" s="7">
        <v>15850.195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31.651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21"/>
    </row>
    <row r="133" spans="1:61" ht="15.6" x14ac:dyDescent="0.3">
      <c r="A133" s="5" t="s">
        <v>255</v>
      </c>
      <c r="B133" s="5" t="s">
        <v>256</v>
      </c>
      <c r="C133" s="7">
        <v>6</v>
      </c>
      <c r="D133" s="7">
        <v>6</v>
      </c>
      <c r="E133" s="7">
        <v>16283.050999999999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11807.671</v>
      </c>
      <c r="M133" s="7">
        <v>1513.6420000000001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1850.441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8457.9490000000005</v>
      </c>
      <c r="AF133" s="7">
        <v>1027.6120000000001</v>
      </c>
      <c r="AG133" s="7">
        <v>0</v>
      </c>
      <c r="AH133" s="7">
        <v>30786.932000000001</v>
      </c>
      <c r="AI133" s="7">
        <v>3392.4760000000001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21"/>
    </row>
    <row r="134" spans="1:61" ht="15.6" x14ac:dyDescent="0.3">
      <c r="A134" s="5" t="s">
        <v>257</v>
      </c>
      <c r="B134" s="5" t="s">
        <v>258</v>
      </c>
      <c r="C134" s="7">
        <v>6</v>
      </c>
      <c r="D134" s="7">
        <v>6</v>
      </c>
      <c r="E134" s="7">
        <v>118991.9</v>
      </c>
      <c r="F134" s="7">
        <v>5069.049</v>
      </c>
      <c r="G134" s="7">
        <v>4907.2290000000003</v>
      </c>
      <c r="H134" s="7">
        <v>0</v>
      </c>
      <c r="I134" s="7">
        <v>868.79600000000005</v>
      </c>
      <c r="J134" s="7">
        <v>2982.643</v>
      </c>
      <c r="K134" s="7">
        <v>0</v>
      </c>
      <c r="L134" s="7">
        <v>107330.982</v>
      </c>
      <c r="M134" s="7">
        <v>35934.381999999998</v>
      </c>
      <c r="N134" s="7">
        <v>0</v>
      </c>
      <c r="O134" s="7">
        <v>0</v>
      </c>
      <c r="P134" s="7">
        <v>141.566</v>
      </c>
      <c r="Q134" s="7">
        <v>0</v>
      </c>
      <c r="R134" s="7">
        <v>1.1559999999999999</v>
      </c>
      <c r="S134" s="7">
        <v>0</v>
      </c>
      <c r="T134" s="7">
        <v>0</v>
      </c>
      <c r="U134" s="7">
        <v>0</v>
      </c>
      <c r="V134" s="7">
        <v>541.62699999999995</v>
      </c>
      <c r="W134" s="7">
        <v>1585.701</v>
      </c>
      <c r="X134" s="7">
        <v>0</v>
      </c>
      <c r="Y134" s="7">
        <v>20598.95</v>
      </c>
      <c r="Z134" s="7">
        <v>0</v>
      </c>
      <c r="AA134" s="7">
        <v>5041.0290000000005</v>
      </c>
      <c r="AB134" s="7">
        <v>0</v>
      </c>
      <c r="AC134" s="7">
        <v>758.27300000000002</v>
      </c>
      <c r="AD134" s="7">
        <v>0</v>
      </c>
      <c r="AE134" s="7">
        <v>92636.010999999999</v>
      </c>
      <c r="AF134" s="7">
        <v>1190.817</v>
      </c>
      <c r="AG134" s="7">
        <v>0</v>
      </c>
      <c r="AH134" s="7">
        <v>267977.79300000001</v>
      </c>
      <c r="AI134" s="7">
        <v>1579.104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21"/>
    </row>
    <row r="135" spans="1:61" ht="15.6" x14ac:dyDescent="0.3">
      <c r="A135" s="5" t="s">
        <v>259</v>
      </c>
      <c r="B135" s="5" t="s">
        <v>260</v>
      </c>
      <c r="C135" s="7">
        <v>6</v>
      </c>
      <c r="D135" s="7">
        <v>6</v>
      </c>
      <c r="E135" s="7">
        <v>13859.575999999999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35164.718000000001</v>
      </c>
      <c r="M135" s="7">
        <v>2336.9279999999999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4619.6310000000003</v>
      </c>
      <c r="AF135" s="7">
        <v>0</v>
      </c>
      <c r="AG135" s="7">
        <v>0</v>
      </c>
      <c r="AH135" s="7">
        <v>61353.256999999998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21"/>
    </row>
    <row r="136" spans="1:61" ht="15.6" x14ac:dyDescent="0.3">
      <c r="A136" s="5" t="s">
        <v>261</v>
      </c>
      <c r="B136" s="5" t="s">
        <v>262</v>
      </c>
      <c r="C136" s="7">
        <v>6</v>
      </c>
      <c r="D136" s="7">
        <v>6</v>
      </c>
      <c r="E136" s="7">
        <v>869589.69099999999</v>
      </c>
      <c r="F136" s="7">
        <v>14776.573</v>
      </c>
      <c r="G136" s="7">
        <v>17707.683000000001</v>
      </c>
      <c r="H136" s="7">
        <v>613.88800000000003</v>
      </c>
      <c r="I136" s="7">
        <v>3648.2020000000002</v>
      </c>
      <c r="J136" s="7">
        <v>10219.769</v>
      </c>
      <c r="K136" s="7">
        <v>0</v>
      </c>
      <c r="L136" s="7">
        <v>828545.71600000001</v>
      </c>
      <c r="M136" s="7">
        <v>223549.46100000001</v>
      </c>
      <c r="N136" s="7">
        <v>0</v>
      </c>
      <c r="O136" s="7">
        <v>0</v>
      </c>
      <c r="P136" s="7">
        <v>836.45</v>
      </c>
      <c r="Q136" s="7">
        <v>0</v>
      </c>
      <c r="R136" s="7">
        <v>4.5279999999999996</v>
      </c>
      <c r="S136" s="7">
        <v>0</v>
      </c>
      <c r="T136" s="7">
        <v>0</v>
      </c>
      <c r="U136" s="7">
        <v>0</v>
      </c>
      <c r="V136" s="7">
        <v>1300.5640000000001</v>
      </c>
      <c r="W136" s="7">
        <v>4171.5590000000002</v>
      </c>
      <c r="X136" s="7">
        <v>0</v>
      </c>
      <c r="Y136" s="7">
        <v>168631.23300000001</v>
      </c>
      <c r="Z136" s="7">
        <v>0</v>
      </c>
      <c r="AA136" s="7">
        <v>30208.814999999999</v>
      </c>
      <c r="AB136" s="7">
        <v>0</v>
      </c>
      <c r="AC136" s="7">
        <v>1912.4290000000001</v>
      </c>
      <c r="AD136" s="7">
        <v>0</v>
      </c>
      <c r="AE136" s="7">
        <v>567758.30299999996</v>
      </c>
      <c r="AF136" s="7">
        <v>21962.639999999999</v>
      </c>
      <c r="AG136" s="7">
        <v>0</v>
      </c>
      <c r="AH136" s="7">
        <v>1971359.855</v>
      </c>
      <c r="AI136" s="7">
        <v>63658.33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60.558999999999997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21"/>
    </row>
    <row r="137" spans="1:61" ht="15.6" x14ac:dyDescent="0.3">
      <c r="A137" s="5" t="s">
        <v>263</v>
      </c>
      <c r="B137" s="5" t="s">
        <v>264</v>
      </c>
      <c r="C137" s="7">
        <v>4</v>
      </c>
      <c r="D137" s="7">
        <v>4</v>
      </c>
      <c r="E137" s="7">
        <v>5277.2790000000005</v>
      </c>
      <c r="F137" s="7">
        <v>840.82600000000002</v>
      </c>
      <c r="G137" s="7">
        <v>981.70500000000004</v>
      </c>
      <c r="H137" s="7">
        <v>1605.079</v>
      </c>
      <c r="I137" s="7">
        <v>90.453999999999994</v>
      </c>
      <c r="J137" s="7">
        <v>567.14200000000005</v>
      </c>
      <c r="K137" s="7">
        <v>0</v>
      </c>
      <c r="L137" s="7">
        <v>4066.2620000000002</v>
      </c>
      <c r="M137" s="7">
        <v>2078.6039999999998</v>
      </c>
      <c r="N137" s="7">
        <v>0</v>
      </c>
      <c r="O137" s="7">
        <v>0</v>
      </c>
      <c r="P137" s="7">
        <v>0.127</v>
      </c>
      <c r="Q137" s="7">
        <v>0</v>
      </c>
      <c r="R137" s="7">
        <v>0</v>
      </c>
      <c r="S137" s="7">
        <v>353.81599999999997</v>
      </c>
      <c r="T137" s="7">
        <v>0</v>
      </c>
      <c r="U137" s="7">
        <v>0</v>
      </c>
      <c r="V137" s="7">
        <v>149.04300000000001</v>
      </c>
      <c r="W137" s="7">
        <v>223.143</v>
      </c>
      <c r="X137" s="7">
        <v>0</v>
      </c>
      <c r="Y137" s="7">
        <v>1215.47</v>
      </c>
      <c r="Z137" s="7">
        <v>0</v>
      </c>
      <c r="AA137" s="7">
        <v>1231.6179999999999</v>
      </c>
      <c r="AB137" s="7">
        <v>0</v>
      </c>
      <c r="AC137" s="7">
        <v>143.453</v>
      </c>
      <c r="AD137" s="7">
        <v>0</v>
      </c>
      <c r="AE137" s="7">
        <v>2108.7020000000002</v>
      </c>
      <c r="AF137" s="7">
        <v>1605.261</v>
      </c>
      <c r="AG137" s="7">
        <v>0</v>
      </c>
      <c r="AH137" s="7">
        <v>7748.91</v>
      </c>
      <c r="AI137" s="7">
        <v>2519.4499999999998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173.52699999999999</v>
      </c>
      <c r="AP137" s="7">
        <v>0</v>
      </c>
      <c r="AQ137" s="7">
        <v>640.55999999999995</v>
      </c>
      <c r="AR137" s="7">
        <v>0</v>
      </c>
      <c r="AS137" s="7">
        <v>3.2090000000000001</v>
      </c>
      <c r="AT137" s="7">
        <v>0</v>
      </c>
      <c r="AU137" s="7">
        <v>70.465000000000003</v>
      </c>
      <c r="AV137" s="7">
        <v>0</v>
      </c>
      <c r="AW137" s="7">
        <v>0</v>
      </c>
      <c r="AX137" s="7">
        <v>0</v>
      </c>
      <c r="AY137" s="7">
        <v>185.45</v>
      </c>
      <c r="AZ137" s="7">
        <v>1145.336</v>
      </c>
      <c r="BA137" s="7">
        <v>0</v>
      </c>
      <c r="BB137" s="7">
        <v>79.899000000000001</v>
      </c>
      <c r="BC137" s="7">
        <v>78.301000000000002</v>
      </c>
      <c r="BD137" s="7">
        <v>1450.421</v>
      </c>
      <c r="BE137" s="7">
        <v>23.736999999999998</v>
      </c>
      <c r="BF137" s="7">
        <v>506.28800000000001</v>
      </c>
      <c r="BG137" s="7">
        <v>0</v>
      </c>
      <c r="BH137" s="7">
        <v>25.242000000000001</v>
      </c>
      <c r="BI137" s="21"/>
    </row>
    <row r="138" spans="1:61" ht="15.6" x14ac:dyDescent="0.3">
      <c r="A138" s="5" t="s">
        <v>265</v>
      </c>
      <c r="B138" s="5" t="s">
        <v>266</v>
      </c>
      <c r="C138" s="7">
        <v>6</v>
      </c>
      <c r="D138" s="7">
        <v>6</v>
      </c>
      <c r="E138" s="7">
        <v>3582.7890000000002</v>
      </c>
      <c r="F138" s="7">
        <v>0</v>
      </c>
      <c r="G138" s="7">
        <v>0</v>
      </c>
      <c r="H138" s="7">
        <v>1.0999999999999999E-2</v>
      </c>
      <c r="I138" s="7">
        <v>0</v>
      </c>
      <c r="J138" s="7">
        <v>0</v>
      </c>
      <c r="K138" s="7">
        <v>0</v>
      </c>
      <c r="L138" s="7">
        <v>5847.1019999999999</v>
      </c>
      <c r="M138" s="7">
        <v>1124.6679999999999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968.79600000000005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4110.8029999999999</v>
      </c>
      <c r="AF138" s="7">
        <v>6.0000000000000001E-3</v>
      </c>
      <c r="AG138" s="7">
        <v>0</v>
      </c>
      <c r="AH138" s="7">
        <v>13378.253000000001</v>
      </c>
      <c r="AI138" s="7">
        <v>8.9999999999999993E-3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21"/>
    </row>
    <row r="139" spans="1:61" ht="15.6" x14ac:dyDescent="0.3">
      <c r="A139" s="5" t="s">
        <v>267</v>
      </c>
      <c r="B139" s="5" t="s">
        <v>268</v>
      </c>
      <c r="C139" s="7">
        <v>4</v>
      </c>
      <c r="D139" s="7">
        <v>4</v>
      </c>
      <c r="E139" s="7">
        <v>0.41599999999999998</v>
      </c>
      <c r="F139" s="7">
        <v>5.7000000000000002E-2</v>
      </c>
      <c r="G139" s="7">
        <v>0</v>
      </c>
      <c r="H139" s="7">
        <v>0</v>
      </c>
      <c r="I139" s="7">
        <v>2E-3</v>
      </c>
      <c r="J139" s="7">
        <v>0</v>
      </c>
      <c r="K139" s="7">
        <v>0</v>
      </c>
      <c r="L139" s="7">
        <v>0.871</v>
      </c>
      <c r="M139" s="7">
        <v>2.7E-2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1.7999999999999999E-2</v>
      </c>
      <c r="T139" s="7">
        <v>0</v>
      </c>
      <c r="U139" s="7">
        <v>0</v>
      </c>
      <c r="V139" s="7">
        <v>0</v>
      </c>
      <c r="W139" s="7">
        <v>6.0000000000000001E-3</v>
      </c>
      <c r="X139" s="7">
        <v>0</v>
      </c>
      <c r="Y139" s="7">
        <v>0.20599999999999999</v>
      </c>
      <c r="Z139" s="7">
        <v>0</v>
      </c>
      <c r="AA139" s="7">
        <v>3.5000000000000003E-2</v>
      </c>
      <c r="AB139" s="7">
        <v>0</v>
      </c>
      <c r="AC139" s="7">
        <v>1.0999999999999999E-2</v>
      </c>
      <c r="AD139" s="7">
        <v>0</v>
      </c>
      <c r="AE139" s="7">
        <v>0.58399999999999996</v>
      </c>
      <c r="AF139" s="7">
        <v>0.53100000000000003</v>
      </c>
      <c r="AG139" s="7">
        <v>0</v>
      </c>
      <c r="AH139" s="7">
        <v>1.5409999999999999</v>
      </c>
      <c r="AI139" s="7">
        <v>0.77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1.7999999999999999E-2</v>
      </c>
      <c r="AP139" s="7">
        <v>0</v>
      </c>
      <c r="AQ139" s="7">
        <v>0.216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8.9999999999999993E-3</v>
      </c>
      <c r="BC139" s="7">
        <v>0</v>
      </c>
      <c r="BD139" s="7">
        <v>0</v>
      </c>
      <c r="BE139" s="7">
        <v>2E-3</v>
      </c>
      <c r="BF139" s="7">
        <v>0</v>
      </c>
      <c r="BG139" s="7">
        <v>0</v>
      </c>
      <c r="BH139" s="7">
        <v>0</v>
      </c>
      <c r="BI139" s="21"/>
    </row>
    <row r="140" spans="1:61" ht="15.6" x14ac:dyDescent="0.3">
      <c r="A140" s="5" t="s">
        <v>269</v>
      </c>
      <c r="B140" s="5" t="s">
        <v>270</v>
      </c>
      <c r="C140" s="7">
        <v>6</v>
      </c>
      <c r="D140" s="7">
        <v>6</v>
      </c>
      <c r="E140" s="7">
        <v>1254.884</v>
      </c>
      <c r="F140" s="7">
        <v>10.587999999999999</v>
      </c>
      <c r="G140" s="7">
        <v>14.842000000000001</v>
      </c>
      <c r="H140" s="7">
        <v>0</v>
      </c>
      <c r="I140" s="7">
        <v>2.573</v>
      </c>
      <c r="J140" s="7">
        <v>9.0169999999999995</v>
      </c>
      <c r="K140" s="7">
        <v>0</v>
      </c>
      <c r="L140" s="7">
        <v>1875.173</v>
      </c>
      <c r="M140" s="7">
        <v>413.75099999999998</v>
      </c>
      <c r="N140" s="7">
        <v>0</v>
      </c>
      <c r="O140" s="7">
        <v>0</v>
      </c>
      <c r="P140" s="7">
        <v>0.46400000000000002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1.5069999999999999</v>
      </c>
      <c r="W140" s="7">
        <v>4.5330000000000004</v>
      </c>
      <c r="X140" s="7">
        <v>0</v>
      </c>
      <c r="Y140" s="7">
        <v>377.51499999999999</v>
      </c>
      <c r="Z140" s="7">
        <v>0</v>
      </c>
      <c r="AA140" s="7">
        <v>12.191000000000001</v>
      </c>
      <c r="AB140" s="7">
        <v>0</v>
      </c>
      <c r="AC140" s="7">
        <v>1.9419999999999999</v>
      </c>
      <c r="AD140" s="7">
        <v>0</v>
      </c>
      <c r="AE140" s="7">
        <v>1473.6849999999999</v>
      </c>
      <c r="AF140" s="7">
        <v>0</v>
      </c>
      <c r="AG140" s="7">
        <v>0</v>
      </c>
      <c r="AH140" s="7">
        <v>3968.57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21"/>
    </row>
    <row r="141" spans="1:61" ht="15.6" x14ac:dyDescent="0.3">
      <c r="A141" s="5" t="s">
        <v>271</v>
      </c>
      <c r="B141" s="5" t="s">
        <v>272</v>
      </c>
      <c r="C141" s="7">
        <v>4</v>
      </c>
      <c r="D141" s="7">
        <v>4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21"/>
    </row>
    <row r="142" spans="1:61" ht="15.6" x14ac:dyDescent="0.3">
      <c r="A142" s="5" t="s">
        <v>273</v>
      </c>
      <c r="B142" s="5" t="s">
        <v>274</v>
      </c>
      <c r="C142" s="7">
        <v>6</v>
      </c>
      <c r="D142" s="7">
        <v>6</v>
      </c>
      <c r="E142" s="7">
        <v>1952.021</v>
      </c>
      <c r="F142" s="7">
        <v>282.87799999999999</v>
      </c>
      <c r="G142" s="7">
        <v>0</v>
      </c>
      <c r="H142" s="7">
        <v>0</v>
      </c>
      <c r="I142" s="7">
        <v>5.4340000000000002</v>
      </c>
      <c r="J142" s="7">
        <v>0</v>
      </c>
      <c r="K142" s="7">
        <v>0</v>
      </c>
      <c r="L142" s="7">
        <v>3278.5479999999998</v>
      </c>
      <c r="M142" s="7">
        <v>143.32400000000001</v>
      </c>
      <c r="N142" s="7">
        <v>0</v>
      </c>
      <c r="O142" s="7">
        <v>155.43100000000001</v>
      </c>
      <c r="P142" s="7">
        <v>5.8000000000000003E-2</v>
      </c>
      <c r="Q142" s="7">
        <v>135.78800000000001</v>
      </c>
      <c r="R142" s="7">
        <v>0</v>
      </c>
      <c r="S142" s="7">
        <v>93.537000000000006</v>
      </c>
      <c r="T142" s="7">
        <v>0</v>
      </c>
      <c r="U142" s="7">
        <v>0</v>
      </c>
      <c r="V142" s="7">
        <v>0</v>
      </c>
      <c r="W142" s="7">
        <v>33.463999999999999</v>
      </c>
      <c r="X142" s="7">
        <v>0</v>
      </c>
      <c r="Y142" s="7">
        <v>665.52300000000002</v>
      </c>
      <c r="Z142" s="7">
        <v>0</v>
      </c>
      <c r="AA142" s="7">
        <v>101.917</v>
      </c>
      <c r="AB142" s="7">
        <v>10040.691999999999</v>
      </c>
      <c r="AC142" s="7">
        <v>59.707000000000001</v>
      </c>
      <c r="AD142" s="7">
        <v>0</v>
      </c>
      <c r="AE142" s="7">
        <v>3178.6640000000002</v>
      </c>
      <c r="AF142" s="7">
        <v>2068.8110000000001</v>
      </c>
      <c r="AG142" s="7">
        <v>0</v>
      </c>
      <c r="AH142" s="7">
        <v>5194.7650000000003</v>
      </c>
      <c r="AI142" s="7">
        <v>3245.1219999999998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66.900999999999996</v>
      </c>
      <c r="AP142" s="7">
        <v>0</v>
      </c>
      <c r="AQ142" s="7">
        <v>825.92899999999997</v>
      </c>
      <c r="AR142" s="7">
        <v>0</v>
      </c>
      <c r="AS142" s="7">
        <v>0.88</v>
      </c>
      <c r="AT142" s="7">
        <v>0</v>
      </c>
      <c r="AU142" s="7">
        <v>6.8339999999999996</v>
      </c>
      <c r="AV142" s="7">
        <v>0</v>
      </c>
      <c r="AW142" s="7">
        <v>0</v>
      </c>
      <c r="AX142" s="7">
        <v>0</v>
      </c>
      <c r="AY142" s="7">
        <v>37.536000000000001</v>
      </c>
      <c r="AZ142" s="7">
        <v>1476.777</v>
      </c>
      <c r="BA142" s="7">
        <v>0</v>
      </c>
      <c r="BB142" s="7">
        <v>30.065999999999999</v>
      </c>
      <c r="BC142" s="7">
        <v>0</v>
      </c>
      <c r="BD142" s="7">
        <v>1870.1469999999999</v>
      </c>
      <c r="BE142" s="7">
        <v>8.5459999999999994</v>
      </c>
      <c r="BF142" s="7">
        <v>652.79600000000005</v>
      </c>
      <c r="BG142" s="7">
        <v>0</v>
      </c>
      <c r="BH142" s="7">
        <v>0</v>
      </c>
      <c r="BI142" s="21"/>
    </row>
    <row r="143" spans="1:61" ht="15.6" x14ac:dyDescent="0.3">
      <c r="A143" s="5" t="s">
        <v>275</v>
      </c>
      <c r="B143" s="5" t="s">
        <v>276</v>
      </c>
      <c r="C143" s="7">
        <v>6</v>
      </c>
      <c r="D143" s="7">
        <v>6</v>
      </c>
      <c r="E143" s="7">
        <v>181769.61600000001</v>
      </c>
      <c r="F143" s="7">
        <v>11433.751</v>
      </c>
      <c r="G143" s="7">
        <v>6216.7240000000002</v>
      </c>
      <c r="H143" s="7">
        <v>145.61000000000001</v>
      </c>
      <c r="I143" s="7">
        <v>893.51400000000001</v>
      </c>
      <c r="J143" s="7">
        <v>5835.7920000000004</v>
      </c>
      <c r="K143" s="7">
        <v>0</v>
      </c>
      <c r="L143" s="7">
        <v>237484.908</v>
      </c>
      <c r="M143" s="7">
        <v>27738.816999999999</v>
      </c>
      <c r="N143" s="7">
        <v>0</v>
      </c>
      <c r="O143" s="7">
        <v>-228.40899999999999</v>
      </c>
      <c r="P143" s="7">
        <v>27.706</v>
      </c>
      <c r="Q143" s="7">
        <v>-134.37899999999999</v>
      </c>
      <c r="R143" s="7">
        <v>-92.722999999999999</v>
      </c>
      <c r="S143" s="7">
        <v>2639.7539999999999</v>
      </c>
      <c r="T143" s="7">
        <v>0</v>
      </c>
      <c r="U143" s="7">
        <v>0</v>
      </c>
      <c r="V143" s="7">
        <v>1230.9780000000001</v>
      </c>
      <c r="W143" s="7">
        <v>1915.4639999999999</v>
      </c>
      <c r="X143" s="7">
        <v>-4394.3180000000002</v>
      </c>
      <c r="Y143" s="7">
        <v>43966.947</v>
      </c>
      <c r="Z143" s="7">
        <v>-3270.0140000000001</v>
      </c>
      <c r="AA143" s="7">
        <v>15152.366</v>
      </c>
      <c r="AB143" s="7">
        <v>-4868.7370000000001</v>
      </c>
      <c r="AC143" s="7">
        <v>2977.6779999999999</v>
      </c>
      <c r="AD143" s="7">
        <v>-513.21199999999999</v>
      </c>
      <c r="AE143" s="7">
        <v>165029.47899999999</v>
      </c>
      <c r="AF143" s="7">
        <v>47755.190999999999</v>
      </c>
      <c r="AG143" s="7">
        <v>-2054.6860000000001</v>
      </c>
      <c r="AH143" s="7">
        <v>537922.25600000005</v>
      </c>
      <c r="AI143" s="7">
        <v>60447.489000000001</v>
      </c>
      <c r="AJ143" s="7">
        <v>-16345.26</v>
      </c>
      <c r="AK143" s="7">
        <v>-534808.26800000004</v>
      </c>
      <c r="AL143" s="7">
        <v>-274893.30200000003</v>
      </c>
      <c r="AM143" s="7">
        <v>0</v>
      </c>
      <c r="AN143" s="7">
        <v>-182407.861</v>
      </c>
      <c r="AO143" s="7">
        <v>3582.9</v>
      </c>
      <c r="AP143" s="7">
        <v>0</v>
      </c>
      <c r="AQ143" s="7">
        <v>18805.437000000002</v>
      </c>
      <c r="AR143" s="7">
        <v>0</v>
      </c>
      <c r="AS143" s="7">
        <v>12.865</v>
      </c>
      <c r="AT143" s="7">
        <v>0</v>
      </c>
      <c r="AU143" s="7">
        <v>248.01499999999999</v>
      </c>
      <c r="AV143" s="7">
        <v>0</v>
      </c>
      <c r="AW143" s="7">
        <v>0</v>
      </c>
      <c r="AX143" s="7">
        <v>-5829.6629999999996</v>
      </c>
      <c r="AY143" s="7">
        <v>-121.85599999999999</v>
      </c>
      <c r="AZ143" s="7">
        <v>-415.06099999999998</v>
      </c>
      <c r="BA143" s="7">
        <v>-4530.8459999999995</v>
      </c>
      <c r="BB143" s="7">
        <v>1582.568</v>
      </c>
      <c r="BC143" s="7">
        <v>-68.278999999999996</v>
      </c>
      <c r="BD143" s="7">
        <v>-248.83500000000001</v>
      </c>
      <c r="BE143" s="7">
        <v>487.03300000000002</v>
      </c>
      <c r="BF143" s="7">
        <v>-227.13</v>
      </c>
      <c r="BG143" s="7">
        <v>-9377.4809999999998</v>
      </c>
      <c r="BH143" s="7">
        <v>-40.091999999999999</v>
      </c>
      <c r="BI143" s="21"/>
    </row>
    <row r="144" spans="1:61" ht="15.6" x14ac:dyDescent="0.3">
      <c r="A144" s="5" t="s">
        <v>277</v>
      </c>
      <c r="B144" s="5" t="s">
        <v>278</v>
      </c>
      <c r="C144" s="7">
        <v>6</v>
      </c>
      <c r="D144" s="7">
        <v>6</v>
      </c>
      <c r="E144" s="7">
        <v>1386.181</v>
      </c>
      <c r="F144" s="7">
        <v>71.003</v>
      </c>
      <c r="G144" s="7">
        <v>-9.0869999999999997</v>
      </c>
      <c r="H144" s="7">
        <v>0</v>
      </c>
      <c r="I144" s="7">
        <v>13.161</v>
      </c>
      <c r="J144" s="7">
        <v>-35.159999999999997</v>
      </c>
      <c r="K144" s="7">
        <v>0</v>
      </c>
      <c r="L144" s="7">
        <v>2673.232</v>
      </c>
      <c r="M144" s="7">
        <v>132.166</v>
      </c>
      <c r="N144" s="7">
        <v>0</v>
      </c>
      <c r="O144" s="7">
        <v>0</v>
      </c>
      <c r="P144" s="7">
        <v>1.3620000000000001</v>
      </c>
      <c r="Q144" s="7">
        <v>0</v>
      </c>
      <c r="R144" s="7">
        <v>-6.0000000000000001E-3</v>
      </c>
      <c r="S144" s="7">
        <v>34.491999999999997</v>
      </c>
      <c r="T144" s="7">
        <v>0</v>
      </c>
      <c r="U144" s="7">
        <v>0</v>
      </c>
      <c r="V144" s="7">
        <v>-0.83499999999999996</v>
      </c>
      <c r="W144" s="7">
        <v>20.709</v>
      </c>
      <c r="X144" s="7">
        <v>0</v>
      </c>
      <c r="Y144" s="7">
        <v>542.69899999999996</v>
      </c>
      <c r="Z144" s="7">
        <v>0</v>
      </c>
      <c r="AA144" s="7">
        <v>36.161999999999999</v>
      </c>
      <c r="AB144" s="7">
        <v>0</v>
      </c>
      <c r="AC144" s="7">
        <v>22.378</v>
      </c>
      <c r="AD144" s="7">
        <v>0</v>
      </c>
      <c r="AE144" s="7">
        <v>1445.3579999999999</v>
      </c>
      <c r="AF144" s="7">
        <v>954.80200000000002</v>
      </c>
      <c r="AG144" s="7">
        <v>0</v>
      </c>
      <c r="AH144" s="7">
        <v>4316.415</v>
      </c>
      <c r="AI144" s="7">
        <v>1387.2449999999999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24.920999999999999</v>
      </c>
      <c r="AP144" s="7">
        <v>0</v>
      </c>
      <c r="AQ144" s="7">
        <v>381.84500000000003</v>
      </c>
      <c r="AR144" s="7">
        <v>0</v>
      </c>
      <c r="AS144" s="7">
        <v>0.245</v>
      </c>
      <c r="AT144" s="7">
        <v>0</v>
      </c>
      <c r="AU144" s="7">
        <v>2.274</v>
      </c>
      <c r="AV144" s="7">
        <v>0</v>
      </c>
      <c r="AW144" s="7">
        <v>0</v>
      </c>
      <c r="AX144" s="7">
        <v>0</v>
      </c>
      <c r="AY144" s="7">
        <v>-2.62</v>
      </c>
      <c r="AZ144" s="7">
        <v>1.839</v>
      </c>
      <c r="BA144" s="7">
        <v>0</v>
      </c>
      <c r="BB144" s="7">
        <v>12.769</v>
      </c>
      <c r="BC144" s="7">
        <v>-0.52400000000000002</v>
      </c>
      <c r="BD144" s="7">
        <v>2.2160000000000002</v>
      </c>
      <c r="BE144" s="7">
        <v>4.0309999999999997</v>
      </c>
      <c r="BF144" s="7">
        <v>0.80900000000000005</v>
      </c>
      <c r="BG144" s="7">
        <v>0</v>
      </c>
      <c r="BH144" s="7">
        <v>-0.19900000000000001</v>
      </c>
      <c r="BI144" s="21"/>
    </row>
    <row r="145" spans="1:61" ht="15.6" x14ac:dyDescent="0.3">
      <c r="A145" s="5" t="s">
        <v>279</v>
      </c>
      <c r="B145" s="5" t="s">
        <v>280</v>
      </c>
      <c r="C145" s="7">
        <v>6</v>
      </c>
      <c r="D145" s="7">
        <v>6</v>
      </c>
      <c r="E145" s="7">
        <v>1309.7449999999999</v>
      </c>
      <c r="F145" s="7">
        <v>97.177000000000007</v>
      </c>
      <c r="G145" s="7">
        <v>237.05099999999999</v>
      </c>
      <c r="H145" s="7">
        <v>0</v>
      </c>
      <c r="I145" s="7">
        <v>29.468</v>
      </c>
      <c r="J145" s="7">
        <v>150.72499999999999</v>
      </c>
      <c r="K145" s="7">
        <v>0</v>
      </c>
      <c r="L145" s="7">
        <v>423.35599999999999</v>
      </c>
      <c r="M145" s="7">
        <v>376.05099999999999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30.08</v>
      </c>
      <c r="T145" s="7">
        <v>0</v>
      </c>
      <c r="U145" s="7">
        <v>0</v>
      </c>
      <c r="V145" s="7">
        <v>23.146000000000001</v>
      </c>
      <c r="W145" s="7">
        <v>34.152999999999999</v>
      </c>
      <c r="X145" s="7">
        <v>0</v>
      </c>
      <c r="Y145" s="7">
        <v>285.892</v>
      </c>
      <c r="Z145" s="7">
        <v>0</v>
      </c>
      <c r="AA145" s="7">
        <v>308.887</v>
      </c>
      <c r="AB145" s="7">
        <v>0</v>
      </c>
      <c r="AC145" s="7">
        <v>13.177</v>
      </c>
      <c r="AD145" s="7">
        <v>8.2230000000000008</v>
      </c>
      <c r="AE145" s="7">
        <v>776.50599999999997</v>
      </c>
      <c r="AF145" s="7">
        <v>0</v>
      </c>
      <c r="AG145" s="7">
        <v>33.311999999999998</v>
      </c>
      <c r="AH145" s="7">
        <v>1540.9880000000001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20.614999999999998</v>
      </c>
      <c r="AP145" s="7">
        <v>0</v>
      </c>
      <c r="AQ145" s="7">
        <v>0</v>
      </c>
      <c r="AR145" s="7">
        <v>0</v>
      </c>
      <c r="AS145" s="7">
        <v>0.872</v>
      </c>
      <c r="AT145" s="7">
        <v>0</v>
      </c>
      <c r="AU145" s="7">
        <v>15.259</v>
      </c>
      <c r="AV145" s="7">
        <v>0</v>
      </c>
      <c r="AW145" s="7">
        <v>0</v>
      </c>
      <c r="AX145" s="7">
        <v>0</v>
      </c>
      <c r="AY145" s="7">
        <v>19.802</v>
      </c>
      <c r="AZ145" s="7">
        <v>0</v>
      </c>
      <c r="BA145" s="7">
        <v>0</v>
      </c>
      <c r="BB145" s="7">
        <v>10.253</v>
      </c>
      <c r="BC145" s="7">
        <v>8.6579999999999995</v>
      </c>
      <c r="BD145" s="7">
        <v>0</v>
      </c>
      <c r="BE145" s="7">
        <v>2.8380000000000001</v>
      </c>
      <c r="BF145" s="7">
        <v>0</v>
      </c>
      <c r="BG145" s="7">
        <v>0</v>
      </c>
      <c r="BH145" s="7">
        <v>2.6619999999999999</v>
      </c>
      <c r="BI145" s="21"/>
    </row>
    <row r="146" spans="1:61" ht="15.6" x14ac:dyDescent="0.3">
      <c r="A146" s="5" t="s">
        <v>281</v>
      </c>
      <c r="B146" s="5" t="s">
        <v>282</v>
      </c>
      <c r="C146" s="7">
        <v>6</v>
      </c>
      <c r="D146" s="7">
        <v>6</v>
      </c>
      <c r="E146" s="7">
        <v>791.322</v>
      </c>
      <c r="F146" s="7">
        <v>59.405000000000001</v>
      </c>
      <c r="G146" s="7">
        <v>563.44500000000005</v>
      </c>
      <c r="H146" s="7">
        <v>0</v>
      </c>
      <c r="I146" s="7">
        <v>17.68</v>
      </c>
      <c r="J146" s="7">
        <v>414.14400000000001</v>
      </c>
      <c r="K146" s="7">
        <v>0</v>
      </c>
      <c r="L146" s="7">
        <v>441.93700000000001</v>
      </c>
      <c r="M146" s="7">
        <v>533.53599999999994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18.393999999999998</v>
      </c>
      <c r="T146" s="7">
        <v>0</v>
      </c>
      <c r="U146" s="7">
        <v>0</v>
      </c>
      <c r="V146" s="7">
        <v>13.9</v>
      </c>
      <c r="W146" s="7">
        <v>20.873000000000001</v>
      </c>
      <c r="X146" s="7">
        <v>0</v>
      </c>
      <c r="Y146" s="7">
        <v>177.261</v>
      </c>
      <c r="Z146" s="7">
        <v>0</v>
      </c>
      <c r="AA146" s="7">
        <v>182.25899999999999</v>
      </c>
      <c r="AB146" s="7">
        <v>0</v>
      </c>
      <c r="AC146" s="7">
        <v>8.17</v>
      </c>
      <c r="AD146" s="7">
        <v>4.7859999999999996</v>
      </c>
      <c r="AE146" s="7">
        <v>680.79700000000003</v>
      </c>
      <c r="AF146" s="7">
        <v>0</v>
      </c>
      <c r="AG146" s="7">
        <v>19.382999999999999</v>
      </c>
      <c r="AH146" s="7">
        <v>961.29200000000003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12.266999999999999</v>
      </c>
      <c r="AP146" s="7">
        <v>0</v>
      </c>
      <c r="AQ146" s="7">
        <v>0</v>
      </c>
      <c r="AR146" s="7">
        <v>0</v>
      </c>
      <c r="AS146" s="7">
        <v>0.505</v>
      </c>
      <c r="AT146" s="7">
        <v>0</v>
      </c>
      <c r="AU146" s="7">
        <v>8.875</v>
      </c>
      <c r="AV146" s="7">
        <v>0</v>
      </c>
      <c r="AW146" s="7">
        <v>0</v>
      </c>
      <c r="AX146" s="7">
        <v>0</v>
      </c>
      <c r="AY146" s="7">
        <v>11.523</v>
      </c>
      <c r="AZ146" s="7">
        <v>0</v>
      </c>
      <c r="BA146" s="7">
        <v>0</v>
      </c>
      <c r="BB146" s="7">
        <v>6.101</v>
      </c>
      <c r="BC146" s="7">
        <v>5.0380000000000003</v>
      </c>
      <c r="BD146" s="7">
        <v>0</v>
      </c>
      <c r="BE146" s="7">
        <v>1.7010000000000001</v>
      </c>
      <c r="BF146" s="7">
        <v>0</v>
      </c>
      <c r="BG146" s="7">
        <v>0</v>
      </c>
      <c r="BH146" s="7">
        <v>1.5489999999999999</v>
      </c>
      <c r="BI146" s="21"/>
    </row>
    <row r="147" spans="1:61" ht="15.6" x14ac:dyDescent="0.3">
      <c r="A147" s="5" t="s">
        <v>283</v>
      </c>
      <c r="B147" s="5" t="s">
        <v>284</v>
      </c>
      <c r="C147" s="7">
        <v>4</v>
      </c>
      <c r="D147" s="7">
        <v>4</v>
      </c>
      <c r="E147" s="7">
        <v>119815.58500000001</v>
      </c>
      <c r="F147" s="7">
        <v>12365.843999999999</v>
      </c>
      <c r="G147" s="7">
        <v>134.92599999999999</v>
      </c>
      <c r="H147" s="7">
        <v>0</v>
      </c>
      <c r="I147" s="7">
        <v>360.10599999999999</v>
      </c>
      <c r="J147" s="7">
        <v>86.147000000000006</v>
      </c>
      <c r="K147" s="7">
        <v>0</v>
      </c>
      <c r="L147" s="7">
        <v>196992.66099999999</v>
      </c>
      <c r="M147" s="7">
        <v>15799.187</v>
      </c>
      <c r="N147" s="7">
        <v>0</v>
      </c>
      <c r="O147" s="7">
        <v>298.67599999999999</v>
      </c>
      <c r="P147" s="7">
        <v>0</v>
      </c>
      <c r="Q147" s="7">
        <v>98.945999999999998</v>
      </c>
      <c r="R147" s="7">
        <v>0</v>
      </c>
      <c r="S147" s="7">
        <v>3980.817</v>
      </c>
      <c r="T147" s="7">
        <v>0</v>
      </c>
      <c r="U147" s="7">
        <v>0</v>
      </c>
      <c r="V147" s="7">
        <v>13.327999999999999</v>
      </c>
      <c r="W147" s="7">
        <v>1354.1279999999999</v>
      </c>
      <c r="X147" s="7">
        <v>867.803</v>
      </c>
      <c r="Y147" s="7">
        <v>49886.216999999997</v>
      </c>
      <c r="Z147" s="7">
        <v>86.811000000000007</v>
      </c>
      <c r="AA147" s="7">
        <v>7755.0709999999999</v>
      </c>
      <c r="AB147" s="7">
        <v>7544.8370000000004</v>
      </c>
      <c r="AC147" s="7">
        <v>2557.3530000000001</v>
      </c>
      <c r="AD147" s="7">
        <v>506.89699999999999</v>
      </c>
      <c r="AE147" s="7">
        <v>149589.85200000001</v>
      </c>
      <c r="AF147" s="7">
        <v>125355.447</v>
      </c>
      <c r="AG147" s="7">
        <v>4120.3450000000003</v>
      </c>
      <c r="AH147" s="7">
        <v>382871.353</v>
      </c>
      <c r="AI147" s="7">
        <v>200991.61900000001</v>
      </c>
      <c r="AJ147" s="7">
        <v>1.42</v>
      </c>
      <c r="AK147" s="7">
        <v>-15910.856</v>
      </c>
      <c r="AL147" s="7">
        <v>-8178.2349999999997</v>
      </c>
      <c r="AM147" s="7">
        <v>0</v>
      </c>
      <c r="AN147" s="7">
        <v>-5426.74</v>
      </c>
      <c r="AO147" s="7">
        <v>3918.5129999999999</v>
      </c>
      <c r="AP147" s="7">
        <v>0</v>
      </c>
      <c r="AQ147" s="7">
        <v>50639.069000000003</v>
      </c>
      <c r="AR147" s="7">
        <v>0</v>
      </c>
      <c r="AS147" s="7">
        <v>40.436</v>
      </c>
      <c r="AT147" s="7">
        <v>0</v>
      </c>
      <c r="AU147" s="7">
        <v>261.02600000000001</v>
      </c>
      <c r="AV147" s="7">
        <v>0</v>
      </c>
      <c r="AW147" s="7">
        <v>0</v>
      </c>
      <c r="AX147" s="7">
        <v>1151.26</v>
      </c>
      <c r="AY147" s="7">
        <v>11.018000000000001</v>
      </c>
      <c r="AZ147" s="7">
        <v>0</v>
      </c>
      <c r="BA147" s="7">
        <v>888.13900000000001</v>
      </c>
      <c r="BB147" s="7">
        <v>1818.393</v>
      </c>
      <c r="BC147" s="7">
        <v>4.8170000000000002</v>
      </c>
      <c r="BD147" s="7">
        <v>0</v>
      </c>
      <c r="BE147" s="7">
        <v>557.43799999999999</v>
      </c>
      <c r="BF147" s="7">
        <v>0</v>
      </c>
      <c r="BG147" s="7">
        <v>155.709</v>
      </c>
      <c r="BH147" s="7">
        <v>1.482</v>
      </c>
      <c r="BI147" s="21"/>
    </row>
    <row r="148" spans="1:61" ht="15.6" x14ac:dyDescent="0.3">
      <c r="A148" s="5" t="s">
        <v>285</v>
      </c>
      <c r="B148" s="5" t="s">
        <v>286</v>
      </c>
      <c r="C148" s="7">
        <v>6</v>
      </c>
      <c r="D148" s="7">
        <v>6</v>
      </c>
      <c r="E148" s="7">
        <v>19907.338</v>
      </c>
      <c r="F148" s="7">
        <v>2748.3229999999999</v>
      </c>
      <c r="G148" s="7">
        <v>0</v>
      </c>
      <c r="H148" s="7">
        <v>0</v>
      </c>
      <c r="I148" s="7">
        <v>76.114999999999995</v>
      </c>
      <c r="J148" s="7">
        <v>0</v>
      </c>
      <c r="K148" s="7">
        <v>0</v>
      </c>
      <c r="L148" s="7">
        <v>41787.682999999997</v>
      </c>
      <c r="M148" s="7">
        <v>1267.329</v>
      </c>
      <c r="N148" s="7">
        <v>0</v>
      </c>
      <c r="O148" s="7">
        <v>514.35400000000004</v>
      </c>
      <c r="P148" s="7">
        <v>0</v>
      </c>
      <c r="Q148" s="7">
        <v>125.47</v>
      </c>
      <c r="R148" s="7">
        <v>0</v>
      </c>
      <c r="S148" s="7">
        <v>885.29499999999996</v>
      </c>
      <c r="T148" s="7">
        <v>0</v>
      </c>
      <c r="U148" s="7">
        <v>0</v>
      </c>
      <c r="V148" s="7">
        <v>0</v>
      </c>
      <c r="W148" s="7">
        <v>297.94400000000002</v>
      </c>
      <c r="X148" s="7">
        <v>6520.5069999999996</v>
      </c>
      <c r="Y148" s="7">
        <v>9895.1419999999998</v>
      </c>
      <c r="Z148" s="7">
        <v>1949.5730000000001</v>
      </c>
      <c r="AA148" s="7">
        <v>1700.374</v>
      </c>
      <c r="AB148" s="7">
        <v>10856.225</v>
      </c>
      <c r="AC148" s="7">
        <v>570.08900000000006</v>
      </c>
      <c r="AD148" s="7">
        <v>494.68900000000002</v>
      </c>
      <c r="AE148" s="7">
        <v>29264.941999999999</v>
      </c>
      <c r="AF148" s="7">
        <v>25498.864000000001</v>
      </c>
      <c r="AG148" s="7">
        <v>4142.7730000000001</v>
      </c>
      <c r="AH148" s="7">
        <v>73989.216</v>
      </c>
      <c r="AI148" s="7">
        <v>36945.993000000002</v>
      </c>
      <c r="AJ148" s="7">
        <v>9989.9060000000009</v>
      </c>
      <c r="AK148" s="7">
        <v>681188.94</v>
      </c>
      <c r="AL148" s="7">
        <v>350133.46100000001</v>
      </c>
      <c r="AM148" s="7">
        <v>0</v>
      </c>
      <c r="AN148" s="7">
        <v>232334.13200000001</v>
      </c>
      <c r="AO148" s="7">
        <v>876.30899999999997</v>
      </c>
      <c r="AP148" s="7">
        <v>0</v>
      </c>
      <c r="AQ148" s="7">
        <v>10362.424999999999</v>
      </c>
      <c r="AR148" s="7">
        <v>0</v>
      </c>
      <c r="AS148" s="7">
        <v>8.9619999999999997</v>
      </c>
      <c r="AT148" s="7">
        <v>0</v>
      </c>
      <c r="AU148" s="7">
        <v>56.652999999999999</v>
      </c>
      <c r="AV148" s="7">
        <v>0</v>
      </c>
      <c r="AW148" s="7">
        <v>0</v>
      </c>
      <c r="AX148" s="7">
        <v>8650.35</v>
      </c>
      <c r="AY148" s="7">
        <v>0</v>
      </c>
      <c r="AZ148" s="7">
        <v>0</v>
      </c>
      <c r="BA148" s="7">
        <v>6673.31</v>
      </c>
      <c r="BB148" s="7">
        <v>406.565</v>
      </c>
      <c r="BC148" s="7">
        <v>0</v>
      </c>
      <c r="BD148" s="7">
        <v>0</v>
      </c>
      <c r="BE148" s="7">
        <v>124.66800000000001</v>
      </c>
      <c r="BF148" s="7">
        <v>0</v>
      </c>
      <c r="BG148" s="7">
        <v>5463.8789999999999</v>
      </c>
      <c r="BH148" s="7">
        <v>0</v>
      </c>
      <c r="BI148" s="21"/>
    </row>
    <row r="149" spans="1:61" ht="15.6" x14ac:dyDescent="0.3">
      <c r="A149" s="5" t="s">
        <v>287</v>
      </c>
      <c r="B149" s="5" t="s">
        <v>288</v>
      </c>
      <c r="C149" s="7">
        <v>6</v>
      </c>
      <c r="D149" s="7">
        <v>6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21"/>
    </row>
    <row r="150" spans="1:61" ht="15.6" x14ac:dyDescent="0.3">
      <c r="A150" s="5" t="s">
        <v>289</v>
      </c>
      <c r="B150" s="5" t="s">
        <v>290</v>
      </c>
      <c r="C150" s="7">
        <v>6</v>
      </c>
      <c r="D150" s="7">
        <v>6</v>
      </c>
      <c r="E150" s="7">
        <v>34.868000000000002</v>
      </c>
      <c r="F150" s="7">
        <v>15.432</v>
      </c>
      <c r="G150" s="7">
        <v>4.6500000000000004</v>
      </c>
      <c r="H150" s="7">
        <v>0</v>
      </c>
      <c r="I150" s="7">
        <v>1.099</v>
      </c>
      <c r="J150" s="7">
        <v>12.138</v>
      </c>
      <c r="K150" s="7">
        <v>0</v>
      </c>
      <c r="L150" s="7">
        <v>45.015999999999998</v>
      </c>
      <c r="M150" s="7">
        <v>3.8929999999999998</v>
      </c>
      <c r="N150" s="7">
        <v>0</v>
      </c>
      <c r="O150" s="7">
        <v>0</v>
      </c>
      <c r="P150" s="7">
        <v>0</v>
      </c>
      <c r="Q150" s="7">
        <v>10.967000000000001</v>
      </c>
      <c r="R150" s="7">
        <v>12.564</v>
      </c>
      <c r="S150" s="7">
        <v>6.6180000000000003</v>
      </c>
      <c r="T150" s="7">
        <v>0</v>
      </c>
      <c r="U150" s="7">
        <v>0</v>
      </c>
      <c r="V150" s="7">
        <v>2.5649999999999999</v>
      </c>
      <c r="W150" s="7">
        <v>0.13700000000000001</v>
      </c>
      <c r="X150" s="7">
        <v>0</v>
      </c>
      <c r="Y150" s="7">
        <v>5.1139999999999999</v>
      </c>
      <c r="Z150" s="7">
        <v>190.95400000000001</v>
      </c>
      <c r="AA150" s="7">
        <v>30.419</v>
      </c>
      <c r="AB150" s="7">
        <v>0</v>
      </c>
      <c r="AC150" s="7">
        <v>3.0510000000000002</v>
      </c>
      <c r="AD150" s="7">
        <v>49.008000000000003</v>
      </c>
      <c r="AE150" s="7">
        <v>48.665999999999997</v>
      </c>
      <c r="AF150" s="7">
        <v>0.26600000000000001</v>
      </c>
      <c r="AG150" s="7">
        <v>179.19</v>
      </c>
      <c r="AH150" s="7">
        <v>93.096999999999994</v>
      </c>
      <c r="AI150" s="7">
        <v>0</v>
      </c>
      <c r="AJ150" s="7">
        <v>870.84500000000003</v>
      </c>
      <c r="AK150" s="7">
        <v>0</v>
      </c>
      <c r="AL150" s="7">
        <v>0</v>
      </c>
      <c r="AM150" s="7">
        <v>0</v>
      </c>
      <c r="AN150" s="7">
        <v>0</v>
      </c>
      <c r="AO150" s="7">
        <v>7.16</v>
      </c>
      <c r="AP150" s="7">
        <v>0</v>
      </c>
      <c r="AQ150" s="7">
        <v>0.04</v>
      </c>
      <c r="AR150" s="7">
        <v>0</v>
      </c>
      <c r="AS150" s="7">
        <v>2.1999999999999999E-2</v>
      </c>
      <c r="AT150" s="7">
        <v>0</v>
      </c>
      <c r="AU150" s="7">
        <v>3.0000000000000001E-3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3.2810000000000001</v>
      </c>
      <c r="BC150" s="7">
        <v>0</v>
      </c>
      <c r="BD150" s="7">
        <v>0</v>
      </c>
      <c r="BE150" s="7">
        <v>0.99199999999999999</v>
      </c>
      <c r="BF150" s="7">
        <v>0</v>
      </c>
      <c r="BG150" s="7">
        <v>551.46</v>
      </c>
      <c r="BH150" s="7">
        <v>0</v>
      </c>
      <c r="BI150" s="21"/>
    </row>
    <row r="151" spans="1:61" ht="15.6" x14ac:dyDescent="0.3">
      <c r="A151" s="5" t="s">
        <v>291</v>
      </c>
      <c r="B151" s="5" t="s">
        <v>292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21"/>
    </row>
    <row r="152" spans="1:61" ht="15.6" x14ac:dyDescent="0.3">
      <c r="A152" s="5" t="s">
        <v>293</v>
      </c>
      <c r="B152" s="5" t="s">
        <v>294</v>
      </c>
      <c r="C152" s="7">
        <v>4</v>
      </c>
      <c r="D152" s="7">
        <v>4</v>
      </c>
      <c r="E152" s="7">
        <v>7062.0529999999999</v>
      </c>
      <c r="F152" s="7">
        <v>1523.953</v>
      </c>
      <c r="G152" s="7">
        <v>0</v>
      </c>
      <c r="H152" s="7">
        <v>0</v>
      </c>
      <c r="I152" s="7">
        <v>29.276</v>
      </c>
      <c r="J152" s="7">
        <v>0</v>
      </c>
      <c r="K152" s="7">
        <v>0</v>
      </c>
      <c r="L152" s="7">
        <v>17660.241999999998</v>
      </c>
      <c r="M152" s="7">
        <v>772.14400000000001</v>
      </c>
      <c r="N152" s="7">
        <v>0</v>
      </c>
      <c r="O152" s="7">
        <v>0</v>
      </c>
      <c r="P152" s="7">
        <v>0.31900000000000001</v>
      </c>
      <c r="Q152" s="7">
        <v>0</v>
      </c>
      <c r="R152" s="7">
        <v>0</v>
      </c>
      <c r="S152" s="7">
        <v>503.911</v>
      </c>
      <c r="T152" s="7">
        <v>0</v>
      </c>
      <c r="U152" s="7">
        <v>0</v>
      </c>
      <c r="V152" s="7">
        <v>0</v>
      </c>
      <c r="W152" s="7">
        <v>180.28</v>
      </c>
      <c r="X152" s="7">
        <v>0</v>
      </c>
      <c r="Y152" s="7">
        <v>3585.4059999999999</v>
      </c>
      <c r="Z152" s="7">
        <v>0</v>
      </c>
      <c r="AA152" s="7">
        <v>549.06799999999998</v>
      </c>
      <c r="AB152" s="7">
        <v>0</v>
      </c>
      <c r="AC152" s="7">
        <v>321.661</v>
      </c>
      <c r="AD152" s="7">
        <v>0</v>
      </c>
      <c r="AE152" s="7">
        <v>9970.3649999999998</v>
      </c>
      <c r="AF152" s="7">
        <v>11145.38</v>
      </c>
      <c r="AG152" s="7">
        <v>0</v>
      </c>
      <c r="AH152" s="7">
        <v>27985.937999999998</v>
      </c>
      <c r="AI152" s="7">
        <v>17482.559000000001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360.41800000000001</v>
      </c>
      <c r="AP152" s="7">
        <v>0</v>
      </c>
      <c r="AQ152" s="7">
        <v>4449.55</v>
      </c>
      <c r="AR152" s="7">
        <v>0</v>
      </c>
      <c r="AS152" s="7">
        <v>4.7450000000000001</v>
      </c>
      <c r="AT152" s="7">
        <v>0</v>
      </c>
      <c r="AU152" s="7">
        <v>36.799999999999997</v>
      </c>
      <c r="AV152" s="7">
        <v>0</v>
      </c>
      <c r="AW152" s="7">
        <v>0</v>
      </c>
      <c r="AX152" s="7">
        <v>0</v>
      </c>
      <c r="AY152" s="7">
        <v>202.22</v>
      </c>
      <c r="AZ152" s="7">
        <v>7955.8940000000002</v>
      </c>
      <c r="BA152" s="7">
        <v>0</v>
      </c>
      <c r="BB152" s="7">
        <v>161.97300000000001</v>
      </c>
      <c r="BC152" s="7">
        <v>0</v>
      </c>
      <c r="BD152" s="7">
        <v>10075.109</v>
      </c>
      <c r="BE152" s="7">
        <v>46.045999999999999</v>
      </c>
      <c r="BF152" s="7">
        <v>3516.84</v>
      </c>
      <c r="BG152" s="7">
        <v>0</v>
      </c>
      <c r="BH152" s="7">
        <v>0</v>
      </c>
      <c r="BI152" s="21"/>
    </row>
    <row r="153" spans="1:61" ht="15.6" x14ac:dyDescent="0.3">
      <c r="A153" s="5" t="s">
        <v>295</v>
      </c>
      <c r="B153" s="5" t="s">
        <v>296</v>
      </c>
      <c r="C153" s="7">
        <v>4</v>
      </c>
      <c r="D153" s="7">
        <v>4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21"/>
    </row>
    <row r="154" spans="1:61" ht="15.6" x14ac:dyDescent="0.3">
      <c r="A154" s="5" t="s">
        <v>297</v>
      </c>
      <c r="B154" s="5" t="s">
        <v>298</v>
      </c>
      <c r="C154" s="7">
        <v>4</v>
      </c>
      <c r="D154" s="7">
        <v>4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21"/>
    </row>
    <row r="155" spans="1:61" ht="15.6" x14ac:dyDescent="0.3">
      <c r="A155" s="5" t="s">
        <v>299</v>
      </c>
      <c r="B155" s="5" t="s">
        <v>300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21"/>
    </row>
    <row r="156" spans="1:61" ht="15.6" x14ac:dyDescent="0.3">
      <c r="A156" s="5" t="s">
        <v>301</v>
      </c>
      <c r="B156" s="5" t="s">
        <v>302</v>
      </c>
      <c r="C156" s="7">
        <v>4</v>
      </c>
      <c r="D156" s="7">
        <v>4</v>
      </c>
      <c r="E156" s="7">
        <v>-0.53600000000000003</v>
      </c>
      <c r="F156" s="7">
        <v>-0.11600000000000001</v>
      </c>
      <c r="G156" s="7">
        <v>0</v>
      </c>
      <c r="H156" s="7">
        <v>0</v>
      </c>
      <c r="I156" s="7">
        <v>-2E-3</v>
      </c>
      <c r="J156" s="7">
        <v>0</v>
      </c>
      <c r="K156" s="7">
        <v>0</v>
      </c>
      <c r="L156" s="7">
        <v>-1.339</v>
      </c>
      <c r="M156" s="7">
        <v>-5.8999999999999997E-2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-3.9E-2</v>
      </c>
      <c r="T156" s="7">
        <v>0</v>
      </c>
      <c r="U156" s="7">
        <v>0</v>
      </c>
      <c r="V156" s="7">
        <v>0</v>
      </c>
      <c r="W156" s="7">
        <v>-1.4E-2</v>
      </c>
      <c r="X156" s="7">
        <v>0</v>
      </c>
      <c r="Y156" s="7">
        <v>-0.27100000000000002</v>
      </c>
      <c r="Z156" s="7">
        <v>0</v>
      </c>
      <c r="AA156" s="7">
        <v>-4.1000000000000002E-2</v>
      </c>
      <c r="AB156" s="7">
        <v>0</v>
      </c>
      <c r="AC156" s="7">
        <v>-2.3E-2</v>
      </c>
      <c r="AD156" s="7">
        <v>0</v>
      </c>
      <c r="AE156" s="7">
        <v>-0.75700000000000001</v>
      </c>
      <c r="AF156" s="7">
        <v>-0.84499999999999997</v>
      </c>
      <c r="AG156" s="7">
        <v>0</v>
      </c>
      <c r="AH156" s="7">
        <v>-2.1219999999999999</v>
      </c>
      <c r="AI156" s="7">
        <v>-1.3260000000000001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-2.8000000000000001E-2</v>
      </c>
      <c r="AP156" s="7">
        <v>0</v>
      </c>
      <c r="AQ156" s="7">
        <v>-0.33800000000000002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-1.4999999999999999E-2</v>
      </c>
      <c r="AZ156" s="7">
        <v>-0.60299999999999998</v>
      </c>
      <c r="BA156" s="7">
        <v>0</v>
      </c>
      <c r="BB156" s="7">
        <v>-1.2E-2</v>
      </c>
      <c r="BC156" s="7">
        <v>0</v>
      </c>
      <c r="BD156" s="7">
        <v>-0.76400000000000001</v>
      </c>
      <c r="BE156" s="7">
        <v>-3.0000000000000001E-3</v>
      </c>
      <c r="BF156" s="7">
        <v>-0.26700000000000002</v>
      </c>
      <c r="BG156" s="7">
        <v>0</v>
      </c>
      <c r="BH156" s="7">
        <v>0</v>
      </c>
      <c r="BI156" s="21"/>
    </row>
    <row r="157" spans="1:61" ht="15.6" x14ac:dyDescent="0.3">
      <c r="A157" s="5" t="s">
        <v>303</v>
      </c>
      <c r="B157" s="5" t="s">
        <v>304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21"/>
    </row>
    <row r="158" spans="1:61" ht="15.6" x14ac:dyDescent="0.3">
      <c r="A158" s="5" t="s">
        <v>305</v>
      </c>
      <c r="B158" s="5" t="s">
        <v>306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21"/>
    </row>
    <row r="159" spans="1:61" ht="15.6" x14ac:dyDescent="0.3">
      <c r="A159" s="5" t="s">
        <v>307</v>
      </c>
      <c r="B159" s="5" t="s">
        <v>308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21"/>
    </row>
    <row r="160" spans="1:61" ht="15.6" x14ac:dyDescent="0.3">
      <c r="A160" s="5" t="s">
        <v>293</v>
      </c>
      <c r="B160" s="5" t="s">
        <v>309</v>
      </c>
      <c r="C160" s="7">
        <v>6</v>
      </c>
      <c r="D160" s="7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21"/>
    </row>
    <row r="161" spans="1:61" ht="15.6" x14ac:dyDescent="0.3">
      <c r="A161" s="5" t="s">
        <v>310</v>
      </c>
      <c r="B161" s="5" t="s">
        <v>311</v>
      </c>
      <c r="C161" s="7">
        <v>6</v>
      </c>
      <c r="D161" s="7">
        <v>6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21"/>
    </row>
    <row r="162" spans="1:61" ht="15.6" x14ac:dyDescent="0.3">
      <c r="A162" s="5" t="s">
        <v>312</v>
      </c>
      <c r="B162" s="5" t="s">
        <v>313</v>
      </c>
      <c r="C162" s="7">
        <v>6</v>
      </c>
      <c r="D162" s="7">
        <v>6</v>
      </c>
      <c r="E162" s="7">
        <v>112.93600000000001</v>
      </c>
      <c r="F162" s="7">
        <v>12.04</v>
      </c>
      <c r="G162" s="7">
        <v>8.7750000000000004</v>
      </c>
      <c r="H162" s="7">
        <v>0</v>
      </c>
      <c r="I162" s="7">
        <v>1.694</v>
      </c>
      <c r="J162" s="7">
        <v>6.6029999999999998</v>
      </c>
      <c r="K162" s="7">
        <v>0</v>
      </c>
      <c r="L162" s="7">
        <v>120.69499999999999</v>
      </c>
      <c r="M162" s="7">
        <v>19.157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3.7930000000000001</v>
      </c>
      <c r="T162" s="7">
        <v>0</v>
      </c>
      <c r="U162" s="7">
        <v>0</v>
      </c>
      <c r="V162" s="7">
        <v>1.3</v>
      </c>
      <c r="W162" s="7">
        <v>3.379</v>
      </c>
      <c r="X162" s="7">
        <v>0</v>
      </c>
      <c r="Y162" s="7">
        <v>45.2</v>
      </c>
      <c r="Z162" s="7">
        <v>0</v>
      </c>
      <c r="AA162" s="7">
        <v>9.7219999999999995</v>
      </c>
      <c r="AB162" s="7">
        <v>0</v>
      </c>
      <c r="AC162" s="7">
        <v>2.2250000000000001</v>
      </c>
      <c r="AD162" s="7">
        <v>0</v>
      </c>
      <c r="AE162" s="7">
        <v>145.98599999999999</v>
      </c>
      <c r="AF162" s="7">
        <v>31.992999999999999</v>
      </c>
      <c r="AG162" s="7">
        <v>0</v>
      </c>
      <c r="AH162" s="7">
        <v>287.05799999999999</v>
      </c>
      <c r="AI162" s="7">
        <v>46.356999999999999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1.921</v>
      </c>
      <c r="AP162" s="7">
        <v>0</v>
      </c>
      <c r="AQ162" s="7">
        <v>13.000999999999999</v>
      </c>
      <c r="AR162" s="7">
        <v>0</v>
      </c>
      <c r="AS162" s="7">
        <v>1.4E-2</v>
      </c>
      <c r="AT162" s="7">
        <v>0</v>
      </c>
      <c r="AU162" s="7">
        <v>5.8999999999999997E-2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0.91</v>
      </c>
      <c r="BC162" s="7">
        <v>0</v>
      </c>
      <c r="BD162" s="7">
        <v>0</v>
      </c>
      <c r="BE162" s="7">
        <v>0.309</v>
      </c>
      <c r="BF162" s="7">
        <v>0</v>
      </c>
      <c r="BG162" s="7">
        <v>0</v>
      </c>
      <c r="BH162" s="7">
        <v>0</v>
      </c>
      <c r="BI162" s="21"/>
    </row>
    <row r="163" spans="1:61" ht="15.6" x14ac:dyDescent="0.3">
      <c r="A163" s="5" t="s">
        <v>297</v>
      </c>
      <c r="B163" s="5" t="s">
        <v>314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21"/>
    </row>
    <row r="164" spans="1:61" ht="15.6" x14ac:dyDescent="0.3">
      <c r="A164" s="5" t="s">
        <v>299</v>
      </c>
      <c r="B164" s="5" t="s">
        <v>315</v>
      </c>
      <c r="C164" s="7">
        <v>6</v>
      </c>
      <c r="D164" s="7">
        <v>6</v>
      </c>
      <c r="E164" s="7">
        <v>1349.0060000000001</v>
      </c>
      <c r="F164" s="7">
        <v>118.008</v>
      </c>
      <c r="G164" s="7">
        <v>165.43</v>
      </c>
      <c r="H164" s="7">
        <v>3379.1689999999999</v>
      </c>
      <c r="I164" s="7">
        <v>28.683</v>
      </c>
      <c r="J164" s="7">
        <v>100.505</v>
      </c>
      <c r="K164" s="7">
        <v>0</v>
      </c>
      <c r="L164" s="7">
        <v>964.80700000000002</v>
      </c>
      <c r="M164" s="7">
        <v>446.49700000000001</v>
      </c>
      <c r="N164" s="7">
        <v>0</v>
      </c>
      <c r="O164" s="7">
        <v>0</v>
      </c>
      <c r="P164" s="7">
        <v>5.1710000000000003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16.798999999999999</v>
      </c>
      <c r="W164" s="7">
        <v>50.527000000000001</v>
      </c>
      <c r="X164" s="7">
        <v>0</v>
      </c>
      <c r="Y164" s="7">
        <v>398.60399999999998</v>
      </c>
      <c r="Z164" s="7">
        <v>0</v>
      </c>
      <c r="AA164" s="7">
        <v>135.87700000000001</v>
      </c>
      <c r="AB164" s="7">
        <v>0</v>
      </c>
      <c r="AC164" s="7">
        <v>21.643999999999998</v>
      </c>
      <c r="AD164" s="7">
        <v>0</v>
      </c>
      <c r="AE164" s="7">
        <v>1295.7850000000001</v>
      </c>
      <c r="AF164" s="7">
        <v>0</v>
      </c>
      <c r="AG164" s="7">
        <v>0</v>
      </c>
      <c r="AH164" s="7">
        <v>2831.145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21"/>
    </row>
    <row r="165" spans="1:61" ht="15.6" x14ac:dyDescent="0.3">
      <c r="A165" s="5" t="s">
        <v>301</v>
      </c>
      <c r="B165" s="5" t="s">
        <v>316</v>
      </c>
      <c r="C165" s="7">
        <v>6</v>
      </c>
      <c r="D165" s="7">
        <v>6</v>
      </c>
      <c r="E165" s="7">
        <v>781.98800000000006</v>
      </c>
      <c r="F165" s="7">
        <v>164.83</v>
      </c>
      <c r="G165" s="7">
        <v>12.907999999999999</v>
      </c>
      <c r="H165" s="7">
        <v>0</v>
      </c>
      <c r="I165" s="7">
        <v>4.1429999999999998</v>
      </c>
      <c r="J165" s="7">
        <v>7.4569999999999999</v>
      </c>
      <c r="K165" s="7">
        <v>0</v>
      </c>
      <c r="L165" s="7">
        <v>1835.4829999999999</v>
      </c>
      <c r="M165" s="7">
        <v>105.246</v>
      </c>
      <c r="N165" s="7">
        <v>0</v>
      </c>
      <c r="O165" s="7">
        <v>0</v>
      </c>
      <c r="P165" s="7">
        <v>3.4000000000000002E-2</v>
      </c>
      <c r="Q165" s="7">
        <v>0</v>
      </c>
      <c r="R165" s="7">
        <v>0</v>
      </c>
      <c r="S165" s="7">
        <v>55.5</v>
      </c>
      <c r="T165" s="7">
        <v>0</v>
      </c>
      <c r="U165" s="7">
        <v>0</v>
      </c>
      <c r="V165" s="7">
        <v>1.96</v>
      </c>
      <c r="W165" s="7">
        <v>21.125</v>
      </c>
      <c r="X165" s="7">
        <v>0</v>
      </c>
      <c r="Y165" s="7">
        <v>377.77</v>
      </c>
      <c r="Z165" s="7">
        <v>0</v>
      </c>
      <c r="AA165" s="7">
        <v>71.597999999999999</v>
      </c>
      <c r="AB165" s="7">
        <v>0</v>
      </c>
      <c r="AC165" s="7">
        <v>34.343000000000004</v>
      </c>
      <c r="AD165" s="7">
        <v>0</v>
      </c>
      <c r="AE165" s="7">
        <v>1033.7929999999999</v>
      </c>
      <c r="AF165" s="7">
        <v>1145.7270000000001</v>
      </c>
      <c r="AG165" s="7">
        <v>0</v>
      </c>
      <c r="AH165" s="7">
        <v>2925.8240000000001</v>
      </c>
      <c r="AI165" s="7">
        <v>1797.1790000000001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38.65</v>
      </c>
      <c r="AP165" s="7">
        <v>0</v>
      </c>
      <c r="AQ165" s="7">
        <v>457.40600000000001</v>
      </c>
      <c r="AR165" s="7">
        <v>0</v>
      </c>
      <c r="AS165" s="7">
        <v>0.51900000000000002</v>
      </c>
      <c r="AT165" s="7">
        <v>0</v>
      </c>
      <c r="AU165" s="7">
        <v>4.63</v>
      </c>
      <c r="AV165" s="7">
        <v>0</v>
      </c>
      <c r="AW165" s="7">
        <v>0</v>
      </c>
      <c r="AX165" s="7">
        <v>0</v>
      </c>
      <c r="AY165" s="7">
        <v>22.844000000000001</v>
      </c>
      <c r="AZ165" s="7">
        <v>817.85299999999995</v>
      </c>
      <c r="BA165" s="7">
        <v>0</v>
      </c>
      <c r="BB165" s="7">
        <v>17.395</v>
      </c>
      <c r="BC165" s="7">
        <v>1.03</v>
      </c>
      <c r="BD165" s="7">
        <v>1035.7049999999999</v>
      </c>
      <c r="BE165" s="7">
        <v>4.9589999999999996</v>
      </c>
      <c r="BF165" s="7">
        <v>361.52699999999999</v>
      </c>
      <c r="BG165" s="7">
        <v>0</v>
      </c>
      <c r="BH165" s="7">
        <v>0.33200000000000002</v>
      </c>
      <c r="BI165" s="21"/>
    </row>
    <row r="166" spans="1:61" ht="15.6" x14ac:dyDescent="0.3">
      <c r="A166" s="5" t="s">
        <v>317</v>
      </c>
      <c r="B166" s="5" t="s">
        <v>318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21"/>
    </row>
    <row r="167" spans="1:61" ht="15.6" x14ac:dyDescent="0.3">
      <c r="A167" s="5" t="s">
        <v>319</v>
      </c>
      <c r="B167" s="5" t="s">
        <v>320</v>
      </c>
      <c r="C167" s="7">
        <v>6</v>
      </c>
      <c r="D167" s="7">
        <v>6</v>
      </c>
      <c r="E167" s="7">
        <v>-138.47900000000001</v>
      </c>
      <c r="F167" s="7">
        <v>-16.952999999999999</v>
      </c>
      <c r="G167" s="7">
        <v>-5.1970000000000001</v>
      </c>
      <c r="H167" s="7">
        <v>0</v>
      </c>
      <c r="I167" s="7">
        <v>-1.276</v>
      </c>
      <c r="J167" s="7">
        <v>-3.91</v>
      </c>
      <c r="K167" s="7">
        <v>0</v>
      </c>
      <c r="L167" s="7">
        <v>-220.83500000000001</v>
      </c>
      <c r="M167" s="7">
        <v>-15.872999999999999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-5.4119999999999999</v>
      </c>
      <c r="T167" s="7">
        <v>0</v>
      </c>
      <c r="U167" s="7">
        <v>0</v>
      </c>
      <c r="V167" s="7">
        <v>-0.76900000000000002</v>
      </c>
      <c r="W167" s="7">
        <v>-3.0659999999999998</v>
      </c>
      <c r="X167" s="7">
        <v>0</v>
      </c>
      <c r="Y167" s="7">
        <v>-62.133000000000003</v>
      </c>
      <c r="Z167" s="7">
        <v>0</v>
      </c>
      <c r="AA167" s="7">
        <v>-11.835000000000001</v>
      </c>
      <c r="AB167" s="7">
        <v>0</v>
      </c>
      <c r="AC167" s="7">
        <v>-3.355</v>
      </c>
      <c r="AD167" s="7">
        <v>0</v>
      </c>
      <c r="AE167" s="7">
        <v>-186.61500000000001</v>
      </c>
      <c r="AF167" s="7">
        <v>-110.086</v>
      </c>
      <c r="AG167" s="7">
        <v>0</v>
      </c>
      <c r="AH167" s="7">
        <v>-434.44799999999998</v>
      </c>
      <c r="AI167" s="7">
        <v>-159.50800000000001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-4.2699999999999996</v>
      </c>
      <c r="AP167" s="7">
        <v>0</v>
      </c>
      <c r="AQ167" s="7">
        <v>-44.738</v>
      </c>
      <c r="AR167" s="7">
        <v>0</v>
      </c>
      <c r="AS167" s="7">
        <v>-3.9E-2</v>
      </c>
      <c r="AT167" s="7">
        <v>0</v>
      </c>
      <c r="AU167" s="7">
        <v>-0.23699999999999999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-1.994</v>
      </c>
      <c r="BC167" s="7">
        <v>0</v>
      </c>
      <c r="BD167" s="7">
        <v>0</v>
      </c>
      <c r="BE167" s="7">
        <v>-0.628</v>
      </c>
      <c r="BF167" s="7">
        <v>0</v>
      </c>
      <c r="BG167" s="7">
        <v>0</v>
      </c>
      <c r="BH167" s="7">
        <v>0</v>
      </c>
      <c r="BI167" s="21"/>
    </row>
    <row r="168" spans="1:61" ht="15.6" x14ac:dyDescent="0.3">
      <c r="A168" s="5" t="s">
        <v>305</v>
      </c>
      <c r="B168" s="5" t="s">
        <v>321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21"/>
    </row>
    <row r="169" spans="1:61" ht="15.6" x14ac:dyDescent="0.3">
      <c r="A169" s="5" t="s">
        <v>307</v>
      </c>
      <c r="B169" s="5" t="s">
        <v>322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21"/>
    </row>
    <row r="170" spans="1:61" ht="15.6" x14ac:dyDescent="0.3">
      <c r="A170" s="5" t="s">
        <v>323</v>
      </c>
      <c r="B170" s="5" t="s">
        <v>324</v>
      </c>
      <c r="C170" s="7">
        <v>4</v>
      </c>
      <c r="D170" s="7">
        <v>4</v>
      </c>
      <c r="E170" s="7">
        <v>1852.69</v>
      </c>
      <c r="F170" s="7">
        <v>38.697000000000003</v>
      </c>
      <c r="G170" s="7">
        <v>0</v>
      </c>
      <c r="H170" s="7">
        <v>0</v>
      </c>
      <c r="I170" s="7">
        <v>1.093</v>
      </c>
      <c r="J170" s="7">
        <v>0</v>
      </c>
      <c r="K170" s="7">
        <v>0</v>
      </c>
      <c r="L170" s="7">
        <v>2989.6030000000001</v>
      </c>
      <c r="M170" s="7">
        <v>931.94299999999998</v>
      </c>
      <c r="N170" s="7">
        <v>0</v>
      </c>
      <c r="O170" s="7">
        <v>0</v>
      </c>
      <c r="P170" s="7">
        <v>7.0000000000000001E-3</v>
      </c>
      <c r="Q170" s="7">
        <v>0</v>
      </c>
      <c r="R170" s="7">
        <v>0</v>
      </c>
      <c r="S170" s="7">
        <v>12.51</v>
      </c>
      <c r="T170" s="7">
        <v>0</v>
      </c>
      <c r="U170" s="7">
        <v>0</v>
      </c>
      <c r="V170" s="7">
        <v>0</v>
      </c>
      <c r="W170" s="7">
        <v>4.4669999999999996</v>
      </c>
      <c r="X170" s="7">
        <v>0</v>
      </c>
      <c r="Y170" s="7">
        <v>352.73399999999998</v>
      </c>
      <c r="Z170" s="7">
        <v>0</v>
      </c>
      <c r="AA170" s="7">
        <v>11.347</v>
      </c>
      <c r="AB170" s="7">
        <v>0</v>
      </c>
      <c r="AC170" s="7">
        <v>7.6609999999999996</v>
      </c>
      <c r="AD170" s="7">
        <v>0</v>
      </c>
      <c r="AE170" s="7">
        <v>206.08699999999999</v>
      </c>
      <c r="AF170" s="7">
        <v>245.303</v>
      </c>
      <c r="AG170" s="7">
        <v>0</v>
      </c>
      <c r="AH170" s="7">
        <v>4651.03</v>
      </c>
      <c r="AI170" s="7">
        <v>386.74200000000002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7.4480000000000004</v>
      </c>
      <c r="AP170" s="7">
        <v>0</v>
      </c>
      <c r="AQ170" s="7">
        <v>93.813000000000002</v>
      </c>
      <c r="AR170" s="7">
        <v>0</v>
      </c>
      <c r="AS170" s="7">
        <v>9.8000000000000004E-2</v>
      </c>
      <c r="AT170" s="7">
        <v>0</v>
      </c>
      <c r="AU170" s="7">
        <v>0.75800000000000001</v>
      </c>
      <c r="AV170" s="7">
        <v>0</v>
      </c>
      <c r="AW170" s="7">
        <v>0</v>
      </c>
      <c r="AX170" s="7">
        <v>0</v>
      </c>
      <c r="AY170" s="7">
        <v>4.1790000000000003</v>
      </c>
      <c r="AZ170" s="7">
        <v>164.417</v>
      </c>
      <c r="BA170" s="7">
        <v>0</v>
      </c>
      <c r="BB170" s="7">
        <v>3.347</v>
      </c>
      <c r="BC170" s="7">
        <v>0</v>
      </c>
      <c r="BD170" s="7">
        <v>208.21299999999999</v>
      </c>
      <c r="BE170" s="7">
        <v>0.95199999999999996</v>
      </c>
      <c r="BF170" s="7">
        <v>72.679000000000002</v>
      </c>
      <c r="BG170" s="7">
        <v>0</v>
      </c>
      <c r="BH170" s="7">
        <v>0</v>
      </c>
      <c r="BI170" s="21"/>
    </row>
    <row r="171" spans="1:61" ht="15.6" x14ac:dyDescent="0.3">
      <c r="A171" s="5" t="s">
        <v>325</v>
      </c>
      <c r="B171" s="5" t="s">
        <v>326</v>
      </c>
      <c r="C171" s="7">
        <v>4</v>
      </c>
      <c r="D171" s="7">
        <v>4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21"/>
    </row>
    <row r="172" spans="1:61" ht="15.6" x14ac:dyDescent="0.3">
      <c r="A172" s="5" t="s">
        <v>327</v>
      </c>
      <c r="B172" s="5" t="s">
        <v>328</v>
      </c>
      <c r="C172" s="7">
        <v>4</v>
      </c>
      <c r="D172" s="7">
        <v>4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21"/>
    </row>
    <row r="173" spans="1:61" ht="15.6" x14ac:dyDescent="0.3">
      <c r="A173" s="5" t="s">
        <v>329</v>
      </c>
      <c r="B173" s="5" t="s">
        <v>330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21"/>
    </row>
    <row r="174" spans="1:61" ht="15.6" x14ac:dyDescent="0.3">
      <c r="A174" s="5" t="s">
        <v>331</v>
      </c>
      <c r="B174" s="5" t="s">
        <v>332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21"/>
    </row>
    <row r="175" spans="1:61" ht="15.6" x14ac:dyDescent="0.3">
      <c r="A175" s="5" t="s">
        <v>333</v>
      </c>
      <c r="B175" s="5" t="s">
        <v>334</v>
      </c>
      <c r="C175" s="7">
        <v>4</v>
      </c>
      <c r="D175" s="7">
        <v>4</v>
      </c>
      <c r="E175" s="7">
        <v>-110.101</v>
      </c>
      <c r="F175" s="7">
        <v>-27.018999999999998</v>
      </c>
      <c r="G175" s="7">
        <v>0</v>
      </c>
      <c r="H175" s="7">
        <v>0</v>
      </c>
      <c r="I175" s="7">
        <v>-1.8340000000000001</v>
      </c>
      <c r="J175" s="7">
        <v>0</v>
      </c>
      <c r="K175" s="7">
        <v>0</v>
      </c>
      <c r="L175" s="7">
        <v>-171.74199999999999</v>
      </c>
      <c r="M175" s="7">
        <v>-97.293999999999997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-7.8529999999999998</v>
      </c>
      <c r="T175" s="7">
        <v>0</v>
      </c>
      <c r="U175" s="7">
        <v>0</v>
      </c>
      <c r="V175" s="7">
        <v>0</v>
      </c>
      <c r="W175" s="7">
        <v>-2.78</v>
      </c>
      <c r="X175" s="7">
        <v>0</v>
      </c>
      <c r="Y175" s="7">
        <v>-17.922000000000001</v>
      </c>
      <c r="Z175" s="7">
        <v>0</v>
      </c>
      <c r="AA175" s="7">
        <v>0</v>
      </c>
      <c r="AB175" s="7">
        <v>0</v>
      </c>
      <c r="AC175" s="7">
        <v>-3.8010000000000002</v>
      </c>
      <c r="AD175" s="7">
        <v>0</v>
      </c>
      <c r="AE175" s="7">
        <v>-0.13100000000000001</v>
      </c>
      <c r="AF175" s="7">
        <v>-56.149000000000001</v>
      </c>
      <c r="AG175" s="7">
        <v>0</v>
      </c>
      <c r="AH175" s="7">
        <v>-1151.7739999999999</v>
      </c>
      <c r="AI175" s="7">
        <v>-95.441000000000003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-6.97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21"/>
    </row>
    <row r="176" spans="1:61" ht="15.6" x14ac:dyDescent="0.3">
      <c r="A176" s="5" t="s">
        <v>335</v>
      </c>
      <c r="B176" s="5" t="s">
        <v>336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21"/>
    </row>
    <row r="177" spans="1:61" ht="15.6" x14ac:dyDescent="0.3">
      <c r="A177" s="5" t="s">
        <v>337</v>
      </c>
      <c r="B177" s="5" t="s">
        <v>338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21"/>
    </row>
    <row r="178" spans="1:61" ht="15.6" x14ac:dyDescent="0.3">
      <c r="A178" s="5" t="s">
        <v>339</v>
      </c>
      <c r="B178" s="5" t="s">
        <v>340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21"/>
    </row>
    <row r="179" spans="1:61" ht="15.6" x14ac:dyDescent="0.3">
      <c r="A179" s="5" t="s">
        <v>341</v>
      </c>
      <c r="B179" s="5" t="s">
        <v>342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21"/>
    </row>
    <row r="180" spans="1:61" ht="15.6" x14ac:dyDescent="0.3">
      <c r="A180" s="5" t="s">
        <v>323</v>
      </c>
      <c r="B180" s="5" t="s">
        <v>343</v>
      </c>
      <c r="C180" s="7">
        <v>6</v>
      </c>
      <c r="D180" s="7">
        <v>6</v>
      </c>
      <c r="E180" s="7">
        <v>1.7999999999999999E-2</v>
      </c>
      <c r="F180" s="7">
        <v>4.0000000000000001E-3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4.4999999999999998E-2</v>
      </c>
      <c r="M180" s="7">
        <v>2E-3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1E-3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8.9999999999999993E-3</v>
      </c>
      <c r="Z180" s="7">
        <v>0</v>
      </c>
      <c r="AA180" s="7">
        <v>1E-3</v>
      </c>
      <c r="AB180" s="7">
        <v>0</v>
      </c>
      <c r="AC180" s="7">
        <v>1E-3</v>
      </c>
      <c r="AD180" s="7">
        <v>0</v>
      </c>
      <c r="AE180" s="7">
        <v>2.5000000000000001E-2</v>
      </c>
      <c r="AF180" s="7">
        <v>2.8000000000000001E-2</v>
      </c>
      <c r="AG180" s="7">
        <v>0</v>
      </c>
      <c r="AH180" s="7">
        <v>7.0999999999999994E-2</v>
      </c>
      <c r="AI180" s="7">
        <v>4.3999999999999997E-2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1E-3</v>
      </c>
      <c r="AP180" s="7">
        <v>0</v>
      </c>
      <c r="AQ180" s="7">
        <v>1.0999999999999999E-2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1E-3</v>
      </c>
      <c r="AZ180" s="7">
        <v>0.02</v>
      </c>
      <c r="BA180" s="7">
        <v>0</v>
      </c>
      <c r="BB180" s="7">
        <v>0</v>
      </c>
      <c r="BC180" s="7">
        <v>0</v>
      </c>
      <c r="BD180" s="7">
        <v>2.5999999999999999E-2</v>
      </c>
      <c r="BE180" s="7">
        <v>0</v>
      </c>
      <c r="BF180" s="7">
        <v>8.9999999999999993E-3</v>
      </c>
      <c r="BG180" s="7">
        <v>0</v>
      </c>
      <c r="BH180" s="7">
        <v>0</v>
      </c>
      <c r="BI180" s="21"/>
    </row>
    <row r="181" spans="1:61" ht="15.6" x14ac:dyDescent="0.3">
      <c r="A181" s="5" t="s">
        <v>325</v>
      </c>
      <c r="B181" s="5" t="s">
        <v>344</v>
      </c>
      <c r="C181" s="7">
        <v>6</v>
      </c>
      <c r="D181" s="7">
        <v>6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21"/>
    </row>
    <row r="182" spans="1:61" ht="15.6" x14ac:dyDescent="0.3">
      <c r="A182" s="5" t="s">
        <v>327</v>
      </c>
      <c r="B182" s="5" t="s">
        <v>345</v>
      </c>
      <c r="C182" s="7">
        <v>6</v>
      </c>
      <c r="D182" s="7">
        <v>6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21"/>
    </row>
    <row r="183" spans="1:61" ht="15.6" x14ac:dyDescent="0.3">
      <c r="A183" s="5" t="s">
        <v>329</v>
      </c>
      <c r="B183" s="5" t="s">
        <v>346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21"/>
    </row>
    <row r="184" spans="1:61" ht="15.6" x14ac:dyDescent="0.3">
      <c r="A184" s="5" t="s">
        <v>331</v>
      </c>
      <c r="B184" s="5" t="s">
        <v>347</v>
      </c>
      <c r="C184" s="7">
        <v>6</v>
      </c>
      <c r="D184" s="7">
        <v>6</v>
      </c>
      <c r="E184" s="7">
        <v>87.724999999999994</v>
      </c>
      <c r="F184" s="7">
        <v>7.6740000000000004</v>
      </c>
      <c r="G184" s="7">
        <v>10.757999999999999</v>
      </c>
      <c r="H184" s="7">
        <v>0</v>
      </c>
      <c r="I184" s="7">
        <v>1.865</v>
      </c>
      <c r="J184" s="7">
        <v>6.5359999999999996</v>
      </c>
      <c r="K184" s="7">
        <v>0</v>
      </c>
      <c r="L184" s="7">
        <v>62.74</v>
      </c>
      <c r="M184" s="7">
        <v>29.035</v>
      </c>
      <c r="N184" s="7">
        <v>0</v>
      </c>
      <c r="O184" s="7">
        <v>0</v>
      </c>
      <c r="P184" s="7">
        <v>0.33600000000000002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1.0920000000000001</v>
      </c>
      <c r="W184" s="7">
        <v>3.286</v>
      </c>
      <c r="X184" s="7">
        <v>0</v>
      </c>
      <c r="Y184" s="7">
        <v>25.920999999999999</v>
      </c>
      <c r="Z184" s="7">
        <v>0</v>
      </c>
      <c r="AA184" s="7">
        <v>8.8360000000000003</v>
      </c>
      <c r="AB184" s="7">
        <v>0</v>
      </c>
      <c r="AC184" s="7">
        <v>1.4079999999999999</v>
      </c>
      <c r="AD184" s="7">
        <v>0</v>
      </c>
      <c r="AE184" s="7">
        <v>84.263999999999996</v>
      </c>
      <c r="AF184" s="7">
        <v>0</v>
      </c>
      <c r="AG184" s="7">
        <v>0</v>
      </c>
      <c r="AH184" s="7">
        <v>184.107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21"/>
    </row>
    <row r="185" spans="1:61" ht="15.6" x14ac:dyDescent="0.3">
      <c r="A185" s="5" t="s">
        <v>333</v>
      </c>
      <c r="B185" s="5" t="s">
        <v>348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21"/>
    </row>
    <row r="186" spans="1:61" ht="15.6" x14ac:dyDescent="0.3">
      <c r="A186" s="5" t="s">
        <v>335</v>
      </c>
      <c r="B186" s="5" t="s">
        <v>349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21"/>
    </row>
    <row r="187" spans="1:61" ht="15.6" x14ac:dyDescent="0.3">
      <c r="A187" s="5" t="s">
        <v>337</v>
      </c>
      <c r="B187" s="5" t="s">
        <v>350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21"/>
    </row>
    <row r="188" spans="1:61" ht="15.6" x14ac:dyDescent="0.3">
      <c r="A188" s="5" t="s">
        <v>339</v>
      </c>
      <c r="B188" s="5" t="s">
        <v>351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21"/>
    </row>
    <row r="189" spans="1:61" ht="15.6" x14ac:dyDescent="0.3">
      <c r="A189" s="5" t="s">
        <v>341</v>
      </c>
      <c r="B189" s="5" t="s">
        <v>352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21"/>
    </row>
    <row r="190" spans="1:61" ht="15.6" x14ac:dyDescent="0.3">
      <c r="A190" s="5" t="s">
        <v>353</v>
      </c>
      <c r="B190" s="5" t="s">
        <v>354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21"/>
    </row>
    <row r="191" spans="1:61" ht="15.6" x14ac:dyDescent="0.3">
      <c r="A191" s="5" t="s">
        <v>355</v>
      </c>
      <c r="B191" s="5" t="s">
        <v>356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21"/>
    </row>
    <row r="192" spans="1:61" ht="15.6" x14ac:dyDescent="0.3">
      <c r="A192" s="5" t="s">
        <v>357</v>
      </c>
      <c r="B192" s="5" t="s">
        <v>358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21"/>
    </row>
    <row r="193" spans="1:61" ht="15.6" x14ac:dyDescent="0.3">
      <c r="A193" s="5" t="s">
        <v>359</v>
      </c>
      <c r="B193" s="5" t="s">
        <v>360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21"/>
    </row>
    <row r="194" spans="1:61" ht="15.6" x14ac:dyDescent="0.3">
      <c r="A194" s="5" t="s">
        <v>361</v>
      </c>
      <c r="B194" s="5" t="s">
        <v>362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21"/>
    </row>
    <row r="195" spans="1:61" ht="15.6" x14ac:dyDescent="0.3">
      <c r="A195" s="5" t="s">
        <v>363</v>
      </c>
      <c r="B195" s="5" t="s">
        <v>364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21"/>
    </row>
    <row r="196" spans="1:61" ht="15.6" x14ac:dyDescent="0.3">
      <c r="A196" s="5" t="s">
        <v>365</v>
      </c>
      <c r="B196" s="5" t="s">
        <v>366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21"/>
    </row>
    <row r="197" spans="1:61" ht="15.6" x14ac:dyDescent="0.3">
      <c r="A197" s="5" t="s">
        <v>367</v>
      </c>
      <c r="B197" s="5" t="s">
        <v>368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21"/>
    </row>
    <row r="198" spans="1:61" ht="15.6" x14ac:dyDescent="0.3">
      <c r="A198" s="5" t="s">
        <v>369</v>
      </c>
      <c r="B198" s="5" t="s">
        <v>370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21"/>
    </row>
    <row r="199" spans="1:61" ht="15.6" x14ac:dyDescent="0.3">
      <c r="A199" s="5" t="s">
        <v>371</v>
      </c>
      <c r="B199" s="5" t="s">
        <v>372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21"/>
    </row>
    <row r="200" spans="1:61" ht="15.6" x14ac:dyDescent="0.3">
      <c r="A200" s="5" t="s">
        <v>373</v>
      </c>
      <c r="B200" s="5" t="s">
        <v>374</v>
      </c>
      <c r="C200" s="7">
        <v>3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21"/>
    </row>
    <row r="201" spans="1:61" ht="15.6" x14ac:dyDescent="0.3">
      <c r="A201" s="5" t="s">
        <v>375</v>
      </c>
      <c r="B201" s="5" t="s">
        <v>376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21"/>
    </row>
    <row r="202" spans="1:61" ht="15.6" x14ac:dyDescent="0.3">
      <c r="A202" s="5" t="s">
        <v>377</v>
      </c>
      <c r="B202" s="5" t="s">
        <v>378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21"/>
    </row>
    <row r="203" spans="1:61" ht="15.6" x14ac:dyDescent="0.3">
      <c r="A203" s="5" t="s">
        <v>379</v>
      </c>
      <c r="B203" s="5" t="s">
        <v>380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21"/>
    </row>
    <row r="204" spans="1:61" ht="15.6" x14ac:dyDescent="0.3">
      <c r="A204" s="5" t="s">
        <v>381</v>
      </c>
      <c r="B204" s="5" t="s">
        <v>382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21"/>
    </row>
    <row r="205" spans="1:61" ht="15.6" x14ac:dyDescent="0.3">
      <c r="A205" s="5" t="s">
        <v>383</v>
      </c>
      <c r="B205" s="5" t="s">
        <v>384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21"/>
    </row>
    <row r="206" spans="1:61" ht="15.6" x14ac:dyDescent="0.3">
      <c r="A206" s="5" t="s">
        <v>385</v>
      </c>
      <c r="B206" s="5" t="s">
        <v>386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21"/>
    </row>
    <row r="207" spans="1:61" ht="15.6" x14ac:dyDescent="0.3">
      <c r="A207" s="5" t="s">
        <v>387</v>
      </c>
      <c r="B207" s="5" t="s">
        <v>388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21"/>
    </row>
    <row r="208" spans="1:61" ht="15.6" x14ac:dyDescent="0.3">
      <c r="A208" s="5" t="s">
        <v>389</v>
      </c>
      <c r="B208" s="5" t="s">
        <v>390</v>
      </c>
      <c r="C208" s="7">
        <v>6</v>
      </c>
      <c r="D208" s="7">
        <v>6</v>
      </c>
      <c r="E208" s="7">
        <v>155.684</v>
      </c>
      <c r="F208" s="7">
        <v>2.33</v>
      </c>
      <c r="G208" s="7">
        <v>37.167999999999999</v>
      </c>
      <c r="H208" s="7">
        <v>0</v>
      </c>
      <c r="I208" s="7">
        <v>0.52800000000000002</v>
      </c>
      <c r="J208" s="7">
        <v>58.223999999999997</v>
      </c>
      <c r="K208" s="7">
        <v>0</v>
      </c>
      <c r="L208" s="7">
        <v>466.30099999999999</v>
      </c>
      <c r="M208" s="7">
        <v>79.254000000000005</v>
      </c>
      <c r="N208" s="7">
        <v>0</v>
      </c>
      <c r="O208" s="7">
        <v>0</v>
      </c>
      <c r="P208" s="7">
        <v>1E-3</v>
      </c>
      <c r="Q208" s="7">
        <v>7.92</v>
      </c>
      <c r="R208" s="7">
        <v>20.289000000000001</v>
      </c>
      <c r="S208" s="7">
        <v>0.83</v>
      </c>
      <c r="T208" s="7">
        <v>0</v>
      </c>
      <c r="U208" s="7">
        <v>0</v>
      </c>
      <c r="V208" s="7">
        <v>0.69599999999999995</v>
      </c>
      <c r="W208" s="7">
        <v>1.633</v>
      </c>
      <c r="X208" s="7">
        <v>0</v>
      </c>
      <c r="Y208" s="7">
        <v>7.0359999999999996</v>
      </c>
      <c r="Z208" s="7">
        <v>0</v>
      </c>
      <c r="AA208" s="7">
        <v>6.766</v>
      </c>
      <c r="AB208" s="7">
        <v>0</v>
      </c>
      <c r="AC208" s="7">
        <v>0.45600000000000002</v>
      </c>
      <c r="AD208" s="7">
        <v>0</v>
      </c>
      <c r="AE208" s="7">
        <v>24.79</v>
      </c>
      <c r="AF208" s="7">
        <v>0</v>
      </c>
      <c r="AG208" s="7">
        <v>0</v>
      </c>
      <c r="AH208" s="7">
        <v>428.971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0.60499999999999998</v>
      </c>
      <c r="AP208" s="7">
        <v>0</v>
      </c>
      <c r="AQ208" s="7">
        <v>0</v>
      </c>
      <c r="AR208" s="7">
        <v>0</v>
      </c>
      <c r="AS208" s="7">
        <v>3.0000000000000001E-3</v>
      </c>
      <c r="AT208" s="7">
        <v>0</v>
      </c>
      <c r="AU208" s="7">
        <v>0.17199999999999999</v>
      </c>
      <c r="AV208" s="7">
        <v>0</v>
      </c>
      <c r="AW208" s="7">
        <v>0</v>
      </c>
      <c r="AX208" s="7">
        <v>0</v>
      </c>
      <c r="AY208" s="7">
        <v>0.76500000000000001</v>
      </c>
      <c r="AZ208" s="7">
        <v>0</v>
      </c>
      <c r="BA208" s="7">
        <v>0</v>
      </c>
      <c r="BB208" s="7">
        <v>0.29199999999999998</v>
      </c>
      <c r="BC208" s="7">
        <v>0.38600000000000001</v>
      </c>
      <c r="BD208" s="7">
        <v>0</v>
      </c>
      <c r="BE208" s="7">
        <v>0.09</v>
      </c>
      <c r="BF208" s="7">
        <v>0</v>
      </c>
      <c r="BG208" s="7">
        <v>0</v>
      </c>
      <c r="BH208" s="7">
        <v>0.126</v>
      </c>
      <c r="BI208" s="21"/>
    </row>
    <row r="209" spans="1:61" ht="15.6" x14ac:dyDescent="0.3">
      <c r="A209" s="5" t="s">
        <v>391</v>
      </c>
      <c r="B209" s="5" t="s">
        <v>392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21"/>
    </row>
    <row r="210" spans="1:61" ht="15.6" x14ac:dyDescent="0.3">
      <c r="A210" s="5" t="s">
        <v>393</v>
      </c>
      <c r="B210" s="5" t="s">
        <v>394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21"/>
    </row>
    <row r="211" spans="1:61" ht="15.6" x14ac:dyDescent="0.3">
      <c r="A211" s="5" t="s">
        <v>395</v>
      </c>
      <c r="B211" s="5" t="s">
        <v>396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21"/>
    </row>
    <row r="212" spans="1:61" ht="15.6" x14ac:dyDescent="0.3">
      <c r="A212" s="5" t="s">
        <v>353</v>
      </c>
      <c r="B212" s="5" t="s">
        <v>397</v>
      </c>
      <c r="C212" s="7">
        <v>6</v>
      </c>
      <c r="D212" s="7">
        <v>6</v>
      </c>
      <c r="E212" s="7">
        <v>1047.6859999999999</v>
      </c>
      <c r="F212" s="7">
        <v>91.649000000000001</v>
      </c>
      <c r="G212" s="7">
        <v>128.47900000000001</v>
      </c>
      <c r="H212" s="7">
        <v>3.0000000000000001E-3</v>
      </c>
      <c r="I212" s="7">
        <v>22.276</v>
      </c>
      <c r="J212" s="7">
        <v>78.055999999999997</v>
      </c>
      <c r="K212" s="7">
        <v>0</v>
      </c>
      <c r="L212" s="7">
        <v>749.303</v>
      </c>
      <c r="M212" s="7">
        <v>346.76600000000002</v>
      </c>
      <c r="N212" s="7">
        <v>0</v>
      </c>
      <c r="O212" s="7">
        <v>0</v>
      </c>
      <c r="P212" s="7">
        <v>4.016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13.045999999999999</v>
      </c>
      <c r="W212" s="7">
        <v>39.241999999999997</v>
      </c>
      <c r="X212" s="7">
        <v>0</v>
      </c>
      <c r="Y212" s="7">
        <v>309.57</v>
      </c>
      <c r="Z212" s="7">
        <v>0</v>
      </c>
      <c r="AA212" s="7">
        <v>105.527</v>
      </c>
      <c r="AB212" s="7">
        <v>0</v>
      </c>
      <c r="AC212" s="7">
        <v>16.809999999999999</v>
      </c>
      <c r="AD212" s="7">
        <v>0</v>
      </c>
      <c r="AE212" s="7">
        <v>1006.352</v>
      </c>
      <c r="AF212" s="7">
        <v>0</v>
      </c>
      <c r="AG212" s="7">
        <v>0</v>
      </c>
      <c r="AH212" s="7">
        <v>2198.7669999999998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21"/>
    </row>
    <row r="213" spans="1:61" ht="15.6" x14ac:dyDescent="0.3">
      <c r="A213" s="5" t="s">
        <v>355</v>
      </c>
      <c r="B213" s="5" t="s">
        <v>398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21"/>
    </row>
    <row r="214" spans="1:61" ht="15.6" x14ac:dyDescent="0.3">
      <c r="A214" s="5" t="s">
        <v>357</v>
      </c>
      <c r="B214" s="5" t="s">
        <v>399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21"/>
    </row>
    <row r="215" spans="1:61" ht="15.6" x14ac:dyDescent="0.3">
      <c r="A215" s="5" t="s">
        <v>359</v>
      </c>
      <c r="B215" s="5" t="s">
        <v>400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21"/>
    </row>
    <row r="216" spans="1:61" ht="15.6" x14ac:dyDescent="0.3">
      <c r="A216" s="5" t="s">
        <v>361</v>
      </c>
      <c r="B216" s="5" t="s">
        <v>401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21"/>
    </row>
    <row r="217" spans="1:61" ht="15.6" x14ac:dyDescent="0.3">
      <c r="A217" s="5" t="s">
        <v>363</v>
      </c>
      <c r="B217" s="5" t="s">
        <v>402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-1E-3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-1E-3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21"/>
    </row>
    <row r="218" spans="1:61" ht="15.6" x14ac:dyDescent="0.3">
      <c r="A218" s="5" t="s">
        <v>365</v>
      </c>
      <c r="B218" s="5" t="s">
        <v>403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21"/>
    </row>
    <row r="219" spans="1:61" ht="15.6" x14ac:dyDescent="0.3">
      <c r="A219" s="5" t="s">
        <v>367</v>
      </c>
      <c r="B219" s="5" t="s">
        <v>404</v>
      </c>
      <c r="C219" s="7">
        <v>6</v>
      </c>
      <c r="D219" s="7">
        <v>6</v>
      </c>
      <c r="E219" s="7">
        <v>76853.620999999999</v>
      </c>
      <c r="F219" s="7">
        <v>16584.605</v>
      </c>
      <c r="G219" s="7">
        <v>0</v>
      </c>
      <c r="H219" s="7">
        <v>0</v>
      </c>
      <c r="I219" s="7">
        <v>318.59100000000001</v>
      </c>
      <c r="J219" s="7">
        <v>0</v>
      </c>
      <c r="K219" s="7">
        <v>0</v>
      </c>
      <c r="L219" s="7">
        <v>192189.649</v>
      </c>
      <c r="M219" s="7">
        <v>8402.9539999999997</v>
      </c>
      <c r="N219" s="7">
        <v>0</v>
      </c>
      <c r="O219" s="7">
        <v>0</v>
      </c>
      <c r="P219" s="7">
        <v>3.4630000000000001</v>
      </c>
      <c r="Q219" s="7">
        <v>0</v>
      </c>
      <c r="R219" s="7">
        <v>0</v>
      </c>
      <c r="S219" s="7">
        <v>5483.8710000000001</v>
      </c>
      <c r="T219" s="7">
        <v>0</v>
      </c>
      <c r="U219" s="7">
        <v>0</v>
      </c>
      <c r="V219" s="7">
        <v>0</v>
      </c>
      <c r="W219" s="7">
        <v>1961.8989999999999</v>
      </c>
      <c r="X219" s="7">
        <v>0</v>
      </c>
      <c r="Y219" s="7">
        <v>39018.601999999999</v>
      </c>
      <c r="Z219" s="7">
        <v>0</v>
      </c>
      <c r="AA219" s="7">
        <v>5975.2870000000003</v>
      </c>
      <c r="AB219" s="7">
        <v>0</v>
      </c>
      <c r="AC219" s="7">
        <v>3500.5070000000001</v>
      </c>
      <c r="AD219" s="7">
        <v>0</v>
      </c>
      <c r="AE219" s="7">
        <v>108503.667</v>
      </c>
      <c r="AF219" s="7">
        <v>121290.906</v>
      </c>
      <c r="AG219" s="7">
        <v>0</v>
      </c>
      <c r="AH219" s="7">
        <v>304560.22899999999</v>
      </c>
      <c r="AI219" s="7">
        <v>190255.984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3922.297</v>
      </c>
      <c r="AP219" s="7">
        <v>0</v>
      </c>
      <c r="AQ219" s="7">
        <v>48422.741000000002</v>
      </c>
      <c r="AR219" s="7">
        <v>0</v>
      </c>
      <c r="AS219" s="7">
        <v>51.636000000000003</v>
      </c>
      <c r="AT219" s="7">
        <v>0</v>
      </c>
      <c r="AU219" s="7">
        <v>400.44</v>
      </c>
      <c r="AV219" s="7">
        <v>0</v>
      </c>
      <c r="AW219" s="7">
        <v>0</v>
      </c>
      <c r="AX219" s="7">
        <v>0</v>
      </c>
      <c r="AY219" s="7">
        <v>2200.6790000000001</v>
      </c>
      <c r="AZ219" s="7">
        <v>86580.936000000002</v>
      </c>
      <c r="BA219" s="7">
        <v>0</v>
      </c>
      <c r="BB219" s="7">
        <v>1762.6790000000001</v>
      </c>
      <c r="BC219" s="7">
        <v>0</v>
      </c>
      <c r="BD219" s="7">
        <v>109643.56200000001</v>
      </c>
      <c r="BE219" s="7">
        <v>501.11399999999998</v>
      </c>
      <c r="BF219" s="7">
        <v>38272.425999999999</v>
      </c>
      <c r="BG219" s="7">
        <v>0</v>
      </c>
      <c r="BH219" s="7">
        <v>0</v>
      </c>
      <c r="BI219" s="21"/>
    </row>
    <row r="220" spans="1:61" ht="15.6" x14ac:dyDescent="0.3">
      <c r="A220" s="5" t="s">
        <v>369</v>
      </c>
      <c r="B220" s="5" t="s">
        <v>405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21"/>
    </row>
    <row r="221" spans="1:61" ht="15.6" x14ac:dyDescent="0.3">
      <c r="A221" s="5" t="s">
        <v>371</v>
      </c>
      <c r="B221" s="5" t="s">
        <v>406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21"/>
    </row>
    <row r="222" spans="1:61" ht="15.6" x14ac:dyDescent="0.3">
      <c r="A222" s="5" t="s">
        <v>373</v>
      </c>
      <c r="B222" s="5" t="s">
        <v>407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21"/>
    </row>
    <row r="223" spans="1:61" ht="15.6" x14ac:dyDescent="0.3">
      <c r="A223" s="5" t="s">
        <v>375</v>
      </c>
      <c r="B223" s="5" t="s">
        <v>408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21"/>
    </row>
    <row r="224" spans="1:61" ht="15.6" x14ac:dyDescent="0.3">
      <c r="A224" s="5" t="s">
        <v>377</v>
      </c>
      <c r="B224" s="5" t="s">
        <v>409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21"/>
    </row>
    <row r="225" spans="1:61" ht="15.6" x14ac:dyDescent="0.3">
      <c r="A225" s="5" t="s">
        <v>379</v>
      </c>
      <c r="B225" s="5" t="s">
        <v>410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21"/>
    </row>
    <row r="226" spans="1:61" ht="15.6" x14ac:dyDescent="0.3">
      <c r="A226" s="5" t="s">
        <v>381</v>
      </c>
      <c r="B226" s="5" t="s">
        <v>411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21"/>
    </row>
    <row r="227" spans="1:61" ht="15.6" x14ac:dyDescent="0.3">
      <c r="A227" s="5" t="s">
        <v>383</v>
      </c>
      <c r="B227" s="5" t="s">
        <v>412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21"/>
    </row>
    <row r="228" spans="1:61" ht="15.6" x14ac:dyDescent="0.3">
      <c r="A228" s="5" t="s">
        <v>385</v>
      </c>
      <c r="B228" s="5" t="s">
        <v>413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21"/>
    </row>
    <row r="229" spans="1:61" ht="15.6" x14ac:dyDescent="0.3">
      <c r="A229" s="5" t="s">
        <v>387</v>
      </c>
      <c r="B229" s="5" t="s">
        <v>414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21"/>
    </row>
    <row r="230" spans="1:61" ht="15.6" x14ac:dyDescent="0.3">
      <c r="A230" s="5" t="s">
        <v>389</v>
      </c>
      <c r="B230" s="5" t="s">
        <v>415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21"/>
    </row>
    <row r="231" spans="1:61" ht="15.6" x14ac:dyDescent="0.3">
      <c r="A231" s="5" t="s">
        <v>391</v>
      </c>
      <c r="B231" s="5" t="s">
        <v>416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21"/>
    </row>
    <row r="232" spans="1:61" ht="15.6" x14ac:dyDescent="0.3">
      <c r="A232" s="5" t="s">
        <v>393</v>
      </c>
      <c r="B232" s="5" t="s">
        <v>417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21"/>
    </row>
    <row r="233" spans="1:61" ht="15.6" x14ac:dyDescent="0.3">
      <c r="A233" s="5" t="s">
        <v>395</v>
      </c>
      <c r="B233" s="5" t="s">
        <v>418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21"/>
    </row>
    <row r="234" spans="1:61" ht="15.6" x14ac:dyDescent="0.3">
      <c r="A234" s="5" t="s">
        <v>419</v>
      </c>
      <c r="B234" s="5" t="s">
        <v>420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21"/>
    </row>
    <row r="235" spans="1:61" ht="15.6" x14ac:dyDescent="0.3">
      <c r="A235" s="5" t="s">
        <v>421</v>
      </c>
      <c r="B235" s="5" t="s">
        <v>422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21"/>
    </row>
    <row r="236" spans="1:61" ht="15.6" x14ac:dyDescent="0.3">
      <c r="A236" s="5" t="s">
        <v>423</v>
      </c>
      <c r="B236" s="5" t="s">
        <v>424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21"/>
    </row>
    <row r="237" spans="1:61" ht="15.6" x14ac:dyDescent="0.3">
      <c r="A237" s="5" t="s">
        <v>425</v>
      </c>
      <c r="B237" s="5" t="s">
        <v>426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21"/>
    </row>
    <row r="238" spans="1:61" ht="15.6" x14ac:dyDescent="0.3">
      <c r="A238" s="5" t="s">
        <v>427</v>
      </c>
      <c r="B238" s="5" t="s">
        <v>428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21"/>
    </row>
    <row r="239" spans="1:61" ht="15.6" x14ac:dyDescent="0.3">
      <c r="A239" s="5" t="s">
        <v>429</v>
      </c>
      <c r="B239" s="5" t="s">
        <v>430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21"/>
    </row>
    <row r="240" spans="1:61" ht="15.6" x14ac:dyDescent="0.3">
      <c r="A240" s="5" t="s">
        <v>431</v>
      </c>
      <c r="B240" s="5" t="s">
        <v>432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21"/>
    </row>
    <row r="241" spans="1:61" ht="15.6" x14ac:dyDescent="0.3">
      <c r="A241" s="5" t="s">
        <v>433</v>
      </c>
      <c r="B241" s="5" t="s">
        <v>434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21"/>
    </row>
    <row r="242" spans="1:61" ht="15.6" x14ac:dyDescent="0.3">
      <c r="A242" s="5" t="s">
        <v>435</v>
      </c>
      <c r="B242" s="5" t="s">
        <v>436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21"/>
    </row>
    <row r="243" spans="1:61" ht="15.6" x14ac:dyDescent="0.3">
      <c r="A243" s="5" t="s">
        <v>437</v>
      </c>
      <c r="B243" s="5" t="s">
        <v>438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21"/>
    </row>
    <row r="244" spans="1:61" ht="15.6" x14ac:dyDescent="0.3">
      <c r="A244" s="5" t="s">
        <v>439</v>
      </c>
      <c r="B244" s="5" t="s">
        <v>440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21"/>
    </row>
    <row r="245" spans="1:61" ht="15.6" x14ac:dyDescent="0.3">
      <c r="A245" s="5" t="s">
        <v>441</v>
      </c>
      <c r="B245" s="5" t="s">
        <v>442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21"/>
    </row>
    <row r="246" spans="1:61" ht="15.6" x14ac:dyDescent="0.3">
      <c r="A246" s="5" t="s">
        <v>443</v>
      </c>
      <c r="B246" s="5" t="s">
        <v>444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21"/>
    </row>
    <row r="247" spans="1:61" ht="15.6" x14ac:dyDescent="0.3">
      <c r="A247" s="5" t="s">
        <v>445</v>
      </c>
      <c r="B247" s="5" t="s">
        <v>446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21"/>
    </row>
    <row r="248" spans="1:61" ht="15.6" x14ac:dyDescent="0.3">
      <c r="A248" s="5" t="s">
        <v>447</v>
      </c>
      <c r="B248" s="5" t="s">
        <v>448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21"/>
    </row>
    <row r="249" spans="1:61" ht="15.6" x14ac:dyDescent="0.3">
      <c r="A249" s="5" t="s">
        <v>449</v>
      </c>
      <c r="B249" s="5" t="s">
        <v>450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21"/>
    </row>
    <row r="250" spans="1:61" ht="15.6" x14ac:dyDescent="0.3">
      <c r="A250" s="5" t="s">
        <v>451</v>
      </c>
      <c r="B250" s="5" t="s">
        <v>452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21"/>
    </row>
    <row r="251" spans="1:61" ht="15.6" x14ac:dyDescent="0.3">
      <c r="A251" s="5" t="s">
        <v>453</v>
      </c>
      <c r="B251" s="5" t="s">
        <v>454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21"/>
    </row>
    <row r="252" spans="1:61" ht="15.6" x14ac:dyDescent="0.3">
      <c r="A252" s="5" t="s">
        <v>455</v>
      </c>
      <c r="B252" s="5" t="s">
        <v>456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221.94900000000001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21"/>
    </row>
    <row r="253" spans="1:61" ht="15.6" x14ac:dyDescent="0.3">
      <c r="A253" s="5" t="s">
        <v>457</v>
      </c>
      <c r="B253" s="5" t="s">
        <v>458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6657.4830000000002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21"/>
    </row>
    <row r="254" spans="1:61" ht="15.6" x14ac:dyDescent="0.3">
      <c r="A254" s="5" t="s">
        <v>459</v>
      </c>
      <c r="B254" s="5" t="s">
        <v>460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21"/>
    </row>
    <row r="255" spans="1:61" ht="15.6" x14ac:dyDescent="0.3">
      <c r="A255" s="5" t="s">
        <v>461</v>
      </c>
      <c r="B255" s="5" t="s">
        <v>462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398.55599999999998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312.71300000000002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21"/>
    </row>
    <row r="256" spans="1:61" ht="15.6" x14ac:dyDescent="0.3">
      <c r="A256" s="5" t="s">
        <v>419</v>
      </c>
      <c r="B256" s="5" t="s">
        <v>463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5.0000000000000001E-3</v>
      </c>
      <c r="J256" s="7">
        <v>0</v>
      </c>
      <c r="K256" s="7">
        <v>0</v>
      </c>
      <c r="L256" s="7">
        <v>0.03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3.5000000000000003E-2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21"/>
    </row>
    <row r="257" spans="1:61" ht="15.6" x14ac:dyDescent="0.3">
      <c r="A257" s="5" t="s">
        <v>421</v>
      </c>
      <c r="B257" s="5" t="s">
        <v>464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21"/>
    </row>
    <row r="258" spans="1:61" ht="15.6" x14ac:dyDescent="0.3">
      <c r="A258" s="5" t="s">
        <v>423</v>
      </c>
      <c r="B258" s="5" t="s">
        <v>465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21"/>
    </row>
    <row r="259" spans="1:61" ht="15.6" x14ac:dyDescent="0.3">
      <c r="A259" s="5" t="s">
        <v>425</v>
      </c>
      <c r="B259" s="5" t="s">
        <v>466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21"/>
    </row>
    <row r="260" spans="1:61" ht="15.6" x14ac:dyDescent="0.3">
      <c r="A260" s="5" t="s">
        <v>427</v>
      </c>
      <c r="B260" s="5" t="s">
        <v>467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21"/>
    </row>
    <row r="261" spans="1:61" ht="15.6" x14ac:dyDescent="0.3">
      <c r="A261" s="5" t="s">
        <v>429</v>
      </c>
      <c r="B261" s="5" t="s">
        <v>468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21"/>
    </row>
    <row r="262" spans="1:61" ht="15.6" x14ac:dyDescent="0.3">
      <c r="A262" s="5" t="s">
        <v>431</v>
      </c>
      <c r="B262" s="5" t="s">
        <v>469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21"/>
    </row>
    <row r="263" spans="1:61" ht="15.6" x14ac:dyDescent="0.3">
      <c r="A263" s="5" t="s">
        <v>433</v>
      </c>
      <c r="B263" s="5" t="s">
        <v>470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21"/>
    </row>
    <row r="264" spans="1:61" ht="15.6" x14ac:dyDescent="0.3">
      <c r="A264" s="5" t="s">
        <v>435</v>
      </c>
      <c r="B264" s="5" t="s">
        <v>471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21"/>
    </row>
    <row r="265" spans="1:61" ht="15.6" x14ac:dyDescent="0.3">
      <c r="A265" s="5" t="s">
        <v>437</v>
      </c>
      <c r="B265" s="5" t="s">
        <v>472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21"/>
    </row>
    <row r="266" spans="1:61" ht="15.6" x14ac:dyDescent="0.3">
      <c r="A266" s="5" t="s">
        <v>439</v>
      </c>
      <c r="B266" s="5" t="s">
        <v>473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21"/>
    </row>
    <row r="267" spans="1:61" ht="15.6" x14ac:dyDescent="0.3">
      <c r="A267" s="5" t="s">
        <v>441</v>
      </c>
      <c r="B267" s="5" t="s">
        <v>474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21"/>
    </row>
    <row r="268" spans="1:61" ht="15.6" x14ac:dyDescent="0.3">
      <c r="A268" s="5" t="s">
        <v>443</v>
      </c>
      <c r="B268" s="5" t="s">
        <v>475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21"/>
    </row>
    <row r="269" spans="1:61" ht="15.6" x14ac:dyDescent="0.3">
      <c r="A269" s="5" t="s">
        <v>445</v>
      </c>
      <c r="B269" s="5" t="s">
        <v>476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21"/>
    </row>
    <row r="270" spans="1:61" ht="15.6" x14ac:dyDescent="0.3">
      <c r="A270" s="5" t="s">
        <v>447</v>
      </c>
      <c r="B270" s="5" t="s">
        <v>477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21"/>
    </row>
    <row r="271" spans="1:61" ht="15.6" x14ac:dyDescent="0.3">
      <c r="A271" s="5" t="s">
        <v>449</v>
      </c>
      <c r="B271" s="5" t="s">
        <v>478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21"/>
    </row>
    <row r="272" spans="1:61" ht="15.6" x14ac:dyDescent="0.3">
      <c r="A272" s="5" t="s">
        <v>451</v>
      </c>
      <c r="B272" s="5" t="s">
        <v>479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21"/>
    </row>
    <row r="273" spans="1:61" ht="15.6" x14ac:dyDescent="0.3">
      <c r="A273" s="5" t="s">
        <v>453</v>
      </c>
      <c r="B273" s="5" t="s">
        <v>480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21"/>
    </row>
    <row r="274" spans="1:61" ht="15.6" x14ac:dyDescent="0.3">
      <c r="A274" s="5" t="s">
        <v>455</v>
      </c>
      <c r="B274" s="5" t="s">
        <v>481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21"/>
    </row>
    <row r="275" spans="1:61" ht="15.6" x14ac:dyDescent="0.3">
      <c r="A275" s="5" t="s">
        <v>457</v>
      </c>
      <c r="B275" s="5" t="s">
        <v>482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21"/>
    </row>
    <row r="276" spans="1:61" ht="15.6" x14ac:dyDescent="0.3">
      <c r="A276" s="5" t="s">
        <v>459</v>
      </c>
      <c r="B276" s="5" t="s">
        <v>483</v>
      </c>
      <c r="C276" s="7">
        <v>6</v>
      </c>
      <c r="D276" s="7">
        <v>6</v>
      </c>
      <c r="E276" s="7">
        <v>2430.8049999999998</v>
      </c>
      <c r="F276" s="7">
        <v>1653.712</v>
      </c>
      <c r="G276" s="7">
        <v>121.14400000000001</v>
      </c>
      <c r="H276" s="7">
        <v>0</v>
      </c>
      <c r="I276" s="7">
        <v>125.879</v>
      </c>
      <c r="J276" s="7">
        <v>1297.6210000000001</v>
      </c>
      <c r="K276" s="7">
        <v>0</v>
      </c>
      <c r="L276" s="7">
        <v>3631.87</v>
      </c>
      <c r="M276" s="7">
        <v>194.91300000000001</v>
      </c>
      <c r="N276" s="7">
        <v>0</v>
      </c>
      <c r="O276" s="7">
        <v>0</v>
      </c>
      <c r="P276" s="7">
        <v>5.0000000000000001E-3</v>
      </c>
      <c r="Q276" s="7">
        <v>0</v>
      </c>
      <c r="R276" s="7">
        <v>0</v>
      </c>
      <c r="S276" s="7">
        <v>711.44100000000003</v>
      </c>
      <c r="T276" s="7">
        <v>0</v>
      </c>
      <c r="U276" s="7">
        <v>0</v>
      </c>
      <c r="V276" s="7">
        <v>262.87400000000002</v>
      </c>
      <c r="W276" s="7">
        <v>2.4580000000000002</v>
      </c>
      <c r="X276" s="7">
        <v>0</v>
      </c>
      <c r="Y276" s="7">
        <v>98.561000000000007</v>
      </c>
      <c r="Z276" s="7">
        <v>0</v>
      </c>
      <c r="AA276" s="7">
        <v>3337.4470000000001</v>
      </c>
      <c r="AB276" s="7">
        <v>0</v>
      </c>
      <c r="AC276" s="7">
        <v>282.20499999999998</v>
      </c>
      <c r="AD276" s="7">
        <v>0</v>
      </c>
      <c r="AE276" s="7">
        <v>868.64800000000002</v>
      </c>
      <c r="AF276" s="7">
        <v>31.062999999999999</v>
      </c>
      <c r="AG276" s="7">
        <v>0</v>
      </c>
      <c r="AH276" s="7">
        <v>5895.0690000000004</v>
      </c>
      <c r="AI276" s="7">
        <v>2.3E-2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755.28499999999997</v>
      </c>
      <c r="AP276" s="7">
        <v>0</v>
      </c>
      <c r="AQ276" s="7">
        <v>4.5759999999999996</v>
      </c>
      <c r="AR276" s="7">
        <v>0</v>
      </c>
      <c r="AS276" s="7">
        <v>2.5350000000000001</v>
      </c>
      <c r="AT276" s="7">
        <v>0</v>
      </c>
      <c r="AU276" s="7">
        <v>0.309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345.77100000000002</v>
      </c>
      <c r="BC276" s="7">
        <v>0</v>
      </c>
      <c r="BD276" s="7">
        <v>0</v>
      </c>
      <c r="BE276" s="7">
        <v>104.76300000000001</v>
      </c>
      <c r="BF276" s="7">
        <v>0</v>
      </c>
      <c r="BG276" s="7">
        <v>0</v>
      </c>
      <c r="BH276" s="7">
        <v>0</v>
      </c>
      <c r="BI276" s="21"/>
    </row>
    <row r="277" spans="1:61" ht="15.6" x14ac:dyDescent="0.3">
      <c r="A277" s="5" t="s">
        <v>461</v>
      </c>
      <c r="B277" s="5" t="s">
        <v>484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21"/>
    </row>
    <row r="278" spans="1:61" ht="15.6" x14ac:dyDescent="0.3">
      <c r="A278" s="5" t="s">
        <v>485</v>
      </c>
      <c r="B278" s="5" t="s">
        <v>486</v>
      </c>
      <c r="C278" s="7">
        <v>5</v>
      </c>
      <c r="D278" s="7">
        <v>5</v>
      </c>
      <c r="E278" s="7">
        <v>179949.67300000001</v>
      </c>
      <c r="F278" s="7">
        <v>0</v>
      </c>
      <c r="G278" s="7">
        <v>13666.367</v>
      </c>
      <c r="H278" s="7">
        <v>12.617000000000001</v>
      </c>
      <c r="I278" s="7">
        <v>0</v>
      </c>
      <c r="J278" s="7">
        <v>43261.148999999998</v>
      </c>
      <c r="K278" s="7">
        <v>9027.4150000000009</v>
      </c>
      <c r="L278" s="7">
        <v>99565.596999999994</v>
      </c>
      <c r="M278" s="7">
        <v>189654.144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3205.7510000000002</v>
      </c>
      <c r="V278" s="7">
        <v>13240.021000000001</v>
      </c>
      <c r="W278" s="7">
        <v>9894.9969999999994</v>
      </c>
      <c r="X278" s="7">
        <v>0</v>
      </c>
      <c r="Y278" s="7">
        <v>49669.216999999997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73034.623000000007</v>
      </c>
      <c r="AF278" s="7">
        <v>7371.44</v>
      </c>
      <c r="AG278" s="7">
        <v>24687.743999999999</v>
      </c>
      <c r="AH278" s="7">
        <v>530842.73600000003</v>
      </c>
      <c r="AI278" s="7">
        <v>142500.755</v>
      </c>
      <c r="AJ278" s="7">
        <v>2.2559999999999998</v>
      </c>
      <c r="AK278" s="7">
        <v>254.49299999999999</v>
      </c>
      <c r="AL278" s="7">
        <v>112.054</v>
      </c>
      <c r="AM278" s="7">
        <v>979.81600000000003</v>
      </c>
      <c r="AN278" s="7">
        <v>107.896</v>
      </c>
      <c r="AO278" s="7">
        <v>0</v>
      </c>
      <c r="AP278" s="7">
        <v>0</v>
      </c>
      <c r="AQ278" s="7">
        <v>23049.791000000001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21"/>
    </row>
    <row r="279" spans="1:61" ht="15.6" x14ac:dyDescent="0.3">
      <c r="A279" s="5" t="s">
        <v>487</v>
      </c>
      <c r="B279" s="5" t="s">
        <v>488</v>
      </c>
      <c r="C279" s="7">
        <v>5</v>
      </c>
      <c r="D279" s="7">
        <v>5</v>
      </c>
      <c r="E279" s="7">
        <v>12916.641</v>
      </c>
      <c r="F279" s="7">
        <v>1129.923</v>
      </c>
      <c r="G279" s="7">
        <v>1583.981</v>
      </c>
      <c r="H279" s="7">
        <v>0</v>
      </c>
      <c r="I279" s="7">
        <v>274.63499999999999</v>
      </c>
      <c r="J279" s="7">
        <v>962.32600000000002</v>
      </c>
      <c r="K279" s="7">
        <v>0</v>
      </c>
      <c r="L279" s="7">
        <v>9237.9449999999997</v>
      </c>
      <c r="M279" s="7">
        <v>4275.1880000000001</v>
      </c>
      <c r="N279" s="7">
        <v>0</v>
      </c>
      <c r="O279" s="7">
        <v>0</v>
      </c>
      <c r="P279" s="7">
        <v>49.506999999999998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160.84700000000001</v>
      </c>
      <c r="W279" s="7">
        <v>483.80099999999999</v>
      </c>
      <c r="X279" s="7">
        <v>0</v>
      </c>
      <c r="Y279" s="7">
        <v>3816.6060000000002</v>
      </c>
      <c r="Z279" s="7">
        <v>0</v>
      </c>
      <c r="AA279" s="7">
        <v>1301.0170000000001</v>
      </c>
      <c r="AB279" s="7">
        <v>0</v>
      </c>
      <c r="AC279" s="7">
        <v>207.24199999999999</v>
      </c>
      <c r="AD279" s="7">
        <v>0</v>
      </c>
      <c r="AE279" s="7">
        <v>12407.047</v>
      </c>
      <c r="AF279" s="7">
        <v>0</v>
      </c>
      <c r="AG279" s="7">
        <v>0</v>
      </c>
      <c r="AH279" s="7">
        <v>27108.010999999999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21"/>
    </row>
    <row r="280" spans="1:61" ht="15.6" x14ac:dyDescent="0.3">
      <c r="A280" s="5" t="s">
        <v>489</v>
      </c>
      <c r="B280" s="5" t="s">
        <v>490</v>
      </c>
      <c r="C280" s="7">
        <v>5</v>
      </c>
      <c r="D280" s="7">
        <v>5</v>
      </c>
      <c r="E280" s="7">
        <v>0</v>
      </c>
      <c r="F280" s="7">
        <v>0</v>
      </c>
      <c r="G280" s="7">
        <v>0</v>
      </c>
      <c r="H280" s="7">
        <v>2460.9229999999998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21"/>
    </row>
    <row r="281" spans="1:61" ht="15.6" x14ac:dyDescent="0.3">
      <c r="A281" s="5" t="s">
        <v>491</v>
      </c>
      <c r="B281" s="5" t="s">
        <v>492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21"/>
    </row>
    <row r="282" spans="1:61" ht="15.6" x14ac:dyDescent="0.3">
      <c r="A282" s="5" t="s">
        <v>493</v>
      </c>
      <c r="B282" s="5" t="s">
        <v>494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21"/>
    </row>
    <row r="283" spans="1:61" ht="15.6" x14ac:dyDescent="0.3">
      <c r="A283" s="5" t="s">
        <v>495</v>
      </c>
      <c r="B283" s="5" t="s">
        <v>496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21"/>
    </row>
    <row r="284" spans="1:61" ht="15.6" x14ac:dyDescent="0.3">
      <c r="A284" s="5" t="s">
        <v>497</v>
      </c>
      <c r="B284" s="5" t="s">
        <v>498</v>
      </c>
      <c r="C284" s="7">
        <v>5</v>
      </c>
      <c r="D284" s="7">
        <v>5</v>
      </c>
      <c r="E284" s="7">
        <v>45679.879000000001</v>
      </c>
      <c r="F284" s="7">
        <v>3995.9870000000001</v>
      </c>
      <c r="G284" s="7">
        <v>5601.7730000000001</v>
      </c>
      <c r="H284" s="7">
        <v>0</v>
      </c>
      <c r="I284" s="7">
        <v>971.25099999999998</v>
      </c>
      <c r="J284" s="7">
        <v>3403.2829999999999</v>
      </c>
      <c r="K284" s="7">
        <v>0</v>
      </c>
      <c r="L284" s="7">
        <v>39714.372000000003</v>
      </c>
      <c r="M284" s="7">
        <v>15119.262000000001</v>
      </c>
      <c r="N284" s="7">
        <v>0</v>
      </c>
      <c r="O284" s="7">
        <v>0</v>
      </c>
      <c r="P284" s="7">
        <v>175.08500000000001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568.83500000000004</v>
      </c>
      <c r="W284" s="7">
        <v>1710.973</v>
      </c>
      <c r="X284" s="7">
        <v>0</v>
      </c>
      <c r="Y284" s="7">
        <v>13497.468999999999</v>
      </c>
      <c r="Z284" s="7">
        <v>0</v>
      </c>
      <c r="AA284" s="7">
        <v>4601.0649999999996</v>
      </c>
      <c r="AB284" s="7">
        <v>0</v>
      </c>
      <c r="AC284" s="7">
        <v>732.91</v>
      </c>
      <c r="AD284" s="7">
        <v>0</v>
      </c>
      <c r="AE284" s="7">
        <v>43877.692999999999</v>
      </c>
      <c r="AF284" s="7">
        <v>0</v>
      </c>
      <c r="AG284" s="7">
        <v>0</v>
      </c>
      <c r="AH284" s="7">
        <v>107999.486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21"/>
    </row>
    <row r="285" spans="1:61" ht="15.6" x14ac:dyDescent="0.3">
      <c r="A285" s="5" t="s">
        <v>499</v>
      </c>
      <c r="B285" s="5" t="s">
        <v>500</v>
      </c>
      <c r="C285" s="7">
        <v>5</v>
      </c>
      <c r="D285" s="7">
        <v>5</v>
      </c>
      <c r="E285" s="7">
        <v>209629.06</v>
      </c>
      <c r="F285" s="7">
        <v>19395.915000000001</v>
      </c>
      <c r="G285" s="7">
        <v>29103.429</v>
      </c>
      <c r="H285" s="7">
        <v>0</v>
      </c>
      <c r="I285" s="7">
        <v>5064.607</v>
      </c>
      <c r="J285" s="7">
        <v>17136.916000000001</v>
      </c>
      <c r="K285" s="7">
        <v>0</v>
      </c>
      <c r="L285" s="7">
        <v>156260.56899999999</v>
      </c>
      <c r="M285" s="7">
        <v>77523.572</v>
      </c>
      <c r="N285" s="7">
        <v>0</v>
      </c>
      <c r="O285" s="7">
        <v>0</v>
      </c>
      <c r="P285" s="7">
        <v>914.995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2413.1260000000002</v>
      </c>
      <c r="W285" s="7">
        <v>7344.46</v>
      </c>
      <c r="X285" s="7">
        <v>0</v>
      </c>
      <c r="Y285" s="7">
        <v>57603.832000000002</v>
      </c>
      <c r="Z285" s="7">
        <v>0</v>
      </c>
      <c r="AA285" s="7">
        <v>19791.978999999999</v>
      </c>
      <c r="AB285" s="7">
        <v>0</v>
      </c>
      <c r="AC285" s="7">
        <v>3109.181</v>
      </c>
      <c r="AD285" s="7">
        <v>0</v>
      </c>
      <c r="AE285" s="7">
        <v>187153.351</v>
      </c>
      <c r="AF285" s="7">
        <v>0</v>
      </c>
      <c r="AG285" s="7">
        <v>0</v>
      </c>
      <c r="AH285" s="7">
        <v>438618.28899999999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3.0000000000000001E-3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21"/>
    </row>
    <row r="286" spans="1:61" ht="15.6" x14ac:dyDescent="0.3">
      <c r="A286" s="5" t="s">
        <v>501</v>
      </c>
      <c r="B286" s="5" t="s">
        <v>502</v>
      </c>
      <c r="C286" s="7">
        <v>5</v>
      </c>
      <c r="D286" s="7">
        <v>5</v>
      </c>
      <c r="E286" s="7">
        <v>1058.194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3196.6039999999998</v>
      </c>
      <c r="M286" s="7">
        <v>154.196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1105.01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2316.797</v>
      </c>
      <c r="AF286" s="7">
        <v>0</v>
      </c>
      <c r="AG286" s="7">
        <v>0</v>
      </c>
      <c r="AH286" s="7">
        <v>6611.9440000000004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21"/>
    </row>
    <row r="287" spans="1:61" ht="15.6" x14ac:dyDescent="0.3">
      <c r="A287" s="5" t="s">
        <v>503</v>
      </c>
      <c r="B287" s="5" t="s">
        <v>504</v>
      </c>
      <c r="C287" s="7">
        <v>5</v>
      </c>
      <c r="D287" s="7">
        <v>5</v>
      </c>
      <c r="E287" s="7">
        <v>47102</v>
      </c>
      <c r="F287" s="7">
        <v>4027.2950000000001</v>
      </c>
      <c r="G287" s="7">
        <v>5645.6620000000003</v>
      </c>
      <c r="H287" s="7">
        <v>0</v>
      </c>
      <c r="I287" s="7">
        <v>978.85799999999995</v>
      </c>
      <c r="J287" s="7">
        <v>3429.9479999999999</v>
      </c>
      <c r="K287" s="7">
        <v>0</v>
      </c>
      <c r="L287" s="7">
        <v>34131.396000000001</v>
      </c>
      <c r="M287" s="7">
        <v>15953.558000000001</v>
      </c>
      <c r="N287" s="7">
        <v>0</v>
      </c>
      <c r="O287" s="7">
        <v>0</v>
      </c>
      <c r="P287" s="7">
        <v>176.46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573.29300000000001</v>
      </c>
      <c r="W287" s="7">
        <v>1724.376</v>
      </c>
      <c r="X287" s="7">
        <v>0</v>
      </c>
      <c r="Y287" s="7">
        <v>13603.227000000001</v>
      </c>
      <c r="Z287" s="7">
        <v>0</v>
      </c>
      <c r="AA287" s="7">
        <v>4637.1149999999998</v>
      </c>
      <c r="AB287" s="7">
        <v>0</v>
      </c>
      <c r="AC287" s="7">
        <v>738.65</v>
      </c>
      <c r="AD287" s="7">
        <v>0</v>
      </c>
      <c r="AE287" s="7">
        <v>44221.487000000001</v>
      </c>
      <c r="AF287" s="7">
        <v>0</v>
      </c>
      <c r="AG287" s="7">
        <v>0</v>
      </c>
      <c r="AH287" s="7">
        <v>97455.433000000005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21"/>
    </row>
    <row r="288" spans="1:61" ht="15.6" x14ac:dyDescent="0.3">
      <c r="A288" s="5" t="s">
        <v>505</v>
      </c>
      <c r="B288" s="5" t="s">
        <v>506</v>
      </c>
      <c r="C288" s="7">
        <v>5</v>
      </c>
      <c r="D288" s="7">
        <v>5</v>
      </c>
      <c r="E288" s="7">
        <v>41235.250999999997</v>
      </c>
      <c r="F288" s="7">
        <v>714.55700000000002</v>
      </c>
      <c r="G288" s="7">
        <v>1001.7</v>
      </c>
      <c r="H288" s="7">
        <v>9992.4959999999992</v>
      </c>
      <c r="I288" s="7">
        <v>173.67699999999999</v>
      </c>
      <c r="J288" s="7">
        <v>608.57000000000005</v>
      </c>
      <c r="K288" s="7">
        <v>0</v>
      </c>
      <c r="L288" s="7">
        <v>58752.468999999997</v>
      </c>
      <c r="M288" s="7">
        <v>9784.9459999999999</v>
      </c>
      <c r="N288" s="7">
        <v>0</v>
      </c>
      <c r="O288" s="7">
        <v>0</v>
      </c>
      <c r="P288" s="7">
        <v>31.309000000000001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101.717</v>
      </c>
      <c r="W288" s="7">
        <v>305.95400000000001</v>
      </c>
      <c r="X288" s="7">
        <v>0</v>
      </c>
      <c r="Y288" s="7">
        <v>19545.644</v>
      </c>
      <c r="Z288" s="7">
        <v>0</v>
      </c>
      <c r="AA288" s="7">
        <v>855.92</v>
      </c>
      <c r="AB288" s="7">
        <v>0</v>
      </c>
      <c r="AC288" s="7">
        <v>131.05699999999999</v>
      </c>
      <c r="AD288" s="7">
        <v>0</v>
      </c>
      <c r="AE288" s="7">
        <v>58461.86</v>
      </c>
      <c r="AF288" s="7">
        <v>0</v>
      </c>
      <c r="AG288" s="7">
        <v>0</v>
      </c>
      <c r="AH288" s="7">
        <v>132883.78200000001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21"/>
    </row>
    <row r="289" spans="1:61" ht="15.6" x14ac:dyDescent="0.3">
      <c r="A289" s="5" t="s">
        <v>507</v>
      </c>
      <c r="B289" s="5" t="s">
        <v>508</v>
      </c>
      <c r="C289" s="7">
        <v>5</v>
      </c>
      <c r="D289" s="7">
        <v>5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21"/>
    </row>
    <row r="290" spans="1:61" ht="15.6" x14ac:dyDescent="0.3">
      <c r="A290" s="5" t="s">
        <v>509</v>
      </c>
      <c r="B290" s="5" t="s">
        <v>510</v>
      </c>
      <c r="C290" s="7">
        <v>5</v>
      </c>
      <c r="D290" s="7">
        <v>5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21"/>
    </row>
    <row r="291" spans="1:61" ht="15.6" x14ac:dyDescent="0.3">
      <c r="A291" s="5" t="s">
        <v>511</v>
      </c>
      <c r="B291" s="5" t="s">
        <v>512</v>
      </c>
      <c r="C291" s="7">
        <v>5</v>
      </c>
      <c r="D291" s="7">
        <v>5</v>
      </c>
      <c r="E291" s="7">
        <v>169580.11199999999</v>
      </c>
      <c r="F291" s="7">
        <v>10373.337</v>
      </c>
      <c r="G291" s="7">
        <v>10581.132</v>
      </c>
      <c r="H291" s="7">
        <v>0</v>
      </c>
      <c r="I291" s="7">
        <v>2162.326</v>
      </c>
      <c r="J291" s="7">
        <v>6452.5540000000001</v>
      </c>
      <c r="K291" s="7">
        <v>0</v>
      </c>
      <c r="L291" s="7">
        <v>95592.066000000006</v>
      </c>
      <c r="M291" s="7">
        <v>28821.9</v>
      </c>
      <c r="N291" s="7">
        <v>0</v>
      </c>
      <c r="O291" s="7">
        <v>0</v>
      </c>
      <c r="P291" s="7">
        <v>115.291</v>
      </c>
      <c r="Q291" s="7">
        <v>0</v>
      </c>
      <c r="R291" s="7">
        <v>21.081</v>
      </c>
      <c r="S291" s="7">
        <v>0</v>
      </c>
      <c r="T291" s="7">
        <v>0</v>
      </c>
      <c r="U291" s="7">
        <v>0</v>
      </c>
      <c r="V291" s="7">
        <v>1864.64</v>
      </c>
      <c r="W291" s="7">
        <v>4816.3410000000003</v>
      </c>
      <c r="X291" s="7">
        <v>0</v>
      </c>
      <c r="Y291" s="7">
        <v>37898.904000000002</v>
      </c>
      <c r="Z291" s="7">
        <v>0</v>
      </c>
      <c r="AA291" s="7">
        <v>18805.382000000001</v>
      </c>
      <c r="AB291" s="7">
        <v>0</v>
      </c>
      <c r="AC291" s="7">
        <v>3504.567</v>
      </c>
      <c r="AD291" s="7">
        <v>0</v>
      </c>
      <c r="AE291" s="7">
        <v>106317.073</v>
      </c>
      <c r="AF291" s="7">
        <v>0</v>
      </c>
      <c r="AG291" s="7">
        <v>0</v>
      </c>
      <c r="AH291" s="7">
        <v>343079.049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21"/>
    </row>
    <row r="292" spans="1:61" ht="15.6" x14ac:dyDescent="0.3">
      <c r="A292" s="5" t="s">
        <v>513</v>
      </c>
      <c r="B292" s="5" t="s">
        <v>514</v>
      </c>
      <c r="C292" s="7">
        <v>5</v>
      </c>
      <c r="D292" s="7">
        <v>5</v>
      </c>
      <c r="E292" s="7">
        <v>149445.696</v>
      </c>
      <c r="F292" s="7">
        <v>7986.9970000000003</v>
      </c>
      <c r="G292" s="7">
        <v>7579.8440000000001</v>
      </c>
      <c r="H292" s="7">
        <v>0</v>
      </c>
      <c r="I292" s="7">
        <v>1613.4939999999999</v>
      </c>
      <c r="J292" s="7">
        <v>4627.0709999999999</v>
      </c>
      <c r="K292" s="7">
        <v>0</v>
      </c>
      <c r="L292" s="7">
        <v>92828.430999999997</v>
      </c>
      <c r="M292" s="7">
        <v>24242.628000000001</v>
      </c>
      <c r="N292" s="7">
        <v>0</v>
      </c>
      <c r="O292" s="7">
        <v>0</v>
      </c>
      <c r="P292" s="7">
        <v>40.200000000000003</v>
      </c>
      <c r="Q292" s="7">
        <v>0</v>
      </c>
      <c r="R292" s="7">
        <v>19.242999999999999</v>
      </c>
      <c r="S292" s="7">
        <v>0</v>
      </c>
      <c r="T292" s="7">
        <v>0</v>
      </c>
      <c r="U292" s="7">
        <v>0</v>
      </c>
      <c r="V292" s="7">
        <v>1491.241</v>
      </c>
      <c r="W292" s="7">
        <v>3762.0329999999999</v>
      </c>
      <c r="X292" s="7">
        <v>0</v>
      </c>
      <c r="Y292" s="7">
        <v>29703.034</v>
      </c>
      <c r="Z292" s="7">
        <v>0</v>
      </c>
      <c r="AA292" s="7">
        <v>15461.800999999999</v>
      </c>
      <c r="AB292" s="7">
        <v>0</v>
      </c>
      <c r="AC292" s="7">
        <v>2927.7440000000001</v>
      </c>
      <c r="AD292" s="7">
        <v>0</v>
      </c>
      <c r="AE292" s="7">
        <v>85188.759000000005</v>
      </c>
      <c r="AF292" s="7">
        <v>0</v>
      </c>
      <c r="AG292" s="7">
        <v>0</v>
      </c>
      <c r="AH292" s="7">
        <v>301220.23800000001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21"/>
    </row>
    <row r="293" spans="1:61" ht="15.6" x14ac:dyDescent="0.3">
      <c r="A293" s="5" t="s">
        <v>515</v>
      </c>
      <c r="B293" s="5" t="s">
        <v>516</v>
      </c>
      <c r="C293" s="7">
        <v>5</v>
      </c>
      <c r="D293" s="7">
        <v>5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21"/>
    </row>
    <row r="294" spans="1:61" ht="15.6" x14ac:dyDescent="0.3">
      <c r="A294" s="5" t="s">
        <v>517</v>
      </c>
      <c r="B294" s="5" t="s">
        <v>518</v>
      </c>
      <c r="C294" s="7">
        <v>5</v>
      </c>
      <c r="D294" s="7">
        <v>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21"/>
    </row>
    <row r="295" spans="1:61" ht="15.6" x14ac:dyDescent="0.3">
      <c r="A295" s="5" t="s">
        <v>519</v>
      </c>
      <c r="B295" s="5" t="s">
        <v>520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21"/>
    </row>
    <row r="296" spans="1:61" ht="15.6" x14ac:dyDescent="0.3">
      <c r="A296" s="5" t="s">
        <v>521</v>
      </c>
      <c r="B296" s="5" t="s">
        <v>522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21"/>
    </row>
    <row r="297" spans="1:61" ht="15.6" x14ac:dyDescent="0.3">
      <c r="A297" s="5" t="s">
        <v>523</v>
      </c>
      <c r="B297" s="5" t="s">
        <v>524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21"/>
    </row>
    <row r="298" spans="1:61" ht="15.6" x14ac:dyDescent="0.3">
      <c r="A298" s="5" t="s">
        <v>525</v>
      </c>
      <c r="B298" s="5" t="s">
        <v>526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21"/>
    </row>
    <row r="299" spans="1:61" ht="15.6" x14ac:dyDescent="0.3">
      <c r="A299" s="5" t="s">
        <v>527</v>
      </c>
      <c r="B299" s="5" t="s">
        <v>528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21"/>
    </row>
    <row r="300" spans="1:61" ht="15.6" x14ac:dyDescent="0.3">
      <c r="A300" s="5" t="s">
        <v>529</v>
      </c>
      <c r="B300" s="5" t="s">
        <v>530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21"/>
    </row>
    <row r="301" spans="1:61" ht="15.6" x14ac:dyDescent="0.3">
      <c r="A301" s="5" t="s">
        <v>531</v>
      </c>
      <c r="B301" s="5" t="s">
        <v>532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21"/>
    </row>
    <row r="302" spans="1:61" ht="15.6" x14ac:dyDescent="0.3">
      <c r="A302" s="5" t="s">
        <v>533</v>
      </c>
      <c r="B302" s="5" t="s">
        <v>534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21"/>
    </row>
    <row r="303" spans="1:61" ht="15.6" x14ac:dyDescent="0.3">
      <c r="A303" s="5" t="s">
        <v>535</v>
      </c>
      <c r="B303" s="5" t="s">
        <v>536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21"/>
    </row>
    <row r="304" spans="1:61" ht="15.6" x14ac:dyDescent="0.3">
      <c r="A304" s="5" t="s">
        <v>537</v>
      </c>
      <c r="B304" s="5" t="s">
        <v>538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21"/>
    </row>
    <row r="305" spans="1:61" ht="15.6" x14ac:dyDescent="0.3">
      <c r="A305" s="5" t="s">
        <v>539</v>
      </c>
      <c r="B305" s="5" t="s">
        <v>540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21"/>
    </row>
    <row r="306" spans="1:61" ht="15.6" x14ac:dyDescent="0.3">
      <c r="A306" s="5" t="s">
        <v>541</v>
      </c>
      <c r="B306" s="5" t="s">
        <v>542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21"/>
    </row>
    <row r="307" spans="1:61" ht="15.6" x14ac:dyDescent="0.3">
      <c r="A307" s="5" t="s">
        <v>543</v>
      </c>
      <c r="B307" s="5" t="s">
        <v>544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21"/>
    </row>
    <row r="308" spans="1:61" ht="15.6" x14ac:dyDescent="0.3">
      <c r="A308" s="5" t="s">
        <v>545</v>
      </c>
      <c r="B308" s="5" t="s">
        <v>546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21"/>
    </row>
    <row r="309" spans="1:61" ht="15.6" x14ac:dyDescent="0.3">
      <c r="A309" s="5" t="s">
        <v>547</v>
      </c>
      <c r="B309" s="5" t="s">
        <v>548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21"/>
    </row>
    <row r="310" spans="1:61" ht="15.6" x14ac:dyDescent="0.3">
      <c r="A310" s="5" t="s">
        <v>549</v>
      </c>
      <c r="B310" s="5" t="s">
        <v>550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21"/>
    </row>
    <row r="311" spans="1:61" ht="15.6" x14ac:dyDescent="0.3">
      <c r="A311" s="5" t="s">
        <v>551</v>
      </c>
      <c r="B311" s="5" t="s">
        <v>552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21"/>
    </row>
    <row r="312" spans="1:61" ht="15.6" x14ac:dyDescent="0.3">
      <c r="A312" s="5" t="s">
        <v>553</v>
      </c>
      <c r="B312" s="5" t="s">
        <v>554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21"/>
    </row>
    <row r="313" spans="1:61" ht="15.6" x14ac:dyDescent="0.3">
      <c r="A313" s="5" t="s">
        <v>555</v>
      </c>
      <c r="B313" s="5" t="s">
        <v>556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21"/>
    </row>
    <row r="314" spans="1:61" ht="15.6" x14ac:dyDescent="0.3">
      <c r="A314" s="5" t="s">
        <v>557</v>
      </c>
      <c r="B314" s="5" t="s">
        <v>558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21"/>
    </row>
    <row r="315" spans="1:61" ht="15.6" x14ac:dyDescent="0.3">
      <c r="A315" s="5" t="s">
        <v>559</v>
      </c>
      <c r="B315" s="5" t="s">
        <v>560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21"/>
    </row>
    <row r="316" spans="1:61" ht="15.6" x14ac:dyDescent="0.3">
      <c r="A316" s="5" t="s">
        <v>561</v>
      </c>
      <c r="B316" s="5" t="s">
        <v>562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21"/>
    </row>
    <row r="317" spans="1:61" ht="15.6" x14ac:dyDescent="0.3">
      <c r="A317" s="5" t="s">
        <v>563</v>
      </c>
      <c r="B317" s="5" t="s">
        <v>564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21"/>
    </row>
    <row r="318" spans="1:61" ht="15.6" x14ac:dyDescent="0.3">
      <c r="A318" s="5" t="s">
        <v>565</v>
      </c>
      <c r="B318" s="5" t="s">
        <v>566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21"/>
    </row>
    <row r="319" spans="1:61" ht="15.6" x14ac:dyDescent="0.3">
      <c r="A319" s="5" t="s">
        <v>567</v>
      </c>
      <c r="B319" s="5" t="s">
        <v>568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21"/>
    </row>
    <row r="320" spans="1:61" ht="15.6" x14ac:dyDescent="0.3">
      <c r="A320" s="5" t="s">
        <v>569</v>
      </c>
      <c r="B320" s="5" t="s">
        <v>570</v>
      </c>
      <c r="C320" s="7">
        <v>5</v>
      </c>
      <c r="D320" s="7">
        <v>5</v>
      </c>
      <c r="E320" s="7">
        <v>-46479.87</v>
      </c>
      <c r="F320" s="7">
        <v>-6376.7709999999997</v>
      </c>
      <c r="G320" s="7">
        <v>0</v>
      </c>
      <c r="H320" s="7">
        <v>0</v>
      </c>
      <c r="I320" s="7">
        <v>-176.60599999999999</v>
      </c>
      <c r="J320" s="7">
        <v>0</v>
      </c>
      <c r="K320" s="7">
        <v>0</v>
      </c>
      <c r="L320" s="7">
        <v>-96957.764999999999</v>
      </c>
      <c r="M320" s="7">
        <v>-2940.52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-2054.096</v>
      </c>
      <c r="T320" s="7">
        <v>0</v>
      </c>
      <c r="U320" s="7">
        <v>0</v>
      </c>
      <c r="V320" s="7">
        <v>0</v>
      </c>
      <c r="W320" s="7">
        <v>-691.29899999999998</v>
      </c>
      <c r="X320" s="7">
        <v>0</v>
      </c>
      <c r="Y320" s="7">
        <v>-22959.128000000001</v>
      </c>
      <c r="Z320" s="7">
        <v>0</v>
      </c>
      <c r="AA320" s="7">
        <v>-3945.279</v>
      </c>
      <c r="AB320" s="7">
        <v>0</v>
      </c>
      <c r="AC320" s="7">
        <v>-1322.7470000000001</v>
      </c>
      <c r="AD320" s="7">
        <v>0</v>
      </c>
      <c r="AE320" s="7">
        <v>-65020.946000000004</v>
      </c>
      <c r="AF320" s="7">
        <v>-59163.550999999999</v>
      </c>
      <c r="AG320" s="7">
        <v>0</v>
      </c>
      <c r="AH320" s="7">
        <v>-171672.92300000001</v>
      </c>
      <c r="AI320" s="7">
        <v>-85723.661999999997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-2033.251</v>
      </c>
      <c r="AP320" s="7">
        <v>0</v>
      </c>
      <c r="AQ320" s="7">
        <v>-24043.335999999999</v>
      </c>
      <c r="AR320" s="7">
        <v>0</v>
      </c>
      <c r="AS320" s="7">
        <v>-20.794</v>
      </c>
      <c r="AT320" s="7">
        <v>0</v>
      </c>
      <c r="AU320" s="7">
        <v>-131.43100000000001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-943.33100000000002</v>
      </c>
      <c r="BC320" s="7">
        <v>0</v>
      </c>
      <c r="BD320" s="7">
        <v>0</v>
      </c>
      <c r="BE320" s="7">
        <v>-289.267</v>
      </c>
      <c r="BF320" s="7">
        <v>0</v>
      </c>
      <c r="BG320" s="7">
        <v>0</v>
      </c>
      <c r="BH320" s="7">
        <v>0</v>
      </c>
      <c r="BI320" s="21"/>
    </row>
    <row r="321" spans="1:61" ht="15.6" x14ac:dyDescent="0.3">
      <c r="A321" s="5" t="s">
        <v>571</v>
      </c>
      <c r="B321" s="5" t="s">
        <v>572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21"/>
    </row>
    <row r="322" spans="1:61" ht="15.6" x14ac:dyDescent="0.3">
      <c r="A322" s="5" t="s">
        <v>573</v>
      </c>
      <c r="B322" s="5" t="s">
        <v>574</v>
      </c>
      <c r="C322" s="7">
        <v>5</v>
      </c>
      <c r="D322" s="7">
        <v>5</v>
      </c>
      <c r="E322" s="7">
        <v>-55623.8</v>
      </c>
      <c r="F322" s="7">
        <v>-7631.27</v>
      </c>
      <c r="G322" s="7">
        <v>0</v>
      </c>
      <c r="H322" s="7">
        <v>0</v>
      </c>
      <c r="I322" s="7">
        <v>-211.34899999999999</v>
      </c>
      <c r="J322" s="7">
        <v>0</v>
      </c>
      <c r="K322" s="7">
        <v>0</v>
      </c>
      <c r="L322" s="7">
        <v>-116032.16</v>
      </c>
      <c r="M322" s="7">
        <v>-3519.0039999999999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-2458.1970000000001</v>
      </c>
      <c r="T322" s="7">
        <v>0</v>
      </c>
      <c r="U322" s="7">
        <v>0</v>
      </c>
      <c r="V322" s="7">
        <v>0</v>
      </c>
      <c r="W322" s="7">
        <v>-827.29600000000005</v>
      </c>
      <c r="X322" s="7">
        <v>0</v>
      </c>
      <c r="Y322" s="7">
        <v>-27475.85</v>
      </c>
      <c r="Z322" s="7">
        <v>0</v>
      </c>
      <c r="AA322" s="7">
        <v>-4721.4290000000001</v>
      </c>
      <c r="AB322" s="7">
        <v>0</v>
      </c>
      <c r="AC322" s="7">
        <v>-1582.9690000000001</v>
      </c>
      <c r="AD322" s="7">
        <v>0</v>
      </c>
      <c r="AE322" s="7">
        <v>-77812.447</v>
      </c>
      <c r="AF322" s="7">
        <v>-70802.732999999993</v>
      </c>
      <c r="AG322" s="7">
        <v>0</v>
      </c>
      <c r="AH322" s="7">
        <v>-205445.948</v>
      </c>
      <c r="AI322" s="7">
        <v>-102587.985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-2433.2510000000002</v>
      </c>
      <c r="AP322" s="7">
        <v>0</v>
      </c>
      <c r="AQ322" s="7">
        <v>-28773.353999999999</v>
      </c>
      <c r="AR322" s="7">
        <v>0</v>
      </c>
      <c r="AS322" s="7">
        <v>-24.882999999999999</v>
      </c>
      <c r="AT322" s="7">
        <v>0</v>
      </c>
      <c r="AU322" s="7">
        <v>-157.28700000000001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-1128.913</v>
      </c>
      <c r="BC322" s="7">
        <v>0</v>
      </c>
      <c r="BD322" s="7">
        <v>0</v>
      </c>
      <c r="BE322" s="7">
        <v>-346.17500000000001</v>
      </c>
      <c r="BF322" s="7">
        <v>0</v>
      </c>
      <c r="BG322" s="7">
        <v>0</v>
      </c>
      <c r="BH322" s="7">
        <v>0</v>
      </c>
      <c r="BI322" s="21"/>
    </row>
    <row r="323" spans="1:61" ht="15.6" x14ac:dyDescent="0.3">
      <c r="A323" s="5" t="s">
        <v>575</v>
      </c>
      <c r="B323" s="5" t="s">
        <v>576</v>
      </c>
      <c r="C323" s="7">
        <v>6</v>
      </c>
      <c r="D323" s="7">
        <v>6</v>
      </c>
      <c r="E323" s="7">
        <v>54.396000000000001</v>
      </c>
      <c r="F323" s="7">
        <v>0</v>
      </c>
      <c r="G323" s="7">
        <v>0</v>
      </c>
      <c r="H323" s="7">
        <v>0</v>
      </c>
      <c r="I323" s="7">
        <v>76.753</v>
      </c>
      <c r="J323" s="7">
        <v>0</v>
      </c>
      <c r="K323" s="7">
        <v>0</v>
      </c>
      <c r="L323" s="7">
        <v>16125.24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21"/>
    </row>
    <row r="324" spans="1:61" ht="15.6" x14ac:dyDescent="0.3">
      <c r="A324" s="5" t="s">
        <v>577</v>
      </c>
      <c r="B324" s="5" t="s">
        <v>578</v>
      </c>
      <c r="C324" s="7">
        <v>6</v>
      </c>
      <c r="D324" s="7">
        <v>6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21"/>
    </row>
    <row r="325" spans="1:61" ht="15.6" x14ac:dyDescent="0.3">
      <c r="A325" s="5" t="s">
        <v>579</v>
      </c>
      <c r="B325" s="5" t="s">
        <v>580</v>
      </c>
      <c r="C325" s="7">
        <v>6</v>
      </c>
      <c r="D325" s="7">
        <v>6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21"/>
    </row>
    <row r="326" spans="1:61" ht="15.6" x14ac:dyDescent="0.3">
      <c r="A326" s="5" t="s">
        <v>581</v>
      </c>
      <c r="B326" s="5" t="s">
        <v>582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21"/>
    </row>
    <row r="327" spans="1:61" ht="15.6" x14ac:dyDescent="0.3">
      <c r="A327" s="5" t="s">
        <v>583</v>
      </c>
      <c r="B327" s="5" t="s">
        <v>584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21"/>
    </row>
    <row r="328" spans="1:61" ht="15.6" x14ac:dyDescent="0.3">
      <c r="A328" s="5" t="s">
        <v>585</v>
      </c>
      <c r="B328" s="5" t="s">
        <v>586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21"/>
    </row>
    <row r="329" spans="1:61" ht="15.6" x14ac:dyDescent="0.3">
      <c r="A329" s="5" t="s">
        <v>587</v>
      </c>
      <c r="B329" s="5" t="s">
        <v>588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21"/>
    </row>
    <row r="330" spans="1:61" ht="15.6" x14ac:dyDescent="0.3">
      <c r="A330" s="5" t="s">
        <v>589</v>
      </c>
      <c r="B330" s="5" t="s">
        <v>590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21"/>
    </row>
    <row r="331" spans="1:61" ht="15.6" x14ac:dyDescent="0.3">
      <c r="A331" s="5" t="s">
        <v>591</v>
      </c>
      <c r="B331" s="5" t="s">
        <v>592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21"/>
    </row>
    <row r="332" spans="1:61" ht="15.6" x14ac:dyDescent="0.3">
      <c r="A332" s="5" t="s">
        <v>593</v>
      </c>
      <c r="B332" s="5" t="s">
        <v>594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21"/>
    </row>
    <row r="333" spans="1:61" ht="15.6" x14ac:dyDescent="0.3">
      <c r="A333" s="5" t="s">
        <v>595</v>
      </c>
      <c r="B333" s="5" t="s">
        <v>596</v>
      </c>
      <c r="C333" s="7">
        <v>6</v>
      </c>
      <c r="D333" s="7">
        <v>6</v>
      </c>
      <c r="E333" s="7">
        <v>40703.769999999997</v>
      </c>
      <c r="F333" s="7">
        <v>2662.7930000000001</v>
      </c>
      <c r="G333" s="7">
        <v>2281.4989999999998</v>
      </c>
      <c r="H333" s="7">
        <v>1495.7940000000001</v>
      </c>
      <c r="I333" s="7">
        <v>489.42</v>
      </c>
      <c r="J333" s="7">
        <v>1441.1759999999999</v>
      </c>
      <c r="K333" s="7">
        <v>0</v>
      </c>
      <c r="L333" s="7">
        <v>23023.493999999999</v>
      </c>
      <c r="M333" s="7">
        <v>6279.0079999999998</v>
      </c>
      <c r="N333" s="7">
        <v>0</v>
      </c>
      <c r="O333" s="7">
        <v>0</v>
      </c>
      <c r="P333" s="7">
        <v>15.395</v>
      </c>
      <c r="Q333" s="7">
        <v>0</v>
      </c>
      <c r="R333" s="7">
        <v>13.007999999999999</v>
      </c>
      <c r="S333" s="7">
        <v>3.4089999999999998</v>
      </c>
      <c r="T333" s="7">
        <v>0</v>
      </c>
      <c r="U333" s="7">
        <v>0</v>
      </c>
      <c r="V333" s="7">
        <v>433.77600000000001</v>
      </c>
      <c r="W333" s="7">
        <v>1101.626</v>
      </c>
      <c r="X333" s="7">
        <v>5.1999999999999998E-2</v>
      </c>
      <c r="Y333" s="7">
        <v>8951.7890000000007</v>
      </c>
      <c r="Z333" s="7">
        <v>0</v>
      </c>
      <c r="AA333" s="7">
        <v>4522.2250000000004</v>
      </c>
      <c r="AB333" s="7">
        <v>0.47899999999999998</v>
      </c>
      <c r="AC333" s="7">
        <v>844.02700000000004</v>
      </c>
      <c r="AD333" s="7">
        <v>0.33200000000000002</v>
      </c>
      <c r="AE333" s="7">
        <v>23909.276999999998</v>
      </c>
      <c r="AF333" s="7">
        <v>268.76</v>
      </c>
      <c r="AG333" s="7">
        <v>1.2090000000000001</v>
      </c>
      <c r="AH333" s="7">
        <v>81968.728000000003</v>
      </c>
      <c r="AI333" s="7">
        <v>125.71299999999999</v>
      </c>
      <c r="AJ333" s="7">
        <v>0</v>
      </c>
      <c r="AK333" s="7">
        <v>4.4939999999999998</v>
      </c>
      <c r="AL333" s="7">
        <v>11.792999999999999</v>
      </c>
      <c r="AM333" s="7">
        <v>0</v>
      </c>
      <c r="AN333" s="7">
        <v>10.425000000000001</v>
      </c>
      <c r="AO333" s="7">
        <v>2.4390000000000001</v>
      </c>
      <c r="AP333" s="7">
        <v>61.344000000000001</v>
      </c>
      <c r="AQ333" s="7">
        <v>30.105</v>
      </c>
      <c r="AR333" s="7">
        <v>15.295999999999999</v>
      </c>
      <c r="AS333" s="7">
        <v>3.2000000000000001E-2</v>
      </c>
      <c r="AT333" s="7">
        <v>0</v>
      </c>
      <c r="AU333" s="7">
        <v>19.646999999999998</v>
      </c>
      <c r="AV333" s="7">
        <v>41.018999999999998</v>
      </c>
      <c r="AW333" s="7">
        <v>90.153000000000006</v>
      </c>
      <c r="AX333" s="7">
        <v>0.27500000000000002</v>
      </c>
      <c r="AY333" s="7">
        <v>6.3019999999999996</v>
      </c>
      <c r="AZ333" s="7">
        <v>53.829000000000001</v>
      </c>
      <c r="BA333" s="7">
        <v>0</v>
      </c>
      <c r="BB333" s="7">
        <v>1.0960000000000001</v>
      </c>
      <c r="BC333" s="7">
        <v>0</v>
      </c>
      <c r="BD333" s="7">
        <v>68.168000000000006</v>
      </c>
      <c r="BE333" s="7">
        <v>0.312</v>
      </c>
      <c r="BF333" s="7">
        <v>23.795000000000002</v>
      </c>
      <c r="BG333" s="7">
        <v>0.30199999999999999</v>
      </c>
      <c r="BH333" s="7">
        <v>0</v>
      </c>
      <c r="BI333" s="21"/>
    </row>
    <row r="334" spans="1:61" ht="15.6" x14ac:dyDescent="0.3">
      <c r="A334" s="5" t="s">
        <v>597</v>
      </c>
      <c r="B334" s="5" t="s">
        <v>598</v>
      </c>
      <c r="C334" s="7">
        <v>6</v>
      </c>
      <c r="D334" s="7">
        <v>6</v>
      </c>
      <c r="E334" s="7">
        <v>-33547.266000000003</v>
      </c>
      <c r="F334" s="7">
        <v>-1829.201</v>
      </c>
      <c r="G334" s="7">
        <v>-870.83600000000001</v>
      </c>
      <c r="H334" s="7">
        <v>-15572.489</v>
      </c>
      <c r="I334" s="7">
        <v>-308.30599999999998</v>
      </c>
      <c r="J334" s="7">
        <v>-739.94799999999998</v>
      </c>
      <c r="K334" s="7">
        <v>0</v>
      </c>
      <c r="L334" s="7">
        <v>-18668.433000000001</v>
      </c>
      <c r="M334" s="7">
        <v>-3139.366</v>
      </c>
      <c r="N334" s="7">
        <v>-0.33300000000000002</v>
      </c>
      <c r="O334" s="7">
        <v>-8.6999999999999994E-2</v>
      </c>
      <c r="P334" s="7">
        <v>-71.933000000000007</v>
      </c>
      <c r="Q334" s="7">
        <v>0</v>
      </c>
      <c r="R334" s="7">
        <v>-128.691</v>
      </c>
      <c r="S334" s="7">
        <v>-17.07</v>
      </c>
      <c r="T334" s="7">
        <v>0</v>
      </c>
      <c r="U334" s="7">
        <v>0</v>
      </c>
      <c r="V334" s="7">
        <v>-63.076999999999998</v>
      </c>
      <c r="W334" s="7">
        <v>-180.989</v>
      </c>
      <c r="X334" s="7">
        <v>-8.8260000000000005</v>
      </c>
      <c r="Y334" s="7">
        <v>-9728.1990000000005</v>
      </c>
      <c r="Z334" s="7">
        <v>-0.64900000000000002</v>
      </c>
      <c r="AA334" s="7">
        <v>-1887.451</v>
      </c>
      <c r="AB334" s="7">
        <v>-44.195999999999998</v>
      </c>
      <c r="AC334" s="7">
        <v>-94.941999999999993</v>
      </c>
      <c r="AD334" s="7">
        <v>0</v>
      </c>
      <c r="AE334" s="7">
        <v>-5524.134</v>
      </c>
      <c r="AF334" s="7">
        <v>-52.140999999999998</v>
      </c>
      <c r="AG334" s="7">
        <v>0</v>
      </c>
      <c r="AH334" s="7">
        <v>-34823.728000000003</v>
      </c>
      <c r="AI334" s="7">
        <v>-388.80599999999998</v>
      </c>
      <c r="AJ334" s="7">
        <v>-2.2490000000000001</v>
      </c>
      <c r="AK334" s="7">
        <v>-20.393000000000001</v>
      </c>
      <c r="AL334" s="7">
        <v>-0.69499999999999995</v>
      </c>
      <c r="AM334" s="7">
        <v>0</v>
      </c>
      <c r="AN334" s="7">
        <v>-57.707999999999998</v>
      </c>
      <c r="AO334" s="7">
        <v>-0.88400000000000001</v>
      </c>
      <c r="AP334" s="7">
        <v>0</v>
      </c>
      <c r="AQ334" s="7">
        <v>-10.131</v>
      </c>
      <c r="AR334" s="7">
        <v>0</v>
      </c>
      <c r="AS334" s="7">
        <v>-1.4750000000000001</v>
      </c>
      <c r="AT334" s="7">
        <v>0</v>
      </c>
      <c r="AU334" s="7">
        <v>-0.23400000000000001</v>
      </c>
      <c r="AV334" s="7">
        <v>0</v>
      </c>
      <c r="AW334" s="7">
        <v>0</v>
      </c>
      <c r="AX334" s="7">
        <v>-77.543999999999997</v>
      </c>
      <c r="AY334" s="7">
        <v>0</v>
      </c>
      <c r="AZ334" s="7">
        <v>0</v>
      </c>
      <c r="BA334" s="7">
        <v>0</v>
      </c>
      <c r="BB334" s="7">
        <v>-5.3440000000000003</v>
      </c>
      <c r="BC334" s="7">
        <v>0</v>
      </c>
      <c r="BD334" s="7">
        <v>0</v>
      </c>
      <c r="BE334" s="7">
        <v>-0.185</v>
      </c>
      <c r="BF334" s="7">
        <v>0</v>
      </c>
      <c r="BG334" s="7">
        <v>-76.072999999999993</v>
      </c>
      <c r="BH334" s="7">
        <v>0</v>
      </c>
      <c r="BI334" s="21"/>
    </row>
    <row r="335" spans="1:61" ht="15.6" x14ac:dyDescent="0.3">
      <c r="A335" s="5" t="s">
        <v>599</v>
      </c>
      <c r="B335" s="5" t="s">
        <v>600</v>
      </c>
      <c r="C335" s="7">
        <v>6</v>
      </c>
      <c r="D335" s="7">
        <v>6</v>
      </c>
      <c r="E335" s="7">
        <v>-2313.9969999999998</v>
      </c>
      <c r="F335" s="7">
        <v>-37.031999999999996</v>
      </c>
      <c r="G335" s="7">
        <v>-86.89</v>
      </c>
      <c r="H335" s="7">
        <v>-105.854</v>
      </c>
      <c r="I335" s="7">
        <v>29.776</v>
      </c>
      <c r="J335" s="7">
        <v>-12.441000000000001</v>
      </c>
      <c r="K335" s="7">
        <v>-6.7389999999999999</v>
      </c>
      <c r="L335" s="7">
        <v>-2697.7660000000001</v>
      </c>
      <c r="M335" s="7">
        <v>-195.935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-6.2130000000000001</v>
      </c>
      <c r="V335" s="7">
        <v>-16.925000000000001</v>
      </c>
      <c r="W335" s="7">
        <v>-114.839</v>
      </c>
      <c r="X335" s="7">
        <v>-33.087000000000003</v>
      </c>
      <c r="Y335" s="7">
        <v>-684.11599999999999</v>
      </c>
      <c r="Z335" s="7">
        <v>-5.3920000000000003</v>
      </c>
      <c r="AA335" s="7">
        <v>-101.917</v>
      </c>
      <c r="AB335" s="7">
        <v>-113.607</v>
      </c>
      <c r="AC335" s="7">
        <v>-62.377000000000002</v>
      </c>
      <c r="AD335" s="7">
        <v>-8.4979999999999993</v>
      </c>
      <c r="AE335" s="7">
        <v>-2729.1759999999999</v>
      </c>
      <c r="AF335" s="7">
        <v>-207.46199999999999</v>
      </c>
      <c r="AG335" s="7">
        <v>-38.078000000000003</v>
      </c>
      <c r="AH335" s="7">
        <v>-1881.972</v>
      </c>
      <c r="AI335" s="7">
        <v>-318.58100000000002</v>
      </c>
      <c r="AJ335" s="7">
        <v>-17.8</v>
      </c>
      <c r="AK335" s="7">
        <v>-641.51499999999999</v>
      </c>
      <c r="AL335" s="7">
        <v>-438.36900000000003</v>
      </c>
      <c r="AM335" s="7">
        <v>-34.215000000000003</v>
      </c>
      <c r="AN335" s="7">
        <v>-554.09799999999996</v>
      </c>
      <c r="AO335" s="7">
        <v>-12.743</v>
      </c>
      <c r="AP335" s="7">
        <v>-86.634</v>
      </c>
      <c r="AQ335" s="7">
        <v>-305.32400000000001</v>
      </c>
      <c r="AR335" s="7">
        <v>-10.923</v>
      </c>
      <c r="AS335" s="7">
        <v>0</v>
      </c>
      <c r="AT335" s="7">
        <v>0</v>
      </c>
      <c r="AU335" s="7">
        <v>0</v>
      </c>
      <c r="AV335" s="7">
        <v>-12.247</v>
      </c>
      <c r="AW335" s="7">
        <v>-100.23399999999999</v>
      </c>
      <c r="AX335" s="7">
        <v>-14.624000000000001</v>
      </c>
      <c r="AY335" s="7">
        <v>0</v>
      </c>
      <c r="AZ335" s="7">
        <v>-26.276</v>
      </c>
      <c r="BA335" s="7">
        <v>-7.6219999999999999</v>
      </c>
      <c r="BB335" s="7">
        <v>-2.8039999999999998</v>
      </c>
      <c r="BC335" s="7">
        <v>-4.4880000000000004</v>
      </c>
      <c r="BD335" s="7">
        <v>-48.917000000000002</v>
      </c>
      <c r="BE335" s="7">
        <v>-13.791</v>
      </c>
      <c r="BF335" s="7">
        <v>-163.30099999999999</v>
      </c>
      <c r="BG335" s="7">
        <v>49.073</v>
      </c>
      <c r="BH335" s="7">
        <v>-7.7060000000000004</v>
      </c>
      <c r="BI335" s="21"/>
    </row>
    <row r="336" spans="1:61" ht="15.6" x14ac:dyDescent="0.3">
      <c r="A336" s="5" t="s">
        <v>601</v>
      </c>
      <c r="B336" s="5" t="s">
        <v>602</v>
      </c>
      <c r="C336" s="7">
        <v>6</v>
      </c>
      <c r="D336" s="7">
        <v>6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21"/>
    </row>
    <row r="337" spans="1:61" ht="15.6" x14ac:dyDescent="0.3">
      <c r="A337" s="5" t="s">
        <v>603</v>
      </c>
      <c r="B337" s="5" t="s">
        <v>604</v>
      </c>
      <c r="C337" s="7">
        <v>6</v>
      </c>
      <c r="D337" s="7">
        <v>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 s="21"/>
    </row>
    <row r="338" spans="1:61" ht="15.6" x14ac:dyDescent="0.3">
      <c r="A338" s="5" t="s">
        <v>605</v>
      </c>
      <c r="B338" s="5" t="s">
        <v>606</v>
      </c>
      <c r="C338" s="5"/>
      <c r="D338" s="5"/>
      <c r="E338">
        <v>10709580.375</v>
      </c>
      <c r="F338">
        <v>1104064.7050000001</v>
      </c>
      <c r="G338">
        <v>1076215.933</v>
      </c>
      <c r="H338">
        <v>1144532.466</v>
      </c>
      <c r="I338">
        <v>132896.758</v>
      </c>
      <c r="J338">
        <v>740318.92500000005</v>
      </c>
      <c r="K338">
        <v>249245.18299999999</v>
      </c>
      <c r="L338">
        <v>11638155.363</v>
      </c>
      <c r="M338">
        <v>2841774.7069999999</v>
      </c>
      <c r="N338">
        <v>15783.175999999999</v>
      </c>
      <c r="O338">
        <v>16693.026999999998</v>
      </c>
      <c r="P338">
        <v>16921.249</v>
      </c>
      <c r="Q338">
        <v>15056.808999999999</v>
      </c>
      <c r="R338">
        <v>17222.402999999998</v>
      </c>
      <c r="S338">
        <v>356287.49300000002</v>
      </c>
      <c r="T338">
        <v>1020.131</v>
      </c>
      <c r="U338">
        <v>177200.92499999999</v>
      </c>
      <c r="V338">
        <v>142044.799</v>
      </c>
      <c r="W338">
        <v>277408.65700000001</v>
      </c>
      <c r="X338">
        <v>219883.57500000001</v>
      </c>
      <c r="Y338">
        <v>3168676.014</v>
      </c>
      <c r="Z338">
        <v>78785.831999999995</v>
      </c>
      <c r="AA338">
        <v>1565393.44</v>
      </c>
      <c r="AB338">
        <v>562257.10800000001</v>
      </c>
      <c r="AC338">
        <v>207747.01500000001</v>
      </c>
      <c r="AD338">
        <v>71543.631999999998</v>
      </c>
      <c r="AE338">
        <v>9346823.4690000005</v>
      </c>
      <c r="AF338">
        <v>4280165.108</v>
      </c>
      <c r="AG338">
        <v>377527.04499999998</v>
      </c>
      <c r="AH338">
        <v>24410115.43</v>
      </c>
      <c r="AI338">
        <v>6617491.2300000004</v>
      </c>
      <c r="AJ338">
        <v>390152.005</v>
      </c>
      <c r="AK338">
        <v>9488334.0309999995</v>
      </c>
      <c r="AL338">
        <v>4877590.7539999997</v>
      </c>
      <c r="AM338">
        <v>48658.879999999997</v>
      </c>
      <c r="AN338">
        <v>3235418.6409999998</v>
      </c>
      <c r="AO338">
        <v>256465.53599999999</v>
      </c>
      <c r="AP338">
        <v>124080.63499999999</v>
      </c>
      <c r="AQ338">
        <v>1714689.67</v>
      </c>
      <c r="AR338">
        <v>30160.076000000001</v>
      </c>
      <c r="AS338">
        <v>4045.1849999999999</v>
      </c>
      <c r="AT338">
        <v>0</v>
      </c>
      <c r="AU338">
        <v>84753.156000000003</v>
      </c>
      <c r="AV338">
        <v>81028.733999999997</v>
      </c>
      <c r="AW338">
        <v>181462.69699999999</v>
      </c>
      <c r="AX338">
        <v>301794.902</v>
      </c>
      <c r="AY338">
        <v>134616.59700000001</v>
      </c>
      <c r="AZ338">
        <v>1270833.2760000001</v>
      </c>
      <c r="BA338">
        <v>226566.652</v>
      </c>
      <c r="BB338">
        <v>120169.375</v>
      </c>
      <c r="BC338">
        <v>49760.983999999997</v>
      </c>
      <c r="BD338">
        <v>1576544.675</v>
      </c>
      <c r="BE338">
        <v>35649.353000000003</v>
      </c>
      <c r="BF338">
        <v>549525.36199999996</v>
      </c>
      <c r="BG338">
        <v>213124.87599999999</v>
      </c>
      <c r="BH338">
        <v>15706.507</v>
      </c>
      <c r="BI338" s="21"/>
    </row>
    <row r="339" spans="1:61" x14ac:dyDescent="0.25">
      <c r="BI339" s="21"/>
    </row>
    <row r="340" spans="1:61" ht="15.6" x14ac:dyDescent="0.3">
      <c r="A340" s="5" t="s">
        <v>607</v>
      </c>
      <c r="E340">
        <f t="shared" ref="E340:AW340" si="0">SUM(E5:E337)-E338</f>
        <v>0</v>
      </c>
      <c r="F340">
        <f t="shared" si="0"/>
        <v>0</v>
      </c>
      <c r="G340">
        <f t="shared" si="0"/>
        <v>0</v>
      </c>
      <c r="H340">
        <f t="shared" si="0"/>
        <v>0</v>
      </c>
      <c r="I340">
        <f t="shared" si="0"/>
        <v>0</v>
      </c>
      <c r="J340">
        <f t="shared" si="0"/>
        <v>0</v>
      </c>
      <c r="K340">
        <f t="shared" si="0"/>
        <v>0</v>
      </c>
      <c r="L340">
        <f t="shared" si="0"/>
        <v>0</v>
      </c>
      <c r="M340">
        <f t="shared" si="0"/>
        <v>0</v>
      </c>
      <c r="N340">
        <f t="shared" si="0"/>
        <v>0</v>
      </c>
      <c r="O340">
        <f t="shared" si="0"/>
        <v>0</v>
      </c>
      <c r="P340">
        <f t="shared" si="0"/>
        <v>0</v>
      </c>
      <c r="Q340">
        <f t="shared" si="0"/>
        <v>0</v>
      </c>
      <c r="R340">
        <f t="shared" si="0"/>
        <v>0</v>
      </c>
      <c r="S340">
        <f t="shared" si="0"/>
        <v>0</v>
      </c>
      <c r="T340">
        <f t="shared" si="0"/>
        <v>0</v>
      </c>
      <c r="U340">
        <f t="shared" si="0"/>
        <v>0</v>
      </c>
      <c r="V340">
        <f t="shared" si="0"/>
        <v>0</v>
      </c>
      <c r="W340">
        <f t="shared" si="0"/>
        <v>0</v>
      </c>
      <c r="X340">
        <f t="shared" si="0"/>
        <v>0</v>
      </c>
      <c r="Y340">
        <f t="shared" si="0"/>
        <v>0</v>
      </c>
      <c r="Z340">
        <f t="shared" si="0"/>
        <v>0</v>
      </c>
      <c r="AA340">
        <f t="shared" si="0"/>
        <v>0</v>
      </c>
      <c r="AB340">
        <f t="shared" si="0"/>
        <v>0</v>
      </c>
      <c r="AC340">
        <f t="shared" si="0"/>
        <v>0</v>
      </c>
      <c r="AD340">
        <f t="shared" si="0"/>
        <v>0</v>
      </c>
      <c r="AE340">
        <f t="shared" si="0"/>
        <v>0</v>
      </c>
      <c r="AF340">
        <f t="shared" si="0"/>
        <v>0</v>
      </c>
      <c r="AG340">
        <f t="shared" si="0"/>
        <v>0</v>
      </c>
      <c r="AH340">
        <f t="shared" si="0"/>
        <v>0</v>
      </c>
      <c r="AI340">
        <f t="shared" si="0"/>
        <v>0</v>
      </c>
      <c r="AJ340">
        <f t="shared" si="0"/>
        <v>0</v>
      </c>
      <c r="AK340">
        <f t="shared" si="0"/>
        <v>0</v>
      </c>
      <c r="AL340">
        <f t="shared" si="0"/>
        <v>0</v>
      </c>
      <c r="AM340">
        <f>SUM(AM5:AM337)-AM338</f>
        <v>0</v>
      </c>
      <c r="AN340">
        <f>SUM(AN5:AN337)-AN338</f>
        <v>0</v>
      </c>
      <c r="AO340">
        <f>SUM(AO5:AO337)-AO338</f>
        <v>0</v>
      </c>
      <c r="AP340">
        <f t="shared" si="0"/>
        <v>0</v>
      </c>
      <c r="AQ340">
        <f t="shared" si="0"/>
        <v>0</v>
      </c>
      <c r="AR340">
        <f t="shared" si="0"/>
        <v>0</v>
      </c>
      <c r="AS340">
        <f t="shared" si="0"/>
        <v>0</v>
      </c>
      <c r="AT340">
        <f t="shared" si="0"/>
        <v>0</v>
      </c>
      <c r="AU340">
        <f t="shared" si="0"/>
        <v>0</v>
      </c>
      <c r="AV340">
        <f t="shared" si="0"/>
        <v>0</v>
      </c>
      <c r="AW340">
        <f t="shared" si="0"/>
        <v>0</v>
      </c>
      <c r="AX340">
        <f>SUM(AX5:AX337)-AX338</f>
        <v>0</v>
      </c>
      <c r="AY340">
        <f t="shared" ref="AY340:BH340" si="1">SUM(AY5:AY337)-AY338</f>
        <v>0</v>
      </c>
      <c r="AZ340">
        <f t="shared" si="1"/>
        <v>0</v>
      </c>
      <c r="BA340">
        <f t="shared" si="1"/>
        <v>0</v>
      </c>
      <c r="BB340">
        <f t="shared" si="1"/>
        <v>0</v>
      </c>
      <c r="BC340">
        <f t="shared" si="1"/>
        <v>0</v>
      </c>
      <c r="BD340">
        <f t="shared" si="1"/>
        <v>0</v>
      </c>
      <c r="BE340">
        <f t="shared" si="1"/>
        <v>0</v>
      </c>
      <c r="BF340">
        <f t="shared" si="1"/>
        <v>0</v>
      </c>
      <c r="BG340">
        <f t="shared" si="1"/>
        <v>0</v>
      </c>
      <c r="BH340">
        <f t="shared" si="1"/>
        <v>0</v>
      </c>
      <c r="BI340" s="21"/>
    </row>
    <row r="341" spans="1:61" x14ac:dyDescent="0.25">
      <c r="BI341" s="21"/>
    </row>
    <row r="342" spans="1:61" x14ac:dyDescent="0.25">
      <c r="A342" t="s">
        <v>608</v>
      </c>
      <c r="D342">
        <v>1</v>
      </c>
      <c r="E342" s="16">
        <f t="shared" ref="E342:AW342" si="2">SUMIF($D$4:$D$336,$D$342,E4:E336)</f>
        <v>1345467.1969999997</v>
      </c>
      <c r="F342" s="16">
        <f t="shared" si="2"/>
        <v>156414.38800000001</v>
      </c>
      <c r="G342" s="16">
        <f t="shared" si="2"/>
        <v>48322.725000000006</v>
      </c>
      <c r="H342" s="16">
        <f t="shared" si="2"/>
        <v>-2031.4980000000003</v>
      </c>
      <c r="I342" s="16">
        <f t="shared" si="2"/>
        <v>10954.669999999998</v>
      </c>
      <c r="J342" s="16">
        <f t="shared" si="2"/>
        <v>27626.005999999998</v>
      </c>
      <c r="K342" s="16">
        <f t="shared" si="2"/>
        <v>5924.5820000000003</v>
      </c>
      <c r="L342" s="16">
        <f t="shared" si="2"/>
        <v>2213779.3850000002</v>
      </c>
      <c r="M342" s="16">
        <f t="shared" si="2"/>
        <v>166706.89299999998</v>
      </c>
      <c r="N342" s="16">
        <f>SUMIF($D$4:$D$336,$D$342,N4:N336)</f>
        <v>79.436999999999998</v>
      </c>
      <c r="O342" s="16">
        <f t="shared" si="2"/>
        <v>12637.007</v>
      </c>
      <c r="P342" s="16">
        <f t="shared" si="2"/>
        <v>1056.31</v>
      </c>
      <c r="Q342" s="16">
        <f t="shared" si="2"/>
        <v>6759.9689999999991</v>
      </c>
      <c r="R342" s="16">
        <f t="shared" si="2"/>
        <v>2162.3490000000002</v>
      </c>
      <c r="S342" s="16">
        <f t="shared" si="2"/>
        <v>48481.442999999999</v>
      </c>
      <c r="T342" s="16">
        <f t="shared" si="2"/>
        <v>52.308</v>
      </c>
      <c r="U342" s="16">
        <f t="shared" si="2"/>
        <v>2868.8680000000004</v>
      </c>
      <c r="V342" s="16">
        <f t="shared" si="2"/>
        <v>5069.8429999999998</v>
      </c>
      <c r="W342" s="16">
        <f t="shared" si="2"/>
        <v>22730.155999999999</v>
      </c>
      <c r="X342" s="16">
        <f t="shared" si="2"/>
        <v>105628.53899999999</v>
      </c>
      <c r="Y342" s="16">
        <f t="shared" si="2"/>
        <v>542731.02499999991</v>
      </c>
      <c r="Z342" s="16">
        <f t="shared" si="2"/>
        <v>45314.795999999995</v>
      </c>
      <c r="AA342" s="16">
        <f t="shared" si="2"/>
        <v>142718.31399999998</v>
      </c>
      <c r="AB342" s="16">
        <f t="shared" si="2"/>
        <v>437611.22600000002</v>
      </c>
      <c r="AC342" s="16">
        <f t="shared" si="2"/>
        <v>32655</v>
      </c>
      <c r="AD342" s="16">
        <f t="shared" si="2"/>
        <v>20125.358</v>
      </c>
      <c r="AE342" s="16">
        <f t="shared" si="2"/>
        <v>1636236.2709999999</v>
      </c>
      <c r="AF342" s="16">
        <f t="shared" si="2"/>
        <v>1173531.483</v>
      </c>
      <c r="AG342" s="16">
        <f t="shared" si="2"/>
        <v>127449.61799999999</v>
      </c>
      <c r="AH342" s="16">
        <f t="shared" si="2"/>
        <v>4007206.9140000003</v>
      </c>
      <c r="AI342" s="16">
        <f t="shared" si="2"/>
        <v>1716272.5939999998</v>
      </c>
      <c r="AJ342" s="16">
        <f t="shared" si="2"/>
        <v>216560.21200000003</v>
      </c>
      <c r="AK342" s="16">
        <f t="shared" si="2"/>
        <v>6229498.2850000001</v>
      </c>
      <c r="AL342" s="16">
        <f t="shared" si="2"/>
        <v>3202646.0570000005</v>
      </c>
      <c r="AM342" s="16">
        <f>SUMIF($D$4:$D$336,$D$342,AM4:AM336)</f>
        <v>719.279</v>
      </c>
      <c r="AN342" s="16">
        <f>SUMIF($D$4:$D$336,$D$342,AN4:AN336)</f>
        <v>2124278.7039999999</v>
      </c>
      <c r="AO342" s="16">
        <f>SUMIF($D$4:$D$336,$D$342,AO4:AO336)</f>
        <v>45396.267999999996</v>
      </c>
      <c r="AP342" s="16">
        <f t="shared" si="2"/>
        <v>14239.286</v>
      </c>
      <c r="AQ342" s="16">
        <f t="shared" si="2"/>
        <v>467952.39600000007</v>
      </c>
      <c r="AR342" s="16">
        <f t="shared" si="2"/>
        <v>3071.5590000000002</v>
      </c>
      <c r="AS342" s="16">
        <f t="shared" si="2"/>
        <v>533.73200000000008</v>
      </c>
      <c r="AT342" s="16">
        <f t="shared" si="2"/>
        <v>0</v>
      </c>
      <c r="AU342" s="16">
        <f t="shared" si="2"/>
        <v>13294.494999999999</v>
      </c>
      <c r="AV342" s="16">
        <f t="shared" si="2"/>
        <v>8152.5420000000004</v>
      </c>
      <c r="AW342" s="16">
        <f t="shared" si="2"/>
        <v>20012.133000000002</v>
      </c>
      <c r="AX342" s="16">
        <f>SUMIF($D$4:$D$336,$D$342,AX4:AX336)</f>
        <v>150256.25099999999</v>
      </c>
      <c r="AY342" s="16">
        <f t="shared" ref="AY342:BH342" si="3">SUMIF($D$4:$D$336,$D$342,AY4:AY336)</f>
        <v>4526.7330000000002</v>
      </c>
      <c r="AZ342" s="16">
        <f t="shared" si="3"/>
        <v>35707.673000000003</v>
      </c>
      <c r="BA342" s="16">
        <f t="shared" si="3"/>
        <v>109632.481</v>
      </c>
      <c r="BB342" s="16">
        <f t="shared" si="3"/>
        <v>21728.261999999999</v>
      </c>
      <c r="BC342" s="16">
        <f t="shared" si="3"/>
        <v>1846.4229999999998</v>
      </c>
      <c r="BD342" s="16">
        <f t="shared" si="3"/>
        <v>47873.738000000005</v>
      </c>
      <c r="BE342" s="16">
        <f t="shared" si="3"/>
        <v>6510.4560000000001</v>
      </c>
      <c r="BF342" s="16">
        <f t="shared" si="3"/>
        <v>16210.509</v>
      </c>
      <c r="BG342" s="16">
        <f t="shared" si="3"/>
        <v>128618.80199999998</v>
      </c>
      <c r="BH342" s="16">
        <f t="shared" si="3"/>
        <v>441.26299999999998</v>
      </c>
      <c r="BI342" s="21"/>
    </row>
    <row r="343" spans="1:61" x14ac:dyDescent="0.25">
      <c r="A343" t="s">
        <v>609</v>
      </c>
      <c r="D343">
        <v>2</v>
      </c>
      <c r="E343" s="16">
        <f t="shared" ref="E343:AW343" si="4">SUMIF($D$4:$D$336,$D$343,E4:E336)</f>
        <v>2437605.8670000001</v>
      </c>
      <c r="F343" s="16">
        <f t="shared" si="4"/>
        <v>196658.05400000003</v>
      </c>
      <c r="G343" s="16">
        <f t="shared" si="4"/>
        <v>392775.29</v>
      </c>
      <c r="H343" s="16">
        <f t="shared" si="4"/>
        <v>0</v>
      </c>
      <c r="I343" s="16">
        <f t="shared" si="4"/>
        <v>50534.512999999999</v>
      </c>
      <c r="J343" s="16">
        <f t="shared" si="4"/>
        <v>252340.16699999999</v>
      </c>
      <c r="K343" s="16">
        <f t="shared" si="4"/>
        <v>183457.40099999998</v>
      </c>
      <c r="L343" s="16">
        <f t="shared" si="4"/>
        <v>1192574.8160000001</v>
      </c>
      <c r="M343" s="16">
        <f t="shared" si="4"/>
        <v>641783.34199999995</v>
      </c>
      <c r="N343" s="16">
        <f>SUMIF($D$4:$D$336,$D$343,N4:N336)</f>
        <v>12723.514999999999</v>
      </c>
      <c r="O343" s="16">
        <f t="shared" si="4"/>
        <v>132.07900000000001</v>
      </c>
      <c r="P343" s="16">
        <f t="shared" si="4"/>
        <v>12905.04</v>
      </c>
      <c r="Q343" s="16">
        <f t="shared" si="4"/>
        <v>2418.201</v>
      </c>
      <c r="R343" s="16">
        <f t="shared" si="4"/>
        <v>3311.5910000000003</v>
      </c>
      <c r="S343" s="16">
        <f t="shared" si="4"/>
        <v>61258.520999999993</v>
      </c>
      <c r="T343" s="16">
        <f t="shared" si="4"/>
        <v>967.82299999999998</v>
      </c>
      <c r="U343" s="16">
        <f t="shared" si="4"/>
        <v>133997.171</v>
      </c>
      <c r="V343" s="16">
        <f t="shared" si="4"/>
        <v>39414.114999999998</v>
      </c>
      <c r="W343" s="16">
        <f t="shared" si="4"/>
        <v>63482.305</v>
      </c>
      <c r="X343" s="16">
        <f t="shared" si="4"/>
        <v>25844.013999999999</v>
      </c>
      <c r="Y343" s="16">
        <f t="shared" si="4"/>
        <v>614228.071</v>
      </c>
      <c r="Z343" s="16">
        <f t="shared" si="4"/>
        <v>293.36399999999998</v>
      </c>
      <c r="AA343" s="16">
        <f t="shared" si="4"/>
        <v>512350.82900000003</v>
      </c>
      <c r="AB343" s="16">
        <f t="shared" si="4"/>
        <v>3201.9540000000002</v>
      </c>
      <c r="AC343" s="16">
        <f t="shared" si="4"/>
        <v>29390.029000000002</v>
      </c>
      <c r="AD343" s="16">
        <f t="shared" si="4"/>
        <v>12859.223</v>
      </c>
      <c r="AE343" s="16">
        <f t="shared" si="4"/>
        <v>1748105.6989999998</v>
      </c>
      <c r="AF343" s="16">
        <f t="shared" si="4"/>
        <v>209289.85699999999</v>
      </c>
      <c r="AG343" s="16">
        <f t="shared" si="4"/>
        <v>52769.548000000003</v>
      </c>
      <c r="AH343" s="16">
        <f t="shared" si="4"/>
        <v>3539149.1300000004</v>
      </c>
      <c r="AI343" s="16">
        <f t="shared" si="4"/>
        <v>303245.70199999999</v>
      </c>
      <c r="AJ343" s="16">
        <f t="shared" si="4"/>
        <v>1422.258</v>
      </c>
      <c r="AK343" s="16">
        <f t="shared" si="4"/>
        <v>1215477.96</v>
      </c>
      <c r="AL343" s="16">
        <f t="shared" si="4"/>
        <v>624759.86699999997</v>
      </c>
      <c r="AM343" s="16">
        <f>SUMIF($D$4:$D$336,$D$343,AM4:AM336)</f>
        <v>36796.415000000001</v>
      </c>
      <c r="AN343" s="16">
        <f>SUMIF($D$4:$D$336,$D$343,AN4:AN336)</f>
        <v>414564.89299999998</v>
      </c>
      <c r="AO343" s="16">
        <f>SUMIF($D$4:$D$336,$D$343,AO4:AO336)</f>
        <v>41501.766000000003</v>
      </c>
      <c r="AP343" s="16">
        <f t="shared" si="4"/>
        <v>0</v>
      </c>
      <c r="AQ343" s="16">
        <f t="shared" si="4"/>
        <v>85052.808000000005</v>
      </c>
      <c r="AR343" s="16">
        <f t="shared" si="4"/>
        <v>0</v>
      </c>
      <c r="AS343" s="16">
        <f t="shared" si="4"/>
        <v>1421.223</v>
      </c>
      <c r="AT343" s="16">
        <f t="shared" si="4"/>
        <v>0</v>
      </c>
      <c r="AU343" s="16">
        <f t="shared" si="4"/>
        <v>31728.208999999999</v>
      </c>
      <c r="AV343" s="16">
        <f t="shared" si="4"/>
        <v>0</v>
      </c>
      <c r="AW343" s="16">
        <f t="shared" si="4"/>
        <v>0</v>
      </c>
      <c r="AX343" s="16">
        <f>SUMIF($D$4:$D$336,$D$343,AX4:AX336)</f>
        <v>34285.633999999998</v>
      </c>
      <c r="AY343" s="16">
        <f t="shared" ref="AY343:BH343" si="5">SUMIF($D$4:$D$336,$D$343,AY4:AY336)</f>
        <v>30578.626</v>
      </c>
      <c r="AZ343" s="16">
        <f t="shared" si="5"/>
        <v>0</v>
      </c>
      <c r="BA343" s="16">
        <f t="shared" si="5"/>
        <v>26449.647000000001</v>
      </c>
      <c r="BB343" s="16">
        <f t="shared" si="5"/>
        <v>20381.29</v>
      </c>
      <c r="BC343" s="16">
        <f t="shared" si="5"/>
        <v>13368.408000000001</v>
      </c>
      <c r="BD343" s="16">
        <f t="shared" si="5"/>
        <v>0</v>
      </c>
      <c r="BE343" s="16">
        <f t="shared" si="5"/>
        <v>5852.0970000000007</v>
      </c>
      <c r="BF343" s="16">
        <f t="shared" si="5"/>
        <v>0</v>
      </c>
      <c r="BG343" s="16">
        <f t="shared" si="5"/>
        <v>13922.378000000001</v>
      </c>
      <c r="BH343" s="16">
        <f t="shared" si="5"/>
        <v>4111.1060000000007</v>
      </c>
      <c r="BI343" s="21"/>
    </row>
    <row r="344" spans="1:61" x14ac:dyDescent="0.25">
      <c r="A344" t="s">
        <v>610</v>
      </c>
      <c r="D344">
        <v>3</v>
      </c>
      <c r="E344" s="16">
        <f t="shared" ref="E344:AW344" si="6">SUMIF($D$4:$D$336,$D$344,E4:E336)</f>
        <v>2177959.6349999998</v>
      </c>
      <c r="F344" s="16">
        <f t="shared" si="6"/>
        <v>282025.27300000004</v>
      </c>
      <c r="G344" s="16">
        <f t="shared" si="6"/>
        <v>481416.58599999995</v>
      </c>
      <c r="H344" s="16">
        <f t="shared" si="6"/>
        <v>51245.913</v>
      </c>
      <c r="I344" s="16">
        <f t="shared" si="6"/>
        <v>41197.65</v>
      </c>
      <c r="J344" s="16">
        <f t="shared" si="6"/>
        <v>326332.50900000002</v>
      </c>
      <c r="K344" s="16">
        <f t="shared" si="6"/>
        <v>39037.824999999997</v>
      </c>
      <c r="L344" s="16">
        <f t="shared" si="6"/>
        <v>1018905.5930000001</v>
      </c>
      <c r="M344" s="16">
        <f t="shared" si="6"/>
        <v>948802.26399999997</v>
      </c>
      <c r="N344" s="16">
        <f>SUMIF($D$4:$D$336,$D$344,N4:N336)</f>
        <v>2980.5569999999998</v>
      </c>
      <c r="O344" s="16">
        <f t="shared" si="6"/>
        <v>0</v>
      </c>
      <c r="P344" s="16">
        <f t="shared" si="6"/>
        <v>52.551000000000002</v>
      </c>
      <c r="Q344" s="16">
        <f t="shared" si="6"/>
        <v>4475.6089999999986</v>
      </c>
      <c r="R344" s="16">
        <f t="shared" si="6"/>
        <v>11156.878999999999</v>
      </c>
      <c r="S344" s="16">
        <f t="shared" si="6"/>
        <v>119342.08800000002</v>
      </c>
      <c r="T344" s="16">
        <f t="shared" si="6"/>
        <v>0</v>
      </c>
      <c r="U344" s="16">
        <f t="shared" si="6"/>
        <v>28513.202999999994</v>
      </c>
      <c r="V344" s="16">
        <f t="shared" si="6"/>
        <v>67676.649999999994</v>
      </c>
      <c r="W344" s="16">
        <f t="shared" si="6"/>
        <v>101673.74799999999</v>
      </c>
      <c r="X344" s="16">
        <f t="shared" si="6"/>
        <v>0</v>
      </c>
      <c r="Y344" s="16">
        <f t="shared" si="6"/>
        <v>435116.94400000008</v>
      </c>
      <c r="Z344" s="16">
        <f t="shared" si="6"/>
        <v>5174.95</v>
      </c>
      <c r="AA344" s="16">
        <f t="shared" si="6"/>
        <v>585506.94400000013</v>
      </c>
      <c r="AB344" s="16">
        <f t="shared" si="6"/>
        <v>0</v>
      </c>
      <c r="AC344" s="16">
        <f t="shared" si="6"/>
        <v>50416.743000000002</v>
      </c>
      <c r="AD344" s="16">
        <f t="shared" si="6"/>
        <v>14167.151</v>
      </c>
      <c r="AE344" s="16">
        <f t="shared" si="6"/>
        <v>1233063.6890000002</v>
      </c>
      <c r="AF344" s="16">
        <f t="shared" si="6"/>
        <v>39344.406000000003</v>
      </c>
      <c r="AG344" s="16">
        <f t="shared" si="6"/>
        <v>57511.413999999997</v>
      </c>
      <c r="AH344" s="16">
        <f t="shared" si="6"/>
        <v>2679207.0720000006</v>
      </c>
      <c r="AI344" s="16">
        <f t="shared" si="6"/>
        <v>60799.197999999997</v>
      </c>
      <c r="AJ344" s="16">
        <f t="shared" si="6"/>
        <v>23600.455999999998</v>
      </c>
      <c r="AK344" s="16">
        <f t="shared" si="6"/>
        <v>0</v>
      </c>
      <c r="AL344" s="16">
        <f t="shared" si="6"/>
        <v>0</v>
      </c>
      <c r="AM344" s="16">
        <f>SUMIF($D$4:$D$336,$D$344,AM4:AM336)</f>
        <v>7829.8940000000002</v>
      </c>
      <c r="AN344" s="16">
        <f>SUMIF($D$4:$D$336,$D$344,AN4:AN336)</f>
        <v>0</v>
      </c>
      <c r="AO344" s="16">
        <f>SUMIF($D$4:$D$336,$D$344,AO4:AO336)</f>
        <v>70953.279999999999</v>
      </c>
      <c r="AP344" s="16">
        <f t="shared" si="6"/>
        <v>0</v>
      </c>
      <c r="AQ344" s="16">
        <f t="shared" si="6"/>
        <v>15553.255999999999</v>
      </c>
      <c r="AR344" s="16">
        <f t="shared" si="6"/>
        <v>0</v>
      </c>
      <c r="AS344" s="16">
        <f t="shared" si="6"/>
        <v>903.8130000000001</v>
      </c>
      <c r="AT344" s="16">
        <f t="shared" si="6"/>
        <v>0</v>
      </c>
      <c r="AU344" s="16">
        <f t="shared" si="6"/>
        <v>25728.415000000001</v>
      </c>
      <c r="AV344" s="16">
        <f t="shared" si="6"/>
        <v>0</v>
      </c>
      <c r="AW344" s="16">
        <f t="shared" si="6"/>
        <v>0</v>
      </c>
      <c r="AX344" s="16">
        <f>SUMIF($D$4:$D$336,$D$344,AX4:AX336)</f>
        <v>0</v>
      </c>
      <c r="AY344" s="16">
        <f t="shared" ref="AY344:BH344" si="7">SUMIF($D$4:$D$336,$D$344,AY4:AY336)</f>
        <v>65072.805000000008</v>
      </c>
      <c r="AZ344" s="16">
        <f t="shared" si="7"/>
        <v>27652.517999999996</v>
      </c>
      <c r="BA344" s="16">
        <f t="shared" si="7"/>
        <v>0</v>
      </c>
      <c r="BB344" s="16">
        <f t="shared" si="7"/>
        <v>33144.697999999997</v>
      </c>
      <c r="BC344" s="16">
        <f t="shared" si="7"/>
        <v>32325.937999999998</v>
      </c>
      <c r="BD344" s="16">
        <f t="shared" si="7"/>
        <v>35018.339999999997</v>
      </c>
      <c r="BE344" s="16">
        <f t="shared" si="7"/>
        <v>10065.797999999997</v>
      </c>
      <c r="BF344" s="16">
        <f t="shared" si="7"/>
        <v>12223.580999999998</v>
      </c>
      <c r="BG344" s="16">
        <f t="shared" si="7"/>
        <v>14944.874</v>
      </c>
      <c r="BH344" s="16">
        <f t="shared" si="7"/>
        <v>10460.306999999997</v>
      </c>
      <c r="BI344" s="21"/>
    </row>
    <row r="345" spans="1:61" x14ac:dyDescent="0.25">
      <c r="A345" t="s">
        <v>611</v>
      </c>
      <c r="B345">
        <v>7</v>
      </c>
      <c r="D345">
        <v>4</v>
      </c>
      <c r="E345" s="16">
        <f t="shared" ref="E345:AW345" si="8">SUMIF($D$4:$D$336,$D$345,E4:E336)</f>
        <v>1952856.6039999996</v>
      </c>
      <c r="F345" s="16">
        <f t="shared" si="8"/>
        <v>348926.64999999997</v>
      </c>
      <c r="G345" s="16">
        <f t="shared" si="8"/>
        <v>2825.6710000000003</v>
      </c>
      <c r="H345" s="16">
        <f t="shared" si="8"/>
        <v>73517.884999999995</v>
      </c>
      <c r="I345" s="16">
        <f t="shared" si="8"/>
        <v>8050.5029999999997</v>
      </c>
      <c r="J345" s="16">
        <f t="shared" si="8"/>
        <v>1780.73</v>
      </c>
      <c r="K345" s="16">
        <f t="shared" si="8"/>
        <v>0</v>
      </c>
      <c r="L345" s="16">
        <f t="shared" si="8"/>
        <v>4405567.9060000004</v>
      </c>
      <c r="M345" s="16">
        <f t="shared" si="8"/>
        <v>187164.726</v>
      </c>
      <c r="N345" s="16">
        <f>SUMIF($D$4:$D$336,$D$345,N4:N336)</f>
        <v>0</v>
      </c>
      <c r="O345" s="16">
        <f t="shared" si="8"/>
        <v>3482.652</v>
      </c>
      <c r="P345" s="16">
        <f t="shared" si="8"/>
        <v>43.868000000000002</v>
      </c>
      <c r="Q345" s="16">
        <f t="shared" si="8"/>
        <v>1257.2639999999999</v>
      </c>
      <c r="R345" s="16">
        <f t="shared" si="8"/>
        <v>83.188000000000002</v>
      </c>
      <c r="S345" s="16">
        <f t="shared" si="8"/>
        <v>112093.33599999997</v>
      </c>
      <c r="T345" s="16">
        <f t="shared" si="8"/>
        <v>0</v>
      </c>
      <c r="U345" s="16">
        <f t="shared" si="8"/>
        <v>0</v>
      </c>
      <c r="V345" s="16">
        <f t="shared" si="8"/>
        <v>449.74199999999996</v>
      </c>
      <c r="W345" s="16">
        <f t="shared" si="8"/>
        <v>39475.062999999987</v>
      </c>
      <c r="X345" s="16">
        <f t="shared" si="8"/>
        <v>86326.694000000003</v>
      </c>
      <c r="Y345" s="16">
        <f t="shared" si="8"/>
        <v>961121.73099999991</v>
      </c>
      <c r="Z345" s="16">
        <f t="shared" si="8"/>
        <v>29138.25</v>
      </c>
      <c r="AA345" s="16">
        <f t="shared" si="8"/>
        <v>158000.95199999999</v>
      </c>
      <c r="AB345" s="16">
        <f t="shared" si="8"/>
        <v>105573.072</v>
      </c>
      <c r="AC345" s="16">
        <f t="shared" si="8"/>
        <v>71383.231999999975</v>
      </c>
      <c r="AD345" s="16">
        <f t="shared" si="8"/>
        <v>24356.572</v>
      </c>
      <c r="AE345" s="16">
        <f t="shared" si="8"/>
        <v>2716945.7959999996</v>
      </c>
      <c r="AF345" s="16">
        <f t="shared" si="8"/>
        <v>2731862.220999999</v>
      </c>
      <c r="AG345" s="16">
        <f t="shared" si="8"/>
        <v>112825.61799999999</v>
      </c>
      <c r="AH345" s="16">
        <f t="shared" si="8"/>
        <v>7500068.8799999999</v>
      </c>
      <c r="AI345" s="16">
        <f t="shared" si="8"/>
        <v>4164945.443</v>
      </c>
      <c r="AJ345" s="16">
        <f t="shared" si="8"/>
        <v>154071.38100000002</v>
      </c>
      <c r="AK345" s="16">
        <f t="shared" si="8"/>
        <v>1897380.0349999999</v>
      </c>
      <c r="AL345" s="16">
        <f t="shared" si="8"/>
        <v>975259.88800000004</v>
      </c>
      <c r="AM345" s="16">
        <f>SUMIF($D$4:$D$336,$D$345,AM4:AM336)</f>
        <v>0</v>
      </c>
      <c r="AN345" s="16">
        <f>SUMIF($D$4:$D$336,$D$345,AN4:AN336)</f>
        <v>647142.25800000003</v>
      </c>
      <c r="AO345" s="16">
        <f>SUMIF($D$4:$D$336,$D$345,AO4:AO336)</f>
        <v>90570.155000000013</v>
      </c>
      <c r="AP345" s="16">
        <f t="shared" si="8"/>
        <v>109866.639</v>
      </c>
      <c r="AQ345" s="16">
        <f t="shared" si="8"/>
        <v>1096951.7870000002</v>
      </c>
      <c r="AR345" s="16">
        <f t="shared" si="8"/>
        <v>27084.144</v>
      </c>
      <c r="AS345" s="16">
        <f t="shared" si="8"/>
        <v>1074.6839999999997</v>
      </c>
      <c r="AT345" s="16">
        <f t="shared" si="8"/>
        <v>0</v>
      </c>
      <c r="AU345" s="16">
        <f t="shared" si="8"/>
        <v>12040.058999999997</v>
      </c>
      <c r="AV345" s="16">
        <f t="shared" si="8"/>
        <v>72847.42</v>
      </c>
      <c r="AW345" s="16">
        <f t="shared" si="8"/>
        <v>161460.64499999999</v>
      </c>
      <c r="AX345" s="16">
        <f>SUMIF($D$4:$D$336,$D$345,AX4:AX336)</f>
        <v>114524.22299999998</v>
      </c>
      <c r="AY345" s="16">
        <f t="shared" ref="AY345:BH345" si="9">SUMIF($D$4:$D$336,$D$345,AY4:AY336)</f>
        <v>28162.185000000001</v>
      </c>
      <c r="AZ345" s="16">
        <f t="shared" si="9"/>
        <v>1118977.872</v>
      </c>
      <c r="BA345" s="16">
        <f t="shared" si="9"/>
        <v>88349.682000000001</v>
      </c>
      <c r="BB345" s="16">
        <f t="shared" si="9"/>
        <v>41301.417999999998</v>
      </c>
      <c r="BC345" s="16">
        <f t="shared" si="9"/>
        <v>218.32800000000003</v>
      </c>
      <c r="BD345" s="16">
        <f t="shared" si="9"/>
        <v>1381323.818</v>
      </c>
      <c r="BE345" s="16">
        <f t="shared" si="9"/>
        <v>12167.470999999998</v>
      </c>
      <c r="BF345" s="16">
        <f t="shared" si="9"/>
        <v>482168.00099999999</v>
      </c>
      <c r="BG345" s="16">
        <f t="shared" si="9"/>
        <v>59027.662000000004</v>
      </c>
      <c r="BH345" s="16">
        <f t="shared" si="9"/>
        <v>70.311999999999998</v>
      </c>
      <c r="BI345" s="21"/>
    </row>
    <row r="346" spans="1:61" x14ac:dyDescent="0.25">
      <c r="A346" t="s">
        <v>612</v>
      </c>
      <c r="D346">
        <v>5</v>
      </c>
      <c r="E346" s="16">
        <f t="shared" ref="E346:AW346" si="10">SUMIF($D$4:$D$336,$D$346,E4:E336)</f>
        <v>754492.83600000001</v>
      </c>
      <c r="F346" s="16">
        <f t="shared" si="10"/>
        <v>33615.97</v>
      </c>
      <c r="G346" s="16">
        <f t="shared" si="10"/>
        <v>74763.887999999992</v>
      </c>
      <c r="H346" s="16">
        <f t="shared" si="10"/>
        <v>1007936.613</v>
      </c>
      <c r="I346" s="16">
        <f t="shared" si="10"/>
        <v>10850.893</v>
      </c>
      <c r="J346" s="16">
        <f t="shared" si="10"/>
        <v>79881.81700000001</v>
      </c>
      <c r="K346" s="16">
        <f t="shared" si="10"/>
        <v>9027.4150000000009</v>
      </c>
      <c r="L346" s="16">
        <f t="shared" si="10"/>
        <v>376289.52399999998</v>
      </c>
      <c r="M346" s="16">
        <f t="shared" si="10"/>
        <v>359069.87</v>
      </c>
      <c r="N346" s="16">
        <f>SUMIF($D$4:$D$336,$D$346,N4:N336)</f>
        <v>0</v>
      </c>
      <c r="O346" s="16">
        <f t="shared" si="10"/>
        <v>0</v>
      </c>
      <c r="P346" s="16">
        <f t="shared" si="10"/>
        <v>1502.847</v>
      </c>
      <c r="Q346" s="16">
        <f t="shared" si="10"/>
        <v>0</v>
      </c>
      <c r="R346" s="16">
        <f t="shared" si="10"/>
        <v>40.323999999999998</v>
      </c>
      <c r="S346" s="16">
        <f t="shared" si="10"/>
        <v>-4512.2929999999997</v>
      </c>
      <c r="T346" s="16">
        <f t="shared" si="10"/>
        <v>0</v>
      </c>
      <c r="U346" s="16">
        <f t="shared" si="10"/>
        <v>3205.7510000000002</v>
      </c>
      <c r="V346" s="16">
        <f t="shared" si="10"/>
        <v>20413.72</v>
      </c>
      <c r="W346" s="16">
        <f t="shared" si="10"/>
        <v>28524.340000000004</v>
      </c>
      <c r="X346" s="16">
        <f t="shared" si="10"/>
        <v>0</v>
      </c>
      <c r="Y346" s="16">
        <f t="shared" si="10"/>
        <v>176007.96500000003</v>
      </c>
      <c r="Z346" s="16">
        <f t="shared" si="10"/>
        <v>0</v>
      </c>
      <c r="AA346" s="16">
        <f t="shared" si="10"/>
        <v>56787.570999999996</v>
      </c>
      <c r="AB346" s="16">
        <f t="shared" si="10"/>
        <v>0</v>
      </c>
      <c r="AC346" s="16">
        <f t="shared" si="10"/>
        <v>8445.635000000002</v>
      </c>
      <c r="AD346" s="16">
        <f t="shared" si="10"/>
        <v>0</v>
      </c>
      <c r="AE346" s="16">
        <f t="shared" si="10"/>
        <v>470145.29700000008</v>
      </c>
      <c r="AF346" s="16">
        <f t="shared" si="10"/>
        <v>-122594.84399999998</v>
      </c>
      <c r="AG346" s="16">
        <f t="shared" si="10"/>
        <v>24687.743999999999</v>
      </c>
      <c r="AH346" s="16">
        <f t="shared" si="10"/>
        <v>1608700.0969999998</v>
      </c>
      <c r="AI346" s="16">
        <f t="shared" si="10"/>
        <v>-45810.891999999993</v>
      </c>
      <c r="AJ346" s="16">
        <f t="shared" si="10"/>
        <v>2.2559999999999998</v>
      </c>
      <c r="AK346" s="16">
        <f t="shared" si="10"/>
        <v>254.49299999999999</v>
      </c>
      <c r="AL346" s="16">
        <f t="shared" si="10"/>
        <v>112.054</v>
      </c>
      <c r="AM346" s="16">
        <f>SUMIF($D$4:$D$336,$D$346,AM4:AM336)</f>
        <v>979.81600000000003</v>
      </c>
      <c r="AN346" s="16">
        <f>SUMIF($D$4:$D$336,$D$346,AN4:AN336)</f>
        <v>107.896</v>
      </c>
      <c r="AO346" s="16">
        <f>SUMIF($D$4:$D$336,$D$346,AO4:AO336)</f>
        <v>-4466.5020000000004</v>
      </c>
      <c r="AP346" s="16">
        <f t="shared" si="10"/>
        <v>0</v>
      </c>
      <c r="AQ346" s="16">
        <f t="shared" si="10"/>
        <v>-29766.898999999998</v>
      </c>
      <c r="AR346" s="16">
        <f t="shared" si="10"/>
        <v>0</v>
      </c>
      <c r="AS346" s="16">
        <f t="shared" si="10"/>
        <v>-45.677</v>
      </c>
      <c r="AT346" s="16">
        <f t="shared" si="10"/>
        <v>0</v>
      </c>
      <c r="AU346" s="16">
        <f t="shared" si="10"/>
        <v>-288.71500000000003</v>
      </c>
      <c r="AV346" s="16">
        <f t="shared" si="10"/>
        <v>0</v>
      </c>
      <c r="AW346" s="16">
        <f t="shared" si="10"/>
        <v>0</v>
      </c>
      <c r="AX346" s="16">
        <f>SUMIF($D$4:$D$336,$D$346,AX4:AX336)</f>
        <v>0</v>
      </c>
      <c r="AY346" s="16">
        <f t="shared" ref="AY346:BH346" si="11">SUMIF($D$4:$D$336,$D$346,AY4:AY336)</f>
        <v>0</v>
      </c>
      <c r="AZ346" s="16">
        <f t="shared" si="11"/>
        <v>0</v>
      </c>
      <c r="BA346" s="16">
        <f t="shared" si="11"/>
        <v>0</v>
      </c>
      <c r="BB346" s="16">
        <f t="shared" si="11"/>
        <v>-2072.2440000000001</v>
      </c>
      <c r="BC346" s="16">
        <f t="shared" si="11"/>
        <v>0</v>
      </c>
      <c r="BD346" s="16">
        <f t="shared" si="11"/>
        <v>0</v>
      </c>
      <c r="BE346" s="16">
        <f t="shared" si="11"/>
        <v>-635.44200000000001</v>
      </c>
      <c r="BF346" s="16">
        <f t="shared" si="11"/>
        <v>0</v>
      </c>
      <c r="BG346" s="16">
        <f t="shared" si="11"/>
        <v>0</v>
      </c>
      <c r="BH346" s="16">
        <f t="shared" si="11"/>
        <v>0</v>
      </c>
      <c r="BI346" s="21"/>
    </row>
    <row r="347" spans="1:61" x14ac:dyDescent="0.25">
      <c r="A347" t="s">
        <v>613</v>
      </c>
      <c r="B347">
        <v>7</v>
      </c>
      <c r="D347">
        <v>6</v>
      </c>
      <c r="E347" s="16">
        <f t="shared" ref="E347:AW347" si="12">SUMIF($D$4:$D$336,$D$347,E4:E336)+SUMIF($D$4:$D$336,$B$347,E4:E336)</f>
        <v>2041198.2359999998</v>
      </c>
      <c r="F347" s="16">
        <f t="shared" si="12"/>
        <v>86424.37000000001</v>
      </c>
      <c r="G347" s="16">
        <f t="shared" si="12"/>
        <v>76111.773000000016</v>
      </c>
      <c r="H347" s="16">
        <f t="shared" si="12"/>
        <v>13863.553000000005</v>
      </c>
      <c r="I347" s="16">
        <f t="shared" si="12"/>
        <v>11308.529000000002</v>
      </c>
      <c r="J347" s="16">
        <f t="shared" si="12"/>
        <v>52357.695999999996</v>
      </c>
      <c r="K347" s="16">
        <f t="shared" si="12"/>
        <v>11797.960000000001</v>
      </c>
      <c r="L347" s="16">
        <f t="shared" si="12"/>
        <v>2431038.1389999995</v>
      </c>
      <c r="M347" s="16">
        <f t="shared" si="12"/>
        <v>538247.61199999985</v>
      </c>
      <c r="N347" s="16">
        <f>SUMIF($D$4:$D$336,$D$347,N4:N336)+SUMIF($D$4:$D$336,$B$347,N4:N336)</f>
        <v>-0.33300000000000002</v>
      </c>
      <c r="O347" s="16">
        <f t="shared" si="12"/>
        <v>441.2890000000001</v>
      </c>
      <c r="P347" s="16">
        <f t="shared" si="12"/>
        <v>1360.6330000000003</v>
      </c>
      <c r="Q347" s="16">
        <f t="shared" si="12"/>
        <v>145.76600000000002</v>
      </c>
      <c r="R347" s="16">
        <f t="shared" si="12"/>
        <v>468.072</v>
      </c>
      <c r="S347" s="16">
        <f t="shared" si="12"/>
        <v>19624.397999999997</v>
      </c>
      <c r="T347" s="16">
        <f t="shared" si="12"/>
        <v>0</v>
      </c>
      <c r="U347" s="16">
        <f t="shared" si="12"/>
        <v>8615.9320000000007</v>
      </c>
      <c r="V347" s="16">
        <f t="shared" si="12"/>
        <v>9020.729000000003</v>
      </c>
      <c r="W347" s="16">
        <f t="shared" si="12"/>
        <v>21523.044999999995</v>
      </c>
      <c r="X347" s="16">
        <f t="shared" si="12"/>
        <v>2084.3279999999995</v>
      </c>
      <c r="Y347" s="16">
        <f t="shared" si="12"/>
        <v>439470.27800000005</v>
      </c>
      <c r="Z347" s="16">
        <f t="shared" si="12"/>
        <v>-1135.528</v>
      </c>
      <c r="AA347" s="16">
        <f t="shared" si="12"/>
        <v>110028.82999999999</v>
      </c>
      <c r="AB347" s="16">
        <f t="shared" si="12"/>
        <v>15870.856</v>
      </c>
      <c r="AC347" s="16">
        <f t="shared" si="12"/>
        <v>15456.376000000002</v>
      </c>
      <c r="AD347" s="16">
        <f t="shared" si="12"/>
        <v>35.328000000000053</v>
      </c>
      <c r="AE347" s="16">
        <f t="shared" si="12"/>
        <v>1542326.7169999999</v>
      </c>
      <c r="AF347" s="16">
        <f t="shared" si="12"/>
        <v>248731.98500000002</v>
      </c>
      <c r="AG347" s="16">
        <f t="shared" si="12"/>
        <v>2283.1030000000001</v>
      </c>
      <c r="AH347" s="16">
        <f t="shared" si="12"/>
        <v>5075783.3370000012</v>
      </c>
      <c r="AI347" s="16">
        <f t="shared" si="12"/>
        <v>418039.185</v>
      </c>
      <c r="AJ347" s="16">
        <f t="shared" si="12"/>
        <v>-5504.5579999999991</v>
      </c>
      <c r="AK347" s="16">
        <f t="shared" si="12"/>
        <v>145723.25799999989</v>
      </c>
      <c r="AL347" s="16">
        <f t="shared" si="12"/>
        <v>74812.887999999977</v>
      </c>
      <c r="AM347" s="16">
        <f>SUMIF($D$4:$D$336,$D$347,AM4:AM336)+SUMIF($D$4:$D$336,$B$347,AM4:AM336)</f>
        <v>2333.4759999999997</v>
      </c>
      <c r="AN347" s="16">
        <f>SUMIF($D$4:$D$336,$D$347,AN4:AN336)+SUMIF($D$4:$D$336,$B$347,AN4:AN336)</f>
        <v>49324.890000000014</v>
      </c>
      <c r="AO347" s="16">
        <f>SUMIF($D$4:$D$336,$D$347,AO4:AO336)+SUMIF($D$4:$D$336,$B$347,AO4:AO336)</f>
        <v>12510.568999999998</v>
      </c>
      <c r="AP347" s="16">
        <f t="shared" si="12"/>
        <v>-25.29</v>
      </c>
      <c r="AQ347" s="16">
        <f t="shared" si="12"/>
        <v>78946.322000000015</v>
      </c>
      <c r="AR347" s="16">
        <f t="shared" si="12"/>
        <v>4.3729999999999993</v>
      </c>
      <c r="AS347" s="16">
        <f t="shared" si="12"/>
        <v>157.41</v>
      </c>
      <c r="AT347" s="16">
        <f t="shared" si="12"/>
        <v>0</v>
      </c>
      <c r="AU347" s="16">
        <f t="shared" si="12"/>
        <v>2250.6929999999998</v>
      </c>
      <c r="AV347" s="16">
        <f t="shared" si="12"/>
        <v>28.771999999999998</v>
      </c>
      <c r="AW347" s="16">
        <f t="shared" si="12"/>
        <v>-10.080999999999989</v>
      </c>
      <c r="AX347" s="16">
        <f>SUMIF($D$4:$D$336,$D$347,AX4:AX336)+SUMIF($D$4:$D$336,$B$347,AX4:AX336)</f>
        <v>2728.7940000000012</v>
      </c>
      <c r="AY347" s="16">
        <f t="shared" ref="AY347:BH347" si="13">SUMIF($D$4:$D$336,$D$347,AY4:AY336)+SUMIF($D$4:$D$336,$B$347,AY4:AY336)</f>
        <v>6276.2480000000005</v>
      </c>
      <c r="AZ347" s="16">
        <f t="shared" si="13"/>
        <v>88495.213000000003</v>
      </c>
      <c r="BA347" s="16">
        <f t="shared" si="13"/>
        <v>2134.842000000001</v>
      </c>
      <c r="BB347" s="16">
        <f t="shared" si="13"/>
        <v>5685.9509999999991</v>
      </c>
      <c r="BC347" s="16">
        <f t="shared" si="13"/>
        <v>2001.8870000000002</v>
      </c>
      <c r="BD347" s="16">
        <f t="shared" si="13"/>
        <v>112328.77900000001</v>
      </c>
      <c r="BE347" s="16">
        <f t="shared" si="13"/>
        <v>1688.973</v>
      </c>
      <c r="BF347" s="16">
        <f t="shared" si="13"/>
        <v>38923.271000000001</v>
      </c>
      <c r="BG347" s="16">
        <f t="shared" si="13"/>
        <v>-3388.8399999999997</v>
      </c>
      <c r="BH347" s="16">
        <f t="shared" si="13"/>
        <v>623.51900000000001</v>
      </c>
      <c r="BI347" s="21"/>
    </row>
    <row r="348" spans="1:61" x14ac:dyDescent="0.25"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21"/>
    </row>
    <row r="349" spans="1:61" x14ac:dyDescent="0.25">
      <c r="E349">
        <f t="shared" ref="E349:M349" si="14">SUM(E342:E348)</f>
        <v>10709580.374999998</v>
      </c>
      <c r="F349">
        <f t="shared" si="14"/>
        <v>1104064.7050000001</v>
      </c>
      <c r="G349">
        <f t="shared" si="14"/>
        <v>1076215.933</v>
      </c>
      <c r="H349">
        <f t="shared" si="14"/>
        <v>1144532.466</v>
      </c>
      <c r="I349">
        <f t="shared" si="14"/>
        <v>132896.758</v>
      </c>
      <c r="J349">
        <f t="shared" si="14"/>
        <v>740318.92500000005</v>
      </c>
      <c r="K349">
        <f t="shared" si="14"/>
        <v>249245.18299999996</v>
      </c>
      <c r="L349" s="17">
        <f t="shared" si="14"/>
        <v>11638155.363000002</v>
      </c>
      <c r="M349">
        <f t="shared" si="14"/>
        <v>2841774.7069999995</v>
      </c>
      <c r="N349">
        <f>SUM(N342:N348)</f>
        <v>15783.175999999998</v>
      </c>
      <c r="O349">
        <f t="shared" ref="O349:AL349" si="15">SUM(O342:O348)</f>
        <v>16693.026999999998</v>
      </c>
      <c r="P349">
        <f t="shared" si="15"/>
        <v>16921.249</v>
      </c>
      <c r="Q349">
        <f t="shared" si="15"/>
        <v>15056.808999999996</v>
      </c>
      <c r="R349">
        <f t="shared" si="15"/>
        <v>17222.402999999998</v>
      </c>
      <c r="S349">
        <f t="shared" si="15"/>
        <v>356287.49299999996</v>
      </c>
      <c r="T349">
        <f t="shared" si="15"/>
        <v>1020.131</v>
      </c>
      <c r="U349">
        <f t="shared" si="15"/>
        <v>177200.92499999996</v>
      </c>
      <c r="V349">
        <f t="shared" si="15"/>
        <v>142044.799</v>
      </c>
      <c r="W349">
        <f t="shared" si="15"/>
        <v>277408.65699999995</v>
      </c>
      <c r="X349">
        <f t="shared" si="15"/>
        <v>219883.57499999998</v>
      </c>
      <c r="Y349">
        <f t="shared" si="15"/>
        <v>3168676.0139999995</v>
      </c>
      <c r="Z349">
        <f t="shared" si="15"/>
        <v>78785.83199999998</v>
      </c>
      <c r="AA349">
        <f t="shared" si="15"/>
        <v>1565393.4400000004</v>
      </c>
      <c r="AB349">
        <f t="shared" si="15"/>
        <v>562257.10800000012</v>
      </c>
      <c r="AC349">
        <f t="shared" si="15"/>
        <v>207747.01499999996</v>
      </c>
      <c r="AD349">
        <f t="shared" si="15"/>
        <v>71543.631999999998</v>
      </c>
      <c r="AE349">
        <f t="shared" si="15"/>
        <v>9346823.4690000005</v>
      </c>
      <c r="AF349">
        <f t="shared" si="15"/>
        <v>4280165.1079999991</v>
      </c>
      <c r="AG349">
        <f t="shared" si="15"/>
        <v>377527.04499999998</v>
      </c>
      <c r="AH349">
        <f t="shared" si="15"/>
        <v>24410115.43</v>
      </c>
      <c r="AI349">
        <f t="shared" si="15"/>
        <v>6617491.2299999995</v>
      </c>
      <c r="AJ349">
        <f t="shared" si="15"/>
        <v>390152.005</v>
      </c>
      <c r="AK349">
        <f t="shared" si="15"/>
        <v>9488334.0309999995</v>
      </c>
      <c r="AL349">
        <f t="shared" si="15"/>
        <v>4877590.7540000007</v>
      </c>
      <c r="AM349">
        <f>SUM(AM342:AM348)</f>
        <v>48658.880000000005</v>
      </c>
      <c r="AN349">
        <f>SUM(AN342:AN348)</f>
        <v>3235418.6410000003</v>
      </c>
      <c r="AO349">
        <f>SUM(AO342:AO348)</f>
        <v>256465.53600000002</v>
      </c>
      <c r="AP349">
        <f>SUM(AP342:AP348)</f>
        <v>124080.63499999999</v>
      </c>
      <c r="AQ349">
        <f t="shared" ref="AQ349:AW349" si="16">SUM(AQ342:AQ348)</f>
        <v>1714689.6700000004</v>
      </c>
      <c r="AR349">
        <f t="shared" si="16"/>
        <v>30160.076000000001</v>
      </c>
      <c r="AS349">
        <f t="shared" si="16"/>
        <v>4045.1849999999995</v>
      </c>
      <c r="AT349">
        <f t="shared" si="16"/>
        <v>0</v>
      </c>
      <c r="AU349">
        <f t="shared" si="16"/>
        <v>84753.156000000003</v>
      </c>
      <c r="AV349">
        <f t="shared" si="16"/>
        <v>81028.733999999997</v>
      </c>
      <c r="AW349">
        <f t="shared" si="16"/>
        <v>181462.69699999999</v>
      </c>
      <c r="AX349">
        <f>SUM(AX342:AX348)</f>
        <v>301794.90199999994</v>
      </c>
      <c r="AY349">
        <f t="shared" ref="AY349:BH349" si="17">SUM(AY342:AY348)</f>
        <v>134616.59700000001</v>
      </c>
      <c r="AZ349">
        <f t="shared" si="17"/>
        <v>1270833.2760000001</v>
      </c>
      <c r="BA349">
        <f t="shared" si="17"/>
        <v>226566.652</v>
      </c>
      <c r="BB349">
        <f t="shared" si="17"/>
        <v>120169.375</v>
      </c>
      <c r="BC349">
        <f t="shared" si="17"/>
        <v>49760.984000000004</v>
      </c>
      <c r="BD349">
        <f t="shared" si="17"/>
        <v>1576544.675</v>
      </c>
      <c r="BE349">
        <f t="shared" si="17"/>
        <v>35649.352999999988</v>
      </c>
      <c r="BF349">
        <f t="shared" si="17"/>
        <v>549525.36199999996</v>
      </c>
      <c r="BG349">
        <f t="shared" si="17"/>
        <v>213124.87600000002</v>
      </c>
      <c r="BH349">
        <f t="shared" si="17"/>
        <v>15706.506999999998</v>
      </c>
      <c r="BI349" s="21"/>
    </row>
    <row r="350" spans="1:61" x14ac:dyDescent="0.25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21"/>
    </row>
    <row r="351" spans="1:61" x14ac:dyDescent="0.25">
      <c r="A351" s="8"/>
      <c r="B351" s="8"/>
      <c r="C351" s="8"/>
      <c r="D351" s="8"/>
      <c r="E351" s="8">
        <f t="shared" ref="E351:AJ351" si="18">E349-E337</f>
        <v>10709580.374999998</v>
      </c>
      <c r="F351" s="8">
        <f t="shared" si="18"/>
        <v>1104064.7050000001</v>
      </c>
      <c r="G351" s="8">
        <f t="shared" si="18"/>
        <v>1076215.933</v>
      </c>
      <c r="H351" s="8">
        <f t="shared" si="18"/>
        <v>1144532.466</v>
      </c>
      <c r="I351" s="8">
        <f t="shared" si="18"/>
        <v>132896.758</v>
      </c>
      <c r="J351" s="8">
        <f t="shared" si="18"/>
        <v>740318.92500000005</v>
      </c>
      <c r="K351" s="8">
        <f t="shared" si="18"/>
        <v>249245.18299999996</v>
      </c>
      <c r="L351" s="18">
        <f t="shared" si="18"/>
        <v>11638155.363000002</v>
      </c>
      <c r="M351" s="8">
        <f t="shared" si="18"/>
        <v>2841774.7069999995</v>
      </c>
      <c r="N351" s="8">
        <f>N349-N337</f>
        <v>15783.175999999998</v>
      </c>
      <c r="O351" s="8">
        <f t="shared" si="18"/>
        <v>16693.026999999998</v>
      </c>
      <c r="P351" s="8">
        <f t="shared" si="18"/>
        <v>16921.249</v>
      </c>
      <c r="Q351" s="8">
        <f t="shared" si="18"/>
        <v>15056.808999999996</v>
      </c>
      <c r="R351" s="8">
        <f t="shared" si="18"/>
        <v>17222.402999999998</v>
      </c>
      <c r="S351" s="8">
        <f t="shared" si="18"/>
        <v>356287.49299999996</v>
      </c>
      <c r="T351" s="8">
        <f t="shared" si="18"/>
        <v>1020.131</v>
      </c>
      <c r="U351" s="8">
        <f t="shared" si="18"/>
        <v>177200.92499999996</v>
      </c>
      <c r="V351" s="8">
        <f t="shared" si="18"/>
        <v>142044.799</v>
      </c>
      <c r="W351" s="8">
        <f t="shared" si="18"/>
        <v>277408.65699999995</v>
      </c>
      <c r="X351" s="8">
        <f t="shared" si="18"/>
        <v>219883.57499999998</v>
      </c>
      <c r="Y351" s="8">
        <f t="shared" si="18"/>
        <v>3168676.0139999995</v>
      </c>
      <c r="Z351" s="8">
        <f t="shared" si="18"/>
        <v>78785.83199999998</v>
      </c>
      <c r="AA351" s="8">
        <f t="shared" si="18"/>
        <v>1565393.4400000004</v>
      </c>
      <c r="AB351" s="8">
        <f t="shared" si="18"/>
        <v>562257.10800000012</v>
      </c>
      <c r="AC351" s="8">
        <f t="shared" si="18"/>
        <v>207747.01499999996</v>
      </c>
      <c r="AD351" s="8">
        <f t="shared" si="18"/>
        <v>71543.631999999998</v>
      </c>
      <c r="AE351" s="8">
        <f t="shared" si="18"/>
        <v>9346823.4690000005</v>
      </c>
      <c r="AF351" s="8">
        <f t="shared" si="18"/>
        <v>4280165.1079999991</v>
      </c>
      <c r="AG351" s="8">
        <f t="shared" si="18"/>
        <v>377527.04499999998</v>
      </c>
      <c r="AH351" s="8">
        <f t="shared" si="18"/>
        <v>24410115.43</v>
      </c>
      <c r="AI351" s="8">
        <f t="shared" si="18"/>
        <v>6617491.2299999995</v>
      </c>
      <c r="AJ351" s="8">
        <f t="shared" si="18"/>
        <v>390152.005</v>
      </c>
      <c r="AK351" s="8">
        <f>AK349-AK337</f>
        <v>9488334.0309999995</v>
      </c>
      <c r="AL351" s="8">
        <f>AL349-AL337</f>
        <v>4877590.7540000007</v>
      </c>
      <c r="AM351" s="8">
        <f>AM349-AM337</f>
        <v>48658.880000000005</v>
      </c>
      <c r="AN351" s="8">
        <f>AN349-AN337</f>
        <v>3235418.6410000003</v>
      </c>
      <c r="AO351" s="8">
        <f>AO349-AO337</f>
        <v>256465.53600000002</v>
      </c>
      <c r="AP351" s="8">
        <f t="shared" ref="AP351:AW351" si="19">AP349-AP337</f>
        <v>124080.63499999999</v>
      </c>
      <c r="AQ351" s="8">
        <f t="shared" si="19"/>
        <v>1714689.6700000004</v>
      </c>
      <c r="AR351" s="8">
        <f t="shared" si="19"/>
        <v>30160.076000000001</v>
      </c>
      <c r="AS351" s="8">
        <f t="shared" si="19"/>
        <v>4045.1849999999995</v>
      </c>
      <c r="AT351" s="8">
        <f t="shared" si="19"/>
        <v>0</v>
      </c>
      <c r="AU351" s="8">
        <f t="shared" si="19"/>
        <v>84753.156000000003</v>
      </c>
      <c r="AV351" s="8">
        <f t="shared" si="19"/>
        <v>81028.733999999997</v>
      </c>
      <c r="AW351" s="8">
        <f t="shared" si="19"/>
        <v>181462.69699999999</v>
      </c>
      <c r="AX351" s="8">
        <f>AX349-AX337</f>
        <v>301794.90199999994</v>
      </c>
      <c r="AY351" s="8">
        <f t="shared" ref="AY351:BH351" si="20">AY349-AY337</f>
        <v>134616.59700000001</v>
      </c>
      <c r="AZ351" s="8">
        <f t="shared" si="20"/>
        <v>1270833.2760000001</v>
      </c>
      <c r="BA351" s="8">
        <f t="shared" si="20"/>
        <v>226566.652</v>
      </c>
      <c r="BB351" s="8">
        <f t="shared" si="20"/>
        <v>120169.375</v>
      </c>
      <c r="BC351" s="8">
        <f t="shared" si="20"/>
        <v>49760.984000000004</v>
      </c>
      <c r="BD351" s="8">
        <f t="shared" si="20"/>
        <v>1576544.675</v>
      </c>
      <c r="BE351" s="8">
        <f t="shared" si="20"/>
        <v>35649.352999999988</v>
      </c>
      <c r="BF351" s="8">
        <f t="shared" si="20"/>
        <v>549525.36199999996</v>
      </c>
      <c r="BG351" s="8">
        <f t="shared" si="20"/>
        <v>213124.87600000002</v>
      </c>
      <c r="BH351" s="8">
        <f t="shared" si="20"/>
        <v>15706.506999999998</v>
      </c>
      <c r="BI351" s="21"/>
    </row>
    <row r="352" spans="1:61" x14ac:dyDescent="0.25">
      <c r="E352" s="19">
        <f t="shared" ref="E352:M352" si="21">E2</f>
        <v>401</v>
      </c>
      <c r="F352" s="19">
        <f t="shared" si="21"/>
        <v>242</v>
      </c>
      <c r="G352" s="19">
        <f t="shared" si="21"/>
        <v>385</v>
      </c>
      <c r="H352" s="19">
        <f t="shared" si="21"/>
        <v>528</v>
      </c>
      <c r="I352" s="19">
        <f t="shared" si="21"/>
        <v>384</v>
      </c>
      <c r="J352" s="19">
        <f t="shared" si="21"/>
        <v>716</v>
      </c>
      <c r="K352" s="19">
        <f t="shared" si="21"/>
        <v>715</v>
      </c>
      <c r="L352" s="19">
        <f t="shared" si="21"/>
        <v>9916</v>
      </c>
      <c r="M352" s="19">
        <f t="shared" si="21"/>
        <v>1100</v>
      </c>
      <c r="N352" s="19">
        <f>N2</f>
        <v>801</v>
      </c>
      <c r="O352" s="19">
        <f t="shared" ref="O352:T352" si="22">O2</f>
        <v>804</v>
      </c>
      <c r="P352" s="19">
        <f t="shared" si="22"/>
        <v>806</v>
      </c>
      <c r="Q352" s="19">
        <f t="shared" si="22"/>
        <v>8765</v>
      </c>
      <c r="R352" s="19">
        <f t="shared" si="22"/>
        <v>8766</v>
      </c>
      <c r="S352" s="19">
        <f t="shared" si="22"/>
        <v>9418</v>
      </c>
      <c r="T352" s="19">
        <f t="shared" si="22"/>
        <v>9475</v>
      </c>
      <c r="U352" s="19">
        <f>U2</f>
        <v>9906</v>
      </c>
      <c r="V352" s="19">
        <f>V2</f>
        <v>7905</v>
      </c>
      <c r="W352" s="19">
        <f t="shared" ref="W352:AJ352" si="23">W2</f>
        <v>7906</v>
      </c>
      <c r="X352" s="19">
        <f t="shared" si="23"/>
        <v>7907</v>
      </c>
      <c r="Y352" s="19">
        <f t="shared" si="23"/>
        <v>7908</v>
      </c>
      <c r="Z352" s="19">
        <f t="shared" si="23"/>
        <v>7909</v>
      </c>
      <c r="AA352" s="19">
        <f t="shared" si="23"/>
        <v>11310</v>
      </c>
      <c r="AB352" s="19">
        <f t="shared" si="23"/>
        <v>11311</v>
      </c>
      <c r="AC352" s="19">
        <f t="shared" si="23"/>
        <v>11312</v>
      </c>
      <c r="AD352" s="19">
        <f t="shared" si="23"/>
        <v>11335</v>
      </c>
      <c r="AE352" s="19">
        <f t="shared" si="23"/>
        <v>9529</v>
      </c>
      <c r="AF352" s="19">
        <f t="shared" si="23"/>
        <v>961</v>
      </c>
      <c r="AG352" s="19">
        <f t="shared" si="23"/>
        <v>9528</v>
      </c>
      <c r="AH352" s="19">
        <f t="shared" si="23"/>
        <v>964</v>
      </c>
      <c r="AI352" s="19">
        <f t="shared" si="23"/>
        <v>968</v>
      </c>
      <c r="AJ352" s="19">
        <f t="shared" si="23"/>
        <v>8629</v>
      </c>
      <c r="AK352" s="19">
        <f>AK2</f>
        <v>13264</v>
      </c>
      <c r="AL352" s="19">
        <f>AL2</f>
        <v>13263</v>
      </c>
      <c r="AM352" s="19">
        <f>AM2</f>
        <v>13209</v>
      </c>
      <c r="AN352" s="19">
        <f>AN2</f>
        <v>13250</v>
      </c>
      <c r="AO352" s="19">
        <f>AO2</f>
        <v>14281</v>
      </c>
      <c r="AP352" s="19">
        <f t="shared" ref="AP352:AW352" si="24">AP2</f>
        <v>2049</v>
      </c>
      <c r="AQ352" s="19">
        <f t="shared" si="24"/>
        <v>7975</v>
      </c>
      <c r="AR352" s="19">
        <f t="shared" si="24"/>
        <v>8004</v>
      </c>
      <c r="AS352" s="19">
        <f t="shared" si="24"/>
        <v>1008</v>
      </c>
      <c r="AT352" s="19">
        <f t="shared" si="24"/>
        <v>9484</v>
      </c>
      <c r="AU352" s="19">
        <f t="shared" si="24"/>
        <v>682</v>
      </c>
      <c r="AV352" s="19">
        <f t="shared" si="24"/>
        <v>11352</v>
      </c>
      <c r="AW352" s="19">
        <f t="shared" si="24"/>
        <v>2058</v>
      </c>
      <c r="AX352" s="19">
        <f>AX2</f>
        <v>15007</v>
      </c>
      <c r="AY352" s="19">
        <f t="shared" ref="AY352:BH352" si="25">AY2</f>
        <v>15208</v>
      </c>
      <c r="AZ352" s="19">
        <f t="shared" si="25"/>
        <v>15209</v>
      </c>
      <c r="BA352" s="19">
        <f t="shared" si="25"/>
        <v>15210</v>
      </c>
      <c r="BB352" s="19">
        <f t="shared" si="25"/>
        <v>15211</v>
      </c>
      <c r="BC352" s="19">
        <f t="shared" si="25"/>
        <v>15212</v>
      </c>
      <c r="BD352" s="19">
        <f t="shared" si="25"/>
        <v>15232</v>
      </c>
      <c r="BE352" s="19">
        <f t="shared" si="25"/>
        <v>15214</v>
      </c>
      <c r="BF352" s="19">
        <f t="shared" si="25"/>
        <v>15233</v>
      </c>
      <c r="BG352" s="19">
        <f t="shared" si="25"/>
        <v>15234</v>
      </c>
      <c r="BH352" s="19">
        <f t="shared" si="25"/>
        <v>15215</v>
      </c>
      <c r="BI352" s="21"/>
    </row>
    <row r="353" spans="1:61" x14ac:dyDescent="0.25">
      <c r="A353" t="s">
        <v>608</v>
      </c>
      <c r="E353" s="20">
        <f t="shared" ref="E353:AL353" si="26">E342/E349</f>
        <v>0.12563211161296317</v>
      </c>
      <c r="F353" s="20">
        <f t="shared" si="26"/>
        <v>0.14167139597130768</v>
      </c>
      <c r="G353" s="20">
        <f t="shared" si="26"/>
        <v>4.490058502042267E-2</v>
      </c>
      <c r="H353" s="20">
        <f t="shared" si="26"/>
        <v>-1.7749588241038154E-3</v>
      </c>
      <c r="I353" s="20">
        <f t="shared" si="26"/>
        <v>8.2429926544934959E-2</v>
      </c>
      <c r="J353" s="20">
        <f t="shared" si="26"/>
        <v>3.7316357946678175E-2</v>
      </c>
      <c r="K353" s="20">
        <f t="shared" si="26"/>
        <v>2.3770096291088609E-2</v>
      </c>
      <c r="L353" s="20">
        <f t="shared" si="26"/>
        <v>0.19021737689101856</v>
      </c>
      <c r="M353" s="20">
        <f t="shared" si="26"/>
        <v>5.8662951918517448E-2</v>
      </c>
      <c r="N353" s="20">
        <f>N342/N349</f>
        <v>5.0330174357809867E-3</v>
      </c>
      <c r="O353" s="20">
        <f t="shared" si="26"/>
        <v>0.75702309712911875</v>
      </c>
      <c r="P353" s="20">
        <f t="shared" si="26"/>
        <v>6.2425060939650494E-2</v>
      </c>
      <c r="Q353" s="20">
        <f t="shared" si="26"/>
        <v>0.44896425265140849</v>
      </c>
      <c r="R353" s="20">
        <f t="shared" si="26"/>
        <v>0.12555443047059114</v>
      </c>
      <c r="S353" s="20">
        <f t="shared" si="26"/>
        <v>0.1360739401537174</v>
      </c>
      <c r="T353" s="20">
        <f t="shared" si="26"/>
        <v>5.1275767523974863E-2</v>
      </c>
      <c r="U353" s="20">
        <f t="shared" si="26"/>
        <v>1.618991548717932E-2</v>
      </c>
      <c r="V353" s="20">
        <f t="shared" si="26"/>
        <v>3.5691859439358986E-2</v>
      </c>
      <c r="W353" s="20">
        <f t="shared" si="26"/>
        <v>8.193744292558254E-2</v>
      </c>
      <c r="X353" s="20">
        <f t="shared" si="26"/>
        <v>0.48038394409405066</v>
      </c>
      <c r="Y353" s="20">
        <f t="shared" si="26"/>
        <v>0.17128006227272183</v>
      </c>
      <c r="Z353" s="20">
        <f t="shared" si="26"/>
        <v>0.57516427572916928</v>
      </c>
      <c r="AA353" s="20">
        <f t="shared" si="26"/>
        <v>9.1170890558989401E-2</v>
      </c>
      <c r="AB353" s="20">
        <f t="shared" si="26"/>
        <v>0.77831159406169736</v>
      </c>
      <c r="AC353" s="20">
        <f t="shared" si="26"/>
        <v>0.157186374013605</v>
      </c>
      <c r="AD353" s="20">
        <f t="shared" si="26"/>
        <v>0.28130187743334029</v>
      </c>
      <c r="AE353" s="20">
        <f t="shared" si="26"/>
        <v>0.17505800515295897</v>
      </c>
      <c r="AF353" s="20">
        <f t="shared" si="26"/>
        <v>0.27417902192758126</v>
      </c>
      <c r="AG353" s="20">
        <f t="shared" si="26"/>
        <v>0.33759069631686917</v>
      </c>
      <c r="AH353" s="20">
        <f t="shared" si="26"/>
        <v>0.16416173555144881</v>
      </c>
      <c r="AI353" s="20">
        <f t="shared" si="26"/>
        <v>0.25935396577775288</v>
      </c>
      <c r="AJ353" s="20">
        <f t="shared" si="26"/>
        <v>0.55506625424108746</v>
      </c>
      <c r="AK353" s="20">
        <f t="shared" si="26"/>
        <v>0.65654289411051203</v>
      </c>
      <c r="AL353" s="20">
        <f t="shared" si="26"/>
        <v>0.65660409380872797</v>
      </c>
      <c r="AM353" s="20">
        <f>AM342/AM349</f>
        <v>1.4782070610749773E-2</v>
      </c>
      <c r="AN353" s="20">
        <f>AN342/AN349</f>
        <v>0.65656996503655851</v>
      </c>
      <c r="AO353" s="20">
        <f>AO342/AO349</f>
        <v>0.17700728412881173</v>
      </c>
      <c r="AP353" s="20">
        <f>AP342/AP349</f>
        <v>0.11475832630933909</v>
      </c>
      <c r="AQ353" s="20">
        <f t="shared" ref="AQ353:AW353" si="27">AQ342/AQ349</f>
        <v>0.27290792274965997</v>
      </c>
      <c r="AR353" s="20">
        <f t="shared" si="27"/>
        <v>0.10184188527906893</v>
      </c>
      <c r="AS353" s="20">
        <f t="shared" si="27"/>
        <v>0.13194254403692296</v>
      </c>
      <c r="AT353" s="20" t="e">
        <f t="shared" si="27"/>
        <v>#DIV/0!</v>
      </c>
      <c r="AU353" s="20">
        <f t="shared" si="27"/>
        <v>0.15686135628978817</v>
      </c>
      <c r="AV353" s="20">
        <f t="shared" si="27"/>
        <v>0.10061297514533549</v>
      </c>
      <c r="AW353" s="20">
        <f t="shared" si="27"/>
        <v>0.11028235185989771</v>
      </c>
      <c r="AX353" s="20">
        <f>AX342/AX349</f>
        <v>0.49787537829250678</v>
      </c>
      <c r="AY353" s="20">
        <f t="shared" ref="AY353:BH353" si="28">AY342/AY349</f>
        <v>3.3626856575493434E-2</v>
      </c>
      <c r="AZ353" s="20">
        <f t="shared" si="28"/>
        <v>2.8097842316807575E-2</v>
      </c>
      <c r="BA353" s="20">
        <f t="shared" si="28"/>
        <v>0.48388622081946991</v>
      </c>
      <c r="BB353" s="20">
        <f t="shared" si="28"/>
        <v>0.18081363908233691</v>
      </c>
      <c r="BC353" s="20">
        <f t="shared" si="28"/>
        <v>3.7105837778449065E-2</v>
      </c>
      <c r="BD353" s="20">
        <f t="shared" si="28"/>
        <v>3.0366242555099177E-2</v>
      </c>
      <c r="BE353" s="20">
        <f t="shared" si="28"/>
        <v>0.18262480107282739</v>
      </c>
      <c r="BF353" s="20">
        <f t="shared" si="28"/>
        <v>2.94991098154265E-2</v>
      </c>
      <c r="BG353" s="20">
        <f t="shared" si="28"/>
        <v>0.60349033118029816</v>
      </c>
      <c r="BH353" s="20">
        <f t="shared" si="28"/>
        <v>2.8094279651102567E-2</v>
      </c>
      <c r="BI353" s="21"/>
    </row>
    <row r="354" spans="1:61" x14ac:dyDescent="0.25">
      <c r="A354" t="s">
        <v>609</v>
      </c>
      <c r="E354" s="20">
        <f t="shared" ref="E354:AL354" si="29">E343/E349</f>
        <v>0.22760983919503014</v>
      </c>
      <c r="F354" s="20">
        <f t="shared" si="29"/>
        <v>0.17812185563888669</v>
      </c>
      <c r="G354" s="20">
        <f t="shared" si="29"/>
        <v>0.3649595568661777</v>
      </c>
      <c r="H354" s="20">
        <f t="shared" si="29"/>
        <v>0</v>
      </c>
      <c r="I354" s="20">
        <f t="shared" si="29"/>
        <v>0.38025391860951191</v>
      </c>
      <c r="J354" s="20">
        <f t="shared" si="29"/>
        <v>0.34085332480187502</v>
      </c>
      <c r="K354" s="20">
        <f t="shared" si="29"/>
        <v>0.7360519420750451</v>
      </c>
      <c r="L354" s="20">
        <f t="shared" si="29"/>
        <v>0.10247112010477462</v>
      </c>
      <c r="M354" s="20">
        <f t="shared" si="29"/>
        <v>0.22583892397209659</v>
      </c>
      <c r="N354" s="20">
        <f>N343/N349</f>
        <v>0.80614414994802064</v>
      </c>
      <c r="O354" s="20">
        <f t="shared" si="29"/>
        <v>7.9122258653268832E-3</v>
      </c>
      <c r="P354" s="20">
        <f t="shared" si="29"/>
        <v>0.76265292236997406</v>
      </c>
      <c r="Q354" s="20">
        <f t="shared" si="29"/>
        <v>0.16060514548600574</v>
      </c>
      <c r="R354" s="20">
        <f t="shared" si="29"/>
        <v>0.19228391067146672</v>
      </c>
      <c r="S354" s="20">
        <f t="shared" si="29"/>
        <v>0.17193564804701131</v>
      </c>
      <c r="T354" s="20">
        <f t="shared" si="29"/>
        <v>0.94872423247602511</v>
      </c>
      <c r="U354" s="20">
        <f t="shared" si="29"/>
        <v>0.75618776256388076</v>
      </c>
      <c r="V354" s="20">
        <f t="shared" si="29"/>
        <v>0.27747665016583956</v>
      </c>
      <c r="W354" s="20">
        <f t="shared" si="29"/>
        <v>0.22884038907264531</v>
      </c>
      <c r="X354" s="20">
        <f t="shared" si="29"/>
        <v>0.1175349909605572</v>
      </c>
      <c r="Y354" s="20">
        <f t="shared" si="29"/>
        <v>0.19384375943964843</v>
      </c>
      <c r="Z354" s="20">
        <f t="shared" si="29"/>
        <v>3.7235628862813818E-3</v>
      </c>
      <c r="AA354" s="20">
        <f t="shared" si="29"/>
        <v>0.32729843878737597</v>
      </c>
      <c r="AB354" s="20">
        <f t="shared" si="29"/>
        <v>5.6948217362509526E-3</v>
      </c>
      <c r="AC354" s="20">
        <f t="shared" si="29"/>
        <v>0.14147028297855452</v>
      </c>
      <c r="AD354" s="20">
        <f t="shared" si="29"/>
        <v>0.17973958884279176</v>
      </c>
      <c r="AE354" s="20">
        <f t="shared" si="29"/>
        <v>0.18702671606004198</v>
      </c>
      <c r="AF354" s="20">
        <f t="shared" si="29"/>
        <v>4.8897612993671465E-2</v>
      </c>
      <c r="AG354" s="20">
        <f t="shared" si="29"/>
        <v>0.13977686817112667</v>
      </c>
      <c r="AH354" s="20">
        <f t="shared" si="29"/>
        <v>0.1449869886993812</v>
      </c>
      <c r="AI354" s="20">
        <f t="shared" si="29"/>
        <v>4.5824874028582582E-2</v>
      </c>
      <c r="AJ354" s="20">
        <f t="shared" si="29"/>
        <v>3.6453945687143145E-3</v>
      </c>
      <c r="AK354" s="20">
        <f t="shared" si="29"/>
        <v>0.1281023576982879</v>
      </c>
      <c r="AL354" s="20">
        <f t="shared" si="29"/>
        <v>0.12808779959402061</v>
      </c>
      <c r="AM354" s="20">
        <f>AM343/AM349</f>
        <v>0.7562117130521705</v>
      </c>
      <c r="AN354" s="20">
        <f>AN343/AN349</f>
        <v>0.12813330792699723</v>
      </c>
      <c r="AO354" s="20">
        <f>AO343/AO349</f>
        <v>0.16182200013026313</v>
      </c>
      <c r="AP354" s="20">
        <f>AP343/AP349</f>
        <v>0</v>
      </c>
      <c r="AQ354" s="20">
        <f t="shared" ref="AQ354:AW354" si="30">AQ343/AQ349</f>
        <v>4.9602449637432051E-2</v>
      </c>
      <c r="AR354" s="20">
        <f t="shared" si="30"/>
        <v>0</v>
      </c>
      <c r="AS354" s="20">
        <f t="shared" si="30"/>
        <v>0.35133695986710128</v>
      </c>
      <c r="AT354" s="20" t="e">
        <f t="shared" si="30"/>
        <v>#DIV/0!</v>
      </c>
      <c r="AU354" s="20">
        <f t="shared" si="30"/>
        <v>0.37436020671607789</v>
      </c>
      <c r="AV354" s="20">
        <f t="shared" si="30"/>
        <v>0</v>
      </c>
      <c r="AW354" s="20">
        <f t="shared" si="30"/>
        <v>0</v>
      </c>
      <c r="AX354" s="20">
        <f>AX343/AX349</f>
        <v>0.11360574275041931</v>
      </c>
      <c r="AY354" s="20">
        <f t="shared" ref="AY354:BH354" si="31">AY343/AY349</f>
        <v>0.22715346161959507</v>
      </c>
      <c r="AZ354" s="20">
        <f t="shared" si="31"/>
        <v>0</v>
      </c>
      <c r="BA354" s="20">
        <f t="shared" si="31"/>
        <v>0.11674113011123985</v>
      </c>
      <c r="BB354" s="20">
        <f t="shared" si="31"/>
        <v>0.16960469337549605</v>
      </c>
      <c r="BC354" s="20">
        <f t="shared" si="31"/>
        <v>0.26865240446209826</v>
      </c>
      <c r="BD354" s="20">
        <f t="shared" si="31"/>
        <v>0</v>
      </c>
      <c r="BE354" s="20">
        <f t="shared" si="31"/>
        <v>0.16415717278235042</v>
      </c>
      <c r="BF354" s="20">
        <f t="shared" si="31"/>
        <v>0</v>
      </c>
      <c r="BG354" s="20">
        <f t="shared" si="31"/>
        <v>6.5324978769723721E-2</v>
      </c>
      <c r="BH354" s="20">
        <f t="shared" si="31"/>
        <v>0.26174540271748525</v>
      </c>
      <c r="BI354" s="21"/>
    </row>
    <row r="355" spans="1:61" x14ac:dyDescent="0.25">
      <c r="A355" t="s">
        <v>610</v>
      </c>
      <c r="E355" s="20">
        <f t="shared" ref="E355:AL355" si="32">E344/E349</f>
        <v>0.20336554362896783</v>
      </c>
      <c r="F355" s="20">
        <f t="shared" si="32"/>
        <v>0.25544270342379982</v>
      </c>
      <c r="G355" s="20">
        <f t="shared" si="32"/>
        <v>0.44732341460326619</v>
      </c>
      <c r="H355" s="20">
        <f t="shared" si="32"/>
        <v>4.4774538531963323E-2</v>
      </c>
      <c r="I355" s="20">
        <f t="shared" si="32"/>
        <v>0.30999740415037064</v>
      </c>
      <c r="J355" s="20">
        <f t="shared" si="32"/>
        <v>0.44079990120474094</v>
      </c>
      <c r="K355" s="20">
        <f t="shared" si="32"/>
        <v>0.15662419040611911</v>
      </c>
      <c r="L355" s="20">
        <f t="shared" si="32"/>
        <v>8.7548718952429744E-2</v>
      </c>
      <c r="M355" s="20">
        <f t="shared" si="32"/>
        <v>0.33387666575498171</v>
      </c>
      <c r="N355" s="20">
        <f>N344/N349</f>
        <v>0.18884393103137165</v>
      </c>
      <c r="O355" s="20">
        <f t="shared" si="32"/>
        <v>0</v>
      </c>
      <c r="P355" s="20">
        <f t="shared" si="32"/>
        <v>3.1056218131415713E-3</v>
      </c>
      <c r="Q355" s="20">
        <f t="shared" si="32"/>
        <v>0.29724817522756647</v>
      </c>
      <c r="R355" s="20">
        <f t="shared" si="32"/>
        <v>0.64781198070907986</v>
      </c>
      <c r="S355" s="20">
        <f t="shared" si="32"/>
        <v>0.33496008236247582</v>
      </c>
      <c r="T355" s="20">
        <f t="shared" si="32"/>
        <v>0</v>
      </c>
      <c r="U355" s="20">
        <f t="shared" si="32"/>
        <v>0.16090888351739699</v>
      </c>
      <c r="V355" s="20">
        <f t="shared" si="32"/>
        <v>0.47644581481649317</v>
      </c>
      <c r="W355" s="20">
        <f t="shared" si="32"/>
        <v>0.36651252740104651</v>
      </c>
      <c r="X355" s="20">
        <f t="shared" si="32"/>
        <v>0</v>
      </c>
      <c r="Y355" s="20">
        <f t="shared" si="32"/>
        <v>0.13731821810672504</v>
      </c>
      <c r="Z355" s="20">
        <f t="shared" si="32"/>
        <v>6.5683764055445917E-2</v>
      </c>
      <c r="AA355" s="20">
        <f t="shared" si="32"/>
        <v>0.37403181145310022</v>
      </c>
      <c r="AB355" s="20">
        <f t="shared" si="32"/>
        <v>0</v>
      </c>
      <c r="AC355" s="20">
        <f t="shared" si="32"/>
        <v>0.24268335696664528</v>
      </c>
      <c r="AD355" s="20">
        <f t="shared" si="32"/>
        <v>0.1980211320554707</v>
      </c>
      <c r="AE355" s="20">
        <f t="shared" si="32"/>
        <v>0.13192328849363874</v>
      </c>
      <c r="AF355" s="20">
        <f t="shared" si="32"/>
        <v>9.1922636176959387E-3</v>
      </c>
      <c r="AG355" s="20">
        <f t="shared" si="32"/>
        <v>0.15233720275589793</v>
      </c>
      <c r="AH355" s="20">
        <f t="shared" si="32"/>
        <v>0.10975806647383808</v>
      </c>
      <c r="AI355" s="20">
        <f t="shared" si="32"/>
        <v>9.1876507103432915E-3</v>
      </c>
      <c r="AJ355" s="20">
        <f t="shared" si="32"/>
        <v>6.0490413217279243E-2</v>
      </c>
      <c r="AK355" s="20">
        <f t="shared" si="32"/>
        <v>0</v>
      </c>
      <c r="AL355" s="20">
        <f t="shared" si="32"/>
        <v>0</v>
      </c>
      <c r="AM355" s="20">
        <f>AM344/AM349</f>
        <v>0.16091397911337046</v>
      </c>
      <c r="AN355" s="20">
        <f>AN344/AN349</f>
        <v>0</v>
      </c>
      <c r="AO355" s="20">
        <f>AO344/AO349</f>
        <v>0.27665814715939063</v>
      </c>
      <c r="AP355" s="20">
        <f>AP344/AP349</f>
        <v>0</v>
      </c>
      <c r="AQ355" s="20">
        <f t="shared" ref="AQ355:AW355" si="33">AQ344/AQ349</f>
        <v>9.0705952640398168E-3</v>
      </c>
      <c r="AR355" s="20">
        <f t="shared" si="33"/>
        <v>0</v>
      </c>
      <c r="AS355" s="20">
        <f t="shared" si="33"/>
        <v>0.22342933635915296</v>
      </c>
      <c r="AT355" s="20" t="e">
        <f t="shared" si="33"/>
        <v>#DIV/0!</v>
      </c>
      <c r="AU355" s="20">
        <f t="shared" si="33"/>
        <v>0.30356881341386271</v>
      </c>
      <c r="AV355" s="20">
        <f t="shared" si="33"/>
        <v>0</v>
      </c>
      <c r="AW355" s="20">
        <f t="shared" si="33"/>
        <v>0</v>
      </c>
      <c r="AX355" s="20">
        <f>AX344/AX349</f>
        <v>0</v>
      </c>
      <c r="AY355" s="20">
        <f t="shared" ref="AY355:BH355" si="34">AY344/AY349</f>
        <v>0.48339362641888806</v>
      </c>
      <c r="AZ355" s="20">
        <f t="shared" si="34"/>
        <v>2.1759359407897652E-2</v>
      </c>
      <c r="BA355" s="20">
        <f t="shared" si="34"/>
        <v>0</v>
      </c>
      <c r="BB355" s="20">
        <f t="shared" si="34"/>
        <v>0.27581651315070915</v>
      </c>
      <c r="BC355" s="20">
        <f t="shared" si="34"/>
        <v>0.6496241714191181</v>
      </c>
      <c r="BD355" s="20">
        <f t="shared" si="34"/>
        <v>2.221208225513812E-2</v>
      </c>
      <c r="BE355" s="20">
        <f t="shared" si="34"/>
        <v>0.28235569941479727</v>
      </c>
      <c r="BF355" s="20">
        <f t="shared" si="34"/>
        <v>2.2243888717915078E-2</v>
      </c>
      <c r="BG355" s="20">
        <f t="shared" si="34"/>
        <v>7.0122616751692554E-2</v>
      </c>
      <c r="BH355" s="20">
        <f t="shared" si="34"/>
        <v>0.66598556891102512</v>
      </c>
      <c r="BI355" s="21"/>
    </row>
    <row r="356" spans="1:61" x14ac:dyDescent="0.25">
      <c r="A356" t="s">
        <v>611</v>
      </c>
      <c r="E356" s="20">
        <f t="shared" ref="E356:AL356" si="35">E345/E349</f>
        <v>0.18234669666037218</v>
      </c>
      <c r="F356" s="20">
        <f t="shared" si="35"/>
        <v>0.31603822531397735</v>
      </c>
      <c r="G356" s="20">
        <f t="shared" si="35"/>
        <v>2.6255613890823156E-3</v>
      </c>
      <c r="H356" s="20">
        <f t="shared" si="35"/>
        <v>6.4233988273776063E-2</v>
      </c>
      <c r="I356" s="20">
        <f t="shared" si="35"/>
        <v>6.0577121076196602E-2</v>
      </c>
      <c r="J356" s="20">
        <f t="shared" si="35"/>
        <v>2.4053552325438662E-3</v>
      </c>
      <c r="K356" s="20">
        <f t="shared" si="35"/>
        <v>0</v>
      </c>
      <c r="L356" s="20">
        <f t="shared" si="35"/>
        <v>0.37854520485318249</v>
      </c>
      <c r="M356" s="20">
        <f t="shared" si="35"/>
        <v>6.5861915632849655E-2</v>
      </c>
      <c r="N356" s="20">
        <f>N345/N349</f>
        <v>0</v>
      </c>
      <c r="O356" s="20">
        <f t="shared" si="35"/>
        <v>0.20862914796699247</v>
      </c>
      <c r="P356" s="20">
        <f t="shared" si="35"/>
        <v>2.5924800231945056E-3</v>
      </c>
      <c r="Q356" s="20">
        <f t="shared" si="35"/>
        <v>8.3501358089884806E-2</v>
      </c>
      <c r="R356" s="20">
        <f t="shared" si="35"/>
        <v>4.8302202660104989E-3</v>
      </c>
      <c r="S356" s="20">
        <f t="shared" si="35"/>
        <v>0.31461484953107793</v>
      </c>
      <c r="T356" s="20">
        <f t="shared" si="35"/>
        <v>0</v>
      </c>
      <c r="U356" s="20">
        <f t="shared" si="35"/>
        <v>0</v>
      </c>
      <c r="V356" s="20">
        <f t="shared" si="35"/>
        <v>3.1661982921317657E-3</v>
      </c>
      <c r="W356" s="20">
        <f t="shared" si="35"/>
        <v>0.14229931908721938</v>
      </c>
      <c r="X356" s="20">
        <f t="shared" si="35"/>
        <v>0.39260183030951723</v>
      </c>
      <c r="Y356" s="20">
        <f t="shared" si="35"/>
        <v>0.30331965993163229</v>
      </c>
      <c r="Z356" s="20">
        <f t="shared" si="35"/>
        <v>0.36984124252187889</v>
      </c>
      <c r="AA356" s="20">
        <f t="shared" si="35"/>
        <v>0.10093370009267444</v>
      </c>
      <c r="AB356" s="20">
        <f t="shared" si="35"/>
        <v>0.18776654042762225</v>
      </c>
      <c r="AC356" s="20">
        <f t="shared" si="35"/>
        <v>0.34360653509269429</v>
      </c>
      <c r="AD356" s="20">
        <f t="shared" si="35"/>
        <v>0.34044360509961252</v>
      </c>
      <c r="AE356" s="20">
        <f t="shared" si="35"/>
        <v>0.29068119292197148</v>
      </c>
      <c r="AF356" s="20">
        <f t="shared" si="35"/>
        <v>0.63826094369441777</v>
      </c>
      <c r="AG356" s="20">
        <f t="shared" si="35"/>
        <v>0.29885439862990476</v>
      </c>
      <c r="AH356" s="20">
        <f t="shared" si="35"/>
        <v>0.30725249544631095</v>
      </c>
      <c r="AI356" s="20">
        <f t="shared" si="35"/>
        <v>0.62938435401598569</v>
      </c>
      <c r="AJ356" s="20">
        <f t="shared" si="35"/>
        <v>0.39490090791664656</v>
      </c>
      <c r="AK356" s="20">
        <f t="shared" si="35"/>
        <v>0.19996977644346595</v>
      </c>
      <c r="AL356" s="20">
        <f t="shared" si="35"/>
        <v>0.19994705115434536</v>
      </c>
      <c r="AM356" s="20">
        <f>AM345/AM349</f>
        <v>0</v>
      </c>
      <c r="AN356" s="20">
        <f>AN345/AN349</f>
        <v>0.20001809033281143</v>
      </c>
      <c r="AO356" s="20">
        <f>AO345/AO349</f>
        <v>0.35314746929583557</v>
      </c>
      <c r="AP356" s="20">
        <f>AP345/AP349</f>
        <v>0.88544549276363715</v>
      </c>
      <c r="AQ356" s="20">
        <f t="shared" ref="AQ356:AW356" si="36">AQ345/AQ349</f>
        <v>0.63973779406975728</v>
      </c>
      <c r="AR356" s="20">
        <f t="shared" si="36"/>
        <v>0.89801312171759773</v>
      </c>
      <c r="AS356" s="20">
        <f t="shared" si="36"/>
        <v>0.26566992609732309</v>
      </c>
      <c r="AT356" s="20" t="e">
        <f t="shared" si="36"/>
        <v>#DIV/0!</v>
      </c>
      <c r="AU356" s="20">
        <f t="shared" si="36"/>
        <v>0.14206030274554021</v>
      </c>
      <c r="AV356" s="20">
        <f t="shared" si="36"/>
        <v>0.89903194094085193</v>
      </c>
      <c r="AW356" s="20">
        <f t="shared" si="36"/>
        <v>0.88977320225765189</v>
      </c>
      <c r="AX356" s="20">
        <f>AX345/AX349</f>
        <v>0.37947699659949857</v>
      </c>
      <c r="AY356" s="20">
        <f t="shared" ref="AY356:BH356" si="37">AY345/AY349</f>
        <v>0.20920291871588464</v>
      </c>
      <c r="AZ356" s="20">
        <f t="shared" si="37"/>
        <v>0.88050721769107965</v>
      </c>
      <c r="BA356" s="20">
        <f t="shared" si="37"/>
        <v>0.38995007085155675</v>
      </c>
      <c r="BB356" s="20">
        <f t="shared" si="37"/>
        <v>0.34369337445584613</v>
      </c>
      <c r="BC356" s="20">
        <f t="shared" si="37"/>
        <v>4.3875338156496267E-3</v>
      </c>
      <c r="BD356" s="20">
        <f t="shared" si="37"/>
        <v>0.87617169364388603</v>
      </c>
      <c r="BE356" s="20">
        <f t="shared" si="37"/>
        <v>0.34130972867866638</v>
      </c>
      <c r="BF356" s="20">
        <f t="shared" si="37"/>
        <v>0.8774262924738313</v>
      </c>
      <c r="BG356" s="20">
        <f t="shared" si="37"/>
        <v>0.27696279809213825</v>
      </c>
      <c r="BH356" s="20">
        <f t="shared" si="37"/>
        <v>4.4766159655994812E-3</v>
      </c>
      <c r="BI356" s="21"/>
    </row>
    <row r="357" spans="1:61" x14ac:dyDescent="0.25">
      <c r="A357" t="s">
        <v>612</v>
      </c>
      <c r="E357" s="20">
        <f t="shared" ref="E357:AL357" si="38">E346/E349</f>
        <v>7.0450270653111394E-2</v>
      </c>
      <c r="F357" s="20">
        <f t="shared" si="38"/>
        <v>3.044746367469468E-2</v>
      </c>
      <c r="G357" s="20">
        <f t="shared" si="38"/>
        <v>6.9469226116725777E-2</v>
      </c>
      <c r="H357" s="20">
        <f t="shared" si="38"/>
        <v>0.88065357946779288</v>
      </c>
      <c r="I357" s="20">
        <f t="shared" si="38"/>
        <v>8.1649042183557258E-2</v>
      </c>
      <c r="J357" s="20">
        <f t="shared" si="38"/>
        <v>0.10790189782059131</v>
      </c>
      <c r="K357" s="20">
        <f t="shared" si="38"/>
        <v>3.62190149127175E-2</v>
      </c>
      <c r="L357" s="20">
        <f t="shared" si="38"/>
        <v>3.2332402538317956E-2</v>
      </c>
      <c r="M357" s="20">
        <f t="shared" si="38"/>
        <v>0.12635409454363902</v>
      </c>
      <c r="N357" s="20">
        <f>N346/N349</f>
        <v>0</v>
      </c>
      <c r="O357" s="20">
        <f t="shared" si="38"/>
        <v>0</v>
      </c>
      <c r="P357" s="20">
        <f t="shared" si="38"/>
        <v>8.8814188598016611E-2</v>
      </c>
      <c r="Q357" s="20">
        <f t="shared" si="38"/>
        <v>0</v>
      </c>
      <c r="R357" s="20">
        <f t="shared" si="38"/>
        <v>2.3413689715656985E-3</v>
      </c>
      <c r="S357" s="20">
        <f t="shared" si="38"/>
        <v>-1.2664752731019947E-2</v>
      </c>
      <c r="T357" s="20">
        <f t="shared" si="38"/>
        <v>0</v>
      </c>
      <c r="U357" s="20">
        <f t="shared" si="38"/>
        <v>1.8091051161273571E-2</v>
      </c>
      <c r="V357" s="20">
        <f t="shared" si="38"/>
        <v>0.1437132520424067</v>
      </c>
      <c r="W357" s="20">
        <f t="shared" si="38"/>
        <v>0.10282426045557767</v>
      </c>
      <c r="X357" s="20">
        <f t="shared" si="38"/>
        <v>0</v>
      </c>
      <c r="Y357" s="20">
        <f t="shared" si="38"/>
        <v>5.554621684967255E-2</v>
      </c>
      <c r="Z357" s="20">
        <f t="shared" si="38"/>
        <v>0</v>
      </c>
      <c r="AA357" s="20">
        <f t="shared" si="38"/>
        <v>3.627686787802048E-2</v>
      </c>
      <c r="AB357" s="20">
        <f t="shared" si="38"/>
        <v>0</v>
      </c>
      <c r="AC357" s="20">
        <f t="shared" si="38"/>
        <v>4.0653460171256872E-2</v>
      </c>
      <c r="AD357" s="20">
        <f t="shared" si="38"/>
        <v>0</v>
      </c>
      <c r="AE357" s="20">
        <f t="shared" si="38"/>
        <v>5.0300008185593784E-2</v>
      </c>
      <c r="AF357" s="20">
        <f t="shared" si="38"/>
        <v>-2.864255020696739E-2</v>
      </c>
      <c r="AG357" s="20">
        <f t="shared" si="38"/>
        <v>6.5393312418187147E-2</v>
      </c>
      <c r="AH357" s="20">
        <f t="shared" si="38"/>
        <v>6.5903010643813237E-2</v>
      </c>
      <c r="AI357" s="20">
        <f t="shared" si="38"/>
        <v>-6.9226978031068729E-3</v>
      </c>
      <c r="AJ357" s="20">
        <f t="shared" si="38"/>
        <v>5.782361672087267E-6</v>
      </c>
      <c r="AK357" s="20">
        <f t="shared" si="38"/>
        <v>2.6821673769971432E-5</v>
      </c>
      <c r="AL357" s="20">
        <f t="shared" si="38"/>
        <v>2.2973227081035259E-5</v>
      </c>
      <c r="AM357" s="20">
        <f>AM346/AM349</f>
        <v>2.0136427307821305E-2</v>
      </c>
      <c r="AN357" s="20">
        <f>AN346/AN349</f>
        <v>3.3348389179908908E-5</v>
      </c>
      <c r="AO357" s="20">
        <f>AO346/AO349</f>
        <v>-1.7415603163147816E-2</v>
      </c>
      <c r="AP357" s="20">
        <f>AP346/AP349</f>
        <v>0</v>
      </c>
      <c r="AQ357" s="20">
        <f t="shared" ref="AQ357:AW357" si="39">AQ346/AQ349</f>
        <v>-1.7359933707421234E-2</v>
      </c>
      <c r="AR357" s="20">
        <f t="shared" si="39"/>
        <v>0</v>
      </c>
      <c r="AS357" s="20">
        <f t="shared" si="39"/>
        <v>-1.1291696177059888E-2</v>
      </c>
      <c r="AT357" s="20" t="e">
        <f t="shared" si="39"/>
        <v>#DIV/0!</v>
      </c>
      <c r="AU357" s="20">
        <f t="shared" si="39"/>
        <v>-3.4065398107416792E-3</v>
      </c>
      <c r="AV357" s="20">
        <f t="shared" si="39"/>
        <v>0</v>
      </c>
      <c r="AW357" s="20">
        <f t="shared" si="39"/>
        <v>0</v>
      </c>
      <c r="AX357" s="20">
        <f>AX346/AX349</f>
        <v>0</v>
      </c>
      <c r="AY357" s="20">
        <f t="shared" ref="AY357:BH357" si="40">AY346/AY349</f>
        <v>0</v>
      </c>
      <c r="AZ357" s="20">
        <f t="shared" si="40"/>
        <v>0</v>
      </c>
      <c r="BA357" s="20">
        <f t="shared" si="40"/>
        <v>0</v>
      </c>
      <c r="BB357" s="20">
        <f t="shared" si="40"/>
        <v>-1.7244360303945994E-2</v>
      </c>
      <c r="BC357" s="20">
        <f t="shared" si="40"/>
        <v>0</v>
      </c>
      <c r="BD357" s="20">
        <f t="shared" si="40"/>
        <v>0</v>
      </c>
      <c r="BE357" s="20">
        <f t="shared" si="40"/>
        <v>-1.782478352412175E-2</v>
      </c>
      <c r="BF357" s="20">
        <f t="shared" si="40"/>
        <v>0</v>
      </c>
      <c r="BG357" s="20">
        <f t="shared" si="40"/>
        <v>0</v>
      </c>
      <c r="BH357" s="20">
        <f t="shared" si="40"/>
        <v>0</v>
      </c>
      <c r="BI357" s="21"/>
    </row>
    <row r="358" spans="1:61" x14ac:dyDescent="0.25">
      <c r="A358" t="s">
        <v>613</v>
      </c>
      <c r="E358" s="20">
        <f t="shared" ref="E358:M358" si="41">E347/E349</f>
        <v>0.19059553824955539</v>
      </c>
      <c r="F358" s="20">
        <f t="shared" si="41"/>
        <v>7.8278355977333777E-2</v>
      </c>
      <c r="G358" s="20">
        <f t="shared" si="41"/>
        <v>7.0721656004325312E-2</v>
      </c>
      <c r="H358" s="20">
        <f t="shared" si="41"/>
        <v>1.2112852550571514E-2</v>
      </c>
      <c r="I358" s="20">
        <f t="shared" si="41"/>
        <v>8.5092587435428649E-2</v>
      </c>
      <c r="J358" s="20">
        <f t="shared" si="41"/>
        <v>7.0723162993570635E-2</v>
      </c>
      <c r="K358" s="20">
        <f t="shared" si="41"/>
        <v>4.7334756315029779E-2</v>
      </c>
      <c r="L358" s="20">
        <f t="shared" si="41"/>
        <v>0.20888517666027648</v>
      </c>
      <c r="M358" s="20">
        <f t="shared" si="41"/>
        <v>0.18940544817791566</v>
      </c>
      <c r="N358" s="20">
        <f>N347/N349</f>
        <v>-2.1098415173219893E-5</v>
      </c>
      <c r="O358" s="20">
        <f t="shared" ref="O358:AL358" si="42">O347/O349</f>
        <v>2.6435529038562038E-2</v>
      </c>
      <c r="P358" s="20">
        <f t="shared" si="42"/>
        <v>8.0409726256022843E-2</v>
      </c>
      <c r="Q358" s="20">
        <f t="shared" si="42"/>
        <v>9.6810685451346346E-3</v>
      </c>
      <c r="R358" s="20">
        <f t="shared" si="42"/>
        <v>2.7178088911286077E-2</v>
      </c>
      <c r="S358" s="20">
        <f t="shared" si="42"/>
        <v>5.5080232636737544E-2</v>
      </c>
      <c r="T358" s="20">
        <f t="shared" si="42"/>
        <v>0</v>
      </c>
      <c r="U358" s="20">
        <f t="shared" si="42"/>
        <v>4.8622387270269629E-2</v>
      </c>
      <c r="V358" s="20">
        <f t="shared" si="42"/>
        <v>6.3506225243769768E-2</v>
      </c>
      <c r="W358" s="20">
        <f t="shared" si="42"/>
        <v>7.7586061057928701E-2</v>
      </c>
      <c r="X358" s="20">
        <f t="shared" si="42"/>
        <v>9.4792346358749148E-3</v>
      </c>
      <c r="Y358" s="20">
        <f t="shared" si="42"/>
        <v>0.13869208339960001</v>
      </c>
      <c r="Z358" s="20">
        <f t="shared" si="42"/>
        <v>-1.4412845192775274E-2</v>
      </c>
      <c r="AA358" s="20">
        <f t="shared" si="42"/>
        <v>7.0288291229839289E-2</v>
      </c>
      <c r="AB358" s="20">
        <f t="shared" si="42"/>
        <v>2.8227043774429254E-2</v>
      </c>
      <c r="AC358" s="20">
        <f t="shared" si="42"/>
        <v>7.4399990777244171E-2</v>
      </c>
      <c r="AD358" s="20">
        <f t="shared" si="42"/>
        <v>4.9379656878476691E-4</v>
      </c>
      <c r="AE358" s="20">
        <f t="shared" si="42"/>
        <v>0.16501078918579498</v>
      </c>
      <c r="AF358" s="20">
        <f t="shared" si="42"/>
        <v>5.8112707973600929E-2</v>
      </c>
      <c r="AG358" s="20">
        <f t="shared" si="42"/>
        <v>6.0475217080143227E-3</v>
      </c>
      <c r="AH358" s="20">
        <f t="shared" si="42"/>
        <v>0.2079377031852078</v>
      </c>
      <c r="AI358" s="20">
        <f t="shared" si="42"/>
        <v>6.3171853270442502E-2</v>
      </c>
      <c r="AJ358" s="20">
        <f t="shared" si="42"/>
        <v>-1.4108752305399531E-2</v>
      </c>
      <c r="AK358" s="20">
        <f t="shared" si="42"/>
        <v>1.5358150073964221E-2</v>
      </c>
      <c r="AL358" s="20">
        <f t="shared" si="42"/>
        <v>1.5338082215825024E-2</v>
      </c>
      <c r="AM358" s="20">
        <f>AM347/AM349</f>
        <v>4.7955809915887902E-2</v>
      </c>
      <c r="AN358" s="20">
        <f>AN347/AN349</f>
        <v>1.5245288314452784E-2</v>
      </c>
      <c r="AO358" s="20">
        <f>AO347/AO349</f>
        <v>4.8780702448846761E-2</v>
      </c>
      <c r="AP358" s="20">
        <f>AP347/AP349</f>
        <v>-2.0381907297621423E-4</v>
      </c>
      <c r="AQ358" s="20">
        <f t="shared" ref="AQ358:AW358" si="43">AQ347/AQ349</f>
        <v>4.6041171986532112E-2</v>
      </c>
      <c r="AR358" s="20">
        <f t="shared" si="43"/>
        <v>1.449930033332807E-4</v>
      </c>
      <c r="AS358" s="20">
        <f t="shared" si="43"/>
        <v>3.8912929816559694E-2</v>
      </c>
      <c r="AT358" s="20" t="e">
        <f t="shared" si="43"/>
        <v>#DIV/0!</v>
      </c>
      <c r="AU358" s="20">
        <f t="shared" si="43"/>
        <v>2.6555860645472596E-2</v>
      </c>
      <c r="AV358" s="20">
        <f t="shared" si="43"/>
        <v>3.5508391381259885E-4</v>
      </c>
      <c r="AW358" s="20">
        <f t="shared" si="43"/>
        <v>-5.5554117549569922E-5</v>
      </c>
      <c r="AX358" s="20">
        <f>AX347/AX349</f>
        <v>9.0418823575754165E-3</v>
      </c>
      <c r="AY358" s="20">
        <f t="shared" ref="AY358:BH358" si="44">AY347/AY349</f>
        <v>4.6623136670138822E-2</v>
      </c>
      <c r="AZ358" s="20">
        <f t="shared" si="44"/>
        <v>6.963558058421504E-2</v>
      </c>
      <c r="BA358" s="20">
        <f t="shared" si="44"/>
        <v>9.422578217733478E-3</v>
      </c>
      <c r="BB358" s="20">
        <f t="shared" si="44"/>
        <v>4.73161402395577E-2</v>
      </c>
      <c r="BC358" s="20">
        <f t="shared" si="44"/>
        <v>4.0230052524684805E-2</v>
      </c>
      <c r="BD358" s="20">
        <f t="shared" si="44"/>
        <v>7.1249981545876584E-2</v>
      </c>
      <c r="BE358" s="20">
        <f t="shared" si="44"/>
        <v>4.73773815754805E-2</v>
      </c>
      <c r="BF358" s="20">
        <f t="shared" si="44"/>
        <v>7.083070899282716E-2</v>
      </c>
      <c r="BG358" s="20">
        <f t="shared" si="44"/>
        <v>-1.590072479385278E-2</v>
      </c>
      <c r="BH358" s="20">
        <f t="shared" si="44"/>
        <v>3.9698132754787563E-2</v>
      </c>
      <c r="BI358" s="21"/>
    </row>
    <row r="359" spans="1:61" x14ac:dyDescent="0.25">
      <c r="A359" s="21" t="s">
        <v>704</v>
      </c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</row>
  </sheetData>
  <mergeCells count="2">
    <mergeCell ref="BI1:BI359"/>
    <mergeCell ref="A359:BH359"/>
  </mergeCells>
  <conditionalFormatting sqref="A16:A32">
    <cfRule type="cellIs" dxfId="3" priority="16" stopIfTrue="1" operator="lessThan">
      <formula>0</formula>
    </cfRule>
  </conditionalFormatting>
  <conditionalFormatting sqref="B22:B32">
    <cfRule type="cellIs" dxfId="2" priority="25" stopIfTrue="1" operator="lessThan">
      <formula>0</formula>
    </cfRule>
  </conditionalFormatting>
  <conditionalFormatting sqref="C15:D23">
    <cfRule type="cellIs" dxfId="1" priority="17" stopIfTrue="1" operator="lessThan">
      <formula>0</formula>
    </cfRule>
  </conditionalFormatting>
  <conditionalFormatting sqref="E14:BH22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5CD669A9-A476-492E-A0B8-9D6522F3D377}"/>
</file>

<file path=customXml/itemProps2.xml><?xml version="1.0" encoding="utf-8"?>
<ds:datastoreItem xmlns:ds="http://schemas.openxmlformats.org/officeDocument/2006/customXml" ds:itemID="{84830E15-A3BD-4497-8042-7D0551FA1AFC}"/>
</file>

<file path=customXml/itemProps3.xml><?xml version="1.0" encoding="utf-8"?>
<ds:datastoreItem xmlns:ds="http://schemas.openxmlformats.org/officeDocument/2006/customXml" ds:itemID="{E178ED60-3561-4280-B0E4-E532DA4FE8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5/2026</dc:title>
  <dc:creator>פרידמן אמיר</dc:creator>
  <cp:lastModifiedBy>תמי ברמן</cp:lastModifiedBy>
  <cp:lastPrinted>2026-06-17T10:34:37Z</cp:lastPrinted>
  <dcterms:created xsi:type="dcterms:W3CDTF">2026-06-16T11:25:57Z</dcterms:created>
  <dcterms:modified xsi:type="dcterms:W3CDTF">2026-06-17T10:34:59Z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