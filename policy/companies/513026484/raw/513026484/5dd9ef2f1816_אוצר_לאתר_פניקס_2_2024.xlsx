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ASUS Vivobook\Downloads\"/>
    </mc:Choice>
  </mc:AlternateContent>
  <xr:revisionPtr revIDLastSave="0" documentId="8_{E70F21FC-2122-4883-B60F-067EDBB00A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גיליון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F354" i="1" l="1"/>
  <c r="BE354" i="1"/>
  <c r="BD354" i="1"/>
  <c r="BC354" i="1"/>
  <c r="BB354" i="1"/>
  <c r="BA354" i="1"/>
  <c r="AZ354" i="1"/>
  <c r="AY354" i="1"/>
  <c r="AX354" i="1"/>
  <c r="AW354" i="1"/>
  <c r="AV354" i="1"/>
  <c r="AU354" i="1"/>
  <c r="AT354" i="1"/>
  <c r="AS354" i="1"/>
  <c r="AR354" i="1"/>
  <c r="AQ354" i="1"/>
  <c r="AP354" i="1"/>
  <c r="AO354" i="1"/>
  <c r="AN354" i="1"/>
  <c r="AM354" i="1"/>
  <c r="AL354" i="1"/>
  <c r="AK354" i="1"/>
  <c r="AJ354" i="1"/>
  <c r="AI354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BF349" i="1"/>
  <c r="BE349" i="1"/>
  <c r="BD349" i="1"/>
  <c r="BC349" i="1"/>
  <c r="BB349" i="1"/>
  <c r="BA349" i="1"/>
  <c r="AZ349" i="1"/>
  <c r="AY349" i="1"/>
  <c r="AX349" i="1"/>
  <c r="AW349" i="1"/>
  <c r="AV349" i="1"/>
  <c r="AU349" i="1"/>
  <c r="AT349" i="1"/>
  <c r="AS349" i="1"/>
  <c r="AR349" i="1"/>
  <c r="AQ349" i="1"/>
  <c r="AP349" i="1"/>
  <c r="AO349" i="1"/>
  <c r="AN349" i="1"/>
  <c r="AM349" i="1"/>
  <c r="AL349" i="1"/>
  <c r="AK349" i="1"/>
  <c r="AJ349" i="1"/>
  <c r="AI349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BF348" i="1"/>
  <c r="BE348" i="1"/>
  <c r="BD348" i="1"/>
  <c r="BC348" i="1"/>
  <c r="BB348" i="1"/>
  <c r="BA348" i="1"/>
  <c r="AZ348" i="1"/>
  <c r="AY348" i="1"/>
  <c r="AX348" i="1"/>
  <c r="AW348" i="1"/>
  <c r="AV348" i="1"/>
  <c r="AU348" i="1"/>
  <c r="AT348" i="1"/>
  <c r="AS348" i="1"/>
  <c r="AR348" i="1"/>
  <c r="AQ348" i="1"/>
  <c r="AP348" i="1"/>
  <c r="AO348" i="1"/>
  <c r="AN348" i="1"/>
  <c r="AM348" i="1"/>
  <c r="AL348" i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BF347" i="1"/>
  <c r="BE347" i="1"/>
  <c r="BD347" i="1"/>
  <c r="BC347" i="1"/>
  <c r="BB347" i="1"/>
  <c r="BA347" i="1"/>
  <c r="AZ347" i="1"/>
  <c r="AY347" i="1"/>
  <c r="AX347" i="1"/>
  <c r="AW347" i="1"/>
  <c r="AV347" i="1"/>
  <c r="AU347" i="1"/>
  <c r="AT347" i="1"/>
  <c r="AS347" i="1"/>
  <c r="AR347" i="1"/>
  <c r="AQ347" i="1"/>
  <c r="AP347" i="1"/>
  <c r="AO347" i="1"/>
  <c r="AN347" i="1"/>
  <c r="AM347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BF346" i="1"/>
  <c r="BE346" i="1"/>
  <c r="BD346" i="1"/>
  <c r="BC346" i="1"/>
  <c r="BB346" i="1"/>
  <c r="BA346" i="1"/>
  <c r="AZ346" i="1"/>
  <c r="AY346" i="1"/>
  <c r="AX346" i="1"/>
  <c r="AW346" i="1"/>
  <c r="AV346" i="1"/>
  <c r="AU346" i="1"/>
  <c r="AT346" i="1"/>
  <c r="AS346" i="1"/>
  <c r="AR346" i="1"/>
  <c r="AQ346" i="1"/>
  <c r="AP346" i="1"/>
  <c r="AO346" i="1"/>
  <c r="AN346" i="1"/>
  <c r="AM346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Q345" i="1"/>
  <c r="AP345" i="1"/>
  <c r="AO345" i="1"/>
  <c r="AN345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BF344" i="1"/>
  <c r="BE344" i="1"/>
  <c r="BD344" i="1"/>
  <c r="BC344" i="1"/>
  <c r="BB344" i="1"/>
  <c r="BA344" i="1"/>
  <c r="AZ344" i="1"/>
  <c r="AY344" i="1"/>
  <c r="AX344" i="1"/>
  <c r="AW344" i="1"/>
  <c r="AV344" i="1"/>
  <c r="AU344" i="1"/>
  <c r="AT344" i="1"/>
  <c r="AS344" i="1"/>
  <c r="AR344" i="1"/>
  <c r="AQ344" i="1"/>
  <c r="AP344" i="1"/>
  <c r="AO344" i="1"/>
  <c r="AN344" i="1"/>
  <c r="AM344" i="1"/>
  <c r="AL344" i="1"/>
  <c r="AK344" i="1"/>
  <c r="AJ344" i="1"/>
  <c r="AI344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BF342" i="1"/>
  <c r="BE342" i="1"/>
  <c r="BD342" i="1"/>
  <c r="BC342" i="1"/>
  <c r="BB342" i="1"/>
  <c r="BA342" i="1"/>
  <c r="AZ342" i="1"/>
  <c r="AY342" i="1"/>
  <c r="AX342" i="1"/>
  <c r="AW342" i="1"/>
  <c r="AV342" i="1"/>
  <c r="AU342" i="1"/>
  <c r="AT342" i="1"/>
  <c r="AS342" i="1"/>
  <c r="AR342" i="1"/>
  <c r="AQ342" i="1"/>
  <c r="AP342" i="1"/>
  <c r="AO342" i="1"/>
  <c r="AN342" i="1"/>
  <c r="AM342" i="1"/>
  <c r="AL342" i="1"/>
  <c r="AK342" i="1"/>
  <c r="AJ342" i="1"/>
  <c r="AI342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Q351" i="1" l="1"/>
  <c r="Q353" i="1" s="1"/>
  <c r="AG351" i="1"/>
  <c r="AG353" i="1" s="1"/>
  <c r="AK351" i="1"/>
  <c r="AK353" i="1" s="1"/>
  <c r="E351" i="1"/>
  <c r="E353" i="1" s="1"/>
  <c r="H351" i="1"/>
  <c r="H353" i="1" s="1"/>
  <c r="E357" i="1"/>
  <c r="Q357" i="1"/>
  <c r="AG357" i="1"/>
  <c r="M351" i="1"/>
  <c r="M353" i="1" s="1"/>
  <c r="AC351" i="1"/>
  <c r="AC353" i="1" s="1"/>
  <c r="AS351" i="1"/>
  <c r="AS353" i="1" s="1"/>
  <c r="AW351" i="1"/>
  <c r="AW353" i="1" s="1"/>
  <c r="AK355" i="1"/>
  <c r="E355" i="1"/>
  <c r="Q355" i="1"/>
  <c r="AG355" i="1"/>
  <c r="H358" i="1"/>
  <c r="U351" i="1"/>
  <c r="U353" i="1" s="1"/>
  <c r="BA351" i="1"/>
  <c r="BA353" i="1" s="1"/>
  <c r="AK357" i="1"/>
  <c r="Q359" i="1"/>
  <c r="AG359" i="1"/>
  <c r="G351" i="1"/>
  <c r="G358" i="1" s="1"/>
  <c r="I351" i="1"/>
  <c r="I353" i="1" s="1"/>
  <c r="Y351" i="1"/>
  <c r="Y353" i="1" s="1"/>
  <c r="AO351" i="1"/>
  <c r="AO353" i="1" s="1"/>
  <c r="BE351" i="1"/>
  <c r="BE353" i="1" s="1"/>
  <c r="F351" i="1"/>
  <c r="F353" i="1" s="1"/>
  <c r="J351" i="1"/>
  <c r="J353" i="1" s="1"/>
  <c r="N351" i="1"/>
  <c r="N353" i="1" s="1"/>
  <c r="R351" i="1"/>
  <c r="R353" i="1" s="1"/>
  <c r="V351" i="1"/>
  <c r="V353" i="1" s="1"/>
  <c r="Z351" i="1"/>
  <c r="Z353" i="1" s="1"/>
  <c r="AD351" i="1"/>
  <c r="AD353" i="1" s="1"/>
  <c r="AH351" i="1"/>
  <c r="AH353" i="1" s="1"/>
  <c r="AL351" i="1"/>
  <c r="AL353" i="1" s="1"/>
  <c r="AP351" i="1"/>
  <c r="AP353" i="1" s="1"/>
  <c r="AT351" i="1"/>
  <c r="AT353" i="1" s="1"/>
  <c r="AX351" i="1"/>
  <c r="AX353" i="1" s="1"/>
  <c r="BB351" i="1"/>
  <c r="BB353" i="1" s="1"/>
  <c r="BF351" i="1"/>
  <c r="BF353" i="1" s="1"/>
  <c r="H355" i="1"/>
  <c r="Q356" i="1"/>
  <c r="AG356" i="1"/>
  <c r="AK356" i="1"/>
  <c r="AS356" i="1"/>
  <c r="BA356" i="1"/>
  <c r="BE356" i="1"/>
  <c r="Q358" i="1"/>
  <c r="AG358" i="1"/>
  <c r="AK358" i="1"/>
  <c r="BA358" i="1"/>
  <c r="G359" i="1"/>
  <c r="M360" i="1"/>
  <c r="Q360" i="1"/>
  <c r="AG360" i="1"/>
  <c r="AK360" i="1"/>
  <c r="AS360" i="1"/>
  <c r="K351" i="1"/>
  <c r="K353" i="1" s="1"/>
  <c r="O351" i="1"/>
  <c r="O353" i="1" s="1"/>
  <c r="S351" i="1"/>
  <c r="S353" i="1" s="1"/>
  <c r="W351" i="1"/>
  <c r="W353" i="1" s="1"/>
  <c r="AA351" i="1"/>
  <c r="AA353" i="1" s="1"/>
  <c r="AE351" i="1"/>
  <c r="AE353" i="1" s="1"/>
  <c r="AI351" i="1"/>
  <c r="AI353" i="1" s="1"/>
  <c r="AM351" i="1"/>
  <c r="AM353" i="1" s="1"/>
  <c r="AQ351" i="1"/>
  <c r="AQ353" i="1" s="1"/>
  <c r="AU351" i="1"/>
  <c r="AU353" i="1" s="1"/>
  <c r="AY351" i="1"/>
  <c r="AY353" i="1" s="1"/>
  <c r="BC351" i="1"/>
  <c r="BC353" i="1" s="1"/>
  <c r="R356" i="1"/>
  <c r="V356" i="1"/>
  <c r="AL356" i="1"/>
  <c r="AX356" i="1"/>
  <c r="AP358" i="1"/>
  <c r="AX358" i="1"/>
  <c r="H359" i="1"/>
  <c r="J360" i="1"/>
  <c r="R360" i="1"/>
  <c r="AH360" i="1"/>
  <c r="AL360" i="1"/>
  <c r="AP360" i="1"/>
  <c r="AX360" i="1"/>
  <c r="BB360" i="1"/>
  <c r="L351" i="1"/>
  <c r="L353" i="1" s="1"/>
  <c r="P351" i="1"/>
  <c r="P353" i="1" s="1"/>
  <c r="T351" i="1"/>
  <c r="T353" i="1" s="1"/>
  <c r="X351" i="1"/>
  <c r="X353" i="1" s="1"/>
  <c r="AB351" i="1"/>
  <c r="AB353" i="1" s="1"/>
  <c r="AF351" i="1"/>
  <c r="AF353" i="1" s="1"/>
  <c r="AJ351" i="1"/>
  <c r="AJ353" i="1" s="1"/>
  <c r="AN351" i="1"/>
  <c r="AN353" i="1" s="1"/>
  <c r="AR351" i="1"/>
  <c r="AR353" i="1" s="1"/>
  <c r="AV351" i="1"/>
  <c r="AV353" i="1" s="1"/>
  <c r="AZ351" i="1"/>
  <c r="AZ353" i="1" s="1"/>
  <c r="BD351" i="1"/>
  <c r="BD353" i="1" s="1"/>
  <c r="U358" i="1" l="1"/>
  <c r="H356" i="1"/>
  <c r="Z360" i="1"/>
  <c r="H357" i="1"/>
  <c r="E360" i="1"/>
  <c r="I358" i="1"/>
  <c r="I356" i="1"/>
  <c r="E359" i="1"/>
  <c r="AS359" i="1"/>
  <c r="R358" i="1"/>
  <c r="I360" i="1"/>
  <c r="AK359" i="1"/>
  <c r="V360" i="1"/>
  <c r="BB356" i="1"/>
  <c r="AM359" i="1"/>
  <c r="E358" i="1"/>
  <c r="E356" i="1"/>
  <c r="BA357" i="1"/>
  <c r="AS357" i="1"/>
  <c r="AH356" i="1"/>
  <c r="AW358" i="1"/>
  <c r="AW356" i="1"/>
  <c r="F358" i="1"/>
  <c r="F356" i="1"/>
  <c r="BA360" i="1"/>
  <c r="AV360" i="1"/>
  <c r="F360" i="1"/>
  <c r="AF355" i="1"/>
  <c r="AW360" i="1"/>
  <c r="AY359" i="1"/>
  <c r="AW359" i="1"/>
  <c r="AF359" i="1"/>
  <c r="P355" i="1"/>
  <c r="H360" i="1"/>
  <c r="AV358" i="1"/>
  <c r="BA355" i="1"/>
  <c r="M359" i="1"/>
  <c r="AI360" i="1"/>
  <c r="AH358" i="1"/>
  <c r="BF360" i="1"/>
  <c r="BE360" i="1"/>
  <c r="AZ359" i="1"/>
  <c r="BF358" i="1"/>
  <c r="S359" i="1"/>
  <c r="AS358" i="1"/>
  <c r="AX359" i="1"/>
  <c r="I355" i="1"/>
  <c r="AT360" i="1"/>
  <c r="AD360" i="1"/>
  <c r="N360" i="1"/>
  <c r="AV359" i="1"/>
  <c r="Y356" i="1"/>
  <c r="AY355" i="1"/>
  <c r="F359" i="1"/>
  <c r="R355" i="1"/>
  <c r="BA359" i="1"/>
  <c r="X359" i="1"/>
  <c r="AO356" i="1"/>
  <c r="AN359" i="1"/>
  <c r="T359" i="1"/>
  <c r="AD358" i="1"/>
  <c r="J358" i="1"/>
  <c r="AD356" i="1"/>
  <c r="AO360" i="1"/>
  <c r="Y360" i="1"/>
  <c r="AI359" i="1"/>
  <c r="M358" i="1"/>
  <c r="AI355" i="1"/>
  <c r="U357" i="1"/>
  <c r="AF360" i="1"/>
  <c r="AH359" i="1"/>
  <c r="AF358" i="1"/>
  <c r="AX355" i="1"/>
  <c r="AW355" i="1"/>
  <c r="N358" i="1"/>
  <c r="N356" i="1"/>
  <c r="AC360" i="1"/>
  <c r="U356" i="1"/>
  <c r="BD359" i="1"/>
  <c r="AJ359" i="1"/>
  <c r="P359" i="1"/>
  <c r="AT358" i="1"/>
  <c r="Z358" i="1"/>
  <c r="AT356" i="1"/>
  <c r="AV355" i="1"/>
  <c r="BC359" i="1"/>
  <c r="W359" i="1"/>
  <c r="AC358" i="1"/>
  <c r="S355" i="1"/>
  <c r="P360" i="1"/>
  <c r="R359" i="1"/>
  <c r="P358" i="1"/>
  <c r="AH355" i="1"/>
  <c r="I359" i="1"/>
  <c r="I357" i="1"/>
  <c r="AS355" i="1"/>
  <c r="BD357" i="1"/>
  <c r="AR355" i="1"/>
  <c r="AJ357" i="1"/>
  <c r="AN355" i="1"/>
  <c r="BC357" i="1"/>
  <c r="W357" i="1"/>
  <c r="AQ355" i="1"/>
  <c r="K355" i="1"/>
  <c r="O360" i="1"/>
  <c r="AR359" i="1"/>
  <c r="AB359" i="1"/>
  <c r="L359" i="1"/>
  <c r="BB358" i="1"/>
  <c r="AL358" i="1"/>
  <c r="V358" i="1"/>
  <c r="AV357" i="1"/>
  <c r="AF357" i="1"/>
  <c r="P357" i="1"/>
  <c r="BF356" i="1"/>
  <c r="AP356" i="1"/>
  <c r="Z356" i="1"/>
  <c r="J356" i="1"/>
  <c r="AZ355" i="1"/>
  <c r="AJ355" i="1"/>
  <c r="T355" i="1"/>
  <c r="U360" i="1"/>
  <c r="AU359" i="1"/>
  <c r="AE359" i="1"/>
  <c r="O359" i="1"/>
  <c r="BE358" i="1"/>
  <c r="AO358" i="1"/>
  <c r="Y358" i="1"/>
  <c r="AY357" i="1"/>
  <c r="AI357" i="1"/>
  <c r="S357" i="1"/>
  <c r="G357" i="1"/>
  <c r="AC356" i="1"/>
  <c r="M356" i="1"/>
  <c r="BC355" i="1"/>
  <c r="AM355" i="1"/>
  <c r="W355" i="1"/>
  <c r="AY360" i="1"/>
  <c r="BE359" i="1"/>
  <c r="AU356" i="1"/>
  <c r="AZ360" i="1"/>
  <c r="AJ360" i="1"/>
  <c r="T360" i="1"/>
  <c r="AT359" i="1"/>
  <c r="AD359" i="1"/>
  <c r="N359" i="1"/>
  <c r="BD358" i="1"/>
  <c r="AN358" i="1"/>
  <c r="X358" i="1"/>
  <c r="AX357" i="1"/>
  <c r="AH357" i="1"/>
  <c r="R357" i="1"/>
  <c r="F357" i="1"/>
  <c r="AR356" i="1"/>
  <c r="AB356" i="1"/>
  <c r="L356" i="1"/>
  <c r="BB355" i="1"/>
  <c r="AL355" i="1"/>
  <c r="V355" i="1"/>
  <c r="F355" i="1"/>
  <c r="K360" i="1"/>
  <c r="S360" i="1"/>
  <c r="AC359" i="1"/>
  <c r="W358" i="1"/>
  <c r="Y359" i="1"/>
  <c r="S358" i="1"/>
  <c r="M357" i="1"/>
  <c r="AW357" i="1"/>
  <c r="AI356" i="1"/>
  <c r="BE357" i="1"/>
  <c r="G356" i="1"/>
  <c r="AR357" i="1"/>
  <c r="AB357" i="1"/>
  <c r="L357" i="1"/>
  <c r="AQ359" i="1"/>
  <c r="AA359" i="1"/>
  <c r="K359" i="1"/>
  <c r="AU357" i="1"/>
  <c r="AE357" i="1"/>
  <c r="O357" i="1"/>
  <c r="AM360" i="1"/>
  <c r="AQ358" i="1"/>
  <c r="AE356" i="1"/>
  <c r="BF359" i="1"/>
  <c r="AP359" i="1"/>
  <c r="Z359" i="1"/>
  <c r="J359" i="1"/>
  <c r="AZ358" i="1"/>
  <c r="AJ358" i="1"/>
  <c r="T358" i="1"/>
  <c r="AT357" i="1"/>
  <c r="AD357" i="1"/>
  <c r="N357" i="1"/>
  <c r="BD356" i="1"/>
  <c r="AN356" i="1"/>
  <c r="X356" i="1"/>
  <c r="AU360" i="1"/>
  <c r="G360" i="1"/>
  <c r="AU358" i="1"/>
  <c r="BC360" i="1"/>
  <c r="BC356" i="1"/>
  <c r="AO355" i="1"/>
  <c r="K356" i="1"/>
  <c r="AO357" i="1"/>
  <c r="AQ356" i="1"/>
  <c r="AN357" i="1"/>
  <c r="X357" i="1"/>
  <c r="AB355" i="1"/>
  <c r="L355" i="1"/>
  <c r="AQ357" i="1"/>
  <c r="AA357" i="1"/>
  <c r="K357" i="1"/>
  <c r="AU355" i="1"/>
  <c r="AE355" i="1"/>
  <c r="O355" i="1"/>
  <c r="G355" i="1"/>
  <c r="G353" i="1"/>
  <c r="AA360" i="1"/>
  <c r="AA358" i="1"/>
  <c r="O356" i="1"/>
  <c r="AR360" i="1"/>
  <c r="AB360" i="1"/>
  <c r="L360" i="1"/>
  <c r="BB359" i="1"/>
  <c r="AL359" i="1"/>
  <c r="V359" i="1"/>
  <c r="BF357" i="1"/>
  <c r="AP357" i="1"/>
  <c r="Z357" i="1"/>
  <c r="J357" i="1"/>
  <c r="AZ356" i="1"/>
  <c r="AJ356" i="1"/>
  <c r="T356" i="1"/>
  <c r="AT355" i="1"/>
  <c r="AD355" i="1"/>
  <c r="N355" i="1"/>
  <c r="AE358" i="1"/>
  <c r="AQ360" i="1"/>
  <c r="BC358" i="1"/>
  <c r="Y355" i="1"/>
  <c r="AY358" i="1"/>
  <c r="AM356" i="1"/>
  <c r="Y357" i="1"/>
  <c r="AA356" i="1"/>
  <c r="U355" i="1"/>
  <c r="AZ357" i="1"/>
  <c r="T357" i="1"/>
  <c r="BD355" i="1"/>
  <c r="X355" i="1"/>
  <c r="AM357" i="1"/>
  <c r="AA355" i="1"/>
  <c r="J355" i="1"/>
  <c r="K358" i="1"/>
  <c r="BE355" i="1"/>
  <c r="BD360" i="1"/>
  <c r="AN360" i="1"/>
  <c r="X360" i="1"/>
  <c r="AR358" i="1"/>
  <c r="AB358" i="1"/>
  <c r="L358" i="1"/>
  <c r="BB357" i="1"/>
  <c r="AL357" i="1"/>
  <c r="V357" i="1"/>
  <c r="AV356" i="1"/>
  <c r="AF356" i="1"/>
  <c r="P356" i="1"/>
  <c r="BF355" i="1"/>
  <c r="AP355" i="1"/>
  <c r="Z355" i="1"/>
  <c r="W360" i="1"/>
  <c r="U359" i="1"/>
  <c r="O358" i="1"/>
  <c r="AE360" i="1"/>
  <c r="AO359" i="1"/>
  <c r="AM358" i="1"/>
  <c r="AI358" i="1"/>
  <c r="AC357" i="1"/>
  <c r="W356" i="1"/>
  <c r="AY356" i="1"/>
  <c r="AC355" i="1"/>
  <c r="S356" i="1"/>
  <c r="M355" i="1"/>
</calcChain>
</file>

<file path=xl/sharedStrings.xml><?xml version="1.0" encoding="utf-8"?>
<sst xmlns="http://schemas.openxmlformats.org/spreadsheetml/2006/main" count="779" uniqueCount="711">
  <si>
    <t>אישור</t>
  </si>
  <si>
    <t>מזומן בש"ח</t>
  </si>
  <si>
    <t>DA12</t>
  </si>
  <si>
    <t>מזומן מט"ח</t>
  </si>
  <si>
    <t>DT11</t>
  </si>
  <si>
    <t>פרי / פחק</t>
  </si>
  <si>
    <t>DA10</t>
  </si>
  <si>
    <t>פקמ לתקופה של עד שלושה חודשים</t>
  </si>
  <si>
    <t>DT420</t>
  </si>
  <si>
    <t>פקדון צמוד מדד לתקופה של עד שלושה חודשים</t>
  </si>
  <si>
    <t>DT421</t>
  </si>
  <si>
    <t>פקדון צמוד מט"ח לתקופה של עד שלושה חודשים</t>
  </si>
  <si>
    <t>DT422</t>
  </si>
  <si>
    <t>פקדון במט"ח לתקופה של עד שלושה חודשים</t>
  </si>
  <si>
    <t>DT423</t>
  </si>
  <si>
    <t>DT191</t>
  </si>
  <si>
    <t>פקדון לתקופה של עד שלושה חודשים בחול</t>
  </si>
  <si>
    <t>DT424</t>
  </si>
  <si>
    <t>ממשלתי צמוד</t>
  </si>
  <si>
    <t>DT13</t>
  </si>
  <si>
    <t>ממשלתי צמוד מט"ח</t>
  </si>
  <si>
    <t>DT14</t>
  </si>
  <si>
    <t>ממשלתי לא צמוד קבוע</t>
  </si>
  <si>
    <t>DT15</t>
  </si>
  <si>
    <t>ממשלתי לא צמוד משתנה</t>
  </si>
  <si>
    <t>DT16</t>
  </si>
  <si>
    <t>מק"מ</t>
  </si>
  <si>
    <t>DA9</t>
  </si>
  <si>
    <t>אג"ח מיועדות</t>
  </si>
  <si>
    <t>DT7</t>
  </si>
  <si>
    <t>פקדונות חשכל</t>
  </si>
  <si>
    <t>DA8</t>
  </si>
  <si>
    <t>ממשלתי בחו"ל</t>
  </si>
  <si>
    <t>DT17</t>
  </si>
  <si>
    <t>ממשלתי זר בחו"ל</t>
  </si>
  <si>
    <t>DT26</t>
  </si>
  <si>
    <t>ממשלתי לא סחיר בחו"ל</t>
  </si>
  <si>
    <t>DT425</t>
  </si>
  <si>
    <t>ממשלתי זר לא סחיר בחו"ל</t>
  </si>
  <si>
    <t>DT426</t>
  </si>
  <si>
    <t>תעודות חוב צמוד מדד בדרוג AA- ומעלה</t>
  </si>
  <si>
    <t>DT427</t>
  </si>
  <si>
    <t>תעודות חוב צמוד מט"ח בדרוג AA- ומעלה</t>
  </si>
  <si>
    <t>DT560</t>
  </si>
  <si>
    <t>תעודות חוב לא צמוד בדרוג AA- ומעלה</t>
  </si>
  <si>
    <t>DT561</t>
  </si>
  <si>
    <t>תעודות חוב צמוד מדד בדרוג -A+:BBB</t>
  </si>
  <si>
    <t>DT428</t>
  </si>
  <si>
    <t>תעודות חוב צמוד מט"ח בדרוג -A+:BBB</t>
  </si>
  <si>
    <t>DT562</t>
  </si>
  <si>
    <t>תעודות חוב לא צמוד בדרוג -A+:BBB</t>
  </si>
  <si>
    <t>DT563</t>
  </si>
  <si>
    <t>תעודות חוב צמוד מדד בדרוג בדרוג נמוך</t>
  </si>
  <si>
    <t>DT429</t>
  </si>
  <si>
    <t>תעודות חוב צמוד מט"ח בדרוג בדרוג נמוך</t>
  </si>
  <si>
    <t>DT564</t>
  </si>
  <si>
    <t>תעודות חוב לא צמוד בדרוג בדרוג נמוך</t>
  </si>
  <si>
    <t>DT565</t>
  </si>
  <si>
    <t>תעודות חוב ל"ס צמוד מדד -AA ומעלה</t>
  </si>
  <si>
    <t>DT430</t>
  </si>
  <si>
    <t>תעודות חוב ל"ס צמוד מט"ח -AA ומעלה</t>
  </si>
  <si>
    <t>DT566</t>
  </si>
  <si>
    <t>תעודות חוב ל"ס לא צמוד -AA ומעלה</t>
  </si>
  <si>
    <t>DT567</t>
  </si>
  <si>
    <t>תעודות חוב ל"ס צמוד מדד -A+:BBB</t>
  </si>
  <si>
    <t>DT431</t>
  </si>
  <si>
    <t>תעודות חוב ל"ס צמוד מט"ח -A+:BBB</t>
  </si>
  <si>
    <t>DT568</t>
  </si>
  <si>
    <t>תעודות חוב ל"ס לא צמוד -A+:BBB</t>
  </si>
  <si>
    <t>DT569</t>
  </si>
  <si>
    <t>תעודות חוב ל"ס צמוד מדד דרוג נמוך עם בטוחה מספקת</t>
  </si>
  <si>
    <t>DT547</t>
  </si>
  <si>
    <t>תעודות חוב ל"ס צמוד מט"ח דרוג נמוך עם בטוחה מספקת</t>
  </si>
  <si>
    <t>DT570</t>
  </si>
  <si>
    <t>תעודות חוב ל"ס לא צמוד דרוג נמוך עם בטוחה מספקת</t>
  </si>
  <si>
    <t>DT571</t>
  </si>
  <si>
    <t>תעודות חוב ל"ס צמוד מדד דרוג נמוך</t>
  </si>
  <si>
    <t>DT432</t>
  </si>
  <si>
    <t>תעודות חוב ל"ס צמוד מט"ח דרוג נמוך</t>
  </si>
  <si>
    <t>DT572</t>
  </si>
  <si>
    <t>תעודות חוב ל"ס לא צמוד דרוג נמוך</t>
  </si>
  <si>
    <t>DT573</t>
  </si>
  <si>
    <t>תעודות חוב סחירות בחו"ל בדירוג A- ומעלה חברות ישראליות</t>
  </si>
  <si>
    <t>DT601</t>
  </si>
  <si>
    <t>תעודות חוב סחירות בחו"ל בדירוג +BBB:-BBB חברות ישראליות</t>
  </si>
  <si>
    <t>DT602</t>
  </si>
  <si>
    <t>תעודות חוב סחירות בחו"ל בדירוג נמוך חברות ישראליות</t>
  </si>
  <si>
    <t>DT603</t>
  </si>
  <si>
    <t>תעודות חוב סחירות בחו"ל בדירוג A- ומעלה חברות זרות</t>
  </si>
  <si>
    <t>DT604</t>
  </si>
  <si>
    <t>תעודות חוב סחירות בחו"ל בדירוג +BBB:-BBB חברות זרות</t>
  </si>
  <si>
    <t>DT605</t>
  </si>
  <si>
    <t>תעודות חוב סחירות בחו"ל בדירוג נמוך חברות זרות</t>
  </si>
  <si>
    <t>DT606</t>
  </si>
  <si>
    <t>תעודות חוב לא סחירות בחו"ל בדירוג A- ומעלה חברות ישראליות</t>
  </si>
  <si>
    <t>DT607</t>
  </si>
  <si>
    <t>תעודות חוב לא סחירות בחו"ל בדירוג +BBB:-BBB חברות ישראליות</t>
  </si>
  <si>
    <t>DT608</t>
  </si>
  <si>
    <t>תעודות חוב לא סחירות בחו"ל בדירוג נמוך עם בטוחה מספקת חברות ישראליות</t>
  </si>
  <si>
    <t>DT609</t>
  </si>
  <si>
    <t>תעודות חוב לא סחירות בחו"ל בדירוג נמוך חברות ישראליות</t>
  </si>
  <si>
    <t>DT610</t>
  </si>
  <si>
    <t>תעודות חוב לא סחירות בחו"ל בדירוג A- ומעלה חברות זרות</t>
  </si>
  <si>
    <t>DT611</t>
  </si>
  <si>
    <t>תעודות חוב לא סחירות בחו"ל בדירוג +BBB:-BBB חברות זרות</t>
  </si>
  <si>
    <t>DT612</t>
  </si>
  <si>
    <t>תעודות חוב לא סחירות בחו"ל בדירוג נמוך עם בטוחה מספקת חברות זרות</t>
  </si>
  <si>
    <t>DT613</t>
  </si>
  <si>
    <t>תעודות חוב לא סחירות בחו"ל בדירוג נמוך חברות זרות</t>
  </si>
  <si>
    <t>DT614</t>
  </si>
  <si>
    <t>אג"ח קונצרני צמוד מדד בדרוג AA- ומעלה</t>
  </si>
  <si>
    <t>DT301</t>
  </si>
  <si>
    <t>אג"ח קונצרני צמוד מט"ח בדרוג AA- ומעלה</t>
  </si>
  <si>
    <t>DT302</t>
  </si>
  <si>
    <t>אג"ח קונצרני לא צמוד בדרוג AA- ומעלה</t>
  </si>
  <si>
    <t>DT303</t>
  </si>
  <si>
    <t>אג"ח קונצרני אחרות בדרוג AA- ומעלה</t>
  </si>
  <si>
    <t>DT615</t>
  </si>
  <si>
    <t>אג"ח קונצרני צמוד מדד בדרוג -A+:BBB</t>
  </si>
  <si>
    <t>DT307</t>
  </si>
  <si>
    <t>אג"ח קונצרני צמוד מט"ח בדרוג -A+:BBB</t>
  </si>
  <si>
    <t>DT308</t>
  </si>
  <si>
    <t>אג"ח קונצרני לא צמוד בדרוג -A+:BBB</t>
  </si>
  <si>
    <t>DT309</t>
  </si>
  <si>
    <t>אג"ח קונצרני אחרות בדרוג -A+:BBB</t>
  </si>
  <si>
    <t>DT616</t>
  </si>
  <si>
    <t>אג"ח קונצרני צמוד מדד בדרוג בדרוג נמוך</t>
  </si>
  <si>
    <t>DT313</t>
  </si>
  <si>
    <t>אג"ח קונצרני צמוד מט"ח בדרוג בדרוג נמוך</t>
  </si>
  <si>
    <t>DT314</t>
  </si>
  <si>
    <t>אג"ח קונצרני לא צמוד בדרוג בדרוג נמוך</t>
  </si>
  <si>
    <t>DT315</t>
  </si>
  <si>
    <t>אג"ח קונצרני אחרות בדרוג בדרוג נמוך</t>
  </si>
  <si>
    <t>DT617</t>
  </si>
  <si>
    <t>אג"ח קונצרני ל"ס צמוד מדד -AA ומעלה</t>
  </si>
  <si>
    <t>DT319</t>
  </si>
  <si>
    <t>אג"ח קונצרני ל"ס צמוד מט"ח -AA ומעלה</t>
  </si>
  <si>
    <t>DT320</t>
  </si>
  <si>
    <t>אג"ח קונצרני ל"ס לא צמוד -AA ומעלה</t>
  </si>
  <si>
    <t>DT321</t>
  </si>
  <si>
    <t>אג"ח קונצרני ל"ס אחרות -AA ומעלה</t>
  </si>
  <si>
    <t>DT618</t>
  </si>
  <si>
    <t>אג"ח קונצרני ל"ס צמוד מדד -A+:BBB</t>
  </si>
  <si>
    <t>DT325</t>
  </si>
  <si>
    <t>אג"ח קונצרני ל"ס צמוד מט"ח -A+:BBB</t>
  </si>
  <si>
    <t>DT326</t>
  </si>
  <si>
    <t>אג"ח קונצרני ל"ס לא צמוד -A+:BBB</t>
  </si>
  <si>
    <t>DT327</t>
  </si>
  <si>
    <t>אג"ח קונצרני ל"ס אחרות -A+:BBB</t>
  </si>
  <si>
    <t>DT619</t>
  </si>
  <si>
    <t>אג"ח קונצרני ל"ס צמוד מדד דרוג נמוך עם בטוחה מספקת</t>
  </si>
  <si>
    <t>DT553</t>
  </si>
  <si>
    <t>אג"ח קונצרני ל"ס צמוד מט"ח דרוג נמוך עם בטוחה מספקת</t>
  </si>
  <si>
    <t>DT554</t>
  </si>
  <si>
    <t>אג"ח קונצרני ל"ס לא צמוד דרוג נמוך עם בטוחה מספקת</t>
  </si>
  <si>
    <t>DT555</t>
  </si>
  <si>
    <t>אג"ח קונצרני ל"ס אחרות דרוג נמוך עם בטוחה מספקת</t>
  </si>
  <si>
    <t>DT620</t>
  </si>
  <si>
    <t>אג"ח קונצרני ל"ס צמוד מדד דרוג נמוך</t>
  </si>
  <si>
    <t>DT337</t>
  </si>
  <si>
    <t>אג"ח קונצרני ל"ס צמוד מט"ח דרוג נמוך</t>
  </si>
  <si>
    <t>DT338</t>
  </si>
  <si>
    <t>אג"ח קונצרני ל"ס לא צמוד דרוג נמוך</t>
  </si>
  <si>
    <t>DT339</t>
  </si>
  <si>
    <t>אג"ח קונצרני ל"ס אחרות דרוג נמוך</t>
  </si>
  <si>
    <t>DT621</t>
  </si>
  <si>
    <t>אג"ח ישראליות סחירות בחו"ל בדירוג A- ומעלה</t>
  </si>
  <si>
    <t>DT454</t>
  </si>
  <si>
    <t>אג"ח ישראליות סחירות בחו"ל בדירוג +BBB:-BBB</t>
  </si>
  <si>
    <t>DT455</t>
  </si>
  <si>
    <t>אג"ח ישראליות סחירות בחו"ל בדירוג נמוך</t>
  </si>
  <si>
    <t>DT456</t>
  </si>
  <si>
    <t>אג"ח זרות סחירות בחו"ל בדירוג A- ומעלה</t>
  </si>
  <si>
    <t>DT457</t>
  </si>
  <si>
    <t>אג"ח זרות סחירות בחו"ל בדירוג +BBB:-BBB</t>
  </si>
  <si>
    <t>DT458</t>
  </si>
  <si>
    <t>אג"ח זרות סחירות בחו"ל בדירוג נמוך</t>
  </si>
  <si>
    <t>DT459</t>
  </si>
  <si>
    <t>אג"ח ישראליות לא סחירות בחו"ל בדירוג A- ומעלה</t>
  </si>
  <si>
    <t>DT460</t>
  </si>
  <si>
    <t>אג"ח ישראליות לא סחירות בחו"ל בדירוג +BBB:-BBB</t>
  </si>
  <si>
    <t>DT461</t>
  </si>
  <si>
    <t>אג"ח ישראליות לא סחירות בחו"ל בדירוג נמוך עם בטוחה מספקת</t>
  </si>
  <si>
    <t>DT558</t>
  </si>
  <si>
    <t>אג"ח ישראליות לא סחירות בחו"ל בדירוג נמוך</t>
  </si>
  <si>
    <t>DT462</t>
  </si>
  <si>
    <t>אג"ח זרות לא סחירות בחו"ל בדירוג A- ומעלה</t>
  </si>
  <si>
    <t>DT463</t>
  </si>
  <si>
    <t>אג"ח זרות לא סחירות בחו"ל בדירוג +BBB:-BBB</t>
  </si>
  <si>
    <t>DT464</t>
  </si>
  <si>
    <t>אג"ח זרות לא סחירות בחו"ל בדירוג נמוך עם בטוחה מספקת</t>
  </si>
  <si>
    <t>DT559</t>
  </si>
  <si>
    <t>אג"ח זרות לא סחירות בחו"ל בדירוג נמוך</t>
  </si>
  <si>
    <t>DT465</t>
  </si>
  <si>
    <t>מניות במדד ת"א 25</t>
  </si>
  <si>
    <t>DT402</t>
  </si>
  <si>
    <t>מניות במדד ת"א 75</t>
  </si>
  <si>
    <t>DT403</t>
  </si>
  <si>
    <t>מניות היתר</t>
  </si>
  <si>
    <t>DT404</t>
  </si>
  <si>
    <t>מניות זרות הנסחרות בארץ</t>
  </si>
  <si>
    <t>DT405</t>
  </si>
  <si>
    <t>אופציות call 1 (long)</t>
  </si>
  <si>
    <t>DT172</t>
  </si>
  <si>
    <t>אופציות call 1 (short)</t>
  </si>
  <si>
    <t>DT205</t>
  </si>
  <si>
    <t>מניות לא סחירות בארץ</t>
  </si>
  <si>
    <t>DC9</t>
  </si>
  <si>
    <t>מניות ישראליות בחו"ל</t>
  </si>
  <si>
    <t>DT28</t>
  </si>
  <si>
    <t>מניות של תאגיד תושב חוץ החזקה עד 10%</t>
  </si>
  <si>
    <t>DT30</t>
  </si>
  <si>
    <t>מניות של תאגיד תושב חוץ החזקה של 10% ומעלה</t>
  </si>
  <si>
    <t>DT81</t>
  </si>
  <si>
    <t>מניות ל"ס של חברות ישראליות</t>
  </si>
  <si>
    <t>DT622</t>
  </si>
  <si>
    <t>מניות ל"ס של חברות זרות</t>
  </si>
  <si>
    <t>DT83</t>
  </si>
  <si>
    <t>השקעה בתעודות סל שמחקות מדדי מניות בארץ</t>
  </si>
  <si>
    <t>DT360</t>
  </si>
  <si>
    <t>השקעה בתעודות סל שמחקות מדדי מניות בחול</t>
  </si>
  <si>
    <t>DT361</t>
  </si>
  <si>
    <t>השקעה בתעודות סל שמחקות מדדי אג"ח בארץ</t>
  </si>
  <si>
    <t>DT362</t>
  </si>
  <si>
    <t>השקעה בתעודות סל שמחקות מדדי אג"ח בחול</t>
  </si>
  <si>
    <t>DT363</t>
  </si>
  <si>
    <t>השקעה בתעודות סל בחסר או תעודות פיקדון בחסר בארץ</t>
  </si>
  <si>
    <t>DT406</t>
  </si>
  <si>
    <t>השקעה בתעודות סל אחרות</t>
  </si>
  <si>
    <t>DT623</t>
  </si>
  <si>
    <t>השקעה בתעודות שנסחרות בחו"ל סל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</si>
  <si>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</si>
  <si>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</si>
  <si>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</si>
  <si>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</si>
  <si>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</si>
  <si>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DT624</t>
  </si>
  <si>
    <t>תעודות השתתפות בקרן נאמנות</t>
  </si>
  <si>
    <t>DB10</t>
  </si>
  <si>
    <t>תעודות השתתפות בקרן נאמנות - אג"ח קונצרני</t>
  </si>
  <si>
    <t>DT701</t>
  </si>
  <si>
    <t>תעודות השתתפות בקרן נאמנות - אג"ח ממשלתי</t>
  </si>
  <si>
    <t>DT702</t>
  </si>
  <si>
    <t>תעודות השתתפות בקרן נאמנות - מניות</t>
  </si>
  <si>
    <t>DT703</t>
  </si>
  <si>
    <t>תעודות השתתפות בקרן נאמנות - אחר</t>
  </si>
  <si>
    <t>DT704</t>
  </si>
  <si>
    <t>קרנות הון סיכון</t>
  </si>
  <si>
    <t>DT53</t>
  </si>
  <si>
    <t>קרנות נדלן</t>
  </si>
  <si>
    <t>DT225</t>
  </si>
  <si>
    <t>קרנות גידור</t>
  </si>
  <si>
    <t>DT466</t>
  </si>
  <si>
    <t>קרנות השקעה אחרות</t>
  </si>
  <si>
    <t>DT52</t>
  </si>
  <si>
    <t>קרנות הון סיכון בחו"ל</t>
  </si>
  <si>
    <t>DT89</t>
  </si>
  <si>
    <t>קרנות נדלן בחו"ל</t>
  </si>
  <si>
    <t>DT226</t>
  </si>
  <si>
    <t>קרנות גידור בחו"ל</t>
  </si>
  <si>
    <t>DT467</t>
  </si>
  <si>
    <t>קרנות השקעה אחרות בחו"ל</t>
  </si>
  <si>
    <t>DT88</t>
  </si>
  <si>
    <t>כתבי אופציה סחירים בישראל מסוג warrent</t>
  </si>
  <si>
    <t>DB5</t>
  </si>
  <si>
    <t>כתבי אופציה לא סחירים בישראל מסוג warrent</t>
  </si>
  <si>
    <t>DT439</t>
  </si>
  <si>
    <t>כתבי אופציה סחירים בחו"ל מסוג warrent</t>
  </si>
  <si>
    <t>DT211</t>
  </si>
  <si>
    <t>כתבי אופציה לא סחירים בחו"ל מסוג warrent</t>
  </si>
  <si>
    <t>DT440</t>
  </si>
  <si>
    <t>חוזים עתידיים סחירים בארץ</t>
  </si>
  <si>
    <t>DT749</t>
  </si>
  <si>
    <t>חוזים עתידיים על מדדים כולל מניות</t>
  </si>
  <si>
    <t>DT441</t>
  </si>
  <si>
    <t>חוזים עתידיים על שקל/מטח</t>
  </si>
  <si>
    <t>DT442</t>
  </si>
  <si>
    <t>חוזים עתידיים על מטח/מטח</t>
  </si>
  <si>
    <t>DT443</t>
  </si>
  <si>
    <t>חוזים עתידיים על ריבית</t>
  </si>
  <si>
    <t>DT444</t>
  </si>
  <si>
    <t>חוזים עתידיים אחרים</t>
  </si>
  <si>
    <t>DT445</t>
  </si>
  <si>
    <t>חוזים עתידיים סחירים בחו"ל</t>
  </si>
  <si>
    <t>DT212</t>
  </si>
  <si>
    <t>חוזים עתידיים על מדדים כולל מניות בחו"ל</t>
  </si>
  <si>
    <t>DT446</t>
  </si>
  <si>
    <t>חוזים עתידיים על מטח בחו"ל</t>
  </si>
  <si>
    <t>DT447</t>
  </si>
  <si>
    <t>חוזים עתידיים על ריבית בחו"ל</t>
  </si>
  <si>
    <t>DT448</t>
  </si>
  <si>
    <t>חוזים עתידיים אחרים בחו"ל</t>
  </si>
  <si>
    <t>DT449</t>
  </si>
  <si>
    <t>אופציות על מדדים כולל מניות</t>
  </si>
  <si>
    <t>DT468</t>
  </si>
  <si>
    <t>אופציות על מטבעות</t>
  </si>
  <si>
    <t>DT175</t>
  </si>
  <si>
    <t>אופציות על ריבית</t>
  </si>
  <si>
    <t>DT176</t>
  </si>
  <si>
    <t>אופציות על על מדד/נכס אחר</t>
  </si>
  <si>
    <t>DT177</t>
  </si>
  <si>
    <t>אופציות על מדדים כולל מניות (short)</t>
  </si>
  <si>
    <t>DT469</t>
  </si>
  <si>
    <t>אופציות על מטבעות (short)</t>
  </si>
  <si>
    <t>DT208</t>
  </si>
  <si>
    <t>אופציות על ריבית (short)</t>
  </si>
  <si>
    <t>DT209</t>
  </si>
  <si>
    <t>אופציות על על מדד/נכס אחר (short)</t>
  </si>
  <si>
    <t>DT210</t>
  </si>
  <si>
    <t>DT470</t>
  </si>
  <si>
    <t>אופציות על  ש"ח/מט"ח</t>
  </si>
  <si>
    <t>DT345</t>
  </si>
  <si>
    <t>אופציות על מט"ח/מט"ח</t>
  </si>
  <si>
    <t>DT625</t>
  </si>
  <si>
    <t>DT471</t>
  </si>
  <si>
    <t>DT346</t>
  </si>
  <si>
    <t>DT472</t>
  </si>
  <si>
    <t>אופציות על  ש"ח/מט"ח (short)</t>
  </si>
  <si>
    <t>DT347</t>
  </si>
  <si>
    <t>אופציות על מט"ח/מט"ח (short)</t>
  </si>
  <si>
    <t>DT626</t>
  </si>
  <si>
    <t>DT473</t>
  </si>
  <si>
    <t>DT348</t>
  </si>
  <si>
    <t>אופציות על מדדים כולל מניות בחול</t>
  </si>
  <si>
    <t>DT213</t>
  </si>
  <si>
    <t>אופציות על מטבעות בחול</t>
  </si>
  <si>
    <t>DT214</t>
  </si>
  <si>
    <t>אופציות על ריבית בחול</t>
  </si>
  <si>
    <t>DT215</t>
  </si>
  <si>
    <t>אופציות על סחורות בחול</t>
  </si>
  <si>
    <t>DT216</t>
  </si>
  <si>
    <t>אופציות על על מדד/נכס אחר בחול</t>
  </si>
  <si>
    <t>DT474</t>
  </si>
  <si>
    <t>אופציות על מדדים כולל מניות בחול (short)</t>
  </si>
  <si>
    <t>DT217</t>
  </si>
  <si>
    <t>אופציות על מטבעות בחול (short)</t>
  </si>
  <si>
    <t>DT218</t>
  </si>
  <si>
    <t>אופציות על ריבית בחול (short)</t>
  </si>
  <si>
    <t>DT219</t>
  </si>
  <si>
    <t>אופציות על סחורות בחול (short)</t>
  </si>
  <si>
    <t>DT220</t>
  </si>
  <si>
    <t>אופציות על על מדד/נכס אחר בחול (short)</t>
  </si>
  <si>
    <t>DT475</t>
  </si>
  <si>
    <t>DT476</t>
  </si>
  <si>
    <t>DT477</t>
  </si>
  <si>
    <t>DT478</t>
  </si>
  <si>
    <t>DT479</t>
  </si>
  <si>
    <t>DT480</t>
  </si>
  <si>
    <t>DT481</t>
  </si>
  <si>
    <t>DT482</t>
  </si>
  <si>
    <t>DT483</t>
  </si>
  <si>
    <t>DT484</t>
  </si>
  <si>
    <t>DT485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</si>
  <si>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</si>
  <si>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</si>
  <si>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</si>
  <si>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</si>
  <si>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</si>
  <si>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</si>
  <si>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</si>
  <si>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</si>
  <si>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</si>
  <si>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</si>
  <si>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</si>
  <si>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</si>
  <si>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</si>
  <si>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</si>
  <si>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</si>
  <si>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</si>
  <si>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</si>
  <si>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</si>
  <si>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</si>
  <si>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</si>
  <si>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</si>
  <si>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</si>
  <si>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</si>
  <si>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</si>
  <si>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 בישראל עם נכס בסיס אשראי</t>
  </si>
  <si>
    <t>DT717</t>
  </si>
  <si>
    <t>פיקדונות מובנים בישראל עם נכס בסיס מניות</t>
  </si>
  <si>
    <t>DT718</t>
  </si>
  <si>
    <t>פיקדונות מובנים בישראל עם נכס בסיס ריבית</t>
  </si>
  <si>
    <t>DT719</t>
  </si>
  <si>
    <t>פיקדונות מובנים בישראל עם נכס בסיס מטבע</t>
  </si>
  <si>
    <t>DT720</t>
  </si>
  <si>
    <t>פיקדונות מובנים בישראל עם נכס בסיס מדד</t>
  </si>
  <si>
    <t>DT721</t>
  </si>
  <si>
    <t>פיקדונות מובנים בישראל עם נכס בסיס אחר</t>
  </si>
  <si>
    <t>DT722</t>
  </si>
  <si>
    <t>שכבת חוב (Tranch) בדירוג  AA- ומעלה בישראל</t>
  </si>
  <si>
    <t>DT723</t>
  </si>
  <si>
    <t>שכבת חוב (Tranch) בדירוג  BBB- ועד A+ ומעלה בישראל</t>
  </si>
  <si>
    <t>DT724</t>
  </si>
  <si>
    <t>שכבת חוב (Tranch) בדירוג  נמוך בישראל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</si>
  <si>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</si>
  <si>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</si>
  <si>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</si>
  <si>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</si>
  <si>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</si>
  <si>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</si>
  <si>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</si>
  <si>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</si>
  <si>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</si>
  <si>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</si>
  <si>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</si>
  <si>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</si>
  <si>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</si>
  <si>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</si>
  <si>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</si>
  <si>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</si>
  <si>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</si>
  <si>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</si>
  <si>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</si>
  <si>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</si>
  <si>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</si>
  <si>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DT658</t>
  </si>
  <si>
    <t>DT659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</si>
  <si>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</si>
  <si>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</si>
  <si>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</si>
  <si>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</si>
  <si>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</si>
  <si>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</si>
  <si>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</si>
  <si>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</si>
  <si>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</si>
  <si>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</si>
  <si>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</si>
  <si>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</si>
  <si>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</si>
  <si>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</si>
  <si>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</si>
  <si>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</si>
  <si>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</si>
  <si>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</si>
  <si>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</si>
  <si>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</si>
  <si>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</si>
  <si>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</si>
  <si>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</si>
  <si>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</si>
  <si>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</si>
  <si>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</si>
  <si>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פיקדונות מובנים בחו"ל עם נכס בסיס אשראי</t>
  </si>
  <si>
    <t>DT739</t>
  </si>
  <si>
    <t>פיקדונות מובנים בחו"ל עם נכס בסיס מניות</t>
  </si>
  <si>
    <t>DT740</t>
  </si>
  <si>
    <t>פיקדונות מובנים בחו"ל עם נכס בסיס ריבית</t>
  </si>
  <si>
    <t>DT741</t>
  </si>
  <si>
    <t>פיקדונות מובנים בחו"ל עם נכס בסיס מטבע</t>
  </si>
  <si>
    <t>DT742</t>
  </si>
  <si>
    <t>פיקדונות מובנים בחו"ל עם נכס בסיס מדד</t>
  </si>
  <si>
    <t>DT743</t>
  </si>
  <si>
    <t>פיקדונות מובנים בחו"ל עם נכס בסיס אחר</t>
  </si>
  <si>
    <t>DT744</t>
  </si>
  <si>
    <t>שכבת חוב (Tranch) בדירוג  AA- ומעלה בחו"ל</t>
  </si>
  <si>
    <t>DT745</t>
  </si>
  <si>
    <t>שכבת חוב (Tranch) בדירוג  BBB- ועד A+ ומעלה בחו"ל</t>
  </si>
  <si>
    <t>DT746</t>
  </si>
  <si>
    <t>שכבת חוב (Tranch) בדירוג  BB+ ומעלה בחו"ל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</si>
  <si>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</si>
  <si>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</si>
  <si>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</si>
  <si>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</si>
  <si>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</si>
  <si>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</si>
  <si>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</si>
  <si>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</si>
  <si>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</si>
  <si>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</si>
  <si>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</si>
  <si>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</si>
  <si>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</si>
  <si>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</si>
  <si>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</si>
  <si>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</si>
  <si>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</si>
  <si>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</si>
  <si>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</si>
  <si>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</si>
  <si>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</si>
  <si>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</si>
  <si>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</si>
  <si>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</si>
  <si>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</si>
  <si>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הלוואה לעמיתים</t>
  </si>
  <si>
    <t>DC1</t>
  </si>
  <si>
    <t>תיקי משכנתאות בדירוג BBB- ומעלה</t>
  </si>
  <si>
    <t>DT502</t>
  </si>
  <si>
    <t>תיקי משכנתאות בדירוג נמוך</t>
  </si>
  <si>
    <t>DT503</t>
  </si>
  <si>
    <t>הלוואה עם ערבות בנקאית בדירוג AA- ומעלה</t>
  </si>
  <si>
    <t>DT450</t>
  </si>
  <si>
    <t>הלוואה עם ערבות בנקאית בדירוג -A+:BBB</t>
  </si>
  <si>
    <t>DT504</t>
  </si>
  <si>
    <t>הלוואה עם ערבות בנקאית ללא דרוג</t>
  </si>
  <si>
    <t>DT505</t>
  </si>
  <si>
    <t>הלוואה בבטחונות אחרים והלוואות עם ערבות מדינה בדירוג AA- ומעלה</t>
  </si>
  <si>
    <t>DT451</t>
  </si>
  <si>
    <t>הלוואה בבטחונות אחרים והלוואות עם ערבות מדינה בדירוג -A+:BBB</t>
  </si>
  <si>
    <t>DT506</t>
  </si>
  <si>
    <t>הלוואות בבטחונות אחרים והלוואות עם ערבות מדינה לא מדורגת עם בטוחה מספקת</t>
  </si>
  <si>
    <t>DT627</t>
  </si>
  <si>
    <t>הלוואות בבטחונות אחרים והלוואות עם ערבות מדינה לא מדורגת</t>
  </si>
  <si>
    <t>DT507</t>
  </si>
  <si>
    <t>הלוואות לא מובטחות</t>
  </si>
  <si>
    <t>DT577</t>
  </si>
  <si>
    <t>תיקי משכנתאות בחו"ל</t>
  </si>
  <si>
    <t>DT508</t>
  </si>
  <si>
    <t>הלוואות בחו"ל בערבות בנקאית</t>
  </si>
  <si>
    <t>DT509</t>
  </si>
  <si>
    <t>הלוואות בחול מובטוחת בביטונות אחרים</t>
  </si>
  <si>
    <t>DT511</t>
  </si>
  <si>
    <t>הלוואות בחול לא מובטחות</t>
  </si>
  <si>
    <t>DT452</t>
  </si>
  <si>
    <t>פקדונות צמודי מדד בדירוג -AA ומעלה לתקופה של שלושה חודשים ועד שנה</t>
  </si>
  <si>
    <t>DT512</t>
  </si>
  <si>
    <t>פקדונות לא צמודים בדירוג -AA ומעלה לתקופה של שלושה חודשים ועד שנה</t>
  </si>
  <si>
    <t>DT513</t>
  </si>
  <si>
    <t>פקדונות נקובים במט"ח בדירוג -AA ומעלה לתקופה של שלושה חודשים ועד שנה</t>
  </si>
  <si>
    <t>DT514</t>
  </si>
  <si>
    <t>פקדונות צמודי מט"ח בדירוג -AA ומעלה לתקופה של שלושה חודשים ועד שנה</t>
  </si>
  <si>
    <t>DT515</t>
  </si>
  <si>
    <t>פקדונות צמודי מדד בדירוג -AA ומעלה לתקופה של למעלה משנה</t>
  </si>
  <si>
    <t>DT516</t>
  </si>
  <si>
    <t>פקדונות לא צמודים בדירוג -AA ומעלה לתקופה של למעלה משנה</t>
  </si>
  <si>
    <t>DT517</t>
  </si>
  <si>
    <t>פקדונות נקובים במט"ח בדירוג -AA ומעלה לתקופה של למעלה משנה</t>
  </si>
  <si>
    <t>DT518</t>
  </si>
  <si>
    <t>פקדונות צמודי מט"ח בדירוג -AA ומעלה לתקופה של למעלה משנה</t>
  </si>
  <si>
    <t>DT519</t>
  </si>
  <si>
    <t>פקדונות אחרים בדירוג -AA ומעלה</t>
  </si>
  <si>
    <t>DT628</t>
  </si>
  <si>
    <t>פקדונות צמודי מדד בדירוג -A+:BBB לתקופה של שלושה חודשים ועד שנה</t>
  </si>
  <si>
    <t>DT520</t>
  </si>
  <si>
    <t>פקדונות לא צמודים בדירוג -A+:BBB לתקופה של שלושה חודשים ועד שנה</t>
  </si>
  <si>
    <t>DT521</t>
  </si>
  <si>
    <t>פקדונות נקובים במט"ח בדירוג -A+:BBB לתקופה של שלושה חודשים ועד שנה</t>
  </si>
  <si>
    <t>DT522</t>
  </si>
  <si>
    <t>פקדונות צמודי מט"ח בדירוג A+:BBB- לתקופה של שלושה חודשים ועד שנה</t>
  </si>
  <si>
    <t>DT523</t>
  </si>
  <si>
    <t>פקדונות צמודי מדד בדירוג -A+:BBB לתקופה של למעלה משנה</t>
  </si>
  <si>
    <t>DT524</t>
  </si>
  <si>
    <t>פקדונות לא צמודים בדירוג -A+:BBB לתקופה של למעלה משנה</t>
  </si>
  <si>
    <t>DT525</t>
  </si>
  <si>
    <t>פקדונות נקובים במט"ח בדירוג -A+:BBB לתקופה של למעלה משנה</t>
  </si>
  <si>
    <t>DT526</t>
  </si>
  <si>
    <t>פקדונות צמודי מט"ח בדירוג -A+:BBB לתקופה של למעלה משנה</t>
  </si>
  <si>
    <t>DT527</t>
  </si>
  <si>
    <t>פקדונות אחרים בדירוג -A+:BBB</t>
  </si>
  <si>
    <t>DT629</t>
  </si>
  <si>
    <t>פקדונות צמודי מדד בדירוג נמוך לתקופה של שלושה חודשים ועד שנה</t>
  </si>
  <si>
    <t>DT530</t>
  </si>
  <si>
    <t>פקדונות לא צמודים בדירוג נמוך לתקופה של שלושה חודשים ועד שנה</t>
  </si>
  <si>
    <t>DT531</t>
  </si>
  <si>
    <t>פקדונות נקובים במט"ח בדירוג נמוך לתקופה של שלושה חודשים ועד שנה</t>
  </si>
  <si>
    <t>DT532</t>
  </si>
  <si>
    <t>פקדונות צמודי מט"ח בדירוג נמוך לתקופה של שלושה חודשים ועד שנה</t>
  </si>
  <si>
    <t>DT533</t>
  </si>
  <si>
    <t>פקדונות צמודי מדד בדירוג נמוך לתקופה של למעלה משנה</t>
  </si>
  <si>
    <t>DT534</t>
  </si>
  <si>
    <t>פקדונות לא צמודים בדירוג נמוך לתקופה של למעלה משנה</t>
  </si>
  <si>
    <t>DT535</t>
  </si>
  <si>
    <t>פקדונות נקובים במט"ח בדירוג נמוך לתקופה של למעלה משנה</t>
  </si>
  <si>
    <t>DT536</t>
  </si>
  <si>
    <t>פקדונות צמודי מט"ח בדירוג נמוך לתקופה של למעלה משנה</t>
  </si>
  <si>
    <t>DT537</t>
  </si>
  <si>
    <t>פקדונות אחרים בדירוג נמוך</t>
  </si>
  <si>
    <t>DT630</t>
  </si>
  <si>
    <t>פקדונות נקובים במט"ח בדירוג -A ומעלה</t>
  </si>
  <si>
    <t>DT631</t>
  </si>
  <si>
    <t>פקדונות נקובים במט"ח בדירוג +BBB:-BBB</t>
  </si>
  <si>
    <t>DT632</t>
  </si>
  <si>
    <t>פקדונות נקובים במט"ח בדירוג נמוך</t>
  </si>
  <si>
    <t>DT633</t>
  </si>
  <si>
    <t>מקרקעין מניבים</t>
  </si>
  <si>
    <t>DT111</t>
  </si>
  <si>
    <t>מקרקעין לא מניבים</t>
  </si>
  <si>
    <t>DT112</t>
  </si>
  <si>
    <t>מקרקעין מניבים בחו"ל</t>
  </si>
  <si>
    <t>DT113</t>
  </si>
  <si>
    <t>מקרקעין לא מניבים בחו"ל</t>
  </si>
  <si>
    <t>DT114</t>
  </si>
  <si>
    <t>התחייבות בגין מכירה בחסר</t>
  </si>
  <si>
    <t>DT116</t>
  </si>
  <si>
    <t>נ"ע סחירים אחרים ישראלים בחו"ל</t>
  </si>
  <si>
    <t>DT29</t>
  </si>
  <si>
    <t>נ"ע סחירים אחרים זרים בחו"ל</t>
  </si>
  <si>
    <t>DT31</t>
  </si>
  <si>
    <t>התחייבות בגין מכירה בחסר בחול</t>
  </si>
  <si>
    <t>DT117</t>
  </si>
  <si>
    <t>בניני משרדים שבשימוש הקופה</t>
  </si>
  <si>
    <t>DT115</t>
  </si>
  <si>
    <t>רכוש קבוע שאינו בנייני משרדים בשימוש הקופה</t>
  </si>
  <si>
    <t>DT62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</si>
  <si>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</si>
  <si>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</si>
  <si>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</si>
  <si>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</si>
  <si>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</si>
  <si>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</si>
  <si>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</si>
  <si>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</si>
  <si>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</si>
  <si>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</si>
  <si>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סה"כ נכסי הקופה</t>
  </si>
  <si>
    <t>DE1</t>
  </si>
  <si>
    <t>בדיקה</t>
  </si>
  <si>
    <t>מזומנים ושווי מזומנים</t>
  </si>
  <si>
    <t>ממשלתי סחיר</t>
  </si>
  <si>
    <t>אג"ח סחיר</t>
  </si>
  <si>
    <t>מניות ואחרים</t>
  </si>
  <si>
    <t>פיקדונות והלוואות</t>
  </si>
  <si>
    <t>השקעות אחרות</t>
  </si>
  <si>
    <t>הפניקס גמל לבני 60 ומעלה</t>
  </si>
  <si>
    <t>הפניקס מרכזית לפיצויים</t>
  </si>
  <si>
    <t>הפניקס גמל אג"ח ללא מניות</t>
  </si>
  <si>
    <t>הפניקס גמולה מבטיחת תשואה</t>
  </si>
  <si>
    <t>הפניקס מרכזית לפיצויים עד 15% מניות</t>
  </si>
  <si>
    <t>הפניקס השתלמות אג"ח ללא מניות</t>
  </si>
  <si>
    <t>הפניקס  השתלמות לטווח קצר</t>
  </si>
  <si>
    <t>הפניקס השתלמות עד 25% מניות</t>
  </si>
  <si>
    <t>הפניקס השתלמות שקלי טווח קצר</t>
  </si>
  <si>
    <t>הפניקס גמל עד 15% מניות</t>
  </si>
  <si>
    <t>הפניקס גמל לבני 50 ומטה</t>
  </si>
  <si>
    <t>הפניקס השתלמות  אג"ח עד 15% מניות</t>
  </si>
  <si>
    <t>הפניקס מרכזית לפיצויים שקלי</t>
  </si>
  <si>
    <t>הפניקס קסם מרכזית לפיצויים מחקה מדדי מניות</t>
  </si>
  <si>
    <t>הפניקס מרכזית לפיצויים צמוד מדד</t>
  </si>
  <si>
    <t>הפניקס קסם מרכזית לפיצויים מחקה מדדים</t>
  </si>
  <si>
    <t>הפניקס קסם מרכזית לפיצויים מחקה מדדי אג"ח</t>
  </si>
  <si>
    <t>הפניקס גמל מסלולית לפיצויים רבת מסלולים</t>
  </si>
  <si>
    <t>הפניקס מרכזית לפיצויים שיקלי קצר</t>
  </si>
  <si>
    <t>הפניקס גמל פאסיבי לבמי 50 ומטה</t>
  </si>
  <si>
    <t>הפניקס גמל שקלי טווח קצר</t>
  </si>
  <si>
    <t>הפניקס גמל להשקעה אג"ח ללא מניות</t>
  </si>
  <si>
    <t>הפניקס גמל להשקעה אג"ח עד 15% מניות</t>
  </si>
  <si>
    <t>הפניקס גמל להשקעה מניות פאסיבי</t>
  </si>
  <si>
    <t>הפניקס גמל להשקעה כללי</t>
  </si>
  <si>
    <t>הפניקס גמל להשקעה כללי פאסיבי</t>
  </si>
  <si>
    <t>הפניקס חיסכון לכל ילד - סיכון מועט</t>
  </si>
  <si>
    <t>הפניקס חיסכון לכל ילד -  סיכון מוגבר</t>
  </si>
  <si>
    <t>הפניקס חיסכון לכל ילד -  סיכון בינוני</t>
  </si>
  <si>
    <t>הפניקס חיסכון לכל ילד - הלכה</t>
  </si>
  <si>
    <t>הפניקס  גמל מסלול לבני 50 עד 60</t>
  </si>
  <si>
    <t>הפניקס גמל מסלול מניות</t>
  </si>
  <si>
    <t>הפניקס השתלמות הלכה</t>
  </si>
  <si>
    <t>הפניקס השתלמות כללי</t>
  </si>
  <si>
    <t>הפניקס  השתלמות מניות</t>
  </si>
  <si>
    <t>הפניקס השתלמות פאסיבי-כללי</t>
  </si>
  <si>
    <t>הפניקס השתלמות מחקה מדד s&amp;p 500</t>
  </si>
  <si>
    <t>הפניקס  גמל פאסיבי לבני 50 עד 60</t>
  </si>
  <si>
    <t>הפניקס גמל פאסיבי לבני 60 ומעלה</t>
  </si>
  <si>
    <t>הפניקס גמל מחקה מדד s&amp;p 500</t>
  </si>
  <si>
    <t>הפניקס גמל להשקעה שקלי טווח קצר</t>
  </si>
  <si>
    <t>הפניקס גמל להשקעה מחקה מדד s&amp;p 500</t>
  </si>
  <si>
    <t>הפניקס גמל מסלול משולב סחיר</t>
  </si>
  <si>
    <t>הפניקס גמל מסלול עוקב מדדים גמיש</t>
  </si>
  <si>
    <t>הפניקס  גמל שריעה</t>
  </si>
  <si>
    <t>הפניקס גמל להשקעה מניות</t>
  </si>
  <si>
    <t>הפניקס להשקעה שריעה</t>
  </si>
  <si>
    <t>הפניקס קופה לתשלום דמי מחלה</t>
  </si>
  <si>
    <t>הפניקס קופה מרכזית להשתתפות בפנסיה תקציבית</t>
  </si>
  <si>
    <t>הפניקס מרכזית לפיצויים רב מסלולית -סנונית</t>
  </si>
  <si>
    <t>הפניקס חיסכון לכל ילד מסלול שריעה</t>
  </si>
  <si>
    <t>הפניקס השתלמות שריעה</t>
  </si>
  <si>
    <t>הפניקס גמל חו"ל</t>
  </si>
  <si>
    <t>הפניקס השתלמות פאסיבי מדדי מניות</t>
  </si>
  <si>
    <t>513026484-00000000000102-0401-000</t>
  </si>
  <si>
    <t>513026484-00000000000801-0242-000</t>
  </si>
  <si>
    <t>513026484-00000000000102-0385-000</t>
  </si>
  <si>
    <t>513026484-00000000000123-0528-000</t>
  </si>
  <si>
    <t>513026484-00000000000801-0384-000</t>
  </si>
  <si>
    <t>513026484-00000000000399-0716-000</t>
  </si>
  <si>
    <t>513026484-00000000000399-0686-000</t>
  </si>
  <si>
    <t>513026484-00000000000399-1190-000</t>
  </si>
  <si>
    <t>513026484-00000000000399-0715-000</t>
  </si>
  <si>
    <t>513026484-00000000000102-0211-000</t>
  </si>
  <si>
    <t>513026484-00000000000102-9916-000</t>
  </si>
  <si>
    <t>513026484-00000000000399-1100-000</t>
  </si>
  <si>
    <t>513026484-00000000000801-0801-000</t>
  </si>
  <si>
    <t>513026484-00000000000801-0804-000</t>
  </si>
  <si>
    <t>513026484-00000000000801-0806-000</t>
  </si>
  <si>
    <t>513026484-00000000000801-8765-000</t>
  </si>
  <si>
    <t>513026484-00000000000801-8766-000</t>
  </si>
  <si>
    <t>513026484-00000000009417-9418-000</t>
  </si>
  <si>
    <t>513026484-00000000000801-9475-000</t>
  </si>
  <si>
    <t>513026484-00000000000102-9905-000</t>
  </si>
  <si>
    <t>513026484-00000000000102-9906-000</t>
  </si>
  <si>
    <t>513026484-00000000007904-7905-000</t>
  </si>
  <si>
    <t>513026484-00000000007904-7906-000</t>
  </si>
  <si>
    <t>513026484-00000000007904-7907-000</t>
  </si>
  <si>
    <t>513026484-00000000007904-7908-000</t>
  </si>
  <si>
    <t>513026484-00000000007904-7909-000</t>
  </si>
  <si>
    <t>513026484-00000000011309-11310-000</t>
  </si>
  <si>
    <t>513026484-00000000011309-11311-000</t>
  </si>
  <si>
    <t>513026484-00000000011309-11312-000</t>
  </si>
  <si>
    <t>513026484-00000000011309-11335-000</t>
  </si>
  <si>
    <t>513026484-00000000000102-0009529</t>
  </si>
  <si>
    <t>513026484-00000000000102-0000961</t>
  </si>
  <si>
    <t>513026484-00000000000399-0009528</t>
  </si>
  <si>
    <t>513026484-00000000000399-0000964</t>
  </si>
  <si>
    <t>513026484-00000000000399-0000968</t>
  </si>
  <si>
    <t>513026484-00000000000399-8629-000</t>
  </si>
  <si>
    <t>513026484-00000000000399-8630-000</t>
  </si>
  <si>
    <t>513026484-00000000000102-9917-000</t>
  </si>
  <si>
    <t>513026484-00000000000102-8624-000</t>
  </si>
  <si>
    <t>513026484-00000000000102-8626-000</t>
  </si>
  <si>
    <t xml:space="preserve">סיום מידע טבלה </t>
  </si>
  <si>
    <t>סיום מידע טבלה צד שמאל</t>
  </si>
  <si>
    <t xml:space="preserve">תחילת מידע טבלה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</si>
</sst>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mm/yyyy"/>
    <numFmt numFmtId="165" formatCode="[$-10409]#,##0;\(#,##0\)"/>
    <numFmt numFmtId="166" formatCode="_ * #,##0.000_ ;_ * \-#,##0.000_ ;_ * &quot;-&quot;??_ ;_ @_ "/>
    <numFmt numFmtId="167" formatCode="0.00000"/>
    <numFmt numFmtId="168" formatCode="_ * #,##0.0000_ ;_ * \-#,##0.0000_ ;_ * &quot;-&quot;??_ ;_ @_ 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indexed="10"/>
      <name val="Arial"/>
      <family val="2"/>
    </font>
    <font>
      <b/>
      <sz val="12"/>
      <color indexed="12"/>
      <name val="David"/>
      <family val="2"/>
      <charset val="177"/>
    </font>
    <font>
      <b/>
      <u/>
      <sz val="12"/>
      <color indexed="12"/>
      <name val="David"/>
      <family val="2"/>
      <charset val="177"/>
    </font>
    <font>
      <b/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10"/>
      <color indexed="12"/>
      <name val="Arial"/>
      <family val="2"/>
    </font>
    <font>
      <sz val="11"/>
      <color indexed="8"/>
      <name val="Arial"/>
      <family val="2"/>
      <charset val="177"/>
    </font>
    <font>
      <sz val="11"/>
      <color theme="0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22">
    <xf numFmtId="0" fontId="0" fillId="0" borderId="0" xfId="0"/>
    <xf numFmtId="0" fontId="0" fillId="2" borderId="0" xfId="0" applyFill="1" applyAlignment="1">
      <alignment horizontal="right"/>
    </xf>
    <xf numFmtId="164" fontId="2" fillId="0" borderId="0" xfId="0" applyNumberFormat="1" applyFont="1"/>
    <xf numFmtId="164" fontId="2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3" fontId="0" fillId="0" borderId="0" xfId="1" applyFont="1"/>
    <xf numFmtId="0" fontId="5" fillId="3" borderId="1" xfId="0" applyFont="1" applyFill="1" applyBorder="1"/>
    <xf numFmtId="1" fontId="5" fillId="0" borderId="2" xfId="1" applyNumberFormat="1" applyFont="1" applyBorder="1" applyAlignment="1" applyProtection="1">
      <alignment horizontal="center"/>
      <protection locked="0"/>
    </xf>
    <xf numFmtId="0" fontId="0" fillId="3" borderId="1" xfId="0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3" borderId="1" xfId="0" applyFill="1" applyBorder="1"/>
    <xf numFmtId="165" fontId="0" fillId="3" borderId="1" xfId="3" applyNumberFormat="1" applyFont="1" applyFill="1" applyBorder="1" applyAlignment="1">
      <alignment horizontal="right" readingOrder="2"/>
    </xf>
    <xf numFmtId="0" fontId="7" fillId="0" borderId="0" xfId="0" applyFont="1"/>
    <xf numFmtId="166" fontId="0" fillId="0" borderId="0" xfId="0" applyNumberFormat="1"/>
    <xf numFmtId="167" fontId="0" fillId="0" borderId="0" xfId="0" applyNumberFormat="1"/>
    <xf numFmtId="168" fontId="0" fillId="0" borderId="0" xfId="1" applyNumberFormat="1" applyFont="1"/>
    <xf numFmtId="0" fontId="8" fillId="0" borderId="0" xfId="0" applyFont="1"/>
    <xf numFmtId="10" fontId="9" fillId="0" borderId="0" xfId="2" applyNumberFormat="1" applyFont="1"/>
    <xf numFmtId="0" fontId="10" fillId="0" borderId="0" xfId="0" applyFont="1" applyAlignment="1">
      <alignment horizontal="center"/>
    </xf>
  </cellXfs>
  <cellStyles count="4">
    <cellStyle name="Comma" xfId="1" builtinId="3"/>
    <cellStyle name="Normal" xfId="0" builtinId="0"/>
    <cellStyle name="Normal_מסלולים 1.4.19" xfId="3" xr:uid="{00000000-0005-0000-0000-000002000000}"/>
    <cellStyle name="Percent" xfId="2" builtinId="5"/>
  </cellStyles>
  <dxfs count="4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2</xdr:row>
      <xdr:rowOff>0</xdr:rowOff>
    </xdr:from>
    <xdr:to>
      <xdr:col>3</xdr:col>
      <xdr:colOff>257175</xdr:colOff>
      <xdr:row>5</xdr:row>
      <xdr:rowOff>31623</xdr:rowOff>
    </xdr:to>
    <xdr:sp textlink="">
      <xdr:nvSpPr>
        <xdr:cNvPr id="2" name="הסבר מלבני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266236675" y="0"/>
          <a:ext cx="914400" cy="612648"/>
        </a:xfrm>
        <a:prstGeom prst="wedgeRect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r>
            <a:rPr lang="he-IL" sz="1200" b="1">
              <a:solidFill>
                <a:srgbClr val="FF0000"/>
              </a:solidFill>
            </a:rPr>
            <a:t>אוצר לאתר</a:t>
          </a:r>
        </a:p>
      </xdr:txBody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342900</xdr:colOff>
      <xdr:row>1</xdr:row>
      <xdr:rowOff>161925</xdr:rowOff>
    </xdr:to>
    <xdr:pic>
      <xdr:nvPicPr>
        <xdr:cNvPr id="3" name="Picture 2" descr="קוֹבֶץ זֶה הוּנְגַּש עַל יְדֵי חברת אֵיְי טוּ זִי - סֶמֶל  הַנגישוּת ">
          <a:extLst>
            <a:ext uri="{FF2B5EF4-FFF2-40B4-BE49-F238E27FC236}">
              <a16:creationId xmlns:a16="http://schemas.microsoft.com/office/drawing/2014/main" id="{03529FD4-4A70-4781-9ED2-B1B05F581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3429900" y="0"/>
          <a:ext cx="342900" cy="3371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גיליון114"/>
      <sheetName val="גיליון116"/>
      <sheetName val="גיליון118"/>
      <sheetName val="גיליון120"/>
      <sheetName val="גיליון122"/>
      <sheetName val="גיליון124"/>
      <sheetName val="אוצר לאתר דש"/>
      <sheetName val="אוצר לאתר כולם חוץ מדש"/>
      <sheetName val="אוצר לאתר מור"/>
      <sheetName val="אוצר לאתר חני חנמ חנא"/>
      <sheetName val="אוצר לאתר מור (2)"/>
      <sheetName val="אוצר לאתר מקרו שרון"/>
    </sheetNames>
    <definedNames>
      <definedName name="Module1.מאקרו1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G361"/>
  <sheetViews>
    <sheetView rightToLeft="1" tabSelected="1" workbookViewId="0">
      <selection activeCell="E1" sqref="E1"/>
    </sheetView>
  </sheetViews>
  <sheetFormatPr defaultRowHeight="13.8" x14ac:dyDescent="0.25"/>
  <sheetData>
    <row r="2" spans="1:59" x14ac:dyDescent="0.25">
      <c r="A2" s="21" t="s">
        <v>710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</row>
    <row r="3" spans="1:59" ht="15.6" x14ac:dyDescent="0.3">
      <c r="A3" s="1"/>
      <c r="B3" s="2"/>
      <c r="C3" s="2"/>
      <c r="D3" s="2"/>
      <c r="E3">
        <v>6</v>
      </c>
      <c r="F3">
        <v>10</v>
      </c>
      <c r="G3">
        <v>30</v>
      </c>
      <c r="H3">
        <v>50</v>
      </c>
      <c r="I3">
        <v>93</v>
      </c>
      <c r="J3">
        <v>99</v>
      </c>
      <c r="K3">
        <v>100</v>
      </c>
      <c r="L3">
        <v>101</v>
      </c>
      <c r="M3">
        <v>102</v>
      </c>
      <c r="N3">
        <v>121</v>
      </c>
      <c r="O3">
        <v>122</v>
      </c>
      <c r="P3">
        <v>142</v>
      </c>
      <c r="Q3">
        <v>164</v>
      </c>
      <c r="R3">
        <v>167</v>
      </c>
      <c r="S3">
        <v>169</v>
      </c>
      <c r="T3">
        <v>425</v>
      </c>
      <c r="U3">
        <v>426</v>
      </c>
      <c r="V3">
        <v>499</v>
      </c>
      <c r="W3">
        <v>519</v>
      </c>
      <c r="X3">
        <v>525</v>
      </c>
      <c r="Y3">
        <v>526</v>
      </c>
      <c r="Z3">
        <v>570</v>
      </c>
      <c r="AA3">
        <v>571</v>
      </c>
      <c r="AB3">
        <v>572</v>
      </c>
      <c r="AC3">
        <v>573</v>
      </c>
      <c r="AD3">
        <v>574</v>
      </c>
      <c r="AE3">
        <v>628</v>
      </c>
      <c r="AF3">
        <v>629</v>
      </c>
      <c r="AG3">
        <v>631</v>
      </c>
      <c r="AH3">
        <v>632</v>
      </c>
      <c r="AI3">
        <v>658</v>
      </c>
      <c r="AJ3">
        <v>660</v>
      </c>
      <c r="AK3">
        <v>662</v>
      </c>
      <c r="AL3">
        <v>664</v>
      </c>
      <c r="AM3">
        <v>666</v>
      </c>
      <c r="AN3">
        <v>726</v>
      </c>
      <c r="AO3">
        <v>737</v>
      </c>
      <c r="AP3">
        <v>805</v>
      </c>
      <c r="AQ3">
        <v>807</v>
      </c>
      <c r="AR3">
        <v>827</v>
      </c>
      <c r="AS3">
        <v>575</v>
      </c>
      <c r="AT3">
        <v>576</v>
      </c>
      <c r="AU3">
        <v>359</v>
      </c>
      <c r="AV3">
        <v>360</v>
      </c>
      <c r="AW3" s="9">
        <v>828</v>
      </c>
      <c r="AX3" s="9">
        <v>844</v>
      </c>
      <c r="AY3" s="9">
        <v>839</v>
      </c>
      <c r="AZ3" s="9">
        <v>857</v>
      </c>
      <c r="BA3" s="9">
        <v>851</v>
      </c>
      <c r="BB3" s="9">
        <v>849</v>
      </c>
      <c r="BC3" s="9">
        <v>846</v>
      </c>
      <c r="BD3" s="9">
        <v>834</v>
      </c>
      <c r="BE3" s="9">
        <v>488</v>
      </c>
      <c r="BF3" s="9">
        <v>506</v>
      </c>
      <c r="BG3" s="21" t="s">
        <v>709</v>
      </c>
    </row>
    <row r="4" spans="1:59" x14ac:dyDescent="0.25">
      <c r="E4" s="10">
        <v>401</v>
      </c>
      <c r="F4" s="10">
        <v>242</v>
      </c>
      <c r="G4" s="10">
        <v>385</v>
      </c>
      <c r="H4" s="10">
        <v>528</v>
      </c>
      <c r="I4" s="10">
        <v>384</v>
      </c>
      <c r="J4" s="10">
        <v>716</v>
      </c>
      <c r="K4" s="10">
        <v>686</v>
      </c>
      <c r="L4" s="10">
        <v>1190</v>
      </c>
      <c r="M4" s="10">
        <v>715</v>
      </c>
      <c r="N4" s="10">
        <v>211</v>
      </c>
      <c r="O4" s="10">
        <v>9916</v>
      </c>
      <c r="P4" s="10">
        <v>1100</v>
      </c>
      <c r="Q4" s="10">
        <v>801</v>
      </c>
      <c r="R4" s="10">
        <v>804</v>
      </c>
      <c r="S4" s="10">
        <v>806</v>
      </c>
      <c r="T4" s="10">
        <v>8765</v>
      </c>
      <c r="U4" s="10">
        <v>8766</v>
      </c>
      <c r="V4" s="10">
        <v>9418</v>
      </c>
      <c r="W4" s="10">
        <v>9475</v>
      </c>
      <c r="X4" s="10">
        <v>9905</v>
      </c>
      <c r="Y4" s="10">
        <v>9906</v>
      </c>
      <c r="Z4" s="10">
        <v>7905</v>
      </c>
      <c r="AA4" s="10">
        <v>7906</v>
      </c>
      <c r="AB4" s="10">
        <v>7907</v>
      </c>
      <c r="AC4" s="10">
        <v>7908</v>
      </c>
      <c r="AD4" s="10">
        <v>7909</v>
      </c>
      <c r="AE4" s="10">
        <v>11310</v>
      </c>
      <c r="AF4" s="10">
        <v>11311</v>
      </c>
      <c r="AG4" s="10">
        <v>11312</v>
      </c>
      <c r="AH4" s="10">
        <v>11335</v>
      </c>
      <c r="AI4" s="10">
        <v>9529</v>
      </c>
      <c r="AJ4" s="10">
        <v>961</v>
      </c>
      <c r="AK4" s="10">
        <v>9528</v>
      </c>
      <c r="AL4" s="10">
        <v>964</v>
      </c>
      <c r="AM4" s="10">
        <v>968</v>
      </c>
      <c r="AN4" s="10">
        <v>8629</v>
      </c>
      <c r="AO4" s="10">
        <v>13264</v>
      </c>
      <c r="AP4" s="10">
        <v>9917</v>
      </c>
      <c r="AQ4" s="10">
        <v>8624</v>
      </c>
      <c r="AR4" s="10">
        <v>13263</v>
      </c>
      <c r="AS4" s="10">
        <v>13209</v>
      </c>
      <c r="AT4" s="10">
        <v>13250</v>
      </c>
      <c r="AU4" s="10">
        <v>14281</v>
      </c>
      <c r="AV4" s="10">
        <v>14282</v>
      </c>
      <c r="AW4" s="11">
        <v>2049</v>
      </c>
      <c r="AX4" s="12">
        <v>7975</v>
      </c>
      <c r="AY4" s="12">
        <v>8004</v>
      </c>
      <c r="AZ4" s="11">
        <v>1008</v>
      </c>
      <c r="BA4" s="11">
        <v>9484</v>
      </c>
      <c r="BB4" s="11">
        <v>682</v>
      </c>
      <c r="BC4" s="11">
        <v>11352</v>
      </c>
      <c r="BD4" s="11">
        <v>2058</v>
      </c>
      <c r="BE4" s="11">
        <v>12088</v>
      </c>
      <c r="BF4" s="11">
        <v>15007</v>
      </c>
      <c r="BG4" s="21"/>
    </row>
    <row r="5" spans="1:59" ht="15.6" x14ac:dyDescent="0.3">
      <c r="A5" s="3">
        <v>45323</v>
      </c>
      <c r="B5" s="2"/>
      <c r="C5" s="2"/>
      <c r="D5" s="2"/>
      <c r="E5" t="s">
        <v>614</v>
      </c>
      <c r="F5" t="s">
        <v>615</v>
      </c>
      <c r="G5" t="s">
        <v>616</v>
      </c>
      <c r="H5" t="s">
        <v>617</v>
      </c>
      <c r="I5" t="s">
        <v>618</v>
      </c>
      <c r="J5" t="s">
        <v>619</v>
      </c>
      <c r="K5" t="s">
        <v>620</v>
      </c>
      <c r="L5" t="s">
        <v>621</v>
      </c>
      <c r="M5" t="s">
        <v>622</v>
      </c>
      <c r="N5" t="s">
        <v>623</v>
      </c>
      <c r="O5" t="s">
        <v>624</v>
      </c>
      <c r="P5" t="s">
        <v>625</v>
      </c>
      <c r="Q5" t="s">
        <v>626</v>
      </c>
      <c r="R5" t="s">
        <v>627</v>
      </c>
      <c r="S5" t="s">
        <v>628</v>
      </c>
      <c r="T5" t="s">
        <v>629</v>
      </c>
      <c r="U5" t="s">
        <v>630</v>
      </c>
      <c r="V5" t="s">
        <v>631</v>
      </c>
      <c r="W5" t="s">
        <v>632</v>
      </c>
      <c r="X5" t="s">
        <v>633</v>
      </c>
      <c r="Y5" t="s">
        <v>634</v>
      </c>
      <c r="Z5" t="s">
        <v>635</v>
      </c>
      <c r="AA5" t="s">
        <v>636</v>
      </c>
      <c r="AB5" t="s">
        <v>637</v>
      </c>
      <c r="AC5" t="s">
        <v>638</v>
      </c>
      <c r="AD5" t="s">
        <v>639</v>
      </c>
      <c r="AE5" t="s">
        <v>640</v>
      </c>
      <c r="AF5" t="s">
        <v>641</v>
      </c>
      <c r="AG5" t="s">
        <v>642</v>
      </c>
      <c r="AH5" t="s">
        <v>643</v>
      </c>
      <c r="AI5" t="s">
        <v>644</v>
      </c>
      <c r="AJ5" t="s">
        <v>645</v>
      </c>
      <c r="AK5" t="s">
        <v>646</v>
      </c>
      <c r="AL5" t="s">
        <v>647</v>
      </c>
      <c r="AM5" t="s">
        <v>648</v>
      </c>
      <c r="AN5" t="s">
        <v>649</v>
      </c>
      <c r="AO5" t="s">
        <v>650</v>
      </c>
      <c r="AP5" t="s">
        <v>651</v>
      </c>
      <c r="AQ5" t="s">
        <v>652</v>
      </c>
      <c r="AR5" t="s">
        <v>653</v>
      </c>
      <c r="AS5" t="s">
        <v>654</v>
      </c>
      <c r="AT5" t="s">
        <v>655</v>
      </c>
      <c r="AU5" t="s">
        <v>656</v>
      </c>
      <c r="AV5" t="s">
        <v>657</v>
      </c>
      <c r="AW5" s="13" t="s">
        <v>658</v>
      </c>
      <c r="AX5" s="14" t="s">
        <v>659</v>
      </c>
      <c r="AY5" s="13" t="s">
        <v>660</v>
      </c>
      <c r="AZ5" s="13" t="s">
        <v>661</v>
      </c>
      <c r="BA5" s="13" t="s">
        <v>662</v>
      </c>
      <c r="BB5" s="13" t="s">
        <v>663</v>
      </c>
      <c r="BC5" s="13" t="s">
        <v>664</v>
      </c>
      <c r="BD5" s="13" t="s">
        <v>665</v>
      </c>
      <c r="BE5" s="13" t="s">
        <v>666</v>
      </c>
      <c r="BF5" s="13" t="s">
        <v>667</v>
      </c>
      <c r="BG5" s="21"/>
    </row>
    <row r="6" spans="1:59" ht="15.6" x14ac:dyDescent="0.3">
      <c r="A6" s="4"/>
      <c r="B6" s="5"/>
      <c r="C6" s="5"/>
      <c r="D6" s="6" t="s">
        <v>0</v>
      </c>
      <c r="E6" s="15" t="s">
        <v>668</v>
      </c>
      <c r="F6" s="15" t="s">
        <v>669</v>
      </c>
      <c r="G6" s="15" t="s">
        <v>670</v>
      </c>
      <c r="H6" s="15" t="s">
        <v>671</v>
      </c>
      <c r="I6" s="15" t="s">
        <v>672</v>
      </c>
      <c r="J6" s="15" t="s">
        <v>673</v>
      </c>
      <c r="K6" s="15" t="s">
        <v>674</v>
      </c>
      <c r="L6" s="15" t="s">
        <v>675</v>
      </c>
      <c r="M6" s="15" t="s">
        <v>676</v>
      </c>
      <c r="N6" s="15" t="s">
        <v>677</v>
      </c>
      <c r="O6" s="15" t="s">
        <v>678</v>
      </c>
      <c r="P6" s="15" t="s">
        <v>679</v>
      </c>
      <c r="Q6" s="15" t="s">
        <v>680</v>
      </c>
      <c r="R6" s="15" t="s">
        <v>681</v>
      </c>
      <c r="S6" s="15" t="s">
        <v>682</v>
      </c>
      <c r="T6" s="15" t="s">
        <v>683</v>
      </c>
      <c r="U6" s="15" t="s">
        <v>684</v>
      </c>
      <c r="V6" s="15" t="s">
        <v>685</v>
      </c>
      <c r="W6" s="15" t="s">
        <v>686</v>
      </c>
      <c r="X6" s="15" t="s">
        <v>687</v>
      </c>
      <c r="Y6" s="15" t="s">
        <v>688</v>
      </c>
      <c r="Z6" s="15" t="s">
        <v>689</v>
      </c>
      <c r="AA6" s="15" t="s">
        <v>690</v>
      </c>
      <c r="AB6" s="15" t="s">
        <v>691</v>
      </c>
      <c r="AC6" s="15" t="s">
        <v>692</v>
      </c>
      <c r="AD6" s="15" t="s">
        <v>693</v>
      </c>
      <c r="AE6" s="15" t="s">
        <v>694</v>
      </c>
      <c r="AF6" s="15" t="s">
        <v>695</v>
      </c>
      <c r="AG6" s="15" t="s">
        <v>696</v>
      </c>
      <c r="AH6" s="15" t="s">
        <v>697</v>
      </c>
      <c r="AI6" s="15" t="s">
        <v>698</v>
      </c>
      <c r="AJ6" s="15" t="s">
        <v>699</v>
      </c>
      <c r="AK6" s="15" t="s">
        <v>700</v>
      </c>
      <c r="AL6" s="15" t="s">
        <v>701</v>
      </c>
      <c r="AM6" s="15" t="s">
        <v>702</v>
      </c>
      <c r="AN6" s="15" t="s">
        <v>703</v>
      </c>
      <c r="AO6" s="15" t="s">
        <v>704</v>
      </c>
      <c r="AP6" s="15" t="s">
        <v>705</v>
      </c>
      <c r="AQ6" s="15" t="s">
        <v>706</v>
      </c>
      <c r="AR6" s="15" t="s">
        <v>707</v>
      </c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21"/>
    </row>
    <row r="7" spans="1:59" ht="15.6" x14ac:dyDescent="0.3">
      <c r="A7" s="5" t="s">
        <v>1</v>
      </c>
      <c r="B7" s="5" t="s">
        <v>2</v>
      </c>
      <c r="C7" s="7">
        <v>1</v>
      </c>
      <c r="D7" s="7">
        <v>1</v>
      </c>
      <c r="E7" s="7">
        <v>102239.04399999999</v>
      </c>
      <c r="F7" s="7">
        <v>19797.295999999998</v>
      </c>
      <c r="G7" s="7">
        <v>17762.814999999999</v>
      </c>
      <c r="H7" s="7">
        <v>176.28700000000001</v>
      </c>
      <c r="I7" s="7">
        <v>2648.9569999999999</v>
      </c>
      <c r="J7" s="7">
        <v>10355.431</v>
      </c>
      <c r="K7" s="7">
        <v>83453.932000000001</v>
      </c>
      <c r="L7" s="7">
        <v>15265.040999999999</v>
      </c>
      <c r="M7" s="7">
        <v>1985.829</v>
      </c>
      <c r="N7" s="7">
        <v>38375.749000000003</v>
      </c>
      <c r="O7" s="7">
        <v>183340.84599999999</v>
      </c>
      <c r="P7" s="7">
        <v>36434.724999999999</v>
      </c>
      <c r="Q7" s="7">
        <v>0.05</v>
      </c>
      <c r="R7" s="7">
        <v>530.41600000000005</v>
      </c>
      <c r="S7" s="7">
        <v>76.396000000000001</v>
      </c>
      <c r="T7" s="7">
        <v>553.98400000000004</v>
      </c>
      <c r="U7" s="7">
        <v>306.30399999999997</v>
      </c>
      <c r="V7" s="7">
        <v>5892.8109999999997</v>
      </c>
      <c r="W7" s="7">
        <v>1.46</v>
      </c>
      <c r="X7" s="7">
        <v>8032.0990000000002</v>
      </c>
      <c r="Y7" s="7">
        <v>1469.684</v>
      </c>
      <c r="Z7" s="7">
        <v>1345.3720000000001</v>
      </c>
      <c r="AA7" s="7">
        <v>4477.4880000000003</v>
      </c>
      <c r="AB7" s="7">
        <v>27047.907999999999</v>
      </c>
      <c r="AC7" s="7">
        <v>42234.758000000002</v>
      </c>
      <c r="AD7" s="7">
        <v>5336.2060000000001</v>
      </c>
      <c r="AE7" s="7">
        <v>14347.295</v>
      </c>
      <c r="AF7" s="7">
        <v>16888.367999999999</v>
      </c>
      <c r="AG7" s="7">
        <v>3355.57</v>
      </c>
      <c r="AH7" s="7">
        <v>1075.24</v>
      </c>
      <c r="AI7" s="7">
        <v>99486.466</v>
      </c>
      <c r="AJ7" s="7">
        <v>25869.314999999999</v>
      </c>
      <c r="AK7" s="7">
        <v>4421.0140000000001</v>
      </c>
      <c r="AL7" s="7">
        <v>284882.826</v>
      </c>
      <c r="AM7" s="7">
        <v>45958.86</v>
      </c>
      <c r="AN7" s="7">
        <v>31314.722000000002</v>
      </c>
      <c r="AO7" s="7">
        <v>331679.587</v>
      </c>
      <c r="AP7" s="7">
        <v>18163.128000000001</v>
      </c>
      <c r="AQ7" s="7">
        <v>8488.3320000000003</v>
      </c>
      <c r="AR7" s="7">
        <v>205751.90700000001</v>
      </c>
      <c r="AS7" s="7">
        <v>-345.4</v>
      </c>
      <c r="AT7" s="7">
        <v>105092.69899999999</v>
      </c>
      <c r="AU7" s="7">
        <v>220.423</v>
      </c>
      <c r="AV7" s="7">
        <v>988.96100000000001</v>
      </c>
      <c r="AW7" s="7">
        <v>1011.928</v>
      </c>
      <c r="AX7" s="7">
        <v>9360.7960000000003</v>
      </c>
      <c r="AY7" s="7">
        <v>492.94799999999998</v>
      </c>
      <c r="AZ7" s="7">
        <v>104.375</v>
      </c>
      <c r="BA7" s="7">
        <v>0</v>
      </c>
      <c r="BB7" s="7">
        <v>8316.9380000000001</v>
      </c>
      <c r="BC7" s="7">
        <v>1099.5630000000001</v>
      </c>
      <c r="BD7" s="7">
        <v>2151.797</v>
      </c>
      <c r="BE7" s="7">
        <v>7766.7030000000004</v>
      </c>
      <c r="BF7" s="7">
        <v>1912.9739999999999</v>
      </c>
      <c r="BG7" s="21"/>
    </row>
    <row r="8" spans="1:59" ht="15.6" x14ac:dyDescent="0.3">
      <c r="A8" s="5" t="s">
        <v>3</v>
      </c>
      <c r="B8" s="5" t="s">
        <v>4</v>
      </c>
      <c r="C8" s="7">
        <v>1</v>
      </c>
      <c r="D8" s="7">
        <v>1</v>
      </c>
      <c r="E8" s="7">
        <v>46287.502999999997</v>
      </c>
      <c r="F8" s="7">
        <v>14108.459000000001</v>
      </c>
      <c r="G8" s="7">
        <v>9169.6229999999996</v>
      </c>
      <c r="H8" s="7">
        <v>3498.518</v>
      </c>
      <c r="I8" s="7">
        <v>3510.48</v>
      </c>
      <c r="J8" s="7">
        <v>5413.2730000000001</v>
      </c>
      <c r="K8" s="7">
        <v>42438.921000000002</v>
      </c>
      <c r="L8" s="7">
        <v>12016.612999999999</v>
      </c>
      <c r="M8" s="7">
        <v>0</v>
      </c>
      <c r="N8" s="7">
        <v>24784.400000000001</v>
      </c>
      <c r="O8" s="7">
        <v>110321.523</v>
      </c>
      <c r="P8" s="7">
        <v>18916.436000000002</v>
      </c>
      <c r="Q8" s="7">
        <v>0</v>
      </c>
      <c r="R8" s="7">
        <v>84.257000000000005</v>
      </c>
      <c r="S8" s="7">
        <v>609.83199999999999</v>
      </c>
      <c r="T8" s="7">
        <v>77.296999999999997</v>
      </c>
      <c r="U8" s="7">
        <v>192.98099999999999</v>
      </c>
      <c r="V8" s="7">
        <v>3031.26</v>
      </c>
      <c r="W8" s="7">
        <v>0</v>
      </c>
      <c r="X8" s="7">
        <v>971.70399999999995</v>
      </c>
      <c r="Y8" s="7">
        <v>0</v>
      </c>
      <c r="Z8" s="7">
        <v>790.13699999999994</v>
      </c>
      <c r="AA8" s="7">
        <v>2891.5569999999998</v>
      </c>
      <c r="AB8" s="7">
        <v>49.387</v>
      </c>
      <c r="AC8" s="7">
        <v>19426.406999999999</v>
      </c>
      <c r="AD8" s="7">
        <v>2006.2560000000001</v>
      </c>
      <c r="AE8" s="7">
        <v>7226.5959999999995</v>
      </c>
      <c r="AF8" s="7">
        <v>2232.683</v>
      </c>
      <c r="AG8" s="7">
        <v>2114.701</v>
      </c>
      <c r="AH8" s="7">
        <v>439.77300000000002</v>
      </c>
      <c r="AI8" s="7">
        <v>46305.633000000002</v>
      </c>
      <c r="AJ8" s="7">
        <v>13765.859</v>
      </c>
      <c r="AK8" s="7">
        <v>2070.924</v>
      </c>
      <c r="AL8" s="7">
        <v>133392.10500000001</v>
      </c>
      <c r="AM8" s="7">
        <v>26811.234</v>
      </c>
      <c r="AN8" s="7">
        <v>25862.063999999998</v>
      </c>
      <c r="AO8" s="7">
        <v>39418.459000000003</v>
      </c>
      <c r="AP8" s="7">
        <v>2338.134</v>
      </c>
      <c r="AQ8" s="7">
        <v>1064.95</v>
      </c>
      <c r="AR8" s="7">
        <v>22596.536</v>
      </c>
      <c r="AS8" s="7">
        <v>0</v>
      </c>
      <c r="AT8" s="7">
        <v>11361.081</v>
      </c>
      <c r="AU8" s="7">
        <v>97.658000000000001</v>
      </c>
      <c r="AV8" s="7">
        <v>126.172</v>
      </c>
      <c r="AW8" s="7">
        <v>2065.3110000000001</v>
      </c>
      <c r="AX8" s="7">
        <v>3912.5619999999999</v>
      </c>
      <c r="AY8" s="7">
        <v>1121.421</v>
      </c>
      <c r="AZ8" s="7">
        <v>51.185000000000002</v>
      </c>
      <c r="BA8" s="7">
        <v>0</v>
      </c>
      <c r="BB8" s="7">
        <v>2744.2130000000002</v>
      </c>
      <c r="BC8" s="7">
        <v>4579.4960000000001</v>
      </c>
      <c r="BD8" s="7">
        <v>3575.8470000000002</v>
      </c>
      <c r="BE8" s="7">
        <v>6038.0060000000003</v>
      </c>
      <c r="BF8" s="7">
        <v>0.54800000000000004</v>
      </c>
      <c r="BG8" s="21"/>
    </row>
    <row r="9" spans="1:59" ht="15.6" x14ac:dyDescent="0.3">
      <c r="A9" s="5" t="s">
        <v>5</v>
      </c>
      <c r="B9" s="5" t="s">
        <v>6</v>
      </c>
      <c r="C9" s="7">
        <v>1</v>
      </c>
      <c r="D9" s="7">
        <v>1</v>
      </c>
      <c r="E9" s="7">
        <v>64718.197999999997</v>
      </c>
      <c r="F9" s="7">
        <v>19917.543000000001</v>
      </c>
      <c r="G9" s="7">
        <v>7418.6610000000001</v>
      </c>
      <c r="H9" s="7">
        <v>19364.651999999998</v>
      </c>
      <c r="I9" s="7">
        <v>2373.4969999999998</v>
      </c>
      <c r="J9" s="7">
        <v>8456.3709999999992</v>
      </c>
      <c r="K9" s="7">
        <v>79697.7</v>
      </c>
      <c r="L9" s="7">
        <v>9894.2049999999999</v>
      </c>
      <c r="M9" s="7">
        <v>2753.7890000000002</v>
      </c>
      <c r="N9" s="7">
        <v>23460.773000000001</v>
      </c>
      <c r="O9" s="7">
        <v>152046.90400000001</v>
      </c>
      <c r="P9" s="7">
        <v>21595.186000000002</v>
      </c>
      <c r="Q9" s="7">
        <v>132.52099999999999</v>
      </c>
      <c r="R9" s="7">
        <v>153.36500000000001</v>
      </c>
      <c r="S9" s="7">
        <v>418.20600000000002</v>
      </c>
      <c r="T9" s="7">
        <v>162.36600000000001</v>
      </c>
      <c r="U9" s="7">
        <v>195.23</v>
      </c>
      <c r="V9" s="7">
        <v>5292.4229999999998</v>
      </c>
      <c r="W9" s="7">
        <v>43.814999999999998</v>
      </c>
      <c r="X9" s="7">
        <v>3124.1860000000001</v>
      </c>
      <c r="Y9" s="7">
        <v>3341.828</v>
      </c>
      <c r="Z9" s="7">
        <v>4330.6360000000004</v>
      </c>
      <c r="AA9" s="7">
        <v>4214.7870000000003</v>
      </c>
      <c r="AB9" s="7">
        <v>3266.3049999999998</v>
      </c>
      <c r="AC9" s="7">
        <v>30050.626</v>
      </c>
      <c r="AD9" s="7">
        <v>2898.8229999999999</v>
      </c>
      <c r="AE9" s="7">
        <v>27548.118999999999</v>
      </c>
      <c r="AF9" s="7">
        <v>8156.1989999999996</v>
      </c>
      <c r="AG9" s="7">
        <v>3828.0889999999999</v>
      </c>
      <c r="AH9" s="7">
        <v>2433.1219999999998</v>
      </c>
      <c r="AI9" s="7">
        <v>75847.608999999997</v>
      </c>
      <c r="AJ9" s="7">
        <v>27675.616000000002</v>
      </c>
      <c r="AK9" s="7">
        <v>12509.050999999999</v>
      </c>
      <c r="AL9" s="7">
        <v>229189.23199999999</v>
      </c>
      <c r="AM9" s="7">
        <v>56664.972000000002</v>
      </c>
      <c r="AN9" s="7">
        <v>9508.6620000000003</v>
      </c>
      <c r="AO9" s="7">
        <v>235045.58499999999</v>
      </c>
      <c r="AP9" s="7">
        <v>5265.8459999999995</v>
      </c>
      <c r="AQ9" s="7">
        <v>6916.5479999999998</v>
      </c>
      <c r="AR9" s="7">
        <v>131419.33499999999</v>
      </c>
      <c r="AS9" s="7">
        <v>192.661</v>
      </c>
      <c r="AT9" s="7">
        <v>75293.448000000004</v>
      </c>
      <c r="AU9" s="7">
        <v>362.49299999999999</v>
      </c>
      <c r="AV9" s="7">
        <v>1267.21</v>
      </c>
      <c r="AW9" s="7">
        <v>0</v>
      </c>
      <c r="AX9" s="7">
        <v>9154.3279999999995</v>
      </c>
      <c r="AY9" s="7">
        <v>0</v>
      </c>
      <c r="AZ9" s="7">
        <v>48.948</v>
      </c>
      <c r="BA9" s="7">
        <v>0</v>
      </c>
      <c r="BB9" s="7">
        <v>675.38699999999994</v>
      </c>
      <c r="BC9" s="7">
        <v>0</v>
      </c>
      <c r="BD9" s="7">
        <v>0</v>
      </c>
      <c r="BE9" s="7">
        <v>19708.440999999999</v>
      </c>
      <c r="BF9" s="7">
        <v>1883.4390000000001</v>
      </c>
      <c r="BG9" s="21"/>
    </row>
    <row r="10" spans="1:59" ht="15.6" x14ac:dyDescent="0.3">
      <c r="A10" s="5" t="s">
        <v>7</v>
      </c>
      <c r="B10" s="5" t="s">
        <v>8</v>
      </c>
      <c r="C10" s="7">
        <v>1</v>
      </c>
      <c r="D10" s="7">
        <v>1</v>
      </c>
      <c r="E10" s="7">
        <v>317648.99599999998</v>
      </c>
      <c r="F10" s="7">
        <v>88449.682000000001</v>
      </c>
      <c r="G10" s="7">
        <v>0</v>
      </c>
      <c r="H10" s="7">
        <v>0</v>
      </c>
      <c r="I10" s="7">
        <v>4397.826</v>
      </c>
      <c r="J10" s="7">
        <v>2.1000000000000001E-2</v>
      </c>
      <c r="K10" s="7">
        <v>458039.75300000003</v>
      </c>
      <c r="L10" s="7">
        <v>37952.021000000001</v>
      </c>
      <c r="M10" s="7">
        <v>0</v>
      </c>
      <c r="N10" s="7">
        <v>45691.141000000003</v>
      </c>
      <c r="O10" s="7">
        <v>1079597.1140000001</v>
      </c>
      <c r="P10" s="7">
        <v>62034.137000000002</v>
      </c>
      <c r="Q10" s="7">
        <v>0</v>
      </c>
      <c r="R10" s="7">
        <v>3925.0410000000002</v>
      </c>
      <c r="S10" s="7">
        <v>0</v>
      </c>
      <c r="T10" s="7">
        <v>3649.4760000000001</v>
      </c>
      <c r="U10" s="7">
        <v>666.36599999999999</v>
      </c>
      <c r="V10" s="7">
        <v>26472.606</v>
      </c>
      <c r="W10" s="7">
        <v>0</v>
      </c>
      <c r="X10" s="7">
        <v>52883.476000000002</v>
      </c>
      <c r="Y10" s="7">
        <v>0</v>
      </c>
      <c r="Z10" s="7">
        <v>0</v>
      </c>
      <c r="AA10" s="7">
        <v>7389.1040000000003</v>
      </c>
      <c r="AB10" s="7">
        <v>140784.658</v>
      </c>
      <c r="AC10" s="7">
        <v>182244.83</v>
      </c>
      <c r="AD10" s="7">
        <v>41741.963000000003</v>
      </c>
      <c r="AE10" s="7">
        <v>0</v>
      </c>
      <c r="AF10" s="7">
        <v>117673.94100000001</v>
      </c>
      <c r="AG10" s="7">
        <v>14738.038</v>
      </c>
      <c r="AH10" s="7">
        <v>8464.2860000000001</v>
      </c>
      <c r="AI10" s="7">
        <v>464911.99900000001</v>
      </c>
      <c r="AJ10" s="7">
        <v>214338.35200000001</v>
      </c>
      <c r="AK10" s="7">
        <v>35335.898999999998</v>
      </c>
      <c r="AL10" s="7">
        <v>1391177.567</v>
      </c>
      <c r="AM10" s="7">
        <v>407433.70299999998</v>
      </c>
      <c r="AN10" s="7">
        <v>243282.204</v>
      </c>
      <c r="AO10" s="7">
        <v>4537811.03</v>
      </c>
      <c r="AP10" s="7">
        <v>118396.113</v>
      </c>
      <c r="AQ10" s="7">
        <v>52849.508999999998</v>
      </c>
      <c r="AR10" s="7">
        <v>2821176.4479999999</v>
      </c>
      <c r="AS10" s="7">
        <v>0</v>
      </c>
      <c r="AT10" s="7">
        <v>1441211.58</v>
      </c>
      <c r="AU10" s="7">
        <v>1207.424</v>
      </c>
      <c r="AV10" s="7">
        <v>6509.058</v>
      </c>
      <c r="AW10" s="7">
        <v>0</v>
      </c>
      <c r="AX10" s="7">
        <v>62100.758000000002</v>
      </c>
      <c r="AY10" s="7">
        <v>0</v>
      </c>
      <c r="AZ10" s="7">
        <v>266.721</v>
      </c>
      <c r="BA10" s="7">
        <v>0</v>
      </c>
      <c r="BB10" s="7">
        <v>2076.3510000000001</v>
      </c>
      <c r="BC10" s="7">
        <v>0</v>
      </c>
      <c r="BD10" s="7">
        <v>0</v>
      </c>
      <c r="BE10" s="7">
        <v>56045.273999999998</v>
      </c>
      <c r="BF10" s="7">
        <v>9847.5079999999998</v>
      </c>
      <c r="BG10" s="21"/>
    </row>
    <row r="11" spans="1:59" ht="15.6" x14ac:dyDescent="0.3">
      <c r="A11" s="5" t="s">
        <v>9</v>
      </c>
      <c r="B11" s="5" t="s">
        <v>10</v>
      </c>
      <c r="C11" s="7">
        <v>1</v>
      </c>
      <c r="D11" s="7">
        <v>1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21"/>
    </row>
    <row r="12" spans="1:59" ht="15.6" x14ac:dyDescent="0.3">
      <c r="A12" s="5" t="s">
        <v>11</v>
      </c>
      <c r="B12" s="5" t="s">
        <v>12</v>
      </c>
      <c r="C12" s="7">
        <v>1</v>
      </c>
      <c r="D12" s="7">
        <v>1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21"/>
    </row>
    <row r="13" spans="1:59" ht="15.6" x14ac:dyDescent="0.3">
      <c r="A13" s="5" t="s">
        <v>13</v>
      </c>
      <c r="B13" s="5" t="s">
        <v>14</v>
      </c>
      <c r="C13" s="7">
        <v>1</v>
      </c>
      <c r="D13" s="7">
        <v>1</v>
      </c>
      <c r="E13" s="7">
        <v>8819.6309999999994</v>
      </c>
      <c r="F13" s="7">
        <v>2082.23</v>
      </c>
      <c r="G13" s="7">
        <v>1339.2270000000001</v>
      </c>
      <c r="H13" s="7">
        <v>203.11600000000001</v>
      </c>
      <c r="I13" s="7">
        <v>285.11599999999999</v>
      </c>
      <c r="J13" s="7">
        <v>1203.143</v>
      </c>
      <c r="K13" s="7">
        <v>7793.951</v>
      </c>
      <c r="L13" s="7">
        <v>4588.7330000000002</v>
      </c>
      <c r="M13" s="7">
        <v>0</v>
      </c>
      <c r="N13" s="7">
        <v>9077.1</v>
      </c>
      <c r="O13" s="7">
        <v>23375.5</v>
      </c>
      <c r="P13" s="7">
        <v>5178.5789999999997</v>
      </c>
      <c r="Q13" s="7">
        <v>0</v>
      </c>
      <c r="R13" s="7">
        <v>11.951000000000001</v>
      </c>
      <c r="S13" s="7">
        <v>5.077</v>
      </c>
      <c r="T13" s="7">
        <v>5.9480000000000004</v>
      </c>
      <c r="U13" s="7">
        <v>0.58299999999999996</v>
      </c>
      <c r="V13" s="7">
        <v>682.03300000000002</v>
      </c>
      <c r="W13" s="7">
        <v>0</v>
      </c>
      <c r="X13" s="7">
        <v>124.04900000000001</v>
      </c>
      <c r="Y13" s="7">
        <v>0</v>
      </c>
      <c r="Z13" s="7">
        <v>137.929</v>
      </c>
      <c r="AA13" s="7">
        <v>432.71600000000001</v>
      </c>
      <c r="AB13" s="7">
        <v>186.67599999999999</v>
      </c>
      <c r="AC13" s="7">
        <v>2988.212</v>
      </c>
      <c r="AD13" s="7">
        <v>253.036</v>
      </c>
      <c r="AE13" s="7">
        <v>1622.52</v>
      </c>
      <c r="AF13" s="7">
        <v>336.387</v>
      </c>
      <c r="AG13" s="7">
        <v>342.46899999999999</v>
      </c>
      <c r="AH13" s="7">
        <v>15.487</v>
      </c>
      <c r="AI13" s="7">
        <v>7814.8739999999998</v>
      </c>
      <c r="AJ13" s="7">
        <v>2221.7829999999999</v>
      </c>
      <c r="AK13" s="7">
        <v>107.14700000000001</v>
      </c>
      <c r="AL13" s="7">
        <v>26392.583999999999</v>
      </c>
      <c r="AM13" s="7">
        <v>4214.5889999999999</v>
      </c>
      <c r="AN13" s="7">
        <v>1539.087</v>
      </c>
      <c r="AO13" s="7">
        <v>15127.68</v>
      </c>
      <c r="AP13" s="7">
        <v>242.97</v>
      </c>
      <c r="AQ13" s="7">
        <v>52.243000000000002</v>
      </c>
      <c r="AR13" s="7">
        <v>9404.9279999999999</v>
      </c>
      <c r="AS13" s="7">
        <v>0</v>
      </c>
      <c r="AT13" s="7">
        <v>4804.5600000000004</v>
      </c>
      <c r="AU13" s="7">
        <v>25.879000000000001</v>
      </c>
      <c r="AV13" s="7">
        <v>11.295</v>
      </c>
      <c r="AW13" s="7">
        <v>0</v>
      </c>
      <c r="AX13" s="7">
        <v>635.64</v>
      </c>
      <c r="AY13" s="7">
        <v>0</v>
      </c>
      <c r="AZ13" s="7">
        <v>5.577</v>
      </c>
      <c r="BA13" s="7">
        <v>0</v>
      </c>
      <c r="BB13" s="7">
        <v>81.998000000000005</v>
      </c>
      <c r="BC13" s="7">
        <v>0</v>
      </c>
      <c r="BD13" s="7">
        <v>0</v>
      </c>
      <c r="BE13" s="7">
        <v>1134.3320000000001</v>
      </c>
      <c r="BF13" s="7">
        <v>13.055999999999999</v>
      </c>
      <c r="BG13" s="21"/>
    </row>
    <row r="14" spans="1:59" ht="15.6" x14ac:dyDescent="0.3">
      <c r="A14" s="5" t="s">
        <v>3</v>
      </c>
      <c r="B14" s="5" t="s">
        <v>15</v>
      </c>
      <c r="C14" s="7">
        <v>1</v>
      </c>
      <c r="D14" s="7">
        <v>1</v>
      </c>
      <c r="E14" s="7">
        <v>18.326000000000001</v>
      </c>
      <c r="F14" s="7">
        <v>4.5270000000000001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5.1189999999999998</v>
      </c>
      <c r="M14" s="7">
        <v>0</v>
      </c>
      <c r="N14" s="7">
        <v>14.397</v>
      </c>
      <c r="O14" s="7">
        <v>145.87799999999999</v>
      </c>
      <c r="P14" s="7">
        <v>5.7080000000000002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9.9939999999999998</v>
      </c>
      <c r="AJ14" s="7">
        <v>1.488</v>
      </c>
      <c r="AK14" s="7">
        <v>0</v>
      </c>
      <c r="AL14" s="7">
        <v>93.668999999999997</v>
      </c>
      <c r="AM14" s="7">
        <v>1.0089999999999999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21"/>
    </row>
    <row r="15" spans="1:59" ht="15.6" x14ac:dyDescent="0.3">
      <c r="A15" s="5" t="s">
        <v>16</v>
      </c>
      <c r="B15" s="5" t="s">
        <v>17</v>
      </c>
      <c r="C15" s="7">
        <v>1</v>
      </c>
      <c r="D15" s="7">
        <v>1</v>
      </c>
      <c r="E15" s="7">
        <v>825.27700000000004</v>
      </c>
      <c r="F15" s="7">
        <v>229.79900000000001</v>
      </c>
      <c r="G15" s="7">
        <v>0</v>
      </c>
      <c r="H15" s="7">
        <v>0</v>
      </c>
      <c r="I15" s="7">
        <v>11.426</v>
      </c>
      <c r="J15" s="7">
        <v>0</v>
      </c>
      <c r="K15" s="7">
        <v>1190.0239999999999</v>
      </c>
      <c r="L15" s="7">
        <v>98.602000000000004</v>
      </c>
      <c r="M15" s="7">
        <v>0</v>
      </c>
      <c r="N15" s="7">
        <v>118.709</v>
      </c>
      <c r="O15" s="7">
        <v>2804.8789999999999</v>
      </c>
      <c r="P15" s="7">
        <v>161.16999999999999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68.778000000000006</v>
      </c>
      <c r="W15" s="7">
        <v>0</v>
      </c>
      <c r="X15" s="7">
        <v>0</v>
      </c>
      <c r="Y15" s="7">
        <v>0</v>
      </c>
      <c r="Z15" s="7">
        <v>0</v>
      </c>
      <c r="AA15" s="7">
        <v>19.196999999999999</v>
      </c>
      <c r="AB15" s="7">
        <v>0</v>
      </c>
      <c r="AC15" s="7">
        <v>473.48700000000002</v>
      </c>
      <c r="AD15" s="7">
        <v>0</v>
      </c>
      <c r="AE15" s="7">
        <v>0</v>
      </c>
      <c r="AF15" s="7">
        <v>0.16400000000000001</v>
      </c>
      <c r="AG15" s="7">
        <v>38.290999999999997</v>
      </c>
      <c r="AH15" s="7">
        <v>0</v>
      </c>
      <c r="AI15" s="7">
        <v>1207.8779999999999</v>
      </c>
      <c r="AJ15" s="7">
        <v>556.86800000000005</v>
      </c>
      <c r="AK15" s="7">
        <v>0</v>
      </c>
      <c r="AL15" s="7">
        <v>3614.39</v>
      </c>
      <c r="AM15" s="7">
        <v>1058.5450000000001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3.137</v>
      </c>
      <c r="AV15" s="7">
        <v>0</v>
      </c>
      <c r="AW15" s="7">
        <v>0</v>
      </c>
      <c r="AX15" s="7">
        <v>161.34299999999999</v>
      </c>
      <c r="AY15" s="7">
        <v>0</v>
      </c>
      <c r="AZ15" s="7">
        <v>0.69299999999999995</v>
      </c>
      <c r="BA15" s="7">
        <v>0</v>
      </c>
      <c r="BB15" s="7">
        <v>5.3949999999999996</v>
      </c>
      <c r="BC15" s="7">
        <v>0</v>
      </c>
      <c r="BD15" s="7">
        <v>0</v>
      </c>
      <c r="BE15" s="7">
        <v>145.61000000000001</v>
      </c>
      <c r="BF15" s="7">
        <v>0</v>
      </c>
      <c r="BG15" s="21"/>
    </row>
    <row r="16" spans="1:59" ht="15.6" x14ac:dyDescent="0.3">
      <c r="A16" s="5" t="s">
        <v>18</v>
      </c>
      <c r="B16" s="5" t="s">
        <v>19</v>
      </c>
      <c r="C16" s="7">
        <v>2</v>
      </c>
      <c r="D16" s="7">
        <v>2</v>
      </c>
      <c r="E16" s="7">
        <v>737773.15</v>
      </c>
      <c r="F16" s="7">
        <v>71612.574999999997</v>
      </c>
      <c r="G16" s="7">
        <v>192486.348</v>
      </c>
      <c r="H16" s="7">
        <v>0</v>
      </c>
      <c r="I16" s="7">
        <v>27583.605</v>
      </c>
      <c r="J16" s="7">
        <v>135708.90700000001</v>
      </c>
      <c r="K16" s="7">
        <v>336363.45600000001</v>
      </c>
      <c r="L16" s="7">
        <v>76893.339000000007</v>
      </c>
      <c r="M16" s="7">
        <v>0</v>
      </c>
      <c r="N16" s="7">
        <v>317161.82500000001</v>
      </c>
      <c r="O16" s="7">
        <v>235677.09099999999</v>
      </c>
      <c r="P16" s="7">
        <v>309559.74800000002</v>
      </c>
      <c r="Q16" s="7">
        <v>0</v>
      </c>
      <c r="R16" s="7">
        <v>0</v>
      </c>
      <c r="S16" s="7">
        <v>18326.146000000001</v>
      </c>
      <c r="T16" s="7">
        <v>578.10599999999999</v>
      </c>
      <c r="U16" s="7">
        <v>1803.8389999999999</v>
      </c>
      <c r="V16" s="7">
        <v>21366.998</v>
      </c>
      <c r="W16" s="7">
        <v>0</v>
      </c>
      <c r="X16" s="7">
        <v>2702.1759999999999</v>
      </c>
      <c r="Y16" s="7">
        <v>0</v>
      </c>
      <c r="Z16" s="7">
        <v>12037.724</v>
      </c>
      <c r="AA16" s="7">
        <v>24239.53</v>
      </c>
      <c r="AB16" s="7">
        <v>0</v>
      </c>
      <c r="AC16" s="7">
        <v>125341.84600000001</v>
      </c>
      <c r="AD16" s="7">
        <v>0</v>
      </c>
      <c r="AE16" s="7">
        <v>143612.296</v>
      </c>
      <c r="AF16" s="7">
        <v>0</v>
      </c>
      <c r="AG16" s="7">
        <v>8834.2630000000008</v>
      </c>
      <c r="AH16" s="7">
        <v>3904.0160000000001</v>
      </c>
      <c r="AI16" s="7">
        <v>305491.53200000001</v>
      </c>
      <c r="AJ16" s="7">
        <v>0</v>
      </c>
      <c r="AK16" s="7">
        <v>11260.959000000001</v>
      </c>
      <c r="AL16" s="7">
        <v>774966.38600000006</v>
      </c>
      <c r="AM16" s="7">
        <v>0</v>
      </c>
      <c r="AN16" s="7">
        <v>0</v>
      </c>
      <c r="AO16" s="7">
        <v>0</v>
      </c>
      <c r="AP16" s="7">
        <v>16282.718999999999</v>
      </c>
      <c r="AQ16" s="7">
        <v>14108.376</v>
      </c>
      <c r="AR16" s="7">
        <v>0</v>
      </c>
      <c r="AS16" s="7">
        <v>0</v>
      </c>
      <c r="AT16" s="7">
        <v>0</v>
      </c>
      <c r="AU16" s="7">
        <v>749.62199999999996</v>
      </c>
      <c r="AV16" s="7">
        <v>1208.8810000000001</v>
      </c>
      <c r="AW16" s="7">
        <v>0</v>
      </c>
      <c r="AX16" s="7">
        <v>0</v>
      </c>
      <c r="AY16" s="7">
        <v>0</v>
      </c>
      <c r="AZ16" s="7">
        <v>600.16399999999999</v>
      </c>
      <c r="BA16" s="7">
        <v>0</v>
      </c>
      <c r="BB16" s="7">
        <v>15733.623</v>
      </c>
      <c r="BC16" s="7">
        <v>0</v>
      </c>
      <c r="BD16" s="7">
        <v>0</v>
      </c>
      <c r="BE16" s="7">
        <v>0</v>
      </c>
      <c r="BF16" s="7">
        <v>0</v>
      </c>
      <c r="BG16" s="21"/>
    </row>
    <row r="17" spans="1:59" ht="15.6" x14ac:dyDescent="0.3">
      <c r="A17" s="5" t="s">
        <v>20</v>
      </c>
      <c r="B17" s="5" t="s">
        <v>21</v>
      </c>
      <c r="C17" s="7">
        <v>2</v>
      </c>
      <c r="D17" s="7">
        <v>2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21"/>
    </row>
    <row r="18" spans="1:59" ht="15.6" x14ac:dyDescent="0.3">
      <c r="A18" s="5" t="s">
        <v>22</v>
      </c>
      <c r="B18" s="5" t="s">
        <v>23</v>
      </c>
      <c r="C18" s="7">
        <v>2</v>
      </c>
      <c r="D18" s="7">
        <v>2</v>
      </c>
      <c r="E18" s="7">
        <v>604705.42299999995</v>
      </c>
      <c r="F18" s="7">
        <v>58696.243999999999</v>
      </c>
      <c r="G18" s="7">
        <v>158521.772</v>
      </c>
      <c r="H18" s="7">
        <v>0</v>
      </c>
      <c r="I18" s="7">
        <v>22608.516</v>
      </c>
      <c r="J18" s="7">
        <v>111406.84299999999</v>
      </c>
      <c r="K18" s="7">
        <v>275695.59299999999</v>
      </c>
      <c r="L18" s="7">
        <v>71871.87</v>
      </c>
      <c r="M18" s="7">
        <v>60421.540999999997</v>
      </c>
      <c r="N18" s="7">
        <v>259957.245</v>
      </c>
      <c r="O18" s="7">
        <v>193169.42499999999</v>
      </c>
      <c r="P18" s="7">
        <v>253726.30900000001</v>
      </c>
      <c r="Q18" s="7">
        <v>12276.611999999999</v>
      </c>
      <c r="R18" s="7">
        <v>0</v>
      </c>
      <c r="S18" s="7">
        <v>0</v>
      </c>
      <c r="T18" s="7">
        <v>978.98400000000004</v>
      </c>
      <c r="U18" s="7">
        <v>3054.68</v>
      </c>
      <c r="V18" s="7">
        <v>17513.16</v>
      </c>
      <c r="W18" s="7">
        <v>0</v>
      </c>
      <c r="X18" s="7">
        <v>4575.9530000000004</v>
      </c>
      <c r="Y18" s="7">
        <v>45703.220999999998</v>
      </c>
      <c r="Z18" s="7">
        <v>9866.5519999999997</v>
      </c>
      <c r="AA18" s="7">
        <v>25610.154999999999</v>
      </c>
      <c r="AB18" s="7">
        <v>0</v>
      </c>
      <c r="AC18" s="7">
        <v>102734.68700000001</v>
      </c>
      <c r="AD18" s="7">
        <v>0</v>
      </c>
      <c r="AE18" s="7">
        <v>117709.80499999999</v>
      </c>
      <c r="AF18" s="7">
        <v>0</v>
      </c>
      <c r="AG18" s="7">
        <v>7240.88</v>
      </c>
      <c r="AH18" s="7">
        <v>3199.8719999999998</v>
      </c>
      <c r="AI18" s="7">
        <v>250391.853</v>
      </c>
      <c r="AJ18" s="7">
        <v>0</v>
      </c>
      <c r="AK18" s="7">
        <v>9229.8870000000006</v>
      </c>
      <c r="AL18" s="7">
        <v>635122.19499999995</v>
      </c>
      <c r="AM18" s="7">
        <v>0</v>
      </c>
      <c r="AN18" s="7">
        <v>0</v>
      </c>
      <c r="AO18" s="7">
        <v>0</v>
      </c>
      <c r="AP18" s="7">
        <v>27573.690999999999</v>
      </c>
      <c r="AQ18" s="7">
        <v>23891.588</v>
      </c>
      <c r="AR18" s="7">
        <v>0</v>
      </c>
      <c r="AS18" s="7">
        <v>8806.9230000000007</v>
      </c>
      <c r="AT18" s="7">
        <v>0</v>
      </c>
      <c r="AU18" s="7">
        <v>614.41700000000003</v>
      </c>
      <c r="AV18" s="7">
        <v>2047.1579999999999</v>
      </c>
      <c r="AW18" s="7">
        <v>0</v>
      </c>
      <c r="AX18" s="7">
        <v>0</v>
      </c>
      <c r="AY18" s="7">
        <v>0</v>
      </c>
      <c r="AZ18" s="7">
        <v>491.916</v>
      </c>
      <c r="BA18" s="7">
        <v>0</v>
      </c>
      <c r="BB18" s="7">
        <v>12953.003000000001</v>
      </c>
      <c r="BC18" s="7">
        <v>0</v>
      </c>
      <c r="BD18" s="7">
        <v>0</v>
      </c>
      <c r="BE18" s="7">
        <v>0</v>
      </c>
      <c r="BF18" s="7">
        <v>0</v>
      </c>
      <c r="BG18" s="21"/>
    </row>
    <row r="19" spans="1:59" ht="15.6" x14ac:dyDescent="0.3">
      <c r="A19" s="5" t="s">
        <v>24</v>
      </c>
      <c r="B19" s="5" t="s">
        <v>25</v>
      </c>
      <c r="C19" s="7">
        <v>2</v>
      </c>
      <c r="D19" s="7">
        <v>2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13587.950999999999</v>
      </c>
      <c r="N19" s="7">
        <v>0</v>
      </c>
      <c r="O19" s="7">
        <v>0</v>
      </c>
      <c r="P19" s="7">
        <v>0</v>
      </c>
      <c r="Q19" s="7">
        <v>273.98399999999998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10278.009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1980.5530000000001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6.9329999999999998</v>
      </c>
      <c r="BC19" s="7">
        <v>0</v>
      </c>
      <c r="BD19" s="7">
        <v>0</v>
      </c>
      <c r="BE19" s="7">
        <v>0</v>
      </c>
      <c r="BF19" s="7">
        <v>0</v>
      </c>
      <c r="BG19" s="21"/>
    </row>
    <row r="20" spans="1:59" ht="15.6" x14ac:dyDescent="0.3">
      <c r="A20" s="5" t="s">
        <v>26</v>
      </c>
      <c r="B20" s="5" t="s">
        <v>27</v>
      </c>
      <c r="C20" s="7">
        <v>2</v>
      </c>
      <c r="D20" s="7">
        <v>2</v>
      </c>
      <c r="E20" s="7">
        <v>56718.364000000001</v>
      </c>
      <c r="F20" s="7">
        <v>15906.091</v>
      </c>
      <c r="G20" s="7">
        <v>0</v>
      </c>
      <c r="H20" s="7">
        <v>0</v>
      </c>
      <c r="I20" s="7">
        <v>790.62300000000005</v>
      </c>
      <c r="J20" s="7">
        <v>0</v>
      </c>
      <c r="K20" s="7">
        <v>81670.531000000003</v>
      </c>
      <c r="L20" s="7">
        <v>6652.9219999999996</v>
      </c>
      <c r="M20" s="7">
        <v>158132.50099999999</v>
      </c>
      <c r="N20" s="7">
        <v>8190.1080000000002</v>
      </c>
      <c r="O20" s="7">
        <v>194089.41</v>
      </c>
      <c r="P20" s="7">
        <v>11038.947</v>
      </c>
      <c r="Q20" s="7">
        <v>560.16499999999996</v>
      </c>
      <c r="R20" s="7">
        <v>0</v>
      </c>
      <c r="S20" s="7">
        <v>3.0459999999999998</v>
      </c>
      <c r="T20" s="7">
        <v>0</v>
      </c>
      <c r="U20" s="7">
        <v>0</v>
      </c>
      <c r="V20" s="7">
        <v>4761.5129999999999</v>
      </c>
      <c r="W20" s="7">
        <v>2830.5479999999998</v>
      </c>
      <c r="X20" s="7">
        <v>0</v>
      </c>
      <c r="Y20" s="7">
        <v>119612.38400000001</v>
      </c>
      <c r="Z20" s="7">
        <v>0</v>
      </c>
      <c r="AA20" s="7">
        <v>1311.66</v>
      </c>
      <c r="AB20" s="7">
        <v>0</v>
      </c>
      <c r="AC20" s="7">
        <v>32525.194</v>
      </c>
      <c r="AD20" s="7">
        <v>0</v>
      </c>
      <c r="AE20" s="7">
        <v>0</v>
      </c>
      <c r="AF20" s="7">
        <v>10.609</v>
      </c>
      <c r="AG20" s="7">
        <v>2644.3119999999999</v>
      </c>
      <c r="AH20" s="7">
        <v>0</v>
      </c>
      <c r="AI20" s="7">
        <v>82726.114000000001</v>
      </c>
      <c r="AJ20" s="7">
        <v>38571.303</v>
      </c>
      <c r="AK20" s="7">
        <v>0</v>
      </c>
      <c r="AL20" s="7">
        <v>249643.28599999999</v>
      </c>
      <c r="AM20" s="7">
        <v>73339.375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23049.077000000001</v>
      </c>
      <c r="AT20" s="7">
        <v>0</v>
      </c>
      <c r="AU20" s="7">
        <v>209.68299999999999</v>
      </c>
      <c r="AV20" s="7">
        <v>0</v>
      </c>
      <c r="AW20" s="7">
        <v>0</v>
      </c>
      <c r="AX20" s="7">
        <v>11169.839</v>
      </c>
      <c r="AY20" s="7">
        <v>0</v>
      </c>
      <c r="AZ20" s="7">
        <v>47.640999999999998</v>
      </c>
      <c r="BA20" s="7">
        <v>0</v>
      </c>
      <c r="BB20" s="7">
        <v>617.32600000000002</v>
      </c>
      <c r="BC20" s="7">
        <v>0</v>
      </c>
      <c r="BD20" s="7">
        <v>0</v>
      </c>
      <c r="BE20" s="7">
        <v>9440.143</v>
      </c>
      <c r="BF20" s="7">
        <v>0</v>
      </c>
      <c r="BG20" s="21"/>
    </row>
    <row r="21" spans="1:59" ht="15.6" x14ac:dyDescent="0.3">
      <c r="A21" s="5" t="s">
        <v>28</v>
      </c>
      <c r="B21" s="5" t="s">
        <v>29</v>
      </c>
      <c r="C21" s="7">
        <v>6</v>
      </c>
      <c r="D21" s="7">
        <v>6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21"/>
    </row>
    <row r="22" spans="1:59" ht="15.6" x14ac:dyDescent="0.3">
      <c r="A22" s="5" t="s">
        <v>30</v>
      </c>
      <c r="B22" s="5" t="s">
        <v>31</v>
      </c>
      <c r="C22" s="7">
        <v>5</v>
      </c>
      <c r="D22" s="7">
        <v>5</v>
      </c>
      <c r="E22" s="7">
        <v>0</v>
      </c>
      <c r="F22" s="7">
        <v>0</v>
      </c>
      <c r="G22" s="7">
        <v>0</v>
      </c>
      <c r="H22" s="7">
        <v>922701.45400000003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21"/>
    </row>
    <row r="23" spans="1:59" ht="15.6" x14ac:dyDescent="0.3">
      <c r="A23" s="5" t="s">
        <v>32</v>
      </c>
      <c r="B23" s="5" t="s">
        <v>33</v>
      </c>
      <c r="C23" s="7">
        <v>2</v>
      </c>
      <c r="D23" s="7">
        <v>2</v>
      </c>
      <c r="E23" s="7">
        <v>2986.9450000000002</v>
      </c>
      <c r="F23" s="7">
        <v>0</v>
      </c>
      <c r="G23" s="7">
        <v>1700.6410000000001</v>
      </c>
      <c r="H23" s="7">
        <v>0</v>
      </c>
      <c r="I23" s="7">
        <v>0</v>
      </c>
      <c r="J23" s="7">
        <v>1304.856</v>
      </c>
      <c r="K23" s="7">
        <v>0</v>
      </c>
      <c r="L23" s="7">
        <v>1173.8869999999999</v>
      </c>
      <c r="M23" s="7">
        <v>0</v>
      </c>
      <c r="N23" s="7">
        <v>4154.2340000000004</v>
      </c>
      <c r="O23" s="7">
        <v>4149.5649999999996</v>
      </c>
      <c r="P23" s="7">
        <v>1243.0139999999999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773.01900000000001</v>
      </c>
      <c r="AJ23" s="7">
        <v>0</v>
      </c>
      <c r="AK23" s="7">
        <v>0</v>
      </c>
      <c r="AL23" s="7">
        <v>3902.1990000000001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21"/>
    </row>
    <row r="24" spans="1:59" ht="15.6" x14ac:dyDescent="0.3">
      <c r="A24" s="5" t="s">
        <v>34</v>
      </c>
      <c r="B24" s="5" t="s">
        <v>35</v>
      </c>
      <c r="C24" s="7">
        <v>2</v>
      </c>
      <c r="D24" s="7">
        <v>2</v>
      </c>
      <c r="E24" s="7">
        <v>16876.167000000001</v>
      </c>
      <c r="F24" s="7">
        <v>5635.7870000000003</v>
      </c>
      <c r="G24" s="7">
        <v>5819.7960000000003</v>
      </c>
      <c r="H24" s="7">
        <v>0</v>
      </c>
      <c r="I24" s="7">
        <v>1103.3710000000001</v>
      </c>
      <c r="J24" s="7">
        <v>4368.1400000000003</v>
      </c>
      <c r="K24" s="7">
        <v>30854.287</v>
      </c>
      <c r="L24" s="7">
        <v>5639.4189999999999</v>
      </c>
      <c r="M24" s="7">
        <v>0</v>
      </c>
      <c r="N24" s="7">
        <v>9933.9830000000002</v>
      </c>
      <c r="O24" s="7">
        <v>24251.728999999999</v>
      </c>
      <c r="P24" s="7">
        <v>14900.043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1753.34</v>
      </c>
      <c r="W24" s="7">
        <v>0</v>
      </c>
      <c r="X24" s="7">
        <v>0</v>
      </c>
      <c r="Y24" s="7">
        <v>0</v>
      </c>
      <c r="Z24" s="7">
        <v>596.28599999999994</v>
      </c>
      <c r="AA24" s="7">
        <v>1559.1410000000001</v>
      </c>
      <c r="AB24" s="7">
        <v>0</v>
      </c>
      <c r="AC24" s="7">
        <v>5232.5330000000004</v>
      </c>
      <c r="AD24" s="7">
        <v>0</v>
      </c>
      <c r="AE24" s="7">
        <v>5459.0169999999998</v>
      </c>
      <c r="AF24" s="7">
        <v>0</v>
      </c>
      <c r="AG24" s="7">
        <v>788.20100000000002</v>
      </c>
      <c r="AH24" s="7">
        <v>0</v>
      </c>
      <c r="AI24" s="7">
        <v>13294.815000000001</v>
      </c>
      <c r="AJ24" s="7">
        <v>0</v>
      </c>
      <c r="AK24" s="7">
        <v>0</v>
      </c>
      <c r="AL24" s="7">
        <v>49692.017999999996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45.973999999999997</v>
      </c>
      <c r="AV24" s="7">
        <v>0</v>
      </c>
      <c r="AW24" s="7">
        <v>0</v>
      </c>
      <c r="AX24" s="7">
        <v>0</v>
      </c>
      <c r="AY24" s="7">
        <v>0</v>
      </c>
      <c r="AZ24" s="7">
        <v>2.2069999999999999</v>
      </c>
      <c r="BA24" s="7">
        <v>0</v>
      </c>
      <c r="BB24" s="7">
        <v>1097.432</v>
      </c>
      <c r="BC24" s="7">
        <v>0</v>
      </c>
      <c r="BD24" s="7">
        <v>0</v>
      </c>
      <c r="BE24" s="7">
        <v>26330.576000000001</v>
      </c>
      <c r="BF24" s="7">
        <v>0</v>
      </c>
      <c r="BG24" s="21"/>
    </row>
    <row r="25" spans="1:59" ht="15.6" x14ac:dyDescent="0.3">
      <c r="A25" s="5" t="s">
        <v>36</v>
      </c>
      <c r="B25" s="5" t="s">
        <v>37</v>
      </c>
      <c r="C25" s="7">
        <v>6</v>
      </c>
      <c r="D25" s="7">
        <v>6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21"/>
    </row>
    <row r="26" spans="1:59" ht="15.6" x14ac:dyDescent="0.3">
      <c r="A26" s="5" t="s">
        <v>38</v>
      </c>
      <c r="B26" s="5" t="s">
        <v>39</v>
      </c>
      <c r="C26" s="7">
        <v>6</v>
      </c>
      <c r="D26" s="7">
        <v>6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21"/>
    </row>
    <row r="27" spans="1:59" ht="15.6" x14ac:dyDescent="0.3">
      <c r="A27" s="5" t="s">
        <v>40</v>
      </c>
      <c r="B27" s="5" t="s">
        <v>41</v>
      </c>
      <c r="C27" s="7">
        <v>6</v>
      </c>
      <c r="D27" s="7">
        <v>6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21"/>
    </row>
    <row r="28" spans="1:59" ht="15.6" x14ac:dyDescent="0.3">
      <c r="A28" s="5" t="s">
        <v>42</v>
      </c>
      <c r="B28" s="5" t="s">
        <v>43</v>
      </c>
      <c r="C28" s="7">
        <v>6</v>
      </c>
      <c r="D28" s="7">
        <v>6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21"/>
    </row>
    <row r="29" spans="1:59" ht="15.6" x14ac:dyDescent="0.3">
      <c r="A29" s="5" t="s">
        <v>44</v>
      </c>
      <c r="B29" s="5" t="s">
        <v>45</v>
      </c>
      <c r="C29" s="7">
        <v>6</v>
      </c>
      <c r="D29" s="7">
        <v>6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21"/>
    </row>
    <row r="30" spans="1:59" ht="15.6" x14ac:dyDescent="0.3">
      <c r="A30" s="5" t="s">
        <v>46</v>
      </c>
      <c r="B30" s="5" t="s">
        <v>47</v>
      </c>
      <c r="C30" s="7">
        <v>6</v>
      </c>
      <c r="D30" s="7">
        <v>6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21"/>
    </row>
    <row r="31" spans="1:59" ht="15.6" x14ac:dyDescent="0.3">
      <c r="A31" s="5" t="s">
        <v>48</v>
      </c>
      <c r="B31" s="5" t="s">
        <v>49</v>
      </c>
      <c r="C31" s="7">
        <v>6</v>
      </c>
      <c r="D31" s="7">
        <v>6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21"/>
    </row>
    <row r="32" spans="1:59" ht="15.6" x14ac:dyDescent="0.3">
      <c r="A32" s="5" t="s">
        <v>50</v>
      </c>
      <c r="B32" s="5" t="s">
        <v>51</v>
      </c>
      <c r="C32" s="7">
        <v>6</v>
      </c>
      <c r="D32" s="7">
        <v>6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21"/>
    </row>
    <row r="33" spans="1:59" ht="15.6" x14ac:dyDescent="0.3">
      <c r="A33" s="5" t="s">
        <v>52</v>
      </c>
      <c r="B33" s="5" t="s">
        <v>53</v>
      </c>
      <c r="C33" s="7">
        <v>6</v>
      </c>
      <c r="D33" s="7">
        <v>6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21"/>
    </row>
    <row r="34" spans="1:59" ht="15.6" x14ac:dyDescent="0.3">
      <c r="A34" s="5" t="s">
        <v>54</v>
      </c>
      <c r="B34" s="5" t="s">
        <v>55</v>
      </c>
      <c r="C34" s="7">
        <v>6</v>
      </c>
      <c r="D34" s="7">
        <v>6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21"/>
    </row>
    <row r="35" spans="1:59" ht="15.6" x14ac:dyDescent="0.3">
      <c r="A35" s="5" t="s">
        <v>56</v>
      </c>
      <c r="B35" s="5" t="s">
        <v>57</v>
      </c>
      <c r="C35" s="7">
        <v>6</v>
      </c>
      <c r="D35" s="7">
        <v>6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4839.8549999999996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3660.8960000000002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705.44799999999998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21"/>
    </row>
    <row r="36" spans="1:59" ht="15.6" x14ac:dyDescent="0.3">
      <c r="A36" s="5" t="s">
        <v>58</v>
      </c>
      <c r="B36" s="5" t="s">
        <v>59</v>
      </c>
      <c r="C36" s="7">
        <v>6</v>
      </c>
      <c r="D36" s="7">
        <v>6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21"/>
    </row>
    <row r="37" spans="1:59" ht="15.6" x14ac:dyDescent="0.3">
      <c r="A37" s="5" t="s">
        <v>60</v>
      </c>
      <c r="B37" s="5" t="s">
        <v>61</v>
      </c>
      <c r="C37" s="7">
        <v>6</v>
      </c>
      <c r="D37" s="7">
        <v>6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21"/>
    </row>
    <row r="38" spans="1:59" ht="15.6" x14ac:dyDescent="0.3">
      <c r="A38" s="5" t="s">
        <v>62</v>
      </c>
      <c r="B38" s="5" t="s">
        <v>63</v>
      </c>
      <c r="C38" s="7">
        <v>6</v>
      </c>
      <c r="D38" s="7">
        <v>6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21"/>
    </row>
    <row r="39" spans="1:59" ht="15.6" x14ac:dyDescent="0.3">
      <c r="A39" s="5" t="s">
        <v>64</v>
      </c>
      <c r="B39" s="5" t="s">
        <v>65</v>
      </c>
      <c r="C39" s="7">
        <v>6</v>
      </c>
      <c r="D39" s="7">
        <v>6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21"/>
    </row>
    <row r="40" spans="1:59" ht="15.6" x14ac:dyDescent="0.3">
      <c r="A40" s="5" t="s">
        <v>66</v>
      </c>
      <c r="B40" s="5" t="s">
        <v>67</v>
      </c>
      <c r="C40" s="7">
        <v>6</v>
      </c>
      <c r="D40" s="7">
        <v>6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21"/>
    </row>
    <row r="41" spans="1:59" ht="15.6" x14ac:dyDescent="0.3">
      <c r="A41" s="5" t="s">
        <v>68</v>
      </c>
      <c r="B41" s="5" t="s">
        <v>69</v>
      </c>
      <c r="C41" s="7">
        <v>6</v>
      </c>
      <c r="D41" s="7">
        <v>6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21"/>
    </row>
    <row r="42" spans="1:59" ht="15.6" x14ac:dyDescent="0.3">
      <c r="A42" s="5" t="s">
        <v>70</v>
      </c>
      <c r="B42" s="5" t="s">
        <v>71</v>
      </c>
      <c r="C42" s="7">
        <v>6</v>
      </c>
      <c r="D42" s="7">
        <v>6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21"/>
    </row>
    <row r="43" spans="1:59" ht="15.6" x14ac:dyDescent="0.3">
      <c r="A43" s="5" t="s">
        <v>72</v>
      </c>
      <c r="B43" s="5" t="s">
        <v>73</v>
      </c>
      <c r="C43" s="7">
        <v>6</v>
      </c>
      <c r="D43" s="7">
        <v>6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21"/>
    </row>
    <row r="44" spans="1:59" ht="15.6" x14ac:dyDescent="0.3">
      <c r="A44" s="5" t="s">
        <v>74</v>
      </c>
      <c r="B44" s="5" t="s">
        <v>75</v>
      </c>
      <c r="C44" s="7">
        <v>6</v>
      </c>
      <c r="D44" s="7">
        <v>6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21"/>
    </row>
    <row r="45" spans="1:59" ht="15.6" x14ac:dyDescent="0.3">
      <c r="A45" s="5" t="s">
        <v>76</v>
      </c>
      <c r="B45" s="5" t="s">
        <v>77</v>
      </c>
      <c r="C45" s="7">
        <v>6</v>
      </c>
      <c r="D45" s="7">
        <v>6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21"/>
    </row>
    <row r="46" spans="1:59" ht="15.6" x14ac:dyDescent="0.3">
      <c r="A46" s="5" t="s">
        <v>78</v>
      </c>
      <c r="B46" s="5" t="s">
        <v>79</v>
      </c>
      <c r="C46" s="7">
        <v>6</v>
      </c>
      <c r="D46" s="7">
        <v>6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21"/>
    </row>
    <row r="47" spans="1:59" ht="15.6" x14ac:dyDescent="0.3">
      <c r="A47" s="5" t="s">
        <v>80</v>
      </c>
      <c r="B47" s="5" t="s">
        <v>81</v>
      </c>
      <c r="C47" s="7">
        <v>6</v>
      </c>
      <c r="D47" s="7">
        <v>6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21"/>
    </row>
    <row r="48" spans="1:59" ht="15.6" x14ac:dyDescent="0.3">
      <c r="A48" s="5" t="s">
        <v>82</v>
      </c>
      <c r="B48" s="5" t="s">
        <v>83</v>
      </c>
      <c r="C48" s="7">
        <v>6</v>
      </c>
      <c r="D48" s="7">
        <v>6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21"/>
    </row>
    <row r="49" spans="1:59" ht="15.6" x14ac:dyDescent="0.3">
      <c r="A49" s="5" t="s">
        <v>84</v>
      </c>
      <c r="B49" s="5" t="s">
        <v>85</v>
      </c>
      <c r="C49" s="7">
        <v>6</v>
      </c>
      <c r="D49" s="7">
        <v>6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21"/>
    </row>
    <row r="50" spans="1:59" ht="15.6" x14ac:dyDescent="0.3">
      <c r="A50" s="5" t="s">
        <v>86</v>
      </c>
      <c r="B50" s="5" t="s">
        <v>87</v>
      </c>
      <c r="C50" s="7">
        <v>6</v>
      </c>
      <c r="D50" s="7">
        <v>6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21"/>
    </row>
    <row r="51" spans="1:59" ht="15.6" x14ac:dyDescent="0.3">
      <c r="A51" s="5" t="s">
        <v>88</v>
      </c>
      <c r="B51" s="5" t="s">
        <v>89</v>
      </c>
      <c r="C51" s="7">
        <v>6</v>
      </c>
      <c r="D51" s="7">
        <v>6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21"/>
    </row>
    <row r="52" spans="1:59" ht="15.6" x14ac:dyDescent="0.3">
      <c r="A52" s="5" t="s">
        <v>90</v>
      </c>
      <c r="B52" s="5" t="s">
        <v>91</v>
      </c>
      <c r="C52" s="7">
        <v>6</v>
      </c>
      <c r="D52" s="7">
        <v>6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21"/>
    </row>
    <row r="53" spans="1:59" ht="15.6" x14ac:dyDescent="0.3">
      <c r="A53" s="5" t="s">
        <v>92</v>
      </c>
      <c r="B53" s="5" t="s">
        <v>93</v>
      </c>
      <c r="C53" s="7">
        <v>6</v>
      </c>
      <c r="D53" s="7">
        <v>6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21"/>
    </row>
    <row r="54" spans="1:59" ht="15.6" x14ac:dyDescent="0.3">
      <c r="A54" s="5" t="s">
        <v>94</v>
      </c>
      <c r="B54" s="5" t="s">
        <v>95</v>
      </c>
      <c r="C54" s="7">
        <v>6</v>
      </c>
      <c r="D54" s="7">
        <v>6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21"/>
    </row>
    <row r="55" spans="1:59" ht="15.6" x14ac:dyDescent="0.3">
      <c r="A55" s="5" t="s">
        <v>96</v>
      </c>
      <c r="B55" s="5" t="s">
        <v>97</v>
      </c>
      <c r="C55" s="7">
        <v>6</v>
      </c>
      <c r="D55" s="7">
        <v>6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21"/>
    </row>
    <row r="56" spans="1:59" ht="15.6" x14ac:dyDescent="0.3">
      <c r="A56" s="5" t="s">
        <v>98</v>
      </c>
      <c r="B56" s="5" t="s">
        <v>99</v>
      </c>
      <c r="C56" s="7">
        <v>6</v>
      </c>
      <c r="D56" s="7">
        <v>6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21"/>
    </row>
    <row r="57" spans="1:59" ht="15.6" x14ac:dyDescent="0.3">
      <c r="A57" s="5" t="s">
        <v>100</v>
      </c>
      <c r="B57" s="5" t="s">
        <v>101</v>
      </c>
      <c r="C57" s="7">
        <v>6</v>
      </c>
      <c r="D57" s="7">
        <v>6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21"/>
    </row>
    <row r="58" spans="1:59" ht="15.6" x14ac:dyDescent="0.3">
      <c r="A58" s="5" t="s">
        <v>102</v>
      </c>
      <c r="B58" s="5" t="s">
        <v>103</v>
      </c>
      <c r="C58" s="7">
        <v>6</v>
      </c>
      <c r="D58" s="7">
        <v>6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21"/>
    </row>
    <row r="59" spans="1:59" ht="15.6" x14ac:dyDescent="0.3">
      <c r="A59" s="5" t="s">
        <v>104</v>
      </c>
      <c r="B59" s="5" t="s">
        <v>105</v>
      </c>
      <c r="C59" s="7">
        <v>6</v>
      </c>
      <c r="D59" s="7">
        <v>6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21"/>
    </row>
    <row r="60" spans="1:59" ht="15.6" x14ac:dyDescent="0.3">
      <c r="A60" s="5" t="s">
        <v>106</v>
      </c>
      <c r="B60" s="5" t="s">
        <v>107</v>
      </c>
      <c r="C60" s="7">
        <v>6</v>
      </c>
      <c r="D60" s="7">
        <v>6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21"/>
    </row>
    <row r="61" spans="1:59" ht="15.6" x14ac:dyDescent="0.3">
      <c r="A61" s="5" t="s">
        <v>108</v>
      </c>
      <c r="B61" s="5" t="s">
        <v>109</v>
      </c>
      <c r="C61" s="7">
        <v>6</v>
      </c>
      <c r="D61" s="7">
        <v>6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21"/>
    </row>
    <row r="62" spans="1:59" ht="15.6" x14ac:dyDescent="0.3">
      <c r="A62" s="5" t="s">
        <v>110</v>
      </c>
      <c r="B62" s="5" t="s">
        <v>111</v>
      </c>
      <c r="C62" s="7">
        <v>3</v>
      </c>
      <c r="D62" s="7">
        <v>3</v>
      </c>
      <c r="E62" s="7">
        <v>626551.45900000003</v>
      </c>
      <c r="F62" s="7">
        <v>87769.804000000004</v>
      </c>
      <c r="G62" s="7">
        <v>257450.63500000001</v>
      </c>
      <c r="H62" s="7">
        <v>4950.5190000000002</v>
      </c>
      <c r="I62" s="7">
        <v>20581.827000000001</v>
      </c>
      <c r="J62" s="7">
        <v>171562.82199999999</v>
      </c>
      <c r="K62" s="7">
        <v>133066.75899999999</v>
      </c>
      <c r="L62" s="7">
        <v>184130.04300000001</v>
      </c>
      <c r="M62" s="7">
        <v>0</v>
      </c>
      <c r="N62" s="7">
        <v>414468.74200000003</v>
      </c>
      <c r="O62" s="7">
        <v>357605.18099999998</v>
      </c>
      <c r="P62" s="7">
        <v>400120.41600000003</v>
      </c>
      <c r="Q62" s="7">
        <v>0</v>
      </c>
      <c r="R62" s="7">
        <v>0</v>
      </c>
      <c r="S62" s="7">
        <v>127.212</v>
      </c>
      <c r="T62" s="7">
        <v>1278.8810000000001</v>
      </c>
      <c r="U62" s="7">
        <v>5354.4620000000004</v>
      </c>
      <c r="V62" s="7">
        <v>36335.894</v>
      </c>
      <c r="W62" s="7">
        <v>0</v>
      </c>
      <c r="X62" s="7">
        <v>10152.1</v>
      </c>
      <c r="Y62" s="7">
        <v>0</v>
      </c>
      <c r="Z62" s="7">
        <v>18203.805</v>
      </c>
      <c r="AA62" s="7">
        <v>53174.266000000003</v>
      </c>
      <c r="AB62" s="7">
        <v>0</v>
      </c>
      <c r="AC62" s="7">
        <v>107517.458</v>
      </c>
      <c r="AD62" s="7">
        <v>0</v>
      </c>
      <c r="AE62" s="7">
        <v>189634.14499999999</v>
      </c>
      <c r="AF62" s="7">
        <v>0</v>
      </c>
      <c r="AG62" s="7">
        <v>14308.243</v>
      </c>
      <c r="AH62" s="7">
        <v>250.864</v>
      </c>
      <c r="AI62" s="7">
        <v>201345.321</v>
      </c>
      <c r="AJ62" s="7">
        <v>0</v>
      </c>
      <c r="AK62" s="7">
        <v>435.36500000000001</v>
      </c>
      <c r="AL62" s="7">
        <v>877949.69</v>
      </c>
      <c r="AM62" s="7">
        <v>0</v>
      </c>
      <c r="AN62" s="7">
        <v>0</v>
      </c>
      <c r="AO62" s="7">
        <v>0</v>
      </c>
      <c r="AP62" s="7">
        <v>33168.061000000002</v>
      </c>
      <c r="AQ62" s="7">
        <v>27362.967000000001</v>
      </c>
      <c r="AR62" s="7">
        <v>0</v>
      </c>
      <c r="AS62" s="7">
        <v>0</v>
      </c>
      <c r="AT62" s="7">
        <v>0</v>
      </c>
      <c r="AU62" s="7">
        <v>1032.5650000000001</v>
      </c>
      <c r="AV62" s="7">
        <v>1616.9349999999999</v>
      </c>
      <c r="AW62" s="7">
        <v>0</v>
      </c>
      <c r="AX62" s="7">
        <v>0</v>
      </c>
      <c r="AY62" s="7">
        <v>0</v>
      </c>
      <c r="AZ62" s="7">
        <v>251.4</v>
      </c>
      <c r="BA62" s="7">
        <v>0</v>
      </c>
      <c r="BB62" s="7">
        <v>9844.259</v>
      </c>
      <c r="BC62" s="7">
        <v>0</v>
      </c>
      <c r="BD62" s="7">
        <v>0</v>
      </c>
      <c r="BE62" s="7">
        <v>0</v>
      </c>
      <c r="BF62" s="7">
        <v>0</v>
      </c>
      <c r="BG62" s="21"/>
    </row>
    <row r="63" spans="1:59" ht="15.6" x14ac:dyDescent="0.3">
      <c r="A63" s="5" t="s">
        <v>112</v>
      </c>
      <c r="B63" s="5" t="s">
        <v>113</v>
      </c>
      <c r="C63" s="7">
        <v>3</v>
      </c>
      <c r="D63" s="7">
        <v>3</v>
      </c>
      <c r="E63" s="7">
        <v>4373.9650000000001</v>
      </c>
      <c r="F63" s="7">
        <v>763.404</v>
      </c>
      <c r="G63" s="7">
        <v>1657.9190000000001</v>
      </c>
      <c r="H63" s="7">
        <v>0</v>
      </c>
      <c r="I63" s="7">
        <v>153.024</v>
      </c>
      <c r="J63" s="7">
        <v>1062.7629999999999</v>
      </c>
      <c r="K63" s="7">
        <v>1450.7080000000001</v>
      </c>
      <c r="L63" s="7">
        <v>1296.204</v>
      </c>
      <c r="M63" s="7">
        <v>0</v>
      </c>
      <c r="N63" s="7">
        <v>2994.2910000000002</v>
      </c>
      <c r="O63" s="7">
        <v>3337.36</v>
      </c>
      <c r="P63" s="7">
        <v>2909.9490000000001</v>
      </c>
      <c r="Q63" s="7">
        <v>0</v>
      </c>
      <c r="R63" s="7">
        <v>0</v>
      </c>
      <c r="S63" s="7">
        <v>0.36199999999999999</v>
      </c>
      <c r="T63" s="7">
        <v>130.30000000000001</v>
      </c>
      <c r="U63" s="7">
        <v>545.54499999999996</v>
      </c>
      <c r="V63" s="7">
        <v>329.017</v>
      </c>
      <c r="W63" s="7">
        <v>0</v>
      </c>
      <c r="X63" s="7">
        <v>1034.357</v>
      </c>
      <c r="Y63" s="7">
        <v>0</v>
      </c>
      <c r="Z63" s="7">
        <v>138.94300000000001</v>
      </c>
      <c r="AA63" s="7">
        <v>347.291</v>
      </c>
      <c r="AB63" s="7">
        <v>0</v>
      </c>
      <c r="AC63" s="7">
        <v>959.50699999999995</v>
      </c>
      <c r="AD63" s="7">
        <v>0</v>
      </c>
      <c r="AE63" s="7">
        <v>1077.57</v>
      </c>
      <c r="AF63" s="7">
        <v>0</v>
      </c>
      <c r="AG63" s="7">
        <v>130.809</v>
      </c>
      <c r="AH63" s="7">
        <v>0</v>
      </c>
      <c r="AI63" s="7">
        <v>1467.8409999999999</v>
      </c>
      <c r="AJ63" s="7">
        <v>0</v>
      </c>
      <c r="AK63" s="7">
        <v>0</v>
      </c>
      <c r="AL63" s="7">
        <v>6019.067</v>
      </c>
      <c r="AM63" s="7">
        <v>0</v>
      </c>
      <c r="AN63" s="7">
        <v>0</v>
      </c>
      <c r="AO63" s="7">
        <v>0</v>
      </c>
      <c r="AP63" s="7">
        <v>3379.36</v>
      </c>
      <c r="AQ63" s="7">
        <v>2787.902</v>
      </c>
      <c r="AR63" s="7">
        <v>0</v>
      </c>
      <c r="AS63" s="7">
        <v>0</v>
      </c>
      <c r="AT63" s="7">
        <v>0</v>
      </c>
      <c r="AU63" s="7">
        <v>5.7809999999999997</v>
      </c>
      <c r="AV63" s="7">
        <v>164.74299999999999</v>
      </c>
      <c r="AW63" s="7">
        <v>0</v>
      </c>
      <c r="AX63" s="7">
        <v>0</v>
      </c>
      <c r="AY63" s="7">
        <v>0</v>
      </c>
      <c r="AZ63" s="7">
        <v>2.9449999999999998</v>
      </c>
      <c r="BA63" s="7">
        <v>0</v>
      </c>
      <c r="BB63" s="7">
        <v>89.343000000000004</v>
      </c>
      <c r="BC63" s="7">
        <v>0</v>
      </c>
      <c r="BD63" s="7">
        <v>0</v>
      </c>
      <c r="BE63" s="7">
        <v>0</v>
      </c>
      <c r="BF63" s="7">
        <v>0</v>
      </c>
      <c r="BG63" s="21"/>
    </row>
    <row r="64" spans="1:59" ht="15.6" x14ac:dyDescent="0.3">
      <c r="A64" s="5" t="s">
        <v>114</v>
      </c>
      <c r="B64" s="5" t="s">
        <v>115</v>
      </c>
      <c r="C64" s="7">
        <v>3</v>
      </c>
      <c r="D64" s="7">
        <v>3</v>
      </c>
      <c r="E64" s="7">
        <v>114161.48699999999</v>
      </c>
      <c r="F64" s="7">
        <v>18205.48</v>
      </c>
      <c r="G64" s="7">
        <v>44862.269</v>
      </c>
      <c r="H64" s="7">
        <v>197.29900000000001</v>
      </c>
      <c r="I64" s="7">
        <v>3887.3560000000002</v>
      </c>
      <c r="J64" s="7">
        <v>29278.026999999998</v>
      </c>
      <c r="K64" s="7">
        <v>31909.524000000001</v>
      </c>
      <c r="L64" s="7">
        <v>33708.088000000003</v>
      </c>
      <c r="M64" s="7">
        <v>46642.690999999999</v>
      </c>
      <c r="N64" s="7">
        <v>77000.476999999999</v>
      </c>
      <c r="O64" s="7">
        <v>77509.554999999993</v>
      </c>
      <c r="P64" s="7">
        <v>74618.542000000001</v>
      </c>
      <c r="Q64" s="7">
        <v>962.90300000000002</v>
      </c>
      <c r="R64" s="7">
        <v>0</v>
      </c>
      <c r="S64" s="7">
        <v>15.45</v>
      </c>
      <c r="T64" s="7">
        <v>515.53700000000003</v>
      </c>
      <c r="U64" s="7">
        <v>2158.4659999999999</v>
      </c>
      <c r="V64" s="7">
        <v>7727.4759999999997</v>
      </c>
      <c r="W64" s="7">
        <v>0</v>
      </c>
      <c r="X64" s="7">
        <v>4092.4679999999998</v>
      </c>
      <c r="Y64" s="7">
        <v>35280.815000000002</v>
      </c>
      <c r="Z64" s="7">
        <v>3491.0770000000002</v>
      </c>
      <c r="AA64" s="7">
        <v>9337.3389999999999</v>
      </c>
      <c r="AB64" s="7">
        <v>0</v>
      </c>
      <c r="AC64" s="7">
        <v>22659.128000000001</v>
      </c>
      <c r="AD64" s="7">
        <v>0</v>
      </c>
      <c r="AE64" s="7">
        <v>30935.185000000001</v>
      </c>
      <c r="AF64" s="7">
        <v>0</v>
      </c>
      <c r="AG64" s="7">
        <v>3061.2570000000001</v>
      </c>
      <c r="AH64" s="7">
        <v>0</v>
      </c>
      <c r="AI64" s="7">
        <v>37600.639000000003</v>
      </c>
      <c r="AJ64" s="7">
        <v>0</v>
      </c>
      <c r="AK64" s="7">
        <v>209.58500000000001</v>
      </c>
      <c r="AL64" s="7">
        <v>158353.31</v>
      </c>
      <c r="AM64" s="7">
        <v>0</v>
      </c>
      <c r="AN64" s="7">
        <v>0</v>
      </c>
      <c r="AO64" s="7">
        <v>0</v>
      </c>
      <c r="AP64" s="7">
        <v>13370.555</v>
      </c>
      <c r="AQ64" s="7">
        <v>11030.432000000001</v>
      </c>
      <c r="AR64" s="7">
        <v>0</v>
      </c>
      <c r="AS64" s="7">
        <v>6798.5450000000001</v>
      </c>
      <c r="AT64" s="7">
        <v>0</v>
      </c>
      <c r="AU64" s="7">
        <v>167.17</v>
      </c>
      <c r="AV64" s="7">
        <v>651.81100000000004</v>
      </c>
      <c r="AW64" s="7">
        <v>0</v>
      </c>
      <c r="AX64" s="7">
        <v>0</v>
      </c>
      <c r="AY64" s="7">
        <v>0</v>
      </c>
      <c r="AZ64" s="7">
        <v>63.290999999999997</v>
      </c>
      <c r="BA64" s="7">
        <v>0</v>
      </c>
      <c r="BB64" s="7">
        <v>2300.3490000000002</v>
      </c>
      <c r="BC64" s="7">
        <v>0</v>
      </c>
      <c r="BD64" s="7">
        <v>0</v>
      </c>
      <c r="BE64" s="7">
        <v>0</v>
      </c>
      <c r="BF64" s="7">
        <v>0</v>
      </c>
      <c r="BG64" s="21"/>
    </row>
    <row r="65" spans="1:59" ht="15.6" x14ac:dyDescent="0.3">
      <c r="A65" s="5" t="s">
        <v>116</v>
      </c>
      <c r="B65" s="5" t="s">
        <v>117</v>
      </c>
      <c r="C65" s="7">
        <v>3</v>
      </c>
      <c r="D65" s="7">
        <v>3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21"/>
    </row>
    <row r="66" spans="1:59" ht="15.6" x14ac:dyDescent="0.3">
      <c r="A66" s="5" t="s">
        <v>118</v>
      </c>
      <c r="B66" s="5" t="s">
        <v>119</v>
      </c>
      <c r="C66" s="7">
        <v>3</v>
      </c>
      <c r="D66" s="7">
        <v>3</v>
      </c>
      <c r="E66" s="7">
        <v>137267.43</v>
      </c>
      <c r="F66" s="7">
        <v>24678.13</v>
      </c>
      <c r="G66" s="7">
        <v>51386.529000000002</v>
      </c>
      <c r="H66" s="7">
        <v>28188.437999999998</v>
      </c>
      <c r="I66" s="7">
        <v>4785.1930000000002</v>
      </c>
      <c r="J66" s="7">
        <v>32872.495999999999</v>
      </c>
      <c r="K66" s="7">
        <v>47494.296999999999</v>
      </c>
      <c r="L66" s="7">
        <v>40819.461000000003</v>
      </c>
      <c r="M66" s="7">
        <v>0</v>
      </c>
      <c r="N66" s="7">
        <v>93231.236000000004</v>
      </c>
      <c r="O66" s="7">
        <v>111878.079</v>
      </c>
      <c r="P66" s="7">
        <v>91340.134999999995</v>
      </c>
      <c r="Q66" s="7">
        <v>0</v>
      </c>
      <c r="R66" s="7">
        <v>0</v>
      </c>
      <c r="S66" s="7">
        <v>8.6210000000000004</v>
      </c>
      <c r="T66" s="7">
        <v>449.52</v>
      </c>
      <c r="U66" s="7">
        <v>1882.0630000000001</v>
      </c>
      <c r="V66" s="7">
        <v>10560.311</v>
      </c>
      <c r="W66" s="7">
        <v>0</v>
      </c>
      <c r="X66" s="7">
        <v>3568.4059999999999</v>
      </c>
      <c r="Y66" s="7">
        <v>0</v>
      </c>
      <c r="Z66" s="7">
        <v>4361.4719999999998</v>
      </c>
      <c r="AA66" s="7">
        <v>10638.279</v>
      </c>
      <c r="AB66" s="7">
        <v>0</v>
      </c>
      <c r="AC66" s="7">
        <v>30917.686000000002</v>
      </c>
      <c r="AD66" s="7">
        <v>0</v>
      </c>
      <c r="AE66" s="7">
        <v>32275.648000000001</v>
      </c>
      <c r="AF66" s="7">
        <v>0</v>
      </c>
      <c r="AG66" s="7">
        <v>4203.2510000000002</v>
      </c>
      <c r="AH66" s="7">
        <v>0</v>
      </c>
      <c r="AI66" s="7">
        <v>46837.89</v>
      </c>
      <c r="AJ66" s="7">
        <v>0</v>
      </c>
      <c r="AK66" s="7">
        <v>0</v>
      </c>
      <c r="AL66" s="7">
        <v>189568.03899999999</v>
      </c>
      <c r="AM66" s="7">
        <v>0</v>
      </c>
      <c r="AN66" s="7">
        <v>0</v>
      </c>
      <c r="AO66" s="7">
        <v>0</v>
      </c>
      <c r="AP66" s="7">
        <v>11658.387000000001</v>
      </c>
      <c r="AQ66" s="7">
        <v>9617.9290000000001</v>
      </c>
      <c r="AR66" s="7">
        <v>0</v>
      </c>
      <c r="AS66" s="7">
        <v>0</v>
      </c>
      <c r="AT66" s="7">
        <v>0</v>
      </c>
      <c r="AU66" s="7">
        <v>172.01599999999999</v>
      </c>
      <c r="AV66" s="7">
        <v>568.34400000000005</v>
      </c>
      <c r="AW66" s="7">
        <v>0</v>
      </c>
      <c r="AX66" s="7">
        <v>0</v>
      </c>
      <c r="AY66" s="7">
        <v>0</v>
      </c>
      <c r="AZ66" s="7">
        <v>97.072000000000003</v>
      </c>
      <c r="BA66" s="7">
        <v>0</v>
      </c>
      <c r="BB66" s="7">
        <v>3035.7779999999998</v>
      </c>
      <c r="BC66" s="7">
        <v>0</v>
      </c>
      <c r="BD66" s="7">
        <v>0</v>
      </c>
      <c r="BE66" s="7">
        <v>0</v>
      </c>
      <c r="BF66" s="7">
        <v>0</v>
      </c>
      <c r="BG66" s="21"/>
    </row>
    <row r="67" spans="1:59" ht="15.6" x14ac:dyDescent="0.3">
      <c r="A67" s="5" t="s">
        <v>120</v>
      </c>
      <c r="B67" s="5" t="s">
        <v>121</v>
      </c>
      <c r="C67" s="7">
        <v>3</v>
      </c>
      <c r="D67" s="7">
        <v>3</v>
      </c>
      <c r="E67" s="7">
        <v>22682.911</v>
      </c>
      <c r="F67" s="7">
        <v>4082.9589999999998</v>
      </c>
      <c r="G67" s="7">
        <v>8483.0920000000006</v>
      </c>
      <c r="H67" s="7">
        <v>10085.253000000001</v>
      </c>
      <c r="I67" s="7">
        <v>801.25699999999995</v>
      </c>
      <c r="J67" s="7">
        <v>5400.3209999999999</v>
      </c>
      <c r="K67" s="7">
        <v>7952.6819999999998</v>
      </c>
      <c r="L67" s="7">
        <v>6730.8519999999999</v>
      </c>
      <c r="M67" s="7">
        <v>0</v>
      </c>
      <c r="N67" s="7">
        <v>15611.103999999999</v>
      </c>
      <c r="O67" s="7">
        <v>17999.346000000001</v>
      </c>
      <c r="P67" s="7">
        <v>15186.735000000001</v>
      </c>
      <c r="Q67" s="7">
        <v>0</v>
      </c>
      <c r="R67" s="7">
        <v>0</v>
      </c>
      <c r="S67" s="7">
        <v>1.444</v>
      </c>
      <c r="T67" s="7">
        <v>88.313999999999993</v>
      </c>
      <c r="U67" s="7">
        <v>369.75599999999997</v>
      </c>
      <c r="V67" s="7">
        <v>1768.271</v>
      </c>
      <c r="W67" s="7">
        <v>0</v>
      </c>
      <c r="X67" s="7">
        <v>701.06</v>
      </c>
      <c r="Y67" s="7">
        <v>0</v>
      </c>
      <c r="Z67" s="7">
        <v>730.30700000000002</v>
      </c>
      <c r="AA67" s="7">
        <v>1781.327</v>
      </c>
      <c r="AB67" s="7">
        <v>0</v>
      </c>
      <c r="AC67" s="7">
        <v>5147.8639999999996</v>
      </c>
      <c r="AD67" s="7">
        <v>0</v>
      </c>
      <c r="AE67" s="7">
        <v>5385.4570000000003</v>
      </c>
      <c r="AF67" s="7">
        <v>0</v>
      </c>
      <c r="AG67" s="7">
        <v>703.81299999999999</v>
      </c>
      <c r="AH67" s="7">
        <v>0</v>
      </c>
      <c r="AI67" s="7">
        <v>7663.2979999999998</v>
      </c>
      <c r="AJ67" s="7">
        <v>0</v>
      </c>
      <c r="AK67" s="7">
        <v>0</v>
      </c>
      <c r="AL67" s="7">
        <v>31123.757000000001</v>
      </c>
      <c r="AM67" s="7">
        <v>0</v>
      </c>
      <c r="AN67" s="7">
        <v>0</v>
      </c>
      <c r="AO67" s="7">
        <v>0</v>
      </c>
      <c r="AP67" s="7">
        <v>2290.4409999999998</v>
      </c>
      <c r="AQ67" s="7">
        <v>1889.567</v>
      </c>
      <c r="AR67" s="7">
        <v>0</v>
      </c>
      <c r="AS67" s="7">
        <v>0</v>
      </c>
      <c r="AT67" s="7">
        <v>0</v>
      </c>
      <c r="AU67" s="7">
        <v>28.803000000000001</v>
      </c>
      <c r="AV67" s="7">
        <v>111.658</v>
      </c>
      <c r="AW67" s="7">
        <v>0</v>
      </c>
      <c r="AX67" s="7">
        <v>0</v>
      </c>
      <c r="AY67" s="7">
        <v>0</v>
      </c>
      <c r="AZ67" s="7">
        <v>16.254000000000001</v>
      </c>
      <c r="BA67" s="7">
        <v>0</v>
      </c>
      <c r="BB67" s="7">
        <v>509.238</v>
      </c>
      <c r="BC67" s="7">
        <v>0</v>
      </c>
      <c r="BD67" s="7">
        <v>0</v>
      </c>
      <c r="BE67" s="7">
        <v>0</v>
      </c>
      <c r="BF67" s="7">
        <v>0</v>
      </c>
      <c r="BG67" s="21"/>
    </row>
    <row r="68" spans="1:59" ht="15.6" x14ac:dyDescent="0.3">
      <c r="A68" s="5" t="s">
        <v>122</v>
      </c>
      <c r="B68" s="5" t="s">
        <v>123</v>
      </c>
      <c r="C68" s="7">
        <v>3</v>
      </c>
      <c r="D68" s="7">
        <v>3</v>
      </c>
      <c r="E68" s="7">
        <v>123011.86199999999</v>
      </c>
      <c r="F68" s="7">
        <v>22142.328000000001</v>
      </c>
      <c r="G68" s="7">
        <v>46004.718999999997</v>
      </c>
      <c r="H68" s="7">
        <v>0</v>
      </c>
      <c r="I68" s="7">
        <v>4345.3</v>
      </c>
      <c r="J68" s="7">
        <v>29286.52</v>
      </c>
      <c r="K68" s="7">
        <v>43128.25</v>
      </c>
      <c r="L68" s="7">
        <v>36502.135999999999</v>
      </c>
      <c r="M68" s="7">
        <v>11565.406999999999</v>
      </c>
      <c r="N68" s="7">
        <v>84660.692999999999</v>
      </c>
      <c r="O68" s="7">
        <v>97612.39</v>
      </c>
      <c r="P68" s="7">
        <v>82359.297000000006</v>
      </c>
      <c r="Q68" s="7">
        <v>0</v>
      </c>
      <c r="R68" s="7">
        <v>0</v>
      </c>
      <c r="S68" s="7">
        <v>7.8289999999999997</v>
      </c>
      <c r="T68" s="7">
        <v>676.45699999999999</v>
      </c>
      <c r="U68" s="7">
        <v>2832.212</v>
      </c>
      <c r="V68" s="7">
        <v>9589.5239999999994</v>
      </c>
      <c r="W68" s="7">
        <v>0</v>
      </c>
      <c r="X68" s="7">
        <v>5369.8940000000002</v>
      </c>
      <c r="Y68" s="7">
        <v>8748.1440000000002</v>
      </c>
      <c r="Z68" s="7">
        <v>3960.5309999999999</v>
      </c>
      <c r="AA68" s="7">
        <v>9660.3250000000007</v>
      </c>
      <c r="AB68" s="7">
        <v>0</v>
      </c>
      <c r="AC68" s="7">
        <v>27917.42</v>
      </c>
      <c r="AD68" s="7">
        <v>0</v>
      </c>
      <c r="AE68" s="7">
        <v>29205.913</v>
      </c>
      <c r="AF68" s="7">
        <v>0</v>
      </c>
      <c r="AG68" s="7">
        <v>3816.855</v>
      </c>
      <c r="AH68" s="7">
        <v>101.6</v>
      </c>
      <c r="AI68" s="7">
        <v>41558.887000000002</v>
      </c>
      <c r="AJ68" s="7">
        <v>0</v>
      </c>
      <c r="AK68" s="7">
        <v>0</v>
      </c>
      <c r="AL68" s="7">
        <v>168787.47899999999</v>
      </c>
      <c r="AM68" s="7">
        <v>0</v>
      </c>
      <c r="AN68" s="7">
        <v>0</v>
      </c>
      <c r="AO68" s="7">
        <v>0</v>
      </c>
      <c r="AP68" s="7">
        <v>17544.053</v>
      </c>
      <c r="AQ68" s="7">
        <v>14473.482</v>
      </c>
      <c r="AR68" s="7">
        <v>0</v>
      </c>
      <c r="AS68" s="7">
        <v>1685.751</v>
      </c>
      <c r="AT68" s="7">
        <v>0</v>
      </c>
      <c r="AU68" s="7">
        <v>156.203</v>
      </c>
      <c r="AV68" s="7">
        <v>855.26800000000003</v>
      </c>
      <c r="AW68" s="7">
        <v>0</v>
      </c>
      <c r="AX68" s="7">
        <v>0</v>
      </c>
      <c r="AY68" s="7">
        <v>0</v>
      </c>
      <c r="AZ68" s="7">
        <v>88.149000000000001</v>
      </c>
      <c r="BA68" s="7">
        <v>0</v>
      </c>
      <c r="BB68" s="7">
        <v>2746.1309999999999</v>
      </c>
      <c r="BC68" s="7">
        <v>0</v>
      </c>
      <c r="BD68" s="7">
        <v>0</v>
      </c>
      <c r="BE68" s="7">
        <v>0</v>
      </c>
      <c r="BF68" s="7">
        <v>0</v>
      </c>
      <c r="BG68" s="21"/>
    </row>
    <row r="69" spans="1:59" ht="15.6" x14ac:dyDescent="0.3">
      <c r="A69" s="5" t="s">
        <v>124</v>
      </c>
      <c r="B69" s="5" t="s">
        <v>125</v>
      </c>
      <c r="C69" s="7">
        <v>3</v>
      </c>
      <c r="D69" s="7">
        <v>3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21"/>
    </row>
    <row r="70" spans="1:59" ht="15.6" x14ac:dyDescent="0.3">
      <c r="A70" s="5" t="s">
        <v>126</v>
      </c>
      <c r="B70" s="5" t="s">
        <v>127</v>
      </c>
      <c r="C70" s="7">
        <v>3</v>
      </c>
      <c r="D70" s="7">
        <v>3</v>
      </c>
      <c r="E70" s="7">
        <v>37450.072</v>
      </c>
      <c r="F70" s="7">
        <v>6741.0720000000001</v>
      </c>
      <c r="G70" s="7">
        <v>14005.804</v>
      </c>
      <c r="H70" s="7">
        <v>10888.145</v>
      </c>
      <c r="I70" s="7">
        <v>1322.895</v>
      </c>
      <c r="J70" s="7">
        <v>8916.0689999999995</v>
      </c>
      <c r="K70" s="7">
        <v>13130.084000000001</v>
      </c>
      <c r="L70" s="7">
        <v>11112.811</v>
      </c>
      <c r="M70" s="7">
        <v>0</v>
      </c>
      <c r="N70" s="7">
        <v>25774.335999999999</v>
      </c>
      <c r="O70" s="7">
        <v>29717.385999999999</v>
      </c>
      <c r="P70" s="7">
        <v>25073.691999999999</v>
      </c>
      <c r="Q70" s="7">
        <v>0</v>
      </c>
      <c r="R70" s="7">
        <v>0</v>
      </c>
      <c r="S70" s="7">
        <v>2.383</v>
      </c>
      <c r="T70" s="7">
        <v>0</v>
      </c>
      <c r="U70" s="7">
        <v>0</v>
      </c>
      <c r="V70" s="7">
        <v>2919.4609999999998</v>
      </c>
      <c r="W70" s="7">
        <v>0</v>
      </c>
      <c r="X70" s="7">
        <v>0</v>
      </c>
      <c r="Y70" s="7">
        <v>0</v>
      </c>
      <c r="Z70" s="7">
        <v>1205.7550000000001</v>
      </c>
      <c r="AA70" s="7">
        <v>2941.0160000000001</v>
      </c>
      <c r="AB70" s="7">
        <v>0</v>
      </c>
      <c r="AC70" s="7">
        <v>8499.2569999999996</v>
      </c>
      <c r="AD70" s="7">
        <v>0</v>
      </c>
      <c r="AE70" s="7">
        <v>8891.5290000000005</v>
      </c>
      <c r="AF70" s="7">
        <v>0</v>
      </c>
      <c r="AG70" s="7">
        <v>1162.0139999999999</v>
      </c>
      <c r="AH70" s="7">
        <v>0</v>
      </c>
      <c r="AI70" s="7">
        <v>12652.303</v>
      </c>
      <c r="AJ70" s="7">
        <v>0</v>
      </c>
      <c r="AK70" s="7">
        <v>0</v>
      </c>
      <c r="AL70" s="7">
        <v>51386.127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47.555</v>
      </c>
      <c r="AV70" s="7">
        <v>0</v>
      </c>
      <c r="AW70" s="7">
        <v>0</v>
      </c>
      <c r="AX70" s="7">
        <v>0</v>
      </c>
      <c r="AY70" s="7">
        <v>0</v>
      </c>
      <c r="AZ70" s="7">
        <v>26.835999999999999</v>
      </c>
      <c r="BA70" s="7">
        <v>0</v>
      </c>
      <c r="BB70" s="7">
        <v>796.70699999999999</v>
      </c>
      <c r="BC70" s="7">
        <v>0</v>
      </c>
      <c r="BD70" s="7">
        <v>0</v>
      </c>
      <c r="BE70" s="7">
        <v>0</v>
      </c>
      <c r="BF70" s="7">
        <v>0</v>
      </c>
      <c r="BG70" s="21"/>
    </row>
    <row r="71" spans="1:59" ht="15.6" x14ac:dyDescent="0.3">
      <c r="A71" s="5" t="s">
        <v>128</v>
      </c>
      <c r="B71" s="5" t="s">
        <v>129</v>
      </c>
      <c r="C71" s="7">
        <v>3</v>
      </c>
      <c r="D71" s="7">
        <v>3</v>
      </c>
      <c r="E71" s="7">
        <v>8308.3739999999998</v>
      </c>
      <c r="F71" s="7">
        <v>1495.52</v>
      </c>
      <c r="G71" s="7">
        <v>3107.2159999999999</v>
      </c>
      <c r="H71" s="7">
        <v>0</v>
      </c>
      <c r="I71" s="7">
        <v>293.48700000000002</v>
      </c>
      <c r="J71" s="7">
        <v>1978.048</v>
      </c>
      <c r="K71" s="7">
        <v>2912.9360000000001</v>
      </c>
      <c r="L71" s="7">
        <v>2465.4</v>
      </c>
      <c r="M71" s="7">
        <v>0</v>
      </c>
      <c r="N71" s="7">
        <v>5718.0879999999997</v>
      </c>
      <c r="O71" s="7">
        <v>6592.8620000000001</v>
      </c>
      <c r="P71" s="7">
        <v>5562.6490000000003</v>
      </c>
      <c r="Q71" s="7">
        <v>0</v>
      </c>
      <c r="R71" s="7">
        <v>0</v>
      </c>
      <c r="S71" s="7">
        <v>0.52900000000000003</v>
      </c>
      <c r="T71" s="7">
        <v>0</v>
      </c>
      <c r="U71" s="7">
        <v>0</v>
      </c>
      <c r="V71" s="7">
        <v>647.68799999999999</v>
      </c>
      <c r="W71" s="7">
        <v>0</v>
      </c>
      <c r="X71" s="7">
        <v>0</v>
      </c>
      <c r="Y71" s="7">
        <v>0</v>
      </c>
      <c r="Z71" s="7">
        <v>267.49900000000002</v>
      </c>
      <c r="AA71" s="7">
        <v>652.47</v>
      </c>
      <c r="AB71" s="7">
        <v>0</v>
      </c>
      <c r="AC71" s="7">
        <v>1885.577</v>
      </c>
      <c r="AD71" s="7">
        <v>0</v>
      </c>
      <c r="AE71" s="7">
        <v>1972.604</v>
      </c>
      <c r="AF71" s="7">
        <v>0</v>
      </c>
      <c r="AG71" s="7">
        <v>257.79500000000002</v>
      </c>
      <c r="AH71" s="7">
        <v>0</v>
      </c>
      <c r="AI71" s="7">
        <v>2806.9389999999999</v>
      </c>
      <c r="AJ71" s="7">
        <v>0</v>
      </c>
      <c r="AK71" s="7">
        <v>0</v>
      </c>
      <c r="AL71" s="7">
        <v>11400.116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10.55</v>
      </c>
      <c r="AV71" s="7">
        <v>0</v>
      </c>
      <c r="AW71" s="7">
        <v>0</v>
      </c>
      <c r="AX71" s="7">
        <v>0</v>
      </c>
      <c r="AY71" s="7">
        <v>0</v>
      </c>
      <c r="AZ71" s="7">
        <v>5.9539999999999997</v>
      </c>
      <c r="BA71" s="7">
        <v>0</v>
      </c>
      <c r="BB71" s="7">
        <v>176.751</v>
      </c>
      <c r="BC71" s="7">
        <v>0</v>
      </c>
      <c r="BD71" s="7">
        <v>0</v>
      </c>
      <c r="BE71" s="7">
        <v>0</v>
      </c>
      <c r="BF71" s="7">
        <v>0</v>
      </c>
      <c r="BG71" s="21"/>
    </row>
    <row r="72" spans="1:59" ht="15.6" x14ac:dyDescent="0.3">
      <c r="A72" s="5" t="s">
        <v>130</v>
      </c>
      <c r="B72" s="5" t="s">
        <v>131</v>
      </c>
      <c r="C72" s="7">
        <v>3</v>
      </c>
      <c r="D72" s="7">
        <v>3</v>
      </c>
      <c r="E72" s="7">
        <v>45293.071000000004</v>
      </c>
      <c r="F72" s="7">
        <v>8152.8239999999996</v>
      </c>
      <c r="G72" s="7">
        <v>16938.975999999999</v>
      </c>
      <c r="H72" s="7">
        <v>2465.19</v>
      </c>
      <c r="I72" s="7">
        <v>1599.943</v>
      </c>
      <c r="J72" s="7">
        <v>10783.321</v>
      </c>
      <c r="K72" s="7">
        <v>15879.858</v>
      </c>
      <c r="L72" s="7">
        <v>13440.117</v>
      </c>
      <c r="M72" s="7">
        <v>0</v>
      </c>
      <c r="N72" s="7">
        <v>31172.137999999999</v>
      </c>
      <c r="O72" s="7">
        <v>35940.964</v>
      </c>
      <c r="P72" s="7">
        <v>30324.761999999999</v>
      </c>
      <c r="Q72" s="7">
        <v>0</v>
      </c>
      <c r="R72" s="7">
        <v>0</v>
      </c>
      <c r="S72" s="7">
        <v>2.8820000000000001</v>
      </c>
      <c r="T72" s="7">
        <v>0.21199999999999999</v>
      </c>
      <c r="U72" s="7">
        <v>0.88700000000000001</v>
      </c>
      <c r="V72" s="7">
        <v>3530.8710000000001</v>
      </c>
      <c r="W72" s="7">
        <v>0</v>
      </c>
      <c r="X72" s="7">
        <v>1.681</v>
      </c>
      <c r="Y72" s="7">
        <v>0</v>
      </c>
      <c r="Z72" s="7">
        <v>1458.271</v>
      </c>
      <c r="AA72" s="7">
        <v>3556.94</v>
      </c>
      <c r="AB72" s="7">
        <v>0</v>
      </c>
      <c r="AC72" s="7">
        <v>10279.217000000001</v>
      </c>
      <c r="AD72" s="7">
        <v>0</v>
      </c>
      <c r="AE72" s="7">
        <v>10753.642</v>
      </c>
      <c r="AF72" s="7">
        <v>0</v>
      </c>
      <c r="AG72" s="7">
        <v>1405.3689999999999</v>
      </c>
      <c r="AH72" s="7">
        <v>0</v>
      </c>
      <c r="AI72" s="7">
        <v>15302.017</v>
      </c>
      <c r="AJ72" s="7">
        <v>7.093</v>
      </c>
      <c r="AK72" s="7">
        <v>0</v>
      </c>
      <c r="AL72" s="7">
        <v>62147.690999999999</v>
      </c>
      <c r="AM72" s="7">
        <v>24.617999999999999</v>
      </c>
      <c r="AN72" s="7">
        <v>0</v>
      </c>
      <c r="AO72" s="7">
        <v>0</v>
      </c>
      <c r="AP72" s="7">
        <v>5.4930000000000003</v>
      </c>
      <c r="AQ72" s="7">
        <v>4.532</v>
      </c>
      <c r="AR72" s="7">
        <v>0</v>
      </c>
      <c r="AS72" s="7">
        <v>0</v>
      </c>
      <c r="AT72" s="7">
        <v>0</v>
      </c>
      <c r="AU72" s="7">
        <v>57.514000000000003</v>
      </c>
      <c r="AV72" s="7">
        <v>0.26800000000000002</v>
      </c>
      <c r="AW72" s="7">
        <v>0</v>
      </c>
      <c r="AX72" s="7">
        <v>0</v>
      </c>
      <c r="AY72" s="7">
        <v>0</v>
      </c>
      <c r="AZ72" s="7">
        <v>32.456000000000003</v>
      </c>
      <c r="BA72" s="7">
        <v>0</v>
      </c>
      <c r="BB72" s="7">
        <v>963.55799999999999</v>
      </c>
      <c r="BC72" s="7">
        <v>0</v>
      </c>
      <c r="BD72" s="7">
        <v>0</v>
      </c>
      <c r="BE72" s="7">
        <v>0</v>
      </c>
      <c r="BF72" s="7">
        <v>0</v>
      </c>
      <c r="BG72" s="21"/>
    </row>
    <row r="73" spans="1:59" ht="15.6" x14ac:dyDescent="0.3">
      <c r="A73" s="5" t="s">
        <v>132</v>
      </c>
      <c r="B73" s="5" t="s">
        <v>133</v>
      </c>
      <c r="C73" s="7">
        <v>3</v>
      </c>
      <c r="D73" s="7">
        <v>3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7">
        <v>0</v>
      </c>
      <c r="BG73" s="21"/>
    </row>
    <row r="74" spans="1:59" ht="15.6" x14ac:dyDescent="0.3">
      <c r="A74" s="5" t="s">
        <v>134</v>
      </c>
      <c r="B74" s="5" t="s">
        <v>135</v>
      </c>
      <c r="C74" s="7">
        <v>6</v>
      </c>
      <c r="D74" s="7">
        <v>6</v>
      </c>
      <c r="E74" s="7">
        <v>37817.629999999997</v>
      </c>
      <c r="F74" s="7">
        <v>5416.3159999999998</v>
      </c>
      <c r="G74" s="7">
        <v>15494.126</v>
      </c>
      <c r="H74" s="7">
        <v>1899.431</v>
      </c>
      <c r="I74" s="7">
        <v>1095.6890000000001</v>
      </c>
      <c r="J74" s="7">
        <v>10433.691999999999</v>
      </c>
      <c r="K74" s="7">
        <v>12082.799000000001</v>
      </c>
      <c r="L74" s="7">
        <v>8452.5349999999999</v>
      </c>
      <c r="M74" s="7">
        <v>0</v>
      </c>
      <c r="N74" s="7">
        <v>21838.091</v>
      </c>
      <c r="O74" s="7">
        <v>23648.017</v>
      </c>
      <c r="P74" s="7">
        <v>22230.019</v>
      </c>
      <c r="Q74" s="7">
        <v>0</v>
      </c>
      <c r="R74" s="7">
        <v>0</v>
      </c>
      <c r="S74" s="7">
        <v>57.003</v>
      </c>
      <c r="T74" s="7">
        <v>0</v>
      </c>
      <c r="U74" s="7">
        <v>139.316</v>
      </c>
      <c r="V74" s="7">
        <v>1259.7280000000001</v>
      </c>
      <c r="W74" s="7">
        <v>0</v>
      </c>
      <c r="X74" s="7">
        <v>0</v>
      </c>
      <c r="Y74" s="7">
        <v>0</v>
      </c>
      <c r="Z74" s="7">
        <v>838.23</v>
      </c>
      <c r="AA74" s="7">
        <v>2715.489</v>
      </c>
      <c r="AB74" s="7">
        <v>0</v>
      </c>
      <c r="AC74" s="7">
        <v>6673.78</v>
      </c>
      <c r="AD74" s="7">
        <v>0</v>
      </c>
      <c r="AE74" s="7">
        <v>10022.386</v>
      </c>
      <c r="AF74" s="7">
        <v>0</v>
      </c>
      <c r="AG74" s="7">
        <v>660.29600000000005</v>
      </c>
      <c r="AH74" s="7">
        <v>0</v>
      </c>
      <c r="AI74" s="7">
        <v>22735.119999999999</v>
      </c>
      <c r="AJ74" s="7">
        <v>0</v>
      </c>
      <c r="AK74" s="7">
        <v>0</v>
      </c>
      <c r="AL74" s="7">
        <v>58786.504000000001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49.463000000000001</v>
      </c>
      <c r="AV74" s="7">
        <v>0</v>
      </c>
      <c r="AW74" s="7">
        <v>0</v>
      </c>
      <c r="AX74" s="7">
        <v>0</v>
      </c>
      <c r="AY74" s="7">
        <v>0</v>
      </c>
      <c r="AZ74" s="7">
        <v>6.1539999999999999</v>
      </c>
      <c r="BA74" s="7">
        <v>0</v>
      </c>
      <c r="BB74" s="7">
        <v>313.25900000000001</v>
      </c>
      <c r="BC74" s="7">
        <v>0</v>
      </c>
      <c r="BD74" s="7">
        <v>0</v>
      </c>
      <c r="BE74" s="7">
        <v>0</v>
      </c>
      <c r="BF74" s="7">
        <v>0</v>
      </c>
      <c r="BG74" s="21"/>
    </row>
    <row r="75" spans="1:59" ht="15.6" x14ac:dyDescent="0.3">
      <c r="A75" s="5" t="s">
        <v>136</v>
      </c>
      <c r="B75" s="5" t="s">
        <v>137</v>
      </c>
      <c r="C75" s="7">
        <v>6</v>
      </c>
      <c r="D75" s="7">
        <v>6</v>
      </c>
      <c r="E75" s="7">
        <v>893.06100000000004</v>
      </c>
      <c r="F75" s="7">
        <v>128.13999999999999</v>
      </c>
      <c r="G75" s="7">
        <v>187.30799999999999</v>
      </c>
      <c r="H75" s="7">
        <v>0</v>
      </c>
      <c r="I75" s="7">
        <v>32.569000000000003</v>
      </c>
      <c r="J75" s="7">
        <v>109.991</v>
      </c>
      <c r="K75" s="7">
        <v>920.78300000000002</v>
      </c>
      <c r="L75" s="7">
        <v>82.950999999999993</v>
      </c>
      <c r="M75" s="7">
        <v>0</v>
      </c>
      <c r="N75" s="7">
        <v>426.27300000000002</v>
      </c>
      <c r="O75" s="7">
        <v>996.73599999999999</v>
      </c>
      <c r="P75" s="7">
        <v>424.63200000000001</v>
      </c>
      <c r="Q75" s="7">
        <v>0</v>
      </c>
      <c r="R75" s="7">
        <v>0</v>
      </c>
      <c r="S75" s="7">
        <v>6.3440000000000003</v>
      </c>
      <c r="T75" s="7">
        <v>0</v>
      </c>
      <c r="U75" s="7">
        <v>0.193</v>
      </c>
      <c r="V75" s="7">
        <v>0</v>
      </c>
      <c r="W75" s="7">
        <v>0</v>
      </c>
      <c r="X75" s="7">
        <v>0</v>
      </c>
      <c r="Y75" s="7">
        <v>0</v>
      </c>
      <c r="Z75" s="7">
        <v>13.821</v>
      </c>
      <c r="AA75" s="7">
        <v>45.84</v>
      </c>
      <c r="AB75" s="7">
        <v>0</v>
      </c>
      <c r="AC75" s="7">
        <v>370.18599999999998</v>
      </c>
      <c r="AD75" s="7">
        <v>0</v>
      </c>
      <c r="AE75" s="7">
        <v>127.883</v>
      </c>
      <c r="AF75" s="7">
        <v>0</v>
      </c>
      <c r="AG75" s="7">
        <v>21.632999999999999</v>
      </c>
      <c r="AH75" s="7">
        <v>0</v>
      </c>
      <c r="AI75" s="7">
        <v>1146.5809999999999</v>
      </c>
      <c r="AJ75" s="7">
        <v>0</v>
      </c>
      <c r="AK75" s="7">
        <v>0</v>
      </c>
      <c r="AL75" s="7">
        <v>1863.402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21"/>
    </row>
    <row r="76" spans="1:59" ht="15.6" x14ac:dyDescent="0.3">
      <c r="A76" s="5" t="s">
        <v>138</v>
      </c>
      <c r="B76" s="5" t="s">
        <v>139</v>
      </c>
      <c r="C76" s="7">
        <v>6</v>
      </c>
      <c r="D76" s="7">
        <v>6</v>
      </c>
      <c r="E76" s="7">
        <v>7207.299</v>
      </c>
      <c r="F76" s="7">
        <v>1914.0619999999999</v>
      </c>
      <c r="G76" s="7">
        <v>701.96500000000003</v>
      </c>
      <c r="H76" s="7">
        <v>0</v>
      </c>
      <c r="I76" s="7">
        <v>87.24</v>
      </c>
      <c r="J76" s="7">
        <v>1434.8320000000001</v>
      </c>
      <c r="K76" s="7">
        <v>1706.8230000000001</v>
      </c>
      <c r="L76" s="7">
        <v>690.79200000000003</v>
      </c>
      <c r="M76" s="7">
        <v>0</v>
      </c>
      <c r="N76" s="7">
        <v>2450.1280000000002</v>
      </c>
      <c r="O76" s="7">
        <v>25549.14</v>
      </c>
      <c r="P76" s="7">
        <v>2905.11</v>
      </c>
      <c r="Q76" s="7">
        <v>0</v>
      </c>
      <c r="R76" s="7">
        <v>0</v>
      </c>
      <c r="S76" s="7">
        <v>9.0030000000000001</v>
      </c>
      <c r="T76" s="7">
        <v>0</v>
      </c>
      <c r="U76" s="7">
        <v>408.91199999999998</v>
      </c>
      <c r="V76" s="7">
        <v>91.373000000000005</v>
      </c>
      <c r="W76" s="7">
        <v>0</v>
      </c>
      <c r="X76" s="7">
        <v>0</v>
      </c>
      <c r="Y76" s="7">
        <v>0</v>
      </c>
      <c r="Z76" s="7">
        <v>57.189</v>
      </c>
      <c r="AA76" s="7">
        <v>156.56200000000001</v>
      </c>
      <c r="AB76" s="7">
        <v>0</v>
      </c>
      <c r="AC76" s="7">
        <v>786.99800000000005</v>
      </c>
      <c r="AD76" s="7">
        <v>0</v>
      </c>
      <c r="AE76" s="7">
        <v>458.26600000000002</v>
      </c>
      <c r="AF76" s="7">
        <v>0</v>
      </c>
      <c r="AG76" s="7">
        <v>66.813999999999993</v>
      </c>
      <c r="AH76" s="7">
        <v>0</v>
      </c>
      <c r="AI76" s="7">
        <v>4595.8900000000003</v>
      </c>
      <c r="AJ76" s="7">
        <v>0</v>
      </c>
      <c r="AK76" s="7">
        <v>0</v>
      </c>
      <c r="AL76" s="7">
        <v>19458.267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1.488</v>
      </c>
      <c r="AV76" s="7">
        <v>0</v>
      </c>
      <c r="AW76" s="7">
        <v>0</v>
      </c>
      <c r="AX76" s="7">
        <v>0</v>
      </c>
      <c r="AY76" s="7">
        <v>0</v>
      </c>
      <c r="AZ76" s="7">
        <v>0.84</v>
      </c>
      <c r="BA76" s="7">
        <v>0</v>
      </c>
      <c r="BB76" s="7">
        <v>24.934999999999999</v>
      </c>
      <c r="BC76" s="7">
        <v>0</v>
      </c>
      <c r="BD76" s="7">
        <v>0</v>
      </c>
      <c r="BE76" s="7">
        <v>0</v>
      </c>
      <c r="BF76" s="7">
        <v>0</v>
      </c>
      <c r="BG76" s="21"/>
    </row>
    <row r="77" spans="1:59" ht="15.6" x14ac:dyDescent="0.3">
      <c r="A77" s="5" t="s">
        <v>140</v>
      </c>
      <c r="B77" s="5" t="s">
        <v>141</v>
      </c>
      <c r="C77" s="7">
        <v>6</v>
      </c>
      <c r="D77" s="7">
        <v>6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21"/>
    </row>
    <row r="78" spans="1:59" ht="15.6" x14ac:dyDescent="0.3">
      <c r="A78" s="5" t="s">
        <v>142</v>
      </c>
      <c r="B78" s="5" t="s">
        <v>143</v>
      </c>
      <c r="C78" s="7">
        <v>6</v>
      </c>
      <c r="D78" s="7">
        <v>6</v>
      </c>
      <c r="E78" s="7">
        <v>2575.7379999999998</v>
      </c>
      <c r="F78" s="7">
        <v>369.57799999999997</v>
      </c>
      <c r="G78" s="7">
        <v>540.22799999999995</v>
      </c>
      <c r="H78" s="7">
        <v>0</v>
      </c>
      <c r="I78" s="7">
        <v>93.933999999999997</v>
      </c>
      <c r="J78" s="7">
        <v>317.233</v>
      </c>
      <c r="K78" s="7">
        <v>2655.6909999999998</v>
      </c>
      <c r="L78" s="7">
        <v>239.24600000000001</v>
      </c>
      <c r="M78" s="7">
        <v>0</v>
      </c>
      <c r="N78" s="7">
        <v>1229.442</v>
      </c>
      <c r="O78" s="7">
        <v>2874.752</v>
      </c>
      <c r="P78" s="7">
        <v>1224.711</v>
      </c>
      <c r="Q78" s="7">
        <v>0</v>
      </c>
      <c r="R78" s="7">
        <v>0</v>
      </c>
      <c r="S78" s="7">
        <v>18.297000000000001</v>
      </c>
      <c r="T78" s="7">
        <v>0</v>
      </c>
      <c r="U78" s="7">
        <v>0.55700000000000005</v>
      </c>
      <c r="V78" s="7">
        <v>0</v>
      </c>
      <c r="W78" s="7">
        <v>0</v>
      </c>
      <c r="X78" s="7">
        <v>0</v>
      </c>
      <c r="Y78" s="7">
        <v>0</v>
      </c>
      <c r="Z78" s="7">
        <v>39.862000000000002</v>
      </c>
      <c r="AA78" s="7">
        <v>132.21</v>
      </c>
      <c r="AB78" s="7">
        <v>0</v>
      </c>
      <c r="AC78" s="7">
        <v>1067.6790000000001</v>
      </c>
      <c r="AD78" s="7">
        <v>0</v>
      </c>
      <c r="AE78" s="7">
        <v>368.83600000000001</v>
      </c>
      <c r="AF78" s="7">
        <v>0</v>
      </c>
      <c r="AG78" s="7">
        <v>62.393000000000001</v>
      </c>
      <c r="AH78" s="7">
        <v>0</v>
      </c>
      <c r="AI78" s="7">
        <v>3306.93</v>
      </c>
      <c r="AJ78" s="7">
        <v>0</v>
      </c>
      <c r="AK78" s="7">
        <v>0</v>
      </c>
      <c r="AL78" s="7">
        <v>5374.3609999999999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21"/>
    </row>
    <row r="79" spans="1:59" ht="15.6" x14ac:dyDescent="0.3">
      <c r="A79" s="5" t="s">
        <v>144</v>
      </c>
      <c r="B79" s="5" t="s">
        <v>145</v>
      </c>
      <c r="C79" s="7">
        <v>6</v>
      </c>
      <c r="D79" s="7">
        <v>6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21"/>
    </row>
    <row r="80" spans="1:59" ht="15.6" x14ac:dyDescent="0.3">
      <c r="A80" s="5" t="s">
        <v>146</v>
      </c>
      <c r="B80" s="5" t="s">
        <v>147</v>
      </c>
      <c r="C80" s="7">
        <v>6</v>
      </c>
      <c r="D80" s="7">
        <v>6</v>
      </c>
      <c r="E80" s="7">
        <v>9196.1679999999997</v>
      </c>
      <c r="F80" s="7">
        <v>1666.087</v>
      </c>
      <c r="G80" s="7">
        <v>2555.9699999999998</v>
      </c>
      <c r="H80" s="7">
        <v>0</v>
      </c>
      <c r="I80" s="7">
        <v>223.91499999999999</v>
      </c>
      <c r="J80" s="7">
        <v>1943.52</v>
      </c>
      <c r="K80" s="7">
        <v>5220.8440000000001</v>
      </c>
      <c r="L80" s="7">
        <v>944.19399999999996</v>
      </c>
      <c r="M80" s="7">
        <v>0</v>
      </c>
      <c r="N80" s="7">
        <v>3645.05</v>
      </c>
      <c r="O80" s="7">
        <v>16556.255000000001</v>
      </c>
      <c r="P80" s="7">
        <v>4407.2359999999999</v>
      </c>
      <c r="Q80" s="7">
        <v>0</v>
      </c>
      <c r="R80" s="7">
        <v>0</v>
      </c>
      <c r="S80" s="7">
        <v>31.943000000000001</v>
      </c>
      <c r="T80" s="7">
        <v>0</v>
      </c>
      <c r="U80" s="7">
        <v>170.42599999999999</v>
      </c>
      <c r="V80" s="7">
        <v>133.482</v>
      </c>
      <c r="W80" s="7">
        <v>0</v>
      </c>
      <c r="X80" s="7">
        <v>0</v>
      </c>
      <c r="Y80" s="7">
        <v>0</v>
      </c>
      <c r="Z80" s="7">
        <v>124.48399999999999</v>
      </c>
      <c r="AA80" s="7">
        <v>364.49400000000003</v>
      </c>
      <c r="AB80" s="7">
        <v>0</v>
      </c>
      <c r="AC80" s="7">
        <v>2481.5140000000001</v>
      </c>
      <c r="AD80" s="7">
        <v>0</v>
      </c>
      <c r="AE80" s="7">
        <v>1154.7070000000001</v>
      </c>
      <c r="AF80" s="7">
        <v>0</v>
      </c>
      <c r="AG80" s="7">
        <v>161.68299999999999</v>
      </c>
      <c r="AH80" s="7">
        <v>0</v>
      </c>
      <c r="AI80" s="7">
        <v>8496.4760000000006</v>
      </c>
      <c r="AJ80" s="7">
        <v>0</v>
      </c>
      <c r="AK80" s="7">
        <v>0</v>
      </c>
      <c r="AL80" s="7">
        <v>19847.417000000001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2.1739999999999999</v>
      </c>
      <c r="AV80" s="7">
        <v>0</v>
      </c>
      <c r="AW80" s="7">
        <v>0</v>
      </c>
      <c r="AX80" s="7">
        <v>0</v>
      </c>
      <c r="AY80" s="7">
        <v>0</v>
      </c>
      <c r="AZ80" s="7">
        <v>1.2270000000000001</v>
      </c>
      <c r="BA80" s="7">
        <v>0</v>
      </c>
      <c r="BB80" s="7">
        <v>36.427</v>
      </c>
      <c r="BC80" s="7">
        <v>0</v>
      </c>
      <c r="BD80" s="7">
        <v>0</v>
      </c>
      <c r="BE80" s="7">
        <v>0</v>
      </c>
      <c r="BF80" s="7">
        <v>0</v>
      </c>
      <c r="BG80" s="21"/>
    </row>
    <row r="81" spans="1:59" ht="15.6" x14ac:dyDescent="0.3">
      <c r="A81" s="5" t="s">
        <v>148</v>
      </c>
      <c r="B81" s="5" t="s">
        <v>149</v>
      </c>
      <c r="C81" s="7">
        <v>6</v>
      </c>
      <c r="D81" s="7">
        <v>6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21"/>
    </row>
    <row r="82" spans="1:59" ht="15.6" x14ac:dyDescent="0.3">
      <c r="A82" s="5" t="s">
        <v>150</v>
      </c>
      <c r="B82" s="5" t="s">
        <v>151</v>
      </c>
      <c r="C82" s="7">
        <v>6</v>
      </c>
      <c r="D82" s="7">
        <v>6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21"/>
    </row>
    <row r="83" spans="1:59" ht="15.6" x14ac:dyDescent="0.3">
      <c r="A83" s="5" t="s">
        <v>152</v>
      </c>
      <c r="B83" s="5" t="s">
        <v>153</v>
      </c>
      <c r="C83" s="7">
        <v>6</v>
      </c>
      <c r="D83" s="7">
        <v>6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21"/>
    </row>
    <row r="84" spans="1:59" ht="15.6" x14ac:dyDescent="0.3">
      <c r="A84" s="5" t="s">
        <v>154</v>
      </c>
      <c r="B84" s="5" t="s">
        <v>155</v>
      </c>
      <c r="C84" s="7">
        <v>6</v>
      </c>
      <c r="D84" s="7">
        <v>6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21"/>
    </row>
    <row r="85" spans="1:59" ht="15.6" x14ac:dyDescent="0.3">
      <c r="A85" s="5" t="s">
        <v>156</v>
      </c>
      <c r="B85" s="5" t="s">
        <v>157</v>
      </c>
      <c r="C85" s="7">
        <v>6</v>
      </c>
      <c r="D85" s="7">
        <v>6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21"/>
    </row>
    <row r="86" spans="1:59" ht="15.6" x14ac:dyDescent="0.3">
      <c r="A86" s="5" t="s">
        <v>158</v>
      </c>
      <c r="B86" s="5" t="s">
        <v>159</v>
      </c>
      <c r="C86" s="7">
        <v>6</v>
      </c>
      <c r="D86" s="7">
        <v>6</v>
      </c>
      <c r="E86" s="7">
        <v>2.347</v>
      </c>
      <c r="F86" s="7">
        <v>1.1200000000000001</v>
      </c>
      <c r="G86" s="7">
        <v>1.0740000000000001</v>
      </c>
      <c r="H86" s="7">
        <v>2379.5709999999999</v>
      </c>
      <c r="I86" s="7">
        <v>0.13500000000000001</v>
      </c>
      <c r="J86" s="7">
        <v>0.58099999999999996</v>
      </c>
      <c r="K86" s="7">
        <v>25.64</v>
      </c>
      <c r="L86" s="7">
        <v>1.5649999999999999</v>
      </c>
      <c r="M86" s="7">
        <v>0</v>
      </c>
      <c r="N86" s="7">
        <v>1.8380000000000001</v>
      </c>
      <c r="O86" s="7">
        <v>18.155000000000001</v>
      </c>
      <c r="P86" s="7">
        <v>2.3410000000000002</v>
      </c>
      <c r="Q86" s="7">
        <v>0</v>
      </c>
      <c r="R86" s="7">
        <v>0</v>
      </c>
      <c r="S86" s="7">
        <v>2.3E-2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0.01</v>
      </c>
      <c r="AA86" s="7">
        <v>4.1000000000000002E-2</v>
      </c>
      <c r="AB86" s="7">
        <v>0</v>
      </c>
      <c r="AC86" s="7">
        <v>0.115</v>
      </c>
      <c r="AD86" s="7">
        <v>0</v>
      </c>
      <c r="AE86" s="7">
        <v>0.105</v>
      </c>
      <c r="AF86" s="7">
        <v>0</v>
      </c>
      <c r="AG86" s="7">
        <v>1.2999999999999999E-2</v>
      </c>
      <c r="AH86" s="7">
        <v>0</v>
      </c>
      <c r="AI86" s="7">
        <v>0.27500000000000002</v>
      </c>
      <c r="AJ86" s="7">
        <v>0</v>
      </c>
      <c r="AK86" s="7">
        <v>0</v>
      </c>
      <c r="AL86" s="7">
        <v>0.999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21"/>
    </row>
    <row r="87" spans="1:59" ht="15.6" x14ac:dyDescent="0.3">
      <c r="A87" s="5" t="s">
        <v>160</v>
      </c>
      <c r="B87" s="5" t="s">
        <v>161</v>
      </c>
      <c r="C87" s="7">
        <v>6</v>
      </c>
      <c r="D87" s="7">
        <v>6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21"/>
    </row>
    <row r="88" spans="1:59" ht="15.6" x14ac:dyDescent="0.3">
      <c r="A88" s="5" t="s">
        <v>162</v>
      </c>
      <c r="B88" s="5" t="s">
        <v>163</v>
      </c>
      <c r="C88" s="7">
        <v>6</v>
      </c>
      <c r="D88" s="7">
        <v>6</v>
      </c>
      <c r="E88" s="7">
        <v>8413.5329999999994</v>
      </c>
      <c r="F88" s="7">
        <v>2024.585</v>
      </c>
      <c r="G88" s="7">
        <v>2589.7069999999999</v>
      </c>
      <c r="H88" s="7">
        <v>0</v>
      </c>
      <c r="I88" s="7">
        <v>438.54</v>
      </c>
      <c r="J88" s="7">
        <v>1853.54</v>
      </c>
      <c r="K88" s="7">
        <v>7245.3940000000002</v>
      </c>
      <c r="L88" s="7">
        <v>2069.799</v>
      </c>
      <c r="M88" s="7">
        <v>0</v>
      </c>
      <c r="N88" s="7">
        <v>5565.55</v>
      </c>
      <c r="O88" s="7">
        <v>16728.215</v>
      </c>
      <c r="P88" s="7">
        <v>4687.3879999999999</v>
      </c>
      <c r="Q88" s="7">
        <v>0</v>
      </c>
      <c r="R88" s="7">
        <v>0</v>
      </c>
      <c r="S88" s="7">
        <v>71.542000000000002</v>
      </c>
      <c r="T88" s="7">
        <v>0</v>
      </c>
      <c r="U88" s="7">
        <v>111.265</v>
      </c>
      <c r="V88" s="7">
        <v>446.66</v>
      </c>
      <c r="W88" s="7">
        <v>0</v>
      </c>
      <c r="X88" s="7">
        <v>0</v>
      </c>
      <c r="Y88" s="7">
        <v>0</v>
      </c>
      <c r="Z88" s="7">
        <v>190.482</v>
      </c>
      <c r="AA88" s="7">
        <v>469.88600000000002</v>
      </c>
      <c r="AB88" s="7">
        <v>0</v>
      </c>
      <c r="AC88" s="7">
        <v>1563.2850000000001</v>
      </c>
      <c r="AD88" s="7">
        <v>0</v>
      </c>
      <c r="AE88" s="7">
        <v>1415.9469999999999</v>
      </c>
      <c r="AF88" s="7">
        <v>0</v>
      </c>
      <c r="AG88" s="7">
        <v>187.18600000000001</v>
      </c>
      <c r="AH88" s="7">
        <v>0</v>
      </c>
      <c r="AI88" s="7">
        <v>3549.3</v>
      </c>
      <c r="AJ88" s="7">
        <v>0</v>
      </c>
      <c r="AK88" s="7">
        <v>0</v>
      </c>
      <c r="AL88" s="7">
        <v>15612.517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7.2759999999999998</v>
      </c>
      <c r="AV88" s="7">
        <v>0</v>
      </c>
      <c r="AW88" s="7">
        <v>0</v>
      </c>
      <c r="AX88" s="7">
        <v>0</v>
      </c>
      <c r="AY88" s="7">
        <v>0</v>
      </c>
      <c r="AZ88" s="7">
        <v>4.1059999999999999</v>
      </c>
      <c r="BA88" s="7">
        <v>0</v>
      </c>
      <c r="BB88" s="7">
        <v>121.89100000000001</v>
      </c>
      <c r="BC88" s="7">
        <v>0</v>
      </c>
      <c r="BD88" s="7">
        <v>0</v>
      </c>
      <c r="BE88" s="7">
        <v>0</v>
      </c>
      <c r="BF88" s="7">
        <v>0</v>
      </c>
      <c r="BG88" s="21"/>
    </row>
    <row r="89" spans="1:59" ht="15.6" x14ac:dyDescent="0.3">
      <c r="A89" s="5" t="s">
        <v>164</v>
      </c>
      <c r="B89" s="5" t="s">
        <v>165</v>
      </c>
      <c r="C89" s="7">
        <v>6</v>
      </c>
      <c r="D89" s="7">
        <v>6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21"/>
    </row>
    <row r="90" spans="1:59" ht="15.6" x14ac:dyDescent="0.3">
      <c r="A90" s="5" t="s">
        <v>166</v>
      </c>
      <c r="B90" s="5" t="s">
        <v>167</v>
      </c>
      <c r="C90" s="7">
        <v>3</v>
      </c>
      <c r="D90" s="7">
        <v>3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21"/>
    </row>
    <row r="91" spans="1:59" ht="15.6" x14ac:dyDescent="0.3">
      <c r="A91" s="5" t="s">
        <v>168</v>
      </c>
      <c r="B91" s="5" t="s">
        <v>169</v>
      </c>
      <c r="C91" s="7">
        <v>3</v>
      </c>
      <c r="D91" s="7">
        <v>3</v>
      </c>
      <c r="E91" s="7">
        <v>36043.519</v>
      </c>
      <c r="F91" s="7">
        <v>6310.4480000000003</v>
      </c>
      <c r="G91" s="7">
        <v>14100.662</v>
      </c>
      <c r="H91" s="7">
        <v>0</v>
      </c>
      <c r="I91" s="7">
        <v>1192.893</v>
      </c>
      <c r="J91" s="7">
        <v>9577.9750000000004</v>
      </c>
      <c r="K91" s="7">
        <v>11839.775</v>
      </c>
      <c r="L91" s="7">
        <v>10020.742</v>
      </c>
      <c r="M91" s="7">
        <v>0</v>
      </c>
      <c r="N91" s="7">
        <v>23241.460999999999</v>
      </c>
      <c r="O91" s="7">
        <v>27746.632000000001</v>
      </c>
      <c r="P91" s="7">
        <v>24415.264999999999</v>
      </c>
      <c r="Q91" s="7">
        <v>0</v>
      </c>
      <c r="R91" s="7">
        <v>0</v>
      </c>
      <c r="S91" s="7">
        <v>2.149</v>
      </c>
      <c r="T91" s="7">
        <v>0</v>
      </c>
      <c r="U91" s="7">
        <v>133.74799999999999</v>
      </c>
      <c r="V91" s="7">
        <v>2632.5619999999999</v>
      </c>
      <c r="W91" s="7">
        <v>0</v>
      </c>
      <c r="X91" s="7">
        <v>0</v>
      </c>
      <c r="Y91" s="7">
        <v>0</v>
      </c>
      <c r="Z91" s="7">
        <v>1087.2639999999999</v>
      </c>
      <c r="AA91" s="7">
        <v>2651.9989999999998</v>
      </c>
      <c r="AB91" s="7">
        <v>0</v>
      </c>
      <c r="AC91" s="7">
        <v>7664.0249999999996</v>
      </c>
      <c r="AD91" s="7">
        <v>0</v>
      </c>
      <c r="AE91" s="7">
        <v>8017.7479999999996</v>
      </c>
      <c r="AF91" s="7">
        <v>0</v>
      </c>
      <c r="AG91" s="7">
        <v>1047.8209999999999</v>
      </c>
      <c r="AH91" s="7">
        <v>0</v>
      </c>
      <c r="AI91" s="7">
        <v>15577.415999999999</v>
      </c>
      <c r="AJ91" s="7">
        <v>0</v>
      </c>
      <c r="AK91" s="7">
        <v>0</v>
      </c>
      <c r="AL91" s="7">
        <v>50794.608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42.881999999999998</v>
      </c>
      <c r="AV91" s="7">
        <v>0</v>
      </c>
      <c r="AW91" s="7">
        <v>0</v>
      </c>
      <c r="AX91" s="7">
        <v>0</v>
      </c>
      <c r="AY91" s="7">
        <v>0</v>
      </c>
      <c r="AZ91" s="7">
        <v>24.199000000000002</v>
      </c>
      <c r="BA91" s="7">
        <v>0</v>
      </c>
      <c r="BB91" s="7">
        <v>718.41399999999999</v>
      </c>
      <c r="BC91" s="7">
        <v>0</v>
      </c>
      <c r="BD91" s="7">
        <v>0</v>
      </c>
      <c r="BE91" s="7">
        <v>0</v>
      </c>
      <c r="BF91" s="7">
        <v>0</v>
      </c>
      <c r="BG91" s="21"/>
    </row>
    <row r="92" spans="1:59" ht="15.6" x14ac:dyDescent="0.3">
      <c r="A92" s="5" t="s">
        <v>170</v>
      </c>
      <c r="B92" s="5" t="s">
        <v>171</v>
      </c>
      <c r="C92" s="7">
        <v>3</v>
      </c>
      <c r="D92" s="7">
        <v>3</v>
      </c>
      <c r="E92" s="7">
        <v>34672.353000000003</v>
      </c>
      <c r="F92" s="7">
        <v>6241.0780000000004</v>
      </c>
      <c r="G92" s="7">
        <v>12966.976000000001</v>
      </c>
      <c r="H92" s="7">
        <v>0</v>
      </c>
      <c r="I92" s="7">
        <v>1224.7739999999999</v>
      </c>
      <c r="J92" s="7">
        <v>8254.7530000000006</v>
      </c>
      <c r="K92" s="7">
        <v>12156.209000000001</v>
      </c>
      <c r="L92" s="7">
        <v>10288.56</v>
      </c>
      <c r="M92" s="7">
        <v>0</v>
      </c>
      <c r="N92" s="7">
        <v>23862.620999999999</v>
      </c>
      <c r="O92" s="7">
        <v>27513.21</v>
      </c>
      <c r="P92" s="7">
        <v>23213.945</v>
      </c>
      <c r="Q92" s="7">
        <v>0</v>
      </c>
      <c r="R92" s="7">
        <v>0</v>
      </c>
      <c r="S92" s="7">
        <v>2.2069999999999999</v>
      </c>
      <c r="T92" s="7">
        <v>0</v>
      </c>
      <c r="U92" s="7">
        <v>0</v>
      </c>
      <c r="V92" s="7">
        <v>2702.9209999999998</v>
      </c>
      <c r="W92" s="7">
        <v>0</v>
      </c>
      <c r="X92" s="7">
        <v>0</v>
      </c>
      <c r="Y92" s="7">
        <v>0</v>
      </c>
      <c r="Z92" s="7">
        <v>1116.3230000000001</v>
      </c>
      <c r="AA92" s="7">
        <v>2722.877</v>
      </c>
      <c r="AB92" s="7">
        <v>0</v>
      </c>
      <c r="AC92" s="7">
        <v>7868.8559999999998</v>
      </c>
      <c r="AD92" s="7">
        <v>0</v>
      </c>
      <c r="AE92" s="7">
        <v>8232.0329999999994</v>
      </c>
      <c r="AF92" s="7">
        <v>0</v>
      </c>
      <c r="AG92" s="7">
        <v>1075.826</v>
      </c>
      <c r="AH92" s="7">
        <v>0</v>
      </c>
      <c r="AI92" s="7">
        <v>11713.865</v>
      </c>
      <c r="AJ92" s="7">
        <v>0</v>
      </c>
      <c r="AK92" s="7">
        <v>0</v>
      </c>
      <c r="AL92" s="7">
        <v>47574.752999999997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44.027999999999999</v>
      </c>
      <c r="AV92" s="7">
        <v>0</v>
      </c>
      <c r="AW92" s="7">
        <v>0</v>
      </c>
      <c r="AX92" s="7">
        <v>0</v>
      </c>
      <c r="AY92" s="7">
        <v>0</v>
      </c>
      <c r="AZ92" s="7">
        <v>24.846</v>
      </c>
      <c r="BA92" s="7">
        <v>0</v>
      </c>
      <c r="BB92" s="7">
        <v>737.61400000000003</v>
      </c>
      <c r="BC92" s="7">
        <v>0</v>
      </c>
      <c r="BD92" s="7">
        <v>0</v>
      </c>
      <c r="BE92" s="7">
        <v>0</v>
      </c>
      <c r="BF92" s="7">
        <v>0</v>
      </c>
      <c r="BG92" s="21"/>
    </row>
    <row r="93" spans="1:59" ht="15.6" x14ac:dyDescent="0.3">
      <c r="A93" s="5" t="s">
        <v>172</v>
      </c>
      <c r="B93" s="5" t="s">
        <v>173</v>
      </c>
      <c r="C93" s="7">
        <v>3</v>
      </c>
      <c r="D93" s="7">
        <v>3</v>
      </c>
      <c r="E93" s="7">
        <v>10824.626</v>
      </c>
      <c r="F93" s="7">
        <v>2918.3609999999999</v>
      </c>
      <c r="G93" s="7">
        <v>5234.2910000000002</v>
      </c>
      <c r="H93" s="7">
        <v>0</v>
      </c>
      <c r="I93" s="7">
        <v>340.63299999999998</v>
      </c>
      <c r="J93" s="7">
        <v>1958.5809999999999</v>
      </c>
      <c r="K93" s="7">
        <v>8186.2349999999997</v>
      </c>
      <c r="L93" s="7">
        <v>1711.183</v>
      </c>
      <c r="M93" s="7">
        <v>0</v>
      </c>
      <c r="N93" s="7">
        <v>3451.183</v>
      </c>
      <c r="O93" s="7">
        <v>28670.905999999999</v>
      </c>
      <c r="P93" s="7">
        <v>4327.4229999999998</v>
      </c>
      <c r="Q93" s="7">
        <v>0</v>
      </c>
      <c r="R93" s="7">
        <v>0</v>
      </c>
      <c r="S93" s="7">
        <v>1.756</v>
      </c>
      <c r="T93" s="7">
        <v>0</v>
      </c>
      <c r="U93" s="7">
        <v>0</v>
      </c>
      <c r="V93" s="7">
        <v>1021.949</v>
      </c>
      <c r="W93" s="7">
        <v>0</v>
      </c>
      <c r="X93" s="7">
        <v>0</v>
      </c>
      <c r="Y93" s="7">
        <v>0</v>
      </c>
      <c r="Z93" s="7">
        <v>258.86599999999999</v>
      </c>
      <c r="AA93" s="7">
        <v>379.97899999999998</v>
      </c>
      <c r="AB93" s="7">
        <v>0</v>
      </c>
      <c r="AC93" s="7">
        <v>4538.75</v>
      </c>
      <c r="AD93" s="7">
        <v>0</v>
      </c>
      <c r="AE93" s="7">
        <v>2827.35</v>
      </c>
      <c r="AF93" s="7">
        <v>0</v>
      </c>
      <c r="AG93" s="7">
        <v>629.30100000000004</v>
      </c>
      <c r="AH93" s="7">
        <v>0</v>
      </c>
      <c r="AI93" s="7">
        <v>8573.1679999999997</v>
      </c>
      <c r="AJ93" s="7">
        <v>4290.6610000000001</v>
      </c>
      <c r="AK93" s="7">
        <v>0</v>
      </c>
      <c r="AL93" s="7">
        <v>50568.165999999997</v>
      </c>
      <c r="AM93" s="7">
        <v>8190.0690000000004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45.987000000000002</v>
      </c>
      <c r="AV93" s="7">
        <v>0</v>
      </c>
      <c r="AW93" s="7">
        <v>0</v>
      </c>
      <c r="AX93" s="7">
        <v>1233.556</v>
      </c>
      <c r="AY93" s="7">
        <v>0</v>
      </c>
      <c r="AZ93" s="7">
        <v>6.9059999999999997</v>
      </c>
      <c r="BA93" s="7">
        <v>0</v>
      </c>
      <c r="BB93" s="7">
        <v>328.07900000000001</v>
      </c>
      <c r="BC93" s="7">
        <v>0</v>
      </c>
      <c r="BD93" s="7">
        <v>0</v>
      </c>
      <c r="BE93" s="7">
        <v>14926.207</v>
      </c>
      <c r="BF93" s="7">
        <v>0</v>
      </c>
      <c r="BG93" s="21"/>
    </row>
    <row r="94" spans="1:59" ht="15.6" x14ac:dyDescent="0.3">
      <c r="A94" s="5" t="s">
        <v>174</v>
      </c>
      <c r="B94" s="5" t="s">
        <v>175</v>
      </c>
      <c r="C94" s="7">
        <v>3</v>
      </c>
      <c r="D94" s="7">
        <v>3</v>
      </c>
      <c r="E94" s="7">
        <v>34612.078999999998</v>
      </c>
      <c r="F94" s="7">
        <v>11521.067999999999</v>
      </c>
      <c r="G94" s="7">
        <v>22011.764999999999</v>
      </c>
      <c r="H94" s="7">
        <v>2566.1280000000002</v>
      </c>
      <c r="I94" s="7">
        <v>1855.3209999999999</v>
      </c>
      <c r="J94" s="7">
        <v>10230.236999999999</v>
      </c>
      <c r="K94" s="7">
        <v>7821.2610000000004</v>
      </c>
      <c r="L94" s="7">
        <v>7201.8959999999997</v>
      </c>
      <c r="M94" s="7">
        <v>0</v>
      </c>
      <c r="N94" s="7">
        <v>19962.058000000001</v>
      </c>
      <c r="O94" s="7">
        <v>78367.581999999995</v>
      </c>
      <c r="P94" s="7">
        <v>25421.133999999998</v>
      </c>
      <c r="Q94" s="7">
        <v>0</v>
      </c>
      <c r="R94" s="7">
        <v>0</v>
      </c>
      <c r="S94" s="7">
        <v>0.74399999999999999</v>
      </c>
      <c r="T94" s="7">
        <v>0</v>
      </c>
      <c r="U94" s="7">
        <v>0</v>
      </c>
      <c r="V94" s="7">
        <v>4631.3950000000004</v>
      </c>
      <c r="W94" s="7">
        <v>0</v>
      </c>
      <c r="X94" s="7">
        <v>0</v>
      </c>
      <c r="Y94" s="7">
        <v>0</v>
      </c>
      <c r="Z94" s="7">
        <v>1372.3150000000001</v>
      </c>
      <c r="AA94" s="7">
        <v>1392.663</v>
      </c>
      <c r="AB94" s="7">
        <v>0</v>
      </c>
      <c r="AC94" s="7">
        <v>8928.3989999999994</v>
      </c>
      <c r="AD94" s="7">
        <v>0</v>
      </c>
      <c r="AE94" s="7">
        <v>18670.258000000002</v>
      </c>
      <c r="AF94" s="7">
        <v>0</v>
      </c>
      <c r="AG94" s="7">
        <v>2818.8739999999998</v>
      </c>
      <c r="AH94" s="7">
        <v>0</v>
      </c>
      <c r="AI94" s="7">
        <v>6216.683</v>
      </c>
      <c r="AJ94" s="7">
        <v>3525.5949999999998</v>
      </c>
      <c r="AK94" s="7">
        <v>0</v>
      </c>
      <c r="AL94" s="7">
        <v>191752.94500000001</v>
      </c>
      <c r="AM94" s="7">
        <v>6708.3239999999996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281.935</v>
      </c>
      <c r="AV94" s="7">
        <v>0</v>
      </c>
      <c r="AW94" s="7">
        <v>0</v>
      </c>
      <c r="AX94" s="7">
        <v>998.09</v>
      </c>
      <c r="AY94" s="7">
        <v>0</v>
      </c>
      <c r="AZ94" s="7">
        <v>20.760999999999999</v>
      </c>
      <c r="BA94" s="7">
        <v>0</v>
      </c>
      <c r="BB94" s="7">
        <v>31.013999999999999</v>
      </c>
      <c r="BC94" s="7">
        <v>0</v>
      </c>
      <c r="BD94" s="7">
        <v>0</v>
      </c>
      <c r="BE94" s="7">
        <v>87723.509000000005</v>
      </c>
      <c r="BF94" s="7">
        <v>0</v>
      </c>
      <c r="BG94" s="21"/>
    </row>
    <row r="95" spans="1:59" ht="15.6" x14ac:dyDescent="0.3">
      <c r="A95" s="5" t="s">
        <v>176</v>
      </c>
      <c r="B95" s="5" t="s">
        <v>177</v>
      </c>
      <c r="C95" s="7">
        <v>3</v>
      </c>
      <c r="D95" s="7">
        <v>3</v>
      </c>
      <c r="E95" s="7">
        <v>93000.244000000006</v>
      </c>
      <c r="F95" s="7">
        <v>26469.215</v>
      </c>
      <c r="G95" s="7">
        <v>11597.316000000001</v>
      </c>
      <c r="H95" s="7">
        <v>10769.218999999999</v>
      </c>
      <c r="I95" s="7">
        <v>4151.4930000000004</v>
      </c>
      <c r="J95" s="7">
        <v>20930.883999999998</v>
      </c>
      <c r="K95" s="7">
        <v>24741.135999999999</v>
      </c>
      <c r="L95" s="7">
        <v>23814.603999999999</v>
      </c>
      <c r="M95" s="7">
        <v>0</v>
      </c>
      <c r="N95" s="7">
        <v>71263.038</v>
      </c>
      <c r="O95" s="7">
        <v>147933.13699999999</v>
      </c>
      <c r="P95" s="7">
        <v>75092.365000000005</v>
      </c>
      <c r="Q95" s="7">
        <v>0</v>
      </c>
      <c r="R95" s="7">
        <v>0</v>
      </c>
      <c r="S95" s="7">
        <v>2.8639999999999999</v>
      </c>
      <c r="T95" s="7">
        <v>0</v>
      </c>
      <c r="U95" s="7">
        <v>0</v>
      </c>
      <c r="V95" s="7">
        <v>10466.744000000001</v>
      </c>
      <c r="W95" s="7">
        <v>0</v>
      </c>
      <c r="X95" s="7">
        <v>0</v>
      </c>
      <c r="Y95" s="7">
        <v>0</v>
      </c>
      <c r="Z95" s="7">
        <v>2183.42</v>
      </c>
      <c r="AA95" s="7">
        <v>6449.1109999999999</v>
      </c>
      <c r="AB95" s="7">
        <v>0</v>
      </c>
      <c r="AC95" s="7">
        <v>13923.084999999999</v>
      </c>
      <c r="AD95" s="7">
        <v>0</v>
      </c>
      <c r="AE95" s="7">
        <v>36927.995000000003</v>
      </c>
      <c r="AF95" s="7">
        <v>0</v>
      </c>
      <c r="AG95" s="7">
        <v>4649.4769999999999</v>
      </c>
      <c r="AH95" s="7">
        <v>0</v>
      </c>
      <c r="AI95" s="7">
        <v>18791.133000000002</v>
      </c>
      <c r="AJ95" s="7">
        <v>6261.7089999999998</v>
      </c>
      <c r="AK95" s="7">
        <v>0</v>
      </c>
      <c r="AL95" s="7">
        <v>296129.78399999999</v>
      </c>
      <c r="AM95" s="7">
        <v>11877.307000000001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451.488</v>
      </c>
      <c r="AV95" s="7">
        <v>0</v>
      </c>
      <c r="AW95" s="7">
        <v>0</v>
      </c>
      <c r="AX95" s="7">
        <v>1745.7170000000001</v>
      </c>
      <c r="AY95" s="7">
        <v>0</v>
      </c>
      <c r="AZ95" s="7">
        <v>52.296999999999997</v>
      </c>
      <c r="BA95" s="7">
        <v>0</v>
      </c>
      <c r="BB95" s="7">
        <v>570.60199999999998</v>
      </c>
      <c r="BC95" s="7">
        <v>0</v>
      </c>
      <c r="BD95" s="7">
        <v>0</v>
      </c>
      <c r="BE95" s="7">
        <v>28631.573</v>
      </c>
      <c r="BF95" s="7">
        <v>0</v>
      </c>
      <c r="BG95" s="21"/>
    </row>
    <row r="96" spans="1:59" ht="15.6" x14ac:dyDescent="0.3">
      <c r="A96" s="5" t="s">
        <v>178</v>
      </c>
      <c r="B96" s="5" t="s">
        <v>179</v>
      </c>
      <c r="C96" s="7">
        <v>6</v>
      </c>
      <c r="D96" s="7">
        <v>6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21"/>
    </row>
    <row r="97" spans="1:59" ht="15.6" x14ac:dyDescent="0.3">
      <c r="A97" s="5" t="s">
        <v>180</v>
      </c>
      <c r="B97" s="5" t="s">
        <v>181</v>
      </c>
      <c r="C97" s="7">
        <v>6</v>
      </c>
      <c r="D97" s="7">
        <v>6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21"/>
    </row>
    <row r="98" spans="1:59" ht="15.6" x14ac:dyDescent="0.3">
      <c r="A98" s="5" t="s">
        <v>182</v>
      </c>
      <c r="B98" s="5" t="s">
        <v>183</v>
      </c>
      <c r="C98" s="7">
        <v>6</v>
      </c>
      <c r="D98" s="7">
        <v>6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21"/>
    </row>
    <row r="99" spans="1:59" ht="15.6" x14ac:dyDescent="0.3">
      <c r="A99" s="5" t="s">
        <v>184</v>
      </c>
      <c r="B99" s="5" t="s">
        <v>185</v>
      </c>
      <c r="C99" s="7">
        <v>6</v>
      </c>
      <c r="D99" s="7">
        <v>6</v>
      </c>
      <c r="E99" s="7">
        <v>29.498999999999999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58.997999999999998</v>
      </c>
      <c r="L99" s="7">
        <v>0</v>
      </c>
      <c r="M99" s="7">
        <v>0</v>
      </c>
      <c r="N99" s="7">
        <v>29.498999999999999</v>
      </c>
      <c r="O99" s="7">
        <v>383.48599999999999</v>
      </c>
      <c r="P99" s="7">
        <v>88.497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58.997999999999998</v>
      </c>
      <c r="AJ99" s="7">
        <v>0</v>
      </c>
      <c r="AK99" s="7">
        <v>0</v>
      </c>
      <c r="AL99" s="7">
        <v>58.997999999999998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21"/>
    </row>
    <row r="100" spans="1:59" ht="15.6" x14ac:dyDescent="0.3">
      <c r="A100" s="5" t="s">
        <v>186</v>
      </c>
      <c r="B100" s="5" t="s">
        <v>187</v>
      </c>
      <c r="C100" s="7">
        <v>6</v>
      </c>
      <c r="D100" s="7">
        <v>6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21"/>
    </row>
    <row r="101" spans="1:59" ht="15.6" x14ac:dyDescent="0.3">
      <c r="A101" s="5" t="s">
        <v>188</v>
      </c>
      <c r="B101" s="5" t="s">
        <v>189</v>
      </c>
      <c r="C101" s="7">
        <v>6</v>
      </c>
      <c r="D101" s="7">
        <v>6</v>
      </c>
      <c r="E101" s="7">
        <v>3702.0250000000001</v>
      </c>
      <c r="F101" s="7">
        <v>531.18299999999999</v>
      </c>
      <c r="G101" s="7">
        <v>776.452</v>
      </c>
      <c r="H101" s="7">
        <v>0</v>
      </c>
      <c r="I101" s="7">
        <v>135.00800000000001</v>
      </c>
      <c r="J101" s="7">
        <v>455.94799999999998</v>
      </c>
      <c r="K101" s="7">
        <v>3816.9380000000001</v>
      </c>
      <c r="L101" s="7">
        <v>343.86</v>
      </c>
      <c r="M101" s="7">
        <v>0</v>
      </c>
      <c r="N101" s="7">
        <v>1767.038</v>
      </c>
      <c r="O101" s="7">
        <v>4131.7879999999996</v>
      </c>
      <c r="P101" s="7">
        <v>1760.2370000000001</v>
      </c>
      <c r="Q101" s="7">
        <v>0</v>
      </c>
      <c r="R101" s="7">
        <v>0</v>
      </c>
      <c r="S101" s="7">
        <v>26.297000000000001</v>
      </c>
      <c r="T101" s="7">
        <v>0</v>
      </c>
      <c r="U101" s="7">
        <v>0.8</v>
      </c>
      <c r="V101" s="7">
        <v>0</v>
      </c>
      <c r="W101" s="7">
        <v>0</v>
      </c>
      <c r="X101" s="7">
        <v>0</v>
      </c>
      <c r="Y101" s="7">
        <v>0</v>
      </c>
      <c r="Z101" s="7">
        <v>57.292999999999999</v>
      </c>
      <c r="AA101" s="7">
        <v>190.02199999999999</v>
      </c>
      <c r="AB101" s="7">
        <v>0</v>
      </c>
      <c r="AC101" s="7">
        <v>1534.5409999999999</v>
      </c>
      <c r="AD101" s="7">
        <v>0</v>
      </c>
      <c r="AE101" s="7">
        <v>530.11599999999999</v>
      </c>
      <c r="AF101" s="7">
        <v>0</v>
      </c>
      <c r="AG101" s="7">
        <v>89.674999999999997</v>
      </c>
      <c r="AH101" s="7">
        <v>0</v>
      </c>
      <c r="AI101" s="7">
        <v>4752.9440000000004</v>
      </c>
      <c r="AJ101" s="7">
        <v>0</v>
      </c>
      <c r="AK101" s="7">
        <v>0</v>
      </c>
      <c r="AL101" s="7">
        <v>7724.3959999999997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21"/>
    </row>
    <row r="102" spans="1:59" ht="15.6" x14ac:dyDescent="0.3">
      <c r="A102" s="5" t="s">
        <v>190</v>
      </c>
      <c r="B102" s="5" t="s">
        <v>191</v>
      </c>
      <c r="C102" s="7">
        <v>6</v>
      </c>
      <c r="D102" s="7">
        <v>6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21"/>
    </row>
    <row r="103" spans="1:59" ht="15.6" x14ac:dyDescent="0.3">
      <c r="A103" s="5" t="s">
        <v>192</v>
      </c>
      <c r="B103" s="5" t="s">
        <v>193</v>
      </c>
      <c r="C103" s="7">
        <v>6</v>
      </c>
      <c r="D103" s="7">
        <v>6</v>
      </c>
      <c r="E103" s="7">
        <v>0</v>
      </c>
      <c r="F103" s="7">
        <v>0</v>
      </c>
      <c r="G103" s="7">
        <v>0</v>
      </c>
      <c r="H103" s="7">
        <v>1811.09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21"/>
    </row>
    <row r="104" spans="1:59" ht="15.6" x14ac:dyDescent="0.3">
      <c r="A104" s="5" t="s">
        <v>194</v>
      </c>
      <c r="B104" s="5" t="s">
        <v>195</v>
      </c>
      <c r="C104" s="7">
        <v>4</v>
      </c>
      <c r="D104" s="7">
        <v>4</v>
      </c>
      <c r="E104" s="7">
        <v>178192.30499999999</v>
      </c>
      <c r="F104" s="7">
        <v>58074.898000000001</v>
      </c>
      <c r="G104" s="7">
        <v>0</v>
      </c>
      <c r="H104" s="7">
        <v>0</v>
      </c>
      <c r="I104" s="7">
        <v>2738.4839999999999</v>
      </c>
      <c r="J104" s="7">
        <v>0</v>
      </c>
      <c r="K104" s="7">
        <v>255673.12100000001</v>
      </c>
      <c r="L104" s="7">
        <v>14299.545</v>
      </c>
      <c r="M104" s="7">
        <v>0</v>
      </c>
      <c r="N104" s="7">
        <v>27130.383999999998</v>
      </c>
      <c r="O104" s="7">
        <v>679628.79500000004</v>
      </c>
      <c r="P104" s="7">
        <v>32406.105</v>
      </c>
      <c r="Q104" s="7">
        <v>0</v>
      </c>
      <c r="R104" s="7">
        <v>114.267</v>
      </c>
      <c r="S104" s="7">
        <v>28.526</v>
      </c>
      <c r="T104" s="7">
        <v>130.39599999999999</v>
      </c>
      <c r="U104" s="7">
        <v>0</v>
      </c>
      <c r="V104" s="7">
        <v>16614.901999999998</v>
      </c>
      <c r="W104" s="7">
        <v>0</v>
      </c>
      <c r="X104" s="7">
        <v>2252.9029999999998</v>
      </c>
      <c r="Y104" s="7">
        <v>0</v>
      </c>
      <c r="Z104" s="7">
        <v>0</v>
      </c>
      <c r="AA104" s="7">
        <v>3682.7489999999998</v>
      </c>
      <c r="AB104" s="7">
        <v>15029.49</v>
      </c>
      <c r="AC104" s="7">
        <v>100410.148</v>
      </c>
      <c r="AD104" s="7">
        <v>0</v>
      </c>
      <c r="AE104" s="7">
        <v>0</v>
      </c>
      <c r="AF104" s="7">
        <v>4708.5159999999996</v>
      </c>
      <c r="AG104" s="7">
        <v>8889.9639999999999</v>
      </c>
      <c r="AH104" s="7">
        <v>0</v>
      </c>
      <c r="AI104" s="7">
        <v>242604.32800000001</v>
      </c>
      <c r="AJ104" s="7">
        <v>135578.43299999999</v>
      </c>
      <c r="AK104" s="7">
        <v>0</v>
      </c>
      <c r="AL104" s="7">
        <v>841360.93500000006</v>
      </c>
      <c r="AM104" s="7">
        <v>258793.84400000001</v>
      </c>
      <c r="AN104" s="7">
        <v>0</v>
      </c>
      <c r="AO104" s="7">
        <v>0</v>
      </c>
      <c r="AP104" s="7">
        <v>4735.3999999999996</v>
      </c>
      <c r="AQ104" s="7">
        <v>2093.1529999999998</v>
      </c>
      <c r="AR104" s="7">
        <v>0</v>
      </c>
      <c r="AS104" s="7">
        <v>0</v>
      </c>
      <c r="AT104" s="7">
        <v>0</v>
      </c>
      <c r="AU104" s="7">
        <v>346.4</v>
      </c>
      <c r="AV104" s="7">
        <v>251.297</v>
      </c>
      <c r="AW104" s="7">
        <v>0</v>
      </c>
      <c r="AX104" s="7">
        <v>38978.498</v>
      </c>
      <c r="AY104" s="7">
        <v>0</v>
      </c>
      <c r="AZ104" s="7">
        <v>149.12700000000001</v>
      </c>
      <c r="BA104" s="7">
        <v>0</v>
      </c>
      <c r="BB104" s="7">
        <v>1184.998</v>
      </c>
      <c r="BC104" s="7">
        <v>0</v>
      </c>
      <c r="BD104" s="7">
        <v>0</v>
      </c>
      <c r="BE104" s="7">
        <v>0</v>
      </c>
      <c r="BF104" s="7">
        <v>1051.2719999999999</v>
      </c>
      <c r="BG104" s="21"/>
    </row>
    <row r="105" spans="1:59" ht="15.6" x14ac:dyDescent="0.3">
      <c r="A105" s="5" t="s">
        <v>196</v>
      </c>
      <c r="B105" s="5" t="s">
        <v>197</v>
      </c>
      <c r="C105" s="7">
        <v>4</v>
      </c>
      <c r="D105" s="7">
        <v>4</v>
      </c>
      <c r="E105" s="7">
        <v>99069.641000000003</v>
      </c>
      <c r="F105" s="7">
        <v>31062.927</v>
      </c>
      <c r="G105" s="7">
        <v>0</v>
      </c>
      <c r="H105" s="7">
        <v>442.22300000000001</v>
      </c>
      <c r="I105" s="7">
        <v>1536.856</v>
      </c>
      <c r="J105" s="7">
        <v>0</v>
      </c>
      <c r="K105" s="7">
        <v>139293.90400000001</v>
      </c>
      <c r="L105" s="7">
        <v>8025.0020000000004</v>
      </c>
      <c r="M105" s="7">
        <v>0</v>
      </c>
      <c r="N105" s="7">
        <v>15225.755999999999</v>
      </c>
      <c r="O105" s="7">
        <v>396886.82500000001</v>
      </c>
      <c r="P105" s="7">
        <v>18186.526999999998</v>
      </c>
      <c r="Q105" s="7">
        <v>0</v>
      </c>
      <c r="R105" s="7">
        <v>29.943999999999999</v>
      </c>
      <c r="S105" s="7">
        <v>16.009</v>
      </c>
      <c r="T105" s="7">
        <v>34.170999999999999</v>
      </c>
      <c r="U105" s="7">
        <v>0</v>
      </c>
      <c r="V105" s="7">
        <v>9324.3960000000006</v>
      </c>
      <c r="W105" s="7">
        <v>0</v>
      </c>
      <c r="X105" s="7">
        <v>590.37800000000004</v>
      </c>
      <c r="Y105" s="7">
        <v>0</v>
      </c>
      <c r="Z105" s="7">
        <v>0</v>
      </c>
      <c r="AA105" s="7">
        <v>2066.7840000000001</v>
      </c>
      <c r="AB105" s="7">
        <v>3938.5079999999998</v>
      </c>
      <c r="AC105" s="7">
        <v>56350.858</v>
      </c>
      <c r="AD105" s="7">
        <v>0</v>
      </c>
      <c r="AE105" s="7">
        <v>0</v>
      </c>
      <c r="AF105" s="7">
        <v>1233.876</v>
      </c>
      <c r="AG105" s="7">
        <v>4989.1080000000002</v>
      </c>
      <c r="AH105" s="7">
        <v>0</v>
      </c>
      <c r="AI105" s="7">
        <v>136151.20000000001</v>
      </c>
      <c r="AJ105" s="7">
        <v>76087.539000000004</v>
      </c>
      <c r="AK105" s="7">
        <v>0</v>
      </c>
      <c r="AL105" s="7">
        <v>472079.777</v>
      </c>
      <c r="AM105" s="7">
        <v>145236.867</v>
      </c>
      <c r="AN105" s="7">
        <v>0</v>
      </c>
      <c r="AO105" s="7">
        <v>0</v>
      </c>
      <c r="AP105" s="7">
        <v>1240.921</v>
      </c>
      <c r="AQ105" s="7">
        <v>548.51499999999999</v>
      </c>
      <c r="AR105" s="7">
        <v>0</v>
      </c>
      <c r="AS105" s="7">
        <v>0</v>
      </c>
      <c r="AT105" s="7">
        <v>0</v>
      </c>
      <c r="AU105" s="7">
        <v>194.40199999999999</v>
      </c>
      <c r="AV105" s="7">
        <v>65.852999999999994</v>
      </c>
      <c r="AW105" s="7">
        <v>0</v>
      </c>
      <c r="AX105" s="7">
        <v>21874.998</v>
      </c>
      <c r="AY105" s="7">
        <v>0</v>
      </c>
      <c r="AZ105" s="7">
        <v>83.691000000000003</v>
      </c>
      <c r="BA105" s="7">
        <v>0</v>
      </c>
      <c r="BB105" s="7">
        <v>665.029</v>
      </c>
      <c r="BC105" s="7">
        <v>0</v>
      </c>
      <c r="BD105" s="7">
        <v>0</v>
      </c>
      <c r="BE105" s="7">
        <v>0</v>
      </c>
      <c r="BF105" s="7">
        <v>275.488</v>
      </c>
      <c r="BG105" s="21"/>
    </row>
    <row r="106" spans="1:59" ht="15.6" x14ac:dyDescent="0.3">
      <c r="A106" s="5" t="s">
        <v>198</v>
      </c>
      <c r="B106" s="5" t="s">
        <v>199</v>
      </c>
      <c r="C106" s="7">
        <v>4</v>
      </c>
      <c r="D106" s="7">
        <v>4</v>
      </c>
      <c r="E106" s="7">
        <v>48505.228999999999</v>
      </c>
      <c r="F106" s="7">
        <v>15893.064</v>
      </c>
      <c r="G106" s="7">
        <v>109.583</v>
      </c>
      <c r="H106" s="7">
        <v>4.4969999999999999</v>
      </c>
      <c r="I106" s="7">
        <v>855.17200000000003</v>
      </c>
      <c r="J106" s="7">
        <v>69.760000000000005</v>
      </c>
      <c r="K106" s="7">
        <v>76879.370999999999</v>
      </c>
      <c r="L106" s="7">
        <v>4413.1559999999999</v>
      </c>
      <c r="M106" s="7">
        <v>0</v>
      </c>
      <c r="N106" s="7">
        <v>9707.3369999999995</v>
      </c>
      <c r="O106" s="7">
        <v>185551.859</v>
      </c>
      <c r="P106" s="7">
        <v>11943.547</v>
      </c>
      <c r="Q106" s="7">
        <v>0</v>
      </c>
      <c r="R106" s="7">
        <v>74.191999999999993</v>
      </c>
      <c r="S106" s="7">
        <v>7.5110000000000001</v>
      </c>
      <c r="T106" s="7">
        <v>84.664000000000001</v>
      </c>
      <c r="U106" s="7">
        <v>0</v>
      </c>
      <c r="V106" s="7">
        <v>4386.6379999999999</v>
      </c>
      <c r="W106" s="7">
        <v>0</v>
      </c>
      <c r="X106" s="7">
        <v>1462.778</v>
      </c>
      <c r="Y106" s="7">
        <v>0</v>
      </c>
      <c r="Z106" s="7">
        <v>9.4339999999999993</v>
      </c>
      <c r="AA106" s="7">
        <v>990.26099999999997</v>
      </c>
      <c r="AB106" s="7">
        <v>9758.4349999999995</v>
      </c>
      <c r="AC106" s="7">
        <v>26438.567999999999</v>
      </c>
      <c r="AD106" s="7">
        <v>0</v>
      </c>
      <c r="AE106" s="7">
        <v>69.567999999999998</v>
      </c>
      <c r="AF106" s="7">
        <v>3057.1729999999998</v>
      </c>
      <c r="AG106" s="7">
        <v>2343.9830000000002</v>
      </c>
      <c r="AH106" s="7">
        <v>0</v>
      </c>
      <c r="AI106" s="7">
        <v>63817.432999999997</v>
      </c>
      <c r="AJ106" s="7">
        <v>35613.347999999998</v>
      </c>
      <c r="AK106" s="7">
        <v>0</v>
      </c>
      <c r="AL106" s="7">
        <v>221334.272</v>
      </c>
      <c r="AM106" s="7">
        <v>67986.335000000006</v>
      </c>
      <c r="AN106" s="7">
        <v>0</v>
      </c>
      <c r="AO106" s="7">
        <v>0</v>
      </c>
      <c r="AP106" s="7">
        <v>3074.6280000000002</v>
      </c>
      <c r="AQ106" s="7">
        <v>1359.0550000000001</v>
      </c>
      <c r="AR106" s="7">
        <v>0</v>
      </c>
      <c r="AS106" s="7">
        <v>0</v>
      </c>
      <c r="AT106" s="7">
        <v>0</v>
      </c>
      <c r="AU106" s="7">
        <v>91.352000000000004</v>
      </c>
      <c r="AV106" s="7">
        <v>163.16300000000001</v>
      </c>
      <c r="AW106" s="7">
        <v>0</v>
      </c>
      <c r="AX106" s="7">
        <v>10237.448</v>
      </c>
      <c r="AY106" s="7">
        <v>0</v>
      </c>
      <c r="AZ106" s="7">
        <v>39.377000000000002</v>
      </c>
      <c r="BA106" s="7">
        <v>0</v>
      </c>
      <c r="BB106" s="7">
        <v>317.46499999999997</v>
      </c>
      <c r="BC106" s="7">
        <v>0</v>
      </c>
      <c r="BD106" s="7">
        <v>0</v>
      </c>
      <c r="BE106" s="7">
        <v>0</v>
      </c>
      <c r="BF106" s="7">
        <v>682.57600000000002</v>
      </c>
      <c r="BG106" s="21"/>
    </row>
    <row r="107" spans="1:59" ht="15.6" x14ac:dyDescent="0.3">
      <c r="A107" s="5" t="s">
        <v>200</v>
      </c>
      <c r="B107" s="5" t="s">
        <v>201</v>
      </c>
      <c r="C107" s="7">
        <v>4</v>
      </c>
      <c r="D107" s="7">
        <v>4</v>
      </c>
      <c r="E107" s="7">
        <v>2133.0010000000002</v>
      </c>
      <c r="F107" s="7">
        <v>668.04200000000003</v>
      </c>
      <c r="G107" s="7">
        <v>2.109</v>
      </c>
      <c r="H107" s="7">
        <v>0</v>
      </c>
      <c r="I107" s="7">
        <v>33.201000000000001</v>
      </c>
      <c r="J107" s="7">
        <v>1.343</v>
      </c>
      <c r="K107" s="7">
        <v>2993.09</v>
      </c>
      <c r="L107" s="7">
        <v>173.99799999999999</v>
      </c>
      <c r="M107" s="7">
        <v>0</v>
      </c>
      <c r="N107" s="7">
        <v>330.83</v>
      </c>
      <c r="O107" s="7">
        <v>8108.46</v>
      </c>
      <c r="P107" s="7">
        <v>394.303</v>
      </c>
      <c r="Q107" s="7">
        <v>0</v>
      </c>
      <c r="R107" s="7">
        <v>5.4640000000000004</v>
      </c>
      <c r="S107" s="7">
        <v>0.34399999999999997</v>
      </c>
      <c r="T107" s="7">
        <v>6.2350000000000003</v>
      </c>
      <c r="U107" s="7">
        <v>0</v>
      </c>
      <c r="V107" s="7">
        <v>200.666</v>
      </c>
      <c r="W107" s="7">
        <v>0</v>
      </c>
      <c r="X107" s="7">
        <v>107.72199999999999</v>
      </c>
      <c r="Y107" s="7">
        <v>0</v>
      </c>
      <c r="Z107" s="7">
        <v>0.182</v>
      </c>
      <c r="AA107" s="7">
        <v>44.823999999999998</v>
      </c>
      <c r="AB107" s="7">
        <v>718.63400000000001</v>
      </c>
      <c r="AC107" s="7">
        <v>1211.3240000000001</v>
      </c>
      <c r="AD107" s="7">
        <v>0</v>
      </c>
      <c r="AE107" s="7">
        <v>1.339</v>
      </c>
      <c r="AF107" s="7">
        <v>225.137</v>
      </c>
      <c r="AG107" s="7">
        <v>107.30800000000001</v>
      </c>
      <c r="AH107" s="7">
        <v>0</v>
      </c>
      <c r="AI107" s="7">
        <v>2925.5329999999999</v>
      </c>
      <c r="AJ107" s="7">
        <v>1633.857</v>
      </c>
      <c r="AK107" s="7">
        <v>0</v>
      </c>
      <c r="AL107" s="7">
        <v>10144.893</v>
      </c>
      <c r="AM107" s="7">
        <v>3118.7280000000001</v>
      </c>
      <c r="AN107" s="7">
        <v>0</v>
      </c>
      <c r="AO107" s="7">
        <v>0</v>
      </c>
      <c r="AP107" s="7">
        <v>226.423</v>
      </c>
      <c r="AQ107" s="7">
        <v>100.084</v>
      </c>
      <c r="AR107" s="7">
        <v>0</v>
      </c>
      <c r="AS107" s="7">
        <v>0</v>
      </c>
      <c r="AT107" s="7">
        <v>0</v>
      </c>
      <c r="AU107" s="7">
        <v>4.1820000000000004</v>
      </c>
      <c r="AV107" s="7">
        <v>12.016</v>
      </c>
      <c r="AW107" s="7">
        <v>0</v>
      </c>
      <c r="AX107" s="7">
        <v>469.73</v>
      </c>
      <c r="AY107" s="7">
        <v>0</v>
      </c>
      <c r="AZ107" s="7">
        <v>1.8009999999999999</v>
      </c>
      <c r="BA107" s="7">
        <v>0</v>
      </c>
      <c r="BB107" s="7">
        <v>14.4</v>
      </c>
      <c r="BC107" s="7">
        <v>0</v>
      </c>
      <c r="BD107" s="7">
        <v>0</v>
      </c>
      <c r="BE107" s="7">
        <v>0</v>
      </c>
      <c r="BF107" s="7">
        <v>50.267000000000003</v>
      </c>
      <c r="BG107" s="21"/>
    </row>
    <row r="108" spans="1:59" ht="15.6" x14ac:dyDescent="0.3">
      <c r="A108" s="5" t="s">
        <v>202</v>
      </c>
      <c r="B108" s="5" t="s">
        <v>203</v>
      </c>
      <c r="C108" s="7">
        <v>4</v>
      </c>
      <c r="D108" s="7">
        <v>4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21"/>
    </row>
    <row r="109" spans="1:59" ht="15.6" x14ac:dyDescent="0.3">
      <c r="A109" s="5" t="s">
        <v>204</v>
      </c>
      <c r="B109" s="5" t="s">
        <v>205</v>
      </c>
      <c r="C109" s="7">
        <v>4</v>
      </c>
      <c r="D109" s="7">
        <v>4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21"/>
    </row>
    <row r="110" spans="1:59" ht="15.6" x14ac:dyDescent="0.3">
      <c r="A110" s="5" t="s">
        <v>206</v>
      </c>
      <c r="B110" s="5" t="s">
        <v>207</v>
      </c>
      <c r="C110" s="7">
        <v>6</v>
      </c>
      <c r="D110" s="7">
        <v>6</v>
      </c>
      <c r="E110" s="7">
        <v>48304.652000000002</v>
      </c>
      <c r="F110" s="7">
        <v>628.96199999999999</v>
      </c>
      <c r="G110" s="7">
        <v>1.681</v>
      </c>
      <c r="H110" s="7">
        <v>9.1530000000000005</v>
      </c>
      <c r="I110" s="7">
        <v>1.357</v>
      </c>
      <c r="J110" s="7">
        <v>2.0310000000000001</v>
      </c>
      <c r="K110" s="7">
        <v>64499.466</v>
      </c>
      <c r="L110" s="7">
        <v>570.20299999999997</v>
      </c>
      <c r="M110" s="7">
        <v>0</v>
      </c>
      <c r="N110" s="7">
        <v>19806.886999999999</v>
      </c>
      <c r="O110" s="7">
        <v>108198.463</v>
      </c>
      <c r="P110" s="7">
        <v>16941.422999999999</v>
      </c>
      <c r="Q110" s="7">
        <v>0</v>
      </c>
      <c r="R110" s="7">
        <v>0</v>
      </c>
      <c r="S110" s="7">
        <v>0.32</v>
      </c>
      <c r="T110" s="7">
        <v>0</v>
      </c>
      <c r="U110" s="7">
        <v>2E-3</v>
      </c>
      <c r="V110" s="7">
        <v>1.9870000000000001</v>
      </c>
      <c r="W110" s="7">
        <v>0</v>
      </c>
      <c r="X110" s="7">
        <v>0</v>
      </c>
      <c r="Y110" s="7">
        <v>0</v>
      </c>
      <c r="Z110" s="7">
        <v>0</v>
      </c>
      <c r="AA110" s="7">
        <v>0.44</v>
      </c>
      <c r="AB110" s="7">
        <v>0</v>
      </c>
      <c r="AC110" s="7">
        <v>24719.396000000001</v>
      </c>
      <c r="AD110" s="7">
        <v>0</v>
      </c>
      <c r="AE110" s="7">
        <v>0</v>
      </c>
      <c r="AF110" s="7">
        <v>0</v>
      </c>
      <c r="AG110" s="7">
        <v>1.0629999999999999</v>
      </c>
      <c r="AH110" s="7">
        <v>0</v>
      </c>
      <c r="AI110" s="7">
        <v>83695.434999999998</v>
      </c>
      <c r="AJ110" s="7">
        <v>836.42499999999995</v>
      </c>
      <c r="AK110" s="7">
        <v>0</v>
      </c>
      <c r="AL110" s="7">
        <v>199828.111</v>
      </c>
      <c r="AM110" s="7">
        <v>1068.45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4.1000000000000002E-2</v>
      </c>
      <c r="AV110" s="7">
        <v>0</v>
      </c>
      <c r="AW110" s="7">
        <v>0</v>
      </c>
      <c r="AX110" s="7">
        <v>4.6619999999999999</v>
      </c>
      <c r="AY110" s="7">
        <v>0</v>
      </c>
      <c r="AZ110" s="7">
        <v>2.4E-2</v>
      </c>
      <c r="BA110" s="7">
        <v>0</v>
      </c>
      <c r="BB110" s="7">
        <v>0.14199999999999999</v>
      </c>
      <c r="BC110" s="7">
        <v>0</v>
      </c>
      <c r="BD110" s="7">
        <v>0</v>
      </c>
      <c r="BE110" s="7">
        <v>0</v>
      </c>
      <c r="BF110" s="7">
        <v>0</v>
      </c>
      <c r="BG110" s="21"/>
    </row>
    <row r="111" spans="1:59" ht="15.6" x14ac:dyDescent="0.3">
      <c r="A111" s="5" t="s">
        <v>208</v>
      </c>
      <c r="B111" s="5" t="s">
        <v>209</v>
      </c>
      <c r="C111" s="7">
        <v>4</v>
      </c>
      <c r="D111" s="7">
        <v>4</v>
      </c>
      <c r="E111" s="7">
        <v>63644.159</v>
      </c>
      <c r="F111" s="7">
        <v>19938.11</v>
      </c>
      <c r="G111" s="7">
        <v>0</v>
      </c>
      <c r="H111" s="7">
        <v>0</v>
      </c>
      <c r="I111" s="7">
        <v>983.97400000000005</v>
      </c>
      <c r="J111" s="7">
        <v>0</v>
      </c>
      <c r="K111" s="7">
        <v>89207.345000000001</v>
      </c>
      <c r="L111" s="7">
        <v>5144.1279999999997</v>
      </c>
      <c r="M111" s="7">
        <v>0</v>
      </c>
      <c r="N111" s="7">
        <v>9749.1769999999997</v>
      </c>
      <c r="O111" s="7">
        <v>242669.152</v>
      </c>
      <c r="P111" s="7">
        <v>11664.764999999999</v>
      </c>
      <c r="Q111" s="7">
        <v>0</v>
      </c>
      <c r="R111" s="7">
        <v>0</v>
      </c>
      <c r="S111" s="7">
        <v>10.231999999999999</v>
      </c>
      <c r="T111" s="7">
        <v>0</v>
      </c>
      <c r="U111" s="7">
        <v>0</v>
      </c>
      <c r="V111" s="7">
        <v>5969.8720000000003</v>
      </c>
      <c r="W111" s="7">
        <v>0</v>
      </c>
      <c r="X111" s="7">
        <v>0</v>
      </c>
      <c r="Y111" s="7">
        <v>0</v>
      </c>
      <c r="Z111" s="7">
        <v>0</v>
      </c>
      <c r="AA111" s="7">
        <v>1323.8620000000001</v>
      </c>
      <c r="AB111" s="7">
        <v>0</v>
      </c>
      <c r="AC111" s="7">
        <v>36137.478999999999</v>
      </c>
      <c r="AD111" s="7">
        <v>0</v>
      </c>
      <c r="AE111" s="7">
        <v>0</v>
      </c>
      <c r="AF111" s="7">
        <v>33.49</v>
      </c>
      <c r="AG111" s="7">
        <v>3194.471</v>
      </c>
      <c r="AH111" s="7">
        <v>0</v>
      </c>
      <c r="AI111" s="7">
        <v>87435.915999999997</v>
      </c>
      <c r="AJ111" s="7">
        <v>48797.417999999998</v>
      </c>
      <c r="AK111" s="7">
        <v>0</v>
      </c>
      <c r="AL111" s="7">
        <v>303980.30200000003</v>
      </c>
      <c r="AM111" s="7">
        <v>93068.422999999995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124.732</v>
      </c>
      <c r="AV111" s="7">
        <v>0</v>
      </c>
      <c r="AW111" s="7">
        <v>0</v>
      </c>
      <c r="AX111" s="7">
        <v>14038.76</v>
      </c>
      <c r="AY111" s="7">
        <v>0</v>
      </c>
      <c r="AZ111" s="7">
        <v>53.594000000000001</v>
      </c>
      <c r="BA111" s="7">
        <v>0</v>
      </c>
      <c r="BB111" s="7">
        <v>539.39700000000005</v>
      </c>
      <c r="BC111" s="7">
        <v>0</v>
      </c>
      <c r="BD111" s="7">
        <v>0</v>
      </c>
      <c r="BE111" s="7">
        <v>22.846</v>
      </c>
      <c r="BF111" s="7">
        <v>0</v>
      </c>
      <c r="BG111" s="21"/>
    </row>
    <row r="112" spans="1:59" ht="15.6" x14ac:dyDescent="0.3">
      <c r="A112" s="5" t="s">
        <v>210</v>
      </c>
      <c r="B112" s="5" t="s">
        <v>211</v>
      </c>
      <c r="C112" s="7">
        <v>4</v>
      </c>
      <c r="D112" s="7">
        <v>4</v>
      </c>
      <c r="E112" s="7">
        <v>156932.58499999999</v>
      </c>
      <c r="F112" s="7">
        <v>43669.853000000003</v>
      </c>
      <c r="G112" s="7">
        <v>0</v>
      </c>
      <c r="H112" s="7">
        <v>0</v>
      </c>
      <c r="I112" s="7">
        <v>2223.0039999999999</v>
      </c>
      <c r="J112" s="7">
        <v>0</v>
      </c>
      <c r="K112" s="7">
        <v>228749.66</v>
      </c>
      <c r="L112" s="7">
        <v>18653.669000000002</v>
      </c>
      <c r="M112" s="7">
        <v>0</v>
      </c>
      <c r="N112" s="7">
        <v>23645.032999999999</v>
      </c>
      <c r="O112" s="7">
        <v>534770.63</v>
      </c>
      <c r="P112" s="7">
        <v>31232.003000000001</v>
      </c>
      <c r="Q112" s="7">
        <v>0</v>
      </c>
      <c r="R112" s="7">
        <v>0</v>
      </c>
      <c r="S112" s="7">
        <v>0.70899999999999996</v>
      </c>
      <c r="T112" s="7">
        <v>0</v>
      </c>
      <c r="U112" s="7">
        <v>0</v>
      </c>
      <c r="V112" s="7">
        <v>13046.476000000001</v>
      </c>
      <c r="W112" s="7">
        <v>0</v>
      </c>
      <c r="X112" s="7">
        <v>0</v>
      </c>
      <c r="Y112" s="7">
        <v>0</v>
      </c>
      <c r="Z112" s="7">
        <v>0</v>
      </c>
      <c r="AA112" s="7">
        <v>3680.8159999999998</v>
      </c>
      <c r="AB112" s="7">
        <v>0</v>
      </c>
      <c r="AC112" s="7">
        <v>83758.839000000007</v>
      </c>
      <c r="AD112" s="7">
        <v>0</v>
      </c>
      <c r="AE112" s="7">
        <v>0</v>
      </c>
      <c r="AF112" s="7">
        <v>28.082999999999998</v>
      </c>
      <c r="AG112" s="7">
        <v>7194.741</v>
      </c>
      <c r="AH112" s="7">
        <v>0</v>
      </c>
      <c r="AI112" s="7">
        <v>213334.68299999999</v>
      </c>
      <c r="AJ112" s="7">
        <v>104873.717</v>
      </c>
      <c r="AK112" s="7">
        <v>0</v>
      </c>
      <c r="AL112" s="7">
        <v>718636.36800000002</v>
      </c>
      <c r="AM112" s="7">
        <v>198185.91500000001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546.96900000000005</v>
      </c>
      <c r="AV112" s="7">
        <v>0</v>
      </c>
      <c r="AW112" s="7">
        <v>25625.821</v>
      </c>
      <c r="AX112" s="7">
        <v>29394.345000000001</v>
      </c>
      <c r="AY112" s="7">
        <v>12605.825000000001</v>
      </c>
      <c r="AZ112" s="7">
        <v>122.629</v>
      </c>
      <c r="BA112" s="7">
        <v>0</v>
      </c>
      <c r="BB112" s="7">
        <v>955.23500000000001</v>
      </c>
      <c r="BC112" s="7">
        <v>52076.7</v>
      </c>
      <c r="BD112" s="7">
        <v>45164.357000000004</v>
      </c>
      <c r="BE112" s="7">
        <v>24989.446</v>
      </c>
      <c r="BF112" s="7">
        <v>0</v>
      </c>
      <c r="BG112" s="21"/>
    </row>
    <row r="113" spans="1:59" ht="15.6" x14ac:dyDescent="0.3">
      <c r="A113" s="5" t="s">
        <v>212</v>
      </c>
      <c r="B113" s="5" t="s">
        <v>213</v>
      </c>
      <c r="C113" s="7">
        <v>4</v>
      </c>
      <c r="D113" s="7">
        <v>4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21"/>
    </row>
    <row r="114" spans="1:59" ht="15.6" x14ac:dyDescent="0.3">
      <c r="A114" s="5" t="s">
        <v>214</v>
      </c>
      <c r="B114" s="5" t="s">
        <v>215</v>
      </c>
      <c r="C114" s="7">
        <v>6</v>
      </c>
      <c r="D114" s="7">
        <v>6</v>
      </c>
      <c r="E114" s="7">
        <v>0</v>
      </c>
      <c r="F114" s="7">
        <v>41.573999999999998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0.71699999999999997</v>
      </c>
      <c r="O114" s="7">
        <v>-0.22700000000000001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348.36500000000001</v>
      </c>
      <c r="AJ114" s="7">
        <v>23.295999999999999</v>
      </c>
      <c r="AK114" s="7">
        <v>0</v>
      </c>
      <c r="AL114" s="7">
        <v>290.89999999999998</v>
      </c>
      <c r="AM114" s="7">
        <v>12.186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21"/>
    </row>
    <row r="115" spans="1:59" ht="15.6" x14ac:dyDescent="0.3">
      <c r="A115" s="5" t="s">
        <v>216</v>
      </c>
      <c r="B115" s="5" t="s">
        <v>217</v>
      </c>
      <c r="C115" s="7">
        <v>6</v>
      </c>
      <c r="D115" s="7">
        <v>6</v>
      </c>
      <c r="E115" s="7">
        <v>51229.078000000001</v>
      </c>
      <c r="F115" s="7">
        <v>1123.913</v>
      </c>
      <c r="G115" s="7">
        <v>0</v>
      </c>
      <c r="H115" s="7">
        <v>0</v>
      </c>
      <c r="I115" s="7">
        <v>74.159000000000006</v>
      </c>
      <c r="J115" s="7">
        <v>0</v>
      </c>
      <c r="K115" s="7">
        <v>53635.589</v>
      </c>
      <c r="L115" s="7">
        <v>4310.8230000000003</v>
      </c>
      <c r="M115" s="7">
        <v>0</v>
      </c>
      <c r="N115" s="7">
        <v>32989.218000000001</v>
      </c>
      <c r="O115" s="7">
        <v>173148.75599999999</v>
      </c>
      <c r="P115" s="7">
        <v>33767.178</v>
      </c>
      <c r="Q115" s="7">
        <v>0</v>
      </c>
      <c r="R115" s="7">
        <v>0</v>
      </c>
      <c r="S115" s="7">
        <v>24.72</v>
      </c>
      <c r="T115" s="7">
        <v>0</v>
      </c>
      <c r="U115" s="7">
        <v>24.72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247.197</v>
      </c>
      <c r="AB115" s="7">
        <v>0</v>
      </c>
      <c r="AC115" s="7">
        <v>16738.385999999999</v>
      </c>
      <c r="AD115" s="7">
        <v>0</v>
      </c>
      <c r="AE115" s="7">
        <v>2323.6559999999999</v>
      </c>
      <c r="AF115" s="7">
        <v>0</v>
      </c>
      <c r="AG115" s="7">
        <v>197.75800000000001</v>
      </c>
      <c r="AH115" s="7">
        <v>0</v>
      </c>
      <c r="AI115" s="7">
        <v>50045.739000000001</v>
      </c>
      <c r="AJ115" s="7">
        <v>109.392</v>
      </c>
      <c r="AK115" s="7">
        <v>0</v>
      </c>
      <c r="AL115" s="7">
        <v>202690.09299999999</v>
      </c>
      <c r="AM115" s="7">
        <v>74.150999999999996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21"/>
    </row>
    <row r="116" spans="1:59" ht="15.6" x14ac:dyDescent="0.3">
      <c r="A116" s="5" t="s">
        <v>218</v>
      </c>
      <c r="B116" s="5" t="s">
        <v>219</v>
      </c>
      <c r="C116" s="7">
        <v>4</v>
      </c>
      <c r="D116" s="7">
        <v>4</v>
      </c>
      <c r="E116" s="7">
        <v>16556.862000000001</v>
      </c>
      <c r="F116" s="7">
        <v>5191.3440000000001</v>
      </c>
      <c r="G116" s="7">
        <v>0</v>
      </c>
      <c r="H116" s="7">
        <v>12176.653</v>
      </c>
      <c r="I116" s="7">
        <v>256.84500000000003</v>
      </c>
      <c r="J116" s="7">
        <v>0</v>
      </c>
      <c r="K116" s="7">
        <v>23279.279999999999</v>
      </c>
      <c r="L116" s="7">
        <v>1341.1659999999999</v>
      </c>
      <c r="M116" s="7">
        <v>0</v>
      </c>
      <c r="N116" s="7">
        <v>2544.5810000000001</v>
      </c>
      <c r="O116" s="7">
        <v>63071.826000000001</v>
      </c>
      <c r="P116" s="7">
        <v>3039.395</v>
      </c>
      <c r="Q116" s="7">
        <v>0</v>
      </c>
      <c r="R116" s="7">
        <v>0</v>
      </c>
      <c r="S116" s="7">
        <v>2.6760000000000002</v>
      </c>
      <c r="T116" s="7">
        <v>0</v>
      </c>
      <c r="U116" s="7">
        <v>0</v>
      </c>
      <c r="V116" s="7">
        <v>1558.325</v>
      </c>
      <c r="W116" s="7">
        <v>0</v>
      </c>
      <c r="X116" s="7">
        <v>0</v>
      </c>
      <c r="Y116" s="7">
        <v>0</v>
      </c>
      <c r="Z116" s="7">
        <v>0</v>
      </c>
      <c r="AA116" s="7">
        <v>345.40800000000002</v>
      </c>
      <c r="AB116" s="7">
        <v>0</v>
      </c>
      <c r="AC116" s="7">
        <v>9417.5509999999995</v>
      </c>
      <c r="AD116" s="7">
        <v>0</v>
      </c>
      <c r="AE116" s="7">
        <v>0</v>
      </c>
      <c r="AF116" s="7">
        <v>0</v>
      </c>
      <c r="AG116" s="7">
        <v>833.79700000000003</v>
      </c>
      <c r="AH116" s="7">
        <v>7099.6049999999996</v>
      </c>
      <c r="AI116" s="7">
        <v>22754.061000000002</v>
      </c>
      <c r="AJ116" s="7">
        <v>12716.013000000001</v>
      </c>
      <c r="AK116" s="7">
        <v>34066.949999999997</v>
      </c>
      <c r="AL116" s="7">
        <v>78895.608999999997</v>
      </c>
      <c r="AM116" s="7">
        <v>24272.489000000001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32.488999999999997</v>
      </c>
      <c r="AV116" s="7">
        <v>0</v>
      </c>
      <c r="AW116" s="7">
        <v>0</v>
      </c>
      <c r="AX116" s="7">
        <v>3655.826</v>
      </c>
      <c r="AY116" s="7">
        <v>0</v>
      </c>
      <c r="AZ116" s="7">
        <v>13.987</v>
      </c>
      <c r="BA116" s="7">
        <v>0</v>
      </c>
      <c r="BB116" s="7">
        <v>2173.6880000000001</v>
      </c>
      <c r="BC116" s="7">
        <v>0</v>
      </c>
      <c r="BD116" s="7">
        <v>0</v>
      </c>
      <c r="BE116" s="7">
        <v>0</v>
      </c>
      <c r="BF116" s="7">
        <v>0</v>
      </c>
      <c r="BG116" s="21"/>
    </row>
    <row r="117" spans="1:59" ht="15.6" x14ac:dyDescent="0.3">
      <c r="A117" s="5" t="s">
        <v>220</v>
      </c>
      <c r="B117" s="5" t="s">
        <v>221</v>
      </c>
      <c r="C117" s="7">
        <v>4</v>
      </c>
      <c r="D117" s="7">
        <v>4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177010.77100000001</v>
      </c>
      <c r="AP117" s="7">
        <v>0</v>
      </c>
      <c r="AQ117" s="7">
        <v>0</v>
      </c>
      <c r="AR117" s="7">
        <v>110048.35</v>
      </c>
      <c r="AS117" s="7">
        <v>0</v>
      </c>
      <c r="AT117" s="7">
        <v>56218.73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1496.261</v>
      </c>
      <c r="BC117" s="7">
        <v>0</v>
      </c>
      <c r="BD117" s="7">
        <v>0</v>
      </c>
      <c r="BE117" s="7">
        <v>0</v>
      </c>
      <c r="BF117" s="7">
        <v>0</v>
      </c>
      <c r="BG117" s="21"/>
    </row>
    <row r="118" spans="1:59" ht="15.6" x14ac:dyDescent="0.3">
      <c r="A118" s="5" t="s">
        <v>222</v>
      </c>
      <c r="B118" s="5" t="s">
        <v>223</v>
      </c>
      <c r="C118" s="7">
        <v>4</v>
      </c>
      <c r="D118" s="7">
        <v>3</v>
      </c>
      <c r="E118" s="7">
        <v>0</v>
      </c>
      <c r="F118" s="7">
        <v>0</v>
      </c>
      <c r="G118" s="7">
        <v>284.072</v>
      </c>
      <c r="H118" s="7">
        <v>0</v>
      </c>
      <c r="I118" s="7">
        <v>0</v>
      </c>
      <c r="J118" s="7">
        <v>65.992999999999995</v>
      </c>
      <c r="K118" s="7">
        <v>0</v>
      </c>
      <c r="L118" s="7">
        <v>3337.5250000000001</v>
      </c>
      <c r="M118" s="7">
        <v>0</v>
      </c>
      <c r="N118" s="7">
        <v>0</v>
      </c>
      <c r="O118" s="7">
        <v>0</v>
      </c>
      <c r="P118" s="7">
        <v>0</v>
      </c>
      <c r="Q118" s="7">
        <v>2447.5279999999998</v>
      </c>
      <c r="R118" s="7">
        <v>0</v>
      </c>
      <c r="S118" s="7">
        <v>0</v>
      </c>
      <c r="T118" s="7">
        <v>190.56</v>
      </c>
      <c r="U118" s="7">
        <v>594.59500000000003</v>
      </c>
      <c r="V118" s="7">
        <v>0</v>
      </c>
      <c r="W118" s="7">
        <v>0</v>
      </c>
      <c r="X118" s="7">
        <v>890.71100000000001</v>
      </c>
      <c r="Y118" s="7">
        <v>0</v>
      </c>
      <c r="Z118" s="7">
        <v>0</v>
      </c>
      <c r="AA118" s="7">
        <v>2166.3000000000002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10586.081</v>
      </c>
      <c r="AI118" s="7">
        <v>0</v>
      </c>
      <c r="AJ118" s="7">
        <v>0</v>
      </c>
      <c r="AK118" s="7">
        <v>43972.728000000003</v>
      </c>
      <c r="AL118" s="7">
        <v>0</v>
      </c>
      <c r="AM118" s="7">
        <v>0</v>
      </c>
      <c r="AN118" s="7">
        <v>0</v>
      </c>
      <c r="AO118" s="7">
        <v>0</v>
      </c>
      <c r="AP118" s="7">
        <v>5367.2280000000001</v>
      </c>
      <c r="AQ118" s="7">
        <v>4650.5060000000003</v>
      </c>
      <c r="AR118" s="7">
        <v>0</v>
      </c>
      <c r="AS118" s="7">
        <v>0</v>
      </c>
      <c r="AT118" s="7">
        <v>0</v>
      </c>
      <c r="AU118" s="7">
        <v>0</v>
      </c>
      <c r="AV118" s="7">
        <v>398.48</v>
      </c>
      <c r="AW118" s="7">
        <v>0</v>
      </c>
      <c r="AX118" s="7">
        <v>0</v>
      </c>
      <c r="AY118" s="7">
        <v>0</v>
      </c>
      <c r="AZ118" s="7">
        <v>40.473999999999997</v>
      </c>
      <c r="BA118" s="7">
        <v>0</v>
      </c>
      <c r="BB118" s="7">
        <v>2059.761</v>
      </c>
      <c r="BC118" s="7">
        <v>0</v>
      </c>
      <c r="BD118" s="7">
        <v>0</v>
      </c>
      <c r="BE118" s="7">
        <v>0</v>
      </c>
      <c r="BF118" s="7">
        <v>0</v>
      </c>
      <c r="BG118" s="21"/>
    </row>
    <row r="119" spans="1:59" ht="15.6" x14ac:dyDescent="0.3">
      <c r="A119" s="5" t="s">
        <v>224</v>
      </c>
      <c r="B119" s="5" t="s">
        <v>225</v>
      </c>
      <c r="C119" s="7">
        <v>4</v>
      </c>
      <c r="D119" s="7">
        <v>3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21"/>
    </row>
    <row r="120" spans="1:59" ht="15.6" x14ac:dyDescent="0.3">
      <c r="A120" s="5" t="s">
        <v>226</v>
      </c>
      <c r="B120" s="5" t="s">
        <v>227</v>
      </c>
      <c r="C120" s="7">
        <v>4</v>
      </c>
      <c r="D120" s="7">
        <v>4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21"/>
    </row>
    <row r="121" spans="1:59" ht="15.6" x14ac:dyDescent="0.3">
      <c r="A121" s="5" t="s">
        <v>228</v>
      </c>
      <c r="B121" s="5" t="s">
        <v>229</v>
      </c>
      <c r="C121" s="7">
        <v>4</v>
      </c>
      <c r="D121" s="7">
        <v>6</v>
      </c>
      <c r="E121" s="7">
        <v>0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21"/>
    </row>
    <row r="122" spans="1:59" ht="15.6" x14ac:dyDescent="0.3">
      <c r="A122" s="5" t="s">
        <v>230</v>
      </c>
      <c r="B122" s="5" t="s">
        <v>231</v>
      </c>
      <c r="C122" s="7">
        <v>4</v>
      </c>
      <c r="D122" s="7">
        <v>4</v>
      </c>
      <c r="E122" s="7">
        <v>178478.27499999999</v>
      </c>
      <c r="F122" s="7">
        <v>49696.156999999999</v>
      </c>
      <c r="G122" s="7">
        <v>0</v>
      </c>
      <c r="H122" s="7">
        <v>0</v>
      </c>
      <c r="I122" s="7">
        <v>2471.3249999999998</v>
      </c>
      <c r="J122" s="7">
        <v>0</v>
      </c>
      <c r="K122" s="7">
        <v>257378.639</v>
      </c>
      <c r="L122" s="7">
        <v>21324.717000000001</v>
      </c>
      <c r="M122" s="7">
        <v>0</v>
      </c>
      <c r="N122" s="7">
        <v>25679.932000000001</v>
      </c>
      <c r="O122" s="7">
        <v>606593.22100000002</v>
      </c>
      <c r="P122" s="7">
        <v>34859.815000000002</v>
      </c>
      <c r="Q122" s="7">
        <v>0</v>
      </c>
      <c r="R122" s="7">
        <v>1297.837</v>
      </c>
      <c r="S122" s="7">
        <v>0</v>
      </c>
      <c r="T122" s="7">
        <v>800.97500000000002</v>
      </c>
      <c r="U122" s="7">
        <v>0</v>
      </c>
      <c r="V122" s="7">
        <v>14873.665999999999</v>
      </c>
      <c r="W122" s="7">
        <v>0</v>
      </c>
      <c r="X122" s="7">
        <v>12550.343000000001</v>
      </c>
      <c r="Y122" s="7">
        <v>0</v>
      </c>
      <c r="Z122" s="7">
        <v>0</v>
      </c>
      <c r="AA122" s="7">
        <v>4152.0259999999998</v>
      </c>
      <c r="AB122" s="7">
        <v>0</v>
      </c>
      <c r="AC122" s="7">
        <v>102353.788</v>
      </c>
      <c r="AD122" s="7">
        <v>20933.879000000001</v>
      </c>
      <c r="AE122" s="7">
        <v>0</v>
      </c>
      <c r="AF122" s="7">
        <v>33510.531000000003</v>
      </c>
      <c r="AG122" s="7">
        <v>8280.1589999999997</v>
      </c>
      <c r="AH122" s="7">
        <v>8248.3870000000006</v>
      </c>
      <c r="AI122" s="7">
        <v>261107.565</v>
      </c>
      <c r="AJ122" s="7">
        <v>120420.67600000001</v>
      </c>
      <c r="AK122" s="7">
        <v>35095.197</v>
      </c>
      <c r="AL122" s="7">
        <v>781875.86800000002</v>
      </c>
      <c r="AM122" s="7">
        <v>228897.98800000001</v>
      </c>
      <c r="AN122" s="7">
        <v>147026.465</v>
      </c>
      <c r="AO122" s="7">
        <v>1508705.125</v>
      </c>
      <c r="AP122" s="7">
        <v>28748.724999999999</v>
      </c>
      <c r="AQ122" s="7">
        <v>10040.849</v>
      </c>
      <c r="AR122" s="7">
        <v>937968.40700000001</v>
      </c>
      <c r="AS122" s="7">
        <v>0</v>
      </c>
      <c r="AT122" s="7">
        <v>479165.67200000002</v>
      </c>
      <c r="AU122" s="7">
        <v>678.12300000000005</v>
      </c>
      <c r="AV122" s="7">
        <v>1365.27</v>
      </c>
      <c r="AW122" s="7">
        <v>0</v>
      </c>
      <c r="AX122" s="7">
        <v>34882.758000000002</v>
      </c>
      <c r="AY122" s="7">
        <v>0</v>
      </c>
      <c r="AZ122" s="7">
        <v>149.798</v>
      </c>
      <c r="BA122" s="7">
        <v>0</v>
      </c>
      <c r="BB122" s="7">
        <v>1166.1379999999999</v>
      </c>
      <c r="BC122" s="7">
        <v>0</v>
      </c>
      <c r="BD122" s="7">
        <v>0</v>
      </c>
      <c r="BE122" s="7">
        <v>43093.938000000002</v>
      </c>
      <c r="BF122" s="7">
        <v>0</v>
      </c>
      <c r="BG122" s="21"/>
    </row>
    <row r="123" spans="1:59" ht="15.6" x14ac:dyDescent="0.3">
      <c r="A123" s="5" t="s">
        <v>232</v>
      </c>
      <c r="B123" s="5" t="s">
        <v>233</v>
      </c>
      <c r="C123" s="7">
        <v>4</v>
      </c>
      <c r="D123" s="7">
        <v>3</v>
      </c>
      <c r="E123" s="7">
        <v>2983.364</v>
      </c>
      <c r="F123" s="7">
        <v>977.76700000000005</v>
      </c>
      <c r="G123" s="7">
        <v>944.24900000000002</v>
      </c>
      <c r="H123" s="7">
        <v>365.79</v>
      </c>
      <c r="I123" s="7">
        <v>163.726</v>
      </c>
      <c r="J123" s="7">
        <v>848.86699999999996</v>
      </c>
      <c r="K123" s="7">
        <v>221.85499999999999</v>
      </c>
      <c r="L123" s="7">
        <v>739.61599999999999</v>
      </c>
      <c r="M123" s="7">
        <v>0</v>
      </c>
      <c r="N123" s="7">
        <v>2327.808</v>
      </c>
      <c r="O123" s="7">
        <v>5343.1890000000003</v>
      </c>
      <c r="P123" s="7">
        <v>2657.085</v>
      </c>
      <c r="Q123" s="7">
        <v>0</v>
      </c>
      <c r="R123" s="7">
        <v>0</v>
      </c>
      <c r="S123" s="7">
        <v>2E-3</v>
      </c>
      <c r="T123" s="7">
        <v>574.96400000000006</v>
      </c>
      <c r="U123" s="7">
        <v>628.88699999999994</v>
      </c>
      <c r="V123" s="7">
        <v>396.78699999999998</v>
      </c>
      <c r="W123" s="7">
        <v>0</v>
      </c>
      <c r="X123" s="7">
        <v>3764.683</v>
      </c>
      <c r="Y123" s="7">
        <v>0</v>
      </c>
      <c r="Z123" s="7">
        <v>95.38</v>
      </c>
      <c r="AA123" s="7">
        <v>179.98599999999999</v>
      </c>
      <c r="AB123" s="7">
        <v>0</v>
      </c>
      <c r="AC123" s="7">
        <v>371.84500000000003</v>
      </c>
      <c r="AD123" s="7">
        <v>17591.704000000002</v>
      </c>
      <c r="AE123" s="7">
        <v>1651.8050000000001</v>
      </c>
      <c r="AF123" s="7">
        <v>0</v>
      </c>
      <c r="AG123" s="7">
        <v>205.477</v>
      </c>
      <c r="AH123" s="7">
        <v>2274.366</v>
      </c>
      <c r="AI123" s="7">
        <v>5.7869999999999999</v>
      </c>
      <c r="AJ123" s="7">
        <v>15.012</v>
      </c>
      <c r="AK123" s="7">
        <v>6087.1760000000004</v>
      </c>
      <c r="AL123" s="7">
        <v>13374.307000000001</v>
      </c>
      <c r="AM123" s="7">
        <v>25.608000000000001</v>
      </c>
      <c r="AN123" s="7">
        <v>96321.226999999999</v>
      </c>
      <c r="AO123" s="7">
        <v>0</v>
      </c>
      <c r="AP123" s="7">
        <v>9036.5429999999997</v>
      </c>
      <c r="AQ123" s="7">
        <v>9239.0689999999995</v>
      </c>
      <c r="AR123" s="7">
        <v>0</v>
      </c>
      <c r="AS123" s="7">
        <v>0</v>
      </c>
      <c r="AT123" s="7">
        <v>0</v>
      </c>
      <c r="AU123" s="7">
        <v>22.69</v>
      </c>
      <c r="AV123" s="7">
        <v>1011.874</v>
      </c>
      <c r="AW123" s="7">
        <v>0</v>
      </c>
      <c r="AX123" s="7">
        <v>2.1059999999999999</v>
      </c>
      <c r="AY123" s="7">
        <v>0</v>
      </c>
      <c r="AZ123" s="7">
        <v>1.506</v>
      </c>
      <c r="BA123" s="7">
        <v>0</v>
      </c>
      <c r="BB123" s="7">
        <v>46.292999999999999</v>
      </c>
      <c r="BC123" s="7">
        <v>0</v>
      </c>
      <c r="BD123" s="7">
        <v>0</v>
      </c>
      <c r="BE123" s="7">
        <v>4305.6629999999996</v>
      </c>
      <c r="BF123" s="7">
        <v>0</v>
      </c>
      <c r="BG123" s="21"/>
    </row>
    <row r="124" spans="1:59" ht="15.6" x14ac:dyDescent="0.3">
      <c r="A124" s="5" t="s">
        <v>234</v>
      </c>
      <c r="B124" s="5" t="s">
        <v>235</v>
      </c>
      <c r="C124" s="7">
        <v>4</v>
      </c>
      <c r="D124" s="7">
        <v>4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21"/>
    </row>
    <row r="125" spans="1:59" ht="15.6" x14ac:dyDescent="0.3">
      <c r="A125" s="5" t="s">
        <v>228</v>
      </c>
      <c r="B125" s="5" t="s">
        <v>236</v>
      </c>
      <c r="C125" s="7">
        <v>4</v>
      </c>
      <c r="D125" s="7">
        <v>6</v>
      </c>
      <c r="E125" s="7">
        <v>0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21"/>
    </row>
    <row r="126" spans="1:59" ht="15.6" x14ac:dyDescent="0.3">
      <c r="A126" s="5" t="s">
        <v>237</v>
      </c>
      <c r="B126" s="5" t="s">
        <v>238</v>
      </c>
      <c r="C126" s="7">
        <v>4</v>
      </c>
      <c r="D126" s="7">
        <v>4</v>
      </c>
      <c r="E126" s="7">
        <v>6372.326</v>
      </c>
      <c r="F126" s="7">
        <v>2050.9630000000002</v>
      </c>
      <c r="G126" s="7">
        <v>207.74600000000001</v>
      </c>
      <c r="H126" s="7">
        <v>944.2</v>
      </c>
      <c r="I126" s="7">
        <v>330.37700000000001</v>
      </c>
      <c r="J126" s="7">
        <v>1573.7429999999999</v>
      </c>
      <c r="K126" s="7">
        <v>573.56799999999998</v>
      </c>
      <c r="L126" s="7">
        <v>1672.625</v>
      </c>
      <c r="M126" s="7">
        <v>0</v>
      </c>
      <c r="N126" s="7">
        <v>5588.3010000000004</v>
      </c>
      <c r="O126" s="7">
        <v>10323.263999999999</v>
      </c>
      <c r="P126" s="7">
        <v>5999.9059999999999</v>
      </c>
      <c r="Q126" s="7">
        <v>0</v>
      </c>
      <c r="R126" s="7">
        <v>0</v>
      </c>
      <c r="S126" s="7">
        <v>1.2999999999999999E-2</v>
      </c>
      <c r="T126" s="7">
        <v>0</v>
      </c>
      <c r="U126" s="7">
        <v>95.814999999999998</v>
      </c>
      <c r="V126" s="7">
        <v>817.24599999999998</v>
      </c>
      <c r="W126" s="7">
        <v>0</v>
      </c>
      <c r="X126" s="7">
        <v>0</v>
      </c>
      <c r="Y126" s="7">
        <v>0</v>
      </c>
      <c r="Z126" s="7">
        <v>144.39099999999999</v>
      </c>
      <c r="AA126" s="7">
        <v>460.26299999999998</v>
      </c>
      <c r="AB126" s="7">
        <v>0</v>
      </c>
      <c r="AC126" s="7">
        <v>411.45299999999997</v>
      </c>
      <c r="AD126" s="7">
        <v>0</v>
      </c>
      <c r="AE126" s="7">
        <v>3239.2919999999999</v>
      </c>
      <c r="AF126" s="7">
        <v>0</v>
      </c>
      <c r="AG126" s="7">
        <v>363.12599999999998</v>
      </c>
      <c r="AH126" s="7">
        <v>0</v>
      </c>
      <c r="AI126" s="7">
        <v>10.531000000000001</v>
      </c>
      <c r="AJ126" s="7">
        <v>38.752000000000002</v>
      </c>
      <c r="AK126" s="7">
        <v>0</v>
      </c>
      <c r="AL126" s="7">
        <v>23398.91</v>
      </c>
      <c r="AM126" s="7">
        <v>66.103999999999999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42.027000000000001</v>
      </c>
      <c r="AV126" s="7">
        <v>0</v>
      </c>
      <c r="AW126" s="7">
        <v>0</v>
      </c>
      <c r="AX126" s="7">
        <v>5.4340000000000002</v>
      </c>
      <c r="AY126" s="7">
        <v>0</v>
      </c>
      <c r="AZ126" s="7">
        <v>2.956</v>
      </c>
      <c r="BA126" s="7">
        <v>0</v>
      </c>
      <c r="BB126" s="7">
        <v>0.54100000000000004</v>
      </c>
      <c r="BC126" s="7">
        <v>0</v>
      </c>
      <c r="BD126" s="7">
        <v>0</v>
      </c>
      <c r="BE126" s="7">
        <v>2760.3739999999998</v>
      </c>
      <c r="BF126" s="7">
        <v>0</v>
      </c>
      <c r="BG126" s="21"/>
    </row>
    <row r="127" spans="1:59" ht="15.6" x14ac:dyDescent="0.3">
      <c r="A127" s="5" t="s">
        <v>239</v>
      </c>
      <c r="B127" s="5" t="s">
        <v>240</v>
      </c>
      <c r="C127" s="7">
        <v>4</v>
      </c>
      <c r="D127" s="7">
        <v>3</v>
      </c>
      <c r="E127" s="7">
        <v>6394.3710000000001</v>
      </c>
      <c r="F127" s="7">
        <v>2059.422</v>
      </c>
      <c r="G127" s="7">
        <v>206.15799999999999</v>
      </c>
      <c r="H127" s="7">
        <v>948.447</v>
      </c>
      <c r="I127" s="7">
        <v>331.49</v>
      </c>
      <c r="J127" s="7">
        <v>1580.098</v>
      </c>
      <c r="K127" s="7">
        <v>574.75300000000004</v>
      </c>
      <c r="L127" s="7">
        <v>1676.646</v>
      </c>
      <c r="M127" s="7">
        <v>0</v>
      </c>
      <c r="N127" s="7">
        <v>5605.7209999999995</v>
      </c>
      <c r="O127" s="7">
        <v>10366.307000000001</v>
      </c>
      <c r="P127" s="7">
        <v>6023.27</v>
      </c>
      <c r="Q127" s="7">
        <v>0</v>
      </c>
      <c r="R127" s="7">
        <v>0</v>
      </c>
      <c r="S127" s="7">
        <v>8.9999999999999993E-3</v>
      </c>
      <c r="T127" s="7">
        <v>0</v>
      </c>
      <c r="U127" s="7">
        <v>0.24199999999999999</v>
      </c>
      <c r="V127" s="7">
        <v>820.39200000000005</v>
      </c>
      <c r="W127" s="7">
        <v>0</v>
      </c>
      <c r="X127" s="7">
        <v>0</v>
      </c>
      <c r="Y127" s="7">
        <v>0</v>
      </c>
      <c r="Z127" s="7">
        <v>144.71799999999999</v>
      </c>
      <c r="AA127" s="7">
        <v>461.262</v>
      </c>
      <c r="AB127" s="7">
        <v>0</v>
      </c>
      <c r="AC127" s="7">
        <v>411.70600000000002</v>
      </c>
      <c r="AD127" s="7">
        <v>0</v>
      </c>
      <c r="AE127" s="7">
        <v>3249.6860000000001</v>
      </c>
      <c r="AF127" s="7">
        <v>0</v>
      </c>
      <c r="AG127" s="7">
        <v>364.553</v>
      </c>
      <c r="AH127" s="7">
        <v>0</v>
      </c>
      <c r="AI127" s="7">
        <v>16.559000000000001</v>
      </c>
      <c r="AJ127" s="7">
        <v>38.926000000000002</v>
      </c>
      <c r="AK127" s="7">
        <v>0</v>
      </c>
      <c r="AL127" s="7">
        <v>23497.087</v>
      </c>
      <c r="AM127" s="7">
        <v>66.402000000000001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42.192999999999998</v>
      </c>
      <c r="AV127" s="7">
        <v>0</v>
      </c>
      <c r="AW127" s="7">
        <v>0</v>
      </c>
      <c r="AX127" s="7">
        <v>5.4580000000000002</v>
      </c>
      <c r="AY127" s="7">
        <v>0</v>
      </c>
      <c r="AZ127" s="7">
        <v>2.9670000000000001</v>
      </c>
      <c r="BA127" s="7">
        <v>0</v>
      </c>
      <c r="BB127" s="7">
        <v>0.41299999999999998</v>
      </c>
      <c r="BC127" s="7">
        <v>0</v>
      </c>
      <c r="BD127" s="7">
        <v>0</v>
      </c>
      <c r="BE127" s="7">
        <v>2772.79</v>
      </c>
      <c r="BF127" s="7">
        <v>0</v>
      </c>
      <c r="BG127" s="21"/>
    </row>
    <row r="128" spans="1:59" ht="15.6" x14ac:dyDescent="0.3">
      <c r="A128" s="5" t="s">
        <v>241</v>
      </c>
      <c r="B128" s="5" t="s">
        <v>242</v>
      </c>
      <c r="C128" s="7">
        <v>2</v>
      </c>
      <c r="D128" s="7">
        <v>2</v>
      </c>
      <c r="E128" s="7">
        <v>34883.557999999997</v>
      </c>
      <c r="F128" s="7">
        <v>11641.119000000001</v>
      </c>
      <c r="G128" s="7">
        <v>11481.476000000001</v>
      </c>
      <c r="H128" s="7">
        <v>0</v>
      </c>
      <c r="I128" s="7">
        <v>2279.1640000000002</v>
      </c>
      <c r="J128" s="7">
        <v>8944.3459999999995</v>
      </c>
      <c r="K128" s="7">
        <v>64534.58</v>
      </c>
      <c r="L128" s="7">
        <v>11721.165000000001</v>
      </c>
      <c r="M128" s="7">
        <v>0</v>
      </c>
      <c r="N128" s="7">
        <v>20645.498</v>
      </c>
      <c r="O128" s="7">
        <v>49650.436999999998</v>
      </c>
      <c r="P128" s="7">
        <v>30897.016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3603.105</v>
      </c>
      <c r="W128" s="7">
        <v>0</v>
      </c>
      <c r="X128" s="7">
        <v>0</v>
      </c>
      <c r="Y128" s="7">
        <v>0</v>
      </c>
      <c r="Z128" s="7">
        <v>1215.6030000000001</v>
      </c>
      <c r="AA128" s="7">
        <v>3259.4270000000001</v>
      </c>
      <c r="AB128" s="7">
        <v>0</v>
      </c>
      <c r="AC128" s="7">
        <v>10774.255999999999</v>
      </c>
      <c r="AD128" s="7">
        <v>0</v>
      </c>
      <c r="AE128" s="7">
        <v>11099.933000000001</v>
      </c>
      <c r="AF128" s="7">
        <v>0</v>
      </c>
      <c r="AG128" s="7">
        <v>1596.8019999999999</v>
      </c>
      <c r="AH128" s="7">
        <v>0</v>
      </c>
      <c r="AI128" s="7">
        <v>27804.883999999998</v>
      </c>
      <c r="AJ128" s="7">
        <v>0</v>
      </c>
      <c r="AK128" s="7">
        <v>0</v>
      </c>
      <c r="AL128" s="7">
        <v>100490.068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91.036000000000001</v>
      </c>
      <c r="AV128" s="7">
        <v>0</v>
      </c>
      <c r="AW128" s="7">
        <v>0</v>
      </c>
      <c r="AX128" s="7">
        <v>0</v>
      </c>
      <c r="AY128" s="7">
        <v>0</v>
      </c>
      <c r="AZ128" s="7">
        <v>4.327</v>
      </c>
      <c r="BA128" s="7">
        <v>0</v>
      </c>
      <c r="BB128" s="7">
        <v>0</v>
      </c>
      <c r="BC128" s="7">
        <v>0</v>
      </c>
      <c r="BD128" s="7">
        <v>0</v>
      </c>
      <c r="BE128" s="7">
        <v>23.082000000000001</v>
      </c>
      <c r="BF128" s="7">
        <v>0</v>
      </c>
      <c r="BG128" s="21"/>
    </row>
    <row r="129" spans="1:59" ht="15.6" x14ac:dyDescent="0.3">
      <c r="A129" s="5" t="s">
        <v>243</v>
      </c>
      <c r="B129" s="5" t="s">
        <v>244</v>
      </c>
      <c r="C129" s="7">
        <v>4</v>
      </c>
      <c r="D129" s="7">
        <v>4</v>
      </c>
      <c r="E129" s="7">
        <v>34358.133000000002</v>
      </c>
      <c r="F129" s="7">
        <v>9567.0619999999999</v>
      </c>
      <c r="G129" s="7">
        <v>0</v>
      </c>
      <c r="H129" s="7">
        <v>0</v>
      </c>
      <c r="I129" s="7">
        <v>475.70499999999998</v>
      </c>
      <c r="J129" s="7">
        <v>0</v>
      </c>
      <c r="K129" s="7">
        <v>49543.430999999997</v>
      </c>
      <c r="L129" s="7">
        <v>4105.09</v>
      </c>
      <c r="M129" s="7">
        <v>0</v>
      </c>
      <c r="N129" s="7">
        <v>4942.067</v>
      </c>
      <c r="O129" s="7">
        <v>116773.478</v>
      </c>
      <c r="P129" s="7">
        <v>6709.835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2863.4029999999998</v>
      </c>
      <c r="W129" s="7">
        <v>0</v>
      </c>
      <c r="X129" s="7">
        <v>0</v>
      </c>
      <c r="Y129" s="7">
        <v>0</v>
      </c>
      <c r="Z129" s="7">
        <v>0</v>
      </c>
      <c r="AA129" s="7">
        <v>799.29300000000001</v>
      </c>
      <c r="AB129" s="7">
        <v>0</v>
      </c>
      <c r="AC129" s="7">
        <v>19712.379000000001</v>
      </c>
      <c r="AD129" s="7">
        <v>0</v>
      </c>
      <c r="AE129" s="7">
        <v>0</v>
      </c>
      <c r="AF129" s="7">
        <v>6.7990000000000004</v>
      </c>
      <c r="AG129" s="7">
        <v>1594.0909999999999</v>
      </c>
      <c r="AH129" s="7">
        <v>0</v>
      </c>
      <c r="AI129" s="7">
        <v>50286.701999999997</v>
      </c>
      <c r="AJ129" s="7">
        <v>23183.708999999999</v>
      </c>
      <c r="AK129" s="7">
        <v>0</v>
      </c>
      <c r="AL129" s="7">
        <v>150475.31400000001</v>
      </c>
      <c r="AM129" s="7">
        <v>44069.71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130.65100000000001</v>
      </c>
      <c r="AV129" s="7">
        <v>0</v>
      </c>
      <c r="AW129" s="7">
        <v>0</v>
      </c>
      <c r="AX129" s="7">
        <v>6717.1120000000001</v>
      </c>
      <c r="AY129" s="7">
        <v>0</v>
      </c>
      <c r="AZ129" s="7">
        <v>28.922999999999998</v>
      </c>
      <c r="BA129" s="7">
        <v>0</v>
      </c>
      <c r="BB129" s="7">
        <v>223.98500000000001</v>
      </c>
      <c r="BC129" s="7">
        <v>0</v>
      </c>
      <c r="BD129" s="7">
        <v>0</v>
      </c>
      <c r="BE129" s="7">
        <v>6062.0889999999999</v>
      </c>
      <c r="BF129" s="7">
        <v>0</v>
      </c>
      <c r="BG129" s="21"/>
    </row>
    <row r="130" spans="1:59" ht="15.6" x14ac:dyDescent="0.3">
      <c r="A130" s="5" t="s">
        <v>245</v>
      </c>
      <c r="B130" s="5" t="s">
        <v>246</v>
      </c>
      <c r="C130" s="7">
        <v>4</v>
      </c>
      <c r="D130" s="7">
        <v>6</v>
      </c>
      <c r="E130" s="7">
        <v>2921.8310000000001</v>
      </c>
      <c r="F130" s="7">
        <v>836.89099999999996</v>
      </c>
      <c r="G130" s="7">
        <v>16.943000000000001</v>
      </c>
      <c r="H130" s="7">
        <v>78.989000000000004</v>
      </c>
      <c r="I130" s="7">
        <v>60.692999999999998</v>
      </c>
      <c r="J130" s="7">
        <v>131.357</v>
      </c>
      <c r="K130" s="7">
        <v>3493.7939999999999</v>
      </c>
      <c r="L130" s="7">
        <v>425.15600000000001</v>
      </c>
      <c r="M130" s="7">
        <v>0</v>
      </c>
      <c r="N130" s="7">
        <v>810.60299999999995</v>
      </c>
      <c r="O130" s="7">
        <v>8985.232</v>
      </c>
      <c r="P130" s="7">
        <v>968.01499999999999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267.483</v>
      </c>
      <c r="W130" s="7">
        <v>0</v>
      </c>
      <c r="X130" s="7">
        <v>0</v>
      </c>
      <c r="Y130" s="7">
        <v>0</v>
      </c>
      <c r="Z130" s="7">
        <v>12.052</v>
      </c>
      <c r="AA130" s="7">
        <v>94.004999999999995</v>
      </c>
      <c r="AB130" s="7">
        <v>0</v>
      </c>
      <c r="AC130" s="7">
        <v>1405.3530000000001</v>
      </c>
      <c r="AD130" s="7">
        <v>0</v>
      </c>
      <c r="AE130" s="7">
        <v>270.64299999999997</v>
      </c>
      <c r="AF130" s="7">
        <v>0.47399999999999998</v>
      </c>
      <c r="AG130" s="7">
        <v>141.238</v>
      </c>
      <c r="AH130" s="7">
        <v>0</v>
      </c>
      <c r="AI130" s="7">
        <v>3498.2</v>
      </c>
      <c r="AJ130" s="7">
        <v>1615.7529999999999</v>
      </c>
      <c r="AK130" s="7">
        <v>0</v>
      </c>
      <c r="AL130" s="7">
        <v>12422.183999999999</v>
      </c>
      <c r="AM130" s="7">
        <v>3070.7379999999998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12.598000000000001</v>
      </c>
      <c r="AV130" s="7">
        <v>0</v>
      </c>
      <c r="AW130" s="7">
        <v>0</v>
      </c>
      <c r="AX130" s="7">
        <v>467.65100000000001</v>
      </c>
      <c r="AY130" s="7">
        <v>0</v>
      </c>
      <c r="AZ130" s="7">
        <v>2.254</v>
      </c>
      <c r="BA130" s="7">
        <v>0</v>
      </c>
      <c r="BB130" s="7">
        <v>15.654999999999999</v>
      </c>
      <c r="BC130" s="7">
        <v>0</v>
      </c>
      <c r="BD130" s="7">
        <v>0</v>
      </c>
      <c r="BE130" s="7">
        <v>652.56600000000003</v>
      </c>
      <c r="BF130" s="7">
        <v>0</v>
      </c>
      <c r="BG130" s="21"/>
    </row>
    <row r="131" spans="1:59" ht="15.6" x14ac:dyDescent="0.3">
      <c r="A131" s="5" t="s">
        <v>247</v>
      </c>
      <c r="B131" s="5" t="s">
        <v>248</v>
      </c>
      <c r="C131" s="7">
        <v>6</v>
      </c>
      <c r="D131" s="7">
        <v>6</v>
      </c>
      <c r="E131" s="7">
        <v>28277.442999999999</v>
      </c>
      <c r="F131" s="7">
        <v>469.00099999999998</v>
      </c>
      <c r="G131" s="7">
        <v>0</v>
      </c>
      <c r="H131" s="7">
        <v>0</v>
      </c>
      <c r="I131" s="7">
        <v>0</v>
      </c>
      <c r="J131" s="7">
        <v>0</v>
      </c>
      <c r="K131" s="7">
        <v>19255.153999999999</v>
      </c>
      <c r="L131" s="7">
        <v>1703.0219999999999</v>
      </c>
      <c r="M131" s="7">
        <v>0</v>
      </c>
      <c r="N131" s="7">
        <v>11644.18</v>
      </c>
      <c r="O131" s="7">
        <v>72642.074999999997</v>
      </c>
      <c r="P131" s="7">
        <v>9139.1589999999997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3260.2550000000001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20025.256000000001</v>
      </c>
      <c r="AJ131" s="7">
        <v>112.88</v>
      </c>
      <c r="AK131" s="7">
        <v>0</v>
      </c>
      <c r="AL131" s="7">
        <v>82917.642000000007</v>
      </c>
      <c r="AM131" s="7">
        <v>72.031999999999996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21"/>
    </row>
    <row r="132" spans="1:59" ht="15.6" x14ac:dyDescent="0.3">
      <c r="A132" s="5" t="s">
        <v>249</v>
      </c>
      <c r="B132" s="5" t="s">
        <v>250</v>
      </c>
      <c r="C132" s="7">
        <v>6</v>
      </c>
      <c r="D132" s="7">
        <v>6</v>
      </c>
      <c r="E132" s="7">
        <v>18375.240000000002</v>
      </c>
      <c r="F132" s="7">
        <v>2110.643</v>
      </c>
      <c r="G132" s="7">
        <v>3085.2150000000001</v>
      </c>
      <c r="H132" s="7">
        <v>0</v>
      </c>
      <c r="I132" s="7">
        <v>536.44899999999996</v>
      </c>
      <c r="J132" s="7">
        <v>1811.7</v>
      </c>
      <c r="K132" s="7">
        <v>15166.514999999999</v>
      </c>
      <c r="L132" s="7">
        <v>2226.0320000000002</v>
      </c>
      <c r="M132" s="7">
        <v>0</v>
      </c>
      <c r="N132" s="7">
        <v>12497.12</v>
      </c>
      <c r="O132" s="7">
        <v>40011.802000000003</v>
      </c>
      <c r="P132" s="7">
        <v>6994.2619999999997</v>
      </c>
      <c r="Q132" s="7">
        <v>0</v>
      </c>
      <c r="R132" s="7">
        <v>0</v>
      </c>
      <c r="S132" s="7">
        <v>104.492</v>
      </c>
      <c r="T132" s="7">
        <v>0</v>
      </c>
      <c r="U132" s="7">
        <v>3.1789999999999998</v>
      </c>
      <c r="V132" s="7">
        <v>0</v>
      </c>
      <c r="W132" s="7">
        <v>0</v>
      </c>
      <c r="X132" s="7">
        <v>0</v>
      </c>
      <c r="Y132" s="7">
        <v>0</v>
      </c>
      <c r="Z132" s="7">
        <v>227.65199999999999</v>
      </c>
      <c r="AA132" s="7">
        <v>755.04600000000005</v>
      </c>
      <c r="AB132" s="7">
        <v>0</v>
      </c>
      <c r="AC132" s="7">
        <v>6097.4620000000004</v>
      </c>
      <c r="AD132" s="7">
        <v>0</v>
      </c>
      <c r="AE132" s="7">
        <v>2106.402</v>
      </c>
      <c r="AF132" s="7">
        <v>0</v>
      </c>
      <c r="AG132" s="7">
        <v>356.32100000000003</v>
      </c>
      <c r="AH132" s="7">
        <v>0</v>
      </c>
      <c r="AI132" s="7">
        <v>20192.038</v>
      </c>
      <c r="AJ132" s="7">
        <v>0</v>
      </c>
      <c r="AK132" s="7">
        <v>0</v>
      </c>
      <c r="AL132" s="7">
        <v>41494.142999999996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21"/>
    </row>
    <row r="133" spans="1:59" ht="15.6" x14ac:dyDescent="0.3">
      <c r="A133" s="5" t="s">
        <v>251</v>
      </c>
      <c r="B133" s="5" t="s">
        <v>252</v>
      </c>
      <c r="C133" s="7">
        <v>6</v>
      </c>
      <c r="D133" s="7">
        <v>6</v>
      </c>
      <c r="E133" s="7">
        <v>8035.5330000000004</v>
      </c>
      <c r="F133" s="7">
        <v>1536.942</v>
      </c>
      <c r="G133" s="7">
        <v>718.87699999999995</v>
      </c>
      <c r="H133" s="7">
        <v>0</v>
      </c>
      <c r="I133" s="7">
        <v>126.82299999999999</v>
      </c>
      <c r="J133" s="7">
        <v>457.63600000000002</v>
      </c>
      <c r="K133" s="7">
        <v>6014.4129999999996</v>
      </c>
      <c r="L133" s="7">
        <v>1963.6369999999999</v>
      </c>
      <c r="M133" s="7">
        <v>0</v>
      </c>
      <c r="N133" s="7">
        <v>4535.4279999999999</v>
      </c>
      <c r="O133" s="7">
        <v>29002.684000000001</v>
      </c>
      <c r="P133" s="7">
        <v>2637.7359999999999</v>
      </c>
      <c r="Q133" s="7">
        <v>0</v>
      </c>
      <c r="R133" s="7">
        <v>0</v>
      </c>
      <c r="S133" s="7">
        <v>0.73599999999999999</v>
      </c>
      <c r="T133" s="7">
        <v>0</v>
      </c>
      <c r="U133" s="7">
        <v>0</v>
      </c>
      <c r="V133" s="7">
        <v>507.34199999999998</v>
      </c>
      <c r="W133" s="7">
        <v>0</v>
      </c>
      <c r="X133" s="7">
        <v>0</v>
      </c>
      <c r="Y133" s="7">
        <v>0</v>
      </c>
      <c r="Z133" s="7">
        <v>61.887999999999998</v>
      </c>
      <c r="AA133" s="7">
        <v>230.19399999999999</v>
      </c>
      <c r="AB133" s="7">
        <v>0</v>
      </c>
      <c r="AC133" s="7">
        <v>2596.7159999999999</v>
      </c>
      <c r="AD133" s="7">
        <v>0</v>
      </c>
      <c r="AE133" s="7">
        <v>657.99199999999996</v>
      </c>
      <c r="AF133" s="7">
        <v>0</v>
      </c>
      <c r="AG133" s="7">
        <v>250.92400000000001</v>
      </c>
      <c r="AH133" s="7">
        <v>0</v>
      </c>
      <c r="AI133" s="7">
        <v>6887.9629999999997</v>
      </c>
      <c r="AJ133" s="7">
        <v>2917.172</v>
      </c>
      <c r="AK133" s="7">
        <v>0</v>
      </c>
      <c r="AL133" s="7">
        <v>26349.420999999998</v>
      </c>
      <c r="AM133" s="7">
        <v>5568.3360000000002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9.8940000000000001</v>
      </c>
      <c r="AV133" s="7">
        <v>0</v>
      </c>
      <c r="AW133" s="7">
        <v>0</v>
      </c>
      <c r="AX133" s="7">
        <v>838.68100000000004</v>
      </c>
      <c r="AY133" s="7">
        <v>0</v>
      </c>
      <c r="AZ133" s="7">
        <v>4.5860000000000003</v>
      </c>
      <c r="BA133" s="7">
        <v>0</v>
      </c>
      <c r="BB133" s="7">
        <v>66.39</v>
      </c>
      <c r="BC133" s="7">
        <v>0</v>
      </c>
      <c r="BD133" s="7">
        <v>0</v>
      </c>
      <c r="BE133" s="7">
        <v>0</v>
      </c>
      <c r="BF133" s="7">
        <v>0</v>
      </c>
      <c r="BG133" s="21"/>
    </row>
    <row r="134" spans="1:59" ht="15.6" x14ac:dyDescent="0.3">
      <c r="A134" s="5" t="s">
        <v>253</v>
      </c>
      <c r="B134" s="5" t="s">
        <v>254</v>
      </c>
      <c r="C134" s="7">
        <v>6</v>
      </c>
      <c r="D134" s="7">
        <v>6</v>
      </c>
      <c r="E134" s="7">
        <v>89344.995999999999</v>
      </c>
      <c r="F134" s="7">
        <v>10338.046</v>
      </c>
      <c r="G134" s="7">
        <v>3817.288</v>
      </c>
      <c r="H134" s="7">
        <v>6404.4520000000002</v>
      </c>
      <c r="I134" s="7">
        <v>581.43799999999999</v>
      </c>
      <c r="J134" s="7">
        <v>2747.77</v>
      </c>
      <c r="K134" s="7">
        <v>116297.227</v>
      </c>
      <c r="L134" s="7">
        <v>7964.2160000000003</v>
      </c>
      <c r="M134" s="7">
        <v>0</v>
      </c>
      <c r="N134" s="7">
        <v>53475.213000000003</v>
      </c>
      <c r="O134" s="7">
        <v>287986.57</v>
      </c>
      <c r="P134" s="7">
        <v>49774.29</v>
      </c>
      <c r="Q134" s="7">
        <v>0</v>
      </c>
      <c r="R134" s="7">
        <v>0</v>
      </c>
      <c r="S134" s="7">
        <v>94.869</v>
      </c>
      <c r="T134" s="7">
        <v>0</v>
      </c>
      <c r="U134" s="7">
        <v>94.41</v>
      </c>
      <c r="V134" s="7">
        <v>3130.8009999999999</v>
      </c>
      <c r="W134" s="7">
        <v>0</v>
      </c>
      <c r="X134" s="7">
        <v>0</v>
      </c>
      <c r="Y134" s="7">
        <v>0</v>
      </c>
      <c r="Z134" s="7">
        <v>206.68600000000001</v>
      </c>
      <c r="AA134" s="7">
        <v>685.50900000000001</v>
      </c>
      <c r="AB134" s="7">
        <v>0</v>
      </c>
      <c r="AC134" s="7">
        <v>10653.522000000001</v>
      </c>
      <c r="AD134" s="7">
        <v>0</v>
      </c>
      <c r="AE134" s="7">
        <v>1912.4090000000001</v>
      </c>
      <c r="AF134" s="7">
        <v>0</v>
      </c>
      <c r="AG134" s="7">
        <v>323.505</v>
      </c>
      <c r="AH134" s="7">
        <v>0</v>
      </c>
      <c r="AI134" s="7">
        <v>52516.978000000003</v>
      </c>
      <c r="AJ134" s="7">
        <v>105.371</v>
      </c>
      <c r="AK134" s="7">
        <v>0</v>
      </c>
      <c r="AL134" s="7">
        <v>230648.823</v>
      </c>
      <c r="AM134" s="7">
        <v>61.725999999999999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135.34100000000001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21"/>
    </row>
    <row r="135" spans="1:59" ht="15.6" x14ac:dyDescent="0.3">
      <c r="A135" s="5" t="s">
        <v>255</v>
      </c>
      <c r="B135" s="5" t="s">
        <v>256</v>
      </c>
      <c r="C135" s="7">
        <v>6</v>
      </c>
      <c r="D135" s="7">
        <v>6</v>
      </c>
      <c r="E135" s="7">
        <v>3132.9720000000002</v>
      </c>
      <c r="F135" s="7">
        <v>31.356999999999999</v>
      </c>
      <c r="G135" s="7">
        <v>0</v>
      </c>
      <c r="H135" s="7">
        <v>0</v>
      </c>
      <c r="I135" s="7">
        <v>0</v>
      </c>
      <c r="J135" s="7">
        <v>0</v>
      </c>
      <c r="K135" s="7">
        <v>1525.5360000000001</v>
      </c>
      <c r="L135" s="7">
        <v>0</v>
      </c>
      <c r="M135" s="7">
        <v>0</v>
      </c>
      <c r="N135" s="7">
        <v>494.916</v>
      </c>
      <c r="O135" s="7">
        <v>7280.4719999999998</v>
      </c>
      <c r="P135" s="7">
        <v>359.887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284.096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1551.923</v>
      </c>
      <c r="AJ135" s="7">
        <v>157.768</v>
      </c>
      <c r="AK135" s="7">
        <v>0</v>
      </c>
      <c r="AL135" s="7">
        <v>6721.25</v>
      </c>
      <c r="AM135" s="7">
        <v>520.84199999999998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21"/>
    </row>
    <row r="136" spans="1:59" ht="15.6" x14ac:dyDescent="0.3">
      <c r="A136" s="5" t="s">
        <v>257</v>
      </c>
      <c r="B136" s="5" t="s">
        <v>258</v>
      </c>
      <c r="C136" s="7">
        <v>6</v>
      </c>
      <c r="D136" s="7">
        <v>6</v>
      </c>
      <c r="E136" s="7">
        <v>52917.777999999998</v>
      </c>
      <c r="F136" s="7">
        <v>4925.2979999999998</v>
      </c>
      <c r="G136" s="7">
        <v>4540.7039999999997</v>
      </c>
      <c r="H136" s="7">
        <v>0</v>
      </c>
      <c r="I136" s="7">
        <v>790.61500000000001</v>
      </c>
      <c r="J136" s="7">
        <v>2666.3910000000001</v>
      </c>
      <c r="K136" s="7">
        <v>75371.834000000003</v>
      </c>
      <c r="L136" s="7">
        <v>3120.433</v>
      </c>
      <c r="M136" s="7">
        <v>0</v>
      </c>
      <c r="N136" s="7">
        <v>21227.883999999998</v>
      </c>
      <c r="O136" s="7">
        <v>112183.947</v>
      </c>
      <c r="P136" s="7">
        <v>33314.404999999999</v>
      </c>
      <c r="Q136" s="7">
        <v>0</v>
      </c>
      <c r="R136" s="7">
        <v>0</v>
      </c>
      <c r="S136" s="7">
        <v>153.78800000000001</v>
      </c>
      <c r="T136" s="7">
        <v>0</v>
      </c>
      <c r="U136" s="7">
        <v>4.6790000000000003</v>
      </c>
      <c r="V136" s="7">
        <v>0</v>
      </c>
      <c r="W136" s="7">
        <v>0</v>
      </c>
      <c r="X136" s="7">
        <v>0</v>
      </c>
      <c r="Y136" s="7">
        <v>0</v>
      </c>
      <c r="Z136" s="7">
        <v>335.05</v>
      </c>
      <c r="AA136" s="7">
        <v>1111.249</v>
      </c>
      <c r="AB136" s="7">
        <v>0</v>
      </c>
      <c r="AC136" s="7">
        <v>10372.021000000001</v>
      </c>
      <c r="AD136" s="7">
        <v>0</v>
      </c>
      <c r="AE136" s="7">
        <v>3100.123</v>
      </c>
      <c r="AF136" s="7">
        <v>0</v>
      </c>
      <c r="AG136" s="7">
        <v>524.42100000000005</v>
      </c>
      <c r="AH136" s="7">
        <v>0</v>
      </c>
      <c r="AI136" s="7">
        <v>48953.03</v>
      </c>
      <c r="AJ136" s="7">
        <v>1440.6790000000001</v>
      </c>
      <c r="AK136" s="7">
        <v>0</v>
      </c>
      <c r="AL136" s="7">
        <v>124066.965</v>
      </c>
      <c r="AM136" s="7">
        <v>1900.8230000000001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21"/>
    </row>
    <row r="137" spans="1:59" ht="15.6" x14ac:dyDescent="0.3">
      <c r="A137" s="5" t="s">
        <v>259</v>
      </c>
      <c r="B137" s="5" t="s">
        <v>260</v>
      </c>
      <c r="C137" s="7">
        <v>6</v>
      </c>
      <c r="D137" s="7">
        <v>6</v>
      </c>
      <c r="E137" s="7">
        <v>18458.718000000001</v>
      </c>
      <c r="F137" s="7">
        <v>496.73599999999999</v>
      </c>
      <c r="G137" s="7">
        <v>0</v>
      </c>
      <c r="H137" s="7">
        <v>0</v>
      </c>
      <c r="I137" s="7">
        <v>24.576000000000001</v>
      </c>
      <c r="J137" s="7">
        <v>0</v>
      </c>
      <c r="K137" s="7">
        <v>18398.853999999999</v>
      </c>
      <c r="L137" s="7">
        <v>128.33000000000001</v>
      </c>
      <c r="M137" s="7">
        <v>0</v>
      </c>
      <c r="N137" s="7">
        <v>2704.34</v>
      </c>
      <c r="O137" s="7">
        <v>26425.040000000001</v>
      </c>
      <c r="P137" s="7">
        <v>3454.8009999999999</v>
      </c>
      <c r="Q137" s="7">
        <v>0</v>
      </c>
      <c r="R137" s="7">
        <v>0</v>
      </c>
      <c r="S137" s="7">
        <v>0.25600000000000001</v>
      </c>
      <c r="T137" s="7">
        <v>0</v>
      </c>
      <c r="U137" s="7">
        <v>0</v>
      </c>
      <c r="V137" s="7">
        <v>149.10900000000001</v>
      </c>
      <c r="W137" s="7">
        <v>0</v>
      </c>
      <c r="X137" s="7">
        <v>0</v>
      </c>
      <c r="Y137" s="7">
        <v>0</v>
      </c>
      <c r="Z137" s="7">
        <v>0</v>
      </c>
      <c r="AA137" s="7">
        <v>33.049999999999997</v>
      </c>
      <c r="AB137" s="7">
        <v>0</v>
      </c>
      <c r="AC137" s="7">
        <v>901.12199999999996</v>
      </c>
      <c r="AD137" s="7">
        <v>0</v>
      </c>
      <c r="AE137" s="7">
        <v>0</v>
      </c>
      <c r="AF137" s="7">
        <v>0</v>
      </c>
      <c r="AG137" s="7">
        <v>79.781999999999996</v>
      </c>
      <c r="AH137" s="7">
        <v>0</v>
      </c>
      <c r="AI137" s="7">
        <v>6395.8519999999999</v>
      </c>
      <c r="AJ137" s="7">
        <v>1216.7370000000001</v>
      </c>
      <c r="AK137" s="7">
        <v>0</v>
      </c>
      <c r="AL137" s="7">
        <v>33563.968000000001</v>
      </c>
      <c r="AM137" s="7">
        <v>2322.5230000000001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3.109</v>
      </c>
      <c r="AV137" s="7">
        <v>0</v>
      </c>
      <c r="AW137" s="7">
        <v>0</v>
      </c>
      <c r="AX137" s="7">
        <v>349.80900000000003</v>
      </c>
      <c r="AY137" s="7">
        <v>0</v>
      </c>
      <c r="AZ137" s="7">
        <v>1.3380000000000001</v>
      </c>
      <c r="BA137" s="7">
        <v>0</v>
      </c>
      <c r="BB137" s="7">
        <v>10.635</v>
      </c>
      <c r="BC137" s="7">
        <v>0</v>
      </c>
      <c r="BD137" s="7">
        <v>0</v>
      </c>
      <c r="BE137" s="7">
        <v>0</v>
      </c>
      <c r="BF137" s="7">
        <v>0</v>
      </c>
      <c r="BG137" s="21"/>
    </row>
    <row r="138" spans="1:59" ht="15.6" x14ac:dyDescent="0.3">
      <c r="A138" s="5" t="s">
        <v>261</v>
      </c>
      <c r="B138" s="5" t="s">
        <v>262</v>
      </c>
      <c r="C138" s="7">
        <v>6</v>
      </c>
      <c r="D138" s="7">
        <v>6</v>
      </c>
      <c r="E138" s="7">
        <v>627309.01500000001</v>
      </c>
      <c r="F138" s="7">
        <v>20163.548999999999</v>
      </c>
      <c r="G138" s="7">
        <v>25449.003000000001</v>
      </c>
      <c r="H138" s="7">
        <v>1748.0830000000001</v>
      </c>
      <c r="I138" s="7">
        <v>4817.7529999999997</v>
      </c>
      <c r="J138" s="7">
        <v>14949.357</v>
      </c>
      <c r="K138" s="7">
        <v>574030.60199999996</v>
      </c>
      <c r="L138" s="7">
        <v>44369.654000000002</v>
      </c>
      <c r="M138" s="7">
        <v>0</v>
      </c>
      <c r="N138" s="7">
        <v>255759.96</v>
      </c>
      <c r="O138" s="7">
        <v>906948.30900000001</v>
      </c>
      <c r="P138" s="7">
        <v>252270.245</v>
      </c>
      <c r="Q138" s="7">
        <v>0</v>
      </c>
      <c r="R138" s="7">
        <v>0</v>
      </c>
      <c r="S138" s="7">
        <v>846.75699999999995</v>
      </c>
      <c r="T138" s="7">
        <v>0</v>
      </c>
      <c r="U138" s="7">
        <v>26.178999999999998</v>
      </c>
      <c r="V138" s="7">
        <v>0</v>
      </c>
      <c r="W138" s="7">
        <v>0</v>
      </c>
      <c r="X138" s="7">
        <v>0</v>
      </c>
      <c r="Y138" s="7">
        <v>0</v>
      </c>
      <c r="Z138" s="7">
        <v>1530.519</v>
      </c>
      <c r="AA138" s="7">
        <v>5167.9930000000004</v>
      </c>
      <c r="AB138" s="7">
        <v>0</v>
      </c>
      <c r="AC138" s="7">
        <v>105400.882</v>
      </c>
      <c r="AD138" s="7">
        <v>0</v>
      </c>
      <c r="AE138" s="7">
        <v>16997.462</v>
      </c>
      <c r="AF138" s="7">
        <v>0</v>
      </c>
      <c r="AG138" s="7">
        <v>2446.8159999999998</v>
      </c>
      <c r="AH138" s="7">
        <v>0</v>
      </c>
      <c r="AI138" s="7">
        <v>448466.18400000001</v>
      </c>
      <c r="AJ138" s="7">
        <v>2272.5129999999999</v>
      </c>
      <c r="AK138" s="7">
        <v>0</v>
      </c>
      <c r="AL138" s="7">
        <v>1266215.1059999999</v>
      </c>
      <c r="AM138" s="7">
        <v>5671.4210000000003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183.39</v>
      </c>
      <c r="BC138" s="7">
        <v>0</v>
      </c>
      <c r="BD138" s="7">
        <v>0</v>
      </c>
      <c r="BE138" s="7">
        <v>0</v>
      </c>
      <c r="BF138" s="7">
        <v>0</v>
      </c>
      <c r="BG138" s="21"/>
    </row>
    <row r="139" spans="1:59" ht="15.6" x14ac:dyDescent="0.3">
      <c r="A139" s="5" t="s">
        <v>263</v>
      </c>
      <c r="B139" s="5" t="s">
        <v>264</v>
      </c>
      <c r="C139" s="7">
        <v>4</v>
      </c>
      <c r="D139" s="7">
        <v>4</v>
      </c>
      <c r="E139" s="7">
        <v>127.02500000000001</v>
      </c>
      <c r="F139" s="7">
        <v>34.258000000000003</v>
      </c>
      <c r="G139" s="7">
        <v>15.598000000000001</v>
      </c>
      <c r="H139" s="7">
        <v>0</v>
      </c>
      <c r="I139" s="7">
        <v>2.7970000000000002</v>
      </c>
      <c r="J139" s="7">
        <v>9.93</v>
      </c>
      <c r="K139" s="7">
        <v>134.58000000000001</v>
      </c>
      <c r="L139" s="7">
        <v>19.286999999999999</v>
      </c>
      <c r="M139" s="7">
        <v>0</v>
      </c>
      <c r="N139" s="7">
        <v>41.817</v>
      </c>
      <c r="O139" s="7">
        <v>358.101</v>
      </c>
      <c r="P139" s="7">
        <v>43.587000000000003</v>
      </c>
      <c r="Q139" s="7">
        <v>0</v>
      </c>
      <c r="R139" s="7">
        <v>0</v>
      </c>
      <c r="S139" s="7">
        <v>1.6E-2</v>
      </c>
      <c r="T139" s="7">
        <v>0</v>
      </c>
      <c r="U139" s="7">
        <v>0</v>
      </c>
      <c r="V139" s="7">
        <v>11.281000000000001</v>
      </c>
      <c r="W139" s="7">
        <v>0</v>
      </c>
      <c r="X139" s="7">
        <v>0</v>
      </c>
      <c r="Y139" s="7">
        <v>0</v>
      </c>
      <c r="Z139" s="7">
        <v>1.343</v>
      </c>
      <c r="AA139" s="7">
        <v>5.0549999999999997</v>
      </c>
      <c r="AB139" s="7">
        <v>0</v>
      </c>
      <c r="AC139" s="7">
        <v>57.994</v>
      </c>
      <c r="AD139" s="7">
        <v>0</v>
      </c>
      <c r="AE139" s="7">
        <v>9.9030000000000005</v>
      </c>
      <c r="AF139" s="7">
        <v>0</v>
      </c>
      <c r="AG139" s="7">
        <v>5.5910000000000002</v>
      </c>
      <c r="AH139" s="7">
        <v>0</v>
      </c>
      <c r="AI139" s="7">
        <v>131.34100000000001</v>
      </c>
      <c r="AJ139" s="7">
        <v>66.174000000000007</v>
      </c>
      <c r="AK139" s="7">
        <v>0</v>
      </c>
      <c r="AL139" s="7">
        <v>463.77300000000002</v>
      </c>
      <c r="AM139" s="7">
        <v>127.327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0.22</v>
      </c>
      <c r="AV139" s="7">
        <v>0</v>
      </c>
      <c r="AW139" s="7">
        <v>0</v>
      </c>
      <c r="AX139" s="7">
        <v>18.838000000000001</v>
      </c>
      <c r="AY139" s="7">
        <v>0</v>
      </c>
      <c r="AZ139" s="7">
        <v>0.10199999999999999</v>
      </c>
      <c r="BA139" s="7">
        <v>0</v>
      </c>
      <c r="BB139" s="7">
        <v>1.46</v>
      </c>
      <c r="BC139" s="7">
        <v>0</v>
      </c>
      <c r="BD139" s="7">
        <v>0</v>
      </c>
      <c r="BE139" s="7">
        <v>0</v>
      </c>
      <c r="BF139" s="7">
        <v>0</v>
      </c>
      <c r="BG139" s="21"/>
    </row>
    <row r="140" spans="1:59" ht="15.6" x14ac:dyDescent="0.3">
      <c r="A140" s="5" t="s">
        <v>265</v>
      </c>
      <c r="B140" s="5" t="s">
        <v>266</v>
      </c>
      <c r="C140" s="7">
        <v>6</v>
      </c>
      <c r="D140" s="7">
        <v>6</v>
      </c>
      <c r="E140" s="7">
        <v>1924.3530000000001</v>
      </c>
      <c r="F140" s="7">
        <v>1.2290000000000001</v>
      </c>
      <c r="G140" s="7">
        <v>0</v>
      </c>
      <c r="H140" s="7">
        <v>0</v>
      </c>
      <c r="I140" s="7">
        <v>6.0999999999999999E-2</v>
      </c>
      <c r="J140" s="7">
        <v>0</v>
      </c>
      <c r="K140" s="7">
        <v>4119.3630000000003</v>
      </c>
      <c r="L140" s="7">
        <v>0.317</v>
      </c>
      <c r="M140" s="7">
        <v>0</v>
      </c>
      <c r="N140" s="7">
        <v>1008.225</v>
      </c>
      <c r="O140" s="7">
        <v>5623.6850000000004</v>
      </c>
      <c r="P140" s="7">
        <v>920.76099999999997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0.36899999999999999</v>
      </c>
      <c r="W140" s="7">
        <v>0</v>
      </c>
      <c r="X140" s="7">
        <v>0</v>
      </c>
      <c r="Y140" s="7">
        <v>0</v>
      </c>
      <c r="Z140" s="7">
        <v>0</v>
      </c>
      <c r="AA140" s="7">
        <v>8.2000000000000003E-2</v>
      </c>
      <c r="AB140" s="7">
        <v>0</v>
      </c>
      <c r="AC140" s="7">
        <v>841.44600000000003</v>
      </c>
      <c r="AD140" s="7">
        <v>0</v>
      </c>
      <c r="AE140" s="7">
        <v>0</v>
      </c>
      <c r="AF140" s="7">
        <v>0</v>
      </c>
      <c r="AG140" s="7">
        <v>0.19700000000000001</v>
      </c>
      <c r="AH140" s="7">
        <v>0</v>
      </c>
      <c r="AI140" s="7">
        <v>3277.2860000000001</v>
      </c>
      <c r="AJ140" s="7">
        <v>3.01</v>
      </c>
      <c r="AK140" s="7">
        <v>0</v>
      </c>
      <c r="AL140" s="7">
        <v>8768.1530000000002</v>
      </c>
      <c r="AM140" s="7">
        <v>5.7450000000000001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8.0000000000000002E-3</v>
      </c>
      <c r="AV140" s="7">
        <v>0</v>
      </c>
      <c r="AW140" s="7">
        <v>0</v>
      </c>
      <c r="AX140" s="7">
        <v>0.86499999999999999</v>
      </c>
      <c r="AY140" s="7">
        <v>0</v>
      </c>
      <c r="AZ140" s="7">
        <v>3.0000000000000001E-3</v>
      </c>
      <c r="BA140" s="7">
        <v>0</v>
      </c>
      <c r="BB140" s="7">
        <v>2.5999999999999999E-2</v>
      </c>
      <c r="BC140" s="7">
        <v>0</v>
      </c>
      <c r="BD140" s="7">
        <v>0</v>
      </c>
      <c r="BE140" s="7">
        <v>0</v>
      </c>
      <c r="BF140" s="7">
        <v>0</v>
      </c>
      <c r="BG140" s="21"/>
    </row>
    <row r="141" spans="1:59" ht="15.6" x14ac:dyDescent="0.3">
      <c r="A141" s="5" t="s">
        <v>267</v>
      </c>
      <c r="B141" s="5" t="s">
        <v>268</v>
      </c>
      <c r="C141" s="7">
        <v>4</v>
      </c>
      <c r="D141" s="7">
        <v>4</v>
      </c>
      <c r="E141" s="7">
        <v>99.274000000000001</v>
      </c>
      <c r="F141" s="7">
        <v>14.88</v>
      </c>
      <c r="G141" s="7">
        <v>19.834</v>
      </c>
      <c r="H141" s="7">
        <v>0</v>
      </c>
      <c r="I141" s="7">
        <v>3.5139999999999998</v>
      </c>
      <c r="J141" s="7">
        <v>11.647</v>
      </c>
      <c r="K141" s="7">
        <v>104.29</v>
      </c>
      <c r="L141" s="7">
        <v>9.3460000000000001</v>
      </c>
      <c r="M141" s="7">
        <v>0</v>
      </c>
      <c r="N141" s="7">
        <v>45.816000000000003</v>
      </c>
      <c r="O141" s="7">
        <v>121.542</v>
      </c>
      <c r="P141" s="7">
        <v>45.884</v>
      </c>
      <c r="Q141" s="7">
        <v>0</v>
      </c>
      <c r="R141" s="7">
        <v>0</v>
      </c>
      <c r="S141" s="7">
        <v>0.67200000000000004</v>
      </c>
      <c r="T141" s="7">
        <v>0</v>
      </c>
      <c r="U141" s="7">
        <v>0.02</v>
      </c>
      <c r="V141" s="7">
        <v>0.39200000000000002</v>
      </c>
      <c r="W141" s="7">
        <v>0</v>
      </c>
      <c r="X141" s="7">
        <v>0</v>
      </c>
      <c r="Y141" s="7">
        <v>0</v>
      </c>
      <c r="Z141" s="7">
        <v>1.464</v>
      </c>
      <c r="AA141" s="7">
        <v>4.9640000000000004</v>
      </c>
      <c r="AB141" s="7">
        <v>0</v>
      </c>
      <c r="AC141" s="7">
        <v>41.9</v>
      </c>
      <c r="AD141" s="7">
        <v>0</v>
      </c>
      <c r="AE141" s="7">
        <v>13.542</v>
      </c>
      <c r="AF141" s="7">
        <v>1E-3</v>
      </c>
      <c r="AG141" s="7">
        <v>2.5089999999999999</v>
      </c>
      <c r="AH141" s="7">
        <v>0</v>
      </c>
      <c r="AI141" s="7">
        <v>128.30199999999999</v>
      </c>
      <c r="AJ141" s="7">
        <v>3.1760000000000002</v>
      </c>
      <c r="AK141" s="7">
        <v>0</v>
      </c>
      <c r="AL141" s="7">
        <v>217.93199999999999</v>
      </c>
      <c r="AM141" s="7">
        <v>6.0369999999999999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1.7999999999999999E-2</v>
      </c>
      <c r="AV141" s="7">
        <v>0</v>
      </c>
      <c r="AW141" s="7">
        <v>0</v>
      </c>
      <c r="AX141" s="7">
        <v>0.92</v>
      </c>
      <c r="AY141" s="7">
        <v>0</v>
      </c>
      <c r="AZ141" s="7">
        <v>4.0000000000000001E-3</v>
      </c>
      <c r="BA141" s="7">
        <v>0</v>
      </c>
      <c r="BB141" s="7">
        <v>3.1E-2</v>
      </c>
      <c r="BC141" s="7">
        <v>0</v>
      </c>
      <c r="BD141" s="7">
        <v>0</v>
      </c>
      <c r="BE141" s="7">
        <v>0.83</v>
      </c>
      <c r="BF141" s="7">
        <v>0</v>
      </c>
      <c r="BG141" s="21"/>
    </row>
    <row r="142" spans="1:59" ht="15.6" x14ac:dyDescent="0.3">
      <c r="A142" s="5" t="s">
        <v>269</v>
      </c>
      <c r="B142" s="5" t="s">
        <v>270</v>
      </c>
      <c r="C142" s="7">
        <v>6</v>
      </c>
      <c r="D142" s="7">
        <v>6</v>
      </c>
      <c r="E142" s="7">
        <v>1278.491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>
        <v>1605.0329999999999</v>
      </c>
      <c r="L142" s="7">
        <v>0</v>
      </c>
      <c r="M142" s="7">
        <v>0</v>
      </c>
      <c r="N142" s="7">
        <v>686.29</v>
      </c>
      <c r="O142" s="7">
        <v>3099.3719999999998</v>
      </c>
      <c r="P142" s="7">
        <v>647.55100000000004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592.20000000000005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2352.2060000000001</v>
      </c>
      <c r="AJ142" s="7">
        <v>0</v>
      </c>
      <c r="AK142" s="7">
        <v>0</v>
      </c>
      <c r="AL142" s="7">
        <v>4831.701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0</v>
      </c>
      <c r="BD142" s="7">
        <v>0</v>
      </c>
      <c r="BE142" s="7">
        <v>0</v>
      </c>
      <c r="BF142" s="7">
        <v>0</v>
      </c>
      <c r="BG142" s="21"/>
    </row>
    <row r="143" spans="1:59" ht="15.6" x14ac:dyDescent="0.3">
      <c r="A143" s="5" t="s">
        <v>271</v>
      </c>
      <c r="B143" s="5" t="s">
        <v>272</v>
      </c>
      <c r="C143" s="7">
        <v>4</v>
      </c>
      <c r="D143" s="7">
        <v>4</v>
      </c>
      <c r="E143" s="7">
        <v>0</v>
      </c>
      <c r="F143" s="7">
        <v>0</v>
      </c>
      <c r="G143" s="7">
        <v>0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  <c r="BE143" s="7">
        <v>0</v>
      </c>
      <c r="BF143" s="7">
        <v>0</v>
      </c>
      <c r="BG143" s="21"/>
    </row>
    <row r="144" spans="1:59" ht="15.6" x14ac:dyDescent="0.3">
      <c r="A144" s="5" t="s">
        <v>273</v>
      </c>
      <c r="B144" s="5" t="s">
        <v>274</v>
      </c>
      <c r="C144" s="7">
        <v>6</v>
      </c>
      <c r="D144" s="7">
        <v>6</v>
      </c>
      <c r="E144" s="7">
        <v>5079.75</v>
      </c>
      <c r="F144" s="7">
        <v>1591.5519999999999</v>
      </c>
      <c r="G144" s="7">
        <v>0</v>
      </c>
      <c r="H144" s="7">
        <v>0</v>
      </c>
      <c r="I144" s="7">
        <v>78.745000000000005</v>
      </c>
      <c r="J144" s="7">
        <v>0</v>
      </c>
      <c r="K144" s="7">
        <v>7143.4440000000004</v>
      </c>
      <c r="L144" s="7">
        <v>412.77699999999999</v>
      </c>
      <c r="M144" s="7">
        <v>0</v>
      </c>
      <c r="N144" s="7">
        <v>780.36099999999999</v>
      </c>
      <c r="O144" s="7">
        <v>19336.967000000001</v>
      </c>
      <c r="P144" s="7">
        <v>932.90099999999995</v>
      </c>
      <c r="Q144" s="7">
        <v>0</v>
      </c>
      <c r="R144" s="7">
        <v>620.82899999999995</v>
      </c>
      <c r="S144" s="7">
        <v>0.81499999999999995</v>
      </c>
      <c r="T144" s="7">
        <v>709.10900000000004</v>
      </c>
      <c r="U144" s="7">
        <v>0.71299999999999997</v>
      </c>
      <c r="V144" s="7">
        <v>477.74</v>
      </c>
      <c r="W144" s="7">
        <v>0</v>
      </c>
      <c r="X144" s="7">
        <v>12244.554</v>
      </c>
      <c r="Y144" s="7">
        <v>0</v>
      </c>
      <c r="Z144" s="7">
        <v>0</v>
      </c>
      <c r="AA144" s="7">
        <v>106.054</v>
      </c>
      <c r="AB144" s="7">
        <v>176228.25899999999</v>
      </c>
      <c r="AC144" s="7">
        <v>2889.5309999999999</v>
      </c>
      <c r="AD144" s="7">
        <v>19.943000000000001</v>
      </c>
      <c r="AE144" s="7">
        <v>0</v>
      </c>
      <c r="AF144" s="7">
        <v>25581.934000000001</v>
      </c>
      <c r="AG144" s="7">
        <v>255.68</v>
      </c>
      <c r="AH144" s="7">
        <v>14.188000000000001</v>
      </c>
      <c r="AI144" s="7">
        <v>6984.1049999999996</v>
      </c>
      <c r="AJ144" s="7">
        <v>3898.2040000000002</v>
      </c>
      <c r="AK144" s="7">
        <v>55.311</v>
      </c>
      <c r="AL144" s="7">
        <v>24192.653999999999</v>
      </c>
      <c r="AM144" s="7">
        <v>7440.7619999999997</v>
      </c>
      <c r="AN144" s="7">
        <v>109.196</v>
      </c>
      <c r="AO144" s="7">
        <v>0</v>
      </c>
      <c r="AP144" s="7">
        <v>25738.233</v>
      </c>
      <c r="AQ144" s="7">
        <v>11382.822</v>
      </c>
      <c r="AR144" s="7">
        <v>0</v>
      </c>
      <c r="AS144" s="7">
        <v>0</v>
      </c>
      <c r="AT144" s="7">
        <v>0</v>
      </c>
      <c r="AU144" s="7">
        <v>10.029999999999999</v>
      </c>
      <c r="AV144" s="7">
        <v>1366.472</v>
      </c>
      <c r="AW144" s="7">
        <v>0</v>
      </c>
      <c r="AX144" s="7">
        <v>1120.7760000000001</v>
      </c>
      <c r="AY144" s="7">
        <v>0</v>
      </c>
      <c r="AZ144" s="7">
        <v>4.2910000000000004</v>
      </c>
      <c r="BA144" s="7">
        <v>0</v>
      </c>
      <c r="BB144" s="7">
        <v>34.093000000000004</v>
      </c>
      <c r="BC144" s="7">
        <v>0</v>
      </c>
      <c r="BD144" s="7">
        <v>0</v>
      </c>
      <c r="BE144" s="7">
        <v>5.9580000000000002</v>
      </c>
      <c r="BF144" s="7">
        <v>12326.692999999999</v>
      </c>
      <c r="BG144" s="21"/>
    </row>
    <row r="145" spans="1:59" ht="15.6" x14ac:dyDescent="0.3">
      <c r="A145" s="5" t="s">
        <v>275</v>
      </c>
      <c r="B145" s="5" t="s">
        <v>276</v>
      </c>
      <c r="C145" s="7">
        <v>6</v>
      </c>
      <c r="D145" s="7">
        <v>6</v>
      </c>
      <c r="E145" s="7">
        <v>15192.704</v>
      </c>
      <c r="F145" s="7">
        <v>1495.519</v>
      </c>
      <c r="G145" s="7">
        <v>2643.4650000000001</v>
      </c>
      <c r="H145" s="7">
        <v>339.11099999999999</v>
      </c>
      <c r="I145" s="7">
        <v>222.93799999999999</v>
      </c>
      <c r="J145" s="7">
        <v>1913.5309999999999</v>
      </c>
      <c r="K145" s="7">
        <v>10715.038</v>
      </c>
      <c r="L145" s="7">
        <v>1494.6489999999999</v>
      </c>
      <c r="M145" s="7">
        <v>0</v>
      </c>
      <c r="N145" s="7">
        <v>6612.8630000000003</v>
      </c>
      <c r="O145" s="7">
        <v>21783.276999999998</v>
      </c>
      <c r="P145" s="7">
        <v>6634.5290000000005</v>
      </c>
      <c r="Q145" s="7">
        <v>0</v>
      </c>
      <c r="R145" s="7">
        <v>-26.027000000000001</v>
      </c>
      <c r="S145" s="7">
        <v>27.960999999999999</v>
      </c>
      <c r="T145" s="7">
        <v>-23.37</v>
      </c>
      <c r="U145" s="7">
        <v>-20.577999999999999</v>
      </c>
      <c r="V145" s="7">
        <v>249.49799999999999</v>
      </c>
      <c r="W145" s="7">
        <v>0</v>
      </c>
      <c r="X145" s="7">
        <v>-325.70800000000003</v>
      </c>
      <c r="Y145" s="7">
        <v>0</v>
      </c>
      <c r="Z145" s="7">
        <v>160.905</v>
      </c>
      <c r="AA145" s="7">
        <v>434.721</v>
      </c>
      <c r="AB145" s="7">
        <v>0.94499999999999995</v>
      </c>
      <c r="AC145" s="7">
        <v>4137.2280000000001</v>
      </c>
      <c r="AD145" s="7">
        <v>-1154.4939999999999</v>
      </c>
      <c r="AE145" s="7">
        <v>2298.1750000000002</v>
      </c>
      <c r="AF145" s="7">
        <v>-688.67399999999998</v>
      </c>
      <c r="AG145" s="7">
        <v>316.93799999999999</v>
      </c>
      <c r="AH145" s="7">
        <v>-71.811999999999998</v>
      </c>
      <c r="AI145" s="7">
        <v>13185.66</v>
      </c>
      <c r="AJ145" s="7">
        <v>223.72399999999999</v>
      </c>
      <c r="AK145" s="7">
        <v>-240.81299999999999</v>
      </c>
      <c r="AL145" s="7">
        <v>35304.25</v>
      </c>
      <c r="AM145" s="7">
        <v>497.78300000000002</v>
      </c>
      <c r="AN145" s="7">
        <v>-6759.2330000000002</v>
      </c>
      <c r="AO145" s="7">
        <v>-118174.20699999999</v>
      </c>
      <c r="AP145" s="7">
        <v>-644.68499999999995</v>
      </c>
      <c r="AQ145" s="7">
        <v>-255.57499999999999</v>
      </c>
      <c r="AR145" s="7">
        <v>-73469.407999999996</v>
      </c>
      <c r="AS145" s="7">
        <v>0</v>
      </c>
      <c r="AT145" s="7">
        <v>-37532.201000000001</v>
      </c>
      <c r="AU145" s="7">
        <v>18.446999999999999</v>
      </c>
      <c r="AV145" s="7">
        <v>-43.085000000000001</v>
      </c>
      <c r="AW145" s="7">
        <v>0</v>
      </c>
      <c r="AX145" s="7">
        <v>5.8310000000000004</v>
      </c>
      <c r="AY145" s="7">
        <v>0</v>
      </c>
      <c r="AZ145" s="7">
        <v>0.224</v>
      </c>
      <c r="BA145" s="7">
        <v>0</v>
      </c>
      <c r="BB145" s="7">
        <v>10.86</v>
      </c>
      <c r="BC145" s="7">
        <v>0</v>
      </c>
      <c r="BD145" s="7">
        <v>0</v>
      </c>
      <c r="BE145" s="7">
        <v>2168.1709999999998</v>
      </c>
      <c r="BF145" s="7">
        <v>6.6000000000000003E-2</v>
      </c>
      <c r="BG145" s="21"/>
    </row>
    <row r="146" spans="1:59" ht="15.6" x14ac:dyDescent="0.3">
      <c r="A146" s="5" t="s">
        <v>277</v>
      </c>
      <c r="B146" s="5" t="s">
        <v>278</v>
      </c>
      <c r="C146" s="7">
        <v>6</v>
      </c>
      <c r="D146" s="7">
        <v>6</v>
      </c>
      <c r="E146" s="7">
        <v>-1874.194</v>
      </c>
      <c r="F146" s="7">
        <v>-169.857</v>
      </c>
      <c r="G146" s="7">
        <v>-416.68799999999999</v>
      </c>
      <c r="H146" s="7">
        <v>-62.305</v>
      </c>
      <c r="I146" s="7">
        <v>-49.71</v>
      </c>
      <c r="J146" s="7">
        <v>-392.411</v>
      </c>
      <c r="K146" s="7">
        <v>-250.673</v>
      </c>
      <c r="L146" s="7">
        <v>-239.61199999999999</v>
      </c>
      <c r="M146" s="7">
        <v>0</v>
      </c>
      <c r="N146" s="7">
        <v>-1060.846</v>
      </c>
      <c r="O146" s="7">
        <v>1584.664</v>
      </c>
      <c r="P146" s="7">
        <v>-960.94100000000003</v>
      </c>
      <c r="Q146" s="7">
        <v>0</v>
      </c>
      <c r="R146" s="7">
        <v>0</v>
      </c>
      <c r="S146" s="7">
        <v>-7.4870000000000001</v>
      </c>
      <c r="T146" s="7">
        <v>0</v>
      </c>
      <c r="U146" s="7">
        <v>-1.2150000000000001</v>
      </c>
      <c r="V146" s="7">
        <v>11.266</v>
      </c>
      <c r="W146" s="7">
        <v>0</v>
      </c>
      <c r="X146" s="7">
        <v>0</v>
      </c>
      <c r="Y146" s="7">
        <v>0</v>
      </c>
      <c r="Z146" s="7">
        <v>-53.723999999999997</v>
      </c>
      <c r="AA146" s="7">
        <v>-156.43299999999999</v>
      </c>
      <c r="AB146" s="7">
        <v>0</v>
      </c>
      <c r="AC146" s="7">
        <v>-751.476</v>
      </c>
      <c r="AD146" s="7">
        <v>0</v>
      </c>
      <c r="AE146" s="7">
        <v>-672.39700000000005</v>
      </c>
      <c r="AF146" s="7">
        <v>0.151</v>
      </c>
      <c r="AG146" s="7">
        <v>-69.724000000000004</v>
      </c>
      <c r="AH146" s="7">
        <v>0</v>
      </c>
      <c r="AI146" s="7">
        <v>-2244.4499999999998</v>
      </c>
      <c r="AJ146" s="7">
        <v>410.26299999999998</v>
      </c>
      <c r="AK146" s="7">
        <v>0</v>
      </c>
      <c r="AL146" s="7">
        <v>-1519.355</v>
      </c>
      <c r="AM146" s="7">
        <v>728.51700000000005</v>
      </c>
      <c r="AN146" s="7">
        <v>0</v>
      </c>
      <c r="AO146" s="7">
        <v>0</v>
      </c>
      <c r="AP146" s="7">
        <v>0</v>
      </c>
      <c r="AQ146" s="7">
        <v>0</v>
      </c>
      <c r="AR146" s="7">
        <v>0</v>
      </c>
      <c r="AS146" s="7">
        <v>0</v>
      </c>
      <c r="AT146" s="7">
        <v>0</v>
      </c>
      <c r="AU146" s="7">
        <v>-0.503</v>
      </c>
      <c r="AV146" s="7">
        <v>0</v>
      </c>
      <c r="AW146" s="7">
        <v>0</v>
      </c>
      <c r="AX146" s="7">
        <v>121.321</v>
      </c>
      <c r="AY146" s="7">
        <v>0</v>
      </c>
      <c r="AZ146" s="7">
        <v>-0.04</v>
      </c>
      <c r="BA146" s="7">
        <v>0</v>
      </c>
      <c r="BB146" s="7">
        <v>1.0089999999999999</v>
      </c>
      <c r="BC146" s="7">
        <v>0</v>
      </c>
      <c r="BD146" s="7">
        <v>0</v>
      </c>
      <c r="BE146" s="7">
        <v>11.321</v>
      </c>
      <c r="BF146" s="7">
        <v>0</v>
      </c>
      <c r="BG146" s="21"/>
    </row>
    <row r="147" spans="1:59" ht="15.6" x14ac:dyDescent="0.3">
      <c r="A147" s="5" t="s">
        <v>279</v>
      </c>
      <c r="B147" s="5" t="s">
        <v>280</v>
      </c>
      <c r="C147" s="7">
        <v>6</v>
      </c>
      <c r="D147" s="7">
        <v>6</v>
      </c>
      <c r="E147" s="7">
        <v>-23405.528999999999</v>
      </c>
      <c r="F147" s="7">
        <v>-6825.1909999999998</v>
      </c>
      <c r="G147" s="7">
        <v>-163.553</v>
      </c>
      <c r="H147" s="7">
        <v>-370.95499999999998</v>
      </c>
      <c r="I147" s="7">
        <v>-437.28800000000001</v>
      </c>
      <c r="J147" s="7">
        <v>-674.21400000000006</v>
      </c>
      <c r="K147" s="7">
        <v>-29845.376</v>
      </c>
      <c r="L147" s="7">
        <v>-2900.1379999999999</v>
      </c>
      <c r="M147" s="7">
        <v>0</v>
      </c>
      <c r="N147" s="7">
        <v>-5371.76</v>
      </c>
      <c r="O147" s="7">
        <v>-77106.047999999995</v>
      </c>
      <c r="P147" s="7">
        <v>-6444.9269999999997</v>
      </c>
      <c r="Q147" s="7">
        <v>0</v>
      </c>
      <c r="R147" s="7">
        <v>-1272.885</v>
      </c>
      <c r="S147" s="7">
        <v>-1.1200000000000001</v>
      </c>
      <c r="T147" s="7">
        <v>-1452.5509999999999</v>
      </c>
      <c r="U147" s="7">
        <v>0</v>
      </c>
      <c r="V147" s="7">
        <v>-2126.5590000000002</v>
      </c>
      <c r="W147" s="7">
        <v>0</v>
      </c>
      <c r="X147" s="7">
        <v>-25096.264999999999</v>
      </c>
      <c r="Y147" s="7">
        <v>0</v>
      </c>
      <c r="Z147" s="7">
        <v>-62.716000000000001</v>
      </c>
      <c r="AA147" s="7">
        <v>-655.553</v>
      </c>
      <c r="AB147" s="7">
        <v>-167421.38099999999</v>
      </c>
      <c r="AC147" s="7">
        <v>-12012.994000000001</v>
      </c>
      <c r="AD147" s="7">
        <v>0</v>
      </c>
      <c r="AE147" s="7">
        <v>-1330.8430000000001</v>
      </c>
      <c r="AF147" s="7">
        <v>-52453.364000000001</v>
      </c>
      <c r="AG147" s="7">
        <v>-1131.9100000000001</v>
      </c>
      <c r="AH147" s="7">
        <v>-1.018</v>
      </c>
      <c r="AI147" s="7">
        <v>-29685.857</v>
      </c>
      <c r="AJ147" s="7">
        <v>-14571.673000000001</v>
      </c>
      <c r="AK147" s="7">
        <v>-2.9359999999999999</v>
      </c>
      <c r="AL147" s="7">
        <v>-102493.982</v>
      </c>
      <c r="AM147" s="7">
        <v>-27738.012999999999</v>
      </c>
      <c r="AN147" s="7">
        <v>0</v>
      </c>
      <c r="AO147" s="7">
        <v>0</v>
      </c>
      <c r="AP147" s="7">
        <v>-52750.107000000004</v>
      </c>
      <c r="AQ147" s="7">
        <v>-23316.731</v>
      </c>
      <c r="AR147" s="7">
        <v>0</v>
      </c>
      <c r="AS147" s="7">
        <v>0</v>
      </c>
      <c r="AT147" s="7">
        <v>0</v>
      </c>
      <c r="AU147" s="7">
        <v>-82.570999999999998</v>
      </c>
      <c r="AV147" s="7">
        <v>-2799.326</v>
      </c>
      <c r="AW147" s="7">
        <v>0</v>
      </c>
      <c r="AX147" s="7">
        <v>-4207.8100000000004</v>
      </c>
      <c r="AY147" s="7">
        <v>0</v>
      </c>
      <c r="AZ147" s="7">
        <v>-18.73</v>
      </c>
      <c r="BA147" s="7">
        <v>0</v>
      </c>
      <c r="BB147" s="7">
        <v>-141.965</v>
      </c>
      <c r="BC147" s="7">
        <v>0</v>
      </c>
      <c r="BD147" s="7">
        <v>0</v>
      </c>
      <c r="BE147" s="7">
        <v>-3510.0970000000002</v>
      </c>
      <c r="BF147" s="7">
        <v>-11710.674999999999</v>
      </c>
      <c r="BG147" s="21"/>
    </row>
    <row r="148" spans="1:59" ht="15.6" x14ac:dyDescent="0.3">
      <c r="A148" s="5" t="s">
        <v>281</v>
      </c>
      <c r="B148" s="5" t="s">
        <v>282</v>
      </c>
      <c r="C148" s="7">
        <v>6</v>
      </c>
      <c r="D148" s="7">
        <v>6</v>
      </c>
      <c r="E148" s="7">
        <v>0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0</v>
      </c>
      <c r="AF148" s="7">
        <v>0</v>
      </c>
      <c r="AG148" s="7">
        <v>0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  <c r="AU148" s="7">
        <v>0</v>
      </c>
      <c r="AV148" s="7">
        <v>0</v>
      </c>
      <c r="AW148" s="7">
        <v>0</v>
      </c>
      <c r="AX148" s="7">
        <v>0</v>
      </c>
      <c r="AY148" s="7">
        <v>0</v>
      </c>
      <c r="AZ148" s="7">
        <v>0</v>
      </c>
      <c r="BA148" s="7">
        <v>0</v>
      </c>
      <c r="BB148" s="7">
        <v>0</v>
      </c>
      <c r="BC148" s="7">
        <v>0</v>
      </c>
      <c r="BD148" s="7">
        <v>0</v>
      </c>
      <c r="BE148" s="7">
        <v>0</v>
      </c>
      <c r="BF148" s="7">
        <v>0</v>
      </c>
      <c r="BG148" s="21"/>
    </row>
    <row r="149" spans="1:59" ht="15.6" x14ac:dyDescent="0.3">
      <c r="A149" s="5" t="s">
        <v>283</v>
      </c>
      <c r="B149" s="5" t="s">
        <v>284</v>
      </c>
      <c r="C149" s="7">
        <v>4</v>
      </c>
      <c r="D149" s="7">
        <v>4</v>
      </c>
      <c r="E149" s="7">
        <v>18365.004000000001</v>
      </c>
      <c r="F149" s="7">
        <v>5087.93</v>
      </c>
      <c r="G149" s="7">
        <v>35.314</v>
      </c>
      <c r="H149" s="7">
        <v>0</v>
      </c>
      <c r="I149" s="7">
        <v>257.35700000000003</v>
      </c>
      <c r="J149" s="7">
        <v>24.872</v>
      </c>
      <c r="K149" s="7">
        <v>26339.806</v>
      </c>
      <c r="L149" s="7">
        <v>3365.42</v>
      </c>
      <c r="M149" s="7">
        <v>0</v>
      </c>
      <c r="N149" s="7">
        <v>7396.8739999999998</v>
      </c>
      <c r="O149" s="7">
        <v>66053.925000000003</v>
      </c>
      <c r="P149" s="7">
        <v>4477.2719999999999</v>
      </c>
      <c r="Q149" s="7">
        <v>0</v>
      </c>
      <c r="R149" s="7">
        <v>57.951000000000001</v>
      </c>
      <c r="S149" s="7">
        <v>0</v>
      </c>
      <c r="T149" s="7">
        <v>37.43</v>
      </c>
      <c r="U149" s="7">
        <v>0</v>
      </c>
      <c r="V149" s="7">
        <v>1522.7750000000001</v>
      </c>
      <c r="W149" s="7">
        <v>0</v>
      </c>
      <c r="X149" s="7">
        <v>565.83699999999999</v>
      </c>
      <c r="Y149" s="7">
        <v>0</v>
      </c>
      <c r="Z149" s="7">
        <v>2.1579999999999999</v>
      </c>
      <c r="AA149" s="7">
        <v>426.98899999999998</v>
      </c>
      <c r="AB149" s="7">
        <v>0</v>
      </c>
      <c r="AC149" s="7">
        <v>10482.512000000001</v>
      </c>
      <c r="AD149" s="7">
        <v>440.613</v>
      </c>
      <c r="AE149" s="7">
        <v>26.161000000000001</v>
      </c>
      <c r="AF149" s="7">
        <v>1494.729</v>
      </c>
      <c r="AG149" s="7">
        <v>847.25300000000004</v>
      </c>
      <c r="AH149" s="7">
        <v>110.61499999999999</v>
      </c>
      <c r="AI149" s="7">
        <v>26738.428</v>
      </c>
      <c r="AJ149" s="7">
        <v>12299.981</v>
      </c>
      <c r="AK149" s="7">
        <v>533.61400000000003</v>
      </c>
      <c r="AL149" s="7">
        <v>79958.135999999999</v>
      </c>
      <c r="AM149" s="7">
        <v>23381.281999999999</v>
      </c>
      <c r="AN149" s="7">
        <v>2693.4540000000002</v>
      </c>
      <c r="AO149" s="7">
        <v>159812.166</v>
      </c>
      <c r="AP149" s="7">
        <v>1319.5889999999999</v>
      </c>
      <c r="AQ149" s="7">
        <v>488.26</v>
      </c>
      <c r="AR149" s="7">
        <v>99355.903999999995</v>
      </c>
      <c r="AS149" s="7">
        <v>0</v>
      </c>
      <c r="AT149" s="7">
        <v>50756.442999999999</v>
      </c>
      <c r="AU149" s="7">
        <v>69.430999999999997</v>
      </c>
      <c r="AV149" s="7">
        <v>63.298999999999999</v>
      </c>
      <c r="AW149" s="7">
        <v>0</v>
      </c>
      <c r="AX149" s="7">
        <v>3564.0039999999999</v>
      </c>
      <c r="AY149" s="7">
        <v>0</v>
      </c>
      <c r="AZ149" s="7">
        <v>15.423</v>
      </c>
      <c r="BA149" s="7">
        <v>0</v>
      </c>
      <c r="BB149" s="7">
        <v>122.10299999999999</v>
      </c>
      <c r="BC149" s="7">
        <v>0</v>
      </c>
      <c r="BD149" s="7">
        <v>0</v>
      </c>
      <c r="BE149" s="7">
        <v>3216.6759999999999</v>
      </c>
      <c r="BF149" s="7">
        <v>0</v>
      </c>
      <c r="BG149" s="21"/>
    </row>
    <row r="150" spans="1:59" ht="15.6" x14ac:dyDescent="0.3">
      <c r="A150" s="5" t="s">
        <v>285</v>
      </c>
      <c r="B150" s="5" t="s">
        <v>286</v>
      </c>
      <c r="C150" s="7">
        <v>6</v>
      </c>
      <c r="D150" s="7">
        <v>6</v>
      </c>
      <c r="E150" s="7">
        <v>205036.177</v>
      </c>
      <c r="F150" s="7">
        <v>57638.080000000002</v>
      </c>
      <c r="G150" s="7">
        <v>179.91200000000001</v>
      </c>
      <c r="H150" s="7">
        <v>838.75099999999998</v>
      </c>
      <c r="I150" s="7">
        <v>3067.8040000000001</v>
      </c>
      <c r="J150" s="7">
        <v>1394.8420000000001</v>
      </c>
      <c r="K150" s="7">
        <v>287711.39299999998</v>
      </c>
      <c r="L150" s="7">
        <v>24978.162</v>
      </c>
      <c r="M150" s="7">
        <v>0</v>
      </c>
      <c r="N150" s="7">
        <v>33721.025000000001</v>
      </c>
      <c r="O150" s="7">
        <v>690310.13100000005</v>
      </c>
      <c r="P150" s="7">
        <v>44162.161999999997</v>
      </c>
      <c r="Q150" s="7">
        <v>0</v>
      </c>
      <c r="R150" s="7">
        <v>2414.1019999999999</v>
      </c>
      <c r="S150" s="7">
        <v>1.38</v>
      </c>
      <c r="T150" s="7">
        <v>2687.835</v>
      </c>
      <c r="U150" s="7">
        <v>783.23199999999997</v>
      </c>
      <c r="V150" s="7">
        <v>17433.75</v>
      </c>
      <c r="W150" s="7">
        <v>0</v>
      </c>
      <c r="X150" s="7">
        <v>35661.75</v>
      </c>
      <c r="Y150" s="7">
        <v>0</v>
      </c>
      <c r="Z150" s="7">
        <v>127.98</v>
      </c>
      <c r="AA150" s="7">
        <v>5025.62</v>
      </c>
      <c r="AB150" s="7">
        <v>0</v>
      </c>
      <c r="AC150" s="7">
        <v>114716.06299999999</v>
      </c>
      <c r="AD150" s="7">
        <v>31781.897000000001</v>
      </c>
      <c r="AE150" s="7">
        <v>2873.835</v>
      </c>
      <c r="AF150" s="7">
        <v>73279.956999999995</v>
      </c>
      <c r="AG150" s="7">
        <v>9607.0120000000006</v>
      </c>
      <c r="AH150" s="7">
        <v>7333.9129999999996</v>
      </c>
      <c r="AI150" s="7">
        <v>291069.63799999998</v>
      </c>
      <c r="AJ150" s="7">
        <v>135365.25599999999</v>
      </c>
      <c r="AK150" s="7">
        <v>28427.306</v>
      </c>
      <c r="AL150" s="7">
        <v>897277.951</v>
      </c>
      <c r="AM150" s="7">
        <v>257359.476</v>
      </c>
      <c r="AN150" s="7">
        <v>180312.54699999999</v>
      </c>
      <c r="AO150" s="7">
        <v>2082250.1240000001</v>
      </c>
      <c r="AP150" s="7">
        <v>80926.157000000007</v>
      </c>
      <c r="AQ150" s="7">
        <v>40298.745000000003</v>
      </c>
      <c r="AR150" s="7">
        <v>1294543.7720000001</v>
      </c>
      <c r="AS150" s="7">
        <v>0</v>
      </c>
      <c r="AT150" s="7">
        <v>661323.92299999995</v>
      </c>
      <c r="AU150" s="7">
        <v>779.58600000000001</v>
      </c>
      <c r="AV150" s="7">
        <v>4775.1610000000001</v>
      </c>
      <c r="AW150" s="7">
        <v>0</v>
      </c>
      <c r="AX150" s="7">
        <v>39199.972000000002</v>
      </c>
      <c r="AY150" s="7">
        <v>0</v>
      </c>
      <c r="AZ150" s="7">
        <v>170.08600000000001</v>
      </c>
      <c r="BA150" s="7">
        <v>0</v>
      </c>
      <c r="BB150" s="7">
        <v>1305.174</v>
      </c>
      <c r="BC150" s="7">
        <v>0</v>
      </c>
      <c r="BD150" s="7">
        <v>0</v>
      </c>
      <c r="BE150" s="7">
        <v>36132.701999999997</v>
      </c>
      <c r="BF150" s="7">
        <v>0</v>
      </c>
      <c r="BG150" s="21"/>
    </row>
    <row r="151" spans="1:59" ht="15.6" x14ac:dyDescent="0.3">
      <c r="A151" s="5" t="s">
        <v>287</v>
      </c>
      <c r="B151" s="5" t="s">
        <v>288</v>
      </c>
      <c r="C151" s="7">
        <v>6</v>
      </c>
      <c r="D151" s="7">
        <v>6</v>
      </c>
      <c r="E151" s="7">
        <v>14372.434999999999</v>
      </c>
      <c r="F151" s="7">
        <v>2374.1880000000001</v>
      </c>
      <c r="G151" s="7">
        <v>4417.62</v>
      </c>
      <c r="H151" s="7">
        <v>0</v>
      </c>
      <c r="I151" s="7">
        <v>514.36599999999999</v>
      </c>
      <c r="J151" s="7">
        <v>2751.877</v>
      </c>
      <c r="K151" s="7">
        <v>9005.5480000000007</v>
      </c>
      <c r="L151" s="7">
        <v>3076.4940000000001</v>
      </c>
      <c r="M151" s="7">
        <v>0</v>
      </c>
      <c r="N151" s="7">
        <v>8662.0609999999997</v>
      </c>
      <c r="O151" s="7">
        <v>13285.194</v>
      </c>
      <c r="P151" s="7">
        <v>8491.5229999999992</v>
      </c>
      <c r="Q151" s="7">
        <v>0</v>
      </c>
      <c r="R151" s="7">
        <v>0</v>
      </c>
      <c r="S151" s="7">
        <v>41.953000000000003</v>
      </c>
      <c r="T151" s="7">
        <v>0</v>
      </c>
      <c r="U151" s="7">
        <v>1.26</v>
      </c>
      <c r="V151" s="7">
        <v>665.98299999999995</v>
      </c>
      <c r="W151" s="7">
        <v>0</v>
      </c>
      <c r="X151" s="7">
        <v>0</v>
      </c>
      <c r="Y151" s="7">
        <v>0</v>
      </c>
      <c r="Z151" s="7">
        <v>365.27100000000002</v>
      </c>
      <c r="AA151" s="7">
        <v>970.11699999999996</v>
      </c>
      <c r="AB151" s="7">
        <v>0</v>
      </c>
      <c r="AC151" s="7">
        <v>4355.1980000000003</v>
      </c>
      <c r="AD151" s="7">
        <v>0</v>
      </c>
      <c r="AE151" s="7">
        <v>2863.067</v>
      </c>
      <c r="AF151" s="7">
        <v>0</v>
      </c>
      <c r="AG151" s="7">
        <v>406.28300000000002</v>
      </c>
      <c r="AH151" s="7">
        <v>0</v>
      </c>
      <c r="AI151" s="7">
        <v>10370.437</v>
      </c>
      <c r="AJ151" s="7">
        <v>0</v>
      </c>
      <c r="AK151" s="7">
        <v>0</v>
      </c>
      <c r="AL151" s="7">
        <v>23885.324000000001</v>
      </c>
      <c r="AM151" s="7">
        <v>0</v>
      </c>
      <c r="AN151" s="7">
        <v>0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10.848000000000001</v>
      </c>
      <c r="AV151" s="7">
        <v>0</v>
      </c>
      <c r="AW151" s="7">
        <v>0</v>
      </c>
      <c r="AX151" s="7">
        <v>0</v>
      </c>
      <c r="AY151" s="7">
        <v>0</v>
      </c>
      <c r="AZ151" s="7">
        <v>6.1219999999999999</v>
      </c>
      <c r="BA151" s="7">
        <v>0</v>
      </c>
      <c r="BB151" s="7">
        <v>181.74299999999999</v>
      </c>
      <c r="BC151" s="7">
        <v>0</v>
      </c>
      <c r="BD151" s="7">
        <v>0</v>
      </c>
      <c r="BE151" s="7">
        <v>0</v>
      </c>
      <c r="BF151" s="7">
        <v>0</v>
      </c>
      <c r="BG151" s="21"/>
    </row>
    <row r="152" spans="1:59" ht="15.6" x14ac:dyDescent="0.3">
      <c r="A152" s="5" t="s">
        <v>289</v>
      </c>
      <c r="B152" s="5" t="s">
        <v>290</v>
      </c>
      <c r="C152" s="7">
        <v>6</v>
      </c>
      <c r="D152" s="7">
        <v>6</v>
      </c>
      <c r="E152" s="7">
        <v>-193429.29399999999</v>
      </c>
      <c r="F152" s="7">
        <v>-52684.544999999998</v>
      </c>
      <c r="G152" s="7">
        <v>-4302.1289999999999</v>
      </c>
      <c r="H152" s="7">
        <v>-484.63900000000001</v>
      </c>
      <c r="I152" s="7">
        <v>-3112.2840000000001</v>
      </c>
      <c r="J152" s="7">
        <v>-3421.473</v>
      </c>
      <c r="K152" s="7">
        <v>-263130.80800000002</v>
      </c>
      <c r="L152" s="7">
        <v>-24625.975999999999</v>
      </c>
      <c r="M152" s="7">
        <v>0</v>
      </c>
      <c r="N152" s="7">
        <v>-36547.438000000002</v>
      </c>
      <c r="O152" s="7">
        <v>-620478.74600000004</v>
      </c>
      <c r="P152" s="7">
        <v>-45539.985999999997</v>
      </c>
      <c r="Q152" s="7">
        <v>0</v>
      </c>
      <c r="R152" s="7">
        <v>-1534.162</v>
      </c>
      <c r="S152" s="7">
        <v>-40.683</v>
      </c>
      <c r="T152" s="7">
        <v>-1733.8889999999999</v>
      </c>
      <c r="U152" s="7">
        <v>-742.98800000000006</v>
      </c>
      <c r="V152" s="7">
        <v>-15833.805</v>
      </c>
      <c r="W152" s="7">
        <v>0</v>
      </c>
      <c r="X152" s="7">
        <v>-19693.637999999999</v>
      </c>
      <c r="Y152" s="7">
        <v>0</v>
      </c>
      <c r="Z152" s="7">
        <v>-421.15699999999998</v>
      </c>
      <c r="AA152" s="7">
        <v>-5248.1660000000002</v>
      </c>
      <c r="AB152" s="7">
        <v>0</v>
      </c>
      <c r="AC152" s="7">
        <v>-105583.349</v>
      </c>
      <c r="AD152" s="7">
        <v>-28929.788</v>
      </c>
      <c r="AE152" s="7">
        <v>-4381.0479999999998</v>
      </c>
      <c r="AF152" s="7">
        <v>-39488.987000000001</v>
      </c>
      <c r="AG152" s="7">
        <v>-8787.6630000000005</v>
      </c>
      <c r="AH152" s="7">
        <v>-6900.8739999999998</v>
      </c>
      <c r="AI152" s="7">
        <v>-267605.64199999999</v>
      </c>
      <c r="AJ152" s="7">
        <v>-119728.462</v>
      </c>
      <c r="AK152" s="7">
        <v>-26632.36</v>
      </c>
      <c r="AL152" s="7">
        <v>-810223.10400000005</v>
      </c>
      <c r="AM152" s="7">
        <v>-227625.87100000001</v>
      </c>
      <c r="AN152" s="7">
        <v>-163616.71</v>
      </c>
      <c r="AO152" s="7">
        <v>-1844651.6769999999</v>
      </c>
      <c r="AP152" s="7">
        <v>-47050.108</v>
      </c>
      <c r="AQ152" s="7">
        <v>-25364.212</v>
      </c>
      <c r="AR152" s="7">
        <v>-1146827.8060000001</v>
      </c>
      <c r="AS152" s="7">
        <v>0</v>
      </c>
      <c r="AT152" s="7">
        <v>-585862.51</v>
      </c>
      <c r="AU152" s="7">
        <v>-691.06</v>
      </c>
      <c r="AV152" s="7">
        <v>-2963.22</v>
      </c>
      <c r="AW152" s="7">
        <v>0</v>
      </c>
      <c r="AX152" s="7">
        <v>-34675.216</v>
      </c>
      <c r="AY152" s="7">
        <v>0</v>
      </c>
      <c r="AZ152" s="7">
        <v>-155.59899999999999</v>
      </c>
      <c r="BA152" s="7">
        <v>0</v>
      </c>
      <c r="BB152" s="7">
        <v>-1328.29</v>
      </c>
      <c r="BC152" s="7">
        <v>0</v>
      </c>
      <c r="BD152" s="7">
        <v>0</v>
      </c>
      <c r="BE152" s="7">
        <v>-31428.651999999998</v>
      </c>
      <c r="BF152" s="7">
        <v>0</v>
      </c>
      <c r="BG152" s="21"/>
    </row>
    <row r="153" spans="1:59" ht="15.6" x14ac:dyDescent="0.3">
      <c r="A153" s="5" t="s">
        <v>291</v>
      </c>
      <c r="B153" s="5" t="s">
        <v>292</v>
      </c>
      <c r="C153" s="7">
        <v>6</v>
      </c>
      <c r="D153" s="7">
        <v>6</v>
      </c>
      <c r="E153" s="7">
        <v>0</v>
      </c>
      <c r="F153" s="7">
        <v>0</v>
      </c>
      <c r="G153" s="7">
        <v>0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s="7">
        <v>0</v>
      </c>
      <c r="BC153" s="7">
        <v>0</v>
      </c>
      <c r="BD153" s="7">
        <v>0</v>
      </c>
      <c r="BE153" s="7">
        <v>0</v>
      </c>
      <c r="BF153" s="7">
        <v>0</v>
      </c>
      <c r="BG153" s="21"/>
    </row>
    <row r="154" spans="1:59" ht="15.6" x14ac:dyDescent="0.3">
      <c r="A154" s="5" t="s">
        <v>293</v>
      </c>
      <c r="B154" s="5" t="s">
        <v>294</v>
      </c>
      <c r="C154" s="7">
        <v>4</v>
      </c>
      <c r="D154" s="7">
        <v>4</v>
      </c>
      <c r="E154" s="7">
        <v>19862.358</v>
      </c>
      <c r="F154" s="7">
        <v>6227.768</v>
      </c>
      <c r="G154" s="7">
        <v>0</v>
      </c>
      <c r="H154" s="7">
        <v>0</v>
      </c>
      <c r="I154" s="7">
        <v>308.12400000000002</v>
      </c>
      <c r="J154" s="7">
        <v>0</v>
      </c>
      <c r="K154" s="7">
        <v>27926.875</v>
      </c>
      <c r="L154" s="7">
        <v>1608.92</v>
      </c>
      <c r="M154" s="7">
        <v>0</v>
      </c>
      <c r="N154" s="7">
        <v>3052.5940000000001</v>
      </c>
      <c r="O154" s="7">
        <v>75663.803</v>
      </c>
      <c r="P154" s="7">
        <v>3646.1959999999999</v>
      </c>
      <c r="Q154" s="7">
        <v>0</v>
      </c>
      <c r="R154" s="7">
        <v>1.645</v>
      </c>
      <c r="S154" s="7">
        <v>3.2120000000000002</v>
      </c>
      <c r="T154" s="7">
        <v>1.877</v>
      </c>
      <c r="U154" s="7">
        <v>0</v>
      </c>
      <c r="V154" s="7">
        <v>1869.4349999999999</v>
      </c>
      <c r="W154" s="7">
        <v>0</v>
      </c>
      <c r="X154" s="7">
        <v>32.427999999999997</v>
      </c>
      <c r="Y154" s="7">
        <v>0</v>
      </c>
      <c r="Z154" s="7">
        <v>0</v>
      </c>
      <c r="AA154" s="7">
        <v>414.36700000000002</v>
      </c>
      <c r="AB154" s="7">
        <v>216.33099999999999</v>
      </c>
      <c r="AC154" s="7">
        <v>11297.718000000001</v>
      </c>
      <c r="AD154" s="7">
        <v>0</v>
      </c>
      <c r="AE154" s="7">
        <v>0</v>
      </c>
      <c r="AF154" s="7">
        <v>67.772999999999996</v>
      </c>
      <c r="AG154" s="7">
        <v>1000.259</v>
      </c>
      <c r="AH154" s="7">
        <v>0</v>
      </c>
      <c r="AI154" s="7">
        <v>27296.797999999999</v>
      </c>
      <c r="AJ154" s="7">
        <v>15254.700999999999</v>
      </c>
      <c r="AK154" s="7">
        <v>0</v>
      </c>
      <c r="AL154" s="7">
        <v>94646.725999999995</v>
      </c>
      <c r="AM154" s="7">
        <v>29118.370999999999</v>
      </c>
      <c r="AN154" s="7">
        <v>0</v>
      </c>
      <c r="AO154" s="7">
        <v>0</v>
      </c>
      <c r="AP154" s="7">
        <v>68.16</v>
      </c>
      <c r="AQ154" s="7">
        <v>30.128</v>
      </c>
      <c r="AR154" s="7">
        <v>0</v>
      </c>
      <c r="AS154" s="7">
        <v>0</v>
      </c>
      <c r="AT154" s="7">
        <v>0</v>
      </c>
      <c r="AU154" s="7">
        <v>38.975999999999999</v>
      </c>
      <c r="AV154" s="7">
        <v>3.617</v>
      </c>
      <c r="AW154" s="7">
        <v>0</v>
      </c>
      <c r="AX154" s="7">
        <v>4385.6940000000004</v>
      </c>
      <c r="AY154" s="7">
        <v>0</v>
      </c>
      <c r="AZ154" s="7">
        <v>16.777999999999999</v>
      </c>
      <c r="BA154" s="7">
        <v>0</v>
      </c>
      <c r="BB154" s="7">
        <v>133.32</v>
      </c>
      <c r="BC154" s="7">
        <v>0</v>
      </c>
      <c r="BD154" s="7">
        <v>0</v>
      </c>
      <c r="BE154" s="7">
        <v>0</v>
      </c>
      <c r="BF154" s="7">
        <v>15.132</v>
      </c>
      <c r="BG154" s="21"/>
    </row>
    <row r="155" spans="1:59" ht="15.6" x14ac:dyDescent="0.3">
      <c r="A155" s="5" t="s">
        <v>295</v>
      </c>
      <c r="B155" s="5" t="s">
        <v>296</v>
      </c>
      <c r="C155" s="7">
        <v>4</v>
      </c>
      <c r="D155" s="7">
        <v>4</v>
      </c>
      <c r="E155" s="7">
        <v>0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0</v>
      </c>
      <c r="AZ155" s="7">
        <v>0</v>
      </c>
      <c r="BA155" s="7">
        <v>0</v>
      </c>
      <c r="BB155" s="7">
        <v>0</v>
      </c>
      <c r="BC155" s="7">
        <v>0</v>
      </c>
      <c r="BD155" s="7">
        <v>0</v>
      </c>
      <c r="BE155" s="7">
        <v>0</v>
      </c>
      <c r="BF155" s="7">
        <v>0</v>
      </c>
      <c r="BG155" s="21"/>
    </row>
    <row r="156" spans="1:59" ht="15.6" x14ac:dyDescent="0.3">
      <c r="A156" s="5" t="s">
        <v>297</v>
      </c>
      <c r="B156" s="5" t="s">
        <v>298</v>
      </c>
      <c r="C156" s="7">
        <v>4</v>
      </c>
      <c r="D156" s="7">
        <v>4</v>
      </c>
      <c r="E156" s="7">
        <v>0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F156" s="7">
        <v>0</v>
      </c>
      <c r="BG156" s="21"/>
    </row>
    <row r="157" spans="1:59" ht="15.6" x14ac:dyDescent="0.3">
      <c r="A157" s="5" t="s">
        <v>299</v>
      </c>
      <c r="B157" s="5" t="s">
        <v>300</v>
      </c>
      <c r="C157" s="7">
        <v>4</v>
      </c>
      <c r="D157" s="7">
        <v>4</v>
      </c>
      <c r="E157" s="7">
        <v>0</v>
      </c>
      <c r="F157" s="7">
        <v>0</v>
      </c>
      <c r="G157" s="7">
        <v>0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21"/>
    </row>
    <row r="158" spans="1:59" ht="15.6" x14ac:dyDescent="0.3">
      <c r="A158" s="5" t="s">
        <v>301</v>
      </c>
      <c r="B158" s="5" t="s">
        <v>302</v>
      </c>
      <c r="C158" s="7">
        <v>4</v>
      </c>
      <c r="D158" s="7">
        <v>4</v>
      </c>
      <c r="E158" s="7">
        <v>0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-0.19400000000000001</v>
      </c>
      <c r="S158" s="7">
        <v>0</v>
      </c>
      <c r="T158" s="7">
        <v>-0.222</v>
      </c>
      <c r="U158" s="7">
        <v>0</v>
      </c>
      <c r="V158" s="7">
        <v>0</v>
      </c>
      <c r="W158" s="7">
        <v>0</v>
      </c>
      <c r="X158" s="7">
        <v>-3.83</v>
      </c>
      <c r="Y158" s="7">
        <v>0</v>
      </c>
      <c r="Z158" s="7">
        <v>0</v>
      </c>
      <c r="AA158" s="7">
        <v>0</v>
      </c>
      <c r="AB158" s="7">
        <v>-25.548999999999999</v>
      </c>
      <c r="AC158" s="7">
        <v>0</v>
      </c>
      <c r="AD158" s="7">
        <v>0</v>
      </c>
      <c r="AE158" s="7">
        <v>0</v>
      </c>
      <c r="AF158" s="7">
        <v>-8.0039999999999996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-8.0500000000000007</v>
      </c>
      <c r="AQ158" s="7">
        <v>-3.5579999999999998</v>
      </c>
      <c r="AR158" s="7">
        <v>0</v>
      </c>
      <c r="AS158" s="7">
        <v>0</v>
      </c>
      <c r="AT158" s="7">
        <v>0</v>
      </c>
      <c r="AU158" s="7">
        <v>0</v>
      </c>
      <c r="AV158" s="7">
        <v>-0.42699999999999999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7">
        <v>-1.7869999999999999</v>
      </c>
      <c r="BG158" s="21"/>
    </row>
    <row r="159" spans="1:59" ht="15.6" x14ac:dyDescent="0.3">
      <c r="A159" s="5" t="s">
        <v>303</v>
      </c>
      <c r="B159" s="5" t="s">
        <v>304</v>
      </c>
      <c r="C159" s="7">
        <v>4</v>
      </c>
      <c r="D159" s="7">
        <v>4</v>
      </c>
      <c r="E159" s="7">
        <v>0</v>
      </c>
      <c r="F159" s="7">
        <v>0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F159" s="7">
        <v>0</v>
      </c>
      <c r="BG159" s="21"/>
    </row>
    <row r="160" spans="1:59" ht="15.6" x14ac:dyDescent="0.3">
      <c r="A160" s="5" t="s">
        <v>305</v>
      </c>
      <c r="B160" s="5" t="s">
        <v>306</v>
      </c>
      <c r="C160" s="7">
        <v>4</v>
      </c>
      <c r="D160" s="7">
        <v>4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F160" s="7">
        <v>0</v>
      </c>
      <c r="BG160" s="21"/>
    </row>
    <row r="161" spans="1:59" ht="15.6" x14ac:dyDescent="0.3">
      <c r="A161" s="5" t="s">
        <v>307</v>
      </c>
      <c r="B161" s="5" t="s">
        <v>308</v>
      </c>
      <c r="C161" s="7">
        <v>4</v>
      </c>
      <c r="D161" s="7">
        <v>4</v>
      </c>
      <c r="E161" s="7">
        <v>0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21"/>
    </row>
    <row r="162" spans="1:59" ht="15.6" x14ac:dyDescent="0.3">
      <c r="A162" s="5" t="s">
        <v>293</v>
      </c>
      <c r="B162" s="5" t="s">
        <v>309</v>
      </c>
      <c r="C162" s="7">
        <v>6</v>
      </c>
      <c r="D162" s="7">
        <v>6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7">
        <v>0</v>
      </c>
      <c r="BG162" s="21"/>
    </row>
    <row r="163" spans="1:59" ht="15.6" x14ac:dyDescent="0.3">
      <c r="A163" s="5" t="s">
        <v>310</v>
      </c>
      <c r="B163" s="5" t="s">
        <v>311</v>
      </c>
      <c r="C163" s="7">
        <v>6</v>
      </c>
      <c r="D163" s="7">
        <v>6</v>
      </c>
      <c r="E163" s="7">
        <v>0</v>
      </c>
      <c r="F163" s="7">
        <v>0</v>
      </c>
      <c r="G163" s="7">
        <v>0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F163" s="7">
        <v>0</v>
      </c>
      <c r="BG163" s="21"/>
    </row>
    <row r="164" spans="1:59" ht="15.6" x14ac:dyDescent="0.3">
      <c r="A164" s="5" t="s">
        <v>312</v>
      </c>
      <c r="B164" s="5" t="s">
        <v>313</v>
      </c>
      <c r="C164" s="7">
        <v>6</v>
      </c>
      <c r="D164" s="7">
        <v>6</v>
      </c>
      <c r="E164" s="7">
        <v>385.90199999999999</v>
      </c>
      <c r="F164" s="7">
        <v>116.26600000000001</v>
      </c>
      <c r="G164" s="7">
        <v>41.777000000000001</v>
      </c>
      <c r="H164" s="7">
        <v>6.9349999999999996</v>
      </c>
      <c r="I164" s="7">
        <v>13.423</v>
      </c>
      <c r="J164" s="7">
        <v>42.92</v>
      </c>
      <c r="K164" s="7">
        <v>543.24300000000005</v>
      </c>
      <c r="L164" s="7">
        <v>79.290999999999997</v>
      </c>
      <c r="M164" s="7">
        <v>0</v>
      </c>
      <c r="N164" s="7">
        <v>144.61799999999999</v>
      </c>
      <c r="O164" s="7">
        <v>986.77099999999996</v>
      </c>
      <c r="P164" s="7">
        <v>194.77099999999999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36.707999999999998</v>
      </c>
      <c r="W164" s="7">
        <v>0</v>
      </c>
      <c r="X164" s="7">
        <v>0</v>
      </c>
      <c r="Y164" s="7">
        <v>0</v>
      </c>
      <c r="Z164" s="7">
        <v>5.3239999999999998</v>
      </c>
      <c r="AA164" s="7">
        <v>19.853000000000002</v>
      </c>
      <c r="AB164" s="7">
        <v>0</v>
      </c>
      <c r="AC164" s="7">
        <v>165.18799999999999</v>
      </c>
      <c r="AD164" s="7">
        <v>0</v>
      </c>
      <c r="AE164" s="7">
        <v>62.713000000000001</v>
      </c>
      <c r="AF164" s="7">
        <v>4.2999999999999997E-2</v>
      </c>
      <c r="AG164" s="7">
        <v>18.327000000000002</v>
      </c>
      <c r="AH164" s="7">
        <v>0</v>
      </c>
      <c r="AI164" s="7">
        <v>414.892</v>
      </c>
      <c r="AJ164" s="7">
        <v>146.55600000000001</v>
      </c>
      <c r="AK164" s="7">
        <v>0</v>
      </c>
      <c r="AL164" s="7">
        <v>1473.758</v>
      </c>
      <c r="AM164" s="7">
        <v>278.53199999999998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1.452</v>
      </c>
      <c r="AV164" s="7">
        <v>0</v>
      </c>
      <c r="AW164" s="7">
        <v>0</v>
      </c>
      <c r="AX164" s="7">
        <v>42.42</v>
      </c>
      <c r="AY164" s="7">
        <v>0</v>
      </c>
      <c r="AZ164" s="7">
        <v>0.219</v>
      </c>
      <c r="BA164" s="7">
        <v>0</v>
      </c>
      <c r="BB164" s="7">
        <v>1.419</v>
      </c>
      <c r="BC164" s="7">
        <v>0</v>
      </c>
      <c r="BD164" s="7">
        <v>0</v>
      </c>
      <c r="BE164" s="7">
        <v>58.603000000000002</v>
      </c>
      <c r="BF164" s="7">
        <v>0</v>
      </c>
      <c r="BG164" s="21"/>
    </row>
    <row r="165" spans="1:59" ht="15.6" x14ac:dyDescent="0.3">
      <c r="A165" s="5" t="s">
        <v>297</v>
      </c>
      <c r="B165" s="5" t="s">
        <v>314</v>
      </c>
      <c r="C165" s="7">
        <v>6</v>
      </c>
      <c r="D165" s="7">
        <v>6</v>
      </c>
      <c r="E165" s="7">
        <v>0</v>
      </c>
      <c r="F165" s="7">
        <v>0</v>
      </c>
      <c r="G165" s="7">
        <v>0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F165" s="7">
        <v>0</v>
      </c>
      <c r="BG165" s="21"/>
    </row>
    <row r="166" spans="1:59" ht="15.6" x14ac:dyDescent="0.3">
      <c r="A166" s="5" t="s">
        <v>299</v>
      </c>
      <c r="B166" s="5" t="s">
        <v>315</v>
      </c>
      <c r="C166" s="7">
        <v>6</v>
      </c>
      <c r="D166" s="7">
        <v>6</v>
      </c>
      <c r="E166" s="7">
        <v>0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21"/>
    </row>
    <row r="167" spans="1:59" ht="15.6" x14ac:dyDescent="0.3">
      <c r="A167" s="5" t="s">
        <v>301</v>
      </c>
      <c r="B167" s="5" t="s">
        <v>316</v>
      </c>
      <c r="C167" s="7">
        <v>6</v>
      </c>
      <c r="D167" s="7">
        <v>6</v>
      </c>
      <c r="E167" s="7">
        <v>0</v>
      </c>
      <c r="F167" s="7">
        <v>0</v>
      </c>
      <c r="G167" s="7">
        <v>0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21"/>
    </row>
    <row r="168" spans="1:59" ht="15.6" x14ac:dyDescent="0.3">
      <c r="A168" s="5" t="s">
        <v>317</v>
      </c>
      <c r="B168" s="5" t="s">
        <v>318</v>
      </c>
      <c r="C168" s="7">
        <v>6</v>
      </c>
      <c r="D168" s="7">
        <v>6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21"/>
    </row>
    <row r="169" spans="1:59" ht="15.6" x14ac:dyDescent="0.3">
      <c r="A169" s="5" t="s">
        <v>319</v>
      </c>
      <c r="B169" s="5" t="s">
        <v>320</v>
      </c>
      <c r="C169" s="7">
        <v>6</v>
      </c>
      <c r="D169" s="7">
        <v>6</v>
      </c>
      <c r="E169" s="7">
        <v>-431.20600000000002</v>
      </c>
      <c r="F169" s="7">
        <v>-127.2</v>
      </c>
      <c r="G169" s="7">
        <v>-29.257000000000001</v>
      </c>
      <c r="H169" s="7">
        <v>-8.5609999999999999</v>
      </c>
      <c r="I169" s="7">
        <v>-12.452999999999999</v>
      </c>
      <c r="J169" s="7">
        <v>-35.597999999999999</v>
      </c>
      <c r="K169" s="7">
        <v>-577.80899999999997</v>
      </c>
      <c r="L169" s="7">
        <v>-77.802999999999997</v>
      </c>
      <c r="M169" s="7">
        <v>0</v>
      </c>
      <c r="N169" s="7">
        <v>-141.65199999999999</v>
      </c>
      <c r="O169" s="7">
        <v>-1198.53</v>
      </c>
      <c r="P169" s="7">
        <v>-184.80199999999999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-40.198</v>
      </c>
      <c r="W169" s="7">
        <v>0</v>
      </c>
      <c r="X169" s="7">
        <v>0</v>
      </c>
      <c r="Y169" s="7">
        <v>0</v>
      </c>
      <c r="Z169" s="7">
        <v>-4.2089999999999996</v>
      </c>
      <c r="AA169" s="7">
        <v>-18.699000000000002</v>
      </c>
      <c r="AB169" s="7">
        <v>0</v>
      </c>
      <c r="AC169" s="7">
        <v>-195.96</v>
      </c>
      <c r="AD169" s="7">
        <v>0</v>
      </c>
      <c r="AE169" s="7">
        <v>-55.841999999999999</v>
      </c>
      <c r="AF169" s="7">
        <v>-5.8000000000000003E-2</v>
      </c>
      <c r="AG169" s="7">
        <v>-20.57</v>
      </c>
      <c r="AH169" s="7">
        <v>0</v>
      </c>
      <c r="AI169" s="7">
        <v>-491.24299999999999</v>
      </c>
      <c r="AJ169" s="7">
        <v>-196.18600000000001</v>
      </c>
      <c r="AK169" s="7">
        <v>0</v>
      </c>
      <c r="AL169" s="7">
        <v>-1723.076</v>
      </c>
      <c r="AM169" s="7">
        <v>-372.86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-1.7010000000000001</v>
      </c>
      <c r="AV169" s="7">
        <v>0</v>
      </c>
      <c r="AW169" s="7">
        <v>0</v>
      </c>
      <c r="AX169" s="7">
        <v>-56.789000000000001</v>
      </c>
      <c r="AY169" s="7">
        <v>0</v>
      </c>
      <c r="AZ169" s="7">
        <v>-0.28100000000000003</v>
      </c>
      <c r="BA169" s="7">
        <v>0</v>
      </c>
      <c r="BB169" s="7">
        <v>-1.9</v>
      </c>
      <c r="BC169" s="7">
        <v>0</v>
      </c>
      <c r="BD169" s="7">
        <v>0</v>
      </c>
      <c r="BE169" s="7">
        <v>-76.290000000000006</v>
      </c>
      <c r="BF169" s="7">
        <v>0</v>
      </c>
      <c r="BG169" s="21"/>
    </row>
    <row r="170" spans="1:59" ht="15.6" x14ac:dyDescent="0.3">
      <c r="A170" s="5" t="s">
        <v>305</v>
      </c>
      <c r="B170" s="5" t="s">
        <v>321</v>
      </c>
      <c r="C170" s="7">
        <v>6</v>
      </c>
      <c r="D170" s="7">
        <v>6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F170" s="7">
        <v>0</v>
      </c>
      <c r="BG170" s="21"/>
    </row>
    <row r="171" spans="1:59" ht="15.6" x14ac:dyDescent="0.3">
      <c r="A171" s="5" t="s">
        <v>307</v>
      </c>
      <c r="B171" s="5" t="s">
        <v>322</v>
      </c>
      <c r="C171" s="7">
        <v>6</v>
      </c>
      <c r="D171" s="7">
        <v>6</v>
      </c>
      <c r="E171" s="7">
        <v>0</v>
      </c>
      <c r="F171" s="7">
        <v>0</v>
      </c>
      <c r="G171" s="7">
        <v>0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F171" s="7">
        <v>0</v>
      </c>
      <c r="BG171" s="21"/>
    </row>
    <row r="172" spans="1:59" ht="15.6" x14ac:dyDescent="0.3">
      <c r="A172" s="5" t="s">
        <v>323</v>
      </c>
      <c r="B172" s="5" t="s">
        <v>324</v>
      </c>
      <c r="C172" s="7">
        <v>4</v>
      </c>
      <c r="D172" s="7">
        <v>4</v>
      </c>
      <c r="E172" s="7">
        <v>4849.5330000000004</v>
      </c>
      <c r="F172" s="7">
        <v>1459.261</v>
      </c>
      <c r="G172" s="7">
        <v>0</v>
      </c>
      <c r="H172" s="7">
        <v>0</v>
      </c>
      <c r="I172" s="7">
        <v>72.677000000000007</v>
      </c>
      <c r="J172" s="7">
        <v>0</v>
      </c>
      <c r="K172" s="7">
        <v>6898.3149999999996</v>
      </c>
      <c r="L172" s="7">
        <v>459.13299999999998</v>
      </c>
      <c r="M172" s="7">
        <v>0</v>
      </c>
      <c r="N172" s="7">
        <v>735.673</v>
      </c>
      <c r="O172" s="7">
        <v>17768.699000000001</v>
      </c>
      <c r="P172" s="7">
        <v>914.73299999999995</v>
      </c>
      <c r="Q172" s="7">
        <v>0</v>
      </c>
      <c r="R172" s="7">
        <v>0</v>
      </c>
      <c r="S172" s="7">
        <v>0.50800000000000001</v>
      </c>
      <c r="T172" s="7">
        <v>0</v>
      </c>
      <c r="U172" s="7">
        <v>0</v>
      </c>
      <c r="V172" s="7">
        <v>437.44400000000002</v>
      </c>
      <c r="W172" s="7">
        <v>0</v>
      </c>
      <c r="X172" s="7">
        <v>0</v>
      </c>
      <c r="Y172" s="7">
        <v>0</v>
      </c>
      <c r="Z172" s="7">
        <v>0</v>
      </c>
      <c r="AA172" s="7">
        <v>105.56100000000001</v>
      </c>
      <c r="AB172" s="7">
        <v>0</v>
      </c>
      <c r="AC172" s="7">
        <v>2723.067</v>
      </c>
      <c r="AD172" s="7">
        <v>0</v>
      </c>
      <c r="AE172" s="7">
        <v>0</v>
      </c>
      <c r="AF172" s="7">
        <v>0.32400000000000001</v>
      </c>
      <c r="AG172" s="7">
        <v>236.71700000000001</v>
      </c>
      <c r="AH172" s="7">
        <v>0</v>
      </c>
      <c r="AI172" s="7">
        <v>6705.7389999999996</v>
      </c>
      <c r="AJ172" s="7">
        <v>3555.07</v>
      </c>
      <c r="AK172" s="7">
        <v>0</v>
      </c>
      <c r="AL172" s="7">
        <v>22656.776999999998</v>
      </c>
      <c r="AM172" s="7">
        <v>6768.5420000000004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12.371</v>
      </c>
      <c r="AV172" s="7">
        <v>0</v>
      </c>
      <c r="AW172" s="7">
        <v>0</v>
      </c>
      <c r="AX172" s="7">
        <v>1017.749</v>
      </c>
      <c r="AY172" s="7">
        <v>0</v>
      </c>
      <c r="AZ172" s="7">
        <v>4.024</v>
      </c>
      <c r="BA172" s="7">
        <v>0</v>
      </c>
      <c r="BB172" s="7">
        <v>31.748999999999999</v>
      </c>
      <c r="BC172" s="7">
        <v>0</v>
      </c>
      <c r="BD172" s="7">
        <v>0</v>
      </c>
      <c r="BE172" s="7">
        <v>288.25700000000001</v>
      </c>
      <c r="BF172" s="7">
        <v>0</v>
      </c>
      <c r="BG172" s="21"/>
    </row>
    <row r="173" spans="1:59" ht="15.6" x14ac:dyDescent="0.3">
      <c r="A173" s="5" t="s">
        <v>325</v>
      </c>
      <c r="B173" s="5" t="s">
        <v>326</v>
      </c>
      <c r="C173" s="7">
        <v>4</v>
      </c>
      <c r="D173" s="7">
        <v>4</v>
      </c>
      <c r="E173" s="7">
        <v>0</v>
      </c>
      <c r="F173" s="7">
        <v>0</v>
      </c>
      <c r="G173" s="7">
        <v>0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F173" s="7">
        <v>0</v>
      </c>
      <c r="BG173" s="21"/>
    </row>
    <row r="174" spans="1:59" ht="15.6" x14ac:dyDescent="0.3">
      <c r="A174" s="5" t="s">
        <v>327</v>
      </c>
      <c r="B174" s="5" t="s">
        <v>328</v>
      </c>
      <c r="C174" s="7">
        <v>4</v>
      </c>
      <c r="D174" s="7">
        <v>4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21"/>
    </row>
    <row r="175" spans="1:59" ht="15.6" x14ac:dyDescent="0.3">
      <c r="A175" s="5" t="s">
        <v>329</v>
      </c>
      <c r="B175" s="5" t="s">
        <v>330</v>
      </c>
      <c r="C175" s="7">
        <v>4</v>
      </c>
      <c r="D175" s="7">
        <v>4</v>
      </c>
      <c r="E175" s="7">
        <v>0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21"/>
    </row>
    <row r="176" spans="1:59" ht="15.6" x14ac:dyDescent="0.3">
      <c r="A176" s="5" t="s">
        <v>331</v>
      </c>
      <c r="B176" s="5" t="s">
        <v>332</v>
      </c>
      <c r="C176" s="7">
        <v>4</v>
      </c>
      <c r="D176" s="7">
        <v>4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F176" s="7">
        <v>0</v>
      </c>
      <c r="BG176" s="21"/>
    </row>
    <row r="177" spans="1:59" ht="15.6" x14ac:dyDescent="0.3">
      <c r="A177" s="5" t="s">
        <v>333</v>
      </c>
      <c r="B177" s="5" t="s">
        <v>334</v>
      </c>
      <c r="C177" s="7">
        <v>4</v>
      </c>
      <c r="D177" s="7">
        <v>4</v>
      </c>
      <c r="E177" s="7">
        <v>-4204.2120000000004</v>
      </c>
      <c r="F177" s="7">
        <v>-1245.1859999999999</v>
      </c>
      <c r="G177" s="7">
        <v>0</v>
      </c>
      <c r="H177" s="7">
        <v>0</v>
      </c>
      <c r="I177" s="7">
        <v>-61.838000000000001</v>
      </c>
      <c r="J177" s="7">
        <v>0</v>
      </c>
      <c r="K177" s="7">
        <v>-5990.125</v>
      </c>
      <c r="L177" s="7">
        <v>-420.40100000000001</v>
      </c>
      <c r="M177" s="7">
        <v>0</v>
      </c>
      <c r="N177" s="7">
        <v>-627.476</v>
      </c>
      <c r="O177" s="7">
        <v>-15163.869000000001</v>
      </c>
      <c r="P177" s="7">
        <v>-797.13699999999994</v>
      </c>
      <c r="Q177" s="7">
        <v>0</v>
      </c>
      <c r="R177" s="7">
        <v>0</v>
      </c>
      <c r="S177" s="7">
        <v>-0.34399999999999997</v>
      </c>
      <c r="T177" s="7">
        <v>0</v>
      </c>
      <c r="U177" s="7">
        <v>0</v>
      </c>
      <c r="V177" s="7">
        <v>-373.226</v>
      </c>
      <c r="W177" s="7">
        <v>0</v>
      </c>
      <c r="X177" s="7">
        <v>0</v>
      </c>
      <c r="Y177" s="7">
        <v>0</v>
      </c>
      <c r="Z177" s="7">
        <v>0</v>
      </c>
      <c r="AA177" s="7">
        <v>-92.75</v>
      </c>
      <c r="AB177" s="7">
        <v>0</v>
      </c>
      <c r="AC177" s="7">
        <v>-2390.9749999999999</v>
      </c>
      <c r="AD177" s="7">
        <v>0</v>
      </c>
      <c r="AE177" s="7">
        <v>0</v>
      </c>
      <c r="AF177" s="7">
        <v>-0.40799999999999997</v>
      </c>
      <c r="AG177" s="7">
        <v>-203.33699999999999</v>
      </c>
      <c r="AH177" s="7">
        <v>0</v>
      </c>
      <c r="AI177" s="7">
        <v>-5935.8519999999999</v>
      </c>
      <c r="AJ177" s="7">
        <v>-3033.268</v>
      </c>
      <c r="AK177" s="7">
        <v>0</v>
      </c>
      <c r="AL177" s="7">
        <v>-19284.978999999999</v>
      </c>
      <c r="AM177" s="7">
        <v>-5776.8559999999998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-11.99</v>
      </c>
      <c r="AV177" s="7">
        <v>0</v>
      </c>
      <c r="AW177" s="7">
        <v>0</v>
      </c>
      <c r="AX177" s="7">
        <v>-873.50900000000001</v>
      </c>
      <c r="AY177" s="7">
        <v>0</v>
      </c>
      <c r="AZ177" s="7">
        <v>-3.5249999999999999</v>
      </c>
      <c r="BA177" s="7">
        <v>0</v>
      </c>
      <c r="BB177" s="7">
        <v>-27.725999999999999</v>
      </c>
      <c r="BC177" s="7">
        <v>0</v>
      </c>
      <c r="BD177" s="7">
        <v>0</v>
      </c>
      <c r="BE177" s="7">
        <v>-362.33499999999998</v>
      </c>
      <c r="BF177" s="7">
        <v>0</v>
      </c>
      <c r="BG177" s="21"/>
    </row>
    <row r="178" spans="1:59" ht="15.6" x14ac:dyDescent="0.3">
      <c r="A178" s="5" t="s">
        <v>335</v>
      </c>
      <c r="B178" s="5" t="s">
        <v>336</v>
      </c>
      <c r="C178" s="7">
        <v>4</v>
      </c>
      <c r="D178" s="7">
        <v>4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21"/>
    </row>
    <row r="179" spans="1:59" ht="15.6" x14ac:dyDescent="0.3">
      <c r="A179" s="5" t="s">
        <v>337</v>
      </c>
      <c r="B179" s="5" t="s">
        <v>338</v>
      </c>
      <c r="C179" s="7">
        <v>4</v>
      </c>
      <c r="D179" s="7">
        <v>4</v>
      </c>
      <c r="E179" s="7">
        <v>0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21"/>
    </row>
    <row r="180" spans="1:59" ht="15.6" x14ac:dyDescent="0.3">
      <c r="A180" s="5" t="s">
        <v>339</v>
      </c>
      <c r="B180" s="5" t="s">
        <v>340</v>
      </c>
      <c r="C180" s="7">
        <v>4</v>
      </c>
      <c r="D180" s="7">
        <v>4</v>
      </c>
      <c r="E180" s="7">
        <v>0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21"/>
    </row>
    <row r="181" spans="1:59" ht="15.6" x14ac:dyDescent="0.3">
      <c r="A181" s="5" t="s">
        <v>341</v>
      </c>
      <c r="B181" s="5" t="s">
        <v>342</v>
      </c>
      <c r="C181" s="7">
        <v>4</v>
      </c>
      <c r="D181" s="7">
        <v>4</v>
      </c>
      <c r="E181" s="7">
        <v>0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F181" s="7">
        <v>0</v>
      </c>
      <c r="BG181" s="21"/>
    </row>
    <row r="182" spans="1:59" ht="15.6" x14ac:dyDescent="0.3">
      <c r="A182" s="5" t="s">
        <v>323</v>
      </c>
      <c r="B182" s="5" t="s">
        <v>343</v>
      </c>
      <c r="C182" s="7">
        <v>6</v>
      </c>
      <c r="D182" s="7">
        <v>6</v>
      </c>
      <c r="E182" s="7">
        <v>0.13100000000000001</v>
      </c>
      <c r="F182" s="7">
        <v>4.1000000000000002E-2</v>
      </c>
      <c r="G182" s="7">
        <v>0</v>
      </c>
      <c r="H182" s="7">
        <v>0</v>
      </c>
      <c r="I182" s="7">
        <v>2E-3</v>
      </c>
      <c r="J182" s="7">
        <v>0</v>
      </c>
      <c r="K182" s="7">
        <v>0.185</v>
      </c>
      <c r="L182" s="7">
        <v>1.0999999999999999E-2</v>
      </c>
      <c r="M182" s="7">
        <v>0</v>
      </c>
      <c r="N182" s="7">
        <v>0.02</v>
      </c>
      <c r="O182" s="7">
        <v>0.5</v>
      </c>
      <c r="P182" s="7">
        <v>2.4E-2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1.2E-2</v>
      </c>
      <c r="W182" s="7">
        <v>0</v>
      </c>
      <c r="X182" s="7">
        <v>0</v>
      </c>
      <c r="Y182" s="7">
        <v>0</v>
      </c>
      <c r="Z182" s="7">
        <v>0</v>
      </c>
      <c r="AA182" s="7">
        <v>3.0000000000000001E-3</v>
      </c>
      <c r="AB182" s="7">
        <v>0</v>
      </c>
      <c r="AC182" s="7">
        <v>7.4999999999999997E-2</v>
      </c>
      <c r="AD182" s="7">
        <v>0</v>
      </c>
      <c r="AE182" s="7">
        <v>0</v>
      </c>
      <c r="AF182" s="7">
        <v>0</v>
      </c>
      <c r="AG182" s="7">
        <v>7.0000000000000001E-3</v>
      </c>
      <c r="AH182" s="7">
        <v>0</v>
      </c>
      <c r="AI182" s="7">
        <v>0.18</v>
      </c>
      <c r="AJ182" s="7">
        <v>0.10100000000000001</v>
      </c>
      <c r="AK182" s="7">
        <v>0</v>
      </c>
      <c r="AL182" s="7">
        <v>0.626</v>
      </c>
      <c r="AM182" s="7">
        <v>0.192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2.9000000000000001E-2</v>
      </c>
      <c r="AY182" s="7">
        <v>0</v>
      </c>
      <c r="AZ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F182" s="7">
        <v>0</v>
      </c>
      <c r="BG182" s="21"/>
    </row>
    <row r="183" spans="1:59" ht="15.6" x14ac:dyDescent="0.3">
      <c r="A183" s="5" t="s">
        <v>325</v>
      </c>
      <c r="B183" s="5" t="s">
        <v>344</v>
      </c>
      <c r="C183" s="7">
        <v>6</v>
      </c>
      <c r="D183" s="7">
        <v>6</v>
      </c>
      <c r="E183" s="7">
        <v>0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F183" s="7">
        <v>0</v>
      </c>
      <c r="BG183" s="21"/>
    </row>
    <row r="184" spans="1:59" ht="15.6" x14ac:dyDescent="0.3">
      <c r="A184" s="5" t="s">
        <v>327</v>
      </c>
      <c r="B184" s="5" t="s">
        <v>345</v>
      </c>
      <c r="C184" s="7">
        <v>6</v>
      </c>
      <c r="D184" s="7">
        <v>6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21"/>
    </row>
    <row r="185" spans="1:59" ht="15.6" x14ac:dyDescent="0.3">
      <c r="A185" s="5" t="s">
        <v>329</v>
      </c>
      <c r="B185" s="5" t="s">
        <v>346</v>
      </c>
      <c r="C185" s="7">
        <v>6</v>
      </c>
      <c r="D185" s="7">
        <v>6</v>
      </c>
      <c r="E185" s="7">
        <v>0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7">
        <v>0</v>
      </c>
      <c r="BG185" s="21"/>
    </row>
    <row r="186" spans="1:59" ht="15.6" x14ac:dyDescent="0.3">
      <c r="A186" s="5" t="s">
        <v>331</v>
      </c>
      <c r="B186" s="5" t="s">
        <v>347</v>
      </c>
      <c r="C186" s="7">
        <v>6</v>
      </c>
      <c r="D186" s="7">
        <v>6</v>
      </c>
      <c r="E186" s="7">
        <v>1.9019999999999999</v>
      </c>
      <c r="F186" s="7">
        <v>0.59599999999999997</v>
      </c>
      <c r="G186" s="7">
        <v>0</v>
      </c>
      <c r="H186" s="7">
        <v>0</v>
      </c>
      <c r="I186" s="7">
        <v>0.03</v>
      </c>
      <c r="J186" s="7">
        <v>0</v>
      </c>
      <c r="K186" s="7">
        <v>2.6739999999999999</v>
      </c>
      <c r="L186" s="7">
        <v>0.154</v>
      </c>
      <c r="M186" s="7">
        <v>0</v>
      </c>
      <c r="N186" s="7">
        <v>0.29199999999999998</v>
      </c>
      <c r="O186" s="7">
        <v>7.2460000000000004</v>
      </c>
      <c r="P186" s="7">
        <v>0.34899999999999998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0.17899999999999999</v>
      </c>
      <c r="W186" s="7">
        <v>0</v>
      </c>
      <c r="X186" s="7">
        <v>0</v>
      </c>
      <c r="Y186" s="7">
        <v>0</v>
      </c>
      <c r="Z186" s="7">
        <v>0</v>
      </c>
      <c r="AA186" s="7">
        <v>0.04</v>
      </c>
      <c r="AB186" s="7">
        <v>0</v>
      </c>
      <c r="AC186" s="7">
        <v>1.0820000000000001</v>
      </c>
      <c r="AD186" s="7">
        <v>0</v>
      </c>
      <c r="AE186" s="7">
        <v>0</v>
      </c>
      <c r="AF186" s="7">
        <v>0</v>
      </c>
      <c r="AG186" s="7">
        <v>9.6000000000000002E-2</v>
      </c>
      <c r="AH186" s="7">
        <v>0</v>
      </c>
      <c r="AI186" s="7">
        <v>2.6139999999999999</v>
      </c>
      <c r="AJ186" s="7">
        <v>1.4610000000000001</v>
      </c>
      <c r="AK186" s="7">
        <v>0</v>
      </c>
      <c r="AL186" s="7">
        <v>9.0630000000000006</v>
      </c>
      <c r="AM186" s="7">
        <v>2.7879999999999998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4.0000000000000001E-3</v>
      </c>
      <c r="AV186" s="7">
        <v>0</v>
      </c>
      <c r="AW186" s="7">
        <v>0</v>
      </c>
      <c r="AX186" s="7">
        <v>0.42</v>
      </c>
      <c r="AY186" s="7">
        <v>0</v>
      </c>
      <c r="AZ186" s="7">
        <v>2E-3</v>
      </c>
      <c r="BA186" s="7">
        <v>0</v>
      </c>
      <c r="BB186" s="7">
        <v>1.2999999999999999E-2</v>
      </c>
      <c r="BC186" s="7">
        <v>0</v>
      </c>
      <c r="BD186" s="7">
        <v>0</v>
      </c>
      <c r="BE186" s="7">
        <v>0</v>
      </c>
      <c r="BF186" s="7">
        <v>0</v>
      </c>
      <c r="BG186" s="21"/>
    </row>
    <row r="187" spans="1:59" ht="15.6" x14ac:dyDescent="0.3">
      <c r="A187" s="5" t="s">
        <v>333</v>
      </c>
      <c r="B187" s="5" t="s">
        <v>348</v>
      </c>
      <c r="C187" s="7">
        <v>6</v>
      </c>
      <c r="D187" s="7">
        <v>6</v>
      </c>
      <c r="E187" s="7">
        <v>-39.601999999999997</v>
      </c>
      <c r="F187" s="7">
        <v>-12.417</v>
      </c>
      <c r="G187" s="7">
        <v>0</v>
      </c>
      <c r="H187" s="7">
        <v>0</v>
      </c>
      <c r="I187" s="7">
        <v>-0.61399999999999999</v>
      </c>
      <c r="J187" s="7">
        <v>0</v>
      </c>
      <c r="K187" s="7">
        <v>-55.682000000000002</v>
      </c>
      <c r="L187" s="7">
        <v>-3.2080000000000002</v>
      </c>
      <c r="M187" s="7">
        <v>0</v>
      </c>
      <c r="N187" s="7">
        <v>-6.0860000000000003</v>
      </c>
      <c r="O187" s="7">
        <v>-150.86099999999999</v>
      </c>
      <c r="P187" s="7">
        <v>-7.27</v>
      </c>
      <c r="Q187" s="7">
        <v>0</v>
      </c>
      <c r="R187" s="7">
        <v>0</v>
      </c>
      <c r="S187" s="7">
        <v>-6.0000000000000001E-3</v>
      </c>
      <c r="T187" s="7">
        <v>0</v>
      </c>
      <c r="U187" s="7">
        <v>0</v>
      </c>
      <c r="V187" s="7">
        <v>-3.7269999999999999</v>
      </c>
      <c r="W187" s="7">
        <v>0</v>
      </c>
      <c r="X187" s="7">
        <v>0</v>
      </c>
      <c r="Y187" s="7">
        <v>0</v>
      </c>
      <c r="Z187" s="7">
        <v>0</v>
      </c>
      <c r="AA187" s="7">
        <v>-0.82599999999999996</v>
      </c>
      <c r="AB187" s="7">
        <v>0</v>
      </c>
      <c r="AC187" s="7">
        <v>-22.526</v>
      </c>
      <c r="AD187" s="7">
        <v>0</v>
      </c>
      <c r="AE187" s="7">
        <v>0</v>
      </c>
      <c r="AF187" s="7">
        <v>0</v>
      </c>
      <c r="AG187" s="7">
        <v>-1.994</v>
      </c>
      <c r="AH187" s="7">
        <v>0</v>
      </c>
      <c r="AI187" s="7">
        <v>-54.424999999999997</v>
      </c>
      <c r="AJ187" s="7">
        <v>-30.414999999999999</v>
      </c>
      <c r="AK187" s="7">
        <v>0</v>
      </c>
      <c r="AL187" s="7">
        <v>-188.71</v>
      </c>
      <c r="AM187" s="7">
        <v>-58.057000000000002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-7.8E-2</v>
      </c>
      <c r="AV187" s="7">
        <v>0</v>
      </c>
      <c r="AW187" s="7">
        <v>0</v>
      </c>
      <c r="AX187" s="7">
        <v>-8.7439999999999998</v>
      </c>
      <c r="AY187" s="7">
        <v>0</v>
      </c>
      <c r="AZ187" s="7">
        <v>-3.3000000000000002E-2</v>
      </c>
      <c r="BA187" s="7">
        <v>0</v>
      </c>
      <c r="BB187" s="7">
        <v>-0.26600000000000001</v>
      </c>
      <c r="BC187" s="7">
        <v>0</v>
      </c>
      <c r="BD187" s="7">
        <v>0</v>
      </c>
      <c r="BE187" s="7">
        <v>0</v>
      </c>
      <c r="BF187" s="7">
        <v>0</v>
      </c>
      <c r="BG187" s="21"/>
    </row>
    <row r="188" spans="1:59" ht="15.6" x14ac:dyDescent="0.3">
      <c r="A188" s="5" t="s">
        <v>335</v>
      </c>
      <c r="B188" s="5" t="s">
        <v>349</v>
      </c>
      <c r="C188" s="7">
        <v>6</v>
      </c>
      <c r="D188" s="7">
        <v>6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F188" s="7">
        <v>0</v>
      </c>
      <c r="BG188" s="21"/>
    </row>
    <row r="189" spans="1:59" ht="15.6" x14ac:dyDescent="0.3">
      <c r="A189" s="5" t="s">
        <v>337</v>
      </c>
      <c r="B189" s="5" t="s">
        <v>350</v>
      </c>
      <c r="C189" s="7">
        <v>6</v>
      </c>
      <c r="D189" s="7">
        <v>6</v>
      </c>
      <c r="E189" s="7">
        <v>0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F189" s="7">
        <v>0</v>
      </c>
      <c r="BG189" s="21"/>
    </row>
    <row r="190" spans="1:59" ht="15.6" x14ac:dyDescent="0.3">
      <c r="A190" s="5" t="s">
        <v>339</v>
      </c>
      <c r="B190" s="5" t="s">
        <v>351</v>
      </c>
      <c r="C190" s="7">
        <v>6</v>
      </c>
      <c r="D190" s="7">
        <v>6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21"/>
    </row>
    <row r="191" spans="1:59" ht="15.6" x14ac:dyDescent="0.3">
      <c r="A191" s="5" t="s">
        <v>341</v>
      </c>
      <c r="B191" s="5" t="s">
        <v>352</v>
      </c>
      <c r="C191" s="7">
        <v>6</v>
      </c>
      <c r="D191" s="7">
        <v>6</v>
      </c>
      <c r="E191" s="7">
        <v>0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7">
        <v>0</v>
      </c>
      <c r="BG191" s="21"/>
    </row>
    <row r="192" spans="1:59" ht="15.6" x14ac:dyDescent="0.3">
      <c r="A192" s="5" t="s">
        <v>353</v>
      </c>
      <c r="B192" s="5" t="s">
        <v>354</v>
      </c>
      <c r="C192" s="7">
        <v>6</v>
      </c>
      <c r="D192" s="7">
        <v>6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F192" s="7">
        <v>0</v>
      </c>
      <c r="BG192" s="21"/>
    </row>
    <row r="193" spans="1:59" ht="15.6" x14ac:dyDescent="0.3">
      <c r="A193" s="5" t="s">
        <v>355</v>
      </c>
      <c r="B193" s="5" t="s">
        <v>356</v>
      </c>
      <c r="C193" s="7">
        <v>6</v>
      </c>
      <c r="D193" s="7">
        <v>6</v>
      </c>
      <c r="E193" s="7">
        <v>0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F193" s="7">
        <v>0</v>
      </c>
      <c r="BG193" s="21"/>
    </row>
    <row r="194" spans="1:59" ht="15.6" x14ac:dyDescent="0.3">
      <c r="A194" s="5" t="s">
        <v>357</v>
      </c>
      <c r="B194" s="5" t="s">
        <v>358</v>
      </c>
      <c r="C194" s="7">
        <v>6</v>
      </c>
      <c r="D194" s="7">
        <v>6</v>
      </c>
      <c r="E194" s="7">
        <v>29.661999999999999</v>
      </c>
      <c r="F194" s="7">
        <v>3.331</v>
      </c>
      <c r="G194" s="7">
        <v>12.95</v>
      </c>
      <c r="H194" s="7">
        <v>0</v>
      </c>
      <c r="I194" s="7">
        <v>0.92300000000000004</v>
      </c>
      <c r="J194" s="7">
        <v>8.859</v>
      </c>
      <c r="K194" s="7">
        <v>3.448</v>
      </c>
      <c r="L194" s="7">
        <v>8.6579999999999995</v>
      </c>
      <c r="M194" s="7">
        <v>0</v>
      </c>
      <c r="N194" s="7">
        <v>19.07</v>
      </c>
      <c r="O194" s="7">
        <v>12.333</v>
      </c>
      <c r="P194" s="7">
        <v>18.303999999999998</v>
      </c>
      <c r="Q194" s="7">
        <v>0</v>
      </c>
      <c r="R194" s="7">
        <v>0</v>
      </c>
      <c r="S194" s="7">
        <v>8.9999999999999993E-3</v>
      </c>
      <c r="T194" s="7">
        <v>0</v>
      </c>
      <c r="U194" s="7">
        <v>0</v>
      </c>
      <c r="V194" s="7">
        <v>1.3080000000000001</v>
      </c>
      <c r="W194" s="7">
        <v>0</v>
      </c>
      <c r="X194" s="7">
        <v>0</v>
      </c>
      <c r="Y194" s="7">
        <v>0</v>
      </c>
      <c r="Z194" s="7">
        <v>0.79700000000000004</v>
      </c>
      <c r="AA194" s="7">
        <v>2.6480000000000001</v>
      </c>
      <c r="AB194" s="7">
        <v>0</v>
      </c>
      <c r="AC194" s="7">
        <v>3.948</v>
      </c>
      <c r="AD194" s="7">
        <v>0</v>
      </c>
      <c r="AE194" s="7">
        <v>10.324</v>
      </c>
      <c r="AF194" s="7">
        <v>0</v>
      </c>
      <c r="AG194" s="7">
        <v>0.50800000000000001</v>
      </c>
      <c r="AH194" s="7">
        <v>0</v>
      </c>
      <c r="AI194" s="7">
        <v>9.1920000000000002</v>
      </c>
      <c r="AJ194" s="7">
        <v>0</v>
      </c>
      <c r="AK194" s="7">
        <v>0</v>
      </c>
      <c r="AL194" s="7">
        <v>42.164000000000001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5.7000000000000002E-2</v>
      </c>
      <c r="AV194" s="7">
        <v>0</v>
      </c>
      <c r="AW194" s="7">
        <v>0</v>
      </c>
      <c r="AX194" s="7">
        <v>0</v>
      </c>
      <c r="AY194" s="7">
        <v>0</v>
      </c>
      <c r="AZ194" s="7">
        <v>5.0000000000000001E-3</v>
      </c>
      <c r="BA194" s="7">
        <v>0</v>
      </c>
      <c r="BB194" s="7">
        <v>0.32</v>
      </c>
      <c r="BC194" s="7">
        <v>0</v>
      </c>
      <c r="BD194" s="7">
        <v>0</v>
      </c>
      <c r="BE194" s="7">
        <v>0</v>
      </c>
      <c r="BF194" s="7">
        <v>0</v>
      </c>
      <c r="BG194" s="21"/>
    </row>
    <row r="195" spans="1:59" ht="15.6" x14ac:dyDescent="0.3">
      <c r="A195" s="5" t="s">
        <v>359</v>
      </c>
      <c r="B195" s="5" t="s">
        <v>360</v>
      </c>
      <c r="C195" s="7">
        <v>6</v>
      </c>
      <c r="D195" s="7">
        <v>6</v>
      </c>
      <c r="E195" s="7">
        <v>0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  <c r="AZ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F195" s="7">
        <v>0</v>
      </c>
      <c r="BG195" s="21"/>
    </row>
    <row r="196" spans="1:59" ht="15.6" x14ac:dyDescent="0.3">
      <c r="A196" s="5" t="s">
        <v>361</v>
      </c>
      <c r="B196" s="5" t="s">
        <v>362</v>
      </c>
      <c r="C196" s="7">
        <v>6</v>
      </c>
      <c r="D196" s="7">
        <v>6</v>
      </c>
      <c r="E196" s="7">
        <v>162.75200000000001</v>
      </c>
      <c r="F196" s="7">
        <v>0</v>
      </c>
      <c r="G196" s="7">
        <v>39.630000000000003</v>
      </c>
      <c r="H196" s="7">
        <v>0</v>
      </c>
      <c r="I196" s="7">
        <v>0</v>
      </c>
      <c r="J196" s="7">
        <v>68.933000000000007</v>
      </c>
      <c r="K196" s="7">
        <v>0</v>
      </c>
      <c r="L196" s="7">
        <v>0</v>
      </c>
      <c r="M196" s="7">
        <v>0</v>
      </c>
      <c r="N196" s="7">
        <v>0</v>
      </c>
      <c r="O196" s="7">
        <v>585.38199999999995</v>
      </c>
      <c r="P196" s="7">
        <v>84.882000000000005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501.81099999999998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F196" s="7">
        <v>0</v>
      </c>
      <c r="BG196" s="21"/>
    </row>
    <row r="197" spans="1:59" ht="15.6" x14ac:dyDescent="0.3">
      <c r="A197" s="5" t="s">
        <v>363</v>
      </c>
      <c r="B197" s="5" t="s">
        <v>364</v>
      </c>
      <c r="C197" s="7">
        <v>6</v>
      </c>
      <c r="D197" s="7">
        <v>6</v>
      </c>
      <c r="E197" s="7">
        <v>0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7">
        <v>0</v>
      </c>
      <c r="BG197" s="21"/>
    </row>
    <row r="198" spans="1:59" ht="15.6" x14ac:dyDescent="0.3">
      <c r="A198" s="5" t="s">
        <v>365</v>
      </c>
      <c r="B198" s="5" t="s">
        <v>366</v>
      </c>
      <c r="C198" s="7">
        <v>6</v>
      </c>
      <c r="D198" s="7">
        <v>6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21"/>
    </row>
    <row r="199" spans="1:59" ht="15.6" x14ac:dyDescent="0.3">
      <c r="A199" s="5" t="s">
        <v>367</v>
      </c>
      <c r="B199" s="5" t="s">
        <v>368</v>
      </c>
      <c r="C199" s="7">
        <v>6</v>
      </c>
      <c r="D199" s="7">
        <v>6</v>
      </c>
      <c r="E199" s="7">
        <v>0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F199" s="7">
        <v>0</v>
      </c>
      <c r="BG199" s="21"/>
    </row>
    <row r="200" spans="1:59" ht="15.6" x14ac:dyDescent="0.3">
      <c r="A200" s="5" t="s">
        <v>369</v>
      </c>
      <c r="B200" s="5" t="s">
        <v>370</v>
      </c>
      <c r="C200" s="7">
        <v>6</v>
      </c>
      <c r="D200" s="7">
        <v>6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F200" s="7">
        <v>0</v>
      </c>
      <c r="BG200" s="21"/>
    </row>
    <row r="201" spans="1:59" ht="15.6" x14ac:dyDescent="0.3">
      <c r="A201" s="5" t="s">
        <v>371</v>
      </c>
      <c r="B201" s="5" t="s">
        <v>372</v>
      </c>
      <c r="C201" s="7">
        <v>6</v>
      </c>
      <c r="D201" s="7">
        <v>6</v>
      </c>
      <c r="E201" s="7">
        <v>0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F201" s="7">
        <v>0</v>
      </c>
      <c r="BG201" s="21"/>
    </row>
    <row r="202" spans="1:59" ht="15.6" x14ac:dyDescent="0.3">
      <c r="A202" s="5" t="s">
        <v>373</v>
      </c>
      <c r="B202" s="5" t="s">
        <v>374</v>
      </c>
      <c r="C202" s="7">
        <v>3</v>
      </c>
      <c r="D202" s="7">
        <v>6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21"/>
    </row>
    <row r="203" spans="1:59" ht="15.6" x14ac:dyDescent="0.3">
      <c r="A203" s="5" t="s">
        <v>375</v>
      </c>
      <c r="B203" s="5" t="s">
        <v>376</v>
      </c>
      <c r="C203" s="7">
        <v>6</v>
      </c>
      <c r="D203" s="7">
        <v>6</v>
      </c>
      <c r="E203" s="7">
        <v>0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21"/>
    </row>
    <row r="204" spans="1:59" ht="15.6" x14ac:dyDescent="0.3">
      <c r="A204" s="5" t="s">
        <v>377</v>
      </c>
      <c r="B204" s="5" t="s">
        <v>378</v>
      </c>
      <c r="C204" s="7">
        <v>6</v>
      </c>
      <c r="D204" s="7">
        <v>6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21"/>
    </row>
    <row r="205" spans="1:59" ht="15.6" x14ac:dyDescent="0.3">
      <c r="A205" s="5" t="s">
        <v>379</v>
      </c>
      <c r="B205" s="5" t="s">
        <v>380</v>
      </c>
      <c r="C205" s="7">
        <v>6</v>
      </c>
      <c r="D205" s="7">
        <v>6</v>
      </c>
      <c r="E205" s="7">
        <v>0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21"/>
    </row>
    <row r="206" spans="1:59" ht="15.6" x14ac:dyDescent="0.3">
      <c r="A206" s="5" t="s">
        <v>381</v>
      </c>
      <c r="B206" s="5" t="s">
        <v>382</v>
      </c>
      <c r="C206" s="7">
        <v>6</v>
      </c>
      <c r="D206" s="7">
        <v>6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21"/>
    </row>
    <row r="207" spans="1:59" ht="15.6" x14ac:dyDescent="0.3">
      <c r="A207" s="5" t="s">
        <v>383</v>
      </c>
      <c r="B207" s="5" t="s">
        <v>384</v>
      </c>
      <c r="C207" s="7">
        <v>6</v>
      </c>
      <c r="D207" s="7">
        <v>6</v>
      </c>
      <c r="E207" s="7">
        <v>0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7">
        <v>0</v>
      </c>
      <c r="BG207" s="21"/>
    </row>
    <row r="208" spans="1:59" ht="15.6" x14ac:dyDescent="0.3">
      <c r="A208" s="5" t="s">
        <v>385</v>
      </c>
      <c r="B208" s="5" t="s">
        <v>386</v>
      </c>
      <c r="C208" s="7">
        <v>6</v>
      </c>
      <c r="D208" s="7">
        <v>6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F208" s="7">
        <v>0</v>
      </c>
      <c r="BG208" s="21"/>
    </row>
    <row r="209" spans="1:59" ht="15.6" x14ac:dyDescent="0.3">
      <c r="A209" s="5" t="s">
        <v>387</v>
      </c>
      <c r="B209" s="5" t="s">
        <v>388</v>
      </c>
      <c r="C209" s="7">
        <v>6</v>
      </c>
      <c r="D209" s="7">
        <v>6</v>
      </c>
      <c r="E209" s="7">
        <v>0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21"/>
    </row>
    <row r="210" spans="1:59" ht="15.6" x14ac:dyDescent="0.3">
      <c r="A210" s="5" t="s">
        <v>389</v>
      </c>
      <c r="B210" s="5" t="s">
        <v>390</v>
      </c>
      <c r="C210" s="7">
        <v>6</v>
      </c>
      <c r="D210" s="7">
        <v>6</v>
      </c>
      <c r="E210" s="7">
        <v>0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21"/>
    </row>
    <row r="211" spans="1:59" ht="15.6" x14ac:dyDescent="0.3">
      <c r="A211" s="5" t="s">
        <v>391</v>
      </c>
      <c r="B211" s="5" t="s">
        <v>392</v>
      </c>
      <c r="C211" s="7">
        <v>6</v>
      </c>
      <c r="D211" s="7">
        <v>6</v>
      </c>
      <c r="E211" s="7">
        <v>0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21"/>
    </row>
    <row r="212" spans="1:59" ht="15.6" x14ac:dyDescent="0.3">
      <c r="A212" s="5" t="s">
        <v>393</v>
      </c>
      <c r="B212" s="5" t="s">
        <v>394</v>
      </c>
      <c r="C212" s="7">
        <v>6</v>
      </c>
      <c r="D212" s="7">
        <v>6</v>
      </c>
      <c r="E212" s="7">
        <v>0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7">
        <v>0</v>
      </c>
      <c r="BG212" s="21"/>
    </row>
    <row r="213" spans="1:59" ht="15.6" x14ac:dyDescent="0.3">
      <c r="A213" s="5" t="s">
        <v>395</v>
      </c>
      <c r="B213" s="5" t="s">
        <v>396</v>
      </c>
      <c r="C213" s="7">
        <v>6</v>
      </c>
      <c r="D213" s="7">
        <v>6</v>
      </c>
      <c r="E213" s="7">
        <v>0</v>
      </c>
      <c r="F213" s="7">
        <v>0</v>
      </c>
      <c r="G213" s="7">
        <v>0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7">
        <v>0</v>
      </c>
      <c r="BG213" s="21"/>
    </row>
    <row r="214" spans="1:59" ht="15.6" x14ac:dyDescent="0.3">
      <c r="A214" s="5" t="s">
        <v>353</v>
      </c>
      <c r="B214" s="5" t="s">
        <v>397</v>
      </c>
      <c r="C214" s="7">
        <v>6</v>
      </c>
      <c r="D214" s="7">
        <v>6</v>
      </c>
      <c r="E214" s="7">
        <v>1028.827</v>
      </c>
      <c r="F214" s="7">
        <v>144.24</v>
      </c>
      <c r="G214" s="7">
        <v>243.559</v>
      </c>
      <c r="H214" s="7">
        <v>1.417</v>
      </c>
      <c r="I214" s="7">
        <v>36.661000000000001</v>
      </c>
      <c r="J214" s="7">
        <v>133.494</v>
      </c>
      <c r="K214" s="7">
        <v>1127.5530000000001</v>
      </c>
      <c r="L214" s="7">
        <v>100.336</v>
      </c>
      <c r="M214" s="7">
        <v>0</v>
      </c>
      <c r="N214" s="7">
        <v>519.61699999999996</v>
      </c>
      <c r="O214" s="7">
        <v>1195.095</v>
      </c>
      <c r="P214" s="7">
        <v>527.31500000000005</v>
      </c>
      <c r="Q214" s="7">
        <v>0</v>
      </c>
      <c r="R214" s="7">
        <v>0</v>
      </c>
      <c r="S214" s="7">
        <v>7.141</v>
      </c>
      <c r="T214" s="7">
        <v>0</v>
      </c>
      <c r="U214" s="7">
        <v>0.217</v>
      </c>
      <c r="V214" s="7">
        <v>0</v>
      </c>
      <c r="W214" s="7">
        <v>0</v>
      </c>
      <c r="X214" s="7">
        <v>0</v>
      </c>
      <c r="Y214" s="7">
        <v>0</v>
      </c>
      <c r="Z214" s="7">
        <v>15.558</v>
      </c>
      <c r="AA214" s="7">
        <v>51.6</v>
      </c>
      <c r="AB214" s="7">
        <v>0</v>
      </c>
      <c r="AC214" s="7">
        <v>416.69799999999998</v>
      </c>
      <c r="AD214" s="7">
        <v>0</v>
      </c>
      <c r="AE214" s="7">
        <v>143.95099999999999</v>
      </c>
      <c r="AF214" s="7">
        <v>0</v>
      </c>
      <c r="AG214" s="7">
        <v>24.350999999999999</v>
      </c>
      <c r="AH214" s="7">
        <v>0</v>
      </c>
      <c r="AI214" s="7">
        <v>1290.6410000000001</v>
      </c>
      <c r="AJ214" s="7">
        <v>0</v>
      </c>
      <c r="AK214" s="7">
        <v>0</v>
      </c>
      <c r="AL214" s="7">
        <v>2097.5259999999998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21"/>
    </row>
    <row r="215" spans="1:59" ht="15.6" x14ac:dyDescent="0.3">
      <c r="A215" s="5" t="s">
        <v>355</v>
      </c>
      <c r="B215" s="5" t="s">
        <v>398</v>
      </c>
      <c r="C215" s="7">
        <v>6</v>
      </c>
      <c r="D215" s="7">
        <v>6</v>
      </c>
      <c r="E215" s="7">
        <v>0</v>
      </c>
      <c r="F215" s="7">
        <v>0</v>
      </c>
      <c r="G215" s="7">
        <v>0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7">
        <v>0</v>
      </c>
      <c r="BG215" s="21"/>
    </row>
    <row r="216" spans="1:59" ht="15.6" x14ac:dyDescent="0.3">
      <c r="A216" s="5" t="s">
        <v>357</v>
      </c>
      <c r="B216" s="5" t="s">
        <v>399</v>
      </c>
      <c r="C216" s="7">
        <v>6</v>
      </c>
      <c r="D216" s="7">
        <v>6</v>
      </c>
      <c r="E216" s="7">
        <v>0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F216" s="7">
        <v>0</v>
      </c>
      <c r="BG216" s="21"/>
    </row>
    <row r="217" spans="1:59" ht="15.6" x14ac:dyDescent="0.3">
      <c r="A217" s="5" t="s">
        <v>359</v>
      </c>
      <c r="B217" s="5" t="s">
        <v>400</v>
      </c>
      <c r="C217" s="7">
        <v>6</v>
      </c>
      <c r="D217" s="7">
        <v>6</v>
      </c>
      <c r="E217" s="7">
        <v>0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21"/>
    </row>
    <row r="218" spans="1:59" ht="15.6" x14ac:dyDescent="0.3">
      <c r="A218" s="5" t="s">
        <v>361</v>
      </c>
      <c r="B218" s="5" t="s">
        <v>401</v>
      </c>
      <c r="C218" s="7">
        <v>6</v>
      </c>
      <c r="D218" s="7">
        <v>6</v>
      </c>
      <c r="E218" s="7">
        <v>0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7">
        <v>0</v>
      </c>
      <c r="BG218" s="21"/>
    </row>
    <row r="219" spans="1:59" ht="15.6" x14ac:dyDescent="0.3">
      <c r="A219" s="5" t="s">
        <v>363</v>
      </c>
      <c r="B219" s="5" t="s">
        <v>402</v>
      </c>
      <c r="C219" s="7">
        <v>6</v>
      </c>
      <c r="D219" s="7">
        <v>6</v>
      </c>
      <c r="E219" s="7">
        <v>8.0000000000000002E-3</v>
      </c>
      <c r="F219" s="7">
        <v>0</v>
      </c>
      <c r="G219" s="7">
        <v>0</v>
      </c>
      <c r="H219" s="7">
        <v>0</v>
      </c>
      <c r="I219" s="7">
        <v>1.0999999999999999E-2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5.5E-2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0.14099999999999999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F219" s="7">
        <v>0</v>
      </c>
      <c r="BG219" s="21"/>
    </row>
    <row r="220" spans="1:59" ht="15.6" x14ac:dyDescent="0.3">
      <c r="A220" s="5" t="s">
        <v>365</v>
      </c>
      <c r="B220" s="5" t="s">
        <v>403</v>
      </c>
      <c r="C220" s="7">
        <v>6</v>
      </c>
      <c r="D220" s="7">
        <v>6</v>
      </c>
      <c r="E220" s="7">
        <v>0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F220" s="7">
        <v>0</v>
      </c>
      <c r="BG220" s="21"/>
    </row>
    <row r="221" spans="1:59" ht="15.6" x14ac:dyDescent="0.3">
      <c r="A221" s="5" t="s">
        <v>367</v>
      </c>
      <c r="B221" s="5" t="s">
        <v>404</v>
      </c>
      <c r="C221" s="7">
        <v>6</v>
      </c>
      <c r="D221" s="7">
        <v>6</v>
      </c>
      <c r="E221" s="7">
        <v>0</v>
      </c>
      <c r="F221" s="7">
        <v>0</v>
      </c>
      <c r="G221" s="7">
        <v>0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F221" s="7">
        <v>0</v>
      </c>
      <c r="BG221" s="21"/>
    </row>
    <row r="222" spans="1:59" ht="15.6" x14ac:dyDescent="0.3">
      <c r="A222" s="5" t="s">
        <v>369</v>
      </c>
      <c r="B222" s="5" t="s">
        <v>405</v>
      </c>
      <c r="C222" s="7">
        <v>6</v>
      </c>
      <c r="D222" s="7">
        <v>6</v>
      </c>
      <c r="E222" s="7">
        <v>0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0</v>
      </c>
      <c r="AR222" s="7">
        <v>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0</v>
      </c>
      <c r="AY222" s="7">
        <v>0</v>
      </c>
      <c r="AZ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F222" s="7">
        <v>0</v>
      </c>
      <c r="BG222" s="21"/>
    </row>
    <row r="223" spans="1:59" ht="15.6" x14ac:dyDescent="0.3">
      <c r="A223" s="5" t="s">
        <v>371</v>
      </c>
      <c r="B223" s="5" t="s">
        <v>406</v>
      </c>
      <c r="C223" s="7">
        <v>6</v>
      </c>
      <c r="D223" s="7">
        <v>6</v>
      </c>
      <c r="E223" s="7">
        <v>0</v>
      </c>
      <c r="F223" s="7">
        <v>0</v>
      </c>
      <c r="G223" s="7">
        <v>0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7">
        <v>0</v>
      </c>
      <c r="BG223" s="21"/>
    </row>
    <row r="224" spans="1:59" ht="15.6" x14ac:dyDescent="0.3">
      <c r="A224" s="5" t="s">
        <v>373</v>
      </c>
      <c r="B224" s="5" t="s">
        <v>407</v>
      </c>
      <c r="C224" s="7">
        <v>6</v>
      </c>
      <c r="D224" s="7">
        <v>6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21"/>
    </row>
    <row r="225" spans="1:59" ht="15.6" x14ac:dyDescent="0.3">
      <c r="A225" s="5" t="s">
        <v>375</v>
      </c>
      <c r="B225" s="5" t="s">
        <v>408</v>
      </c>
      <c r="C225" s="7">
        <v>6</v>
      </c>
      <c r="D225" s="7">
        <v>6</v>
      </c>
      <c r="E225" s="7">
        <v>0</v>
      </c>
      <c r="F225" s="7">
        <v>0</v>
      </c>
      <c r="G225" s="7">
        <v>0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7">
        <v>0</v>
      </c>
      <c r="BG225" s="21"/>
    </row>
    <row r="226" spans="1:59" ht="15.6" x14ac:dyDescent="0.3">
      <c r="A226" s="5" t="s">
        <v>377</v>
      </c>
      <c r="B226" s="5" t="s">
        <v>409</v>
      </c>
      <c r="C226" s="7">
        <v>6</v>
      </c>
      <c r="D226" s="7">
        <v>6</v>
      </c>
      <c r="E226" s="7">
        <v>0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F226" s="7">
        <v>0</v>
      </c>
      <c r="BG226" s="21"/>
    </row>
    <row r="227" spans="1:59" ht="15.6" x14ac:dyDescent="0.3">
      <c r="A227" s="5" t="s">
        <v>379</v>
      </c>
      <c r="B227" s="5" t="s">
        <v>410</v>
      </c>
      <c r="C227" s="7">
        <v>6</v>
      </c>
      <c r="D227" s="7">
        <v>6</v>
      </c>
      <c r="E227" s="7">
        <v>0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F227" s="7">
        <v>0</v>
      </c>
      <c r="BG227" s="21"/>
    </row>
    <row r="228" spans="1:59" ht="15.6" x14ac:dyDescent="0.3">
      <c r="A228" s="5" t="s">
        <v>381</v>
      </c>
      <c r="B228" s="5" t="s">
        <v>411</v>
      </c>
      <c r="C228" s="7">
        <v>6</v>
      </c>
      <c r="D228" s="7">
        <v>6</v>
      </c>
      <c r="E228" s="7">
        <v>0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7">
        <v>0</v>
      </c>
      <c r="BG228" s="21"/>
    </row>
    <row r="229" spans="1:59" ht="15.6" x14ac:dyDescent="0.3">
      <c r="A229" s="5" t="s">
        <v>383</v>
      </c>
      <c r="B229" s="5" t="s">
        <v>412</v>
      </c>
      <c r="C229" s="7">
        <v>6</v>
      </c>
      <c r="D229" s="7">
        <v>6</v>
      </c>
      <c r="E229" s="7">
        <v>0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21"/>
    </row>
    <row r="230" spans="1:59" ht="15.6" x14ac:dyDescent="0.3">
      <c r="A230" s="5" t="s">
        <v>385</v>
      </c>
      <c r="B230" s="5" t="s">
        <v>413</v>
      </c>
      <c r="C230" s="7">
        <v>6</v>
      </c>
      <c r="D230" s="7">
        <v>6</v>
      </c>
      <c r="E230" s="7">
        <v>0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21"/>
    </row>
    <row r="231" spans="1:59" ht="15.6" x14ac:dyDescent="0.3">
      <c r="A231" s="5" t="s">
        <v>387</v>
      </c>
      <c r="B231" s="5" t="s">
        <v>414</v>
      </c>
      <c r="C231" s="7">
        <v>6</v>
      </c>
      <c r="D231" s="7">
        <v>6</v>
      </c>
      <c r="E231" s="7">
        <v>0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F231" s="7">
        <v>0</v>
      </c>
      <c r="BG231" s="21"/>
    </row>
    <row r="232" spans="1:59" ht="15.6" x14ac:dyDescent="0.3">
      <c r="A232" s="5" t="s">
        <v>389</v>
      </c>
      <c r="B232" s="5" t="s">
        <v>415</v>
      </c>
      <c r="C232" s="7">
        <v>6</v>
      </c>
      <c r="D232" s="7">
        <v>6</v>
      </c>
      <c r="E232" s="7">
        <v>0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F232" s="7">
        <v>0</v>
      </c>
      <c r="BG232" s="21"/>
    </row>
    <row r="233" spans="1:59" ht="15.6" x14ac:dyDescent="0.3">
      <c r="A233" s="5" t="s">
        <v>391</v>
      </c>
      <c r="B233" s="5" t="s">
        <v>416</v>
      </c>
      <c r="C233" s="7">
        <v>6</v>
      </c>
      <c r="D233" s="7">
        <v>6</v>
      </c>
      <c r="E233" s="7">
        <v>0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7">
        <v>0</v>
      </c>
      <c r="BG233" s="21"/>
    </row>
    <row r="234" spans="1:59" ht="15.6" x14ac:dyDescent="0.3">
      <c r="A234" s="5" t="s">
        <v>393</v>
      </c>
      <c r="B234" s="5" t="s">
        <v>417</v>
      </c>
      <c r="C234" s="7">
        <v>6</v>
      </c>
      <c r="D234" s="7">
        <v>6</v>
      </c>
      <c r="E234" s="7">
        <v>0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7">
        <v>0</v>
      </c>
      <c r="BG234" s="21"/>
    </row>
    <row r="235" spans="1:59" ht="15.6" x14ac:dyDescent="0.3">
      <c r="A235" s="5" t="s">
        <v>395</v>
      </c>
      <c r="B235" s="5" t="s">
        <v>418</v>
      </c>
      <c r="C235" s="7">
        <v>6</v>
      </c>
      <c r="D235" s="7">
        <v>6</v>
      </c>
      <c r="E235" s="7">
        <v>0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21"/>
    </row>
    <row r="236" spans="1:59" ht="15.6" x14ac:dyDescent="0.3">
      <c r="A236" s="5" t="s">
        <v>419</v>
      </c>
      <c r="B236" s="5" t="s">
        <v>420</v>
      </c>
      <c r="C236" s="7">
        <v>6</v>
      </c>
      <c r="D236" s="7">
        <v>6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21"/>
    </row>
    <row r="237" spans="1:59" ht="15.6" x14ac:dyDescent="0.3">
      <c r="A237" s="5" t="s">
        <v>421</v>
      </c>
      <c r="B237" s="5" t="s">
        <v>422</v>
      </c>
      <c r="C237" s="7">
        <v>6</v>
      </c>
      <c r="D237" s="7">
        <v>6</v>
      </c>
      <c r="E237" s="7">
        <v>0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21"/>
    </row>
    <row r="238" spans="1:59" ht="15.6" x14ac:dyDescent="0.3">
      <c r="A238" s="5" t="s">
        <v>423</v>
      </c>
      <c r="B238" s="5" t="s">
        <v>424</v>
      </c>
      <c r="C238" s="7">
        <v>6</v>
      </c>
      <c r="D238" s="7">
        <v>6</v>
      </c>
      <c r="E238" s="7">
        <v>0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21"/>
    </row>
    <row r="239" spans="1:59" ht="15.6" x14ac:dyDescent="0.3">
      <c r="A239" s="5" t="s">
        <v>425</v>
      </c>
      <c r="B239" s="5" t="s">
        <v>426</v>
      </c>
      <c r="C239" s="7">
        <v>6</v>
      </c>
      <c r="D239" s="7">
        <v>6</v>
      </c>
      <c r="E239" s="7">
        <v>0</v>
      </c>
      <c r="F239" s="7">
        <v>0</v>
      </c>
      <c r="G239" s="7">
        <v>0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7">
        <v>0</v>
      </c>
      <c r="BG239" s="21"/>
    </row>
    <row r="240" spans="1:59" ht="15.6" x14ac:dyDescent="0.3">
      <c r="A240" s="5" t="s">
        <v>427</v>
      </c>
      <c r="B240" s="5" t="s">
        <v>428</v>
      </c>
      <c r="C240" s="7">
        <v>6</v>
      </c>
      <c r="D240" s="7">
        <v>6</v>
      </c>
      <c r="E240" s="7">
        <v>0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F240" s="7">
        <v>0</v>
      </c>
      <c r="BG240" s="21"/>
    </row>
    <row r="241" spans="1:59" ht="15.6" x14ac:dyDescent="0.3">
      <c r="A241" s="5" t="s">
        <v>429</v>
      </c>
      <c r="B241" s="5" t="s">
        <v>430</v>
      </c>
      <c r="C241" s="7">
        <v>6</v>
      </c>
      <c r="D241" s="7">
        <v>6</v>
      </c>
      <c r="E241" s="7">
        <v>0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21"/>
    </row>
    <row r="242" spans="1:59" ht="15.6" x14ac:dyDescent="0.3">
      <c r="A242" s="5" t="s">
        <v>431</v>
      </c>
      <c r="B242" s="5" t="s">
        <v>432</v>
      </c>
      <c r="C242" s="7">
        <v>6</v>
      </c>
      <c r="D242" s="7">
        <v>6</v>
      </c>
      <c r="E242" s="7">
        <v>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21"/>
    </row>
    <row r="243" spans="1:59" ht="15.6" x14ac:dyDescent="0.3">
      <c r="A243" s="5" t="s">
        <v>433</v>
      </c>
      <c r="B243" s="5" t="s">
        <v>434</v>
      </c>
      <c r="C243" s="7">
        <v>6</v>
      </c>
      <c r="D243" s="7">
        <v>6</v>
      </c>
      <c r="E243" s="7">
        <v>0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21"/>
    </row>
    <row r="244" spans="1:59" ht="15.6" x14ac:dyDescent="0.3">
      <c r="A244" s="5" t="s">
        <v>435</v>
      </c>
      <c r="B244" s="5" t="s">
        <v>436</v>
      </c>
      <c r="C244" s="7">
        <v>6</v>
      </c>
      <c r="D244" s="7">
        <v>6</v>
      </c>
      <c r="E244" s="7">
        <v>0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21"/>
    </row>
    <row r="245" spans="1:59" ht="15.6" x14ac:dyDescent="0.3">
      <c r="A245" s="5" t="s">
        <v>437</v>
      </c>
      <c r="B245" s="5" t="s">
        <v>438</v>
      </c>
      <c r="C245" s="7">
        <v>6</v>
      </c>
      <c r="D245" s="7">
        <v>6</v>
      </c>
      <c r="E245" s="7">
        <v>0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7">
        <v>0</v>
      </c>
      <c r="BG245" s="21"/>
    </row>
    <row r="246" spans="1:59" ht="15.6" x14ac:dyDescent="0.3">
      <c r="A246" s="5" t="s">
        <v>439</v>
      </c>
      <c r="B246" s="5" t="s">
        <v>440</v>
      </c>
      <c r="C246" s="7">
        <v>6</v>
      </c>
      <c r="D246" s="7">
        <v>6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F246" s="7">
        <v>0</v>
      </c>
      <c r="BG246" s="21"/>
    </row>
    <row r="247" spans="1:59" ht="15.6" x14ac:dyDescent="0.3">
      <c r="A247" s="5" t="s">
        <v>441</v>
      </c>
      <c r="B247" s="5" t="s">
        <v>442</v>
      </c>
      <c r="C247" s="7">
        <v>6</v>
      </c>
      <c r="D247" s="7">
        <v>6</v>
      </c>
      <c r="E247" s="7">
        <v>0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F247" s="7">
        <v>0</v>
      </c>
      <c r="BG247" s="21"/>
    </row>
    <row r="248" spans="1:59" ht="15.6" x14ac:dyDescent="0.3">
      <c r="A248" s="5" t="s">
        <v>443</v>
      </c>
      <c r="B248" s="5" t="s">
        <v>444</v>
      </c>
      <c r="C248" s="7">
        <v>6</v>
      </c>
      <c r="D248" s="7">
        <v>6</v>
      </c>
      <c r="E248" s="7">
        <v>0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21"/>
    </row>
    <row r="249" spans="1:59" ht="15.6" x14ac:dyDescent="0.3">
      <c r="A249" s="5" t="s">
        <v>445</v>
      </c>
      <c r="B249" s="5" t="s">
        <v>446</v>
      </c>
      <c r="C249" s="7">
        <v>6</v>
      </c>
      <c r="D249" s="7">
        <v>6</v>
      </c>
      <c r="E249" s="7">
        <v>0</v>
      </c>
      <c r="F249" s="7">
        <v>0</v>
      </c>
      <c r="G249" s="7">
        <v>0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G249" s="21"/>
    </row>
    <row r="250" spans="1:59" ht="15.6" x14ac:dyDescent="0.3">
      <c r="A250" s="5" t="s">
        <v>447</v>
      </c>
      <c r="B250" s="5" t="s">
        <v>448</v>
      </c>
      <c r="C250" s="7">
        <v>6</v>
      </c>
      <c r="D250" s="7">
        <v>6</v>
      </c>
      <c r="E250" s="7">
        <v>0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21"/>
    </row>
    <row r="251" spans="1:59" ht="15.6" x14ac:dyDescent="0.3">
      <c r="A251" s="5" t="s">
        <v>449</v>
      </c>
      <c r="B251" s="5" t="s">
        <v>450</v>
      </c>
      <c r="C251" s="7">
        <v>6</v>
      </c>
      <c r="D251" s="7">
        <v>6</v>
      </c>
      <c r="E251" s="7">
        <v>0</v>
      </c>
      <c r="F251" s="7">
        <v>0</v>
      </c>
      <c r="G251" s="7">
        <v>0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7">
        <v>0</v>
      </c>
      <c r="BG251" s="21"/>
    </row>
    <row r="252" spans="1:59" ht="15.6" x14ac:dyDescent="0.3">
      <c r="A252" s="5" t="s">
        <v>451</v>
      </c>
      <c r="B252" s="5" t="s">
        <v>452</v>
      </c>
      <c r="C252" s="7">
        <v>6</v>
      </c>
      <c r="D252" s="7">
        <v>6</v>
      </c>
      <c r="E252" s="7">
        <v>0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F252" s="7">
        <v>0</v>
      </c>
      <c r="BG252" s="21"/>
    </row>
    <row r="253" spans="1:59" ht="15.6" x14ac:dyDescent="0.3">
      <c r="A253" s="5" t="s">
        <v>453</v>
      </c>
      <c r="B253" s="5" t="s">
        <v>454</v>
      </c>
      <c r="C253" s="7">
        <v>6</v>
      </c>
      <c r="D253" s="7">
        <v>6</v>
      </c>
      <c r="E253" s="7">
        <v>0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21"/>
    </row>
    <row r="254" spans="1:59" ht="15.6" x14ac:dyDescent="0.3">
      <c r="A254" s="5" t="s">
        <v>455</v>
      </c>
      <c r="B254" s="5" t="s">
        <v>456</v>
      </c>
      <c r="C254" s="7">
        <v>6</v>
      </c>
      <c r="D254" s="7">
        <v>6</v>
      </c>
      <c r="E254" s="7">
        <v>0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21"/>
    </row>
    <row r="255" spans="1:59" ht="15.6" x14ac:dyDescent="0.3">
      <c r="A255" s="5" t="s">
        <v>457</v>
      </c>
      <c r="B255" s="5" t="s">
        <v>458</v>
      </c>
      <c r="C255" s="7">
        <v>6</v>
      </c>
      <c r="D255" s="7">
        <v>6</v>
      </c>
      <c r="E255" s="7">
        <v>0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21"/>
    </row>
    <row r="256" spans="1:59" ht="15.6" x14ac:dyDescent="0.3">
      <c r="A256" s="5" t="s">
        <v>459</v>
      </c>
      <c r="B256" s="5" t="s">
        <v>460</v>
      </c>
      <c r="C256" s="7">
        <v>6</v>
      </c>
      <c r="D256" s="7">
        <v>6</v>
      </c>
      <c r="E256" s="7">
        <v>0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F256" s="7">
        <v>0</v>
      </c>
      <c r="BG256" s="21"/>
    </row>
    <row r="257" spans="1:59" ht="15.6" x14ac:dyDescent="0.3">
      <c r="A257" s="5" t="s">
        <v>461</v>
      </c>
      <c r="B257" s="5" t="s">
        <v>462</v>
      </c>
      <c r="C257" s="7">
        <v>6</v>
      </c>
      <c r="D257" s="7">
        <v>6</v>
      </c>
      <c r="E257" s="7">
        <v>0</v>
      </c>
      <c r="F257" s="7">
        <v>0</v>
      </c>
      <c r="G257" s="7">
        <v>0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508.15600000000001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398.70699999999999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7">
        <v>0</v>
      </c>
      <c r="BG257" s="21"/>
    </row>
    <row r="258" spans="1:59" ht="15.6" x14ac:dyDescent="0.3">
      <c r="A258" s="5" t="s">
        <v>419</v>
      </c>
      <c r="B258" s="5" t="s">
        <v>463</v>
      </c>
      <c r="C258" s="7">
        <v>6</v>
      </c>
      <c r="D258" s="7">
        <v>6</v>
      </c>
      <c r="E258" s="7">
        <v>0</v>
      </c>
      <c r="F258" s="7">
        <v>0</v>
      </c>
      <c r="G258" s="7">
        <v>0</v>
      </c>
      <c r="H258" s="7">
        <v>0</v>
      </c>
      <c r="I258" s="7">
        <v>6.0000000000000001E-3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3.9E-2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4.3999999999999997E-2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F258" s="7">
        <v>0</v>
      </c>
      <c r="BG258" s="21"/>
    </row>
    <row r="259" spans="1:59" ht="15.6" x14ac:dyDescent="0.3">
      <c r="A259" s="5" t="s">
        <v>421</v>
      </c>
      <c r="B259" s="5" t="s">
        <v>464</v>
      </c>
      <c r="C259" s="7">
        <v>6</v>
      </c>
      <c r="D259" s="7">
        <v>6</v>
      </c>
      <c r="E259" s="7">
        <v>0</v>
      </c>
      <c r="F259" s="7">
        <v>0</v>
      </c>
      <c r="G259" s="7">
        <v>0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F259" s="7">
        <v>0</v>
      </c>
      <c r="BG259" s="21"/>
    </row>
    <row r="260" spans="1:59" ht="15.6" x14ac:dyDescent="0.3">
      <c r="A260" s="5" t="s">
        <v>423</v>
      </c>
      <c r="B260" s="5" t="s">
        <v>465</v>
      </c>
      <c r="C260" s="7">
        <v>6</v>
      </c>
      <c r="D260" s="7">
        <v>6</v>
      </c>
      <c r="E260" s="7">
        <v>0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21"/>
    </row>
    <row r="261" spans="1:59" ht="15.6" x14ac:dyDescent="0.3">
      <c r="A261" s="5" t="s">
        <v>425</v>
      </c>
      <c r="B261" s="5" t="s">
        <v>466</v>
      </c>
      <c r="C261" s="7">
        <v>6</v>
      </c>
      <c r="D261" s="7">
        <v>6</v>
      </c>
      <c r="E261" s="7">
        <v>0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F261" s="7">
        <v>0</v>
      </c>
      <c r="BG261" s="21"/>
    </row>
    <row r="262" spans="1:59" ht="15.6" x14ac:dyDescent="0.3">
      <c r="A262" s="5" t="s">
        <v>427</v>
      </c>
      <c r="B262" s="5" t="s">
        <v>467</v>
      </c>
      <c r="C262" s="7">
        <v>6</v>
      </c>
      <c r="D262" s="7">
        <v>6</v>
      </c>
      <c r="E262" s="7">
        <v>0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21"/>
    </row>
    <row r="263" spans="1:59" ht="15.6" x14ac:dyDescent="0.3">
      <c r="A263" s="5" t="s">
        <v>429</v>
      </c>
      <c r="B263" s="5" t="s">
        <v>468</v>
      </c>
      <c r="C263" s="7">
        <v>6</v>
      </c>
      <c r="D263" s="7">
        <v>6</v>
      </c>
      <c r="E263" s="7">
        <v>0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21"/>
    </row>
    <row r="264" spans="1:59" ht="15.6" x14ac:dyDescent="0.3">
      <c r="A264" s="5" t="s">
        <v>431</v>
      </c>
      <c r="B264" s="5" t="s">
        <v>469</v>
      </c>
      <c r="C264" s="7">
        <v>6</v>
      </c>
      <c r="D264" s="7">
        <v>6</v>
      </c>
      <c r="E264" s="7">
        <v>0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F264" s="7">
        <v>0</v>
      </c>
      <c r="BG264" s="21"/>
    </row>
    <row r="265" spans="1:59" ht="15.6" x14ac:dyDescent="0.3">
      <c r="A265" s="5" t="s">
        <v>433</v>
      </c>
      <c r="B265" s="5" t="s">
        <v>470</v>
      </c>
      <c r="C265" s="7">
        <v>6</v>
      </c>
      <c r="D265" s="7">
        <v>6</v>
      </c>
      <c r="E265" s="7">
        <v>0</v>
      </c>
      <c r="F265" s="7">
        <v>0</v>
      </c>
      <c r="G265" s="7">
        <v>0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  <c r="AY265" s="7">
        <v>0</v>
      </c>
      <c r="AZ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F265" s="7">
        <v>0</v>
      </c>
      <c r="BG265" s="21"/>
    </row>
    <row r="266" spans="1:59" ht="15.6" x14ac:dyDescent="0.3">
      <c r="A266" s="5" t="s">
        <v>435</v>
      </c>
      <c r="B266" s="5" t="s">
        <v>471</v>
      </c>
      <c r="C266" s="7">
        <v>6</v>
      </c>
      <c r="D266" s="7">
        <v>6</v>
      </c>
      <c r="E266" s="7">
        <v>0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F266" s="7">
        <v>0</v>
      </c>
      <c r="BG266" s="21"/>
    </row>
    <row r="267" spans="1:59" ht="15.6" x14ac:dyDescent="0.3">
      <c r="A267" s="5" t="s">
        <v>437</v>
      </c>
      <c r="B267" s="5" t="s">
        <v>472</v>
      </c>
      <c r="C267" s="7">
        <v>6</v>
      </c>
      <c r="D267" s="7">
        <v>6</v>
      </c>
      <c r="E267" s="7">
        <v>0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21"/>
    </row>
    <row r="268" spans="1:59" ht="15.6" x14ac:dyDescent="0.3">
      <c r="A268" s="5" t="s">
        <v>439</v>
      </c>
      <c r="B268" s="5" t="s">
        <v>473</v>
      </c>
      <c r="C268" s="7">
        <v>6</v>
      </c>
      <c r="D268" s="7">
        <v>6</v>
      </c>
      <c r="E268" s="7">
        <v>0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21"/>
    </row>
    <row r="269" spans="1:59" ht="15.6" x14ac:dyDescent="0.3">
      <c r="A269" s="5" t="s">
        <v>441</v>
      </c>
      <c r="B269" s="5" t="s">
        <v>474</v>
      </c>
      <c r="C269" s="7">
        <v>6</v>
      </c>
      <c r="D269" s="7">
        <v>6</v>
      </c>
      <c r="E269" s="7">
        <v>0</v>
      </c>
      <c r="F269" s="7">
        <v>0</v>
      </c>
      <c r="G269" s="7">
        <v>0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21"/>
    </row>
    <row r="270" spans="1:59" ht="15.6" x14ac:dyDescent="0.3">
      <c r="A270" s="5" t="s">
        <v>443</v>
      </c>
      <c r="B270" s="5" t="s">
        <v>475</v>
      </c>
      <c r="C270" s="7">
        <v>6</v>
      </c>
      <c r="D270" s="7">
        <v>6</v>
      </c>
      <c r="E270" s="7">
        <v>0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F270" s="7">
        <v>0</v>
      </c>
      <c r="BG270" s="21"/>
    </row>
    <row r="271" spans="1:59" ht="15.6" x14ac:dyDescent="0.3">
      <c r="A271" s="5" t="s">
        <v>445</v>
      </c>
      <c r="B271" s="5" t="s">
        <v>476</v>
      </c>
      <c r="C271" s="7">
        <v>6</v>
      </c>
      <c r="D271" s="7">
        <v>6</v>
      </c>
      <c r="E271" s="7">
        <v>0</v>
      </c>
      <c r="F271" s="7">
        <v>0</v>
      </c>
      <c r="G271" s="7">
        <v>0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F271" s="7">
        <v>0</v>
      </c>
      <c r="BG271" s="21"/>
    </row>
    <row r="272" spans="1:59" ht="15.6" x14ac:dyDescent="0.3">
      <c r="A272" s="5" t="s">
        <v>447</v>
      </c>
      <c r="B272" s="5" t="s">
        <v>477</v>
      </c>
      <c r="C272" s="7">
        <v>6</v>
      </c>
      <c r="D272" s="7">
        <v>6</v>
      </c>
      <c r="E272" s="7">
        <v>0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7">
        <v>0</v>
      </c>
      <c r="BG272" s="21"/>
    </row>
    <row r="273" spans="1:59" ht="15.6" x14ac:dyDescent="0.3">
      <c r="A273" s="5" t="s">
        <v>449</v>
      </c>
      <c r="B273" s="5" t="s">
        <v>478</v>
      </c>
      <c r="C273" s="7">
        <v>6</v>
      </c>
      <c r="D273" s="7">
        <v>6</v>
      </c>
      <c r="E273" s="7">
        <v>0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F273" s="7">
        <v>0</v>
      </c>
      <c r="BG273" s="21"/>
    </row>
    <row r="274" spans="1:59" ht="15.6" x14ac:dyDescent="0.3">
      <c r="A274" s="5" t="s">
        <v>451</v>
      </c>
      <c r="B274" s="5" t="s">
        <v>479</v>
      </c>
      <c r="C274" s="7">
        <v>6</v>
      </c>
      <c r="D274" s="7">
        <v>6</v>
      </c>
      <c r="E274" s="7">
        <v>0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21"/>
    </row>
    <row r="275" spans="1:59" ht="15.6" x14ac:dyDescent="0.3">
      <c r="A275" s="5" t="s">
        <v>453</v>
      </c>
      <c r="B275" s="5" t="s">
        <v>480</v>
      </c>
      <c r="C275" s="7">
        <v>6</v>
      </c>
      <c r="D275" s="7">
        <v>6</v>
      </c>
      <c r="E275" s="7">
        <v>0</v>
      </c>
      <c r="F275" s="7">
        <v>0</v>
      </c>
      <c r="G275" s="7">
        <v>0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7">
        <v>0</v>
      </c>
      <c r="BG275" s="21"/>
    </row>
    <row r="276" spans="1:59" ht="15.6" x14ac:dyDescent="0.3">
      <c r="A276" s="5" t="s">
        <v>455</v>
      </c>
      <c r="B276" s="5" t="s">
        <v>481</v>
      </c>
      <c r="C276" s="7">
        <v>6</v>
      </c>
      <c r="D276" s="7">
        <v>6</v>
      </c>
      <c r="E276" s="7">
        <v>0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21"/>
    </row>
    <row r="277" spans="1:59" ht="15.6" x14ac:dyDescent="0.3">
      <c r="A277" s="5" t="s">
        <v>457</v>
      </c>
      <c r="B277" s="5" t="s">
        <v>482</v>
      </c>
      <c r="C277" s="7">
        <v>6</v>
      </c>
      <c r="D277" s="7">
        <v>6</v>
      </c>
      <c r="E277" s="7">
        <v>0</v>
      </c>
      <c r="F277" s="7">
        <v>0</v>
      </c>
      <c r="G277" s="7">
        <v>0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7">
        <v>0</v>
      </c>
      <c r="AZ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F277" s="7">
        <v>0</v>
      </c>
      <c r="BG277" s="21"/>
    </row>
    <row r="278" spans="1:59" ht="15.6" x14ac:dyDescent="0.3">
      <c r="A278" s="5" t="s">
        <v>459</v>
      </c>
      <c r="B278" s="5" t="s">
        <v>483</v>
      </c>
      <c r="C278" s="7">
        <v>6</v>
      </c>
      <c r="D278" s="7">
        <v>6</v>
      </c>
      <c r="E278" s="7">
        <v>5074.3090000000002</v>
      </c>
      <c r="F278" s="7">
        <v>1635.1869999999999</v>
      </c>
      <c r="G278" s="7">
        <v>161.57900000000001</v>
      </c>
      <c r="H278" s="7">
        <v>753.28200000000004</v>
      </c>
      <c r="I278" s="7">
        <v>263.27800000000002</v>
      </c>
      <c r="J278" s="7">
        <v>1252.6849999999999</v>
      </c>
      <c r="K278" s="7">
        <v>456.48500000000001</v>
      </c>
      <c r="L278" s="7">
        <v>1331.6379999999999</v>
      </c>
      <c r="M278" s="7">
        <v>0</v>
      </c>
      <c r="N278" s="7">
        <v>4452.2169999999996</v>
      </c>
      <c r="O278" s="7">
        <v>8231.9339999999993</v>
      </c>
      <c r="P278" s="7">
        <v>4780.8410000000003</v>
      </c>
      <c r="Q278" s="7">
        <v>0</v>
      </c>
      <c r="R278" s="7">
        <v>0</v>
      </c>
      <c r="S278" s="7">
        <v>7.0000000000000001E-3</v>
      </c>
      <c r="T278" s="7">
        <v>0</v>
      </c>
      <c r="U278" s="7">
        <v>0</v>
      </c>
      <c r="V278" s="7">
        <v>651.57799999999997</v>
      </c>
      <c r="W278" s="7">
        <v>0</v>
      </c>
      <c r="X278" s="7">
        <v>0</v>
      </c>
      <c r="Y278" s="7">
        <v>0</v>
      </c>
      <c r="Z278" s="7">
        <v>114.93899999999999</v>
      </c>
      <c r="AA278" s="7">
        <v>366.34699999999998</v>
      </c>
      <c r="AB278" s="7">
        <v>0</v>
      </c>
      <c r="AC278" s="7">
        <v>326.98899999999998</v>
      </c>
      <c r="AD278" s="7">
        <v>0</v>
      </c>
      <c r="AE278" s="7">
        <v>2580.989</v>
      </c>
      <c r="AF278" s="7">
        <v>0</v>
      </c>
      <c r="AG278" s="7">
        <v>289.53800000000001</v>
      </c>
      <c r="AH278" s="7">
        <v>0</v>
      </c>
      <c r="AI278" s="7">
        <v>5.4480000000000004</v>
      </c>
      <c r="AJ278" s="7">
        <v>30.916</v>
      </c>
      <c r="AK278" s="7">
        <v>0</v>
      </c>
      <c r="AL278" s="7">
        <v>18654.095000000001</v>
      </c>
      <c r="AM278" s="7">
        <v>52.738</v>
      </c>
      <c r="AN278" s="7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0</v>
      </c>
      <c r="AT278" s="7">
        <v>0</v>
      </c>
      <c r="AU278" s="7">
        <v>33.511000000000003</v>
      </c>
      <c r="AV278" s="7">
        <v>0</v>
      </c>
      <c r="AW278" s="7">
        <v>0</v>
      </c>
      <c r="AX278" s="7">
        <v>4.335</v>
      </c>
      <c r="AY278" s="7">
        <v>0</v>
      </c>
      <c r="AZ278" s="7">
        <v>2.3559999999999999</v>
      </c>
      <c r="BA278" s="7">
        <v>0</v>
      </c>
      <c r="BB278" s="7">
        <v>0.32900000000000001</v>
      </c>
      <c r="BC278" s="7">
        <v>0</v>
      </c>
      <c r="BD278" s="7">
        <v>0</v>
      </c>
      <c r="BE278" s="7">
        <v>2202.2249999999999</v>
      </c>
      <c r="BF278" s="7">
        <v>0</v>
      </c>
      <c r="BG278" s="21"/>
    </row>
    <row r="279" spans="1:59" ht="15.6" x14ac:dyDescent="0.3">
      <c r="A279" s="5" t="s">
        <v>461</v>
      </c>
      <c r="B279" s="5" t="s">
        <v>484</v>
      </c>
      <c r="C279" s="7">
        <v>6</v>
      </c>
      <c r="D279" s="7">
        <v>6</v>
      </c>
      <c r="E279" s="7">
        <v>0</v>
      </c>
      <c r="F279" s="7">
        <v>0</v>
      </c>
      <c r="G279" s="7">
        <v>0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7">
        <v>0</v>
      </c>
      <c r="AR279" s="7">
        <v>0</v>
      </c>
      <c r="AS279" s="7">
        <v>0</v>
      </c>
      <c r="AT279" s="7">
        <v>0</v>
      </c>
      <c r="AU279" s="7">
        <v>0</v>
      </c>
      <c r="AV279" s="7">
        <v>0</v>
      </c>
      <c r="AW279" s="7">
        <v>0</v>
      </c>
      <c r="AX279" s="7">
        <v>0</v>
      </c>
      <c r="AY279" s="7">
        <v>0</v>
      </c>
      <c r="AZ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F279" s="7">
        <v>0</v>
      </c>
      <c r="BG279" s="21"/>
    </row>
    <row r="280" spans="1:59" ht="15.6" x14ac:dyDescent="0.3">
      <c r="A280" s="5" t="s">
        <v>485</v>
      </c>
      <c r="B280" s="5" t="s">
        <v>486</v>
      </c>
      <c r="C280" s="7">
        <v>5</v>
      </c>
      <c r="D280" s="7">
        <v>5</v>
      </c>
      <c r="E280" s="7">
        <v>95987.601999999999</v>
      </c>
      <c r="F280" s="7">
        <v>0</v>
      </c>
      <c r="G280" s="7">
        <v>17296.767</v>
      </c>
      <c r="H280" s="7">
        <v>522.875</v>
      </c>
      <c r="I280" s="7">
        <v>0</v>
      </c>
      <c r="J280" s="7">
        <v>24709.386999999999</v>
      </c>
      <c r="K280" s="7">
        <v>144663.80900000001</v>
      </c>
      <c r="L280" s="7">
        <v>32580.612000000001</v>
      </c>
      <c r="M280" s="7">
        <v>6785.1660000000002</v>
      </c>
      <c r="N280" s="7">
        <v>30264.135999999999</v>
      </c>
      <c r="O280" s="7">
        <v>223149.55799999999</v>
      </c>
      <c r="P280" s="7">
        <v>84998.79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11.53</v>
      </c>
      <c r="Y280" s="7">
        <v>2612.2510000000002</v>
      </c>
      <c r="Z280" s="7">
        <v>292.17099999999999</v>
      </c>
      <c r="AA280" s="7">
        <v>2423.5549999999998</v>
      </c>
      <c r="AB280" s="7">
        <v>0</v>
      </c>
      <c r="AC280" s="7">
        <v>41563.277000000002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96005.835000000006</v>
      </c>
      <c r="AJ280" s="7">
        <v>13175.991</v>
      </c>
      <c r="AK280" s="7">
        <v>1536.5250000000001</v>
      </c>
      <c r="AL280" s="7">
        <v>569179.00899999996</v>
      </c>
      <c r="AM280" s="7">
        <v>76670.055999999997</v>
      </c>
      <c r="AN280" s="7">
        <v>145.441</v>
      </c>
      <c r="AO280" s="7">
        <v>89.730999999999995</v>
      </c>
      <c r="AP280" s="7">
        <v>385.60700000000003</v>
      </c>
      <c r="AQ280" s="7">
        <v>0</v>
      </c>
      <c r="AR280" s="7">
        <v>123.471</v>
      </c>
      <c r="AS280" s="7">
        <v>550.60599999999999</v>
      </c>
      <c r="AT280" s="7">
        <v>649.95699999999999</v>
      </c>
      <c r="AU280" s="7">
        <v>0</v>
      </c>
      <c r="AV280" s="7">
        <v>0</v>
      </c>
      <c r="AW280" s="7">
        <v>0</v>
      </c>
      <c r="AX280" s="7">
        <v>1747.932</v>
      </c>
      <c r="AY280" s="7">
        <v>0</v>
      </c>
      <c r="AZ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F280" s="7">
        <v>0</v>
      </c>
      <c r="BG280" s="21"/>
    </row>
    <row r="281" spans="1:59" ht="15.6" x14ac:dyDescent="0.3">
      <c r="A281" s="5" t="s">
        <v>487</v>
      </c>
      <c r="B281" s="5" t="s">
        <v>488</v>
      </c>
      <c r="C281" s="7">
        <v>5</v>
      </c>
      <c r="D281" s="7">
        <v>5</v>
      </c>
      <c r="E281" s="7">
        <v>0</v>
      </c>
      <c r="F281" s="7">
        <v>0</v>
      </c>
      <c r="G281" s="7">
        <v>0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F281" s="7">
        <v>0</v>
      </c>
      <c r="BG281" s="21"/>
    </row>
    <row r="282" spans="1:59" ht="15.6" x14ac:dyDescent="0.3">
      <c r="A282" s="5" t="s">
        <v>489</v>
      </c>
      <c r="B282" s="5" t="s">
        <v>490</v>
      </c>
      <c r="C282" s="7">
        <v>5</v>
      </c>
      <c r="D282" s="7">
        <v>5</v>
      </c>
      <c r="E282" s="7">
        <v>12840.5</v>
      </c>
      <c r="F282" s="7">
        <v>1842.4110000000001</v>
      </c>
      <c r="G282" s="7">
        <v>2693.1309999999999</v>
      </c>
      <c r="H282" s="7">
        <v>0</v>
      </c>
      <c r="I282" s="7">
        <v>468.27499999999998</v>
      </c>
      <c r="J282" s="7">
        <v>1581.4590000000001</v>
      </c>
      <c r="K282" s="7">
        <v>13239.076999999999</v>
      </c>
      <c r="L282" s="7">
        <v>1192.681</v>
      </c>
      <c r="M282" s="7">
        <v>0</v>
      </c>
      <c r="N282" s="7">
        <v>6128.9830000000002</v>
      </c>
      <c r="O282" s="7">
        <v>14331.137000000001</v>
      </c>
      <c r="P282" s="7">
        <v>6105.3950000000004</v>
      </c>
      <c r="Q282" s="7">
        <v>0</v>
      </c>
      <c r="R282" s="7">
        <v>0</v>
      </c>
      <c r="S282" s="7">
        <v>91.212999999999994</v>
      </c>
      <c r="T282" s="7">
        <v>0</v>
      </c>
      <c r="U282" s="7">
        <v>2.7749999999999999</v>
      </c>
      <c r="V282" s="7">
        <v>0</v>
      </c>
      <c r="W282" s="7">
        <v>0</v>
      </c>
      <c r="X282" s="7">
        <v>0</v>
      </c>
      <c r="Y282" s="7">
        <v>0</v>
      </c>
      <c r="Z282" s="7">
        <v>198.721</v>
      </c>
      <c r="AA282" s="7">
        <v>659.09100000000001</v>
      </c>
      <c r="AB282" s="7">
        <v>0</v>
      </c>
      <c r="AC282" s="7">
        <v>5322.5659999999998</v>
      </c>
      <c r="AD282" s="7">
        <v>0</v>
      </c>
      <c r="AE282" s="7">
        <v>1838.71</v>
      </c>
      <c r="AF282" s="7">
        <v>0</v>
      </c>
      <c r="AG282" s="7">
        <v>311.03800000000001</v>
      </c>
      <c r="AH282" s="7">
        <v>0</v>
      </c>
      <c r="AI282" s="7">
        <v>16485.618999999999</v>
      </c>
      <c r="AJ282" s="7">
        <v>0</v>
      </c>
      <c r="AK282" s="7">
        <v>0</v>
      </c>
      <c r="AL282" s="7">
        <v>26792.121999999999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F282" s="7">
        <v>0</v>
      </c>
      <c r="BG282" s="21"/>
    </row>
    <row r="283" spans="1:59" ht="15.6" x14ac:dyDescent="0.3">
      <c r="A283" s="5" t="s">
        <v>491</v>
      </c>
      <c r="B283" s="5" t="s">
        <v>492</v>
      </c>
      <c r="C283" s="7">
        <v>5</v>
      </c>
      <c r="D283" s="7">
        <v>5</v>
      </c>
      <c r="E283" s="7">
        <v>0</v>
      </c>
      <c r="F283" s="7">
        <v>0</v>
      </c>
      <c r="G283" s="7">
        <v>0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F283" s="7">
        <v>0</v>
      </c>
      <c r="BG283" s="21"/>
    </row>
    <row r="284" spans="1:59" ht="15.6" x14ac:dyDescent="0.3">
      <c r="A284" s="5" t="s">
        <v>493</v>
      </c>
      <c r="B284" s="5" t="s">
        <v>494</v>
      </c>
      <c r="C284" s="7">
        <v>5</v>
      </c>
      <c r="D284" s="7">
        <v>5</v>
      </c>
      <c r="E284" s="7">
        <v>0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7">
        <v>0</v>
      </c>
      <c r="BG284" s="21"/>
    </row>
    <row r="285" spans="1:59" ht="15.6" x14ac:dyDescent="0.3">
      <c r="A285" s="5" t="s">
        <v>495</v>
      </c>
      <c r="B285" s="5" t="s">
        <v>496</v>
      </c>
      <c r="C285" s="7">
        <v>5</v>
      </c>
      <c r="D285" s="7">
        <v>5</v>
      </c>
      <c r="E285" s="7">
        <v>0</v>
      </c>
      <c r="F285" s="7">
        <v>0</v>
      </c>
      <c r="G285" s="7">
        <v>0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F285" s="7">
        <v>0</v>
      </c>
      <c r="BG285" s="21"/>
    </row>
    <row r="286" spans="1:59" ht="15.6" x14ac:dyDescent="0.3">
      <c r="A286" s="5" t="s">
        <v>497</v>
      </c>
      <c r="B286" s="5" t="s">
        <v>498</v>
      </c>
      <c r="C286" s="7">
        <v>5</v>
      </c>
      <c r="D286" s="7">
        <v>5</v>
      </c>
      <c r="E286" s="7">
        <v>31585.845000000001</v>
      </c>
      <c r="F286" s="7">
        <v>5047.884</v>
      </c>
      <c r="G286" s="7">
        <v>8506.06</v>
      </c>
      <c r="H286" s="7">
        <v>0</v>
      </c>
      <c r="I286" s="7">
        <v>1343.691</v>
      </c>
      <c r="J286" s="7">
        <v>4602.3459999999995</v>
      </c>
      <c r="K286" s="7">
        <v>50887.281999999999</v>
      </c>
      <c r="L286" s="7">
        <v>3125.482</v>
      </c>
      <c r="M286" s="7">
        <v>0</v>
      </c>
      <c r="N286" s="7">
        <v>19088.096000000001</v>
      </c>
      <c r="O286" s="7">
        <v>51980.199000000001</v>
      </c>
      <c r="P286" s="7">
        <v>20425.071</v>
      </c>
      <c r="Q286" s="7">
        <v>0</v>
      </c>
      <c r="R286" s="7">
        <v>0</v>
      </c>
      <c r="S286" s="7">
        <v>286.12099999999998</v>
      </c>
      <c r="T286" s="7">
        <v>0</v>
      </c>
      <c r="U286" s="7">
        <v>5.7069999999999999</v>
      </c>
      <c r="V286" s="7">
        <v>0.14699999999999999</v>
      </c>
      <c r="W286" s="7">
        <v>0</v>
      </c>
      <c r="X286" s="7">
        <v>0</v>
      </c>
      <c r="Y286" s="7">
        <v>0</v>
      </c>
      <c r="Z286" s="7">
        <v>408.76499999999999</v>
      </c>
      <c r="AA286" s="7">
        <v>1355.683</v>
      </c>
      <c r="AB286" s="7">
        <v>0</v>
      </c>
      <c r="AC286" s="7">
        <v>12277.528</v>
      </c>
      <c r="AD286" s="7">
        <v>0</v>
      </c>
      <c r="AE286" s="7">
        <v>3782.0709999999999</v>
      </c>
      <c r="AF286" s="7">
        <v>0</v>
      </c>
      <c r="AG286" s="7">
        <v>639.76199999999994</v>
      </c>
      <c r="AH286" s="7">
        <v>0</v>
      </c>
      <c r="AI286" s="7">
        <v>39198.010999999999</v>
      </c>
      <c r="AJ286" s="7">
        <v>0</v>
      </c>
      <c r="AK286" s="7">
        <v>0</v>
      </c>
      <c r="AL286" s="7">
        <v>73916.841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2E-3</v>
      </c>
      <c r="AV286" s="7">
        <v>0</v>
      </c>
      <c r="AW286" s="7">
        <v>0</v>
      </c>
      <c r="AX286" s="7">
        <v>0</v>
      </c>
      <c r="AY286" s="7">
        <v>0</v>
      </c>
      <c r="AZ286" s="7">
        <v>1E-3</v>
      </c>
      <c r="BA286" s="7">
        <v>0</v>
      </c>
      <c r="BB286" s="7">
        <v>0.04</v>
      </c>
      <c r="BC286" s="7">
        <v>0</v>
      </c>
      <c r="BD286" s="7">
        <v>0</v>
      </c>
      <c r="BE286" s="7">
        <v>0</v>
      </c>
      <c r="BF286" s="7">
        <v>0</v>
      </c>
      <c r="BG286" s="21"/>
    </row>
    <row r="287" spans="1:59" ht="15.6" x14ac:dyDescent="0.3">
      <c r="A287" s="5" t="s">
        <v>499</v>
      </c>
      <c r="B287" s="5" t="s">
        <v>500</v>
      </c>
      <c r="C287" s="7">
        <v>5</v>
      </c>
      <c r="D287" s="7">
        <v>5</v>
      </c>
      <c r="E287" s="7">
        <v>117837.139</v>
      </c>
      <c r="F287" s="7">
        <v>18439.170999999998</v>
      </c>
      <c r="G287" s="7">
        <v>28777.387999999999</v>
      </c>
      <c r="H287" s="7">
        <v>14724.352000000001</v>
      </c>
      <c r="I287" s="7">
        <v>5020.1980000000003</v>
      </c>
      <c r="J287" s="7">
        <v>16448.536</v>
      </c>
      <c r="K287" s="7">
        <v>135565.14499999999</v>
      </c>
      <c r="L287" s="7">
        <v>11891.281000000001</v>
      </c>
      <c r="M287" s="7">
        <v>0</v>
      </c>
      <c r="N287" s="7">
        <v>62392.08</v>
      </c>
      <c r="O287" s="7">
        <v>142040.69899999999</v>
      </c>
      <c r="P287" s="7">
        <v>64972.006000000001</v>
      </c>
      <c r="Q287" s="7">
        <v>0</v>
      </c>
      <c r="R287" s="7">
        <v>0</v>
      </c>
      <c r="S287" s="7">
        <v>965.774</v>
      </c>
      <c r="T287" s="7">
        <v>0</v>
      </c>
      <c r="U287" s="7">
        <v>23.972999999999999</v>
      </c>
      <c r="V287" s="7">
        <v>0</v>
      </c>
      <c r="W287" s="7">
        <v>0</v>
      </c>
      <c r="X287" s="7">
        <v>0</v>
      </c>
      <c r="Y287" s="7">
        <v>0</v>
      </c>
      <c r="Z287" s="7">
        <v>1716.6959999999999</v>
      </c>
      <c r="AA287" s="7">
        <v>5782.6090000000004</v>
      </c>
      <c r="AB287" s="7">
        <v>0</v>
      </c>
      <c r="AC287" s="7">
        <v>46335.760999999999</v>
      </c>
      <c r="AD287" s="7">
        <v>0</v>
      </c>
      <c r="AE287" s="7">
        <v>16166.141</v>
      </c>
      <c r="AF287" s="7">
        <v>0</v>
      </c>
      <c r="AG287" s="7">
        <v>2686.9720000000002</v>
      </c>
      <c r="AH287" s="7">
        <v>0</v>
      </c>
      <c r="AI287" s="7">
        <v>143461.535</v>
      </c>
      <c r="AJ287" s="7">
        <v>0</v>
      </c>
      <c r="AK287" s="7">
        <v>0</v>
      </c>
      <c r="AL287" s="7">
        <v>240064.261</v>
      </c>
      <c r="AM287" s="7">
        <v>0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0</v>
      </c>
      <c r="AV287" s="7">
        <v>0</v>
      </c>
      <c r="AW287" s="7">
        <v>0</v>
      </c>
      <c r="AX287" s="7">
        <v>0</v>
      </c>
      <c r="AY287" s="7">
        <v>0</v>
      </c>
      <c r="AZ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F287" s="7">
        <v>0</v>
      </c>
      <c r="BG287" s="21"/>
    </row>
    <row r="288" spans="1:59" ht="15.6" x14ac:dyDescent="0.3">
      <c r="A288" s="5" t="s">
        <v>501</v>
      </c>
      <c r="B288" s="5" t="s">
        <v>502</v>
      </c>
      <c r="C288" s="7">
        <v>5</v>
      </c>
      <c r="D288" s="7">
        <v>5</v>
      </c>
      <c r="E288" s="7">
        <v>167.91300000000001</v>
      </c>
      <c r="F288" s="7">
        <v>0</v>
      </c>
      <c r="G288" s="7">
        <v>74.787000000000006</v>
      </c>
      <c r="H288" s="7">
        <v>0</v>
      </c>
      <c r="I288" s="7">
        <v>0</v>
      </c>
      <c r="J288" s="7">
        <v>42.113999999999997</v>
      </c>
      <c r="K288" s="7">
        <v>905.88199999999995</v>
      </c>
      <c r="L288" s="7">
        <v>104.017</v>
      </c>
      <c r="M288" s="7">
        <v>0</v>
      </c>
      <c r="N288" s="7">
        <v>239.26900000000001</v>
      </c>
      <c r="O288" s="7">
        <v>1409.7049999999999</v>
      </c>
      <c r="P288" s="7">
        <v>46.424999999999997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30.664000000000001</v>
      </c>
      <c r="AF288" s="7">
        <v>0</v>
      </c>
      <c r="AG288" s="7">
        <v>0</v>
      </c>
      <c r="AH288" s="7">
        <v>0</v>
      </c>
      <c r="AI288" s="7">
        <v>73.932000000000002</v>
      </c>
      <c r="AJ288" s="7">
        <v>0</v>
      </c>
      <c r="AK288" s="7">
        <v>0</v>
      </c>
      <c r="AL288" s="7">
        <v>832.06299999999999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0</v>
      </c>
      <c r="AV288" s="7">
        <v>0</v>
      </c>
      <c r="AW288" s="7">
        <v>0</v>
      </c>
      <c r="AX288" s="7">
        <v>0</v>
      </c>
      <c r="AY288" s="7">
        <v>0</v>
      </c>
      <c r="AZ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F288" s="7">
        <v>0</v>
      </c>
      <c r="BG288" s="21"/>
    </row>
    <row r="289" spans="1:59" ht="15.6" x14ac:dyDescent="0.3">
      <c r="A289" s="5" t="s">
        <v>503</v>
      </c>
      <c r="B289" s="5" t="s">
        <v>504</v>
      </c>
      <c r="C289" s="7">
        <v>5</v>
      </c>
      <c r="D289" s="7">
        <v>5</v>
      </c>
      <c r="E289" s="7">
        <v>31144.848000000002</v>
      </c>
      <c r="F289" s="7">
        <v>4204.8459999999995</v>
      </c>
      <c r="G289" s="7">
        <v>6146.402</v>
      </c>
      <c r="H289" s="7">
        <v>103.483</v>
      </c>
      <c r="I289" s="7">
        <v>1068.721</v>
      </c>
      <c r="J289" s="7">
        <v>3609.2890000000002</v>
      </c>
      <c r="K289" s="7">
        <v>32671.348999999998</v>
      </c>
      <c r="L289" s="7">
        <v>2721.9969999999998</v>
      </c>
      <c r="M289" s="7">
        <v>0</v>
      </c>
      <c r="N289" s="7">
        <v>15352.562</v>
      </c>
      <c r="O289" s="7">
        <v>39491.612000000001</v>
      </c>
      <c r="P289" s="7">
        <v>15016.431</v>
      </c>
      <c r="Q289" s="7">
        <v>0</v>
      </c>
      <c r="R289" s="7">
        <v>0</v>
      </c>
      <c r="S289" s="7">
        <v>208.17099999999999</v>
      </c>
      <c r="T289" s="7">
        <v>0</v>
      </c>
      <c r="U289" s="7">
        <v>6.3330000000000002</v>
      </c>
      <c r="V289" s="7">
        <v>0</v>
      </c>
      <c r="W289" s="7">
        <v>0</v>
      </c>
      <c r="X289" s="7">
        <v>0</v>
      </c>
      <c r="Y289" s="7">
        <v>0</v>
      </c>
      <c r="Z289" s="7">
        <v>453.53199999999998</v>
      </c>
      <c r="AA289" s="7">
        <v>1504.212</v>
      </c>
      <c r="AB289" s="7">
        <v>0</v>
      </c>
      <c r="AC289" s="7">
        <v>14603.877</v>
      </c>
      <c r="AD289" s="7">
        <v>0</v>
      </c>
      <c r="AE289" s="7">
        <v>4196.3990000000003</v>
      </c>
      <c r="AF289" s="7">
        <v>0</v>
      </c>
      <c r="AG289" s="7">
        <v>709.86800000000005</v>
      </c>
      <c r="AH289" s="7">
        <v>0</v>
      </c>
      <c r="AI289" s="7">
        <v>42528.474999999999</v>
      </c>
      <c r="AJ289" s="7">
        <v>0</v>
      </c>
      <c r="AK289" s="7">
        <v>0</v>
      </c>
      <c r="AL289" s="7">
        <v>69926.896999999997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F289" s="7">
        <v>0</v>
      </c>
      <c r="BG289" s="21"/>
    </row>
    <row r="290" spans="1:59" ht="15.6" x14ac:dyDescent="0.3">
      <c r="A290" s="5" t="s">
        <v>505</v>
      </c>
      <c r="B290" s="5" t="s">
        <v>506</v>
      </c>
      <c r="C290" s="7">
        <v>5</v>
      </c>
      <c r="D290" s="7">
        <v>5</v>
      </c>
      <c r="E290" s="7">
        <v>19369.046999999999</v>
      </c>
      <c r="F290" s="7">
        <v>1151.9480000000001</v>
      </c>
      <c r="G290" s="7">
        <v>942.346</v>
      </c>
      <c r="H290" s="7">
        <v>3768.0450000000001</v>
      </c>
      <c r="I290" s="7">
        <v>160.07</v>
      </c>
      <c r="J290" s="7">
        <v>544.21400000000006</v>
      </c>
      <c r="K290" s="7">
        <v>22773.736000000001</v>
      </c>
      <c r="L290" s="7">
        <v>407.69200000000001</v>
      </c>
      <c r="M290" s="7">
        <v>0</v>
      </c>
      <c r="N290" s="7">
        <v>9332.9079999999994</v>
      </c>
      <c r="O290" s="7">
        <v>46900.175999999999</v>
      </c>
      <c r="P290" s="7">
        <v>8587.4760000000006</v>
      </c>
      <c r="Q290" s="7">
        <v>0</v>
      </c>
      <c r="R290" s="7">
        <v>0</v>
      </c>
      <c r="S290" s="7">
        <v>31.178999999999998</v>
      </c>
      <c r="T290" s="7">
        <v>0</v>
      </c>
      <c r="U290" s="7">
        <v>83.497</v>
      </c>
      <c r="V290" s="7">
        <v>0</v>
      </c>
      <c r="W290" s="7">
        <v>0</v>
      </c>
      <c r="X290" s="7">
        <v>0</v>
      </c>
      <c r="Y290" s="7">
        <v>0</v>
      </c>
      <c r="Z290" s="7">
        <v>67.929000000000002</v>
      </c>
      <c r="AA290" s="7">
        <v>225.29599999999999</v>
      </c>
      <c r="AB290" s="7">
        <v>0</v>
      </c>
      <c r="AC290" s="7">
        <v>12145.800999999999</v>
      </c>
      <c r="AD290" s="7">
        <v>0</v>
      </c>
      <c r="AE290" s="7">
        <v>628.52300000000002</v>
      </c>
      <c r="AF290" s="7">
        <v>0</v>
      </c>
      <c r="AG290" s="7">
        <v>106.322</v>
      </c>
      <c r="AH290" s="7">
        <v>0</v>
      </c>
      <c r="AI290" s="7">
        <v>40081.909</v>
      </c>
      <c r="AJ290" s="7">
        <v>0</v>
      </c>
      <c r="AK290" s="7">
        <v>0</v>
      </c>
      <c r="AL290" s="7">
        <v>65294.161999999997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76.81</v>
      </c>
      <c r="BC290" s="7">
        <v>0</v>
      </c>
      <c r="BD290" s="7">
        <v>0</v>
      </c>
      <c r="BE290" s="7">
        <v>0</v>
      </c>
      <c r="BF290" s="7">
        <v>0</v>
      </c>
      <c r="BG290" s="21"/>
    </row>
    <row r="291" spans="1:59" ht="15.6" x14ac:dyDescent="0.3">
      <c r="A291" s="5" t="s">
        <v>507</v>
      </c>
      <c r="B291" s="5" t="s">
        <v>508</v>
      </c>
      <c r="C291" s="7">
        <v>5</v>
      </c>
      <c r="D291" s="7">
        <v>5</v>
      </c>
      <c r="E291" s="7">
        <v>0</v>
      </c>
      <c r="F291" s="7">
        <v>0</v>
      </c>
      <c r="G291" s="7">
        <v>0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F291" s="7">
        <v>0</v>
      </c>
      <c r="BG291" s="21"/>
    </row>
    <row r="292" spans="1:59" ht="15.6" x14ac:dyDescent="0.3">
      <c r="A292" s="5" t="s">
        <v>509</v>
      </c>
      <c r="B292" s="5" t="s">
        <v>510</v>
      </c>
      <c r="C292" s="7">
        <v>5</v>
      </c>
      <c r="D292" s="7">
        <v>5</v>
      </c>
      <c r="E292" s="7">
        <v>0</v>
      </c>
      <c r="F292" s="7">
        <v>0</v>
      </c>
      <c r="G292" s="7">
        <v>0</v>
      </c>
      <c r="H292" s="7">
        <v>0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F292" s="7">
        <v>0</v>
      </c>
      <c r="BG292" s="21"/>
    </row>
    <row r="293" spans="1:59" ht="15.6" x14ac:dyDescent="0.3">
      <c r="A293" s="5" t="s">
        <v>511</v>
      </c>
      <c r="B293" s="5" t="s">
        <v>512</v>
      </c>
      <c r="C293" s="7">
        <v>5</v>
      </c>
      <c r="D293" s="7">
        <v>5</v>
      </c>
      <c r="E293" s="7">
        <v>160754.73300000001</v>
      </c>
      <c r="F293" s="7">
        <v>19479.010999999999</v>
      </c>
      <c r="G293" s="7">
        <v>28545.637999999999</v>
      </c>
      <c r="H293" s="7">
        <v>0</v>
      </c>
      <c r="I293" s="7">
        <v>4514.37</v>
      </c>
      <c r="J293" s="7">
        <v>17494.863000000001</v>
      </c>
      <c r="K293" s="7">
        <v>135147.21</v>
      </c>
      <c r="L293" s="7">
        <v>13298.293</v>
      </c>
      <c r="M293" s="7">
        <v>0</v>
      </c>
      <c r="N293" s="7">
        <v>66027.785999999993</v>
      </c>
      <c r="O293" s="7">
        <v>155884.307</v>
      </c>
      <c r="P293" s="7">
        <v>62886.097999999998</v>
      </c>
      <c r="Q293" s="7">
        <v>0</v>
      </c>
      <c r="R293" s="7">
        <v>0</v>
      </c>
      <c r="S293" s="7">
        <v>887.19500000000005</v>
      </c>
      <c r="T293" s="7">
        <v>0</v>
      </c>
      <c r="U293" s="7">
        <v>59.963999999999999</v>
      </c>
      <c r="V293" s="7">
        <v>0</v>
      </c>
      <c r="W293" s="7">
        <v>0</v>
      </c>
      <c r="X293" s="7">
        <v>0</v>
      </c>
      <c r="Y293" s="7">
        <v>0</v>
      </c>
      <c r="Z293" s="7">
        <v>2642.7190000000001</v>
      </c>
      <c r="AA293" s="7">
        <v>8695.4230000000007</v>
      </c>
      <c r="AB293" s="7">
        <v>0</v>
      </c>
      <c r="AC293" s="7">
        <v>71400.592999999993</v>
      </c>
      <c r="AD293" s="7">
        <v>0</v>
      </c>
      <c r="AE293" s="7">
        <v>25686.421999999999</v>
      </c>
      <c r="AF293" s="7">
        <v>0</v>
      </c>
      <c r="AG293" s="7">
        <v>4382.2870000000003</v>
      </c>
      <c r="AH293" s="7">
        <v>0</v>
      </c>
      <c r="AI293" s="7">
        <v>216465.88200000001</v>
      </c>
      <c r="AJ293" s="7">
        <v>0</v>
      </c>
      <c r="AK293" s="7">
        <v>0</v>
      </c>
      <c r="AL293" s="7">
        <v>342642.76799999998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F293" s="7">
        <v>0</v>
      </c>
      <c r="BG293" s="21"/>
    </row>
    <row r="294" spans="1:59" ht="15.6" x14ac:dyDescent="0.3">
      <c r="A294" s="5" t="s">
        <v>513</v>
      </c>
      <c r="B294" s="5" t="s">
        <v>514</v>
      </c>
      <c r="C294" s="7">
        <v>5</v>
      </c>
      <c r="D294" s="7">
        <v>5</v>
      </c>
      <c r="E294" s="7">
        <v>5327.683</v>
      </c>
      <c r="F294" s="7">
        <v>0</v>
      </c>
      <c r="G294" s="7">
        <v>0</v>
      </c>
      <c r="H294" s="7">
        <v>0</v>
      </c>
      <c r="I294" s="7">
        <v>0</v>
      </c>
      <c r="J294" s="7">
        <v>0</v>
      </c>
      <c r="K294" s="7">
        <v>0</v>
      </c>
      <c r="L294" s="7">
        <v>1938.538</v>
      </c>
      <c r="M294" s="7">
        <v>0</v>
      </c>
      <c r="N294" s="7">
        <v>5113.0770000000002</v>
      </c>
      <c r="O294" s="7">
        <v>19152.168000000001</v>
      </c>
      <c r="P294" s="7">
        <v>1558.6320000000001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  <c r="AI294" s="7">
        <v>2416.4899999999998</v>
      </c>
      <c r="AJ294" s="7">
        <v>0</v>
      </c>
      <c r="AK294" s="7">
        <v>0</v>
      </c>
      <c r="AL294" s="7">
        <v>12786.601000000001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7">
        <v>0</v>
      </c>
      <c r="BG294" s="21"/>
    </row>
    <row r="295" spans="1:59" ht="15.6" x14ac:dyDescent="0.3">
      <c r="A295" s="5" t="s">
        <v>515</v>
      </c>
      <c r="B295" s="5" t="s">
        <v>516</v>
      </c>
      <c r="C295" s="7">
        <v>5</v>
      </c>
      <c r="D295" s="7">
        <v>5</v>
      </c>
      <c r="E295" s="7">
        <v>0</v>
      </c>
      <c r="F295" s="7">
        <v>0</v>
      </c>
      <c r="G295" s="7">
        <v>0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21"/>
    </row>
    <row r="296" spans="1:59" ht="15.6" x14ac:dyDescent="0.3">
      <c r="A296" s="5" t="s">
        <v>517</v>
      </c>
      <c r="B296" s="5" t="s">
        <v>518</v>
      </c>
      <c r="C296" s="7">
        <v>5</v>
      </c>
      <c r="D296" s="7">
        <v>5</v>
      </c>
      <c r="E296" s="7">
        <v>0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  <c r="AX296" s="7">
        <v>0</v>
      </c>
      <c r="AY296" s="7">
        <v>0</v>
      </c>
      <c r="AZ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F296" s="7">
        <v>0</v>
      </c>
      <c r="BG296" s="21"/>
    </row>
    <row r="297" spans="1:59" ht="15.6" x14ac:dyDescent="0.3">
      <c r="A297" s="5" t="s">
        <v>519</v>
      </c>
      <c r="B297" s="5" t="s">
        <v>520</v>
      </c>
      <c r="C297" s="7">
        <v>5</v>
      </c>
      <c r="D297" s="7">
        <v>5</v>
      </c>
      <c r="E297" s="7">
        <v>0</v>
      </c>
      <c r="F297" s="7">
        <v>0</v>
      </c>
      <c r="G297" s="7">
        <v>0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7">
        <v>0</v>
      </c>
      <c r="AZ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F297" s="7">
        <v>0</v>
      </c>
      <c r="BG297" s="21"/>
    </row>
    <row r="298" spans="1:59" ht="15.6" x14ac:dyDescent="0.3">
      <c r="A298" s="5" t="s">
        <v>521</v>
      </c>
      <c r="B298" s="5" t="s">
        <v>522</v>
      </c>
      <c r="C298" s="7">
        <v>5</v>
      </c>
      <c r="D298" s="7">
        <v>5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0</v>
      </c>
      <c r="AZ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F298" s="7">
        <v>0</v>
      </c>
      <c r="BG298" s="21"/>
    </row>
    <row r="299" spans="1:59" ht="15.6" x14ac:dyDescent="0.3">
      <c r="A299" s="5" t="s">
        <v>523</v>
      </c>
      <c r="B299" s="5" t="s">
        <v>524</v>
      </c>
      <c r="C299" s="7">
        <v>5</v>
      </c>
      <c r="D299" s="7">
        <v>5</v>
      </c>
      <c r="E299" s="7">
        <v>0</v>
      </c>
      <c r="F299" s="7">
        <v>0</v>
      </c>
      <c r="G299" s="7">
        <v>0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F299" s="7">
        <v>0</v>
      </c>
      <c r="BG299" s="21"/>
    </row>
    <row r="300" spans="1:59" ht="15.6" x14ac:dyDescent="0.3">
      <c r="A300" s="5" t="s">
        <v>525</v>
      </c>
      <c r="B300" s="5" t="s">
        <v>526</v>
      </c>
      <c r="C300" s="7">
        <v>5</v>
      </c>
      <c r="D300" s="7">
        <v>5</v>
      </c>
      <c r="E300" s="7">
        <v>0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0</v>
      </c>
      <c r="AZ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F300" s="7">
        <v>0</v>
      </c>
      <c r="BG300" s="21"/>
    </row>
    <row r="301" spans="1:59" ht="15.6" x14ac:dyDescent="0.3">
      <c r="A301" s="5" t="s">
        <v>527</v>
      </c>
      <c r="B301" s="5" t="s">
        <v>528</v>
      </c>
      <c r="C301" s="7">
        <v>5</v>
      </c>
      <c r="D301" s="7">
        <v>5</v>
      </c>
      <c r="E301" s="7">
        <v>0</v>
      </c>
      <c r="F301" s="7">
        <v>0</v>
      </c>
      <c r="G301" s="7">
        <v>0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0</v>
      </c>
      <c r="AZ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F301" s="7">
        <v>0</v>
      </c>
      <c r="BG301" s="21"/>
    </row>
    <row r="302" spans="1:59" ht="15.6" x14ac:dyDescent="0.3">
      <c r="A302" s="5" t="s">
        <v>529</v>
      </c>
      <c r="B302" s="5" t="s">
        <v>530</v>
      </c>
      <c r="C302" s="7">
        <v>5</v>
      </c>
      <c r="D302" s="7">
        <v>5</v>
      </c>
      <c r="E302" s="7">
        <v>0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0</v>
      </c>
      <c r="AZ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F302" s="7">
        <v>0</v>
      </c>
      <c r="BG302" s="21"/>
    </row>
    <row r="303" spans="1:59" ht="15.6" x14ac:dyDescent="0.3">
      <c r="A303" s="5" t="s">
        <v>531</v>
      </c>
      <c r="B303" s="5" t="s">
        <v>532</v>
      </c>
      <c r="C303" s="7">
        <v>5</v>
      </c>
      <c r="D303" s="7">
        <v>5</v>
      </c>
      <c r="E303" s="7">
        <v>0</v>
      </c>
      <c r="F303" s="7">
        <v>0</v>
      </c>
      <c r="G303" s="7">
        <v>0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F303" s="7">
        <v>0</v>
      </c>
      <c r="BG303" s="21"/>
    </row>
    <row r="304" spans="1:59" ht="15.6" x14ac:dyDescent="0.3">
      <c r="A304" s="5" t="s">
        <v>533</v>
      </c>
      <c r="B304" s="5" t="s">
        <v>534</v>
      </c>
      <c r="C304" s="7">
        <v>5</v>
      </c>
      <c r="D304" s="7">
        <v>5</v>
      </c>
      <c r="E304" s="7">
        <v>0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  <c r="AX304" s="7">
        <v>0</v>
      </c>
      <c r="AY304" s="7">
        <v>0</v>
      </c>
      <c r="AZ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F304" s="7">
        <v>0</v>
      </c>
      <c r="BG304" s="21"/>
    </row>
    <row r="305" spans="1:59" ht="15.6" x14ac:dyDescent="0.3">
      <c r="A305" s="5" t="s">
        <v>535</v>
      </c>
      <c r="B305" s="5" t="s">
        <v>536</v>
      </c>
      <c r="C305" s="7">
        <v>5</v>
      </c>
      <c r="D305" s="7">
        <v>5</v>
      </c>
      <c r="E305" s="7">
        <v>0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F305" s="7">
        <v>0</v>
      </c>
      <c r="BG305" s="21"/>
    </row>
    <row r="306" spans="1:59" ht="15.6" x14ac:dyDescent="0.3">
      <c r="A306" s="5" t="s">
        <v>537</v>
      </c>
      <c r="B306" s="5" t="s">
        <v>538</v>
      </c>
      <c r="C306" s="7">
        <v>5</v>
      </c>
      <c r="D306" s="7">
        <v>5</v>
      </c>
      <c r="E306" s="7">
        <v>0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7">
        <v>0</v>
      </c>
      <c r="AZ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F306" s="7">
        <v>0</v>
      </c>
      <c r="BG306" s="21"/>
    </row>
    <row r="307" spans="1:59" ht="15.6" x14ac:dyDescent="0.3">
      <c r="A307" s="5" t="s">
        <v>539</v>
      </c>
      <c r="B307" s="5" t="s">
        <v>540</v>
      </c>
      <c r="C307" s="7">
        <v>5</v>
      </c>
      <c r="D307" s="7">
        <v>5</v>
      </c>
      <c r="E307" s="7">
        <v>0</v>
      </c>
      <c r="F307" s="7">
        <v>0</v>
      </c>
      <c r="G307" s="7">
        <v>0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0</v>
      </c>
      <c r="AZ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F307" s="7">
        <v>0</v>
      </c>
      <c r="BG307" s="21"/>
    </row>
    <row r="308" spans="1:59" ht="15.6" x14ac:dyDescent="0.3">
      <c r="A308" s="5" t="s">
        <v>541</v>
      </c>
      <c r="B308" s="5" t="s">
        <v>542</v>
      </c>
      <c r="C308" s="7">
        <v>5</v>
      </c>
      <c r="D308" s="7">
        <v>5</v>
      </c>
      <c r="E308" s="7">
        <v>0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7">
        <v>0</v>
      </c>
      <c r="AZ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F308" s="7">
        <v>0</v>
      </c>
      <c r="BG308" s="21"/>
    </row>
    <row r="309" spans="1:59" ht="15.6" x14ac:dyDescent="0.3">
      <c r="A309" s="5" t="s">
        <v>543</v>
      </c>
      <c r="B309" s="5" t="s">
        <v>544</v>
      </c>
      <c r="C309" s="7">
        <v>5</v>
      </c>
      <c r="D309" s="7">
        <v>5</v>
      </c>
      <c r="E309" s="7">
        <v>0</v>
      </c>
      <c r="F309" s="7">
        <v>0</v>
      </c>
      <c r="G309" s="7">
        <v>0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  <c r="AX309" s="7">
        <v>0</v>
      </c>
      <c r="AY309" s="7">
        <v>0</v>
      </c>
      <c r="AZ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F309" s="7">
        <v>0</v>
      </c>
      <c r="BG309" s="21"/>
    </row>
    <row r="310" spans="1:59" ht="15.6" x14ac:dyDescent="0.3">
      <c r="A310" s="5" t="s">
        <v>545</v>
      </c>
      <c r="B310" s="5" t="s">
        <v>546</v>
      </c>
      <c r="C310" s="7">
        <v>5</v>
      </c>
      <c r="D310" s="7">
        <v>5</v>
      </c>
      <c r="E310" s="7">
        <v>0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  <c r="AX310" s="7">
        <v>0</v>
      </c>
      <c r="AY310" s="7">
        <v>0</v>
      </c>
      <c r="AZ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F310" s="7">
        <v>0</v>
      </c>
      <c r="BG310" s="21"/>
    </row>
    <row r="311" spans="1:59" ht="15.6" x14ac:dyDescent="0.3">
      <c r="A311" s="5" t="s">
        <v>547</v>
      </c>
      <c r="B311" s="5" t="s">
        <v>548</v>
      </c>
      <c r="C311" s="7">
        <v>5</v>
      </c>
      <c r="D311" s="7">
        <v>5</v>
      </c>
      <c r="E311" s="7">
        <v>0</v>
      </c>
      <c r="F311" s="7">
        <v>0</v>
      </c>
      <c r="G311" s="7">
        <v>0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7">
        <v>0</v>
      </c>
      <c r="AV311" s="7">
        <v>0</v>
      </c>
      <c r="AW311" s="7">
        <v>0</v>
      </c>
      <c r="AX311" s="7">
        <v>0</v>
      </c>
      <c r="AY311" s="7">
        <v>0</v>
      </c>
      <c r="AZ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F311" s="7">
        <v>0</v>
      </c>
      <c r="BG311" s="21"/>
    </row>
    <row r="312" spans="1:59" ht="15.6" x14ac:dyDescent="0.3">
      <c r="A312" s="5" t="s">
        <v>549</v>
      </c>
      <c r="B312" s="5" t="s">
        <v>550</v>
      </c>
      <c r="C312" s="7">
        <v>5</v>
      </c>
      <c r="D312" s="7">
        <v>5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7">
        <v>0</v>
      </c>
      <c r="AZ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F312" s="7">
        <v>0</v>
      </c>
      <c r="BG312" s="21"/>
    </row>
    <row r="313" spans="1:59" ht="15.6" x14ac:dyDescent="0.3">
      <c r="A313" s="5" t="s">
        <v>551</v>
      </c>
      <c r="B313" s="5" t="s">
        <v>552</v>
      </c>
      <c r="C313" s="7">
        <v>5</v>
      </c>
      <c r="D313" s="7">
        <v>5</v>
      </c>
      <c r="E313" s="7">
        <v>0</v>
      </c>
      <c r="F313" s="7">
        <v>0</v>
      </c>
      <c r="G313" s="7">
        <v>0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7">
        <v>0</v>
      </c>
      <c r="AV313" s="7">
        <v>0</v>
      </c>
      <c r="AW313" s="7">
        <v>0</v>
      </c>
      <c r="AX313" s="7">
        <v>0</v>
      </c>
      <c r="AY313" s="7">
        <v>0</v>
      </c>
      <c r="AZ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F313" s="7">
        <v>0</v>
      </c>
      <c r="BG313" s="21"/>
    </row>
    <row r="314" spans="1:59" ht="15.6" x14ac:dyDescent="0.3">
      <c r="A314" s="5" t="s">
        <v>553</v>
      </c>
      <c r="B314" s="5" t="s">
        <v>554</v>
      </c>
      <c r="C314" s="7">
        <v>5</v>
      </c>
      <c r="D314" s="7">
        <v>5</v>
      </c>
      <c r="E314" s="7">
        <v>0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  <c r="AX314" s="7">
        <v>0</v>
      </c>
      <c r="AY314" s="7">
        <v>0</v>
      </c>
      <c r="AZ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F314" s="7">
        <v>0</v>
      </c>
      <c r="BG314" s="21"/>
    </row>
    <row r="315" spans="1:59" ht="15.6" x14ac:dyDescent="0.3">
      <c r="A315" s="5" t="s">
        <v>555</v>
      </c>
      <c r="B315" s="5" t="s">
        <v>556</v>
      </c>
      <c r="C315" s="7">
        <v>5</v>
      </c>
      <c r="D315" s="7">
        <v>5</v>
      </c>
      <c r="E315" s="7">
        <v>0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7">
        <v>0</v>
      </c>
      <c r="AR315" s="7">
        <v>0</v>
      </c>
      <c r="AS315" s="7">
        <v>0</v>
      </c>
      <c r="AT315" s="7">
        <v>0</v>
      </c>
      <c r="AU315" s="7">
        <v>0</v>
      </c>
      <c r="AV315" s="7">
        <v>0</v>
      </c>
      <c r="AW315" s="7">
        <v>0</v>
      </c>
      <c r="AX315" s="7">
        <v>0</v>
      </c>
      <c r="AY315" s="7">
        <v>0</v>
      </c>
      <c r="AZ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F315" s="7">
        <v>0</v>
      </c>
      <c r="BG315" s="21"/>
    </row>
    <row r="316" spans="1:59" ht="15.6" x14ac:dyDescent="0.3">
      <c r="A316" s="5" t="s">
        <v>557</v>
      </c>
      <c r="B316" s="5" t="s">
        <v>558</v>
      </c>
      <c r="C316" s="7">
        <v>5</v>
      </c>
      <c r="D316" s="7">
        <v>5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0</v>
      </c>
      <c r="AV316" s="7">
        <v>0</v>
      </c>
      <c r="AW316" s="7">
        <v>0</v>
      </c>
      <c r="AX316" s="7">
        <v>0</v>
      </c>
      <c r="AY316" s="7">
        <v>0</v>
      </c>
      <c r="AZ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F316" s="7">
        <v>0</v>
      </c>
      <c r="BG316" s="21"/>
    </row>
    <row r="317" spans="1:59" ht="15.6" x14ac:dyDescent="0.3">
      <c r="A317" s="5" t="s">
        <v>559</v>
      </c>
      <c r="B317" s="5" t="s">
        <v>560</v>
      </c>
      <c r="C317" s="7">
        <v>5</v>
      </c>
      <c r="D317" s="7">
        <v>5</v>
      </c>
      <c r="E317" s="7">
        <v>0</v>
      </c>
      <c r="F317" s="7">
        <v>0</v>
      </c>
      <c r="G317" s="7">
        <v>0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7">
        <v>0</v>
      </c>
      <c r="AR317" s="7">
        <v>0</v>
      </c>
      <c r="AS317" s="7">
        <v>0</v>
      </c>
      <c r="AT317" s="7">
        <v>0</v>
      </c>
      <c r="AU317" s="7">
        <v>0</v>
      </c>
      <c r="AV317" s="7">
        <v>0</v>
      </c>
      <c r="AW317" s="7">
        <v>0</v>
      </c>
      <c r="AX317" s="7">
        <v>0</v>
      </c>
      <c r="AY317" s="7">
        <v>0</v>
      </c>
      <c r="AZ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F317" s="7">
        <v>0</v>
      </c>
      <c r="BG317" s="21"/>
    </row>
    <row r="318" spans="1:59" ht="15.6" x14ac:dyDescent="0.3">
      <c r="A318" s="5" t="s">
        <v>561</v>
      </c>
      <c r="B318" s="5" t="s">
        <v>562</v>
      </c>
      <c r="C318" s="7">
        <v>5</v>
      </c>
      <c r="D318" s="7">
        <v>5</v>
      </c>
      <c r="E318" s="7">
        <v>0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  <c r="AQ318" s="7">
        <v>0</v>
      </c>
      <c r="AR318" s="7">
        <v>0</v>
      </c>
      <c r="AS318" s="7">
        <v>0</v>
      </c>
      <c r="AT318" s="7">
        <v>0</v>
      </c>
      <c r="AU318" s="7">
        <v>0</v>
      </c>
      <c r="AV318" s="7">
        <v>0</v>
      </c>
      <c r="AW318" s="7">
        <v>0</v>
      </c>
      <c r="AX318" s="7">
        <v>0</v>
      </c>
      <c r="AY318" s="7">
        <v>0</v>
      </c>
      <c r="AZ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F318" s="7">
        <v>0</v>
      </c>
      <c r="BG318" s="21"/>
    </row>
    <row r="319" spans="1:59" ht="15.6" x14ac:dyDescent="0.3">
      <c r="A319" s="5" t="s">
        <v>563</v>
      </c>
      <c r="B319" s="5" t="s">
        <v>564</v>
      </c>
      <c r="C319" s="7">
        <v>5</v>
      </c>
      <c r="D319" s="7">
        <v>5</v>
      </c>
      <c r="E319" s="7">
        <v>0</v>
      </c>
      <c r="F319" s="7">
        <v>0</v>
      </c>
      <c r="G319" s="7">
        <v>0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0</v>
      </c>
      <c r="AT319" s="7">
        <v>0</v>
      </c>
      <c r="AU319" s="7">
        <v>0</v>
      </c>
      <c r="AV319" s="7">
        <v>0</v>
      </c>
      <c r="AW319" s="7">
        <v>0</v>
      </c>
      <c r="AX319" s="7">
        <v>0</v>
      </c>
      <c r="AY319" s="7">
        <v>0</v>
      </c>
      <c r="AZ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F319" s="7">
        <v>0</v>
      </c>
      <c r="BG319" s="21"/>
    </row>
    <row r="320" spans="1:59" ht="15.6" x14ac:dyDescent="0.3">
      <c r="A320" s="5" t="s">
        <v>565</v>
      </c>
      <c r="B320" s="5" t="s">
        <v>566</v>
      </c>
      <c r="C320" s="7">
        <v>5</v>
      </c>
      <c r="D320" s="7">
        <v>5</v>
      </c>
      <c r="E320" s="7">
        <v>0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0</v>
      </c>
      <c r="AP320" s="7">
        <v>0</v>
      </c>
      <c r="AQ320" s="7">
        <v>0</v>
      </c>
      <c r="AR320" s="7">
        <v>0</v>
      </c>
      <c r="AS320" s="7">
        <v>0</v>
      </c>
      <c r="AT320" s="7">
        <v>0</v>
      </c>
      <c r="AU320" s="7">
        <v>0</v>
      </c>
      <c r="AV320" s="7">
        <v>0</v>
      </c>
      <c r="AW320" s="7">
        <v>0</v>
      </c>
      <c r="AX320" s="7">
        <v>0</v>
      </c>
      <c r="AY320" s="7">
        <v>0</v>
      </c>
      <c r="AZ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F320" s="7">
        <v>0</v>
      </c>
      <c r="BG320" s="21"/>
    </row>
    <row r="321" spans="1:59" ht="15.6" x14ac:dyDescent="0.3">
      <c r="A321" s="5" t="s">
        <v>567</v>
      </c>
      <c r="B321" s="5" t="s">
        <v>568</v>
      </c>
      <c r="C321" s="7">
        <v>5</v>
      </c>
      <c r="D321" s="7">
        <v>5</v>
      </c>
      <c r="E321" s="7">
        <v>0</v>
      </c>
      <c r="F321" s="7">
        <v>0</v>
      </c>
      <c r="G321" s="7">
        <v>0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  <c r="AQ321" s="7">
        <v>0</v>
      </c>
      <c r="AR321" s="7">
        <v>0</v>
      </c>
      <c r="AS321" s="7">
        <v>0</v>
      </c>
      <c r="AT321" s="7">
        <v>0</v>
      </c>
      <c r="AU321" s="7">
        <v>0</v>
      </c>
      <c r="AV321" s="7">
        <v>0</v>
      </c>
      <c r="AW321" s="7">
        <v>0</v>
      </c>
      <c r="AX321" s="7">
        <v>0</v>
      </c>
      <c r="AY321" s="7">
        <v>0</v>
      </c>
      <c r="AZ321" s="7">
        <v>0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F321" s="7">
        <v>0</v>
      </c>
      <c r="BG321" s="21"/>
    </row>
    <row r="322" spans="1:59" ht="15.6" x14ac:dyDescent="0.3">
      <c r="A322" s="5" t="s">
        <v>569</v>
      </c>
      <c r="B322" s="5" t="s">
        <v>570</v>
      </c>
      <c r="C322" s="7">
        <v>5</v>
      </c>
      <c r="D322" s="7">
        <v>5</v>
      </c>
      <c r="E322" s="7">
        <v>0</v>
      </c>
      <c r="F322" s="7">
        <v>0</v>
      </c>
      <c r="G322" s="7">
        <v>0</v>
      </c>
      <c r="H322" s="7">
        <v>0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0</v>
      </c>
      <c r="AF322" s="7">
        <v>0</v>
      </c>
      <c r="AG322" s="7">
        <v>0</v>
      </c>
      <c r="AH322" s="7">
        <v>0</v>
      </c>
      <c r="AI322" s="7">
        <v>0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0</v>
      </c>
      <c r="AP322" s="7">
        <v>0</v>
      </c>
      <c r="AQ322" s="7">
        <v>0</v>
      </c>
      <c r="AR322" s="7">
        <v>0</v>
      </c>
      <c r="AS322" s="7">
        <v>0</v>
      </c>
      <c r="AT322" s="7">
        <v>0</v>
      </c>
      <c r="AU322" s="7">
        <v>0</v>
      </c>
      <c r="AV322" s="7">
        <v>0</v>
      </c>
      <c r="AW322" s="7">
        <v>0</v>
      </c>
      <c r="AX322" s="7">
        <v>0</v>
      </c>
      <c r="AY322" s="7">
        <v>0</v>
      </c>
      <c r="AZ322" s="7">
        <v>0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F322" s="7">
        <v>0</v>
      </c>
      <c r="BG322" s="21"/>
    </row>
    <row r="323" spans="1:59" ht="15.6" x14ac:dyDescent="0.3">
      <c r="A323" s="5" t="s">
        <v>571</v>
      </c>
      <c r="B323" s="5" t="s">
        <v>572</v>
      </c>
      <c r="C323" s="7">
        <v>5</v>
      </c>
      <c r="D323" s="7">
        <v>5</v>
      </c>
      <c r="E323" s="7">
        <v>0</v>
      </c>
      <c r="F323" s="7">
        <v>0</v>
      </c>
      <c r="G323" s="7">
        <v>0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0</v>
      </c>
      <c r="AP323" s="7">
        <v>0</v>
      </c>
      <c r="AQ323" s="7">
        <v>0</v>
      </c>
      <c r="AR323" s="7">
        <v>0</v>
      </c>
      <c r="AS323" s="7">
        <v>0</v>
      </c>
      <c r="AT323" s="7">
        <v>0</v>
      </c>
      <c r="AU323" s="7">
        <v>0</v>
      </c>
      <c r="AV323" s="7">
        <v>0</v>
      </c>
      <c r="AW323" s="7">
        <v>0</v>
      </c>
      <c r="AX323" s="7">
        <v>0</v>
      </c>
      <c r="AY323" s="7">
        <v>0</v>
      </c>
      <c r="AZ323" s="7">
        <v>0</v>
      </c>
      <c r="BA323" s="7">
        <v>0</v>
      </c>
      <c r="BB323" s="7">
        <v>0</v>
      </c>
      <c r="BC323" s="7">
        <v>0</v>
      </c>
      <c r="BD323" s="7">
        <v>0</v>
      </c>
      <c r="BE323" s="7">
        <v>0</v>
      </c>
      <c r="BF323" s="7">
        <v>0</v>
      </c>
      <c r="BG323" s="21"/>
    </row>
    <row r="324" spans="1:59" ht="15.6" x14ac:dyDescent="0.3">
      <c r="A324" s="5" t="s">
        <v>573</v>
      </c>
      <c r="B324" s="5" t="s">
        <v>574</v>
      </c>
      <c r="C324" s="7">
        <v>5</v>
      </c>
      <c r="D324" s="7">
        <v>5</v>
      </c>
      <c r="E324" s="7">
        <v>-15061.325999999999</v>
      </c>
      <c r="F324" s="7">
        <v>-4193.8410000000003</v>
      </c>
      <c r="G324" s="7">
        <v>0</v>
      </c>
      <c r="H324" s="7">
        <v>0</v>
      </c>
      <c r="I324" s="7">
        <v>-208.523</v>
      </c>
      <c r="J324" s="7">
        <v>0</v>
      </c>
      <c r="K324" s="7">
        <v>-21717.953000000001</v>
      </c>
      <c r="L324" s="7">
        <v>-1799.4949999999999</v>
      </c>
      <c r="M324" s="7">
        <v>0</v>
      </c>
      <c r="N324" s="7">
        <v>-2166.4450000000002</v>
      </c>
      <c r="O324" s="7">
        <v>-51189.091999999997</v>
      </c>
      <c r="P324" s="7">
        <v>-2941.348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-1255.1980000000001</v>
      </c>
      <c r="W324" s="7">
        <v>0</v>
      </c>
      <c r="X324" s="7">
        <v>0</v>
      </c>
      <c r="Y324" s="7">
        <v>0</v>
      </c>
      <c r="Z324" s="7">
        <v>0</v>
      </c>
      <c r="AA324" s="7">
        <v>-350.35399999999998</v>
      </c>
      <c r="AB324" s="7">
        <v>0</v>
      </c>
      <c r="AC324" s="7">
        <v>-8641.1380000000008</v>
      </c>
      <c r="AD324" s="7">
        <v>0</v>
      </c>
      <c r="AE324" s="7">
        <v>0</v>
      </c>
      <c r="AF324" s="7">
        <v>-2.9860000000000002</v>
      </c>
      <c r="AG324" s="7">
        <v>-698.80399999999997</v>
      </c>
      <c r="AH324" s="7">
        <v>0</v>
      </c>
      <c r="AI324" s="7">
        <v>-22043.8</v>
      </c>
      <c r="AJ324" s="7">
        <v>-10162.852000000001</v>
      </c>
      <c r="AK324" s="7">
        <v>0</v>
      </c>
      <c r="AL324" s="7">
        <v>-65962.678</v>
      </c>
      <c r="AM324" s="7">
        <v>-19318.467000000001</v>
      </c>
      <c r="AN324" s="7">
        <v>0</v>
      </c>
      <c r="AO324" s="7">
        <v>0</v>
      </c>
      <c r="AP324" s="7">
        <v>0</v>
      </c>
      <c r="AQ324" s="7">
        <v>0</v>
      </c>
      <c r="AR324" s="7">
        <v>0</v>
      </c>
      <c r="AS324" s="7">
        <v>0</v>
      </c>
      <c r="AT324" s="7">
        <v>0</v>
      </c>
      <c r="AU324" s="7">
        <v>-57.25</v>
      </c>
      <c r="AV324" s="7">
        <v>0</v>
      </c>
      <c r="AW324" s="7">
        <v>0</v>
      </c>
      <c r="AX324" s="7">
        <v>-2944.5070000000001</v>
      </c>
      <c r="AY324" s="7">
        <v>0</v>
      </c>
      <c r="AZ324" s="7">
        <v>-12.647</v>
      </c>
      <c r="BA324" s="7">
        <v>0</v>
      </c>
      <c r="BB324" s="7">
        <v>-98.45</v>
      </c>
      <c r="BC324" s="7">
        <v>0</v>
      </c>
      <c r="BD324" s="7">
        <v>0</v>
      </c>
      <c r="BE324" s="7">
        <v>-2657.386</v>
      </c>
      <c r="BF324" s="7">
        <v>0</v>
      </c>
      <c r="BG324" s="21"/>
    </row>
    <row r="325" spans="1:59" ht="15.6" x14ac:dyDescent="0.3">
      <c r="A325" s="5" t="s">
        <v>575</v>
      </c>
      <c r="B325" s="5" t="s">
        <v>576</v>
      </c>
      <c r="C325" s="7">
        <v>6</v>
      </c>
      <c r="D325" s="7">
        <v>6</v>
      </c>
      <c r="E325" s="7">
        <v>71.510999999999996</v>
      </c>
      <c r="F325" s="7">
        <v>0</v>
      </c>
      <c r="G325" s="7">
        <v>0</v>
      </c>
      <c r="H325" s="7">
        <v>0</v>
      </c>
      <c r="I325" s="7">
        <v>100.851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9427.0390000000007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0</v>
      </c>
      <c r="AP325" s="7">
        <v>0</v>
      </c>
      <c r="AQ325" s="7">
        <v>0</v>
      </c>
      <c r="AR325" s="7">
        <v>0</v>
      </c>
      <c r="AS325" s="7">
        <v>0</v>
      </c>
      <c r="AT325" s="7">
        <v>0</v>
      </c>
      <c r="AU325" s="7">
        <v>0</v>
      </c>
      <c r="AV325" s="7">
        <v>0</v>
      </c>
      <c r="AW325" s="7">
        <v>0</v>
      </c>
      <c r="AX325" s="7">
        <v>0</v>
      </c>
      <c r="AY325" s="7">
        <v>0</v>
      </c>
      <c r="AZ325" s="7">
        <v>0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F325" s="7">
        <v>0</v>
      </c>
      <c r="BG325" s="21"/>
    </row>
    <row r="326" spans="1:59" ht="15.6" x14ac:dyDescent="0.3">
      <c r="A326" s="5" t="s">
        <v>577</v>
      </c>
      <c r="B326" s="5" t="s">
        <v>578</v>
      </c>
      <c r="C326" s="7">
        <v>6</v>
      </c>
      <c r="D326" s="7">
        <v>6</v>
      </c>
      <c r="E326" s="7">
        <v>0</v>
      </c>
      <c r="F326" s="7">
        <v>0</v>
      </c>
      <c r="G326" s="7">
        <v>0</v>
      </c>
      <c r="H326" s="7">
        <v>0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O326" s="7">
        <v>0</v>
      </c>
      <c r="AP326" s="7">
        <v>0</v>
      </c>
      <c r="AQ326" s="7">
        <v>0</v>
      </c>
      <c r="AR326" s="7">
        <v>0</v>
      </c>
      <c r="AS326" s="7">
        <v>0</v>
      </c>
      <c r="AT326" s="7">
        <v>0</v>
      </c>
      <c r="AU326" s="7">
        <v>0</v>
      </c>
      <c r="AV326" s="7">
        <v>0</v>
      </c>
      <c r="AW326" s="7">
        <v>0</v>
      </c>
      <c r="AX326" s="7">
        <v>0</v>
      </c>
      <c r="AY326" s="7">
        <v>0</v>
      </c>
      <c r="AZ326" s="7">
        <v>0</v>
      </c>
      <c r="BA326" s="7">
        <v>0</v>
      </c>
      <c r="BB326" s="7">
        <v>0</v>
      </c>
      <c r="BC326" s="7">
        <v>0</v>
      </c>
      <c r="BD326" s="7">
        <v>0</v>
      </c>
      <c r="BE326" s="7">
        <v>0</v>
      </c>
      <c r="BF326" s="7">
        <v>0</v>
      </c>
      <c r="BG326" s="21"/>
    </row>
    <row r="327" spans="1:59" ht="15.6" x14ac:dyDescent="0.3">
      <c r="A327" s="5" t="s">
        <v>579</v>
      </c>
      <c r="B327" s="5" t="s">
        <v>580</v>
      </c>
      <c r="C327" s="7">
        <v>6</v>
      </c>
      <c r="D327" s="7">
        <v>6</v>
      </c>
      <c r="E327" s="7">
        <v>0</v>
      </c>
      <c r="F327" s="7">
        <v>0</v>
      </c>
      <c r="G327" s="7">
        <v>0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  <c r="AQ327" s="7">
        <v>0</v>
      </c>
      <c r="AR327" s="7">
        <v>0</v>
      </c>
      <c r="AS327" s="7">
        <v>0</v>
      </c>
      <c r="AT327" s="7">
        <v>0</v>
      </c>
      <c r="AU327" s="7">
        <v>0</v>
      </c>
      <c r="AV327" s="7">
        <v>0</v>
      </c>
      <c r="AW327" s="7">
        <v>0</v>
      </c>
      <c r="AX327" s="7">
        <v>0</v>
      </c>
      <c r="AY327" s="7">
        <v>0</v>
      </c>
      <c r="AZ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F327" s="7">
        <v>0</v>
      </c>
      <c r="BG327" s="21"/>
    </row>
    <row r="328" spans="1:59" ht="15.6" x14ac:dyDescent="0.3">
      <c r="A328" s="5" t="s">
        <v>581</v>
      </c>
      <c r="B328" s="5" t="s">
        <v>582</v>
      </c>
      <c r="C328" s="7">
        <v>6</v>
      </c>
      <c r="D328" s="7">
        <v>6</v>
      </c>
      <c r="E328" s="7">
        <v>0</v>
      </c>
      <c r="F328" s="7">
        <v>0</v>
      </c>
      <c r="G328" s="7">
        <v>0</v>
      </c>
      <c r="H328" s="7">
        <v>0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  <c r="AQ328" s="7">
        <v>0</v>
      </c>
      <c r="AR328" s="7">
        <v>0</v>
      </c>
      <c r="AS328" s="7">
        <v>0</v>
      </c>
      <c r="AT328" s="7">
        <v>0</v>
      </c>
      <c r="AU328" s="7">
        <v>0</v>
      </c>
      <c r="AV328" s="7">
        <v>0</v>
      </c>
      <c r="AW328" s="7">
        <v>0</v>
      </c>
      <c r="AX328" s="7">
        <v>0</v>
      </c>
      <c r="AY328" s="7">
        <v>0</v>
      </c>
      <c r="AZ328" s="7">
        <v>0</v>
      </c>
      <c r="BA328" s="7">
        <v>0</v>
      </c>
      <c r="BB328" s="7">
        <v>0</v>
      </c>
      <c r="BC328" s="7">
        <v>0</v>
      </c>
      <c r="BD328" s="7">
        <v>0</v>
      </c>
      <c r="BE328" s="7">
        <v>0</v>
      </c>
      <c r="BF328" s="7">
        <v>0</v>
      </c>
      <c r="BG328" s="21"/>
    </row>
    <row r="329" spans="1:59" ht="15.6" x14ac:dyDescent="0.3">
      <c r="A329" s="5" t="s">
        <v>583</v>
      </c>
      <c r="B329" s="5" t="s">
        <v>584</v>
      </c>
      <c r="C329" s="7">
        <v>6</v>
      </c>
      <c r="D329" s="7">
        <v>6</v>
      </c>
      <c r="E329" s="7">
        <v>0</v>
      </c>
      <c r="F329" s="7">
        <v>0</v>
      </c>
      <c r="G329" s="7">
        <v>0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0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7">
        <v>0</v>
      </c>
      <c r="AV329" s="7">
        <v>0</v>
      </c>
      <c r="AW329" s="7">
        <v>0</v>
      </c>
      <c r="AX329" s="7">
        <v>0</v>
      </c>
      <c r="AY329" s="7">
        <v>0</v>
      </c>
      <c r="AZ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F329" s="7">
        <v>0</v>
      </c>
      <c r="BG329" s="21"/>
    </row>
    <row r="330" spans="1:59" ht="15.6" x14ac:dyDescent="0.3">
      <c r="A330" s="5" t="s">
        <v>585</v>
      </c>
      <c r="B330" s="5" t="s">
        <v>586</v>
      </c>
      <c r="C330" s="7">
        <v>6</v>
      </c>
      <c r="D330" s="7">
        <v>6</v>
      </c>
      <c r="E330" s="7">
        <v>0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  <c r="AQ330" s="7">
        <v>0</v>
      </c>
      <c r="AR330" s="7">
        <v>0</v>
      </c>
      <c r="AS330" s="7">
        <v>0</v>
      </c>
      <c r="AT330" s="7">
        <v>0</v>
      </c>
      <c r="AU330" s="7">
        <v>0</v>
      </c>
      <c r="AV330" s="7">
        <v>0</v>
      </c>
      <c r="AW330" s="7">
        <v>0</v>
      </c>
      <c r="AX330" s="7">
        <v>0</v>
      </c>
      <c r="AY330" s="7">
        <v>0</v>
      </c>
      <c r="AZ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F330" s="7">
        <v>0</v>
      </c>
      <c r="BG330" s="21"/>
    </row>
    <row r="331" spans="1:59" ht="15.6" x14ac:dyDescent="0.3">
      <c r="A331" s="5" t="s">
        <v>587</v>
      </c>
      <c r="B331" s="5" t="s">
        <v>588</v>
      </c>
      <c r="C331" s="7">
        <v>6</v>
      </c>
      <c r="D331" s="7">
        <v>6</v>
      </c>
      <c r="E331" s="7">
        <v>0</v>
      </c>
      <c r="F331" s="7">
        <v>0</v>
      </c>
      <c r="G331" s="7">
        <v>0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7">
        <v>0</v>
      </c>
      <c r="AR331" s="7">
        <v>0</v>
      </c>
      <c r="AS331" s="7">
        <v>0</v>
      </c>
      <c r="AT331" s="7">
        <v>0</v>
      </c>
      <c r="AU331" s="7">
        <v>0</v>
      </c>
      <c r="AV331" s="7">
        <v>0</v>
      </c>
      <c r="AW331" s="7">
        <v>0</v>
      </c>
      <c r="AX331" s="7">
        <v>0</v>
      </c>
      <c r="AY331" s="7">
        <v>0</v>
      </c>
      <c r="AZ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F331" s="7">
        <v>0</v>
      </c>
      <c r="BG331" s="21"/>
    </row>
    <row r="332" spans="1:59" ht="15.6" x14ac:dyDescent="0.3">
      <c r="A332" s="5" t="s">
        <v>589</v>
      </c>
      <c r="B332" s="5" t="s">
        <v>590</v>
      </c>
      <c r="C332" s="7">
        <v>6</v>
      </c>
      <c r="D332" s="7">
        <v>6</v>
      </c>
      <c r="E332" s="7">
        <v>0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7">
        <v>0</v>
      </c>
      <c r="AR332" s="7">
        <v>0</v>
      </c>
      <c r="AS332" s="7">
        <v>0</v>
      </c>
      <c r="AT332" s="7">
        <v>0</v>
      </c>
      <c r="AU332" s="7">
        <v>0</v>
      </c>
      <c r="AV332" s="7">
        <v>0</v>
      </c>
      <c r="AW332" s="7">
        <v>0</v>
      </c>
      <c r="AX332" s="7">
        <v>0</v>
      </c>
      <c r="AY332" s="7">
        <v>0</v>
      </c>
      <c r="AZ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F332" s="7">
        <v>0</v>
      </c>
      <c r="BG332" s="21"/>
    </row>
    <row r="333" spans="1:59" ht="15.6" x14ac:dyDescent="0.3">
      <c r="A333" s="5" t="s">
        <v>591</v>
      </c>
      <c r="B333" s="5" t="s">
        <v>592</v>
      </c>
      <c r="C333" s="7">
        <v>6</v>
      </c>
      <c r="D333" s="7">
        <v>6</v>
      </c>
      <c r="E333" s="7">
        <v>0</v>
      </c>
      <c r="F333" s="7">
        <v>0</v>
      </c>
      <c r="G333" s="7">
        <v>0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0</v>
      </c>
      <c r="AP333" s="7">
        <v>0</v>
      </c>
      <c r="AQ333" s="7">
        <v>0</v>
      </c>
      <c r="AR333" s="7">
        <v>0</v>
      </c>
      <c r="AS333" s="7">
        <v>0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AZ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F333" s="7">
        <v>0</v>
      </c>
      <c r="BG333" s="21"/>
    </row>
    <row r="334" spans="1:59" ht="15.6" x14ac:dyDescent="0.3">
      <c r="A334" s="5" t="s">
        <v>593</v>
      </c>
      <c r="B334" s="5" t="s">
        <v>594</v>
      </c>
      <c r="C334" s="7">
        <v>6</v>
      </c>
      <c r="D334" s="7">
        <v>6</v>
      </c>
      <c r="E334" s="7">
        <v>0</v>
      </c>
      <c r="F334" s="7">
        <v>0</v>
      </c>
      <c r="G334" s="7">
        <v>0</v>
      </c>
      <c r="H334" s="7">
        <v>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7">
        <v>0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S334" s="7">
        <v>0</v>
      </c>
      <c r="AT334" s="7">
        <v>0</v>
      </c>
      <c r="AU334" s="7">
        <v>0</v>
      </c>
      <c r="AV334" s="7">
        <v>0</v>
      </c>
      <c r="AW334" s="7">
        <v>0</v>
      </c>
      <c r="AX334" s="7">
        <v>0</v>
      </c>
      <c r="AY334" s="7">
        <v>0</v>
      </c>
      <c r="AZ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F334" s="7">
        <v>0</v>
      </c>
      <c r="BG334" s="21"/>
    </row>
    <row r="335" spans="1:59" ht="15.6" x14ac:dyDescent="0.3">
      <c r="A335" s="5" t="s">
        <v>595</v>
      </c>
      <c r="B335" s="5" t="s">
        <v>596</v>
      </c>
      <c r="C335" s="7">
        <v>6</v>
      </c>
      <c r="D335" s="7">
        <v>6</v>
      </c>
      <c r="E335" s="7">
        <v>6370.9560000000001</v>
      </c>
      <c r="F335" s="7">
        <v>1267.4179999999999</v>
      </c>
      <c r="G335" s="7">
        <v>1514.3679999999999</v>
      </c>
      <c r="H335" s="7">
        <v>2537.049</v>
      </c>
      <c r="I335" s="7">
        <v>187.79900000000001</v>
      </c>
      <c r="J335" s="7">
        <v>1045.922</v>
      </c>
      <c r="K335" s="7">
        <v>4168.24</v>
      </c>
      <c r="L335" s="7">
        <v>1073.931</v>
      </c>
      <c r="M335" s="7">
        <v>308.161</v>
      </c>
      <c r="N335" s="7">
        <v>3031.2220000000002</v>
      </c>
      <c r="O335" s="7">
        <v>7675.5330000000004</v>
      </c>
      <c r="P335" s="7">
        <v>2928.6320000000001</v>
      </c>
      <c r="Q335" s="7">
        <v>0</v>
      </c>
      <c r="R335" s="7">
        <v>0.28499999999999998</v>
      </c>
      <c r="S335" s="7">
        <v>15.584</v>
      </c>
      <c r="T335" s="7">
        <v>2.9830000000000001</v>
      </c>
      <c r="U335" s="7">
        <v>22.390999999999998</v>
      </c>
      <c r="V335" s="7">
        <v>218.036</v>
      </c>
      <c r="W335" s="7">
        <v>0</v>
      </c>
      <c r="X335" s="7">
        <v>25.890999999999998</v>
      </c>
      <c r="Y335" s="7">
        <v>233.095</v>
      </c>
      <c r="Z335" s="7">
        <v>121.938</v>
      </c>
      <c r="AA335" s="7">
        <v>392.46899999999999</v>
      </c>
      <c r="AB335" s="7">
        <v>37.542999999999999</v>
      </c>
      <c r="AC335" s="7">
        <v>2264.7869999999998</v>
      </c>
      <c r="AD335" s="7">
        <v>0</v>
      </c>
      <c r="AE335" s="7">
        <v>1275.8920000000001</v>
      </c>
      <c r="AF335" s="7">
        <v>11.875999999999999</v>
      </c>
      <c r="AG335" s="7">
        <v>180.583</v>
      </c>
      <c r="AH335" s="7">
        <v>1.4019999999999999</v>
      </c>
      <c r="AI335" s="7">
        <v>5970.6589999999997</v>
      </c>
      <c r="AJ335" s="7">
        <v>626.58600000000001</v>
      </c>
      <c r="AK335" s="7">
        <v>4.2949999999999999</v>
      </c>
      <c r="AL335" s="7">
        <v>14232.266</v>
      </c>
      <c r="AM335" s="7">
        <v>1011.5410000000001</v>
      </c>
      <c r="AN335" s="7">
        <v>0</v>
      </c>
      <c r="AO335" s="7">
        <v>0</v>
      </c>
      <c r="AP335" s="7">
        <v>81.307000000000002</v>
      </c>
      <c r="AQ335" s="7">
        <v>62.844000000000001</v>
      </c>
      <c r="AR335" s="7">
        <v>0</v>
      </c>
      <c r="AS335" s="7">
        <v>44.917000000000002</v>
      </c>
      <c r="AT335" s="7">
        <v>0</v>
      </c>
      <c r="AU335" s="7">
        <v>7.2190000000000003</v>
      </c>
      <c r="AV335" s="7">
        <v>4.1970000000000001</v>
      </c>
      <c r="AW335" s="7">
        <v>24.29</v>
      </c>
      <c r="AX335" s="7">
        <v>151.59399999999999</v>
      </c>
      <c r="AY335" s="7">
        <v>12.195</v>
      </c>
      <c r="AZ335" s="7">
        <v>1.7589999999999999</v>
      </c>
      <c r="BA335" s="7">
        <v>0</v>
      </c>
      <c r="BB335" s="7">
        <v>44.186</v>
      </c>
      <c r="BC335" s="7">
        <v>49.624000000000002</v>
      </c>
      <c r="BD335" s="7">
        <v>42.752000000000002</v>
      </c>
      <c r="BE335" s="7">
        <v>147.58000000000001</v>
      </c>
      <c r="BF335" s="7">
        <v>2.6259999999999999</v>
      </c>
      <c r="BG335" s="21"/>
    </row>
    <row r="336" spans="1:59" ht="15.6" x14ac:dyDescent="0.3">
      <c r="A336" s="5" t="s">
        <v>597</v>
      </c>
      <c r="B336" s="5" t="s">
        <v>598</v>
      </c>
      <c r="C336" s="7">
        <v>6</v>
      </c>
      <c r="D336" s="7">
        <v>6</v>
      </c>
      <c r="E336" s="7">
        <v>-6861.8389999999999</v>
      </c>
      <c r="F336" s="7">
        <v>-2043.38</v>
      </c>
      <c r="G336" s="7">
        <v>-1059.7809999999999</v>
      </c>
      <c r="H336" s="7">
        <v>-8737.6380000000008</v>
      </c>
      <c r="I336" s="7">
        <v>-325.44499999999999</v>
      </c>
      <c r="J336" s="7">
        <v>-930.37599999999998</v>
      </c>
      <c r="K336" s="7">
        <v>-10207.839</v>
      </c>
      <c r="L336" s="7">
        <v>-1233.7339999999999</v>
      </c>
      <c r="M336" s="7">
        <v>-152.71899999999999</v>
      </c>
      <c r="N336" s="7">
        <v>-4018.0149999999999</v>
      </c>
      <c r="O336" s="7">
        <v>-21144.983</v>
      </c>
      <c r="P336" s="7">
        <v>-3799.143</v>
      </c>
      <c r="Q336" s="7">
        <v>-6.9050000000000002</v>
      </c>
      <c r="R336" s="7">
        <v>-3.8410000000000002</v>
      </c>
      <c r="S336" s="7">
        <v>-77.182000000000002</v>
      </c>
      <c r="T336" s="7">
        <v>-5.2009999999999996</v>
      </c>
      <c r="U336" s="7">
        <v>-146.9</v>
      </c>
      <c r="V336" s="7">
        <v>-44.837000000000003</v>
      </c>
      <c r="W336" s="7">
        <v>-1.54</v>
      </c>
      <c r="X336" s="7">
        <v>-66.513999999999996</v>
      </c>
      <c r="Y336" s="7">
        <v>-111.783</v>
      </c>
      <c r="Z336" s="7">
        <v>-54.116999999999997</v>
      </c>
      <c r="AA336" s="7">
        <v>-160.54599999999999</v>
      </c>
      <c r="AB336" s="7">
        <v>-111.366</v>
      </c>
      <c r="AC336" s="7">
        <v>-1539.002</v>
      </c>
      <c r="AD336" s="7">
        <v>-47.841000000000001</v>
      </c>
      <c r="AE336" s="7">
        <v>-112.571</v>
      </c>
      <c r="AF336" s="7">
        <v>-1.8169999999999999</v>
      </c>
      <c r="AG336" s="7">
        <v>-19.899000000000001</v>
      </c>
      <c r="AH336" s="7">
        <v>-0.32500000000000001</v>
      </c>
      <c r="AI336" s="7">
        <v>-4931.18</v>
      </c>
      <c r="AJ336" s="7">
        <v>-497.16300000000001</v>
      </c>
      <c r="AK336" s="7">
        <v>-110.258</v>
      </c>
      <c r="AL336" s="7">
        <v>-20588.853999999999</v>
      </c>
      <c r="AM336" s="7">
        <v>-1413.4290000000001</v>
      </c>
      <c r="AN336" s="7">
        <v>-284.89499999999998</v>
      </c>
      <c r="AO336" s="7">
        <v>-3270.5230000000001</v>
      </c>
      <c r="AP336" s="7">
        <v>-163.10599999999999</v>
      </c>
      <c r="AQ336" s="7">
        <v>-121.92400000000001</v>
      </c>
      <c r="AR336" s="7">
        <v>-1970.954</v>
      </c>
      <c r="AS336" s="7">
        <v>-28.323</v>
      </c>
      <c r="AT336" s="7">
        <v>-1135.597</v>
      </c>
      <c r="AU336" s="7">
        <v>-4.6369999999999996</v>
      </c>
      <c r="AV336" s="7">
        <v>-9.2110000000000003</v>
      </c>
      <c r="AW336" s="7">
        <v>-14.034000000000001</v>
      </c>
      <c r="AX336" s="7">
        <v>-146.07499999999999</v>
      </c>
      <c r="AY336" s="7">
        <v>-7.4569999999999999</v>
      </c>
      <c r="AZ336" s="7">
        <v>-3.6629999999999998</v>
      </c>
      <c r="BA336" s="7">
        <v>0</v>
      </c>
      <c r="BB336" s="7">
        <v>-28.725000000000001</v>
      </c>
      <c r="BC336" s="7">
        <v>-0.17100000000000001</v>
      </c>
      <c r="BD336" s="7">
        <v>-30.986999999999998</v>
      </c>
      <c r="BE336" s="7">
        <v>-170.185</v>
      </c>
      <c r="BF336" s="7">
        <v>-4.8920000000000003</v>
      </c>
      <c r="BG336" s="21"/>
    </row>
    <row r="337" spans="1:59" ht="15.6" x14ac:dyDescent="0.3">
      <c r="A337" s="5" t="s">
        <v>599</v>
      </c>
      <c r="B337" s="5" t="s">
        <v>600</v>
      </c>
      <c r="C337" s="7">
        <v>6</v>
      </c>
      <c r="D337" s="7">
        <v>6</v>
      </c>
      <c r="E337" s="7">
        <v>-1363.5070000000001</v>
      </c>
      <c r="F337" s="7">
        <v>-25.591999999999999</v>
      </c>
      <c r="G337" s="7">
        <v>-215.24299999999999</v>
      </c>
      <c r="H337" s="7">
        <v>-20.131</v>
      </c>
      <c r="I337" s="7">
        <v>0</v>
      </c>
      <c r="J337" s="7">
        <v>-215.35499999999999</v>
      </c>
      <c r="K337" s="7">
        <v>-629.23</v>
      </c>
      <c r="L337" s="7">
        <v>-314.56200000000001</v>
      </c>
      <c r="M337" s="7">
        <v>-8.9559999999999995</v>
      </c>
      <c r="N337" s="7">
        <v>-365.30200000000002</v>
      </c>
      <c r="O337" s="7">
        <v>-2208.2530000000002</v>
      </c>
      <c r="P337" s="7">
        <v>-246.29400000000001</v>
      </c>
      <c r="Q337" s="7">
        <v>-51.887999999999998</v>
      </c>
      <c r="R337" s="7">
        <v>0</v>
      </c>
      <c r="S337" s="7">
        <v>0</v>
      </c>
      <c r="T337" s="7">
        <v>0</v>
      </c>
      <c r="U337" s="7">
        <v>-59.201000000000001</v>
      </c>
      <c r="V337" s="7">
        <v>0</v>
      </c>
      <c r="W337" s="7">
        <v>0</v>
      </c>
      <c r="X337" s="7">
        <v>-1.0349999999999999</v>
      </c>
      <c r="Y337" s="7">
        <v>-75.546999999999997</v>
      </c>
      <c r="Z337" s="7">
        <v>-1.81</v>
      </c>
      <c r="AA337" s="7">
        <v>-9.9120000000000008</v>
      </c>
      <c r="AB337" s="7">
        <v>-26.518999999999998</v>
      </c>
      <c r="AC337" s="7">
        <v>-141.13900000000001</v>
      </c>
      <c r="AD337" s="7">
        <v>-7.8769999999999998</v>
      </c>
      <c r="AE337" s="7">
        <v>-7.3410000000000002</v>
      </c>
      <c r="AF337" s="7">
        <v>-16.553999999999998</v>
      </c>
      <c r="AG337" s="7">
        <v>-11.3</v>
      </c>
      <c r="AH337" s="7">
        <v>-1.65</v>
      </c>
      <c r="AI337" s="7">
        <v>-624.02700000000004</v>
      </c>
      <c r="AJ337" s="7">
        <v>-63.725999999999999</v>
      </c>
      <c r="AK337" s="7">
        <v>-1.7889999999999999</v>
      </c>
      <c r="AL337" s="7">
        <v>-2705.7339999999999</v>
      </c>
      <c r="AM337" s="7">
        <v>-225.386</v>
      </c>
      <c r="AN337" s="7">
        <v>-7.3650000000000002</v>
      </c>
      <c r="AO337" s="7">
        <v>-784.28800000000001</v>
      </c>
      <c r="AP337" s="7">
        <v>-49.487000000000002</v>
      </c>
      <c r="AQ337" s="7">
        <v>-0.28100000000000003</v>
      </c>
      <c r="AR337" s="7">
        <v>-455.2</v>
      </c>
      <c r="AS337" s="7">
        <v>-7.6459999999999999</v>
      </c>
      <c r="AT337" s="7">
        <v>-693.22199999999998</v>
      </c>
      <c r="AU337" s="7">
        <v>0</v>
      </c>
      <c r="AV337" s="7">
        <v>0</v>
      </c>
      <c r="AW337" s="7">
        <v>-17.344999999999999</v>
      </c>
      <c r="AX337" s="7">
        <v>-47.741</v>
      </c>
      <c r="AY337" s="7">
        <v>-3.423</v>
      </c>
      <c r="AZ337" s="7">
        <v>0</v>
      </c>
      <c r="BA337" s="7">
        <v>0</v>
      </c>
      <c r="BB337" s="7">
        <v>-3191.0259999999998</v>
      </c>
      <c r="BC337" s="7">
        <v>-5.9059999999999997</v>
      </c>
      <c r="BD337" s="7">
        <v>-3.43</v>
      </c>
      <c r="BE337" s="7">
        <v>-1.49</v>
      </c>
      <c r="BF337" s="7">
        <v>0</v>
      </c>
      <c r="BG337" s="21"/>
    </row>
    <row r="338" spans="1:59" ht="15.6" x14ac:dyDescent="0.3">
      <c r="A338" s="5" t="s">
        <v>601</v>
      </c>
      <c r="B338" s="5" t="s">
        <v>602</v>
      </c>
      <c r="C338" s="7">
        <v>6</v>
      </c>
      <c r="D338" s="7">
        <v>6</v>
      </c>
      <c r="E338" s="7">
        <v>0</v>
      </c>
      <c r="F338" s="7">
        <v>0</v>
      </c>
      <c r="G338" s="7">
        <v>0</v>
      </c>
      <c r="H338" s="7">
        <v>0</v>
      </c>
      <c r="I338" s="7">
        <v>0</v>
      </c>
      <c r="J338" s="7">
        <v>0</v>
      </c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0</v>
      </c>
      <c r="AB338" s="7">
        <v>0</v>
      </c>
      <c r="AC338" s="7">
        <v>0</v>
      </c>
      <c r="AD338" s="7">
        <v>0</v>
      </c>
      <c r="AE338" s="7">
        <v>0</v>
      </c>
      <c r="AF338" s="7">
        <v>0</v>
      </c>
      <c r="AG338" s="7">
        <v>0</v>
      </c>
      <c r="AH338" s="7">
        <v>0</v>
      </c>
      <c r="AI338" s="7">
        <v>0</v>
      </c>
      <c r="AJ338" s="7">
        <v>0</v>
      </c>
      <c r="AK338" s="7">
        <v>0</v>
      </c>
      <c r="AL338" s="7">
        <v>0</v>
      </c>
      <c r="AM338" s="7">
        <v>0</v>
      </c>
      <c r="AN338" s="7">
        <v>0</v>
      </c>
      <c r="AO338" s="7">
        <v>0</v>
      </c>
      <c r="AP338" s="7">
        <v>0</v>
      </c>
      <c r="AQ338" s="7">
        <v>0</v>
      </c>
      <c r="AR338" s="7">
        <v>0</v>
      </c>
      <c r="AS338" s="7">
        <v>0</v>
      </c>
      <c r="AT338" s="7">
        <v>0</v>
      </c>
      <c r="AU338" s="7">
        <v>0</v>
      </c>
      <c r="AV338" s="7">
        <v>0</v>
      </c>
      <c r="AW338" s="7">
        <v>0</v>
      </c>
      <c r="AX338" s="7">
        <v>0</v>
      </c>
      <c r="AY338" s="7">
        <v>0</v>
      </c>
      <c r="AZ338" s="7">
        <v>0</v>
      </c>
      <c r="BA338" s="7">
        <v>0</v>
      </c>
      <c r="BB338" s="7">
        <v>0</v>
      </c>
      <c r="BC338" s="7">
        <v>0</v>
      </c>
      <c r="BD338" s="7">
        <v>0</v>
      </c>
      <c r="BE338" s="7">
        <v>0</v>
      </c>
      <c r="BF338" s="7">
        <v>0</v>
      </c>
      <c r="BG338" s="21"/>
    </row>
    <row r="339" spans="1:59" ht="15.6" x14ac:dyDescent="0.3">
      <c r="A339" s="5" t="s">
        <v>603</v>
      </c>
      <c r="B339" s="5" t="s">
        <v>604</v>
      </c>
      <c r="C339" s="7">
        <v>6</v>
      </c>
      <c r="D339" s="7">
        <v>6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 s="21"/>
    </row>
    <row r="340" spans="1:59" ht="15.6" x14ac:dyDescent="0.3">
      <c r="A340" s="5" t="s">
        <v>605</v>
      </c>
      <c r="B340" s="5" t="s">
        <v>606</v>
      </c>
      <c r="C340" s="5"/>
      <c r="D340" s="5"/>
      <c r="E340">
        <v>5662176.5060000001</v>
      </c>
      <c r="F340">
        <v>891106.44099999999</v>
      </c>
      <c r="G340">
        <v>1073860.46</v>
      </c>
      <c r="H340">
        <v>1059177.868</v>
      </c>
      <c r="I340">
        <v>149147.56599999999</v>
      </c>
      <c r="J340">
        <v>744731.82400000002</v>
      </c>
      <c r="K340">
        <v>4520646.8609999996</v>
      </c>
      <c r="L340">
        <v>875192.55200000003</v>
      </c>
      <c r="M340">
        <v>306861.21600000001</v>
      </c>
      <c r="N340">
        <v>2473897.4619999998</v>
      </c>
      <c r="O340">
        <v>8874150.1860000007</v>
      </c>
      <c r="P340">
        <v>2541252.148</v>
      </c>
      <c r="Q340">
        <v>16594.97</v>
      </c>
      <c r="R340">
        <v>6484.4369999999999</v>
      </c>
      <c r="S340">
        <v>23569.645</v>
      </c>
      <c r="T340">
        <v>11191.348</v>
      </c>
      <c r="U340">
        <v>21820.499</v>
      </c>
      <c r="V340">
        <v>266073.196</v>
      </c>
      <c r="W340">
        <v>2874.2829999999999</v>
      </c>
      <c r="X340">
        <v>122308.12699999999</v>
      </c>
      <c r="Y340">
        <v>230752.997</v>
      </c>
      <c r="Z340">
        <v>80345.887000000002</v>
      </c>
      <c r="AA340">
        <v>236122.82500000001</v>
      </c>
      <c r="AB340">
        <v>209678.264</v>
      </c>
      <c r="AC340">
        <v>1674310.78</v>
      </c>
      <c r="AD340">
        <v>92864.320000000007</v>
      </c>
      <c r="AE340">
        <v>821018.72100000002</v>
      </c>
      <c r="AF340">
        <v>195878.36600000001</v>
      </c>
      <c r="AG340">
        <v>139807.51699999999</v>
      </c>
      <c r="AH340">
        <v>48577.137999999999</v>
      </c>
      <c r="AI340">
        <v>4334878.6229999997</v>
      </c>
      <c r="AJ340">
        <v>943668.45299999998</v>
      </c>
      <c r="AK340">
        <v>198370.777</v>
      </c>
      <c r="AL340">
        <v>13677460.995999999</v>
      </c>
      <c r="AM340">
        <v>1847334.996</v>
      </c>
      <c r="AN340">
        <v>567446.86600000004</v>
      </c>
      <c r="AO340">
        <v>7120069.5630000001</v>
      </c>
      <c r="AP340">
        <v>329962.32900000003</v>
      </c>
      <c r="AQ340">
        <v>205770.106</v>
      </c>
      <c r="AR340">
        <v>4409665.6900000004</v>
      </c>
      <c r="AS340">
        <v>43433.112000000001</v>
      </c>
      <c r="AT340">
        <v>2260654.5630000001</v>
      </c>
      <c r="AU340">
        <v>8646.866</v>
      </c>
      <c r="AV340">
        <v>19793.191999999999</v>
      </c>
      <c r="AW340">
        <v>28695.971000000001</v>
      </c>
      <c r="AX340">
        <v>270818.21399999998</v>
      </c>
      <c r="AY340">
        <v>14221.509</v>
      </c>
      <c r="AZ340">
        <v>3210.701</v>
      </c>
      <c r="BA340">
        <v>0</v>
      </c>
      <c r="BB340">
        <v>75899.100999999995</v>
      </c>
      <c r="BC340">
        <v>57799.305999999997</v>
      </c>
      <c r="BD340">
        <v>50900.336000000003</v>
      </c>
      <c r="BE340">
        <v>348599.05599999998</v>
      </c>
      <c r="BF340">
        <v>16344.290999999999</v>
      </c>
      <c r="BG340" s="21"/>
    </row>
    <row r="341" spans="1:59" x14ac:dyDescent="0.25">
      <c r="BG341" s="21"/>
    </row>
    <row r="342" spans="1:59" ht="15.6" x14ac:dyDescent="0.3">
      <c r="A342" s="5" t="s">
        <v>607</v>
      </c>
      <c r="E342">
        <f t="shared" ref="E342:BF342" si="0">SUM(E7:E339)-E340</f>
        <v>0</v>
      </c>
      <c r="F342">
        <f t="shared" si="0"/>
        <v>0</v>
      </c>
      <c r="G342">
        <f t="shared" si="0"/>
        <v>0</v>
      </c>
      <c r="H342">
        <f t="shared" si="0"/>
        <v>0</v>
      </c>
      <c r="I342">
        <f t="shared" si="0"/>
        <v>0</v>
      </c>
      <c r="J342">
        <f t="shared" si="0"/>
        <v>0</v>
      </c>
      <c r="K342">
        <f t="shared" si="0"/>
        <v>0</v>
      </c>
      <c r="L342">
        <f t="shared" si="0"/>
        <v>0</v>
      </c>
      <c r="M342">
        <f t="shared" si="0"/>
        <v>0</v>
      </c>
      <c r="N342">
        <f t="shared" si="0"/>
        <v>0</v>
      </c>
      <c r="O342">
        <f t="shared" si="0"/>
        <v>0</v>
      </c>
      <c r="P342">
        <f t="shared" si="0"/>
        <v>0</v>
      </c>
      <c r="Q342">
        <f t="shared" si="0"/>
        <v>0</v>
      </c>
      <c r="R342">
        <f t="shared" si="0"/>
        <v>0</v>
      </c>
      <c r="S342">
        <f t="shared" si="0"/>
        <v>0</v>
      </c>
      <c r="T342">
        <f t="shared" si="0"/>
        <v>0</v>
      </c>
      <c r="U342">
        <f t="shared" si="0"/>
        <v>0</v>
      </c>
      <c r="V342">
        <f t="shared" si="0"/>
        <v>0</v>
      </c>
      <c r="W342">
        <f t="shared" si="0"/>
        <v>0</v>
      </c>
      <c r="X342">
        <f t="shared" si="0"/>
        <v>0</v>
      </c>
      <c r="Y342">
        <f t="shared" si="0"/>
        <v>0</v>
      </c>
      <c r="Z342">
        <f t="shared" si="0"/>
        <v>0</v>
      </c>
      <c r="AA342">
        <f t="shared" si="0"/>
        <v>0</v>
      </c>
      <c r="AB342">
        <f t="shared" si="0"/>
        <v>0</v>
      </c>
      <c r="AC342">
        <f t="shared" si="0"/>
        <v>0</v>
      </c>
      <c r="AD342">
        <f t="shared" si="0"/>
        <v>0</v>
      </c>
      <c r="AE342">
        <f t="shared" si="0"/>
        <v>0</v>
      </c>
      <c r="AF342">
        <f t="shared" si="0"/>
        <v>0</v>
      </c>
      <c r="AG342">
        <f t="shared" si="0"/>
        <v>0</v>
      </c>
      <c r="AH342">
        <f t="shared" si="0"/>
        <v>0</v>
      </c>
      <c r="AI342">
        <f t="shared" si="0"/>
        <v>0</v>
      </c>
      <c r="AJ342">
        <f t="shared" si="0"/>
        <v>0</v>
      </c>
      <c r="AK342">
        <f t="shared" si="0"/>
        <v>0</v>
      </c>
      <c r="AL342">
        <f t="shared" si="0"/>
        <v>0</v>
      </c>
      <c r="AM342">
        <f t="shared" si="0"/>
        <v>0</v>
      </c>
      <c r="AN342">
        <f t="shared" si="0"/>
        <v>0</v>
      </c>
      <c r="AO342">
        <f t="shared" si="0"/>
        <v>0</v>
      </c>
      <c r="AP342">
        <f t="shared" si="0"/>
        <v>0</v>
      </c>
      <c r="AQ342">
        <f t="shared" si="0"/>
        <v>0</v>
      </c>
      <c r="AR342">
        <f t="shared" si="0"/>
        <v>0</v>
      </c>
      <c r="AS342">
        <f>SUM(AS7:AS339)-AS340</f>
        <v>0</v>
      </c>
      <c r="AT342">
        <f>SUM(AT7:AT339)-AT340</f>
        <v>0</v>
      </c>
      <c r="AU342">
        <f>SUM(AU7:AU339)-AU340</f>
        <v>0</v>
      </c>
      <c r="AV342">
        <f>SUM(AV7:AV339)-AV340</f>
        <v>0</v>
      </c>
      <c r="AW342">
        <f t="shared" si="0"/>
        <v>0</v>
      </c>
      <c r="AX342">
        <f t="shared" si="0"/>
        <v>0</v>
      </c>
      <c r="AY342">
        <f t="shared" si="0"/>
        <v>0</v>
      </c>
      <c r="AZ342">
        <f t="shared" si="0"/>
        <v>0</v>
      </c>
      <c r="BA342">
        <f t="shared" si="0"/>
        <v>0</v>
      </c>
      <c r="BB342">
        <f t="shared" si="0"/>
        <v>0</v>
      </c>
      <c r="BC342">
        <f t="shared" si="0"/>
        <v>0</v>
      </c>
      <c r="BD342">
        <f t="shared" si="0"/>
        <v>0</v>
      </c>
      <c r="BE342">
        <f t="shared" si="0"/>
        <v>0</v>
      </c>
      <c r="BF342">
        <f t="shared" si="0"/>
        <v>0</v>
      </c>
      <c r="BG342" s="21"/>
    </row>
    <row r="343" spans="1:59" x14ac:dyDescent="0.25">
      <c r="BG343" s="21"/>
    </row>
    <row r="344" spans="1:59" x14ac:dyDescent="0.25">
      <c r="A344" t="s">
        <v>608</v>
      </c>
      <c r="D344">
        <v>1</v>
      </c>
      <c r="E344" s="16">
        <f t="shared" ref="E344:BF344" si="1">SUMIF($D$6:$D$338,$D$344,E6:E338)</f>
        <v>540556.97499999998</v>
      </c>
      <c r="F344" s="16">
        <f t="shared" si="1"/>
        <v>144589.53599999999</v>
      </c>
      <c r="G344" s="16">
        <f t="shared" si="1"/>
        <v>35690.326000000001</v>
      </c>
      <c r="H344" s="16">
        <f t="shared" si="1"/>
        <v>23242.573</v>
      </c>
      <c r="I344" s="16">
        <f t="shared" si="1"/>
        <v>13227.301999999998</v>
      </c>
      <c r="J344" s="16">
        <f t="shared" si="1"/>
        <v>25428.239000000001</v>
      </c>
      <c r="K344" s="16">
        <f t="shared" si="1"/>
        <v>672614.28100000008</v>
      </c>
      <c r="L344" s="16">
        <f t="shared" si="1"/>
        <v>79820.334000000017</v>
      </c>
      <c r="M344" s="16">
        <f t="shared" si="1"/>
        <v>4739.6180000000004</v>
      </c>
      <c r="N344" s="16">
        <f t="shared" si="1"/>
        <v>141522.26900000003</v>
      </c>
      <c r="O344" s="16">
        <f t="shared" si="1"/>
        <v>1551632.6440000001</v>
      </c>
      <c r="P344" s="16">
        <f t="shared" si="1"/>
        <v>144325.94100000002</v>
      </c>
      <c r="Q344" s="16">
        <f>SUMIF($D$6:$D$338,$D$344,Q6:Q338)</f>
        <v>132.571</v>
      </c>
      <c r="R344" s="16">
        <f t="shared" si="1"/>
        <v>4705.03</v>
      </c>
      <c r="S344" s="16">
        <f t="shared" si="1"/>
        <v>1109.511</v>
      </c>
      <c r="T344" s="16">
        <f t="shared" si="1"/>
        <v>4449.0710000000008</v>
      </c>
      <c r="U344" s="16">
        <f t="shared" si="1"/>
        <v>1361.4639999999999</v>
      </c>
      <c r="V344" s="16">
        <f t="shared" si="1"/>
        <v>41439.911</v>
      </c>
      <c r="W344" s="16">
        <f t="shared" si="1"/>
        <v>45.274999999999999</v>
      </c>
      <c r="X344" s="16">
        <f t="shared" si="1"/>
        <v>65135.514000000003</v>
      </c>
      <c r="Y344" s="16">
        <f t="shared" si="1"/>
        <v>4811.5119999999997</v>
      </c>
      <c r="Z344" s="16">
        <f t="shared" si="1"/>
        <v>6604.0740000000005</v>
      </c>
      <c r="AA344" s="16">
        <f t="shared" si="1"/>
        <v>19424.849000000002</v>
      </c>
      <c r="AB344" s="16">
        <f t="shared" si="1"/>
        <v>171334.93400000001</v>
      </c>
      <c r="AC344" s="16">
        <f t="shared" si="1"/>
        <v>277418.32</v>
      </c>
      <c r="AD344" s="16">
        <f t="shared" si="1"/>
        <v>52236.284000000007</v>
      </c>
      <c r="AE344" s="16">
        <f t="shared" si="1"/>
        <v>50744.529999999992</v>
      </c>
      <c r="AF344" s="16">
        <f t="shared" si="1"/>
        <v>145287.74199999997</v>
      </c>
      <c r="AG344" s="16">
        <f t="shared" si="1"/>
        <v>24417.158000000003</v>
      </c>
      <c r="AH344" s="16">
        <f t="shared" si="1"/>
        <v>12427.907999999999</v>
      </c>
      <c r="AI344" s="16">
        <f t="shared" si="1"/>
        <v>695584.45299999986</v>
      </c>
      <c r="AJ344" s="16">
        <f t="shared" si="1"/>
        <v>284429.28100000002</v>
      </c>
      <c r="AK344" s="16">
        <f t="shared" si="1"/>
        <v>54444.034999999996</v>
      </c>
      <c r="AL344" s="16">
        <f t="shared" si="1"/>
        <v>2068742.3729999999</v>
      </c>
      <c r="AM344" s="16">
        <f t="shared" si="1"/>
        <v>542142.91200000001</v>
      </c>
      <c r="AN344" s="16">
        <f t="shared" si="1"/>
        <v>311506.739</v>
      </c>
      <c r="AO344" s="16">
        <f t="shared" si="1"/>
        <v>5159082.341</v>
      </c>
      <c r="AP344" s="16">
        <f t="shared" si="1"/>
        <v>144406.19099999999</v>
      </c>
      <c r="AQ344" s="16">
        <f t="shared" si="1"/>
        <v>69371.582000000009</v>
      </c>
      <c r="AR344" s="16">
        <f t="shared" si="1"/>
        <v>3190349.1539999996</v>
      </c>
      <c r="AS344" s="16">
        <f>SUMIF($D$6:$D$338,$D$344,AS6:AS338)</f>
        <v>-152.73899999999998</v>
      </c>
      <c r="AT344" s="16">
        <f>SUMIF($D$6:$D$338,$D$344,AT6:AT338)</f>
        <v>1637763.3680000002</v>
      </c>
      <c r="AU344" s="16">
        <f>SUMIF($D$6:$D$338,$D$344,AU6:AU338)</f>
        <v>1917.0139999999999</v>
      </c>
      <c r="AV344" s="16">
        <f>SUMIF($D$6:$D$338,$D$344,AV6:AV338)</f>
        <v>8902.6959999999999</v>
      </c>
      <c r="AW344" s="16">
        <f t="shared" si="1"/>
        <v>3077.239</v>
      </c>
      <c r="AX344" s="16">
        <f t="shared" si="1"/>
        <v>85325.426999999996</v>
      </c>
      <c r="AY344" s="16">
        <f t="shared" si="1"/>
        <v>1614.3690000000001</v>
      </c>
      <c r="AZ344" s="16">
        <f t="shared" si="1"/>
        <v>477.49900000000002</v>
      </c>
      <c r="BA344" s="16">
        <f t="shared" si="1"/>
        <v>0</v>
      </c>
      <c r="BB344" s="16">
        <f t="shared" si="1"/>
        <v>13900.282000000001</v>
      </c>
      <c r="BC344" s="16">
        <f t="shared" si="1"/>
        <v>5679.0590000000002</v>
      </c>
      <c r="BD344" s="16">
        <f t="shared" si="1"/>
        <v>5727.6440000000002</v>
      </c>
      <c r="BE344" s="16">
        <f t="shared" si="1"/>
        <v>90838.365999999995</v>
      </c>
      <c r="BF344" s="16">
        <f t="shared" si="1"/>
        <v>13657.525000000001</v>
      </c>
      <c r="BG344" s="21"/>
    </row>
    <row r="345" spans="1:59" x14ac:dyDescent="0.25">
      <c r="A345" t="s">
        <v>609</v>
      </c>
      <c r="D345">
        <v>2</v>
      </c>
      <c r="E345" s="16">
        <f t="shared" ref="E345:BF345" si="2">SUMIF($D$6:$D$338,$D$345,E6:E338)</f>
        <v>1453943.6069999998</v>
      </c>
      <c r="F345" s="16">
        <f t="shared" si="2"/>
        <v>163491.81599999999</v>
      </c>
      <c r="G345" s="16">
        <f t="shared" si="2"/>
        <v>370010.033</v>
      </c>
      <c r="H345" s="16">
        <f t="shared" si="2"/>
        <v>0</v>
      </c>
      <c r="I345" s="16">
        <f t="shared" si="2"/>
        <v>54365.278999999995</v>
      </c>
      <c r="J345" s="16">
        <f t="shared" si="2"/>
        <v>261733.092</v>
      </c>
      <c r="K345" s="16">
        <f t="shared" si="2"/>
        <v>789118.44699999993</v>
      </c>
      <c r="L345" s="16">
        <f t="shared" si="2"/>
        <v>173952.60199999998</v>
      </c>
      <c r="M345" s="16">
        <f t="shared" si="2"/>
        <v>232141.99299999999</v>
      </c>
      <c r="N345" s="16">
        <f t="shared" si="2"/>
        <v>620042.89300000016</v>
      </c>
      <c r="O345" s="16">
        <f t="shared" si="2"/>
        <v>700987.65700000001</v>
      </c>
      <c r="P345" s="16">
        <f t="shared" si="2"/>
        <v>621365.07699999993</v>
      </c>
      <c r="Q345" s="16">
        <f>SUMIF($D$6:$D$338,$D$345,Q6:Q338)</f>
        <v>13110.760999999999</v>
      </c>
      <c r="R345" s="16">
        <f t="shared" si="2"/>
        <v>0</v>
      </c>
      <c r="S345" s="16">
        <f t="shared" si="2"/>
        <v>18329.191999999999</v>
      </c>
      <c r="T345" s="16">
        <f t="shared" si="2"/>
        <v>1557.0900000000001</v>
      </c>
      <c r="U345" s="16">
        <f t="shared" si="2"/>
        <v>4858.5190000000002</v>
      </c>
      <c r="V345" s="16">
        <f t="shared" si="2"/>
        <v>48998.115999999995</v>
      </c>
      <c r="W345" s="16">
        <f t="shared" si="2"/>
        <v>2830.5479999999998</v>
      </c>
      <c r="X345" s="16">
        <f t="shared" si="2"/>
        <v>7278.1290000000008</v>
      </c>
      <c r="Y345" s="16">
        <f t="shared" si="2"/>
        <v>175593.614</v>
      </c>
      <c r="Z345" s="16">
        <f t="shared" si="2"/>
        <v>23716.164999999997</v>
      </c>
      <c r="AA345" s="16">
        <f t="shared" si="2"/>
        <v>55979.913000000008</v>
      </c>
      <c r="AB345" s="16">
        <f t="shared" si="2"/>
        <v>0</v>
      </c>
      <c r="AC345" s="16">
        <f t="shared" si="2"/>
        <v>276608.516</v>
      </c>
      <c r="AD345" s="16">
        <f t="shared" si="2"/>
        <v>0</v>
      </c>
      <c r="AE345" s="16">
        <f t="shared" si="2"/>
        <v>277881.05100000004</v>
      </c>
      <c r="AF345" s="16">
        <f t="shared" si="2"/>
        <v>10.609</v>
      </c>
      <c r="AG345" s="16">
        <f t="shared" si="2"/>
        <v>21104.458000000002</v>
      </c>
      <c r="AH345" s="16">
        <f t="shared" si="2"/>
        <v>7103.8879999999999</v>
      </c>
      <c r="AI345" s="16">
        <f t="shared" si="2"/>
        <v>680482.21699999995</v>
      </c>
      <c r="AJ345" s="16">
        <f t="shared" si="2"/>
        <v>38571.303</v>
      </c>
      <c r="AK345" s="16">
        <f t="shared" si="2"/>
        <v>20490.846000000001</v>
      </c>
      <c r="AL345" s="16">
        <f t="shared" si="2"/>
        <v>1813816.152</v>
      </c>
      <c r="AM345" s="16">
        <f t="shared" si="2"/>
        <v>73339.375</v>
      </c>
      <c r="AN345" s="16">
        <f t="shared" si="2"/>
        <v>0</v>
      </c>
      <c r="AO345" s="16">
        <f t="shared" si="2"/>
        <v>0</v>
      </c>
      <c r="AP345" s="16">
        <f t="shared" si="2"/>
        <v>43856.409999999996</v>
      </c>
      <c r="AQ345" s="16">
        <f t="shared" si="2"/>
        <v>37999.964</v>
      </c>
      <c r="AR345" s="16">
        <f t="shared" si="2"/>
        <v>0</v>
      </c>
      <c r="AS345" s="16">
        <f>SUMIF($D$6:$D$338,$D$345,AS6:AS338)</f>
        <v>33836.553</v>
      </c>
      <c r="AT345" s="16">
        <f>SUMIF($D$6:$D$338,$D$345,AT6:AT338)</f>
        <v>0</v>
      </c>
      <c r="AU345" s="16">
        <f>SUMIF($D$6:$D$338,$D$345,AU6:AU338)</f>
        <v>1710.732</v>
      </c>
      <c r="AV345" s="16">
        <f>SUMIF($D$6:$D$338,$D$345,AV6:AV338)</f>
        <v>3256.0389999999998</v>
      </c>
      <c r="AW345" s="16">
        <f t="shared" si="2"/>
        <v>0</v>
      </c>
      <c r="AX345" s="16">
        <f t="shared" si="2"/>
        <v>11169.839</v>
      </c>
      <c r="AY345" s="16">
        <f t="shared" si="2"/>
        <v>0</v>
      </c>
      <c r="AZ345" s="16">
        <f t="shared" si="2"/>
        <v>1146.2550000000001</v>
      </c>
      <c r="BA345" s="16">
        <f t="shared" si="2"/>
        <v>0</v>
      </c>
      <c r="BB345" s="16">
        <f t="shared" si="2"/>
        <v>30408.317000000003</v>
      </c>
      <c r="BC345" s="16">
        <f t="shared" si="2"/>
        <v>0</v>
      </c>
      <c r="BD345" s="16">
        <f t="shared" si="2"/>
        <v>0</v>
      </c>
      <c r="BE345" s="16">
        <f t="shared" si="2"/>
        <v>35793.800999999999</v>
      </c>
      <c r="BF345" s="16">
        <f t="shared" si="2"/>
        <v>0</v>
      </c>
      <c r="BG345" s="21"/>
    </row>
    <row r="346" spans="1:59" x14ac:dyDescent="0.25">
      <c r="A346" t="s">
        <v>610</v>
      </c>
      <c r="D346">
        <v>3</v>
      </c>
      <c r="E346" s="16">
        <f t="shared" ref="E346:BF346" si="3">SUMIF($D$6:$D$338,$D$346,E6:E338)</f>
        <v>1337631.1869999999</v>
      </c>
      <c r="F346" s="16">
        <f t="shared" si="3"/>
        <v>230528.88</v>
      </c>
      <c r="G346" s="16">
        <f t="shared" si="3"/>
        <v>511242.64800000004</v>
      </c>
      <c r="H346" s="16">
        <f t="shared" si="3"/>
        <v>71424.428</v>
      </c>
      <c r="I346" s="16">
        <f t="shared" si="3"/>
        <v>47030.612000000008</v>
      </c>
      <c r="J346" s="16">
        <f t="shared" si="3"/>
        <v>344587.77500000014</v>
      </c>
      <c r="K346" s="16">
        <f t="shared" si="3"/>
        <v>362466.32199999993</v>
      </c>
      <c r="L346" s="16">
        <f t="shared" si="3"/>
        <v>388995.88400000014</v>
      </c>
      <c r="M346" s="16">
        <f t="shared" si="3"/>
        <v>58208.097999999998</v>
      </c>
      <c r="N346" s="16">
        <f t="shared" si="3"/>
        <v>900344.995</v>
      </c>
      <c r="O346" s="16">
        <f t="shared" si="3"/>
        <v>1064134.0859999999</v>
      </c>
      <c r="P346" s="16">
        <f t="shared" si="3"/>
        <v>888646.66399999987</v>
      </c>
      <c r="Q346" s="16">
        <f>SUMIF($D$6:$D$338,$D$346,Q6:Q338)</f>
        <v>3410.4309999999996</v>
      </c>
      <c r="R346" s="16">
        <f t="shared" si="3"/>
        <v>0</v>
      </c>
      <c r="S346" s="16">
        <f t="shared" si="3"/>
        <v>176.44300000000001</v>
      </c>
      <c r="T346" s="16">
        <f t="shared" si="3"/>
        <v>3904.7449999999999</v>
      </c>
      <c r="U346" s="16">
        <f t="shared" si="3"/>
        <v>14500.862999999999</v>
      </c>
      <c r="V346" s="16">
        <f t="shared" si="3"/>
        <v>96081.263000000006</v>
      </c>
      <c r="W346" s="16">
        <f t="shared" si="3"/>
        <v>0</v>
      </c>
      <c r="X346" s="16">
        <f t="shared" si="3"/>
        <v>29575.360000000001</v>
      </c>
      <c r="Y346" s="16">
        <f t="shared" si="3"/>
        <v>44028.959000000003</v>
      </c>
      <c r="Z346" s="16">
        <f t="shared" si="3"/>
        <v>40075.945999999996</v>
      </c>
      <c r="AA346" s="16">
        <f t="shared" si="3"/>
        <v>108493.43000000002</v>
      </c>
      <c r="AB346" s="16">
        <f t="shared" si="3"/>
        <v>0</v>
      </c>
      <c r="AC346" s="16">
        <f t="shared" si="3"/>
        <v>259489.77999999997</v>
      </c>
      <c r="AD346" s="16">
        <f t="shared" si="3"/>
        <v>17591.704000000002</v>
      </c>
      <c r="AE346" s="16">
        <f t="shared" si="3"/>
        <v>389708.56799999991</v>
      </c>
      <c r="AF346" s="16">
        <f t="shared" si="3"/>
        <v>0</v>
      </c>
      <c r="AG346" s="16">
        <f t="shared" si="3"/>
        <v>39840.734999999993</v>
      </c>
      <c r="AH346" s="16">
        <f t="shared" si="3"/>
        <v>13212.911</v>
      </c>
      <c r="AI346" s="16">
        <f t="shared" si="3"/>
        <v>428129.74600000004</v>
      </c>
      <c r="AJ346" s="16">
        <f t="shared" si="3"/>
        <v>14138.996000000001</v>
      </c>
      <c r="AK346" s="16">
        <f t="shared" si="3"/>
        <v>50704.853999999999</v>
      </c>
      <c r="AL346" s="16">
        <f t="shared" si="3"/>
        <v>2230426.9260000004</v>
      </c>
      <c r="AM346" s="16">
        <f t="shared" si="3"/>
        <v>26892.327999999998</v>
      </c>
      <c r="AN346" s="16">
        <f t="shared" si="3"/>
        <v>96321.226999999999</v>
      </c>
      <c r="AO346" s="16">
        <f t="shared" si="3"/>
        <v>0</v>
      </c>
      <c r="AP346" s="16">
        <f t="shared" si="3"/>
        <v>95820.121000000014</v>
      </c>
      <c r="AQ346" s="16">
        <f t="shared" si="3"/>
        <v>81056.385999999999</v>
      </c>
      <c r="AR346" s="16">
        <f t="shared" si="3"/>
        <v>0</v>
      </c>
      <c r="AS346" s="16">
        <f>SUMIF($D$6:$D$338,$D$346,AS6:AS338)</f>
        <v>8484.2960000000003</v>
      </c>
      <c r="AT346" s="16">
        <f>SUMIF($D$6:$D$338,$D$346,AT6:AT338)</f>
        <v>0</v>
      </c>
      <c r="AU346" s="16">
        <f>SUMIF($D$6:$D$338,$D$346,AU6:AU338)</f>
        <v>2609.3600000000006</v>
      </c>
      <c r="AV346" s="16">
        <f>SUMIF($D$6:$D$338,$D$346,AV6:AV338)</f>
        <v>5379.3809999999994</v>
      </c>
      <c r="AW346" s="16">
        <f t="shared" si="3"/>
        <v>0</v>
      </c>
      <c r="AX346" s="16">
        <f t="shared" si="3"/>
        <v>3984.9270000000006</v>
      </c>
      <c r="AY346" s="16">
        <f t="shared" si="3"/>
        <v>0</v>
      </c>
      <c r="AZ346" s="16">
        <f t="shared" si="3"/>
        <v>758.31299999999987</v>
      </c>
      <c r="BA346" s="16">
        <f t="shared" si="3"/>
        <v>0</v>
      </c>
      <c r="BB346" s="16">
        <f t="shared" si="3"/>
        <v>24954.304000000004</v>
      </c>
      <c r="BC346" s="16">
        <f t="shared" si="3"/>
        <v>0</v>
      </c>
      <c r="BD346" s="16">
        <f t="shared" si="3"/>
        <v>0</v>
      </c>
      <c r="BE346" s="16">
        <f t="shared" si="3"/>
        <v>138359.742</v>
      </c>
      <c r="BF346" s="16">
        <f t="shared" si="3"/>
        <v>0</v>
      </c>
      <c r="BG346" s="21"/>
    </row>
    <row r="347" spans="1:59" x14ac:dyDescent="0.25">
      <c r="A347" t="s">
        <v>611</v>
      </c>
      <c r="B347">
        <v>7</v>
      </c>
      <c r="D347">
        <v>4</v>
      </c>
      <c r="E347" s="16">
        <f t="shared" ref="E347:BF347" si="4">SUMIF($D$6:$D$338,$D$347,E6:E338)</f>
        <v>823341.49799999991</v>
      </c>
      <c r="F347" s="16">
        <f t="shared" si="4"/>
        <v>247391.33100000003</v>
      </c>
      <c r="G347" s="16">
        <f t="shared" si="4"/>
        <v>390.18400000000003</v>
      </c>
      <c r="H347" s="16">
        <f t="shared" si="4"/>
        <v>13567.573</v>
      </c>
      <c r="I347" s="16">
        <f t="shared" si="4"/>
        <v>12487.574000000001</v>
      </c>
      <c r="J347" s="16">
        <f t="shared" si="4"/>
        <v>1691.2950000000001</v>
      </c>
      <c r="K347" s="16">
        <f t="shared" si="4"/>
        <v>1178985.1500000004</v>
      </c>
      <c r="L347" s="16">
        <f t="shared" si="4"/>
        <v>84194.800999999992</v>
      </c>
      <c r="M347" s="16">
        <f t="shared" si="4"/>
        <v>0</v>
      </c>
      <c r="N347" s="16">
        <f t="shared" si="4"/>
        <v>135188.69600000003</v>
      </c>
      <c r="O347" s="16">
        <f t="shared" si="4"/>
        <v>2989179.7109999992</v>
      </c>
      <c r="P347" s="16">
        <f t="shared" si="4"/>
        <v>164766.736</v>
      </c>
      <c r="Q347" s="16">
        <f>SUMIF($D$6:$D$338,$D$347,Q6:Q338)</f>
        <v>0</v>
      </c>
      <c r="R347" s="16">
        <f t="shared" si="4"/>
        <v>1581.106</v>
      </c>
      <c r="S347" s="16">
        <f t="shared" si="4"/>
        <v>70.084000000000017</v>
      </c>
      <c r="T347" s="16">
        <f t="shared" si="4"/>
        <v>1095.5260000000001</v>
      </c>
      <c r="U347" s="16">
        <f t="shared" si="4"/>
        <v>95.834999999999994</v>
      </c>
      <c r="V347" s="16">
        <f t="shared" si="4"/>
        <v>73123.691000000021</v>
      </c>
      <c r="W347" s="16">
        <f t="shared" si="4"/>
        <v>0</v>
      </c>
      <c r="X347" s="16">
        <f t="shared" si="4"/>
        <v>17558.558999999997</v>
      </c>
      <c r="Y347" s="16">
        <f t="shared" si="4"/>
        <v>0</v>
      </c>
      <c r="Z347" s="16">
        <f t="shared" si="4"/>
        <v>158.97199999999998</v>
      </c>
      <c r="AA347" s="16">
        <f t="shared" si="4"/>
        <v>18410.472000000002</v>
      </c>
      <c r="AB347" s="16">
        <f t="shared" si="4"/>
        <v>29635.848999999995</v>
      </c>
      <c r="AC347" s="16">
        <f t="shared" si="4"/>
        <v>458414.603</v>
      </c>
      <c r="AD347" s="16">
        <f t="shared" si="4"/>
        <v>21374.492000000002</v>
      </c>
      <c r="AE347" s="16">
        <f t="shared" si="4"/>
        <v>3359.8049999999998</v>
      </c>
      <c r="AF347" s="16">
        <f t="shared" si="4"/>
        <v>44358.02</v>
      </c>
      <c r="AG347" s="16">
        <f t="shared" si="4"/>
        <v>39679.739999999991</v>
      </c>
      <c r="AH347" s="16">
        <f t="shared" si="4"/>
        <v>15458.607</v>
      </c>
      <c r="AI347" s="16">
        <f t="shared" si="4"/>
        <v>1135492.7080000001</v>
      </c>
      <c r="AJ347" s="16">
        <f t="shared" si="4"/>
        <v>587089.29599999986</v>
      </c>
      <c r="AK347" s="16">
        <f t="shared" si="4"/>
        <v>69695.760999999999</v>
      </c>
      <c r="AL347" s="16">
        <f t="shared" si="4"/>
        <v>3780840.6130000004</v>
      </c>
      <c r="AM347" s="16">
        <f t="shared" si="4"/>
        <v>1117321.1060000001</v>
      </c>
      <c r="AN347" s="16">
        <f t="shared" si="4"/>
        <v>149719.91899999999</v>
      </c>
      <c r="AO347" s="16">
        <f t="shared" si="4"/>
        <v>1845528.0619999999</v>
      </c>
      <c r="AP347" s="16">
        <f t="shared" si="4"/>
        <v>39405.796000000002</v>
      </c>
      <c r="AQ347" s="16">
        <f t="shared" si="4"/>
        <v>14656.485999999999</v>
      </c>
      <c r="AR347" s="16">
        <f t="shared" si="4"/>
        <v>1147372.6610000001</v>
      </c>
      <c r="AS347" s="16">
        <f>SUMIF($D$6:$D$338,$D$347,AS6:AS338)</f>
        <v>0</v>
      </c>
      <c r="AT347" s="16">
        <f>SUMIF($D$6:$D$338,$D$347,AT6:AT338)</f>
        <v>586140.84499999997</v>
      </c>
      <c r="AU347" s="16">
        <f>SUMIF($D$6:$D$338,$D$347,AU6:AU338)</f>
        <v>2300.3530000000001</v>
      </c>
      <c r="AV347" s="16">
        <f>SUMIF($D$6:$D$338,$D$347,AV6:AV338)</f>
        <v>1924.088</v>
      </c>
      <c r="AW347" s="16">
        <f t="shared" si="4"/>
        <v>25625.821</v>
      </c>
      <c r="AX347" s="16">
        <f t="shared" si="4"/>
        <v>168368.60500000001</v>
      </c>
      <c r="AY347" s="16">
        <f t="shared" si="4"/>
        <v>12605.825000000001</v>
      </c>
      <c r="AZ347" s="16">
        <f t="shared" si="4"/>
        <v>678.68900000000008</v>
      </c>
      <c r="BA347" s="16">
        <f t="shared" si="4"/>
        <v>0</v>
      </c>
      <c r="BB347" s="16">
        <f t="shared" si="4"/>
        <v>8998.0739999999987</v>
      </c>
      <c r="BC347" s="16">
        <f t="shared" si="4"/>
        <v>52076.7</v>
      </c>
      <c r="BD347" s="16">
        <f t="shared" si="4"/>
        <v>45164.357000000004</v>
      </c>
      <c r="BE347" s="16">
        <f t="shared" si="4"/>
        <v>80072.120999999999</v>
      </c>
      <c r="BF347" s="16">
        <f t="shared" si="4"/>
        <v>2072.9480000000003</v>
      </c>
      <c r="BG347" s="21"/>
    </row>
    <row r="348" spans="1:59" x14ac:dyDescent="0.25">
      <c r="A348" t="s">
        <v>612</v>
      </c>
      <c r="D348">
        <v>5</v>
      </c>
      <c r="E348" s="16">
        <f t="shared" ref="E348:BF348" si="5">SUMIF($D$6:$D$338,$D$348,E6:E338)</f>
        <v>459953.98400000005</v>
      </c>
      <c r="F348" s="16">
        <f t="shared" si="5"/>
        <v>45971.429999999993</v>
      </c>
      <c r="G348" s="16">
        <f t="shared" si="5"/>
        <v>92982.519</v>
      </c>
      <c r="H348" s="16">
        <f t="shared" si="5"/>
        <v>941820.20900000003</v>
      </c>
      <c r="I348" s="16">
        <f t="shared" si="5"/>
        <v>12366.802000000001</v>
      </c>
      <c r="J348" s="16">
        <f t="shared" si="5"/>
        <v>69032.207999999999</v>
      </c>
      <c r="K348" s="16">
        <f t="shared" si="5"/>
        <v>514135.53699999989</v>
      </c>
      <c r="L348" s="16">
        <f t="shared" si="5"/>
        <v>65461.097999999991</v>
      </c>
      <c r="M348" s="16">
        <f t="shared" si="5"/>
        <v>6785.1660000000002</v>
      </c>
      <c r="N348" s="16">
        <f t="shared" si="5"/>
        <v>211772.45199999996</v>
      </c>
      <c r="O348" s="16">
        <f t="shared" si="5"/>
        <v>643150.46900000004</v>
      </c>
      <c r="P348" s="16">
        <f t="shared" si="5"/>
        <v>261654.97599999997</v>
      </c>
      <c r="Q348" s="16">
        <f>SUMIF($D$6:$D$338,$D$348,Q6:Q338)</f>
        <v>0</v>
      </c>
      <c r="R348" s="16">
        <f t="shared" si="5"/>
        <v>0</v>
      </c>
      <c r="S348" s="16">
        <f t="shared" si="5"/>
        <v>2469.6530000000002</v>
      </c>
      <c r="T348" s="16">
        <f t="shared" si="5"/>
        <v>0</v>
      </c>
      <c r="U348" s="16">
        <f t="shared" si="5"/>
        <v>182.249</v>
      </c>
      <c r="V348" s="16">
        <f t="shared" si="5"/>
        <v>-1255.0510000000002</v>
      </c>
      <c r="W348" s="16">
        <f t="shared" si="5"/>
        <v>0</v>
      </c>
      <c r="X348" s="16">
        <f t="shared" si="5"/>
        <v>11.53</v>
      </c>
      <c r="Y348" s="16">
        <f t="shared" si="5"/>
        <v>2612.2510000000002</v>
      </c>
      <c r="Z348" s="16">
        <f t="shared" si="5"/>
        <v>5780.5330000000004</v>
      </c>
      <c r="AA348" s="16">
        <f t="shared" si="5"/>
        <v>20295.514999999999</v>
      </c>
      <c r="AB348" s="16">
        <f t="shared" si="5"/>
        <v>0</v>
      </c>
      <c r="AC348" s="16">
        <f t="shared" si="5"/>
        <v>195008.26499999998</v>
      </c>
      <c r="AD348" s="16">
        <f t="shared" si="5"/>
        <v>0</v>
      </c>
      <c r="AE348" s="16">
        <f t="shared" si="5"/>
        <v>52328.93</v>
      </c>
      <c r="AF348" s="16">
        <f t="shared" si="5"/>
        <v>-2.9860000000000002</v>
      </c>
      <c r="AG348" s="16">
        <f t="shared" si="5"/>
        <v>8137.4449999999997</v>
      </c>
      <c r="AH348" s="16">
        <f t="shared" si="5"/>
        <v>0</v>
      </c>
      <c r="AI348" s="16">
        <f t="shared" si="5"/>
        <v>574673.88799999992</v>
      </c>
      <c r="AJ348" s="16">
        <f t="shared" si="5"/>
        <v>3013.1389999999992</v>
      </c>
      <c r="AK348" s="16">
        <f t="shared" si="5"/>
        <v>1536.5250000000001</v>
      </c>
      <c r="AL348" s="16">
        <f t="shared" si="5"/>
        <v>1335472.0459999999</v>
      </c>
      <c r="AM348" s="16">
        <f t="shared" si="5"/>
        <v>57351.588999999993</v>
      </c>
      <c r="AN348" s="16">
        <f t="shared" si="5"/>
        <v>145.441</v>
      </c>
      <c r="AO348" s="16">
        <f t="shared" si="5"/>
        <v>89.730999999999995</v>
      </c>
      <c r="AP348" s="16">
        <f t="shared" si="5"/>
        <v>385.60700000000003</v>
      </c>
      <c r="AQ348" s="16">
        <f t="shared" si="5"/>
        <v>0</v>
      </c>
      <c r="AR348" s="16">
        <f t="shared" si="5"/>
        <v>123.471</v>
      </c>
      <c r="AS348" s="16">
        <f>SUMIF($D$6:$D$338,$D$348,AS6:AS338)</f>
        <v>550.60599999999999</v>
      </c>
      <c r="AT348" s="16">
        <f>SUMIF($D$6:$D$338,$D$348,AT6:AT338)</f>
        <v>649.95699999999999</v>
      </c>
      <c r="AU348" s="16">
        <f>SUMIF($D$6:$D$338,$D$348,AU6:AU338)</f>
        <v>-57.247999999999998</v>
      </c>
      <c r="AV348" s="16">
        <f>SUMIF($D$6:$D$338,$D$348,AV6:AV338)</f>
        <v>0</v>
      </c>
      <c r="AW348" s="16">
        <f t="shared" si="5"/>
        <v>0</v>
      </c>
      <c r="AX348" s="16">
        <f t="shared" si="5"/>
        <v>-1196.575</v>
      </c>
      <c r="AY348" s="16">
        <f t="shared" si="5"/>
        <v>0</v>
      </c>
      <c r="AZ348" s="16">
        <f t="shared" si="5"/>
        <v>-12.646000000000001</v>
      </c>
      <c r="BA348" s="16">
        <f t="shared" si="5"/>
        <v>0</v>
      </c>
      <c r="BB348" s="16">
        <f t="shared" si="5"/>
        <v>-21.599999999999994</v>
      </c>
      <c r="BC348" s="16">
        <f t="shared" si="5"/>
        <v>0</v>
      </c>
      <c r="BD348" s="16">
        <f t="shared" si="5"/>
        <v>0</v>
      </c>
      <c r="BE348" s="16">
        <f t="shared" si="5"/>
        <v>-2657.386</v>
      </c>
      <c r="BF348" s="16">
        <f t="shared" si="5"/>
        <v>0</v>
      </c>
      <c r="BG348" s="21"/>
    </row>
    <row r="349" spans="1:59" x14ac:dyDescent="0.25">
      <c r="A349" t="s">
        <v>613</v>
      </c>
      <c r="B349">
        <v>7</v>
      </c>
      <c r="D349">
        <v>6</v>
      </c>
      <c r="E349" s="16">
        <f t="shared" ref="E349:BF349" si="6">SUMIF($D$6:$D$338,$D$349,E6:E338)+SUMIF($D$6:$D$338,$B$349,E6:E338)</f>
        <v>1046749.2550000002</v>
      </c>
      <c r="F349" s="16">
        <f t="shared" si="6"/>
        <v>59133.447999999997</v>
      </c>
      <c r="G349" s="16">
        <f t="shared" si="6"/>
        <v>63544.749999999985</v>
      </c>
      <c r="H349" s="16">
        <f t="shared" si="6"/>
        <v>9123.0850000000028</v>
      </c>
      <c r="I349" s="16">
        <f t="shared" si="6"/>
        <v>9669.9970000000067</v>
      </c>
      <c r="J349" s="16">
        <f t="shared" si="6"/>
        <v>42259.214999999989</v>
      </c>
      <c r="K349" s="16">
        <f t="shared" si="6"/>
        <v>1003327.1240000001</v>
      </c>
      <c r="L349" s="16">
        <f t="shared" si="6"/>
        <v>82767.832999999999</v>
      </c>
      <c r="M349" s="16">
        <f t="shared" si="6"/>
        <v>4986.3409999999994</v>
      </c>
      <c r="N349" s="16">
        <f t="shared" si="6"/>
        <v>465026.15699999995</v>
      </c>
      <c r="O349" s="16">
        <f t="shared" si="6"/>
        <v>1925065.6189999999</v>
      </c>
      <c r="P349" s="16">
        <f t="shared" si="6"/>
        <v>460492.75399999996</v>
      </c>
      <c r="Q349" s="16">
        <f>SUMIF($D$6:$D$338,$D$349,Q6:Q338)+SUMIF($D$6:$D$338,$B$349,Q6:Q338)</f>
        <v>-58.792999999999999</v>
      </c>
      <c r="R349" s="16">
        <f t="shared" si="6"/>
        <v>198.30099999999973</v>
      </c>
      <c r="S349" s="16">
        <f t="shared" si="6"/>
        <v>1414.7620000000002</v>
      </c>
      <c r="T349" s="16">
        <f t="shared" si="6"/>
        <v>184.91600000000025</v>
      </c>
      <c r="U349" s="16">
        <f t="shared" si="6"/>
        <v>821.56899999999962</v>
      </c>
      <c r="V349" s="16">
        <f t="shared" si="6"/>
        <v>7685.2659999999969</v>
      </c>
      <c r="W349" s="16">
        <f t="shared" si="6"/>
        <v>-1.54</v>
      </c>
      <c r="X349" s="16">
        <f t="shared" si="6"/>
        <v>2749.0349999999994</v>
      </c>
      <c r="Y349" s="16">
        <f t="shared" si="6"/>
        <v>3706.6610000000001</v>
      </c>
      <c r="Z349" s="16">
        <f t="shared" si="6"/>
        <v>4010.1970000000001</v>
      </c>
      <c r="AA349" s="16">
        <f t="shared" si="6"/>
        <v>13518.645999999997</v>
      </c>
      <c r="AB349" s="16">
        <f t="shared" si="6"/>
        <v>8707.4810000000034</v>
      </c>
      <c r="AC349" s="16">
        <f t="shared" si="6"/>
        <v>207371.29600000003</v>
      </c>
      <c r="AD349" s="16">
        <f t="shared" si="6"/>
        <v>1661.8400000000011</v>
      </c>
      <c r="AE349" s="16">
        <f t="shared" si="6"/>
        <v>46995.837000000007</v>
      </c>
      <c r="AF349" s="16">
        <f t="shared" si="6"/>
        <v>6224.9809999999943</v>
      </c>
      <c r="AG349" s="16">
        <f t="shared" si="6"/>
        <v>6627.9809999999989</v>
      </c>
      <c r="AH349" s="16">
        <f t="shared" si="6"/>
        <v>373.82399999999996</v>
      </c>
      <c r="AI349" s="16">
        <f t="shared" si="6"/>
        <v>820515.61099999968</v>
      </c>
      <c r="AJ349" s="16">
        <f t="shared" si="6"/>
        <v>16426.437999999991</v>
      </c>
      <c r="AK349" s="16">
        <f t="shared" si="6"/>
        <v>1498.7560000000017</v>
      </c>
      <c r="AL349" s="16">
        <f t="shared" si="6"/>
        <v>2448162.8860000009</v>
      </c>
      <c r="AM349" s="16">
        <f t="shared" si="6"/>
        <v>30287.68599999998</v>
      </c>
      <c r="AN349" s="16">
        <f t="shared" si="6"/>
        <v>9753.5399999999881</v>
      </c>
      <c r="AO349" s="16">
        <f t="shared" si="6"/>
        <v>115369.42900000022</v>
      </c>
      <c r="AP349" s="16">
        <f t="shared" si="6"/>
        <v>6088.2039999999979</v>
      </c>
      <c r="AQ349" s="16">
        <f t="shared" si="6"/>
        <v>2685.6880000000028</v>
      </c>
      <c r="AR349" s="16">
        <f t="shared" si="6"/>
        <v>71820.403999999966</v>
      </c>
      <c r="AS349" s="16">
        <f>SUMIF($D$6:$D$338,$D$349,AS6:AS338)+SUMIF($D$6:$D$338,$B$349,AS6:AS338)</f>
        <v>714.39600000000007</v>
      </c>
      <c r="AT349" s="16">
        <f>SUMIF($D$6:$D$338,$D$349,AT6:AT338)+SUMIF($D$6:$D$338,$B$349,AT6:AT338)</f>
        <v>36100.392999999938</v>
      </c>
      <c r="AU349" s="16">
        <f>SUMIF($D$6:$D$338,$D$349,AU6:AU338)+SUMIF($D$6:$D$338,$B$349,AU6:AU338)</f>
        <v>166.65499999999994</v>
      </c>
      <c r="AV349" s="16">
        <f>SUMIF($D$6:$D$338,$D$349,AV6:AV338)+SUMIF($D$6:$D$338,$B$349,AV6:AV338)</f>
        <v>330.98799999999994</v>
      </c>
      <c r="AW349" s="16">
        <f t="shared" si="6"/>
        <v>-7.0890000000000004</v>
      </c>
      <c r="AX349" s="16">
        <f t="shared" si="6"/>
        <v>3165.9910000000013</v>
      </c>
      <c r="AY349" s="16">
        <f t="shared" si="6"/>
        <v>1.3150000000000004</v>
      </c>
      <c r="AZ349" s="16">
        <f t="shared" si="6"/>
        <v>162.59100000000001</v>
      </c>
      <c r="BA349" s="16">
        <f t="shared" si="6"/>
        <v>0</v>
      </c>
      <c r="BB349" s="16">
        <f t="shared" si="6"/>
        <v>-2340.2759999999998</v>
      </c>
      <c r="BC349" s="16">
        <f t="shared" si="6"/>
        <v>43.547000000000004</v>
      </c>
      <c r="BD349" s="16">
        <f t="shared" si="6"/>
        <v>8.3350000000000044</v>
      </c>
      <c r="BE349" s="16">
        <f t="shared" si="6"/>
        <v>6192.4120000000012</v>
      </c>
      <c r="BF349" s="16">
        <f t="shared" si="6"/>
        <v>613.81800000000067</v>
      </c>
      <c r="BG349" s="21"/>
    </row>
    <row r="350" spans="1:59" x14ac:dyDescent="0.25"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21"/>
    </row>
    <row r="351" spans="1:59" x14ac:dyDescent="0.25">
      <c r="E351">
        <f t="shared" ref="E351:P351" si="7">SUM(E344:E350)</f>
        <v>5662176.5060000001</v>
      </c>
      <c r="F351">
        <f t="shared" si="7"/>
        <v>891106.44099999999</v>
      </c>
      <c r="G351">
        <f t="shared" si="7"/>
        <v>1073860.46</v>
      </c>
      <c r="H351">
        <f t="shared" si="7"/>
        <v>1059177.868</v>
      </c>
      <c r="I351">
        <f t="shared" si="7"/>
        <v>149147.56599999999</v>
      </c>
      <c r="J351">
        <f t="shared" si="7"/>
        <v>744731.82400000014</v>
      </c>
      <c r="K351">
        <f t="shared" si="7"/>
        <v>4520646.8610000005</v>
      </c>
      <c r="L351">
        <f t="shared" si="7"/>
        <v>875192.55200000003</v>
      </c>
      <c r="M351">
        <f t="shared" si="7"/>
        <v>306861.21600000001</v>
      </c>
      <c r="N351">
        <f t="shared" si="7"/>
        <v>2473897.4620000003</v>
      </c>
      <c r="O351" s="17">
        <f t="shared" si="7"/>
        <v>8874150.1860000007</v>
      </c>
      <c r="P351">
        <f t="shared" si="7"/>
        <v>2541252.148</v>
      </c>
      <c r="Q351">
        <f>SUM(Q344:Q350)</f>
        <v>16594.969999999998</v>
      </c>
      <c r="R351">
        <f t="shared" ref="R351:AR351" si="8">SUM(R344:R350)</f>
        <v>6484.436999999999</v>
      </c>
      <c r="S351">
        <f t="shared" si="8"/>
        <v>23569.644999999993</v>
      </c>
      <c r="T351">
        <f t="shared" si="8"/>
        <v>11191.348000000002</v>
      </c>
      <c r="U351">
        <f t="shared" si="8"/>
        <v>21820.498999999996</v>
      </c>
      <c r="V351">
        <f t="shared" si="8"/>
        <v>266073.196</v>
      </c>
      <c r="W351">
        <f t="shared" si="8"/>
        <v>2874.2829999999999</v>
      </c>
      <c r="X351">
        <f t="shared" si="8"/>
        <v>122308.12700000001</v>
      </c>
      <c r="Y351">
        <f t="shared" si="8"/>
        <v>230752.99699999997</v>
      </c>
      <c r="Z351">
        <f t="shared" si="8"/>
        <v>80345.886999999988</v>
      </c>
      <c r="AA351">
        <f t="shared" si="8"/>
        <v>236122.82500000007</v>
      </c>
      <c r="AB351">
        <f t="shared" si="8"/>
        <v>209678.264</v>
      </c>
      <c r="AC351">
        <f t="shared" si="8"/>
        <v>1674310.78</v>
      </c>
      <c r="AD351">
        <f t="shared" si="8"/>
        <v>92864.320000000007</v>
      </c>
      <c r="AE351">
        <f t="shared" si="8"/>
        <v>821018.72100000014</v>
      </c>
      <c r="AF351">
        <f t="shared" si="8"/>
        <v>195878.36599999995</v>
      </c>
      <c r="AG351">
        <f t="shared" si="8"/>
        <v>139807.51699999999</v>
      </c>
      <c r="AH351">
        <f t="shared" si="8"/>
        <v>48577.137999999999</v>
      </c>
      <c r="AI351">
        <f t="shared" si="8"/>
        <v>4334878.6229999997</v>
      </c>
      <c r="AJ351">
        <f t="shared" si="8"/>
        <v>943668.45299999986</v>
      </c>
      <c r="AK351">
        <f t="shared" si="8"/>
        <v>198370.77699999997</v>
      </c>
      <c r="AL351">
        <f t="shared" si="8"/>
        <v>13677460.996000003</v>
      </c>
      <c r="AM351">
        <f t="shared" si="8"/>
        <v>1847334.996</v>
      </c>
      <c r="AN351">
        <f t="shared" si="8"/>
        <v>567446.86600000004</v>
      </c>
      <c r="AO351">
        <f t="shared" si="8"/>
        <v>7120069.5630000001</v>
      </c>
      <c r="AP351">
        <f t="shared" si="8"/>
        <v>329962.32900000003</v>
      </c>
      <c r="AQ351">
        <f t="shared" si="8"/>
        <v>205770.106</v>
      </c>
      <c r="AR351">
        <f t="shared" si="8"/>
        <v>4409665.6899999995</v>
      </c>
      <c r="AS351">
        <f>SUM(AS344:AS350)</f>
        <v>43433.112000000001</v>
      </c>
      <c r="AT351">
        <f>SUM(AT344:AT350)</f>
        <v>2260654.5630000005</v>
      </c>
      <c r="AU351">
        <f>SUM(AU344:AU350)</f>
        <v>8646.8660000000018</v>
      </c>
      <c r="AV351">
        <f>SUM(AV344:AV350)</f>
        <v>19793.192000000003</v>
      </c>
      <c r="AW351">
        <f>SUM(AW344:AW350)</f>
        <v>28695.971000000001</v>
      </c>
      <c r="AX351">
        <f t="shared" ref="AX351:BF351" si="9">SUM(AX344:AX350)</f>
        <v>270818.21399999998</v>
      </c>
      <c r="AY351">
        <f t="shared" si="9"/>
        <v>14221.509000000002</v>
      </c>
      <c r="AZ351">
        <f t="shared" si="9"/>
        <v>3210.701</v>
      </c>
      <c r="BA351">
        <f t="shared" si="9"/>
        <v>0</v>
      </c>
      <c r="BB351">
        <f t="shared" si="9"/>
        <v>75899.100999999995</v>
      </c>
      <c r="BC351">
        <f t="shared" si="9"/>
        <v>57799.305999999997</v>
      </c>
      <c r="BD351">
        <f t="shared" si="9"/>
        <v>50900.336000000003</v>
      </c>
      <c r="BE351">
        <f t="shared" si="9"/>
        <v>348599.05599999998</v>
      </c>
      <c r="BF351">
        <f t="shared" si="9"/>
        <v>16344.291000000003</v>
      </c>
      <c r="BG351" s="21"/>
    </row>
    <row r="352" spans="1:59" x14ac:dyDescent="0.25"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  <c r="BA352" s="16"/>
      <c r="BB352" s="16"/>
      <c r="BC352" s="16"/>
      <c r="BD352" s="16"/>
      <c r="BE352" s="16"/>
      <c r="BF352" s="16"/>
      <c r="BG352" s="21"/>
    </row>
    <row r="353" spans="1:59" x14ac:dyDescent="0.25">
      <c r="A353" s="8"/>
      <c r="B353" s="8"/>
      <c r="C353" s="8"/>
      <c r="D353" s="8"/>
      <c r="E353" s="8">
        <f t="shared" ref="E353:AT353" si="10">E351-E339</f>
        <v>5662176.5060000001</v>
      </c>
      <c r="F353" s="8">
        <f t="shared" si="10"/>
        <v>891106.44099999999</v>
      </c>
      <c r="G353" s="8">
        <f t="shared" si="10"/>
        <v>1073860.46</v>
      </c>
      <c r="H353" s="8">
        <f t="shared" si="10"/>
        <v>1059177.868</v>
      </c>
      <c r="I353" s="8">
        <f t="shared" si="10"/>
        <v>149147.56599999999</v>
      </c>
      <c r="J353" s="8">
        <f t="shared" si="10"/>
        <v>744731.82400000014</v>
      </c>
      <c r="K353" s="8">
        <f t="shared" si="10"/>
        <v>4520646.8610000005</v>
      </c>
      <c r="L353" s="8">
        <f t="shared" si="10"/>
        <v>875192.55200000003</v>
      </c>
      <c r="M353" s="8">
        <f t="shared" si="10"/>
        <v>306861.21600000001</v>
      </c>
      <c r="N353" s="8">
        <f t="shared" si="10"/>
        <v>2473897.4620000003</v>
      </c>
      <c r="O353" s="18">
        <f t="shared" si="10"/>
        <v>8874150.1860000007</v>
      </c>
      <c r="P353" s="8">
        <f t="shared" si="10"/>
        <v>2541252.148</v>
      </c>
      <c r="Q353" s="8">
        <f>Q351-Q339</f>
        <v>16594.969999999998</v>
      </c>
      <c r="R353" s="8">
        <f t="shared" si="10"/>
        <v>6484.436999999999</v>
      </c>
      <c r="S353" s="8">
        <f t="shared" si="10"/>
        <v>23569.644999999993</v>
      </c>
      <c r="T353" s="8">
        <f t="shared" si="10"/>
        <v>11191.348000000002</v>
      </c>
      <c r="U353" s="8">
        <f t="shared" si="10"/>
        <v>21820.498999999996</v>
      </c>
      <c r="V353" s="8">
        <f t="shared" si="10"/>
        <v>266073.196</v>
      </c>
      <c r="W353" s="8">
        <f t="shared" si="10"/>
        <v>2874.2829999999999</v>
      </c>
      <c r="X353" s="8">
        <f t="shared" si="10"/>
        <v>122308.12700000001</v>
      </c>
      <c r="Y353" s="8">
        <f t="shared" si="10"/>
        <v>230752.99699999997</v>
      </c>
      <c r="Z353" s="8">
        <f t="shared" si="10"/>
        <v>80345.886999999988</v>
      </c>
      <c r="AA353" s="8">
        <f t="shared" si="10"/>
        <v>236122.82500000007</v>
      </c>
      <c r="AB353" s="8">
        <f t="shared" si="10"/>
        <v>209678.264</v>
      </c>
      <c r="AC353" s="8">
        <f t="shared" si="10"/>
        <v>1674310.78</v>
      </c>
      <c r="AD353" s="8">
        <f t="shared" si="10"/>
        <v>92864.320000000007</v>
      </c>
      <c r="AE353" s="8">
        <f t="shared" si="10"/>
        <v>821018.72100000014</v>
      </c>
      <c r="AF353" s="8">
        <f t="shared" si="10"/>
        <v>195878.36599999995</v>
      </c>
      <c r="AG353" s="8">
        <f t="shared" si="10"/>
        <v>139807.51699999999</v>
      </c>
      <c r="AH353" s="8">
        <f t="shared" si="10"/>
        <v>48577.137999999999</v>
      </c>
      <c r="AI353" s="8">
        <f t="shared" si="10"/>
        <v>4334878.6229999997</v>
      </c>
      <c r="AJ353" s="8">
        <f t="shared" si="10"/>
        <v>943668.45299999986</v>
      </c>
      <c r="AK353" s="8">
        <f t="shared" si="10"/>
        <v>198370.77699999997</v>
      </c>
      <c r="AL353" s="8">
        <f t="shared" si="10"/>
        <v>13677460.996000003</v>
      </c>
      <c r="AM353" s="8">
        <f t="shared" si="10"/>
        <v>1847334.996</v>
      </c>
      <c r="AN353" s="8">
        <f t="shared" si="10"/>
        <v>567446.86600000004</v>
      </c>
      <c r="AO353" s="8">
        <f t="shared" si="10"/>
        <v>7120069.5630000001</v>
      </c>
      <c r="AP353" s="8">
        <f t="shared" si="10"/>
        <v>329962.32900000003</v>
      </c>
      <c r="AQ353" s="8">
        <f t="shared" si="10"/>
        <v>205770.106</v>
      </c>
      <c r="AR353" s="8">
        <f t="shared" si="10"/>
        <v>4409665.6899999995</v>
      </c>
      <c r="AS353" s="8">
        <f t="shared" si="10"/>
        <v>43433.112000000001</v>
      </c>
      <c r="AT353" s="8">
        <f t="shared" si="10"/>
        <v>2260654.5630000005</v>
      </c>
      <c r="AU353" s="8">
        <f>AU351-AU339</f>
        <v>8646.8660000000018</v>
      </c>
      <c r="AV353" s="8">
        <f>AV351-AV339</f>
        <v>19793.192000000003</v>
      </c>
      <c r="AW353" s="8">
        <f t="shared" ref="AW353:BF353" si="11">AW351-AW339</f>
        <v>28695.971000000001</v>
      </c>
      <c r="AX353" s="8">
        <f t="shared" si="11"/>
        <v>270818.21399999998</v>
      </c>
      <c r="AY353" s="8">
        <f t="shared" si="11"/>
        <v>14221.509000000002</v>
      </c>
      <c r="AZ353" s="8">
        <f t="shared" si="11"/>
        <v>3210.701</v>
      </c>
      <c r="BA353" s="8">
        <f t="shared" si="11"/>
        <v>0</v>
      </c>
      <c r="BB353" s="8">
        <f t="shared" si="11"/>
        <v>75899.100999999995</v>
      </c>
      <c r="BC353" s="8">
        <f t="shared" si="11"/>
        <v>57799.305999999997</v>
      </c>
      <c r="BD353" s="8">
        <f t="shared" si="11"/>
        <v>50900.336000000003</v>
      </c>
      <c r="BE353" s="8">
        <f t="shared" si="11"/>
        <v>348599.05599999998</v>
      </c>
      <c r="BF353" s="8">
        <f t="shared" si="11"/>
        <v>16344.291000000003</v>
      </c>
      <c r="BG353" s="21"/>
    </row>
    <row r="354" spans="1:59" x14ac:dyDescent="0.25">
      <c r="E354" s="19">
        <f t="shared" ref="E354:P354" si="12">E4</f>
        <v>401</v>
      </c>
      <c r="F354" s="19">
        <f t="shared" si="12"/>
        <v>242</v>
      </c>
      <c r="G354" s="19">
        <f t="shared" si="12"/>
        <v>385</v>
      </c>
      <c r="H354" s="19">
        <f t="shared" si="12"/>
        <v>528</v>
      </c>
      <c r="I354" s="19">
        <f t="shared" si="12"/>
        <v>384</v>
      </c>
      <c r="J354" s="19">
        <f t="shared" si="12"/>
        <v>716</v>
      </c>
      <c r="K354" s="19">
        <f t="shared" si="12"/>
        <v>686</v>
      </c>
      <c r="L354" s="19">
        <f t="shared" si="12"/>
        <v>1190</v>
      </c>
      <c r="M354" s="19">
        <f t="shared" si="12"/>
        <v>715</v>
      </c>
      <c r="N354" s="19">
        <f t="shared" si="12"/>
        <v>211</v>
      </c>
      <c r="O354" s="19">
        <f t="shared" si="12"/>
        <v>9916</v>
      </c>
      <c r="P354" s="19">
        <f t="shared" si="12"/>
        <v>1100</v>
      </c>
      <c r="Q354" s="19">
        <f>Q4</f>
        <v>801</v>
      </c>
      <c r="R354" s="19">
        <f t="shared" ref="R354:W354" si="13">R4</f>
        <v>804</v>
      </c>
      <c r="S354" s="19">
        <f t="shared" si="13"/>
        <v>806</v>
      </c>
      <c r="T354" s="19">
        <f t="shared" si="13"/>
        <v>8765</v>
      </c>
      <c r="U354" s="19">
        <f t="shared" si="13"/>
        <v>8766</v>
      </c>
      <c r="V354" s="19">
        <f t="shared" si="13"/>
        <v>9418</v>
      </c>
      <c r="W354" s="19">
        <f t="shared" si="13"/>
        <v>9475</v>
      </c>
      <c r="X354" s="19">
        <f>X4</f>
        <v>9905</v>
      </c>
      <c r="Y354" s="19">
        <f>Y4</f>
        <v>9906</v>
      </c>
      <c r="Z354" s="19">
        <f>Z4</f>
        <v>7905</v>
      </c>
      <c r="AA354" s="19">
        <f t="shared" ref="AA354:AT354" si="14">AA4</f>
        <v>7906</v>
      </c>
      <c r="AB354" s="19">
        <f t="shared" si="14"/>
        <v>7907</v>
      </c>
      <c r="AC354" s="19">
        <f t="shared" si="14"/>
        <v>7908</v>
      </c>
      <c r="AD354" s="19">
        <f t="shared" si="14"/>
        <v>7909</v>
      </c>
      <c r="AE354" s="19">
        <f t="shared" si="14"/>
        <v>11310</v>
      </c>
      <c r="AF354" s="19">
        <f t="shared" si="14"/>
        <v>11311</v>
      </c>
      <c r="AG354" s="19">
        <f t="shared" si="14"/>
        <v>11312</v>
      </c>
      <c r="AH354" s="19">
        <f t="shared" si="14"/>
        <v>11335</v>
      </c>
      <c r="AI354" s="19">
        <f t="shared" si="14"/>
        <v>9529</v>
      </c>
      <c r="AJ354" s="19">
        <f t="shared" si="14"/>
        <v>961</v>
      </c>
      <c r="AK354" s="19">
        <f t="shared" si="14"/>
        <v>9528</v>
      </c>
      <c r="AL354" s="19">
        <f t="shared" si="14"/>
        <v>964</v>
      </c>
      <c r="AM354" s="19">
        <f t="shared" si="14"/>
        <v>968</v>
      </c>
      <c r="AN354" s="19">
        <f t="shared" si="14"/>
        <v>8629</v>
      </c>
      <c r="AO354" s="19">
        <f t="shared" si="14"/>
        <v>13264</v>
      </c>
      <c r="AP354" s="19">
        <f t="shared" si="14"/>
        <v>9917</v>
      </c>
      <c r="AQ354" s="19">
        <f t="shared" si="14"/>
        <v>8624</v>
      </c>
      <c r="AR354" s="19">
        <f t="shared" si="14"/>
        <v>13263</v>
      </c>
      <c r="AS354" s="19">
        <f t="shared" si="14"/>
        <v>13209</v>
      </c>
      <c r="AT354" s="19">
        <f t="shared" si="14"/>
        <v>13250</v>
      </c>
      <c r="AU354" s="19">
        <f>AU4</f>
        <v>14281</v>
      </c>
      <c r="AV354" s="19">
        <f>AV4</f>
        <v>14282</v>
      </c>
      <c r="AW354" s="19">
        <f t="shared" ref="AW354:BF354" si="15">AW4</f>
        <v>2049</v>
      </c>
      <c r="AX354" s="19">
        <f t="shared" si="15"/>
        <v>7975</v>
      </c>
      <c r="AY354" s="19">
        <f t="shared" si="15"/>
        <v>8004</v>
      </c>
      <c r="AZ354" s="19">
        <f t="shared" si="15"/>
        <v>1008</v>
      </c>
      <c r="BA354" s="19">
        <f t="shared" si="15"/>
        <v>9484</v>
      </c>
      <c r="BB354" s="19">
        <f t="shared" si="15"/>
        <v>682</v>
      </c>
      <c r="BC354" s="19">
        <f t="shared" si="15"/>
        <v>11352</v>
      </c>
      <c r="BD354" s="19">
        <f t="shared" si="15"/>
        <v>2058</v>
      </c>
      <c r="BE354" s="19">
        <f t="shared" si="15"/>
        <v>12088</v>
      </c>
      <c r="BF354" s="19">
        <f t="shared" si="15"/>
        <v>15007</v>
      </c>
      <c r="BG354" s="21"/>
    </row>
    <row r="355" spans="1:59" x14ac:dyDescent="0.25">
      <c r="A355" t="s">
        <v>608</v>
      </c>
      <c r="E355" s="20">
        <f t="shared" ref="E355:AR355" si="16">E344/E351</f>
        <v>9.5468054453475906E-2</v>
      </c>
      <c r="F355" s="20">
        <f t="shared" si="16"/>
        <v>0.16225843439953319</v>
      </c>
      <c r="G355" s="20">
        <f t="shared" si="16"/>
        <v>3.3235534158693208E-2</v>
      </c>
      <c r="H355" s="20">
        <f t="shared" si="16"/>
        <v>2.1943975324831843E-2</v>
      </c>
      <c r="I355" s="20">
        <f t="shared" si="16"/>
        <v>8.86860064481374E-2</v>
      </c>
      <c r="J355" s="20">
        <f t="shared" si="16"/>
        <v>3.4144155225465427E-2</v>
      </c>
      <c r="K355" s="20">
        <f t="shared" si="16"/>
        <v>0.14878717618991652</v>
      </c>
      <c r="L355" s="20">
        <f t="shared" si="16"/>
        <v>9.1203168739946064E-2</v>
      </c>
      <c r="M355" s="20">
        <f t="shared" si="16"/>
        <v>1.5445477476045719E-2</v>
      </c>
      <c r="N355" s="20">
        <f t="shared" si="16"/>
        <v>5.7206198386891755E-2</v>
      </c>
      <c r="O355" s="20">
        <f t="shared" si="16"/>
        <v>0.17484858960893859</v>
      </c>
      <c r="P355" s="20">
        <f t="shared" si="16"/>
        <v>5.6793239157155853E-2</v>
      </c>
      <c r="Q355" s="20">
        <f>Q344/Q351</f>
        <v>7.9886254690427292E-3</v>
      </c>
      <c r="R355" s="20">
        <f t="shared" si="16"/>
        <v>0.7255880502810037</v>
      </c>
      <c r="S355" s="20">
        <f t="shared" si="16"/>
        <v>4.7073725548263466E-2</v>
      </c>
      <c r="T355" s="20">
        <f t="shared" si="16"/>
        <v>0.39754558610812568</v>
      </c>
      <c r="U355" s="20">
        <f t="shared" si="16"/>
        <v>6.2393806851071563E-2</v>
      </c>
      <c r="V355" s="20">
        <f t="shared" si="16"/>
        <v>0.15574628193664422</v>
      </c>
      <c r="W355" s="20">
        <f t="shared" si="16"/>
        <v>1.5751754437541468E-2</v>
      </c>
      <c r="X355" s="20">
        <f t="shared" si="16"/>
        <v>0.53255262424221406</v>
      </c>
      <c r="Y355" s="20">
        <f t="shared" si="16"/>
        <v>2.0851352149502095E-2</v>
      </c>
      <c r="Z355" s="20">
        <f t="shared" si="16"/>
        <v>8.2195545367493447E-2</v>
      </c>
      <c r="AA355" s="20">
        <f t="shared" si="16"/>
        <v>8.2265867351027991E-2</v>
      </c>
      <c r="AB355" s="20">
        <f t="shared" si="16"/>
        <v>0.81713254741559671</v>
      </c>
      <c r="AC355" s="20">
        <f t="shared" si="16"/>
        <v>0.16569105527708541</v>
      </c>
      <c r="AD355" s="20">
        <f t="shared" si="16"/>
        <v>0.56250111991343932</v>
      </c>
      <c r="AE355" s="20">
        <f t="shared" si="16"/>
        <v>6.180678795995443E-2</v>
      </c>
      <c r="AF355" s="20">
        <f t="shared" si="16"/>
        <v>0.74172429026695075</v>
      </c>
      <c r="AG355" s="20">
        <f t="shared" si="16"/>
        <v>0.17464839175993666</v>
      </c>
      <c r="AH355" s="20">
        <f t="shared" si="16"/>
        <v>0.25583862104021032</v>
      </c>
      <c r="AI355" s="20">
        <f t="shared" si="16"/>
        <v>0.1604622674575864</v>
      </c>
      <c r="AJ355" s="20">
        <f t="shared" si="16"/>
        <v>0.30140806349494453</v>
      </c>
      <c r="AK355" s="20">
        <f t="shared" si="16"/>
        <v>0.27445592452360057</v>
      </c>
      <c r="AL355" s="20">
        <f t="shared" si="16"/>
        <v>0.15125192998941889</v>
      </c>
      <c r="AM355" s="20">
        <f t="shared" si="16"/>
        <v>0.29347298306690012</v>
      </c>
      <c r="AN355" s="20">
        <f t="shared" si="16"/>
        <v>0.54896195161997774</v>
      </c>
      <c r="AO355" s="20">
        <f t="shared" si="16"/>
        <v>0.72458313719427347</v>
      </c>
      <c r="AP355" s="20">
        <f t="shared" si="16"/>
        <v>0.43764447728819367</v>
      </c>
      <c r="AQ355" s="20">
        <f t="shared" si="16"/>
        <v>0.33713148789455361</v>
      </c>
      <c r="AR355" s="20">
        <f t="shared" si="16"/>
        <v>0.72349002810686991</v>
      </c>
      <c r="AS355" s="20">
        <f>AS344/AS351</f>
        <v>-3.5166487724849183E-3</v>
      </c>
      <c r="AT355" s="20">
        <f>AT344/AT351</f>
        <v>0.72446423031858842</v>
      </c>
      <c r="AU355" s="20">
        <f>AU344/AU351</f>
        <v>0.22170044036764297</v>
      </c>
      <c r="AV355" s="20">
        <f>AV344/AV351</f>
        <v>0.44978576472152643</v>
      </c>
      <c r="AW355" s="20">
        <f>AW344/AW351</f>
        <v>0.1072359252105461</v>
      </c>
      <c r="AX355" s="20">
        <f t="shared" ref="AX355:BF355" si="17">AX344/AX351</f>
        <v>0.31506531905568214</v>
      </c>
      <c r="AY355" s="20">
        <f t="shared" si="17"/>
        <v>0.11351601296318133</v>
      </c>
      <c r="AZ355" s="20">
        <f t="shared" si="17"/>
        <v>0.14872110483037818</v>
      </c>
      <c r="BA355" s="20" t="e">
        <f t="shared" si="17"/>
        <v>#DIV/0!</v>
      </c>
      <c r="BB355" s="20">
        <f t="shared" si="17"/>
        <v>0.18314158951632381</v>
      </c>
      <c r="BC355" s="20">
        <f t="shared" si="17"/>
        <v>9.8254795654466862E-2</v>
      </c>
      <c r="BD355" s="20">
        <f t="shared" si="17"/>
        <v>0.11252664422490256</v>
      </c>
      <c r="BE355" s="20">
        <f t="shared" si="17"/>
        <v>0.26058121626123965</v>
      </c>
      <c r="BF355" s="20">
        <f t="shared" si="17"/>
        <v>0.8356144050543397</v>
      </c>
      <c r="BG355" s="21"/>
    </row>
    <row r="356" spans="1:59" x14ac:dyDescent="0.25">
      <c r="A356" t="s">
        <v>609</v>
      </c>
      <c r="E356" s="20">
        <f t="shared" ref="E356:AR356" si="18">E345/E351</f>
        <v>0.25678175264570247</v>
      </c>
      <c r="F356" s="20">
        <f t="shared" si="18"/>
        <v>0.18347058048029527</v>
      </c>
      <c r="G356" s="20">
        <f t="shared" si="18"/>
        <v>0.3445606266199614</v>
      </c>
      <c r="H356" s="20">
        <f t="shared" si="18"/>
        <v>0</v>
      </c>
      <c r="I356" s="20">
        <f t="shared" si="18"/>
        <v>0.36450664572025265</v>
      </c>
      <c r="J356" s="20">
        <f t="shared" si="18"/>
        <v>0.35144609584993369</v>
      </c>
      <c r="K356" s="20">
        <f t="shared" si="18"/>
        <v>0.17455874596350157</v>
      </c>
      <c r="L356" s="20">
        <f t="shared" si="18"/>
        <v>0.19875923487063676</v>
      </c>
      <c r="M356" s="20">
        <f t="shared" si="18"/>
        <v>0.75650483311647954</v>
      </c>
      <c r="N356" s="20">
        <f t="shared" si="18"/>
        <v>0.2506340309265413</v>
      </c>
      <c r="O356" s="20">
        <f t="shared" si="18"/>
        <v>7.8992088516361733E-2</v>
      </c>
      <c r="P356" s="20">
        <f t="shared" si="18"/>
        <v>0.24451138289800273</v>
      </c>
      <c r="Q356" s="20">
        <f>Q345/Q351</f>
        <v>0.79004427245123077</v>
      </c>
      <c r="R356" s="20">
        <f t="shared" si="18"/>
        <v>0</v>
      </c>
      <c r="S356" s="20">
        <f t="shared" si="18"/>
        <v>0.77766092785869301</v>
      </c>
      <c r="T356" s="20">
        <f t="shared" si="18"/>
        <v>0.13913337338808515</v>
      </c>
      <c r="U356" s="20">
        <f t="shared" si="18"/>
        <v>0.22265847357569601</v>
      </c>
      <c r="V356" s="20">
        <f t="shared" si="18"/>
        <v>0.18415276975137321</v>
      </c>
      <c r="W356" s="20">
        <f t="shared" si="18"/>
        <v>0.98478403135668957</v>
      </c>
      <c r="X356" s="20">
        <f t="shared" si="18"/>
        <v>5.9506503602986253E-2</v>
      </c>
      <c r="Y356" s="20">
        <f t="shared" si="18"/>
        <v>0.76095919135559498</v>
      </c>
      <c r="Z356" s="20">
        <f t="shared" si="18"/>
        <v>0.29517584391096463</v>
      </c>
      <c r="AA356" s="20">
        <f t="shared" si="18"/>
        <v>0.2370796342962608</v>
      </c>
      <c r="AB356" s="20">
        <f t="shared" si="18"/>
        <v>0</v>
      </c>
      <c r="AC356" s="20">
        <f t="shared" si="18"/>
        <v>0.16520739118695754</v>
      </c>
      <c r="AD356" s="20">
        <f t="shared" si="18"/>
        <v>0</v>
      </c>
      <c r="AE356" s="20">
        <f t="shared" si="18"/>
        <v>0.33845884861375775</v>
      </c>
      <c r="AF356" s="20">
        <f t="shared" si="18"/>
        <v>5.4161162443023455E-5</v>
      </c>
      <c r="AG356" s="20">
        <f t="shared" si="18"/>
        <v>0.15095367153970701</v>
      </c>
      <c r="AH356" s="20">
        <f t="shared" si="18"/>
        <v>0.14623932764420991</v>
      </c>
      <c r="AI356" s="20">
        <f t="shared" si="18"/>
        <v>0.1569783784462839</v>
      </c>
      <c r="AJ356" s="20">
        <f t="shared" si="18"/>
        <v>4.0873786632771969E-2</v>
      </c>
      <c r="AK356" s="20">
        <f t="shared" si="18"/>
        <v>0.10329568855799766</v>
      </c>
      <c r="AL356" s="20">
        <f t="shared" si="18"/>
        <v>0.13261351302924232</v>
      </c>
      <c r="AM356" s="20">
        <f t="shared" si="18"/>
        <v>3.9700095087680569E-2</v>
      </c>
      <c r="AN356" s="20">
        <f t="shared" si="18"/>
        <v>0</v>
      </c>
      <c r="AO356" s="20">
        <f t="shared" si="18"/>
        <v>0</v>
      </c>
      <c r="AP356" s="20">
        <f t="shared" si="18"/>
        <v>0.13291338478823742</v>
      </c>
      <c r="AQ356" s="20">
        <f t="shared" si="18"/>
        <v>0.18467193674867427</v>
      </c>
      <c r="AR356" s="20">
        <f t="shared" si="18"/>
        <v>0</v>
      </c>
      <c r="AS356" s="20">
        <f>AS345/AS351</f>
        <v>0.77904970290869324</v>
      </c>
      <c r="AT356" s="20">
        <f>AT345/AT351</f>
        <v>0</v>
      </c>
      <c r="AU356" s="20">
        <f>AU345/AU351</f>
        <v>0.19784416689237461</v>
      </c>
      <c r="AV356" s="20">
        <f>AV345/AV351</f>
        <v>0.16450297657901763</v>
      </c>
      <c r="AW356" s="20">
        <f>AW345/AW351</f>
        <v>0</v>
      </c>
      <c r="AX356" s="20">
        <f t="shared" ref="AX356:BF356" si="19">AX345/AX351</f>
        <v>4.124478496117695E-2</v>
      </c>
      <c r="AY356" s="20">
        <f t="shared" si="19"/>
        <v>0</v>
      </c>
      <c r="AZ356" s="20">
        <f t="shared" si="19"/>
        <v>0.35701082100139503</v>
      </c>
      <c r="BA356" s="20" t="e">
        <f t="shared" si="19"/>
        <v>#DIV/0!</v>
      </c>
      <c r="BB356" s="20">
        <f t="shared" si="19"/>
        <v>0.40064133302448479</v>
      </c>
      <c r="BC356" s="20">
        <f t="shared" si="19"/>
        <v>0</v>
      </c>
      <c r="BD356" s="20">
        <f t="shared" si="19"/>
        <v>0</v>
      </c>
      <c r="BE356" s="20">
        <f t="shared" si="19"/>
        <v>0.10267899578018365</v>
      </c>
      <c r="BF356" s="20">
        <f t="shared" si="19"/>
        <v>0</v>
      </c>
      <c r="BG356" s="21"/>
    </row>
    <row r="357" spans="1:59" x14ac:dyDescent="0.25">
      <c r="A357" t="s">
        <v>610</v>
      </c>
      <c r="E357" s="20">
        <f t="shared" ref="E357:AR357" si="20">E346/E351</f>
        <v>0.23623975437405764</v>
      </c>
      <c r="F357" s="20">
        <f t="shared" si="20"/>
        <v>0.25869960017492455</v>
      </c>
      <c r="G357" s="20">
        <f t="shared" si="20"/>
        <v>0.47607921796468794</v>
      </c>
      <c r="H357" s="20">
        <f t="shared" si="20"/>
        <v>6.7433837278782716E-2</v>
      </c>
      <c r="I357" s="20">
        <f t="shared" si="20"/>
        <v>0.31532939665941323</v>
      </c>
      <c r="J357" s="20">
        <f t="shared" si="20"/>
        <v>0.46270048344274872</v>
      </c>
      <c r="K357" s="20">
        <f t="shared" si="20"/>
        <v>8.0180189504963834E-2</v>
      </c>
      <c r="L357" s="20">
        <f t="shared" si="20"/>
        <v>0.44446891499597696</v>
      </c>
      <c r="M357" s="20">
        <f t="shared" si="20"/>
        <v>0.18968867672087955</v>
      </c>
      <c r="N357" s="20">
        <f t="shared" si="20"/>
        <v>0.36393787892571916</v>
      </c>
      <c r="O357" s="20">
        <f t="shared" si="20"/>
        <v>0.11991391442515753</v>
      </c>
      <c r="P357" s="20">
        <f t="shared" si="20"/>
        <v>0.34968850481813735</v>
      </c>
      <c r="Q357" s="20">
        <f>Q346/Q351</f>
        <v>0.20550992258497605</v>
      </c>
      <c r="R357" s="20">
        <f t="shared" si="20"/>
        <v>0</v>
      </c>
      <c r="S357" s="20">
        <f t="shared" si="20"/>
        <v>7.4860270487739659E-3</v>
      </c>
      <c r="T357" s="20">
        <f t="shared" si="20"/>
        <v>0.3489074774549053</v>
      </c>
      <c r="U357" s="20">
        <f t="shared" si="20"/>
        <v>0.66455230927578701</v>
      </c>
      <c r="V357" s="20">
        <f t="shared" si="20"/>
        <v>0.36110838838497661</v>
      </c>
      <c r="W357" s="20">
        <f t="shared" si="20"/>
        <v>0</v>
      </c>
      <c r="X357" s="20">
        <f t="shared" si="20"/>
        <v>0.24181026008189954</v>
      </c>
      <c r="Y357" s="20">
        <f t="shared" si="20"/>
        <v>0.19080557813946836</v>
      </c>
      <c r="Z357" s="20">
        <f t="shared" si="20"/>
        <v>0.4987927508971306</v>
      </c>
      <c r="AA357" s="20">
        <f t="shared" si="20"/>
        <v>0.45947879032871974</v>
      </c>
      <c r="AB357" s="20">
        <f t="shared" si="20"/>
        <v>0</v>
      </c>
      <c r="AC357" s="20">
        <f t="shared" si="20"/>
        <v>0.15498304323167528</v>
      </c>
      <c r="AD357" s="20">
        <f t="shared" si="20"/>
        <v>0.18943447817202561</v>
      </c>
      <c r="AE357" s="20">
        <f t="shared" si="20"/>
        <v>0.47466465505845618</v>
      </c>
      <c r="AF357" s="20">
        <f t="shared" si="20"/>
        <v>0</v>
      </c>
      <c r="AG357" s="20">
        <f t="shared" si="20"/>
        <v>0.28496847562209404</v>
      </c>
      <c r="AH357" s="20">
        <f t="shared" si="20"/>
        <v>0.27199854795891848</v>
      </c>
      <c r="AI357" s="20">
        <f t="shared" si="20"/>
        <v>9.8763952404210154E-2</v>
      </c>
      <c r="AJ357" s="20">
        <f t="shared" si="20"/>
        <v>1.4983012259285522E-2</v>
      </c>
      <c r="AK357" s="20">
        <f t="shared" si="20"/>
        <v>0.25560646969689493</v>
      </c>
      <c r="AL357" s="20">
        <f t="shared" si="20"/>
        <v>0.16307317028009019</v>
      </c>
      <c r="AM357" s="20">
        <f t="shared" si="20"/>
        <v>1.4557364018020259E-2</v>
      </c>
      <c r="AN357" s="20">
        <f t="shared" si="20"/>
        <v>0.16974492727218621</v>
      </c>
      <c r="AO357" s="20">
        <f t="shared" si="20"/>
        <v>0</v>
      </c>
      <c r="AP357" s="20">
        <f t="shared" si="20"/>
        <v>0.29039715318532622</v>
      </c>
      <c r="AQ357" s="20">
        <f t="shared" si="20"/>
        <v>0.39391720972335992</v>
      </c>
      <c r="AR357" s="20">
        <f t="shared" si="20"/>
        <v>0</v>
      </c>
      <c r="AS357" s="20">
        <f>AS346/AS351</f>
        <v>0.19534165546323276</v>
      </c>
      <c r="AT357" s="20">
        <f>AT346/AT351</f>
        <v>0</v>
      </c>
      <c r="AU357" s="20">
        <f>AU346/AU351</f>
        <v>0.30176945034189268</v>
      </c>
      <c r="AV357" s="20">
        <f>AV346/AV351</f>
        <v>0.27177935726587193</v>
      </c>
      <c r="AW357" s="20">
        <f>AW346/AW351</f>
        <v>0</v>
      </c>
      <c r="AX357" s="20">
        <f t="shared" ref="AX357:BF357" si="21">AX346/AX351</f>
        <v>1.4714398050051394E-2</v>
      </c>
      <c r="AY357" s="20">
        <f t="shared" si="21"/>
        <v>0</v>
      </c>
      <c r="AZ357" s="20">
        <f t="shared" si="21"/>
        <v>0.236183001780608</v>
      </c>
      <c r="BA357" s="20" t="e">
        <f t="shared" si="21"/>
        <v>#DIV/0!</v>
      </c>
      <c r="BB357" s="20">
        <f t="shared" si="21"/>
        <v>0.32878260310355989</v>
      </c>
      <c r="BC357" s="20">
        <f t="shared" si="21"/>
        <v>0</v>
      </c>
      <c r="BD357" s="20">
        <f t="shared" si="21"/>
        <v>0</v>
      </c>
      <c r="BE357" s="20">
        <f t="shared" si="21"/>
        <v>0.39690222798537927</v>
      </c>
      <c r="BF357" s="20">
        <f t="shared" si="21"/>
        <v>0</v>
      </c>
      <c r="BG357" s="21"/>
    </row>
    <row r="358" spans="1:59" x14ac:dyDescent="0.25">
      <c r="A358" t="s">
        <v>611</v>
      </c>
      <c r="E358" s="20">
        <f t="shared" ref="E358:AR358" si="22">E347/E351</f>
        <v>0.14541077925203061</v>
      </c>
      <c r="F358" s="20">
        <f t="shared" si="22"/>
        <v>0.27762264934633107</v>
      </c>
      <c r="G358" s="20">
        <f t="shared" si="22"/>
        <v>3.6334702182814333E-4</v>
      </c>
      <c r="H358" s="20">
        <f t="shared" si="22"/>
        <v>1.280953219464363E-2</v>
      </c>
      <c r="I358" s="20">
        <f t="shared" si="22"/>
        <v>8.3726300970945786E-2</v>
      </c>
      <c r="J358" s="20">
        <f t="shared" si="22"/>
        <v>2.2710121220763085E-3</v>
      </c>
      <c r="K358" s="20">
        <f t="shared" si="22"/>
        <v>0.2608000992449121</v>
      </c>
      <c r="L358" s="20">
        <f t="shared" si="22"/>
        <v>9.6201459676041656E-2</v>
      </c>
      <c r="M358" s="20">
        <f t="shared" si="22"/>
        <v>0</v>
      </c>
      <c r="N358" s="20">
        <f t="shared" si="22"/>
        <v>5.4646038518794522E-2</v>
      </c>
      <c r="O358" s="20">
        <f t="shared" si="22"/>
        <v>0.3368412353123994</v>
      </c>
      <c r="P358" s="20">
        <f t="shared" si="22"/>
        <v>6.4836830981008189E-2</v>
      </c>
      <c r="Q358" s="20">
        <f>Q347/Q351</f>
        <v>0</v>
      </c>
      <c r="R358" s="20">
        <f t="shared" si="22"/>
        <v>0.24383088308206252</v>
      </c>
      <c r="S358" s="20">
        <f t="shared" si="22"/>
        <v>2.9734855998043261E-3</v>
      </c>
      <c r="T358" s="20">
        <f t="shared" si="22"/>
        <v>9.7890441794857952E-2</v>
      </c>
      <c r="U358" s="20">
        <f t="shared" si="22"/>
        <v>4.3919710543741464E-3</v>
      </c>
      <c r="V358" s="20">
        <f t="shared" si="22"/>
        <v>0.27482546945465347</v>
      </c>
      <c r="W358" s="20">
        <f t="shared" si="22"/>
        <v>0</v>
      </c>
      <c r="X358" s="20">
        <f t="shared" si="22"/>
        <v>0.14356003505801374</v>
      </c>
      <c r="Y358" s="20">
        <f t="shared" si="22"/>
        <v>0</v>
      </c>
      <c r="Z358" s="20">
        <f t="shared" si="22"/>
        <v>1.9785953697916111E-3</v>
      </c>
      <c r="AA358" s="20">
        <f t="shared" si="22"/>
        <v>7.7969895540594164E-2</v>
      </c>
      <c r="AB358" s="20">
        <f t="shared" si="22"/>
        <v>0.14133963356354379</v>
      </c>
      <c r="AC358" s="20">
        <f t="shared" si="22"/>
        <v>0.27379301888028218</v>
      </c>
      <c r="AD358" s="20">
        <f t="shared" si="22"/>
        <v>0.23016904662630383</v>
      </c>
      <c r="AE358" s="20">
        <f t="shared" si="22"/>
        <v>4.0922392072957363E-3</v>
      </c>
      <c r="AF358" s="20">
        <f t="shared" si="22"/>
        <v>0.22645696360362741</v>
      </c>
      <c r="AG358" s="20">
        <f t="shared" si="22"/>
        <v>0.28381692809836534</v>
      </c>
      <c r="AH358" s="20">
        <f t="shared" si="22"/>
        <v>0.31822803146616008</v>
      </c>
      <c r="AI358" s="20">
        <f t="shared" si="22"/>
        <v>0.26194336837375393</v>
      </c>
      <c r="AJ358" s="20">
        <f t="shared" si="22"/>
        <v>0.62213513033480616</v>
      </c>
      <c r="AK358" s="20">
        <f t="shared" si="22"/>
        <v>0.35134086811587179</v>
      </c>
      <c r="AL358" s="20">
        <f t="shared" si="22"/>
        <v>0.27642854284912338</v>
      </c>
      <c r="AM358" s="20">
        <f t="shared" si="22"/>
        <v>0.60482863607267479</v>
      </c>
      <c r="AN358" s="20">
        <f t="shared" si="22"/>
        <v>0.26384834945938351</v>
      </c>
      <c r="AO358" s="20">
        <f t="shared" si="22"/>
        <v>0.25920084708026325</v>
      </c>
      <c r="AP358" s="20">
        <f t="shared" si="22"/>
        <v>0.11942513595241352</v>
      </c>
      <c r="AQ358" s="20">
        <f t="shared" si="22"/>
        <v>7.1227479466818178E-2</v>
      </c>
      <c r="AR358" s="20">
        <f t="shared" si="22"/>
        <v>0.26019493123978754</v>
      </c>
      <c r="AS358" s="20">
        <f>AS347/AS351</f>
        <v>0</v>
      </c>
      <c r="AT358" s="20">
        <f>AT347/AT351</f>
        <v>0.25927926123403927</v>
      </c>
      <c r="AU358" s="20">
        <f>AU347/AU351</f>
        <v>0.26603315004534583</v>
      </c>
      <c r="AV358" s="20">
        <f>AV347/AV351</f>
        <v>9.7209586003106502E-2</v>
      </c>
      <c r="AW358" s="20">
        <f>AW347/AW351</f>
        <v>0.89301111295380098</v>
      </c>
      <c r="AX358" s="20">
        <f t="shared" ref="AX358:BF358" si="23">AX347/AX351</f>
        <v>0.6217034021205089</v>
      </c>
      <c r="AY358" s="20">
        <f t="shared" si="23"/>
        <v>0.88639152146231448</v>
      </c>
      <c r="AZ358" s="20">
        <f t="shared" si="23"/>
        <v>0.21138343308828822</v>
      </c>
      <c r="BA358" s="20" t="e">
        <f t="shared" si="23"/>
        <v>#DIV/0!</v>
      </c>
      <c r="BB358" s="20">
        <f t="shared" si="23"/>
        <v>0.11855310381080797</v>
      </c>
      <c r="BC358" s="20">
        <f t="shared" si="23"/>
        <v>0.90099178699481275</v>
      </c>
      <c r="BD358" s="20">
        <f t="shared" si="23"/>
        <v>0.88730960440025386</v>
      </c>
      <c r="BE358" s="20">
        <f t="shared" si="23"/>
        <v>0.22969689567948803</v>
      </c>
      <c r="BF358" s="20">
        <f t="shared" si="23"/>
        <v>0.12683009620912891</v>
      </c>
      <c r="BG358" s="21"/>
    </row>
    <row r="359" spans="1:59" x14ac:dyDescent="0.25">
      <c r="A359" t="s">
        <v>612</v>
      </c>
      <c r="E359" s="20">
        <f t="shared" ref="E359:AR359" si="24">E348/E351</f>
        <v>8.1232717403387861E-2</v>
      </c>
      <c r="F359" s="20">
        <f t="shared" si="24"/>
        <v>5.1589156900729877E-2</v>
      </c>
      <c r="G359" s="20">
        <f t="shared" si="24"/>
        <v>8.6587152114717028E-2</v>
      </c>
      <c r="H359" s="20">
        <f t="shared" si="24"/>
        <v>0.8891992907465095</v>
      </c>
      <c r="I359" s="20">
        <f t="shared" si="24"/>
        <v>8.2916552590606818E-2</v>
      </c>
      <c r="J359" s="20">
        <f t="shared" si="24"/>
        <v>9.2694048750627825E-2</v>
      </c>
      <c r="K359" s="20">
        <f t="shared" si="24"/>
        <v>0.11373052415031359</v>
      </c>
      <c r="L359" s="20">
        <f t="shared" si="24"/>
        <v>7.4796223814299539E-2</v>
      </c>
      <c r="M359" s="20">
        <f t="shared" si="24"/>
        <v>2.2111513760018471E-2</v>
      </c>
      <c r="N359" s="20">
        <f t="shared" si="24"/>
        <v>8.560276052379083E-2</v>
      </c>
      <c r="O359" s="20">
        <f t="shared" si="24"/>
        <v>7.2474598189091313E-2</v>
      </c>
      <c r="P359" s="20">
        <f t="shared" si="24"/>
        <v>0.10296301223234616</v>
      </c>
      <c r="Q359" s="20">
        <f>Q348/Q351</f>
        <v>0</v>
      </c>
      <c r="R359" s="20">
        <f t="shared" si="24"/>
        <v>0</v>
      </c>
      <c r="S359" s="20">
        <f t="shared" si="24"/>
        <v>0.1047810860112658</v>
      </c>
      <c r="T359" s="20">
        <f t="shared" si="24"/>
        <v>0</v>
      </c>
      <c r="U359" s="20">
        <f t="shared" si="24"/>
        <v>8.3521921290617609E-3</v>
      </c>
      <c r="V359" s="20">
        <f t="shared" si="24"/>
        <v>-4.7169388682052745E-3</v>
      </c>
      <c r="W359" s="20">
        <f t="shared" si="24"/>
        <v>0</v>
      </c>
      <c r="X359" s="20">
        <f t="shared" si="24"/>
        <v>9.4270105207317891E-5</v>
      </c>
      <c r="Y359" s="20">
        <f t="shared" si="24"/>
        <v>1.1320550692565871E-2</v>
      </c>
      <c r="Z359" s="20">
        <f t="shared" si="24"/>
        <v>7.1945599405729393E-2</v>
      </c>
      <c r="AA359" s="20">
        <f t="shared" si="24"/>
        <v>8.5953211003637592E-2</v>
      </c>
      <c r="AB359" s="20">
        <f t="shared" si="24"/>
        <v>0</v>
      </c>
      <c r="AC359" s="20">
        <f t="shared" si="24"/>
        <v>0.11647076954255767</v>
      </c>
      <c r="AD359" s="20">
        <f t="shared" si="24"/>
        <v>0</v>
      </c>
      <c r="AE359" s="20">
        <f t="shared" si="24"/>
        <v>6.3736585611913213E-2</v>
      </c>
      <c r="AF359" s="20">
        <f t="shared" si="24"/>
        <v>-1.5244154119602983E-5</v>
      </c>
      <c r="AG359" s="20">
        <f t="shared" si="24"/>
        <v>5.8204631443386556E-2</v>
      </c>
      <c r="AH359" s="20">
        <f t="shared" si="24"/>
        <v>0</v>
      </c>
      <c r="AI359" s="20">
        <f t="shared" si="24"/>
        <v>0.13256977599116504</v>
      </c>
      <c r="AJ359" s="20">
        <f t="shared" si="24"/>
        <v>3.1930059656238179E-3</v>
      </c>
      <c r="AK359" s="20">
        <f t="shared" si="24"/>
        <v>7.7457225466228841E-3</v>
      </c>
      <c r="AL359" s="20">
        <f t="shared" si="24"/>
        <v>9.7640347604760924E-2</v>
      </c>
      <c r="AM359" s="20">
        <f t="shared" si="24"/>
        <v>3.1045581404662563E-2</v>
      </c>
      <c r="AN359" s="20">
        <f t="shared" si="24"/>
        <v>2.5630769806736406E-4</v>
      </c>
      <c r="AO359" s="20">
        <f t="shared" si="24"/>
        <v>1.2602545411395161E-5</v>
      </c>
      <c r="AP359" s="20">
        <f t="shared" si="24"/>
        <v>1.1686394661131151E-3</v>
      </c>
      <c r="AQ359" s="20">
        <f t="shared" si="24"/>
        <v>0</v>
      </c>
      <c r="AR359" s="20">
        <f t="shared" si="24"/>
        <v>2.8000081793048584E-5</v>
      </c>
      <c r="AS359" s="20">
        <f>AS348/AS351</f>
        <v>1.267710220718239E-2</v>
      </c>
      <c r="AT359" s="20">
        <f>AT348/AT351</f>
        <v>2.8750832198682974E-4</v>
      </c>
      <c r="AU359" s="20">
        <f>AU348/AU351</f>
        <v>-6.6206646431204077E-3</v>
      </c>
      <c r="AV359" s="20">
        <f>AV348/AV351</f>
        <v>0</v>
      </c>
      <c r="AW359" s="20">
        <f>AW348/AW351</f>
        <v>0</v>
      </c>
      <c r="AX359" s="20">
        <f t="shared" ref="AX359:BF359" si="25">AX348/AX351</f>
        <v>-4.4183697334330705E-3</v>
      </c>
      <c r="AY359" s="20">
        <f t="shared" si="25"/>
        <v>0</v>
      </c>
      <c r="AZ359" s="20">
        <f t="shared" si="25"/>
        <v>-3.9387037285627032E-3</v>
      </c>
      <c r="BA359" s="20" t="e">
        <f t="shared" si="25"/>
        <v>#DIV/0!</v>
      </c>
      <c r="BB359" s="20">
        <f t="shared" si="25"/>
        <v>-2.8458835105306445E-4</v>
      </c>
      <c r="BC359" s="20">
        <f t="shared" si="25"/>
        <v>0</v>
      </c>
      <c r="BD359" s="20">
        <f t="shared" si="25"/>
        <v>0</v>
      </c>
      <c r="BE359" s="20">
        <f t="shared" si="25"/>
        <v>-7.6230441656732432E-3</v>
      </c>
      <c r="BF359" s="20">
        <f t="shared" si="25"/>
        <v>0</v>
      </c>
      <c r="BG359" s="21"/>
    </row>
    <row r="360" spans="1:59" x14ac:dyDescent="0.25">
      <c r="A360" t="s">
        <v>613</v>
      </c>
      <c r="E360" s="20">
        <f t="shared" ref="E360:P360" si="26">E349/E351</f>
        <v>0.1848669418713455</v>
      </c>
      <c r="F360" s="20">
        <f t="shared" si="26"/>
        <v>6.6359578698186067E-2</v>
      </c>
      <c r="G360" s="20">
        <f t="shared" si="26"/>
        <v>5.9174122120112319E-2</v>
      </c>
      <c r="H360" s="20">
        <f t="shared" si="26"/>
        <v>8.6133644552323693E-3</v>
      </c>
      <c r="I360" s="20">
        <f t="shared" si="26"/>
        <v>6.4835097610644266E-2</v>
      </c>
      <c r="J360" s="20">
        <f t="shared" si="26"/>
        <v>5.6744204609147982E-2</v>
      </c>
      <c r="K360" s="20">
        <f t="shared" si="26"/>
        <v>0.22194326494639235</v>
      </c>
      <c r="L360" s="20">
        <f t="shared" si="26"/>
        <v>9.4570997903099155E-2</v>
      </c>
      <c r="M360" s="20">
        <f t="shared" si="26"/>
        <v>1.6249498926576629E-2</v>
      </c>
      <c r="N360" s="20">
        <f t="shared" si="26"/>
        <v>0.18797309271826235</v>
      </c>
      <c r="O360" s="20">
        <f t="shared" si="26"/>
        <v>0.21692957394805126</v>
      </c>
      <c r="P360" s="20">
        <f t="shared" si="26"/>
        <v>0.18120702991334961</v>
      </c>
      <c r="Q360" s="20">
        <f>Q349/Q351</f>
        <v>-3.5428205052494828E-3</v>
      </c>
      <c r="R360" s="20">
        <f t="shared" ref="R360:AR360" si="27">R349/R351</f>
        <v>3.0581066636933902E-2</v>
      </c>
      <c r="S360" s="20">
        <f t="shared" si="27"/>
        <v>6.0024747933199694E-2</v>
      </c>
      <c r="T360" s="20">
        <f t="shared" si="27"/>
        <v>1.6523121254025899E-2</v>
      </c>
      <c r="U360" s="20">
        <f t="shared" si="27"/>
        <v>3.765124711400962E-2</v>
      </c>
      <c r="V360" s="20">
        <f t="shared" si="27"/>
        <v>2.8884029340557841E-2</v>
      </c>
      <c r="W360" s="20">
        <f t="shared" si="27"/>
        <v>-5.3578579423111782E-4</v>
      </c>
      <c r="X360" s="20">
        <f t="shared" si="27"/>
        <v>2.2476306909679021E-2</v>
      </c>
      <c r="Y360" s="20">
        <f t="shared" si="27"/>
        <v>1.6063327662868884E-2</v>
      </c>
      <c r="Z360" s="20">
        <f t="shared" si="27"/>
        <v>4.9911665048890441E-2</v>
      </c>
      <c r="AA360" s="20">
        <f t="shared" si="27"/>
        <v>5.7252601479759496E-2</v>
      </c>
      <c r="AB360" s="20">
        <f t="shared" si="27"/>
        <v>4.1527819020859516E-2</v>
      </c>
      <c r="AC360" s="20">
        <f t="shared" si="27"/>
        <v>0.12385472188144188</v>
      </c>
      <c r="AD360" s="20">
        <f t="shared" si="27"/>
        <v>1.789535528823127E-2</v>
      </c>
      <c r="AE360" s="20">
        <f t="shared" si="27"/>
        <v>5.7240883548622515E-2</v>
      </c>
      <c r="AF360" s="20">
        <f t="shared" si="27"/>
        <v>3.177982912109853E-2</v>
      </c>
      <c r="AG360" s="20">
        <f t="shared" si="27"/>
        <v>4.7407901536510366E-2</v>
      </c>
      <c r="AH360" s="20">
        <f t="shared" si="27"/>
        <v>7.6954718905012471E-3</v>
      </c>
      <c r="AI360" s="20">
        <f t="shared" si="27"/>
        <v>0.18928225732700055</v>
      </c>
      <c r="AJ360" s="20">
        <f t="shared" si="27"/>
        <v>1.7407001312567977E-2</v>
      </c>
      <c r="AK360" s="20">
        <f t="shared" si="27"/>
        <v>7.5553265590122777E-3</v>
      </c>
      <c r="AL360" s="20">
        <f t="shared" si="27"/>
        <v>0.17899249624736421</v>
      </c>
      <c r="AM360" s="20">
        <f t="shared" si="27"/>
        <v>1.6395340350061759E-2</v>
      </c>
      <c r="AN360" s="20">
        <f t="shared" si="27"/>
        <v>1.718846395038507E-2</v>
      </c>
      <c r="AO360" s="20">
        <f t="shared" si="27"/>
        <v>1.6203413180051852E-2</v>
      </c>
      <c r="AP360" s="20">
        <f t="shared" si="27"/>
        <v>1.8451209319716E-2</v>
      </c>
      <c r="AQ360" s="20">
        <f t="shared" si="27"/>
        <v>1.3051886166594105E-2</v>
      </c>
      <c r="AR360" s="20">
        <f t="shared" si="27"/>
        <v>1.6287040571549536E-2</v>
      </c>
      <c r="AS360" s="20">
        <f>AS349/AS351</f>
        <v>1.6448188193376519E-2</v>
      </c>
      <c r="AT360" s="20">
        <f>AT349/AT351</f>
        <v>1.5969000125385335E-2</v>
      </c>
      <c r="AU360" s="20">
        <f>AU349/AU351</f>
        <v>1.9273456995864156E-2</v>
      </c>
      <c r="AV360" s="20">
        <f>AV349/AV351</f>
        <v>1.6722315430477301E-2</v>
      </c>
      <c r="AW360" s="20">
        <f>AW349/AW351</f>
        <v>-2.4703816434718309E-4</v>
      </c>
      <c r="AX360" s="20">
        <f t="shared" ref="AX360:BF360" si="28">AX349/AX351</f>
        <v>1.1690465546013835E-2</v>
      </c>
      <c r="AY360" s="20">
        <f t="shared" si="28"/>
        <v>9.246557450408393E-5</v>
      </c>
      <c r="AZ360" s="20">
        <f t="shared" si="28"/>
        <v>5.0640343027893289E-2</v>
      </c>
      <c r="BA360" s="20" t="e">
        <f t="shared" si="28"/>
        <v>#DIV/0!</v>
      </c>
      <c r="BB360" s="20">
        <f t="shared" si="28"/>
        <v>-3.0834041104123223E-2</v>
      </c>
      <c r="BC360" s="20">
        <f t="shared" si="28"/>
        <v>7.534173507204396E-4</v>
      </c>
      <c r="BD360" s="20">
        <f t="shared" si="28"/>
        <v>1.6375137484357674E-4</v>
      </c>
      <c r="BE360" s="20">
        <f t="shared" si="28"/>
        <v>1.7763708459382636E-2</v>
      </c>
      <c r="BF360" s="20">
        <f t="shared" si="28"/>
        <v>3.7555498736531343E-2</v>
      </c>
      <c r="BG360" s="21"/>
    </row>
    <row r="361" spans="1:59" x14ac:dyDescent="0.25">
      <c r="A361" s="21" t="s">
        <v>708</v>
      </c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</row>
  </sheetData>
  <mergeCells count="3">
    <mergeCell ref="A2:BG2"/>
    <mergeCell ref="BG3:BG361"/>
    <mergeCell ref="A361:BF361"/>
  </mergeCells>
  <conditionalFormatting sqref="A18:A34">
    <cfRule type="cellIs" dxfId="3" priority="8" stopIfTrue="1" operator="lessThan">
      <formula>0</formula>
    </cfRule>
  </conditionalFormatting>
  <conditionalFormatting sqref="B24:B34">
    <cfRule type="cellIs" dxfId="2" priority="17" stopIfTrue="1" operator="lessThan">
      <formula>0</formula>
    </cfRule>
  </conditionalFormatting>
  <conditionalFormatting sqref="C17:D25">
    <cfRule type="cellIs" dxfId="1" priority="9" stopIfTrue="1" operator="lessThan">
      <formula>0</formula>
    </cfRule>
  </conditionalFormatting>
  <conditionalFormatting sqref="E16:BF24">
    <cfRule type="cellIs" dxfId="0" priority="1" stopIfTrue="1" operator="lessThan">
      <formula>0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1</Category>
    <Kupa_kml xmlns="e7c93c0b-31f4-4d6d-a404-57fd37393f5c">
      <Value>12</Value>
      <Value>1</Value>
      <Value>2</Value>
      <Value>3</Value>
      <Value>4</Value>
      <Value>5</Value>
      <Value>6</Value>
      <Value>7</Value>
      <Value>8</Value>
      <Value>9</Value>
      <Value>10</Value>
      <Value>11</Value>
    </Kupa_kml>
    <kupa_ktp xmlns="e7c93c0b-31f4-4d6d-a404-57fd37393f5c">
      <Value>17</Value>
      <Value>14</Value>
      <Value>15</Value>
      <Value>16</Value>
      <Value>6</Value>
      <Value>1</Value>
      <Value>2</Value>
      <Value>3</Value>
      <Value>4</Value>
      <Value>8</Value>
      <Value>9</Value>
      <Value>5</Value>
      <Value>10</Value>
      <Value>11</Value>
      <Value>12</Value>
      <Value>13</Value>
    </kupa_ktp>
    <Kupa_Hishtalmut xmlns="e7c93c0b-31f4-4d6d-a404-57fd37393f5c">
      <Value>6</Value>
      <Value>7</Value>
      <Value>13</Value>
      <Value>14</Value>
      <Value>9</Value>
      <Value>1</Value>
      <Value>2</Value>
      <Value>3</Value>
      <Value>11</Value>
      <Value>12</Value>
      <Value>4</Value>
      <Value>5</Value>
    </Kupa_Hishtalmut>
    <kupa_tagmulim xmlns="e7c93c0b-31f4-4d6d-a404-57fd37393f5c"/>
    <Kupa_hly xmlns="e7c93c0b-31f4-4d6d-a404-57fd37393f5c">
      <Value>1</Value>
      <Value>2</Value>
      <Value>3</Value>
      <Value>4</Value>
      <Value>5</Value>
    </Kupa_hly>
    <Kupa_kgl xmlns="e7c93c0b-31f4-4d6d-a404-57fd37393f5c">
      <Value>8</Value>
      <Value>9</Value>
      <Value>1</Value>
      <Value>2</Value>
      <Value>3</Value>
      <Value>4</Value>
      <Value>5</Value>
      <Value>6</Value>
      <Value>7</Value>
    </Kupa_kgl>
  </documentManagement>
</p:properties>
</file>

<file path=customXml/itemProps1.xml><?xml version="1.0" encoding="utf-8"?>
<ds:datastoreItem xmlns:ds="http://schemas.openxmlformats.org/officeDocument/2006/customXml" ds:itemID="{95696FA2-EABD-4109-A849-2B6864AAEA02}"/>
</file>

<file path=customXml/itemProps2.xml><?xml version="1.0" encoding="utf-8"?>
<ds:datastoreItem xmlns:ds="http://schemas.openxmlformats.org/officeDocument/2006/customXml" ds:itemID="{C728D48A-ABEC-42CB-9CD1-3F449A7D347B}"/>
</file>

<file path=customXml/itemProps3.xml><?xml version="1.0" encoding="utf-8"?>
<ds:datastoreItem xmlns:ds="http://schemas.openxmlformats.org/officeDocument/2006/customXml" ds:itemID="{6DB58DB7-A57B-44EE-BCEB-8C9B916439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UMTB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דוח חודשי 2/2024</dc:title>
  <dc:creator>פרידמן אמיר</dc:creator>
  <cp:lastModifiedBy>Tami Berman</cp:lastModifiedBy>
  <dcterms:created xsi:type="dcterms:W3CDTF">2024-03-18T14:43:05Z</dcterms:created>
  <dcterms:modified xsi:type="dcterms:W3CDTF">2024-03-24T09:29:02Z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