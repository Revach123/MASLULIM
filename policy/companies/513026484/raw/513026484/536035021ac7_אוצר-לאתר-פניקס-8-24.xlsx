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Users\usf25330\Downloads\"/>
    </mc:Choice>
  </mc:AlternateContent>
  <xr:revisionPtr revIDLastSave="0" documentId="8_{96859D0F-8BD9-4CD4-B11F-4565E985CDCE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355" i="1" l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O352" i="1" l="1"/>
  <c r="O354" i="1" s="1"/>
  <c r="AE352" i="1"/>
  <c r="AE354" i="1" s="1"/>
  <c r="BG352" i="1"/>
  <c r="BG354" i="1" s="1"/>
  <c r="G352" i="1"/>
  <c r="G354" i="1" s="1"/>
  <c r="S352" i="1"/>
  <c r="S354" i="1" s="1"/>
  <c r="AI352" i="1"/>
  <c r="AI354" i="1" s="1"/>
  <c r="AQ352" i="1"/>
  <c r="AQ354" i="1" s="1"/>
  <c r="AA352" i="1"/>
  <c r="AA354" i="1" s="1"/>
  <c r="AU352" i="1"/>
  <c r="AU354" i="1" s="1"/>
  <c r="K352" i="1"/>
  <c r="K354" i="1" s="1"/>
  <c r="W352" i="1"/>
  <c r="W354" i="1" s="1"/>
  <c r="AM352" i="1"/>
  <c r="AM354" i="1" s="1"/>
  <c r="AY352" i="1"/>
  <c r="AY354" i="1" s="1"/>
  <c r="H352" i="1"/>
  <c r="H354" i="1" s="1"/>
  <c r="L352" i="1"/>
  <c r="L354" i="1" s="1"/>
  <c r="P352" i="1"/>
  <c r="P354" i="1" s="1"/>
  <c r="T352" i="1"/>
  <c r="T354" i="1" s="1"/>
  <c r="X352" i="1"/>
  <c r="X354" i="1" s="1"/>
  <c r="AB352" i="1"/>
  <c r="AB354" i="1" s="1"/>
  <c r="AF352" i="1"/>
  <c r="AF354" i="1" s="1"/>
  <c r="AJ352" i="1"/>
  <c r="AJ354" i="1" s="1"/>
  <c r="AN352" i="1"/>
  <c r="AN354" i="1" s="1"/>
  <c r="AR352" i="1"/>
  <c r="AR354" i="1" s="1"/>
  <c r="AV352" i="1"/>
  <c r="AV354" i="1" s="1"/>
  <c r="AZ352" i="1"/>
  <c r="AZ354" i="1" s="1"/>
  <c r="BD352" i="1"/>
  <c r="BD354" i="1" s="1"/>
  <c r="BK352" i="1"/>
  <c r="BK354" i="1" s="1"/>
  <c r="BO352" i="1"/>
  <c r="BO354" i="1" s="1"/>
  <c r="E352" i="1"/>
  <c r="E354" i="1" s="1"/>
  <c r="I352" i="1"/>
  <c r="I354" i="1" s="1"/>
  <c r="M352" i="1"/>
  <c r="M354" i="1" s="1"/>
  <c r="Q352" i="1"/>
  <c r="Q354" i="1" s="1"/>
  <c r="U352" i="1"/>
  <c r="U354" i="1" s="1"/>
  <c r="Y352" i="1"/>
  <c r="Y354" i="1" s="1"/>
  <c r="AC352" i="1"/>
  <c r="AC354" i="1" s="1"/>
  <c r="AG352" i="1"/>
  <c r="AG354" i="1" s="1"/>
  <c r="AK352" i="1"/>
  <c r="AK354" i="1" s="1"/>
  <c r="AO352" i="1"/>
  <c r="AO354" i="1" s="1"/>
  <c r="AS352" i="1"/>
  <c r="AS354" i="1" s="1"/>
  <c r="AW352" i="1"/>
  <c r="AW354" i="1" s="1"/>
  <c r="BA352" i="1"/>
  <c r="BA354" i="1" s="1"/>
  <c r="BE352" i="1"/>
  <c r="BE354" i="1" s="1"/>
  <c r="BH352" i="1"/>
  <c r="BH354" i="1" s="1"/>
  <c r="BL352" i="1"/>
  <c r="BL354" i="1" s="1"/>
  <c r="BP352" i="1"/>
  <c r="BP354" i="1" s="1"/>
  <c r="BC352" i="1"/>
  <c r="BC354" i="1" s="1"/>
  <c r="BN352" i="1"/>
  <c r="BN354" i="1" s="1"/>
  <c r="F352" i="1"/>
  <c r="F354" i="1" s="1"/>
  <c r="J352" i="1"/>
  <c r="J354" i="1" s="1"/>
  <c r="N352" i="1"/>
  <c r="N354" i="1" s="1"/>
  <c r="R352" i="1"/>
  <c r="R354" i="1" s="1"/>
  <c r="V352" i="1"/>
  <c r="V354" i="1" s="1"/>
  <c r="Z352" i="1"/>
  <c r="Z354" i="1" s="1"/>
  <c r="AD352" i="1"/>
  <c r="AD354" i="1" s="1"/>
  <c r="AH352" i="1"/>
  <c r="AH354" i="1" s="1"/>
  <c r="AL352" i="1"/>
  <c r="AL354" i="1" s="1"/>
  <c r="AP352" i="1"/>
  <c r="AP354" i="1" s="1"/>
  <c r="AT352" i="1"/>
  <c r="AT354" i="1" s="1"/>
  <c r="AX352" i="1"/>
  <c r="AX354" i="1" s="1"/>
  <c r="BB352" i="1"/>
  <c r="BB358" i="1" s="1"/>
  <c r="BF352" i="1"/>
  <c r="BF354" i="1" s="1"/>
  <c r="BI352" i="1"/>
  <c r="BI354" i="1" s="1"/>
  <c r="BM352" i="1"/>
  <c r="BM354" i="1" s="1"/>
  <c r="BJ352" i="1"/>
  <c r="BJ354" i="1" s="1"/>
  <c r="BA361" i="1"/>
  <c r="AW360" i="1" l="1"/>
  <c r="AJ360" i="1"/>
  <c r="AS360" i="1"/>
  <c r="S361" i="1"/>
  <c r="BO359" i="1"/>
  <c r="AI361" i="1"/>
  <c r="M357" i="1"/>
  <c r="AU361" i="1"/>
  <c r="AS361" i="1"/>
  <c r="AU359" i="1"/>
  <c r="AI357" i="1"/>
  <c r="AN361" i="1"/>
  <c r="AJ361" i="1"/>
  <c r="AF359" i="1"/>
  <c r="U361" i="1"/>
  <c r="M361" i="1"/>
  <c r="M360" i="1"/>
  <c r="AZ361" i="1"/>
  <c r="O359" i="1"/>
  <c r="O361" i="1"/>
  <c r="AF358" i="1"/>
  <c r="AU360" i="1"/>
  <c r="AS357" i="1"/>
  <c r="BA360" i="1"/>
  <c r="O360" i="1"/>
  <c r="U357" i="1"/>
  <c r="O357" i="1"/>
  <c r="AT361" i="1"/>
  <c r="N361" i="1"/>
  <c r="N360" i="1"/>
  <c r="AY360" i="1"/>
  <c r="AY359" i="1"/>
  <c r="BI360" i="1"/>
  <c r="BG361" i="1"/>
  <c r="BO361" i="1"/>
  <c r="AM360" i="1"/>
  <c r="AF357" i="1"/>
  <c r="AZ359" i="1"/>
  <c r="E360" i="1"/>
  <c r="AK361" i="1"/>
  <c r="BP360" i="1"/>
  <c r="T358" i="1"/>
  <c r="AU358" i="1"/>
  <c r="AZ358" i="1"/>
  <c r="O358" i="1"/>
  <c r="BN359" i="1"/>
  <c r="X358" i="1"/>
  <c r="Q361" i="1"/>
  <c r="BD359" i="1"/>
  <c r="K360" i="1"/>
  <c r="Z361" i="1"/>
  <c r="AM357" i="1"/>
  <c r="AF361" i="1"/>
  <c r="AM361" i="1"/>
  <c r="J361" i="1"/>
  <c r="AM359" i="1"/>
  <c r="AM358" i="1"/>
  <c r="BF360" i="1"/>
  <c r="BH360" i="1"/>
  <c r="AO358" i="1"/>
  <c r="BO358" i="1"/>
  <c r="AZ357" i="1"/>
  <c r="BD361" i="1"/>
  <c r="K361" i="1"/>
  <c r="AR358" i="1"/>
  <c r="S360" i="1"/>
  <c r="AC360" i="1"/>
  <c r="AV357" i="1"/>
  <c r="BH361" i="1"/>
  <c r="BM360" i="1"/>
  <c r="P361" i="1"/>
  <c r="AY361" i="1"/>
  <c r="AP361" i="1"/>
  <c r="AC358" i="1"/>
  <c r="S359" i="1"/>
  <c r="P358" i="1"/>
  <c r="U360" i="1"/>
  <c r="AN357" i="1"/>
  <c r="BL361" i="1"/>
  <c r="AG361" i="1"/>
  <c r="U358" i="1"/>
  <c r="BH357" i="1"/>
  <c r="AV361" i="1"/>
  <c r="AV359" i="1"/>
  <c r="AC361" i="1"/>
  <c r="BL360" i="1"/>
  <c r="BN361" i="1"/>
  <c r="BI361" i="1"/>
  <c r="BC360" i="1"/>
  <c r="BM357" i="1"/>
  <c r="Z357" i="1"/>
  <c r="F361" i="1"/>
  <c r="BN360" i="1"/>
  <c r="BH356" i="1"/>
  <c r="AH360" i="1"/>
  <c r="P359" i="1"/>
  <c r="P357" i="1"/>
  <c r="H357" i="1"/>
  <c r="W358" i="1"/>
  <c r="AG360" i="1"/>
  <c r="AC356" i="1"/>
  <c r="BN356" i="1"/>
  <c r="J357" i="1"/>
  <c r="BA357" i="1"/>
  <c r="BO357" i="1"/>
  <c r="AC357" i="1"/>
  <c r="BO360" i="1"/>
  <c r="AR359" i="1"/>
  <c r="BP358" i="1"/>
  <c r="BD357" i="1"/>
  <c r="BA356" i="1"/>
  <c r="U356" i="1"/>
  <c r="AR360" i="1"/>
  <c r="AW361" i="1"/>
  <c r="E361" i="1"/>
  <c r="AT360" i="1"/>
  <c r="AQ361" i="1"/>
  <c r="AB359" i="1"/>
  <c r="AQ359" i="1"/>
  <c r="BG358" i="1"/>
  <c r="BP356" i="1"/>
  <c r="AK356" i="1"/>
  <c r="E356" i="1"/>
  <c r="AB360" i="1"/>
  <c r="BP361" i="1"/>
  <c r="AR361" i="1"/>
  <c r="AD361" i="1"/>
  <c r="BG359" i="1"/>
  <c r="BD358" i="1"/>
  <c r="AB358" i="1"/>
  <c r="BP357" i="1"/>
  <c r="AK357" i="1"/>
  <c r="E357" i="1"/>
  <c r="AK360" i="1"/>
  <c r="Q360" i="1"/>
  <c r="AR357" i="1"/>
  <c r="L357" i="1"/>
  <c r="AS356" i="1"/>
  <c r="M356" i="1"/>
  <c r="BG357" i="1"/>
  <c r="AZ356" i="1"/>
  <c r="Y358" i="1"/>
  <c r="Y359" i="1"/>
  <c r="L361" i="1"/>
  <c r="BC361" i="1"/>
  <c r="V361" i="1"/>
  <c r="AA360" i="1"/>
  <c r="BB357" i="1"/>
  <c r="V360" i="1"/>
  <c r="AJ358" i="1"/>
  <c r="BL357" i="1"/>
  <c r="AG357" i="1"/>
  <c r="F356" i="1"/>
  <c r="BE356" i="1"/>
  <c r="AO356" i="1"/>
  <c r="Y356" i="1"/>
  <c r="I356" i="1"/>
  <c r="AJ356" i="1"/>
  <c r="BE361" i="1"/>
  <c r="AO361" i="1"/>
  <c r="Y361" i="1"/>
  <c r="I361" i="1"/>
  <c r="X361" i="1"/>
  <c r="H361" i="1"/>
  <c r="BE360" i="1"/>
  <c r="BM361" i="1"/>
  <c r="AL361" i="1"/>
  <c r="BJ360" i="1"/>
  <c r="X359" i="1"/>
  <c r="AP357" i="1"/>
  <c r="AP360" i="1"/>
  <c r="BC359" i="1"/>
  <c r="K359" i="1"/>
  <c r="AO360" i="1"/>
  <c r="Y360" i="1"/>
  <c r="I360" i="1"/>
  <c r="AQ358" i="1"/>
  <c r="K358" i="1"/>
  <c r="T357" i="1"/>
  <c r="L360" i="1"/>
  <c r="AQ357" i="1"/>
  <c r="K357" i="1"/>
  <c r="T356" i="1"/>
  <c r="K356" i="1"/>
  <c r="L359" i="1"/>
  <c r="AW357" i="1"/>
  <c r="Q357" i="1"/>
  <c r="BC356" i="1"/>
  <c r="X357" i="1"/>
  <c r="BL356" i="1"/>
  <c r="AW356" i="1"/>
  <c r="AG356" i="1"/>
  <c r="Q356" i="1"/>
  <c r="BB360" i="1"/>
  <c r="T361" i="1"/>
  <c r="BJ361" i="1"/>
  <c r="BG360" i="1"/>
  <c r="AQ360" i="1"/>
  <c r="AJ359" i="1"/>
  <c r="T359" i="1"/>
  <c r="AW358" i="1"/>
  <c r="I358" i="1"/>
  <c r="AL360" i="1"/>
  <c r="F360" i="1"/>
  <c r="AA359" i="1"/>
  <c r="AV358" i="1"/>
  <c r="L358" i="1"/>
  <c r="BE357" i="1"/>
  <c r="AO357" i="1"/>
  <c r="Y357" i="1"/>
  <c r="I357" i="1"/>
  <c r="G358" i="1"/>
  <c r="AJ357" i="1"/>
  <c r="BE359" i="1"/>
  <c r="AE361" i="1"/>
  <c r="BF361" i="1"/>
  <c r="W360" i="1"/>
  <c r="G360" i="1"/>
  <c r="AN359" i="1"/>
  <c r="H359" i="1"/>
  <c r="Z360" i="1"/>
  <c r="J360" i="1"/>
  <c r="W359" i="1"/>
  <c r="G359" i="1"/>
  <c r="AN358" i="1"/>
  <c r="H358" i="1"/>
  <c r="BF356" i="1"/>
  <c r="AH359" i="1"/>
  <c r="AY358" i="1"/>
  <c r="AI358" i="1"/>
  <c r="S358" i="1"/>
  <c r="E358" i="1"/>
  <c r="AZ360" i="1"/>
  <c r="T360" i="1"/>
  <c r="AO359" i="1"/>
  <c r="AY357" i="1"/>
  <c r="AE357" i="1"/>
  <c r="AB356" i="1"/>
  <c r="H356" i="1"/>
  <c r="AA356" i="1"/>
  <c r="AI356" i="1"/>
  <c r="G356" i="1"/>
  <c r="AE356" i="1"/>
  <c r="BK361" i="1"/>
  <c r="AA361" i="1"/>
  <c r="AX361" i="1"/>
  <c r="AH361" i="1"/>
  <c r="R361" i="1"/>
  <c r="AI360" i="1"/>
  <c r="AI359" i="1"/>
  <c r="R359" i="1"/>
  <c r="AE358" i="1"/>
  <c r="BK357" i="1"/>
  <c r="G361" i="1"/>
  <c r="AA357" i="1"/>
  <c r="G357" i="1"/>
  <c r="AX359" i="1"/>
  <c r="AX360" i="1"/>
  <c r="AB361" i="1"/>
  <c r="W361" i="1"/>
  <c r="AE360" i="1"/>
  <c r="BK359" i="1"/>
  <c r="R360" i="1"/>
  <c r="AE359" i="1"/>
  <c r="BK358" i="1"/>
  <c r="BM359" i="1"/>
  <c r="F359" i="1"/>
  <c r="AA358" i="1"/>
  <c r="AB357" i="1"/>
  <c r="BE358" i="1"/>
  <c r="H360" i="1"/>
  <c r="I359" i="1"/>
  <c r="S357" i="1"/>
  <c r="AR356" i="1"/>
  <c r="L356" i="1"/>
  <c r="AQ356" i="1"/>
  <c r="S356" i="1"/>
  <c r="BG356" i="1"/>
  <c r="O356" i="1"/>
  <c r="BJ356" i="1"/>
  <c r="AD360" i="1"/>
  <c r="BI359" i="1"/>
  <c r="AT359" i="1"/>
  <c r="AD359" i="1"/>
  <c r="N359" i="1"/>
  <c r="BN358" i="1"/>
  <c r="BA358" i="1"/>
  <c r="M358" i="1"/>
  <c r="AH357" i="1"/>
  <c r="BK360" i="1"/>
  <c r="AV360" i="1"/>
  <c r="AF360" i="1"/>
  <c r="P360" i="1"/>
  <c r="BP359" i="1"/>
  <c r="BA359" i="1"/>
  <c r="AK359" i="1"/>
  <c r="U359" i="1"/>
  <c r="BF358" i="1"/>
  <c r="AP358" i="1"/>
  <c r="Z358" i="1"/>
  <c r="J358" i="1"/>
  <c r="BJ357" i="1"/>
  <c r="AU357" i="1"/>
  <c r="BO356" i="1"/>
  <c r="Q358" i="1"/>
  <c r="AL357" i="1"/>
  <c r="AY356" i="1"/>
  <c r="W356" i="1"/>
  <c r="AU356" i="1"/>
  <c r="BJ359" i="1"/>
  <c r="BM356" i="1"/>
  <c r="AX356" i="1"/>
  <c r="AP356" i="1"/>
  <c r="AH356" i="1"/>
  <c r="Z356" i="1"/>
  <c r="R356" i="1"/>
  <c r="J356" i="1"/>
  <c r="BF359" i="1"/>
  <c r="AP359" i="1"/>
  <c r="Z359" i="1"/>
  <c r="J359" i="1"/>
  <c r="BJ358" i="1"/>
  <c r="AS358" i="1"/>
  <c r="R357" i="1"/>
  <c r="BL359" i="1"/>
  <c r="AW359" i="1"/>
  <c r="AG359" i="1"/>
  <c r="Q359" i="1"/>
  <c r="E359" i="1"/>
  <c r="AL358" i="1"/>
  <c r="V358" i="1"/>
  <c r="V357" i="1"/>
  <c r="F357" i="1"/>
  <c r="BB361" i="1"/>
  <c r="BB354" i="1"/>
  <c r="AD357" i="1"/>
  <c r="BB359" i="1"/>
  <c r="AL359" i="1"/>
  <c r="V359" i="1"/>
  <c r="BL358" i="1"/>
  <c r="AK358" i="1"/>
  <c r="BF357" i="1"/>
  <c r="BD360" i="1"/>
  <c r="AN360" i="1"/>
  <c r="X360" i="1"/>
  <c r="BH359" i="1"/>
  <c r="AS359" i="1"/>
  <c r="AC359" i="1"/>
  <c r="M359" i="1"/>
  <c r="BM358" i="1"/>
  <c r="AX358" i="1"/>
  <c r="AH358" i="1"/>
  <c r="R358" i="1"/>
  <c r="F358" i="1"/>
  <c r="BC357" i="1"/>
  <c r="W357" i="1"/>
  <c r="BK356" i="1"/>
  <c r="BD356" i="1"/>
  <c r="AV356" i="1"/>
  <c r="AN356" i="1"/>
  <c r="AF356" i="1"/>
  <c r="X356" i="1"/>
  <c r="P356" i="1"/>
  <c r="BH358" i="1"/>
  <c r="BI357" i="1"/>
  <c r="AM356" i="1"/>
  <c r="BI356" i="1"/>
  <c r="BB356" i="1"/>
  <c r="AT356" i="1"/>
  <c r="AL356" i="1"/>
  <c r="AD356" i="1"/>
  <c r="V356" i="1"/>
  <c r="N356" i="1"/>
  <c r="N357" i="1"/>
  <c r="BC358" i="1"/>
  <c r="AT357" i="1"/>
  <c r="BI358" i="1"/>
  <c r="AT358" i="1"/>
  <c r="AD358" i="1"/>
  <c r="N358" i="1"/>
  <c r="BN357" i="1"/>
  <c r="AG358" i="1"/>
  <c r="AX357" i="1"/>
</calcChain>
</file>

<file path=xl/sharedStrings.xml><?xml version="1.0" encoding="utf-8"?>
<sst xmlns="http://schemas.openxmlformats.org/spreadsheetml/2006/main" count="769" uniqueCount="701">
  <si>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</si>
  <si>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</si>
  <si>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</si>
  <si>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</si>
  <si>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</si>
  <si>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</si>
  <si>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</si>
  <si>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</si>
  <si>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</si>
  <si>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</si>
  <si>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</si>
  <si>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</si>
  <si>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</si>
  <si>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</si>
  <si>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</si>
  <si>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</si>
  <si>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</si>
  <si>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</si>
  <si>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</si>
  <si>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</si>
  <si>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</si>
  <si>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</si>
  <si>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</si>
  <si>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</si>
  <si>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</si>
  <si>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</si>
  <si>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</si>
  <si>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</si>
  <si>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</si>
  <si>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</si>
  <si>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</si>
  <si>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</si>
  <si>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</si>
  <si>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</si>
  <si>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</si>
  <si>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</si>
  <si>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</si>
  <si>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</si>
  <si>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</si>
  <si>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</si>
  <si>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</si>
  <si>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</si>
  <si>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</si>
  <si>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</si>
  <si>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</si>
  <si>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</si>
  <si>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</si>
  <si>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</si>
  <si>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</si>
  <si>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</si>
  <si>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</si>
  <si>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</si>
  <si>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</si>
  <si>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</si>
  <si>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</si>
  <si>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</si>
  <si>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</si>
  <si>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</si>
  <si>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</si>
  <si>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</si>
  <si>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</si>
  <si>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</si>
  <si>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</si>
  <si>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</si>
  <si>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</si>
  <si>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</si>
  <si>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</si>
  <si>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</si>
  <si>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</si>
  <si>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</si>
  <si>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</si>
  <si>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</si>
  <si>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</si>
  <si>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</si>
  <si>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</si>
  <si>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</si>
  <si>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</si>
  <si>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</si>
  <si>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</si>
  <si>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</si>
  <si>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</si>
  <si>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</si>
  <si>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</si>
  <si>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</si>
  <si>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</si>
  <si>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</si>
  <si>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</si>
  <si>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</si>
  <si>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</si>
  <si>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</si>
  <si>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</si>
  <si>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</si>
  <si>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</si>
  <si>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</si>
  <si>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</si>
  <si>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</si>
  <si>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</si>
  <si>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</si>
  <si>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</si>
  <si>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</si>
  <si>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</si>
  <si>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</si>
  <si>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</si>
  <si>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</si>
  <si>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</si>
  <si>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</si>
  <si>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</si>
  <si>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</si>
  <si>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</si>
  <si>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</si>
  <si>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</si>
  <si>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</si>
  <si>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</si>
  <si>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</si>
  <si>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</si>
  <si>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</si>
  <si>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</si>
  <si>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</si>
  <si>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</si>
  <si>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</si>
  <si>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</si>
  <si>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</si>
  <si>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</si>
  <si>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</si>
  <si>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</si>
  <si>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</si>
  <si>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</si>
  <si>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</si>
  <si>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</si>
  <si>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</si>
  <si>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</si>
  <si>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</si>
  <si>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</si>
  <si>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</si>
  <si>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</si>
  <si>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</si>
  <si>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</si>
  <si>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</si>
  <si>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</si>
  <si>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</si>
  <si>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</si>
  <si>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</si>
  <si>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</si>
  <si>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</si>
  <si>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</si>
  <si>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</si>
  <si>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</si>
  <si>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</si>
  <si>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</si>
  <si>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</si>
  <si>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</si>
  <si>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</si>
  <si>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</si>
  <si>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</si>
  <si>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</si>
  <si>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</si>
  <si>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</si>
  <si>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</si>
  <si>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</si>
  <si>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</si>
  <si>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</si>
  <si>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</si>
  <si>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</si>
  <si>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</si>
  <si>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</si>
  <si>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</si>
  <si>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</si>
  <si>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</si>
  <si>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</si>
  <si>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</si>
  <si>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</si>
  <si>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</si>
  <si>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</si>
  <si>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</si>
  <si>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</si>
  <si>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</si>
  <si>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</si>
  <si>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</si>
  <si>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</si>
  <si>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</si>
  <si>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</si>
  <si>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</si>
  <si>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</si>
  <si>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</si>
  <si>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</si>
  <si>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</si>
  <si>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</si>
  <si>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</si>
  <si>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</si>
  <si>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</si>
  <si>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</si>
  <si>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</si>
  <si>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</si>
  <si>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</si>
  <si>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</si>
  <si>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</si>
  <si>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</si>
  <si>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</si>
  <si>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</si>
  <si>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</si>
  <si>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</si>
  <si>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</si>
  <si>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</si>
  <si>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</si>
  <si>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</si>
  <si>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</si>
  <si>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</si>
  <si>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</si>
  <si>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</si>
  <si>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</si>
  <si>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</si>
  <si>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</si>
  <si>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</si>
  <si>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</si>
  <si>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</si>
  <si>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</si>
  <si>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</si>
  <si>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</si>
  <si>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</si>
  <si>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</si>
  <si>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</si>
  <si>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</si>
  <si>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</si>
  <si>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</si>
  <si>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</si>
  <si>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</si>
  <si>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</si>
  <si>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</si>
  <si>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</si>
  <si>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</si>
  <si>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</si>
  <si>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</si>
  <si>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</si>
  <si>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</si>
  <si>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</si>
  <si>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</si>
  <si>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</si>
  <si>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</si>
  <si>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</si>
  <si>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</si>
  <si>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</si>
  <si>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</si>
  <si>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</si>
  <si>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</si>
  <si>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</si>
  <si>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</si>
  <si>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</si>
  <si>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</si>
  <si>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</si>
  <si>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</si>
  <si>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</si>
  <si>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</si>
  <si>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</si>
  <si>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</si>
  <si>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</si>
  <si>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</si>
  <si>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</si>
  <si>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</si>
  <si>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</si>
  <si>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</si>
  <si>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</si>
  <si>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</si>
  <si>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</si>
  <si>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</si>
  <si>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</si>
  <si>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</si>
  <si>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</si>
  <si>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</si>
  <si>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</si>
  <si>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</si>
  <si>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</si>
  <si>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</si>
  <si>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</si>
  <si>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</si>
  <si>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</si>
  <si>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</si>
  <si>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</si>
  <si>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</si>
  <si>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</si>
  <si>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</si>
  <si>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</si>
  <si>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</si>
  <si>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</si>
  <si>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</si>
  <si>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</si>
  <si>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</si>
  <si>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</si>
  <si>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</si>
  <si>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</si>
  <si>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</si>
  <si>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</si>
  <si>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</si>
  <si>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</si>
  <si>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</si>
  <si>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</si>
  <si>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</si>
  <si>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</si>
  <si>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</si>
  <si>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</si>
  <si>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</si>
  <si>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</si>
  <si>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</si>
  <si>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</si>
  <si>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</si>
  <si>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</si>
  <si>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</si>
  <si>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</si>
  <si>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</si>
  <si>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</si>
  <si>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</si>
  <si>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</si>
  <si>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</si>
  <si>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</si>
  <si>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</si>
  <si>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</si>
  <si>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</si>
  <si>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</si>
  <si>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</si>
  <si>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</si>
  <si>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</si>
  <si>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</si>
  <si>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</si>
  <si>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</si>
  <si>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</si>
  <si>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</si>
  <si>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</si>
  <si>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</si>
  <si>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</si>
  <si>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</si>
  <si>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</si>
  <si>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</si>
  <si>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</si>
  <si>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</si>
  <si>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</si>
  <si>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</si>
  <si>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</si>
  <si>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</si>
  <si>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</si>
  <si>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</si>
  <si>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</si>
  <si>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</si>
  <si>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</si>
  <si>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</si>
  <si>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</si>
  <si>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</si>
  <si>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</si>
  <si>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</si>
  <si>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</si>
  <si>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</si>
  <si>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</si>
  <si>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</si>
  <si>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</si>
  <si>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</si>
  <si>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</si>
  <si>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</si>
  <si>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</si>
  <si>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</si>
  <si>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</si>
  <si>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</si>
  <si>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</si>
  <si>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</si>
  <si>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</si>
  <si>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</si>
  <si>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</si>
  <si>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</si>
  <si>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</si>
  <si>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</si>
  <si>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</si>
  <si>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</si>
  <si>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</si>
  <si>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</si>
  <si>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</si>
  <si>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</si>
  <si>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</si>
  <si>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</si>
  <si>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</si>
  <si>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</si>
  <si>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</si>
  <si>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</si>
  <si>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</si>
  <si>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</si>
  <si>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</si>
  <si>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</si>
  <si>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</si>
  <si>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</si>
  <si>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</si>
  <si>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</si>
  <si>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</si>
  <si>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</si>
  <si>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</si>
  <si>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</si>
  <si>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</si>
  <si>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</si>
  <si>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</si>
  <si>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</si>
  <si>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</si>
  <si>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</si>
  <si>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</si>
  <si>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</si>
  <si>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</si>
  <si>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</si>
  <si>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</si>
  <si>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</si>
  <si>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</si>
  <si>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</si>
  <si>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</si>
  <si>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</si>
  <si>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</si>
  <si>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</si>
  <si>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</si>
  <si>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</si>
  <si>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</si>
  <si>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</si>
  <si>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</si>
  <si>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</si>
  <si>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</si>
  <si>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</si>
  <si>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</si>
  <si>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</si>
  <si>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</si>
  <si>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</si>
  <si>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</si>
  <si>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</si>
  <si>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</si>
  <si>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</si>
  <si>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</si>
  <si>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</si>
  <si>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</si>
  <si>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</si>
  <si>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</si>
  <si>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</si>
  <si>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</si>
  <si>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</si>
  <si>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</si>
  <si>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</si>
  <si>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</si>
  <si>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</si>
  <si>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</si>
  <si>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</si>
  <si>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</si>
  <si>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</si>
  <si>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</si>
  <si>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</si>
  <si>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</si>
  <si>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</si>
  <si>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</si>
  <si>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</si>
  <si>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</si>
  <si>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</si>
  <si>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</si>
  <si>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</si>
  <si>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</si>
  <si>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</si>
  <si>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</si>
  <si>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</si>
  <si>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</si>
  <si>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</si>
  <si>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</si>
  <si>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</si>
  <si>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</si>
  <si>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</si>
  <si>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</si>
  <si>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</si>
  <si>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</si>
  <si>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</si>
  <si>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</si>
  <si>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</si>
  <si>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</si>
  <si>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</si>
  <si>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</si>
  <si>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</si>
  <si>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</si>
  <si>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</si>
  <si>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</si>
  <si>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</si>
  <si>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</si>
  <si>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</si>
  <si>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</si>
  <si>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</si>
  <si>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</si>
  <si>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</si>
  <si>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</si>
  <si>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</si>
  <si>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</si>
  <si>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</si>
  <si>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</si>
  <si>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</si>
  <si>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</si>
  <si>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</si>
  <si>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</si>
  <si>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</si>
  <si>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</si>
  <si>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</si>
  <si>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</si>
  <si>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</si>
  <si>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</si>
  <si>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</si>
  <si>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</si>
  <si>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</si>
  <si>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</si>
  <si>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</si>
  <si>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</si>
  <si>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</si>
  <si>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</si>
  <si>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</si>
  <si>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</si>
  <si>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</si>
  <si>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</si>
  <si>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</si>
  <si>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</si>
  <si>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</si>
  <si>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</si>
  <si>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</si>
  <si>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</si>
  <si>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</si>
  <si>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</si>
  <si>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</si>
  <si>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</si>
  <si>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</si>
  <si>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</si>
  <si>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</si>
  <si>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</si>
  <si>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</si>
  <si>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</si>
  <si>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</si>
  <si>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</si>
  <si>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</si>
  <si>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</si>
  <si>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</si>
  <si>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</si>
  <si>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</si>
  <si>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</si>
  <si>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</si>
  <si>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</si>
  <si>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</si>
  <si>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</si>
  <si>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</si>
  <si>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</si>
  <si>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</si>
  <si>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</si>
  <si>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</si>
  <si>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</si>
  <si>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</si>
  <si>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</si>
  <si>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</si>
  <si>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</si>
  <si>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</si>
  <si>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</si>
  <si>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</si>
  <si>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</si>
  <si>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</si>
  <si>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</si>
  <si>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</si>
  <si>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</si>
  <si>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</si>
  <si>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</si>
  <si>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</si>
  <si>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</si>
  <si>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</si>
  <si>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</si>
  <si>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</si>
  <si>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</si>
  <si>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</si>
  <si>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</si>
  <si>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</si>
  <si>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</si>
  <si>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</si>
  <si>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</si>
  <si>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</si>
  <si>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</si>
  <si>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</si>
  <si>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</si>
  <si>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</si>
  <si>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</si>
  <si>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</si>
  <si>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</si>
  <si>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</si>
  <si>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</si>
  <si>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</si>
  <si>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</si>
  <si>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</si>
  <si>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</si>
  <si>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</si>
  <si>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</si>
  <si>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</si>
  <si>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</si>
  <si>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</si>
  <si>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</si>
  <si>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</si>
  <si>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</si>
  <si>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</si>
  <si>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</si>
  <si>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</si>
  <si>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</si>
  <si>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</si>
  <si>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</si>
  <si>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</si>
  <si>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</si>
  <si>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</si>
  <si>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</si>
  <si>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</si>
  <si>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</si>
  <si>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</si>
  <si>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</si>
  <si>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</si>
  <si>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</si>
  <si>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</si>
  <si>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</si>
  <si>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</si>
  <si>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</si>
  <si>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</si>
  <si>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</si>
  <si>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</si>
  <si>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</si>
  <si>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</si>
  <si>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</si>
  <si>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</si>
  <si>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</si>
  <si>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</si>
  <si>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</si>
  <si>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</si>
  <si>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</si>
  <si>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</si>
  <si>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</si>
  <si>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</si>
  <si>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</si>
  <si>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</si>
  <si>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</si>
  <si>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</si>
  <si>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</si>
  <si>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</si>
  <si>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</si>
  <si>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</si>
  <si>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</si>
  <si>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</si>
  <si>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</si>
  <si>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</si>
  <si>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</si>
  <si>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</si>
  <si>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</si>
  <si>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</si>
  <si>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</si>
  <si>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</si>
  <si>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</si>
  <si>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</si>
  <si>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</si>
  <si>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</si>
  <si>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</si>
  <si>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</si>
  <si>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</si>
  <si>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</si>
  <si>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</si>
  <si>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</si>
  <si>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</si>
  <si>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</si>
  <si>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</si>
  <si>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</si>
  <si>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</si>
  <si>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</si>
  <si>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</si>
  <si>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</si>
  <si>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</si>
  <si>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</si>
  <si>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</si>
  <si>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</si>
  <si>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</si>
  <si>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</si>
  <si>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</si>
  <si>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</si>
  <si>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</si>
  <si>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</si>
  <si>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</si>
  <si>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</si>
  <si>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</si>
  <si>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</si>
  <si>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</si>
  <si>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</si>
  <si>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</si>
  <si>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</si>
  <si>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</si>
  <si>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</si>
  <si>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</si>
  <si>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</si>
  <si>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</si>
  <si>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</si>
  <si>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</si>
  <si>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</si>
  <si>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</si>
  <si>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</si>
  <si>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</si>
  <si>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</si>
  <si>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</si>
  <si>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</si>
  <si>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</si>
  <si>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</si>
  <si>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</si>
  <si>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</si>
  <si>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513026484-00000000000102-8626-000</t>
  </si>
  <si>
    <t xml:space="preserve">תחילת מידע טבלה </t>
  </si>
  <si>
    <t>סיום מידע טבלה צד שמאל</t>
  </si>
  <si>
    <t xml:space="preserve">סיום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</si>
</sst>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10" fontId="9" fillId="0" borderId="0" xfId="2" applyNumberFormat="1" applyFont="1"/>
    <xf numFmtId="0" fontId="8" fillId="0" borderId="0" xfId="0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0</xdr:rowOff>
    </xdr:from>
    <xdr:to>
      <xdr:col>3</xdr:col>
      <xdr:colOff>257175</xdr:colOff>
      <xdr:row>6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803336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327660</xdr:colOff>
      <xdr:row>1</xdr:row>
      <xdr:rowOff>152400</xdr:rowOff>
    </xdr:to>
    <xdr:pic>
      <xdr:nvPicPr>
        <xdr:cNvPr id="6" name="Picture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79B2943B-DAEA-4EAB-A8B1-2345B4D1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4115700" y="0"/>
          <a:ext cx="32766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214"/>
      <sheetName val="גיליון216"/>
      <sheetName val="גיליון218"/>
      <sheetName val="גיליון220"/>
      <sheetName val="גיליון222"/>
      <sheetName val="גיליון22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Q362"/>
  <sheetViews>
    <sheetView rightToLeft="1" tabSelected="1" workbookViewId="0">
      <selection activeCell="D1" sqref="D1"/>
    </sheetView>
  </sheetViews>
  <sheetFormatPr defaultRowHeight="14.25" x14ac:dyDescent="0.2"/>
  <sheetData>
    <row r="3" spans="1:69" x14ac:dyDescent="0.2">
      <c r="A3" s="21" t="s">
        <v>698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 t="s">
        <v>699</v>
      </c>
    </row>
    <row r="4" spans="1:69" ht="15.75" x14ac:dyDescent="0.25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100</v>
      </c>
      <c r="L4">
        <v>102</v>
      </c>
      <c r="M4">
        <v>122</v>
      </c>
      <c r="N4">
        <v>142</v>
      </c>
      <c r="O4">
        <v>164</v>
      </c>
      <c r="P4">
        <v>167</v>
      </c>
      <c r="Q4">
        <v>169</v>
      </c>
      <c r="R4">
        <v>425</v>
      </c>
      <c r="S4">
        <v>426</v>
      </c>
      <c r="T4">
        <v>499</v>
      </c>
      <c r="U4">
        <v>519</v>
      </c>
      <c r="V4">
        <v>526</v>
      </c>
      <c r="W4">
        <v>570</v>
      </c>
      <c r="X4">
        <v>571</v>
      </c>
      <c r="Y4">
        <v>572</v>
      </c>
      <c r="Z4">
        <v>573</v>
      </c>
      <c r="AA4">
        <v>574</v>
      </c>
      <c r="AB4">
        <v>628</v>
      </c>
      <c r="AC4">
        <v>629</v>
      </c>
      <c r="AD4">
        <v>631</v>
      </c>
      <c r="AE4">
        <v>632</v>
      </c>
      <c r="AF4">
        <v>658</v>
      </c>
      <c r="AG4">
        <v>660</v>
      </c>
      <c r="AH4">
        <v>662</v>
      </c>
      <c r="AI4">
        <v>664</v>
      </c>
      <c r="AJ4">
        <v>666</v>
      </c>
      <c r="AK4">
        <v>726</v>
      </c>
      <c r="AL4">
        <v>737</v>
      </c>
      <c r="AM4">
        <v>805</v>
      </c>
      <c r="AN4">
        <v>827</v>
      </c>
      <c r="AO4">
        <v>575</v>
      </c>
      <c r="AP4">
        <v>576</v>
      </c>
      <c r="AQ4">
        <v>359</v>
      </c>
      <c r="AR4" s="9">
        <v>828</v>
      </c>
      <c r="AS4" s="9">
        <v>844</v>
      </c>
      <c r="AT4" s="9">
        <v>839</v>
      </c>
      <c r="AU4" s="9">
        <v>857</v>
      </c>
      <c r="AV4" s="9">
        <v>851</v>
      </c>
      <c r="AW4" s="9">
        <v>849</v>
      </c>
      <c r="AX4" s="9">
        <v>846</v>
      </c>
      <c r="AY4" s="9">
        <v>834</v>
      </c>
      <c r="AZ4" s="9">
        <v>506</v>
      </c>
      <c r="BA4" s="9">
        <v>521</v>
      </c>
      <c r="BB4" s="9">
        <v>522</v>
      </c>
      <c r="BC4" s="9">
        <v>528</v>
      </c>
      <c r="BD4" s="9">
        <v>548</v>
      </c>
      <c r="BE4" s="9">
        <v>551</v>
      </c>
      <c r="BF4" s="9">
        <v>555</v>
      </c>
      <c r="BG4" s="9">
        <v>558</v>
      </c>
      <c r="BH4" s="9">
        <v>578</v>
      </c>
      <c r="BI4" s="9">
        <v>580</v>
      </c>
      <c r="BJ4" s="9">
        <v>577</v>
      </c>
      <c r="BK4" s="9">
        <v>488</v>
      </c>
      <c r="BL4" s="9">
        <v>360</v>
      </c>
      <c r="BM4" s="9">
        <v>121</v>
      </c>
      <c r="BN4" s="9">
        <v>807</v>
      </c>
      <c r="BO4" s="9">
        <v>525</v>
      </c>
      <c r="BP4" s="9">
        <v>101</v>
      </c>
      <c r="BQ4" s="21"/>
    </row>
    <row r="5" spans="1:69" x14ac:dyDescent="0.2">
      <c r="E5" s="10">
        <v>401</v>
      </c>
      <c r="F5" s="10">
        <v>242</v>
      </c>
      <c r="G5" s="10">
        <v>385</v>
      </c>
      <c r="H5" s="10">
        <v>528</v>
      </c>
      <c r="I5" s="10">
        <v>384</v>
      </c>
      <c r="J5" s="10">
        <v>716</v>
      </c>
      <c r="K5" s="10">
        <v>686</v>
      </c>
      <c r="L5" s="10">
        <v>715</v>
      </c>
      <c r="M5" s="10">
        <v>9916</v>
      </c>
      <c r="N5" s="10">
        <v>1100</v>
      </c>
      <c r="O5" s="10">
        <v>801</v>
      </c>
      <c r="P5" s="10">
        <v>804</v>
      </c>
      <c r="Q5" s="10">
        <v>806</v>
      </c>
      <c r="R5" s="10">
        <v>8765</v>
      </c>
      <c r="S5" s="10">
        <v>8766</v>
      </c>
      <c r="T5" s="10">
        <v>9418</v>
      </c>
      <c r="U5" s="10">
        <v>9475</v>
      </c>
      <c r="V5" s="10">
        <v>9906</v>
      </c>
      <c r="W5" s="10">
        <v>7905</v>
      </c>
      <c r="X5" s="10">
        <v>7906</v>
      </c>
      <c r="Y5" s="10">
        <v>7907</v>
      </c>
      <c r="Z5" s="10">
        <v>7908</v>
      </c>
      <c r="AA5" s="10">
        <v>7909</v>
      </c>
      <c r="AB5" s="10">
        <v>11310</v>
      </c>
      <c r="AC5" s="10">
        <v>11311</v>
      </c>
      <c r="AD5" s="10">
        <v>11312</v>
      </c>
      <c r="AE5" s="10">
        <v>11335</v>
      </c>
      <c r="AF5" s="10">
        <v>9529</v>
      </c>
      <c r="AG5" s="10">
        <v>961</v>
      </c>
      <c r="AH5" s="10">
        <v>9528</v>
      </c>
      <c r="AI5" s="10">
        <v>964</v>
      </c>
      <c r="AJ5" s="10">
        <v>968</v>
      </c>
      <c r="AK5" s="10">
        <v>8629</v>
      </c>
      <c r="AL5" s="10">
        <v>13264</v>
      </c>
      <c r="AM5" s="10">
        <v>9917</v>
      </c>
      <c r="AN5" s="10">
        <v>13263</v>
      </c>
      <c r="AO5" s="10">
        <v>13209</v>
      </c>
      <c r="AP5" s="10">
        <v>13250</v>
      </c>
      <c r="AQ5" s="10">
        <v>14281</v>
      </c>
      <c r="AR5" s="11">
        <v>2049</v>
      </c>
      <c r="AS5" s="12">
        <v>7975</v>
      </c>
      <c r="AT5" s="12">
        <v>8004</v>
      </c>
      <c r="AU5" s="11">
        <v>1008</v>
      </c>
      <c r="AV5" s="11">
        <v>9484</v>
      </c>
      <c r="AW5" s="11">
        <v>682</v>
      </c>
      <c r="AX5" s="11">
        <v>11352</v>
      </c>
      <c r="AY5" s="11">
        <v>2058</v>
      </c>
      <c r="AZ5" s="11">
        <v>15007</v>
      </c>
      <c r="BA5" s="11">
        <v>15208</v>
      </c>
      <c r="BB5" s="11">
        <v>15209</v>
      </c>
      <c r="BC5" s="11">
        <v>15210</v>
      </c>
      <c r="BD5" s="11">
        <v>15211</v>
      </c>
      <c r="BE5" s="11">
        <v>15212</v>
      </c>
      <c r="BF5" s="11">
        <v>15232</v>
      </c>
      <c r="BG5" s="11">
        <v>15214</v>
      </c>
      <c r="BH5" s="11">
        <v>15233</v>
      </c>
      <c r="BI5" s="11">
        <v>15234</v>
      </c>
      <c r="BJ5" s="11">
        <v>15215</v>
      </c>
      <c r="BK5" s="11">
        <v>12088</v>
      </c>
      <c r="BL5" s="11">
        <v>14282</v>
      </c>
      <c r="BM5" s="11">
        <v>211</v>
      </c>
      <c r="BN5" s="11">
        <v>8624</v>
      </c>
      <c r="BO5" s="11">
        <v>9905</v>
      </c>
      <c r="BP5" s="11">
        <v>1190</v>
      </c>
      <c r="BQ5" s="21"/>
    </row>
    <row r="6" spans="1:69" ht="15.75" x14ac:dyDescent="0.25">
      <c r="A6" s="3">
        <v>45505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t="s">
        <v>651</v>
      </c>
      <c r="AQ6" t="s">
        <v>652</v>
      </c>
      <c r="AR6" s="13" t="s">
        <v>653</v>
      </c>
      <c r="AS6" s="14" t="s">
        <v>654</v>
      </c>
      <c r="AT6" s="13" t="s">
        <v>655</v>
      </c>
      <c r="AU6" s="13" t="s">
        <v>656</v>
      </c>
      <c r="AV6" s="13" t="s">
        <v>657</v>
      </c>
      <c r="AW6" s="13" t="s">
        <v>658</v>
      </c>
      <c r="AX6" s="13" t="s">
        <v>659</v>
      </c>
      <c r="AY6" s="13" t="s">
        <v>660</v>
      </c>
      <c r="AZ6" s="13" t="s">
        <v>661</v>
      </c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21"/>
    </row>
    <row r="7" spans="1:69" ht="15.75" x14ac:dyDescent="0.25">
      <c r="A7" s="4"/>
      <c r="B7" s="5"/>
      <c r="C7" s="5"/>
      <c r="D7" s="6" t="s">
        <v>0</v>
      </c>
      <c r="E7" s="15" t="s">
        <v>662</v>
      </c>
      <c r="F7" s="15" t="s">
        <v>663</v>
      </c>
      <c r="G7" s="15" t="s">
        <v>664</v>
      </c>
      <c r="H7" s="15" t="s">
        <v>665</v>
      </c>
      <c r="I7" s="15" t="s">
        <v>666</v>
      </c>
      <c r="J7" s="15" t="s">
        <v>667</v>
      </c>
      <c r="K7" s="15" t="s">
        <v>668</v>
      </c>
      <c r="L7" s="15" t="s">
        <v>669</v>
      </c>
      <c r="M7" s="15" t="s">
        <v>670</v>
      </c>
      <c r="N7" s="15" t="s">
        <v>671</v>
      </c>
      <c r="O7" s="15" t="s">
        <v>672</v>
      </c>
      <c r="P7" s="15" t="s">
        <v>673</v>
      </c>
      <c r="Q7" s="15" t="s">
        <v>674</v>
      </c>
      <c r="R7" s="15" t="s">
        <v>675</v>
      </c>
      <c r="S7" s="15" t="s">
        <v>676</v>
      </c>
      <c r="T7" s="15" t="s">
        <v>677</v>
      </c>
      <c r="U7" s="15" t="s">
        <v>678</v>
      </c>
      <c r="V7" s="15" t="s">
        <v>679</v>
      </c>
      <c r="W7" s="15" t="s">
        <v>680</v>
      </c>
      <c r="X7" s="15" t="s">
        <v>681</v>
      </c>
      <c r="Y7" s="15" t="s">
        <v>682</v>
      </c>
      <c r="Z7" s="15" t="s">
        <v>683</v>
      </c>
      <c r="AA7" s="15" t="s">
        <v>684</v>
      </c>
      <c r="AB7" s="15" t="s">
        <v>685</v>
      </c>
      <c r="AC7" s="15" t="s">
        <v>686</v>
      </c>
      <c r="AD7" s="15" t="s">
        <v>687</v>
      </c>
      <c r="AE7" s="15" t="s">
        <v>688</v>
      </c>
      <c r="AF7" s="15" t="s">
        <v>689</v>
      </c>
      <c r="AG7" s="15" t="s">
        <v>690</v>
      </c>
      <c r="AH7" s="15" t="s">
        <v>691</v>
      </c>
      <c r="AI7" s="15" t="s">
        <v>692</v>
      </c>
      <c r="AJ7" s="15" t="s">
        <v>693</v>
      </c>
      <c r="AK7" s="15" t="s">
        <v>694</v>
      </c>
      <c r="AL7" s="15" t="s">
        <v>695</v>
      </c>
      <c r="AM7" s="15" t="s">
        <v>696</v>
      </c>
      <c r="AN7" s="15" t="s">
        <v>697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21"/>
    </row>
    <row r="8" spans="1:69" ht="15.75" x14ac:dyDescent="0.25">
      <c r="A8" s="5" t="s">
        <v>1</v>
      </c>
      <c r="B8" s="5" t="s">
        <v>2</v>
      </c>
      <c r="C8" s="7">
        <v>1</v>
      </c>
      <c r="D8" s="7">
        <v>1</v>
      </c>
      <c r="E8" s="7">
        <v>193313.666</v>
      </c>
      <c r="F8" s="7">
        <v>30887.030999999999</v>
      </c>
      <c r="G8" s="7">
        <v>18329.208999999999</v>
      </c>
      <c r="H8" s="7">
        <v>40.11</v>
      </c>
      <c r="I8" s="7">
        <v>3160.6970000000001</v>
      </c>
      <c r="J8" s="7">
        <v>12730.924000000001</v>
      </c>
      <c r="K8" s="7">
        <v>0</v>
      </c>
      <c r="L8" s="7">
        <v>683.46799999999996</v>
      </c>
      <c r="M8" s="7">
        <v>304202.60600000003</v>
      </c>
      <c r="N8" s="7">
        <v>60353.62</v>
      </c>
      <c r="O8" s="7">
        <v>0.41699999999999998</v>
      </c>
      <c r="P8" s="7">
        <v>414.31099999999998</v>
      </c>
      <c r="Q8" s="7">
        <v>66.039000000000001</v>
      </c>
      <c r="R8" s="7">
        <v>509.61799999999999</v>
      </c>
      <c r="S8" s="7">
        <v>666.83199999999999</v>
      </c>
      <c r="T8" s="7">
        <v>9018.2739999999994</v>
      </c>
      <c r="U8" s="7">
        <v>3.01</v>
      </c>
      <c r="V8" s="7">
        <v>509.25799999999998</v>
      </c>
      <c r="W8" s="7">
        <v>1388.521</v>
      </c>
      <c r="X8" s="7">
        <v>5450.0050000000001</v>
      </c>
      <c r="Y8" s="7">
        <v>2899.962</v>
      </c>
      <c r="Z8" s="7">
        <v>58961.233</v>
      </c>
      <c r="AA8" s="7">
        <v>4069.5450000000001</v>
      </c>
      <c r="AB8" s="7">
        <v>15389.880999999999</v>
      </c>
      <c r="AC8" s="7">
        <v>14693.825999999999</v>
      </c>
      <c r="AD8" s="7">
        <v>5269.2929999999997</v>
      </c>
      <c r="AE8" s="7">
        <v>971.82600000000002</v>
      </c>
      <c r="AF8" s="7">
        <v>167239.272</v>
      </c>
      <c r="AG8" s="7">
        <v>53791.021999999997</v>
      </c>
      <c r="AH8" s="7">
        <v>4577.6989999999996</v>
      </c>
      <c r="AI8" s="7">
        <v>553668.67599999998</v>
      </c>
      <c r="AJ8" s="7">
        <v>94816.740999999995</v>
      </c>
      <c r="AK8" s="7">
        <v>22191.308000000001</v>
      </c>
      <c r="AL8" s="7">
        <v>278468.39799999999</v>
      </c>
      <c r="AM8" s="7">
        <v>0</v>
      </c>
      <c r="AN8" s="7">
        <v>165306.041</v>
      </c>
      <c r="AO8" s="7">
        <v>94.242000000000004</v>
      </c>
      <c r="AP8" s="7">
        <v>92090.781000000003</v>
      </c>
      <c r="AQ8" s="7">
        <v>916.904</v>
      </c>
      <c r="AR8" s="7">
        <v>1579.1289999999999</v>
      </c>
      <c r="AS8" s="7">
        <v>16062.264999999999</v>
      </c>
      <c r="AT8" s="7">
        <v>512.47299999999996</v>
      </c>
      <c r="AU8" s="7">
        <v>135.19</v>
      </c>
      <c r="AV8" s="7">
        <v>0</v>
      </c>
      <c r="AW8" s="7">
        <v>6005.723</v>
      </c>
      <c r="AX8" s="7">
        <v>2008.23</v>
      </c>
      <c r="AY8" s="7">
        <v>2838.1439999999998</v>
      </c>
      <c r="AZ8" s="7">
        <v>1156.029</v>
      </c>
      <c r="BA8" s="7">
        <v>941.94899999999996</v>
      </c>
      <c r="BB8" s="7">
        <v>302.37</v>
      </c>
      <c r="BC8" s="7">
        <v>2862.2080000000001</v>
      </c>
      <c r="BD8" s="7">
        <v>301.03300000000002</v>
      </c>
      <c r="BE8" s="7">
        <v>1130.2650000000001</v>
      </c>
      <c r="BF8" s="7">
        <v>681.44500000000005</v>
      </c>
      <c r="BG8" s="7">
        <v>22.943999999999999</v>
      </c>
      <c r="BH8" s="7">
        <v>261.46199999999999</v>
      </c>
      <c r="BI8" s="7">
        <v>20659.080999999998</v>
      </c>
      <c r="BJ8" s="7">
        <v>209.81800000000001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21"/>
    </row>
    <row r="9" spans="1:69" ht="15.75" x14ac:dyDescent="0.25">
      <c r="A9" s="5" t="s">
        <v>3</v>
      </c>
      <c r="B9" s="5" t="s">
        <v>4</v>
      </c>
      <c r="C9" s="7">
        <v>1</v>
      </c>
      <c r="D9" s="7">
        <v>1</v>
      </c>
      <c r="E9" s="7">
        <v>68908.137000000002</v>
      </c>
      <c r="F9" s="7">
        <v>15258.132</v>
      </c>
      <c r="G9" s="7">
        <v>8207.7759999999998</v>
      </c>
      <c r="H9" s="7">
        <v>1253.354</v>
      </c>
      <c r="I9" s="7">
        <v>3623.6419999999998</v>
      </c>
      <c r="J9" s="7">
        <v>5302.1779999999999</v>
      </c>
      <c r="K9" s="7">
        <v>0</v>
      </c>
      <c r="L9" s="7">
        <v>0</v>
      </c>
      <c r="M9" s="7">
        <v>120550.96799999999</v>
      </c>
      <c r="N9" s="7">
        <v>24874.960999999999</v>
      </c>
      <c r="O9" s="7">
        <v>0</v>
      </c>
      <c r="P9" s="7">
        <v>87.911000000000001</v>
      </c>
      <c r="Q9" s="7">
        <v>359.35399999999998</v>
      </c>
      <c r="R9" s="7">
        <v>67.198999999999998</v>
      </c>
      <c r="S9" s="7">
        <v>198.13499999999999</v>
      </c>
      <c r="T9" s="7">
        <v>3063.2150000000001</v>
      </c>
      <c r="U9" s="7">
        <v>0</v>
      </c>
      <c r="V9" s="7">
        <v>0</v>
      </c>
      <c r="W9" s="7">
        <v>674.81799999999998</v>
      </c>
      <c r="X9" s="7">
        <v>2517.41</v>
      </c>
      <c r="Y9" s="7">
        <v>8656.3459999999995</v>
      </c>
      <c r="Z9" s="7">
        <v>20742.699000000001</v>
      </c>
      <c r="AA9" s="7">
        <v>2871.375</v>
      </c>
      <c r="AB9" s="7">
        <v>6607.7439999999997</v>
      </c>
      <c r="AC9" s="7">
        <v>2578.0680000000002</v>
      </c>
      <c r="AD9" s="7">
        <v>2331.1010000000001</v>
      </c>
      <c r="AE9" s="7">
        <v>388.87099999999998</v>
      </c>
      <c r="AF9" s="7">
        <v>56754.917999999998</v>
      </c>
      <c r="AG9" s="7">
        <v>17729.645</v>
      </c>
      <c r="AH9" s="7">
        <v>1919.9069999999999</v>
      </c>
      <c r="AI9" s="7">
        <v>205478.56099999999</v>
      </c>
      <c r="AJ9" s="7">
        <v>31684.993999999999</v>
      </c>
      <c r="AK9" s="7">
        <v>14139.95</v>
      </c>
      <c r="AL9" s="7">
        <v>526226.38100000005</v>
      </c>
      <c r="AM9" s="7">
        <v>0</v>
      </c>
      <c r="AN9" s="7">
        <v>310520.8</v>
      </c>
      <c r="AO9" s="7">
        <v>0</v>
      </c>
      <c r="AP9" s="7">
        <v>172746.15400000001</v>
      </c>
      <c r="AQ9" s="7">
        <v>278.53399999999999</v>
      </c>
      <c r="AR9" s="7">
        <v>3051.933</v>
      </c>
      <c r="AS9" s="7">
        <v>5000.32</v>
      </c>
      <c r="AT9" s="7">
        <v>1508.163</v>
      </c>
      <c r="AU9" s="7">
        <v>53.600999999999999</v>
      </c>
      <c r="AV9" s="7">
        <v>0</v>
      </c>
      <c r="AW9" s="7">
        <v>2702.462</v>
      </c>
      <c r="AX9" s="7">
        <v>4751.6369999999997</v>
      </c>
      <c r="AY9" s="7">
        <v>4215.1040000000003</v>
      </c>
      <c r="AZ9" s="7">
        <v>3432.1579999999999</v>
      </c>
      <c r="BA9" s="7">
        <v>52.7</v>
      </c>
      <c r="BB9" s="7">
        <v>13.196</v>
      </c>
      <c r="BC9" s="7">
        <v>1307.819</v>
      </c>
      <c r="BD9" s="7">
        <v>48.624000000000002</v>
      </c>
      <c r="BE9" s="7">
        <v>56.261000000000003</v>
      </c>
      <c r="BF9" s="7">
        <v>26.617999999999999</v>
      </c>
      <c r="BG9" s="7">
        <v>6.8840000000000003</v>
      </c>
      <c r="BH9" s="7">
        <v>12.56</v>
      </c>
      <c r="BI9" s="7">
        <v>35024.813000000002</v>
      </c>
      <c r="BJ9" s="7">
        <v>20.613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21"/>
    </row>
    <row r="10" spans="1:69" ht="15.75" x14ac:dyDescent="0.25">
      <c r="A10" s="5" t="s">
        <v>5</v>
      </c>
      <c r="B10" s="5" t="s">
        <v>6</v>
      </c>
      <c r="C10" s="7">
        <v>1</v>
      </c>
      <c r="D10" s="7">
        <v>1</v>
      </c>
      <c r="E10" s="7">
        <v>52996.385000000002</v>
      </c>
      <c r="F10" s="7">
        <v>7993.223</v>
      </c>
      <c r="G10" s="7">
        <v>3231.9769999999999</v>
      </c>
      <c r="H10" s="7">
        <v>19144.512999999999</v>
      </c>
      <c r="I10" s="7">
        <v>1172.461</v>
      </c>
      <c r="J10" s="7">
        <v>4813.8360000000002</v>
      </c>
      <c r="K10" s="7">
        <v>0</v>
      </c>
      <c r="L10" s="7">
        <v>2922.875</v>
      </c>
      <c r="M10" s="7">
        <v>65108.409</v>
      </c>
      <c r="N10" s="7">
        <v>15020.387000000001</v>
      </c>
      <c r="O10" s="7">
        <v>62.07</v>
      </c>
      <c r="P10" s="7">
        <v>533.59199999999998</v>
      </c>
      <c r="Q10" s="7">
        <v>58.408000000000001</v>
      </c>
      <c r="R10" s="7">
        <v>813.64200000000005</v>
      </c>
      <c r="S10" s="7">
        <v>2142.8679999999999</v>
      </c>
      <c r="T10" s="7">
        <v>3001.32</v>
      </c>
      <c r="U10" s="7">
        <v>80.701999999999998</v>
      </c>
      <c r="V10" s="7">
        <v>1583.1849999999999</v>
      </c>
      <c r="W10" s="7">
        <v>6723.384</v>
      </c>
      <c r="X10" s="7">
        <v>1676.0429999999999</v>
      </c>
      <c r="Y10" s="7">
        <v>4085.3159999999998</v>
      </c>
      <c r="Z10" s="7">
        <v>8687.1029999999992</v>
      </c>
      <c r="AA10" s="7">
        <v>8086.4369999999999</v>
      </c>
      <c r="AB10" s="7">
        <v>55686.063000000002</v>
      </c>
      <c r="AC10" s="7">
        <v>24979.805</v>
      </c>
      <c r="AD10" s="7">
        <v>2058.5970000000002</v>
      </c>
      <c r="AE10" s="7">
        <v>3959.4209999999998</v>
      </c>
      <c r="AF10" s="7">
        <v>44721.461000000003</v>
      </c>
      <c r="AG10" s="7">
        <v>6818.8059999999996</v>
      </c>
      <c r="AH10" s="7">
        <v>13515.652</v>
      </c>
      <c r="AI10" s="7">
        <v>131707.584</v>
      </c>
      <c r="AJ10" s="7">
        <v>12473.06</v>
      </c>
      <c r="AK10" s="7">
        <v>39063.038999999997</v>
      </c>
      <c r="AL10" s="7">
        <v>193200.45600000001</v>
      </c>
      <c r="AM10" s="7">
        <v>0</v>
      </c>
      <c r="AN10" s="7">
        <v>110950.281</v>
      </c>
      <c r="AO10" s="7">
        <v>265.30399999999997</v>
      </c>
      <c r="AP10" s="7">
        <v>62081.105000000003</v>
      </c>
      <c r="AQ10" s="7">
        <v>699.66</v>
      </c>
      <c r="AR10" s="7">
        <v>0</v>
      </c>
      <c r="AS10" s="7">
        <v>1808.1220000000001</v>
      </c>
      <c r="AT10" s="7">
        <v>0</v>
      </c>
      <c r="AU10" s="7">
        <v>10.964</v>
      </c>
      <c r="AV10" s="7">
        <v>0</v>
      </c>
      <c r="AW10" s="7">
        <v>180.065</v>
      </c>
      <c r="AX10" s="7">
        <v>0</v>
      </c>
      <c r="AY10" s="7">
        <v>0</v>
      </c>
      <c r="AZ10" s="7">
        <v>5180.5190000000002</v>
      </c>
      <c r="BA10" s="7">
        <v>23.7</v>
      </c>
      <c r="BB10" s="7">
        <v>13.478999999999999</v>
      </c>
      <c r="BC10" s="7">
        <v>0</v>
      </c>
      <c r="BD10" s="7">
        <v>19.686</v>
      </c>
      <c r="BE10" s="7">
        <v>30.167000000000002</v>
      </c>
      <c r="BF10" s="7">
        <v>27.189</v>
      </c>
      <c r="BG10" s="7">
        <v>2.766</v>
      </c>
      <c r="BH10" s="7">
        <v>12.83</v>
      </c>
      <c r="BI10" s="7">
        <v>30518.879000000001</v>
      </c>
      <c r="BJ10" s="7">
        <v>11.215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21"/>
    </row>
    <row r="11" spans="1:69" ht="15.75" x14ac:dyDescent="0.25">
      <c r="A11" s="5" t="s">
        <v>7</v>
      </c>
      <c r="B11" s="5" t="s">
        <v>8</v>
      </c>
      <c r="C11" s="7">
        <v>1</v>
      </c>
      <c r="D11" s="7">
        <v>1</v>
      </c>
      <c r="E11" s="7">
        <v>457737.29</v>
      </c>
      <c r="F11" s="7">
        <v>94439.732000000004</v>
      </c>
      <c r="G11" s="7">
        <v>0</v>
      </c>
      <c r="H11" s="7">
        <v>0</v>
      </c>
      <c r="I11" s="7">
        <v>3832.7689999999998</v>
      </c>
      <c r="J11" s="7">
        <v>0</v>
      </c>
      <c r="K11" s="7">
        <v>0</v>
      </c>
      <c r="L11" s="7">
        <v>0</v>
      </c>
      <c r="M11" s="7">
        <v>1160532.6270000001</v>
      </c>
      <c r="N11" s="7">
        <v>85246.410999999993</v>
      </c>
      <c r="O11" s="7">
        <v>0</v>
      </c>
      <c r="P11" s="7">
        <v>3849.7649999999999</v>
      </c>
      <c r="Q11" s="7">
        <v>0</v>
      </c>
      <c r="R11" s="7">
        <v>4109.6260000000002</v>
      </c>
      <c r="S11" s="7">
        <v>921.61900000000003</v>
      </c>
      <c r="T11" s="7">
        <v>27359.367999999999</v>
      </c>
      <c r="U11" s="7">
        <v>0</v>
      </c>
      <c r="V11" s="7">
        <v>0</v>
      </c>
      <c r="W11" s="7">
        <v>0</v>
      </c>
      <c r="X11" s="7">
        <v>7522.32</v>
      </c>
      <c r="Y11" s="7">
        <v>0</v>
      </c>
      <c r="Z11" s="7">
        <v>186274.53899999999</v>
      </c>
      <c r="AA11" s="7">
        <v>52528.436000000002</v>
      </c>
      <c r="AB11" s="7">
        <v>0</v>
      </c>
      <c r="AC11" s="7">
        <v>139576.962</v>
      </c>
      <c r="AD11" s="7">
        <v>16236.341</v>
      </c>
      <c r="AE11" s="7">
        <v>10113.049000000001</v>
      </c>
      <c r="AF11" s="7">
        <v>599710.20499999996</v>
      </c>
      <c r="AG11" s="7">
        <v>223733.514</v>
      </c>
      <c r="AH11" s="7">
        <v>48037.129000000001</v>
      </c>
      <c r="AI11" s="7">
        <v>1779463.469</v>
      </c>
      <c r="AJ11" s="7">
        <v>395350.79</v>
      </c>
      <c r="AK11" s="7">
        <v>277369.70699999999</v>
      </c>
      <c r="AL11" s="7">
        <v>6038527.608</v>
      </c>
      <c r="AM11" s="7">
        <v>0</v>
      </c>
      <c r="AN11" s="7">
        <v>3584599.0419999999</v>
      </c>
      <c r="AO11" s="7">
        <v>0</v>
      </c>
      <c r="AP11" s="7">
        <v>1996989.5889999999</v>
      </c>
      <c r="AQ11" s="7">
        <v>3026.5920000000001</v>
      </c>
      <c r="AR11" s="7">
        <v>0</v>
      </c>
      <c r="AS11" s="7">
        <v>68180.976999999999</v>
      </c>
      <c r="AT11" s="7">
        <v>0</v>
      </c>
      <c r="AU11" s="7">
        <v>295.13</v>
      </c>
      <c r="AV11" s="7">
        <v>0</v>
      </c>
      <c r="AW11" s="7">
        <v>2077.0830000000001</v>
      </c>
      <c r="AX11" s="7">
        <v>0</v>
      </c>
      <c r="AY11" s="7">
        <v>0</v>
      </c>
      <c r="AZ11" s="7">
        <v>0</v>
      </c>
      <c r="BA11" s="7">
        <v>268.39299999999997</v>
      </c>
      <c r="BB11" s="7">
        <v>0</v>
      </c>
      <c r="BC11" s="7">
        <v>0</v>
      </c>
      <c r="BD11" s="7">
        <v>497.49799999999999</v>
      </c>
      <c r="BE11" s="7">
        <v>0</v>
      </c>
      <c r="BF11" s="7">
        <v>0</v>
      </c>
      <c r="BG11" s="7">
        <v>70.703000000000003</v>
      </c>
      <c r="BH11" s="7">
        <v>0</v>
      </c>
      <c r="BI11" s="7">
        <v>217762.302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21"/>
    </row>
    <row r="12" spans="1:69" ht="15.75" x14ac:dyDescent="0.25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21"/>
    </row>
    <row r="13" spans="1:69" ht="15.75" x14ac:dyDescent="0.25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21"/>
    </row>
    <row r="14" spans="1:69" ht="15.75" x14ac:dyDescent="0.25">
      <c r="A14" s="5" t="s">
        <v>13</v>
      </c>
      <c r="B14" s="5" t="s">
        <v>14</v>
      </c>
      <c r="C14" s="7">
        <v>1</v>
      </c>
      <c r="D14" s="7">
        <v>1</v>
      </c>
      <c r="E14" s="7">
        <v>111011.231</v>
      </c>
      <c r="F14" s="7">
        <v>19217.731</v>
      </c>
      <c r="G14" s="7">
        <v>4184.6040000000003</v>
      </c>
      <c r="H14" s="7">
        <v>194.589</v>
      </c>
      <c r="I14" s="7">
        <v>1398.693</v>
      </c>
      <c r="J14" s="7">
        <v>3540.788</v>
      </c>
      <c r="K14" s="7">
        <v>0</v>
      </c>
      <c r="L14" s="7">
        <v>0</v>
      </c>
      <c r="M14" s="7">
        <v>215126.74600000001</v>
      </c>
      <c r="N14" s="7">
        <v>35950.69</v>
      </c>
      <c r="O14" s="7">
        <v>0</v>
      </c>
      <c r="P14" s="7">
        <v>11.484999999999999</v>
      </c>
      <c r="Q14" s="7">
        <v>79.063999999999993</v>
      </c>
      <c r="R14" s="7">
        <v>18.187000000000001</v>
      </c>
      <c r="S14" s="7">
        <v>16.155999999999999</v>
      </c>
      <c r="T14" s="7">
        <v>5284.5249999999996</v>
      </c>
      <c r="U14" s="7">
        <v>0</v>
      </c>
      <c r="V14" s="7">
        <v>0</v>
      </c>
      <c r="W14" s="7">
        <v>482.935</v>
      </c>
      <c r="X14" s="7">
        <v>2332.6</v>
      </c>
      <c r="Y14" s="7">
        <v>2.4E-2</v>
      </c>
      <c r="Z14" s="7">
        <v>38650.481</v>
      </c>
      <c r="AA14" s="7">
        <v>679.18200000000002</v>
      </c>
      <c r="AB14" s="7">
        <v>5478.9579999999996</v>
      </c>
      <c r="AC14" s="7">
        <v>334.899</v>
      </c>
      <c r="AD14" s="7">
        <v>3336.3020000000001</v>
      </c>
      <c r="AE14" s="7">
        <v>79.545000000000002</v>
      </c>
      <c r="AF14" s="7">
        <v>102414.686</v>
      </c>
      <c r="AG14" s="7">
        <v>36087.758000000002</v>
      </c>
      <c r="AH14" s="7">
        <v>335.79</v>
      </c>
      <c r="AI14" s="7">
        <v>372642.14899999998</v>
      </c>
      <c r="AJ14" s="7">
        <v>63898.483</v>
      </c>
      <c r="AK14" s="7">
        <v>3558.7510000000002</v>
      </c>
      <c r="AL14" s="7">
        <v>23942.3</v>
      </c>
      <c r="AM14" s="7">
        <v>0</v>
      </c>
      <c r="AN14" s="7">
        <v>14212.646000000001</v>
      </c>
      <c r="AO14" s="7">
        <v>0</v>
      </c>
      <c r="AP14" s="7">
        <v>7917.9110000000001</v>
      </c>
      <c r="AQ14" s="7">
        <v>566.00400000000002</v>
      </c>
      <c r="AR14" s="7">
        <v>0</v>
      </c>
      <c r="AS14" s="7">
        <v>10969.526</v>
      </c>
      <c r="AT14" s="7">
        <v>0</v>
      </c>
      <c r="AU14" s="7">
        <v>52.258000000000003</v>
      </c>
      <c r="AV14" s="7">
        <v>0</v>
      </c>
      <c r="AW14" s="7">
        <v>417.05599999999998</v>
      </c>
      <c r="AX14" s="7">
        <v>0</v>
      </c>
      <c r="AY14" s="7">
        <v>0</v>
      </c>
      <c r="AZ14" s="7">
        <v>0</v>
      </c>
      <c r="BA14" s="7">
        <v>79.631</v>
      </c>
      <c r="BB14" s="7">
        <v>4.1109999999999998</v>
      </c>
      <c r="BC14" s="7">
        <v>0</v>
      </c>
      <c r="BD14" s="7">
        <v>95.099000000000004</v>
      </c>
      <c r="BE14" s="7">
        <v>63.445</v>
      </c>
      <c r="BF14" s="7">
        <v>8.2929999999999993</v>
      </c>
      <c r="BG14" s="7">
        <v>13.552</v>
      </c>
      <c r="BH14" s="7">
        <v>3.9129999999999998</v>
      </c>
      <c r="BI14" s="7">
        <v>1943.3409999999999</v>
      </c>
      <c r="BJ14" s="7">
        <v>22.914999999999999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21"/>
    </row>
    <row r="15" spans="1:69" ht="15.75" x14ac:dyDescent="0.25">
      <c r="A15" s="5" t="s">
        <v>3</v>
      </c>
      <c r="B15" s="5" t="s">
        <v>15</v>
      </c>
      <c r="C15" s="7">
        <v>1</v>
      </c>
      <c r="D15" s="7">
        <v>1</v>
      </c>
      <c r="E15" s="7">
        <v>33.463000000000001</v>
      </c>
      <c r="F15" s="7">
        <v>4.63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149.17400000000001</v>
      </c>
      <c r="N15" s="7">
        <v>11.071999999999999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10.220000000000001</v>
      </c>
      <c r="AG15" s="7">
        <v>1.5209999999999999</v>
      </c>
      <c r="AH15" s="7">
        <v>0</v>
      </c>
      <c r="AI15" s="7">
        <v>95.786000000000001</v>
      </c>
      <c r="AJ15" s="7">
        <v>1.0309999999999999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21"/>
    </row>
    <row r="16" spans="1:69" ht="15.75" x14ac:dyDescent="0.25">
      <c r="A16" s="5" t="s">
        <v>16</v>
      </c>
      <c r="B16" s="5" t="s">
        <v>17</v>
      </c>
      <c r="C16" s="7">
        <v>1</v>
      </c>
      <c r="D16" s="7">
        <v>1</v>
      </c>
      <c r="E16" s="7">
        <v>-151.499</v>
      </c>
      <c r="F16" s="7">
        <v>-35.984999999999999</v>
      </c>
      <c r="G16" s="7">
        <v>0</v>
      </c>
      <c r="H16" s="7">
        <v>0</v>
      </c>
      <c r="I16" s="7">
        <v>-1.46</v>
      </c>
      <c r="J16" s="7">
        <v>0</v>
      </c>
      <c r="K16" s="7">
        <v>0</v>
      </c>
      <c r="L16" s="7">
        <v>0</v>
      </c>
      <c r="M16" s="7">
        <v>-417.267</v>
      </c>
      <c r="N16" s="7">
        <v>-32.481999999999999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-10.425000000000001</v>
      </c>
      <c r="U16" s="7">
        <v>0</v>
      </c>
      <c r="V16" s="7">
        <v>0</v>
      </c>
      <c r="W16" s="7">
        <v>0</v>
      </c>
      <c r="X16" s="7">
        <v>-2.8660000000000001</v>
      </c>
      <c r="Y16" s="7">
        <v>0</v>
      </c>
      <c r="Z16" s="7">
        <v>-70.977999999999994</v>
      </c>
      <c r="AA16" s="7">
        <v>0</v>
      </c>
      <c r="AB16" s="7">
        <v>0</v>
      </c>
      <c r="AC16" s="7">
        <v>-2.7E-2</v>
      </c>
      <c r="AD16" s="7">
        <v>-6.1870000000000003</v>
      </c>
      <c r="AE16" s="7">
        <v>0</v>
      </c>
      <c r="AF16" s="7">
        <v>-178.488</v>
      </c>
      <c r="AG16" s="7">
        <v>-85.251999999999995</v>
      </c>
      <c r="AH16" s="7">
        <v>0</v>
      </c>
      <c r="AI16" s="7">
        <v>-678.048</v>
      </c>
      <c r="AJ16" s="7">
        <v>-150.64500000000001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-1.153</v>
      </c>
      <c r="AR16" s="7">
        <v>0</v>
      </c>
      <c r="AS16" s="7">
        <v>-25.98</v>
      </c>
      <c r="AT16" s="7">
        <v>0</v>
      </c>
      <c r="AU16" s="7">
        <v>-0.112</v>
      </c>
      <c r="AV16" s="7">
        <v>0</v>
      </c>
      <c r="AW16" s="7">
        <v>-0.79100000000000004</v>
      </c>
      <c r="AX16" s="7">
        <v>0</v>
      </c>
      <c r="AY16" s="7">
        <v>0</v>
      </c>
      <c r="AZ16" s="7">
        <v>0</v>
      </c>
      <c r="BA16" s="7">
        <v>-0.10199999999999999</v>
      </c>
      <c r="BB16" s="7">
        <v>0</v>
      </c>
      <c r="BC16" s="7">
        <v>0</v>
      </c>
      <c r="BD16" s="7">
        <v>-0.19</v>
      </c>
      <c r="BE16" s="7">
        <v>0</v>
      </c>
      <c r="BF16" s="7">
        <v>0</v>
      </c>
      <c r="BG16" s="7">
        <v>-2.7E-2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21"/>
    </row>
    <row r="17" spans="1:69" ht="15.75" x14ac:dyDescent="0.25">
      <c r="A17" s="5" t="s">
        <v>18</v>
      </c>
      <c r="B17" s="5" t="s">
        <v>19</v>
      </c>
      <c r="C17" s="7">
        <v>2</v>
      </c>
      <c r="D17" s="7">
        <v>2</v>
      </c>
      <c r="E17" s="7">
        <v>918320.89099999995</v>
      </c>
      <c r="F17" s="7">
        <v>67549.659</v>
      </c>
      <c r="G17" s="7">
        <v>181606.035</v>
      </c>
      <c r="H17" s="7">
        <v>0</v>
      </c>
      <c r="I17" s="7">
        <v>26463.837</v>
      </c>
      <c r="J17" s="7">
        <v>126875.89599999999</v>
      </c>
      <c r="K17" s="7">
        <v>0</v>
      </c>
      <c r="L17" s="7">
        <v>0</v>
      </c>
      <c r="M17" s="7">
        <v>184413.88099999999</v>
      </c>
      <c r="N17" s="7">
        <v>324653.413</v>
      </c>
      <c r="O17" s="7">
        <v>0</v>
      </c>
      <c r="P17" s="7">
        <v>0</v>
      </c>
      <c r="Q17" s="7">
        <v>16483.432000000001</v>
      </c>
      <c r="R17" s="7">
        <v>684.82899999999995</v>
      </c>
      <c r="S17" s="7">
        <v>1827.3109999999999</v>
      </c>
      <c r="T17" s="7">
        <v>22300.185000000001</v>
      </c>
      <c r="U17" s="7">
        <v>0</v>
      </c>
      <c r="V17" s="7">
        <v>0</v>
      </c>
      <c r="W17" s="7">
        <v>11764.298000000001</v>
      </c>
      <c r="X17" s="7">
        <v>26477.922999999999</v>
      </c>
      <c r="Y17" s="7">
        <v>0</v>
      </c>
      <c r="Z17" s="7">
        <v>113227.33199999999</v>
      </c>
      <c r="AA17" s="7">
        <v>0</v>
      </c>
      <c r="AB17" s="7">
        <v>140350.27299999999</v>
      </c>
      <c r="AC17" s="7">
        <v>0</v>
      </c>
      <c r="AD17" s="7">
        <v>8712.3870000000006</v>
      </c>
      <c r="AE17" s="7">
        <v>4691.2460000000001</v>
      </c>
      <c r="AF17" s="7">
        <v>281477.55300000001</v>
      </c>
      <c r="AG17" s="7">
        <v>0</v>
      </c>
      <c r="AH17" s="7">
        <v>15636.826999999999</v>
      </c>
      <c r="AI17" s="7">
        <v>944069.00800000003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2218.16</v>
      </c>
      <c r="AR17" s="7">
        <v>0</v>
      </c>
      <c r="AS17" s="7">
        <v>0</v>
      </c>
      <c r="AT17" s="7">
        <v>0</v>
      </c>
      <c r="AU17" s="7">
        <v>586.53200000000004</v>
      </c>
      <c r="AV17" s="7">
        <v>0</v>
      </c>
      <c r="AW17" s="7">
        <v>15082.378000000001</v>
      </c>
      <c r="AX17" s="7">
        <v>0</v>
      </c>
      <c r="AY17" s="7">
        <v>0</v>
      </c>
      <c r="AZ17" s="7">
        <v>0</v>
      </c>
      <c r="BA17" s="7">
        <v>758.67499999999995</v>
      </c>
      <c r="BB17" s="7">
        <v>0</v>
      </c>
      <c r="BC17" s="7">
        <v>0</v>
      </c>
      <c r="BD17" s="7">
        <v>299.92399999999998</v>
      </c>
      <c r="BE17" s="7">
        <v>1261.67</v>
      </c>
      <c r="BF17" s="7">
        <v>0</v>
      </c>
      <c r="BG17" s="7">
        <v>51.558999999999997</v>
      </c>
      <c r="BH17" s="7">
        <v>0</v>
      </c>
      <c r="BI17" s="7">
        <v>0</v>
      </c>
      <c r="BJ17" s="7">
        <v>425.48099999999999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21"/>
    </row>
    <row r="18" spans="1:69" ht="15.75" x14ac:dyDescent="0.25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21"/>
    </row>
    <row r="19" spans="1:69" ht="15.75" x14ac:dyDescent="0.25">
      <c r="A19" s="5" t="s">
        <v>22</v>
      </c>
      <c r="B19" s="5" t="s">
        <v>23</v>
      </c>
      <c r="C19" s="7">
        <v>2</v>
      </c>
      <c r="D19" s="7">
        <v>2</v>
      </c>
      <c r="E19" s="7">
        <v>814351.37399999995</v>
      </c>
      <c r="F19" s="7">
        <v>63131.648000000001</v>
      </c>
      <c r="G19" s="7">
        <v>157149.856</v>
      </c>
      <c r="H19" s="7">
        <v>0</v>
      </c>
      <c r="I19" s="7">
        <v>23089.934000000001</v>
      </c>
      <c r="J19" s="7">
        <v>109790.011</v>
      </c>
      <c r="K19" s="7">
        <v>0</v>
      </c>
      <c r="L19" s="7">
        <v>73363.395999999993</v>
      </c>
      <c r="M19" s="7">
        <v>213830.48800000001</v>
      </c>
      <c r="N19" s="7">
        <v>285156.79100000003</v>
      </c>
      <c r="O19" s="7">
        <v>11961.77</v>
      </c>
      <c r="P19" s="7">
        <v>0</v>
      </c>
      <c r="Q19" s="7">
        <v>0</v>
      </c>
      <c r="R19" s="7">
        <v>1077.2729999999999</v>
      </c>
      <c r="S19" s="7">
        <v>2874.4560000000001</v>
      </c>
      <c r="T19" s="7">
        <v>20652.517</v>
      </c>
      <c r="U19" s="7">
        <v>0</v>
      </c>
      <c r="V19" s="7">
        <v>53815.15</v>
      </c>
      <c r="W19" s="7">
        <v>10180.046</v>
      </c>
      <c r="X19" s="7">
        <v>23284.906999999999</v>
      </c>
      <c r="Y19" s="7">
        <v>0</v>
      </c>
      <c r="Z19" s="7">
        <v>107207.675</v>
      </c>
      <c r="AA19" s="7">
        <v>0</v>
      </c>
      <c r="AB19" s="7">
        <v>121449.84600000001</v>
      </c>
      <c r="AC19" s="7">
        <v>3.4529999999999998</v>
      </c>
      <c r="AD19" s="7">
        <v>8343.4879999999994</v>
      </c>
      <c r="AE19" s="7">
        <v>4059.4940000000001</v>
      </c>
      <c r="AF19" s="7">
        <v>266778.13299999997</v>
      </c>
      <c r="AG19" s="7">
        <v>11083.983</v>
      </c>
      <c r="AH19" s="7">
        <v>13531.076999999999</v>
      </c>
      <c r="AI19" s="7">
        <v>905374.772</v>
      </c>
      <c r="AJ19" s="7">
        <v>19586.075000000001</v>
      </c>
      <c r="AK19" s="7">
        <v>0</v>
      </c>
      <c r="AL19" s="7">
        <v>0</v>
      </c>
      <c r="AM19" s="7">
        <v>0</v>
      </c>
      <c r="AN19" s="7">
        <v>0</v>
      </c>
      <c r="AO19" s="7">
        <v>10014.929</v>
      </c>
      <c r="AP19" s="7">
        <v>0</v>
      </c>
      <c r="AQ19" s="7">
        <v>2069.39</v>
      </c>
      <c r="AR19" s="7">
        <v>0</v>
      </c>
      <c r="AS19" s="7">
        <v>3377.7539999999999</v>
      </c>
      <c r="AT19" s="7">
        <v>0</v>
      </c>
      <c r="AU19" s="7">
        <v>522.16700000000003</v>
      </c>
      <c r="AV19" s="7">
        <v>0</v>
      </c>
      <c r="AW19" s="7">
        <v>13604.776</v>
      </c>
      <c r="AX19" s="7">
        <v>0</v>
      </c>
      <c r="AY19" s="7">
        <v>0</v>
      </c>
      <c r="AZ19" s="7">
        <v>0</v>
      </c>
      <c r="BA19" s="7">
        <v>669.80399999999997</v>
      </c>
      <c r="BB19" s="7">
        <v>0</v>
      </c>
      <c r="BC19" s="7">
        <v>0</v>
      </c>
      <c r="BD19" s="7">
        <v>284.18099999999998</v>
      </c>
      <c r="BE19" s="7">
        <v>1091.7660000000001</v>
      </c>
      <c r="BF19" s="7">
        <v>0</v>
      </c>
      <c r="BG19" s="7">
        <v>48.119</v>
      </c>
      <c r="BH19" s="7">
        <v>0</v>
      </c>
      <c r="BI19" s="7">
        <v>0</v>
      </c>
      <c r="BJ19" s="7">
        <v>368.18299999999999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21"/>
    </row>
    <row r="20" spans="1:69" ht="15.75" x14ac:dyDescent="0.25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277.93900000000002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6.9729999999999999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21"/>
    </row>
    <row r="21" spans="1:69" ht="15.75" x14ac:dyDescent="0.25">
      <c r="A21" s="5" t="s">
        <v>26</v>
      </c>
      <c r="B21" s="5" t="s">
        <v>27</v>
      </c>
      <c r="C21" s="7">
        <v>2</v>
      </c>
      <c r="D21" s="7">
        <v>2</v>
      </c>
      <c r="E21" s="7">
        <v>18118.039000000001</v>
      </c>
      <c r="F21" s="7">
        <v>3986.3380000000002</v>
      </c>
      <c r="G21" s="7">
        <v>0</v>
      </c>
      <c r="H21" s="7">
        <v>0</v>
      </c>
      <c r="I21" s="7">
        <v>186.09100000000001</v>
      </c>
      <c r="J21" s="7">
        <v>0</v>
      </c>
      <c r="K21" s="7">
        <v>0</v>
      </c>
      <c r="L21" s="7">
        <v>149408.64000000001</v>
      </c>
      <c r="M21" s="7">
        <v>46906.381000000001</v>
      </c>
      <c r="N21" s="7">
        <v>4347.99</v>
      </c>
      <c r="O21" s="7">
        <v>0</v>
      </c>
      <c r="P21" s="7">
        <v>0</v>
      </c>
      <c r="Q21" s="7">
        <v>0.54800000000000004</v>
      </c>
      <c r="R21" s="7">
        <v>0</v>
      </c>
      <c r="S21" s="7">
        <v>0</v>
      </c>
      <c r="T21" s="7">
        <v>1136.1600000000001</v>
      </c>
      <c r="U21" s="7">
        <v>1428.153</v>
      </c>
      <c r="V21" s="7">
        <v>109597.549</v>
      </c>
      <c r="W21" s="7">
        <v>0</v>
      </c>
      <c r="X21" s="7">
        <v>335.62</v>
      </c>
      <c r="Y21" s="7">
        <v>0</v>
      </c>
      <c r="Z21" s="7">
        <v>7575.1210000000001</v>
      </c>
      <c r="AA21" s="7">
        <v>0</v>
      </c>
      <c r="AB21" s="7">
        <v>0</v>
      </c>
      <c r="AC21" s="7">
        <v>1.204</v>
      </c>
      <c r="AD21" s="7">
        <v>684.43100000000004</v>
      </c>
      <c r="AE21" s="7">
        <v>0</v>
      </c>
      <c r="AF21" s="7">
        <v>18911.273000000001</v>
      </c>
      <c r="AG21" s="7">
        <v>9455.0859999999993</v>
      </c>
      <c r="AH21" s="7">
        <v>0</v>
      </c>
      <c r="AI21" s="7">
        <v>77178.126999999993</v>
      </c>
      <c r="AJ21" s="7">
        <v>16652.399000000001</v>
      </c>
      <c r="AK21" s="7">
        <v>0</v>
      </c>
      <c r="AL21" s="7">
        <v>545580.22100000002</v>
      </c>
      <c r="AM21" s="7">
        <v>0</v>
      </c>
      <c r="AN21" s="7">
        <v>323868.07900000003</v>
      </c>
      <c r="AO21" s="7">
        <v>20395.958999999999</v>
      </c>
      <c r="AP21" s="7">
        <v>180427.76199999999</v>
      </c>
      <c r="AQ21" s="7">
        <v>107.375</v>
      </c>
      <c r="AR21" s="7">
        <v>0</v>
      </c>
      <c r="AS21" s="7">
        <v>2871.0010000000002</v>
      </c>
      <c r="AT21" s="7">
        <v>0</v>
      </c>
      <c r="AU21" s="7">
        <v>11.627000000000001</v>
      </c>
      <c r="AV21" s="7">
        <v>0</v>
      </c>
      <c r="AW21" s="7">
        <v>136.45500000000001</v>
      </c>
      <c r="AX21" s="7">
        <v>0</v>
      </c>
      <c r="AY21" s="7">
        <v>0</v>
      </c>
      <c r="AZ21" s="7">
        <v>0</v>
      </c>
      <c r="BA21" s="7">
        <v>10.95</v>
      </c>
      <c r="BB21" s="7">
        <v>44.487000000000002</v>
      </c>
      <c r="BC21" s="7">
        <v>0</v>
      </c>
      <c r="BD21" s="7">
        <v>22.027999999999999</v>
      </c>
      <c r="BE21" s="7">
        <v>0</v>
      </c>
      <c r="BF21" s="7">
        <v>89.736999999999995</v>
      </c>
      <c r="BG21" s="7">
        <v>3.0720000000000001</v>
      </c>
      <c r="BH21" s="7">
        <v>42.344000000000001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21"/>
    </row>
    <row r="22" spans="1:69" ht="15.75" x14ac:dyDescent="0.25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21"/>
    </row>
    <row r="23" spans="1:69" ht="15.75" x14ac:dyDescent="0.25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930516.125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21"/>
    </row>
    <row r="24" spans="1:69" ht="15.75" x14ac:dyDescent="0.25">
      <c r="A24" s="5" t="s">
        <v>32</v>
      </c>
      <c r="B24" s="5" t="s">
        <v>33</v>
      </c>
      <c r="C24" s="7">
        <v>2</v>
      </c>
      <c r="D24" s="7">
        <v>2</v>
      </c>
      <c r="E24" s="7">
        <v>7073.2439999999997</v>
      </c>
      <c r="F24" s="7">
        <v>0</v>
      </c>
      <c r="G24" s="7">
        <v>1770.6610000000001</v>
      </c>
      <c r="H24" s="7">
        <v>0</v>
      </c>
      <c r="I24" s="7">
        <v>0</v>
      </c>
      <c r="J24" s="7">
        <v>1358.58</v>
      </c>
      <c r="K24" s="7">
        <v>0</v>
      </c>
      <c r="L24" s="7">
        <v>0</v>
      </c>
      <c r="M24" s="7">
        <v>4320.4120000000003</v>
      </c>
      <c r="N24" s="7">
        <v>2413.105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804.846</v>
      </c>
      <c r="AG24" s="7">
        <v>0</v>
      </c>
      <c r="AH24" s="7">
        <v>0</v>
      </c>
      <c r="AI24" s="7">
        <v>4062.8609999999999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21"/>
    </row>
    <row r="25" spans="1:69" ht="15.75" x14ac:dyDescent="0.25">
      <c r="A25" s="5" t="s">
        <v>34</v>
      </c>
      <c r="B25" s="5" t="s">
        <v>35</v>
      </c>
      <c r="C25" s="7">
        <v>2</v>
      </c>
      <c r="D25" s="7">
        <v>2</v>
      </c>
      <c r="E25" s="7">
        <v>25637.941999999999</v>
      </c>
      <c r="F25" s="7">
        <v>5107.4269999999997</v>
      </c>
      <c r="G25" s="7">
        <v>5206.3829999999998</v>
      </c>
      <c r="H25" s="7">
        <v>0</v>
      </c>
      <c r="I25" s="7">
        <v>1014.14</v>
      </c>
      <c r="J25" s="7">
        <v>4033.7890000000002</v>
      </c>
      <c r="K25" s="7">
        <v>0</v>
      </c>
      <c r="L25" s="7">
        <v>0</v>
      </c>
      <c r="M25" s="7">
        <v>22184.526000000002</v>
      </c>
      <c r="N25" s="7">
        <v>17793.287</v>
      </c>
      <c r="O25" s="7">
        <v>0</v>
      </c>
      <c r="P25" s="7">
        <v>6.343</v>
      </c>
      <c r="Q25" s="7">
        <v>0</v>
      </c>
      <c r="R25" s="7">
        <v>4.1310000000000002</v>
      </c>
      <c r="S25" s="7">
        <v>0</v>
      </c>
      <c r="T25" s="7">
        <v>1581.3969999999999</v>
      </c>
      <c r="U25" s="7">
        <v>0</v>
      </c>
      <c r="V25" s="7">
        <v>0</v>
      </c>
      <c r="W25" s="7">
        <v>525.37</v>
      </c>
      <c r="X25" s="7">
        <v>1408.62</v>
      </c>
      <c r="Y25" s="7">
        <v>23349.749</v>
      </c>
      <c r="Z25" s="7">
        <v>4780.357</v>
      </c>
      <c r="AA25" s="7">
        <v>29.693000000000001</v>
      </c>
      <c r="AB25" s="7">
        <v>4934.6009999999997</v>
      </c>
      <c r="AC25" s="7">
        <v>167.89</v>
      </c>
      <c r="AD25" s="7">
        <v>707.46299999999997</v>
      </c>
      <c r="AE25" s="7">
        <v>32.609000000000002</v>
      </c>
      <c r="AF25" s="7">
        <v>13510.739</v>
      </c>
      <c r="AG25" s="7">
        <v>626.39700000000005</v>
      </c>
      <c r="AH25" s="7">
        <v>140.29</v>
      </c>
      <c r="AI25" s="7">
        <v>75863.629000000001</v>
      </c>
      <c r="AJ25" s="7">
        <v>1106.8820000000001</v>
      </c>
      <c r="AK25" s="7">
        <v>161.905</v>
      </c>
      <c r="AL25" s="7">
        <v>127971.126</v>
      </c>
      <c r="AM25" s="7">
        <v>0</v>
      </c>
      <c r="AN25" s="7">
        <v>75966.395000000004</v>
      </c>
      <c r="AO25" s="7">
        <v>0</v>
      </c>
      <c r="AP25" s="7">
        <v>42321.078999999998</v>
      </c>
      <c r="AQ25" s="7">
        <v>104.179</v>
      </c>
      <c r="AR25" s="7">
        <v>0</v>
      </c>
      <c r="AS25" s="7">
        <v>190.88900000000001</v>
      </c>
      <c r="AT25" s="7">
        <v>0</v>
      </c>
      <c r="AU25" s="7">
        <v>4.968</v>
      </c>
      <c r="AV25" s="7">
        <v>0</v>
      </c>
      <c r="AW25" s="7">
        <v>1190.3489999999999</v>
      </c>
      <c r="AX25" s="7">
        <v>0</v>
      </c>
      <c r="AY25" s="7">
        <v>0</v>
      </c>
      <c r="AZ25" s="7">
        <v>9317.4809999999998</v>
      </c>
      <c r="BA25" s="7">
        <v>35.451999999999998</v>
      </c>
      <c r="BB25" s="7">
        <v>0</v>
      </c>
      <c r="BC25" s="7">
        <v>3550.413</v>
      </c>
      <c r="BD25" s="7">
        <v>19.289000000000001</v>
      </c>
      <c r="BE25" s="7">
        <v>65.251000000000005</v>
      </c>
      <c r="BF25" s="7">
        <v>0</v>
      </c>
      <c r="BG25" s="7">
        <v>2.81</v>
      </c>
      <c r="BH25" s="7">
        <v>0</v>
      </c>
      <c r="BI25" s="7">
        <v>34521.159</v>
      </c>
      <c r="BJ25" s="7">
        <v>24.981999999999999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21"/>
    </row>
    <row r="26" spans="1:69" ht="15.75" x14ac:dyDescent="0.25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21"/>
    </row>
    <row r="27" spans="1:69" ht="15.75" x14ac:dyDescent="0.25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21"/>
    </row>
    <row r="28" spans="1:69" ht="15.75" x14ac:dyDescent="0.25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21"/>
    </row>
    <row r="29" spans="1:69" ht="15.75" x14ac:dyDescent="0.25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21"/>
    </row>
    <row r="30" spans="1:69" ht="15.75" x14ac:dyDescent="0.25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21"/>
    </row>
    <row r="31" spans="1:69" ht="15.75" x14ac:dyDescent="0.25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21"/>
    </row>
    <row r="32" spans="1:69" ht="15.75" x14ac:dyDescent="0.25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21"/>
    </row>
    <row r="33" spans="1:69" ht="15.75" x14ac:dyDescent="0.25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21"/>
    </row>
    <row r="34" spans="1:69" ht="15.75" x14ac:dyDescent="0.25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21"/>
    </row>
    <row r="35" spans="1:69" ht="15.75" x14ac:dyDescent="0.25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21"/>
    </row>
    <row r="36" spans="1:69" ht="15.75" x14ac:dyDescent="0.25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4712.8040000000001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3457.0410000000002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18.21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643.351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21"/>
    </row>
    <row r="37" spans="1:69" ht="15.75" x14ac:dyDescent="0.25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21"/>
    </row>
    <row r="38" spans="1:69" ht="15.75" x14ac:dyDescent="0.25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21"/>
    </row>
    <row r="39" spans="1:69" ht="15.75" x14ac:dyDescent="0.25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21"/>
    </row>
    <row r="40" spans="1:69" ht="15.75" x14ac:dyDescent="0.25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21"/>
    </row>
    <row r="41" spans="1:69" ht="15.75" x14ac:dyDescent="0.25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21"/>
    </row>
    <row r="42" spans="1:69" ht="15.75" x14ac:dyDescent="0.25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21"/>
    </row>
    <row r="43" spans="1:69" ht="15.75" x14ac:dyDescent="0.25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21"/>
    </row>
    <row r="44" spans="1:69" ht="15.75" x14ac:dyDescent="0.25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21"/>
    </row>
    <row r="45" spans="1:69" ht="15.75" x14ac:dyDescent="0.25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21"/>
    </row>
    <row r="46" spans="1:69" ht="15.75" x14ac:dyDescent="0.25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21"/>
    </row>
    <row r="47" spans="1:69" ht="15.75" x14ac:dyDescent="0.25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21"/>
    </row>
    <row r="48" spans="1:69" ht="15.75" x14ac:dyDescent="0.25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21"/>
    </row>
    <row r="49" spans="1:69" ht="15.75" x14ac:dyDescent="0.25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21"/>
    </row>
    <row r="50" spans="1:69" ht="15.75" x14ac:dyDescent="0.25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21"/>
    </row>
    <row r="51" spans="1:69" ht="15.75" x14ac:dyDescent="0.25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21"/>
    </row>
    <row r="52" spans="1:69" ht="15.75" x14ac:dyDescent="0.25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21"/>
    </row>
    <row r="53" spans="1:69" ht="15.75" x14ac:dyDescent="0.25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21"/>
    </row>
    <row r="54" spans="1:69" ht="15.75" x14ac:dyDescent="0.25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21"/>
    </row>
    <row r="55" spans="1:69" ht="15.75" x14ac:dyDescent="0.25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21"/>
    </row>
    <row r="56" spans="1:69" ht="15.75" x14ac:dyDescent="0.25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21"/>
    </row>
    <row r="57" spans="1:69" ht="15.75" x14ac:dyDescent="0.25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21"/>
    </row>
    <row r="58" spans="1:69" ht="15.75" x14ac:dyDescent="0.25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21"/>
    </row>
    <row r="59" spans="1:69" ht="15.75" x14ac:dyDescent="0.25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21"/>
    </row>
    <row r="60" spans="1:69" ht="15.75" x14ac:dyDescent="0.25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21"/>
    </row>
    <row r="61" spans="1:69" ht="15.75" x14ac:dyDescent="0.25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21"/>
    </row>
    <row r="62" spans="1:69" ht="15.75" x14ac:dyDescent="0.25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21"/>
    </row>
    <row r="63" spans="1:69" ht="15.75" x14ac:dyDescent="0.25">
      <c r="A63" s="5" t="s">
        <v>110</v>
      </c>
      <c r="B63" s="5" t="s">
        <v>111</v>
      </c>
      <c r="C63" s="7">
        <v>3</v>
      </c>
      <c r="D63" s="7">
        <v>3</v>
      </c>
      <c r="E63" s="7">
        <v>902437.9</v>
      </c>
      <c r="F63" s="7">
        <v>93736.784</v>
      </c>
      <c r="G63" s="7">
        <v>247177.592</v>
      </c>
      <c r="H63" s="7">
        <v>23032.05</v>
      </c>
      <c r="I63" s="7">
        <v>19710.217000000001</v>
      </c>
      <c r="J63" s="7">
        <v>168098.58100000001</v>
      </c>
      <c r="K63" s="7">
        <v>0</v>
      </c>
      <c r="L63" s="7">
        <v>0</v>
      </c>
      <c r="M63" s="7">
        <v>304565.424</v>
      </c>
      <c r="N63" s="7">
        <v>561069.21299999999</v>
      </c>
      <c r="O63" s="7">
        <v>0</v>
      </c>
      <c r="P63" s="7">
        <v>0</v>
      </c>
      <c r="Q63" s="7">
        <v>43.411999999999999</v>
      </c>
      <c r="R63" s="7">
        <v>1217.1759999999999</v>
      </c>
      <c r="S63" s="7">
        <v>4486.1660000000002</v>
      </c>
      <c r="T63" s="7">
        <v>41440.014000000003</v>
      </c>
      <c r="U63" s="7">
        <v>0</v>
      </c>
      <c r="V63" s="7">
        <v>0</v>
      </c>
      <c r="W63" s="7">
        <v>18918.107</v>
      </c>
      <c r="X63" s="7">
        <v>48458.398000000001</v>
      </c>
      <c r="Y63" s="7">
        <v>0</v>
      </c>
      <c r="Z63" s="7">
        <v>90181.452999999994</v>
      </c>
      <c r="AA63" s="7">
        <v>0</v>
      </c>
      <c r="AB63" s="7">
        <v>196602.54500000001</v>
      </c>
      <c r="AC63" s="7">
        <v>0</v>
      </c>
      <c r="AD63" s="7">
        <v>16805.66</v>
      </c>
      <c r="AE63" s="7">
        <v>257.68900000000002</v>
      </c>
      <c r="AF63" s="7">
        <v>204467.86</v>
      </c>
      <c r="AG63" s="7">
        <v>0</v>
      </c>
      <c r="AH63" s="7">
        <v>444.06599999999997</v>
      </c>
      <c r="AI63" s="7">
        <v>960063.68799999997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2660.1239999999998</v>
      </c>
      <c r="AR63" s="7">
        <v>0</v>
      </c>
      <c r="AS63" s="7">
        <v>0</v>
      </c>
      <c r="AT63" s="7">
        <v>0</v>
      </c>
      <c r="AU63" s="7">
        <v>262.57600000000002</v>
      </c>
      <c r="AV63" s="7">
        <v>0</v>
      </c>
      <c r="AW63" s="7">
        <v>10093.17</v>
      </c>
      <c r="AX63" s="7">
        <v>0</v>
      </c>
      <c r="AY63" s="7">
        <v>0</v>
      </c>
      <c r="AZ63" s="7">
        <v>0</v>
      </c>
      <c r="BA63" s="7">
        <v>1358.5250000000001</v>
      </c>
      <c r="BB63" s="7">
        <v>0</v>
      </c>
      <c r="BC63" s="7">
        <v>0</v>
      </c>
      <c r="BD63" s="7">
        <v>568.86800000000005</v>
      </c>
      <c r="BE63" s="7">
        <v>2412.2840000000001</v>
      </c>
      <c r="BF63" s="7">
        <v>0</v>
      </c>
      <c r="BG63" s="7">
        <v>79.283000000000001</v>
      </c>
      <c r="BH63" s="7">
        <v>0</v>
      </c>
      <c r="BI63" s="7">
        <v>0</v>
      </c>
      <c r="BJ63" s="7">
        <v>895.76400000000001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21"/>
    </row>
    <row r="64" spans="1:69" ht="15.75" x14ac:dyDescent="0.25">
      <c r="A64" s="5" t="s">
        <v>112</v>
      </c>
      <c r="B64" s="5" t="s">
        <v>113</v>
      </c>
      <c r="C64" s="7">
        <v>3</v>
      </c>
      <c r="D64" s="7">
        <v>3</v>
      </c>
      <c r="E64" s="7">
        <v>8439.3179999999993</v>
      </c>
      <c r="F64" s="7">
        <v>808.97699999999998</v>
      </c>
      <c r="G64" s="7">
        <v>1455.155</v>
      </c>
      <c r="H64" s="7">
        <v>0</v>
      </c>
      <c r="I64" s="7">
        <v>149.55799999999999</v>
      </c>
      <c r="J64" s="7">
        <v>965.33</v>
      </c>
      <c r="K64" s="7">
        <v>0</v>
      </c>
      <c r="L64" s="7">
        <v>0</v>
      </c>
      <c r="M64" s="7">
        <v>3591.2869999999998</v>
      </c>
      <c r="N64" s="7">
        <v>3953.7049999999999</v>
      </c>
      <c r="O64" s="7">
        <v>0</v>
      </c>
      <c r="P64" s="7">
        <v>0</v>
      </c>
      <c r="Q64" s="7">
        <v>0.17699999999999999</v>
      </c>
      <c r="R64" s="7">
        <v>128.46700000000001</v>
      </c>
      <c r="S64" s="7">
        <v>473.49200000000002</v>
      </c>
      <c r="T64" s="7">
        <v>347.91699999999997</v>
      </c>
      <c r="U64" s="7">
        <v>0</v>
      </c>
      <c r="V64" s="7">
        <v>0</v>
      </c>
      <c r="W64" s="7">
        <v>148.476</v>
      </c>
      <c r="X64" s="7">
        <v>303.79899999999998</v>
      </c>
      <c r="Y64" s="7">
        <v>0</v>
      </c>
      <c r="Z64" s="7">
        <v>709.46900000000005</v>
      </c>
      <c r="AA64" s="7">
        <v>0</v>
      </c>
      <c r="AB64" s="7">
        <v>1136.606</v>
      </c>
      <c r="AC64" s="7">
        <v>0</v>
      </c>
      <c r="AD64" s="7">
        <v>141.346</v>
      </c>
      <c r="AE64" s="7">
        <v>0</v>
      </c>
      <c r="AF64" s="7">
        <v>3641.627</v>
      </c>
      <c r="AG64" s="7">
        <v>0</v>
      </c>
      <c r="AH64" s="7">
        <v>0</v>
      </c>
      <c r="AI64" s="7">
        <v>6555.6170000000002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17.268999999999998</v>
      </c>
      <c r="AR64" s="7">
        <v>0</v>
      </c>
      <c r="AS64" s="7">
        <v>0</v>
      </c>
      <c r="AT64" s="7">
        <v>0</v>
      </c>
      <c r="AU64" s="7">
        <v>3.1890000000000001</v>
      </c>
      <c r="AV64" s="7">
        <v>0</v>
      </c>
      <c r="AW64" s="7">
        <v>94.668999999999997</v>
      </c>
      <c r="AX64" s="7">
        <v>0</v>
      </c>
      <c r="AY64" s="7">
        <v>0</v>
      </c>
      <c r="AZ64" s="7">
        <v>0</v>
      </c>
      <c r="BA64" s="7">
        <v>9.5649999999999995</v>
      </c>
      <c r="BB64" s="7">
        <v>0</v>
      </c>
      <c r="BC64" s="7">
        <v>0</v>
      </c>
      <c r="BD64" s="7">
        <v>4</v>
      </c>
      <c r="BE64" s="7">
        <v>16.143999999999998</v>
      </c>
      <c r="BF64" s="7">
        <v>0</v>
      </c>
      <c r="BG64" s="7">
        <v>0.55800000000000005</v>
      </c>
      <c r="BH64" s="7">
        <v>0</v>
      </c>
      <c r="BI64" s="7">
        <v>0</v>
      </c>
      <c r="BJ64" s="7">
        <v>6.0990000000000002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21"/>
    </row>
    <row r="65" spans="1:69" ht="15.75" x14ac:dyDescent="0.25">
      <c r="A65" s="5" t="s">
        <v>114</v>
      </c>
      <c r="B65" s="5" t="s">
        <v>115</v>
      </c>
      <c r="C65" s="7">
        <v>3</v>
      </c>
      <c r="D65" s="7">
        <v>3</v>
      </c>
      <c r="E65" s="7">
        <v>164466.50899999999</v>
      </c>
      <c r="F65" s="7">
        <v>18992.695</v>
      </c>
      <c r="G65" s="7">
        <v>39620.671000000002</v>
      </c>
      <c r="H65" s="7">
        <v>197.98400000000001</v>
      </c>
      <c r="I65" s="7">
        <v>3676.6109999999999</v>
      </c>
      <c r="J65" s="7">
        <v>26570.29</v>
      </c>
      <c r="K65" s="7">
        <v>0</v>
      </c>
      <c r="L65" s="7">
        <v>39562.707000000002</v>
      </c>
      <c r="M65" s="7">
        <v>65266.504000000001</v>
      </c>
      <c r="N65" s="7">
        <v>99973.826000000001</v>
      </c>
      <c r="O65" s="7">
        <v>953.52200000000005</v>
      </c>
      <c r="P65" s="7">
        <v>0</v>
      </c>
      <c r="Q65" s="7">
        <v>5.7460000000000004</v>
      </c>
      <c r="R65" s="7">
        <v>463.24599999999998</v>
      </c>
      <c r="S65" s="7">
        <v>1707.395</v>
      </c>
      <c r="T65" s="7">
        <v>8246.4419999999991</v>
      </c>
      <c r="U65" s="7">
        <v>0</v>
      </c>
      <c r="V65" s="7">
        <v>29020.917000000001</v>
      </c>
      <c r="W65" s="7">
        <v>3604.8960000000002</v>
      </c>
      <c r="X65" s="7">
        <v>8053.26</v>
      </c>
      <c r="Y65" s="7">
        <v>0</v>
      </c>
      <c r="Z65" s="7">
        <v>17210.440999999999</v>
      </c>
      <c r="AA65" s="7">
        <v>0</v>
      </c>
      <c r="AB65" s="7">
        <v>31192.814999999999</v>
      </c>
      <c r="AC65" s="7">
        <v>0</v>
      </c>
      <c r="AD65" s="7">
        <v>3348.1579999999999</v>
      </c>
      <c r="AE65" s="7">
        <v>0</v>
      </c>
      <c r="AF65" s="7">
        <v>37255.807999999997</v>
      </c>
      <c r="AG65" s="7">
        <v>0</v>
      </c>
      <c r="AH65" s="7">
        <v>0</v>
      </c>
      <c r="AI65" s="7">
        <v>167985.943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5400.7539999999999</v>
      </c>
      <c r="AP65" s="7">
        <v>0</v>
      </c>
      <c r="AQ65" s="7">
        <v>451.22</v>
      </c>
      <c r="AR65" s="7">
        <v>0</v>
      </c>
      <c r="AS65" s="7">
        <v>0</v>
      </c>
      <c r="AT65" s="7">
        <v>0</v>
      </c>
      <c r="AU65" s="7">
        <v>67.438999999999993</v>
      </c>
      <c r="AV65" s="7">
        <v>0</v>
      </c>
      <c r="AW65" s="7">
        <v>2317.212</v>
      </c>
      <c r="AX65" s="7">
        <v>0</v>
      </c>
      <c r="AY65" s="7">
        <v>0</v>
      </c>
      <c r="AZ65" s="7">
        <v>0</v>
      </c>
      <c r="BA65" s="7">
        <v>241.935</v>
      </c>
      <c r="BB65" s="7">
        <v>0</v>
      </c>
      <c r="BC65" s="7">
        <v>0</v>
      </c>
      <c r="BD65" s="7">
        <v>101.22499999999999</v>
      </c>
      <c r="BE65" s="7">
        <v>416.649</v>
      </c>
      <c r="BF65" s="7">
        <v>0</v>
      </c>
      <c r="BG65" s="7">
        <v>14.114000000000001</v>
      </c>
      <c r="BH65" s="7">
        <v>0</v>
      </c>
      <c r="BI65" s="7">
        <v>0</v>
      </c>
      <c r="BJ65" s="7">
        <v>156.32300000000001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21"/>
    </row>
    <row r="66" spans="1:69" ht="15.75" x14ac:dyDescent="0.25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21"/>
    </row>
    <row r="67" spans="1:69" ht="15.75" x14ac:dyDescent="0.25">
      <c r="A67" s="5" t="s">
        <v>118</v>
      </c>
      <c r="B67" s="5" t="s">
        <v>119</v>
      </c>
      <c r="C67" s="7">
        <v>3</v>
      </c>
      <c r="D67" s="7">
        <v>3</v>
      </c>
      <c r="E67" s="7">
        <v>193609.133</v>
      </c>
      <c r="F67" s="7">
        <v>24997.276999999998</v>
      </c>
      <c r="G67" s="7">
        <v>43239.364999999998</v>
      </c>
      <c r="H67" s="7">
        <v>15302.226000000001</v>
      </c>
      <c r="I67" s="7">
        <v>4510.232</v>
      </c>
      <c r="J67" s="7">
        <v>28720.91</v>
      </c>
      <c r="K67" s="7">
        <v>0</v>
      </c>
      <c r="L67" s="7">
        <v>0</v>
      </c>
      <c r="M67" s="7">
        <v>89756.823999999993</v>
      </c>
      <c r="N67" s="7">
        <v>119490.91499999999</v>
      </c>
      <c r="O67" s="7">
        <v>0</v>
      </c>
      <c r="P67" s="7">
        <v>0</v>
      </c>
      <c r="Q67" s="7">
        <v>4.8470000000000004</v>
      </c>
      <c r="R67" s="7">
        <v>434.87400000000002</v>
      </c>
      <c r="S67" s="7">
        <v>1602.8240000000001</v>
      </c>
      <c r="T67" s="7">
        <v>10599.686</v>
      </c>
      <c r="U67" s="7">
        <v>0</v>
      </c>
      <c r="V67" s="7">
        <v>0</v>
      </c>
      <c r="W67" s="7">
        <v>4493.4340000000002</v>
      </c>
      <c r="X67" s="7">
        <v>8956.4189999999999</v>
      </c>
      <c r="Y67" s="7">
        <v>0</v>
      </c>
      <c r="Z67" s="7">
        <v>21646.203000000001</v>
      </c>
      <c r="AA67" s="7">
        <v>0</v>
      </c>
      <c r="AB67" s="7">
        <v>33245.976999999999</v>
      </c>
      <c r="AC67" s="7">
        <v>0</v>
      </c>
      <c r="AD67" s="7">
        <v>4307.01</v>
      </c>
      <c r="AE67" s="7">
        <v>0</v>
      </c>
      <c r="AF67" s="7">
        <v>38595.118999999999</v>
      </c>
      <c r="AG67" s="7">
        <v>0</v>
      </c>
      <c r="AH67" s="7">
        <v>0</v>
      </c>
      <c r="AI67" s="7">
        <v>198957.962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511.423</v>
      </c>
      <c r="AR67" s="7">
        <v>0</v>
      </c>
      <c r="AS67" s="7">
        <v>0</v>
      </c>
      <c r="AT67" s="7">
        <v>0</v>
      </c>
      <c r="AU67" s="7">
        <v>100.009</v>
      </c>
      <c r="AV67" s="7">
        <v>0</v>
      </c>
      <c r="AW67" s="7">
        <v>3027.752</v>
      </c>
      <c r="AX67" s="7">
        <v>0</v>
      </c>
      <c r="AY67" s="7">
        <v>0</v>
      </c>
      <c r="AZ67" s="7">
        <v>0</v>
      </c>
      <c r="BA67" s="7">
        <v>286.04899999999998</v>
      </c>
      <c r="BB67" s="7">
        <v>0</v>
      </c>
      <c r="BC67" s="7">
        <v>0</v>
      </c>
      <c r="BD67" s="7">
        <v>119.6</v>
      </c>
      <c r="BE67" s="7">
        <v>479.92700000000002</v>
      </c>
      <c r="BF67" s="7">
        <v>0</v>
      </c>
      <c r="BG67" s="7">
        <v>16.681999999999999</v>
      </c>
      <c r="BH67" s="7">
        <v>0</v>
      </c>
      <c r="BI67" s="7">
        <v>0</v>
      </c>
      <c r="BJ67" s="7">
        <v>181.68899999999999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21"/>
    </row>
    <row r="68" spans="1:69" ht="15.75" x14ac:dyDescent="0.25">
      <c r="A68" s="5" t="s">
        <v>120</v>
      </c>
      <c r="B68" s="5" t="s">
        <v>121</v>
      </c>
      <c r="C68" s="7">
        <v>3</v>
      </c>
      <c r="D68" s="7">
        <v>3</v>
      </c>
      <c r="E68" s="7">
        <v>30102.217000000001</v>
      </c>
      <c r="F68" s="7">
        <v>3847.393</v>
      </c>
      <c r="G68" s="7">
        <v>6622.3389999999999</v>
      </c>
      <c r="H68" s="7">
        <v>0</v>
      </c>
      <c r="I68" s="7">
        <v>702.24300000000005</v>
      </c>
      <c r="J68" s="7">
        <v>4377.5150000000003</v>
      </c>
      <c r="K68" s="7">
        <v>0</v>
      </c>
      <c r="L68" s="7">
        <v>0</v>
      </c>
      <c r="M68" s="7">
        <v>13401.212</v>
      </c>
      <c r="N68" s="7">
        <v>18412.584999999999</v>
      </c>
      <c r="O68" s="7">
        <v>0</v>
      </c>
      <c r="P68" s="7">
        <v>0</v>
      </c>
      <c r="Q68" s="7">
        <v>0.755</v>
      </c>
      <c r="R68" s="7">
        <v>80.739999999999995</v>
      </c>
      <c r="S68" s="7">
        <v>297.58300000000003</v>
      </c>
      <c r="T68" s="7">
        <v>1650.3710000000001</v>
      </c>
      <c r="U68" s="7">
        <v>0</v>
      </c>
      <c r="V68" s="7">
        <v>0</v>
      </c>
      <c r="W68" s="7">
        <v>699.62800000000004</v>
      </c>
      <c r="X68" s="7">
        <v>1394.5150000000001</v>
      </c>
      <c r="Y68" s="7">
        <v>0</v>
      </c>
      <c r="Z68" s="7">
        <v>3343.88</v>
      </c>
      <c r="AA68" s="7">
        <v>0</v>
      </c>
      <c r="AB68" s="7">
        <v>5159.2240000000002</v>
      </c>
      <c r="AC68" s="7">
        <v>0</v>
      </c>
      <c r="AD68" s="7">
        <v>670.60199999999998</v>
      </c>
      <c r="AE68" s="7">
        <v>0</v>
      </c>
      <c r="AF68" s="7">
        <v>6115.7439999999997</v>
      </c>
      <c r="AG68" s="7">
        <v>0</v>
      </c>
      <c r="AH68" s="7">
        <v>0</v>
      </c>
      <c r="AI68" s="7">
        <v>30416.867999999999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79.629000000000005</v>
      </c>
      <c r="AR68" s="7">
        <v>0</v>
      </c>
      <c r="AS68" s="7">
        <v>0</v>
      </c>
      <c r="AT68" s="7">
        <v>0</v>
      </c>
      <c r="AU68" s="7">
        <v>15.571</v>
      </c>
      <c r="AV68" s="7">
        <v>0</v>
      </c>
      <c r="AW68" s="7">
        <v>482.26100000000002</v>
      </c>
      <c r="AX68" s="7">
        <v>0</v>
      </c>
      <c r="AY68" s="7">
        <v>0</v>
      </c>
      <c r="AZ68" s="7">
        <v>0</v>
      </c>
      <c r="BA68" s="7">
        <v>44.537999999999997</v>
      </c>
      <c r="BB68" s="7">
        <v>0</v>
      </c>
      <c r="BC68" s="7">
        <v>0</v>
      </c>
      <c r="BD68" s="7">
        <v>18.622</v>
      </c>
      <c r="BE68" s="7">
        <v>74.724999999999994</v>
      </c>
      <c r="BF68" s="7">
        <v>0</v>
      </c>
      <c r="BG68" s="7">
        <v>2.597</v>
      </c>
      <c r="BH68" s="7">
        <v>0</v>
      </c>
      <c r="BI68" s="7">
        <v>0</v>
      </c>
      <c r="BJ68" s="7">
        <v>28.289000000000001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21"/>
    </row>
    <row r="69" spans="1:69" ht="15.75" x14ac:dyDescent="0.25">
      <c r="A69" s="5" t="s">
        <v>122</v>
      </c>
      <c r="B69" s="5" t="s">
        <v>123</v>
      </c>
      <c r="C69" s="7">
        <v>3</v>
      </c>
      <c r="D69" s="7">
        <v>3</v>
      </c>
      <c r="E69" s="7">
        <v>180913.1</v>
      </c>
      <c r="F69" s="7">
        <v>22712.284</v>
      </c>
      <c r="G69" s="7">
        <v>39093.597000000002</v>
      </c>
      <c r="H69" s="7">
        <v>0</v>
      </c>
      <c r="I69" s="7">
        <v>4145.5469999999996</v>
      </c>
      <c r="J69" s="7">
        <v>25841.745999999999</v>
      </c>
      <c r="K69" s="7">
        <v>0</v>
      </c>
      <c r="L69" s="7">
        <v>10509.825999999999</v>
      </c>
      <c r="M69" s="7">
        <v>80387.466</v>
      </c>
      <c r="N69" s="7">
        <v>108694.86199999999</v>
      </c>
      <c r="O69" s="7">
        <v>0</v>
      </c>
      <c r="P69" s="7">
        <v>0</v>
      </c>
      <c r="Q69" s="7">
        <v>4.4550000000000001</v>
      </c>
      <c r="R69" s="7">
        <v>657.73800000000006</v>
      </c>
      <c r="S69" s="7">
        <v>2424.2350000000001</v>
      </c>
      <c r="T69" s="7">
        <v>9742.6229999999996</v>
      </c>
      <c r="U69" s="7">
        <v>0</v>
      </c>
      <c r="V69" s="7">
        <v>7709.402</v>
      </c>
      <c r="W69" s="7">
        <v>4130.107</v>
      </c>
      <c r="X69" s="7">
        <v>8232.2260000000006</v>
      </c>
      <c r="Y69" s="7">
        <v>0</v>
      </c>
      <c r="Z69" s="7">
        <v>19739.898000000001</v>
      </c>
      <c r="AA69" s="7">
        <v>0</v>
      </c>
      <c r="AB69" s="7">
        <v>30456.401000000002</v>
      </c>
      <c r="AC69" s="7">
        <v>0</v>
      </c>
      <c r="AD69" s="7">
        <v>3958.7559999999999</v>
      </c>
      <c r="AE69" s="7">
        <v>0</v>
      </c>
      <c r="AF69" s="7">
        <v>39845.483</v>
      </c>
      <c r="AG69" s="7">
        <v>0</v>
      </c>
      <c r="AH69" s="7">
        <v>0</v>
      </c>
      <c r="AI69" s="7">
        <v>179600.25200000001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1434.7090000000001</v>
      </c>
      <c r="AP69" s="7">
        <v>0</v>
      </c>
      <c r="AQ69" s="7">
        <v>470.07100000000003</v>
      </c>
      <c r="AR69" s="7">
        <v>0</v>
      </c>
      <c r="AS69" s="7">
        <v>0</v>
      </c>
      <c r="AT69" s="7">
        <v>0</v>
      </c>
      <c r="AU69" s="7">
        <v>91.923000000000002</v>
      </c>
      <c r="AV69" s="7">
        <v>0</v>
      </c>
      <c r="AW69" s="7">
        <v>2784.578</v>
      </c>
      <c r="AX69" s="7">
        <v>0</v>
      </c>
      <c r="AY69" s="7">
        <v>0</v>
      </c>
      <c r="AZ69" s="7">
        <v>0</v>
      </c>
      <c r="BA69" s="7">
        <v>262.92</v>
      </c>
      <c r="BB69" s="7">
        <v>0</v>
      </c>
      <c r="BC69" s="7">
        <v>0</v>
      </c>
      <c r="BD69" s="7">
        <v>109.93</v>
      </c>
      <c r="BE69" s="7">
        <v>441.12200000000001</v>
      </c>
      <c r="BF69" s="7">
        <v>0</v>
      </c>
      <c r="BG69" s="7">
        <v>15.333</v>
      </c>
      <c r="BH69" s="7">
        <v>0</v>
      </c>
      <c r="BI69" s="7">
        <v>0</v>
      </c>
      <c r="BJ69" s="7">
        <v>166.99799999999999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21"/>
    </row>
    <row r="70" spans="1:69" ht="15.75" x14ac:dyDescent="0.25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21"/>
    </row>
    <row r="71" spans="1:69" ht="15.75" x14ac:dyDescent="0.25">
      <c r="A71" s="5" t="s">
        <v>126</v>
      </c>
      <c r="B71" s="5" t="s">
        <v>127</v>
      </c>
      <c r="C71" s="7">
        <v>3</v>
      </c>
      <c r="D71" s="7">
        <v>3</v>
      </c>
      <c r="E71" s="7">
        <v>41926.472000000002</v>
      </c>
      <c r="F71" s="7">
        <v>5626.2079999999996</v>
      </c>
      <c r="G71" s="7">
        <v>9684.1290000000008</v>
      </c>
      <c r="H71" s="7">
        <v>9754.6919999999991</v>
      </c>
      <c r="I71" s="7">
        <v>1026.92</v>
      </c>
      <c r="J71" s="7">
        <v>6401.4269999999997</v>
      </c>
      <c r="K71" s="7">
        <v>0</v>
      </c>
      <c r="L71" s="7">
        <v>0</v>
      </c>
      <c r="M71" s="7">
        <v>18765.175999999999</v>
      </c>
      <c r="N71" s="7">
        <v>26925.510999999999</v>
      </c>
      <c r="O71" s="7">
        <v>0</v>
      </c>
      <c r="P71" s="7">
        <v>0</v>
      </c>
      <c r="Q71" s="7">
        <v>1.1040000000000001</v>
      </c>
      <c r="R71" s="7">
        <v>0</v>
      </c>
      <c r="S71" s="7">
        <v>0</v>
      </c>
      <c r="T71" s="7">
        <v>2413.4090000000001</v>
      </c>
      <c r="U71" s="7">
        <v>0</v>
      </c>
      <c r="V71" s="7">
        <v>0</v>
      </c>
      <c r="W71" s="7">
        <v>1023.096</v>
      </c>
      <c r="X71" s="7">
        <v>2039.258</v>
      </c>
      <c r="Y71" s="7">
        <v>0</v>
      </c>
      <c r="Z71" s="7">
        <v>4889.8990000000003</v>
      </c>
      <c r="AA71" s="7">
        <v>0</v>
      </c>
      <c r="AB71" s="7">
        <v>7544.5529999999999</v>
      </c>
      <c r="AC71" s="7">
        <v>0</v>
      </c>
      <c r="AD71" s="7">
        <v>980.649</v>
      </c>
      <c r="AE71" s="7">
        <v>0</v>
      </c>
      <c r="AF71" s="7">
        <v>6503.5069999999996</v>
      </c>
      <c r="AG71" s="7">
        <v>0</v>
      </c>
      <c r="AH71" s="7">
        <v>0</v>
      </c>
      <c r="AI71" s="7">
        <v>44479.887999999999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116.444</v>
      </c>
      <c r="AR71" s="7">
        <v>0</v>
      </c>
      <c r="AS71" s="7">
        <v>0</v>
      </c>
      <c r="AT71" s="7">
        <v>0</v>
      </c>
      <c r="AU71" s="7">
        <v>22.771000000000001</v>
      </c>
      <c r="AV71" s="7">
        <v>0</v>
      </c>
      <c r="AW71" s="7">
        <v>665.53200000000004</v>
      </c>
      <c r="AX71" s="7">
        <v>0</v>
      </c>
      <c r="AY71" s="7">
        <v>0</v>
      </c>
      <c r="AZ71" s="7">
        <v>0</v>
      </c>
      <c r="BA71" s="7">
        <v>65.13</v>
      </c>
      <c r="BB71" s="7">
        <v>0</v>
      </c>
      <c r="BC71" s="7">
        <v>0</v>
      </c>
      <c r="BD71" s="7">
        <v>27.231000000000002</v>
      </c>
      <c r="BE71" s="7">
        <v>109.273</v>
      </c>
      <c r="BF71" s="7">
        <v>0</v>
      </c>
      <c r="BG71" s="7">
        <v>3.798</v>
      </c>
      <c r="BH71" s="7">
        <v>0</v>
      </c>
      <c r="BI71" s="7">
        <v>0</v>
      </c>
      <c r="BJ71" s="7">
        <v>41.368000000000002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21"/>
    </row>
    <row r="72" spans="1:69" ht="15.75" x14ac:dyDescent="0.25">
      <c r="A72" s="5" t="s">
        <v>128</v>
      </c>
      <c r="B72" s="5" t="s">
        <v>129</v>
      </c>
      <c r="C72" s="7">
        <v>3</v>
      </c>
      <c r="D72" s="7">
        <v>3</v>
      </c>
      <c r="E72" s="7">
        <v>13801.246999999999</v>
      </c>
      <c r="F72" s="7">
        <v>1852.02</v>
      </c>
      <c r="G72" s="7">
        <v>3187.797</v>
      </c>
      <c r="H72" s="7">
        <v>2461.5</v>
      </c>
      <c r="I72" s="7">
        <v>338.03899999999999</v>
      </c>
      <c r="J72" s="7">
        <v>2107.2049999999999</v>
      </c>
      <c r="K72" s="7">
        <v>0</v>
      </c>
      <c r="L72" s="7">
        <v>0</v>
      </c>
      <c r="M72" s="7">
        <v>6177.0720000000001</v>
      </c>
      <c r="N72" s="7">
        <v>8863.27</v>
      </c>
      <c r="O72" s="7">
        <v>0</v>
      </c>
      <c r="P72" s="7">
        <v>0</v>
      </c>
      <c r="Q72" s="7">
        <v>0.36299999999999999</v>
      </c>
      <c r="R72" s="7">
        <v>0</v>
      </c>
      <c r="S72" s="7">
        <v>0</v>
      </c>
      <c r="T72" s="7">
        <v>794.44</v>
      </c>
      <c r="U72" s="7">
        <v>0</v>
      </c>
      <c r="V72" s="7">
        <v>0</v>
      </c>
      <c r="W72" s="7">
        <v>336.78</v>
      </c>
      <c r="X72" s="7">
        <v>671.27800000000002</v>
      </c>
      <c r="Y72" s="7">
        <v>0</v>
      </c>
      <c r="Z72" s="7">
        <v>1609.644</v>
      </c>
      <c r="AA72" s="7">
        <v>0</v>
      </c>
      <c r="AB72" s="7">
        <v>2483.4960000000001</v>
      </c>
      <c r="AC72" s="7">
        <v>0</v>
      </c>
      <c r="AD72" s="7">
        <v>322.80799999999999</v>
      </c>
      <c r="AE72" s="7">
        <v>0</v>
      </c>
      <c r="AF72" s="7">
        <v>2140.808</v>
      </c>
      <c r="AG72" s="7">
        <v>0</v>
      </c>
      <c r="AH72" s="7">
        <v>0</v>
      </c>
      <c r="AI72" s="7">
        <v>14641.773999999999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38.331000000000003</v>
      </c>
      <c r="AR72" s="7">
        <v>0</v>
      </c>
      <c r="AS72" s="7">
        <v>0</v>
      </c>
      <c r="AT72" s="7">
        <v>0</v>
      </c>
      <c r="AU72" s="7">
        <v>7.4960000000000004</v>
      </c>
      <c r="AV72" s="7">
        <v>0</v>
      </c>
      <c r="AW72" s="7">
        <v>219.078</v>
      </c>
      <c r="AX72" s="7">
        <v>0</v>
      </c>
      <c r="AY72" s="7">
        <v>0</v>
      </c>
      <c r="AZ72" s="7">
        <v>0</v>
      </c>
      <c r="BA72" s="7">
        <v>21.439</v>
      </c>
      <c r="BB72" s="7">
        <v>0</v>
      </c>
      <c r="BC72" s="7">
        <v>0</v>
      </c>
      <c r="BD72" s="7">
        <v>8.9640000000000004</v>
      </c>
      <c r="BE72" s="7">
        <v>35.97</v>
      </c>
      <c r="BF72" s="7">
        <v>0</v>
      </c>
      <c r="BG72" s="7">
        <v>1.25</v>
      </c>
      <c r="BH72" s="7">
        <v>0</v>
      </c>
      <c r="BI72" s="7">
        <v>0</v>
      </c>
      <c r="BJ72" s="7">
        <v>13.617000000000001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21"/>
    </row>
    <row r="73" spans="1:69" ht="15.75" x14ac:dyDescent="0.25">
      <c r="A73" s="5" t="s">
        <v>130</v>
      </c>
      <c r="B73" s="5" t="s">
        <v>131</v>
      </c>
      <c r="C73" s="7">
        <v>3</v>
      </c>
      <c r="D73" s="7">
        <v>3</v>
      </c>
      <c r="E73" s="7">
        <v>46193.96</v>
      </c>
      <c r="F73" s="7">
        <v>6198.02</v>
      </c>
      <c r="G73" s="7">
        <v>10668.362999999999</v>
      </c>
      <c r="H73" s="7">
        <v>6425.2150000000001</v>
      </c>
      <c r="I73" s="7">
        <v>1131.29</v>
      </c>
      <c r="J73" s="7">
        <v>7052.0280000000002</v>
      </c>
      <c r="K73" s="7">
        <v>0</v>
      </c>
      <c r="L73" s="7">
        <v>0</v>
      </c>
      <c r="M73" s="7">
        <v>20674.871999999999</v>
      </c>
      <c r="N73" s="7">
        <v>29662.050999999999</v>
      </c>
      <c r="O73" s="7">
        <v>0</v>
      </c>
      <c r="P73" s="7">
        <v>0</v>
      </c>
      <c r="Q73" s="7">
        <v>1.216</v>
      </c>
      <c r="R73" s="7">
        <v>0.35799999999999998</v>
      </c>
      <c r="S73" s="7">
        <v>1.319</v>
      </c>
      <c r="T73" s="7">
        <v>2658.692</v>
      </c>
      <c r="U73" s="7">
        <v>0</v>
      </c>
      <c r="V73" s="7">
        <v>0</v>
      </c>
      <c r="W73" s="7">
        <v>1127.077</v>
      </c>
      <c r="X73" s="7">
        <v>2246.5160000000001</v>
      </c>
      <c r="Y73" s="7">
        <v>0</v>
      </c>
      <c r="Z73" s="7">
        <v>5386.8770000000004</v>
      </c>
      <c r="AA73" s="7">
        <v>0</v>
      </c>
      <c r="AB73" s="7">
        <v>8311.3340000000007</v>
      </c>
      <c r="AC73" s="7">
        <v>0</v>
      </c>
      <c r="AD73" s="7">
        <v>1080.316</v>
      </c>
      <c r="AE73" s="7">
        <v>0</v>
      </c>
      <c r="AF73" s="7">
        <v>7171.8789999999999</v>
      </c>
      <c r="AG73" s="7">
        <v>6.9020000000000001</v>
      </c>
      <c r="AH73" s="7">
        <v>0</v>
      </c>
      <c r="AI73" s="7">
        <v>49000.542999999998</v>
      </c>
      <c r="AJ73" s="7">
        <v>23.954000000000001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128.279</v>
      </c>
      <c r="AR73" s="7">
        <v>0</v>
      </c>
      <c r="AS73" s="7">
        <v>0</v>
      </c>
      <c r="AT73" s="7">
        <v>0</v>
      </c>
      <c r="AU73" s="7">
        <v>25.085000000000001</v>
      </c>
      <c r="AV73" s="7">
        <v>0</v>
      </c>
      <c r="AW73" s="7">
        <v>733.17200000000003</v>
      </c>
      <c r="AX73" s="7">
        <v>0</v>
      </c>
      <c r="AY73" s="7">
        <v>0</v>
      </c>
      <c r="AZ73" s="7">
        <v>0</v>
      </c>
      <c r="BA73" s="7">
        <v>71.748999999999995</v>
      </c>
      <c r="BB73" s="7">
        <v>0</v>
      </c>
      <c r="BC73" s="7">
        <v>0</v>
      </c>
      <c r="BD73" s="7">
        <v>29.998999999999999</v>
      </c>
      <c r="BE73" s="7">
        <v>120.379</v>
      </c>
      <c r="BF73" s="7">
        <v>0</v>
      </c>
      <c r="BG73" s="7">
        <v>4.1840000000000002</v>
      </c>
      <c r="BH73" s="7">
        <v>0</v>
      </c>
      <c r="BI73" s="7">
        <v>0</v>
      </c>
      <c r="BJ73" s="7">
        <v>45.573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21"/>
    </row>
    <row r="74" spans="1:69" ht="15.75" x14ac:dyDescent="0.25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21"/>
    </row>
    <row r="75" spans="1:69" ht="15.75" x14ac:dyDescent="0.25">
      <c r="A75" s="5" t="s">
        <v>134</v>
      </c>
      <c r="B75" s="5" t="s">
        <v>135</v>
      </c>
      <c r="C75" s="7">
        <v>6</v>
      </c>
      <c r="D75" s="7">
        <v>6</v>
      </c>
      <c r="E75" s="7">
        <v>53734.385999999999</v>
      </c>
      <c r="F75" s="7">
        <v>5628.81</v>
      </c>
      <c r="G75" s="7">
        <v>15809.591</v>
      </c>
      <c r="H75" s="7">
        <v>1997.3579999999999</v>
      </c>
      <c r="I75" s="7">
        <v>1047.8989999999999</v>
      </c>
      <c r="J75" s="7">
        <v>10736.136</v>
      </c>
      <c r="K75" s="7">
        <v>0</v>
      </c>
      <c r="L75" s="7">
        <v>0</v>
      </c>
      <c r="M75" s="7">
        <v>21297.291000000001</v>
      </c>
      <c r="N75" s="7">
        <v>30423.503000000001</v>
      </c>
      <c r="O75" s="7">
        <v>0</v>
      </c>
      <c r="P75" s="7">
        <v>0</v>
      </c>
      <c r="Q75" s="7">
        <v>42.853999999999999</v>
      </c>
      <c r="R75" s="7">
        <v>0</v>
      </c>
      <c r="S75" s="7">
        <v>129.185</v>
      </c>
      <c r="T75" s="7">
        <v>1613.306</v>
      </c>
      <c r="U75" s="7">
        <v>0</v>
      </c>
      <c r="V75" s="7">
        <v>0</v>
      </c>
      <c r="W75" s="7">
        <v>884.97699999999998</v>
      </c>
      <c r="X75" s="7">
        <v>2626.1970000000001</v>
      </c>
      <c r="Y75" s="7">
        <v>0</v>
      </c>
      <c r="Z75" s="7">
        <v>6303.2079999999996</v>
      </c>
      <c r="AA75" s="7">
        <v>0</v>
      </c>
      <c r="AB75" s="7">
        <v>10618.754999999999</v>
      </c>
      <c r="AC75" s="7">
        <v>0</v>
      </c>
      <c r="AD75" s="7">
        <v>791.024</v>
      </c>
      <c r="AE75" s="7">
        <v>0</v>
      </c>
      <c r="AF75" s="7">
        <v>22481.271000000001</v>
      </c>
      <c r="AG75" s="7">
        <v>0</v>
      </c>
      <c r="AH75" s="7">
        <v>0</v>
      </c>
      <c r="AI75" s="7">
        <v>70285.481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123.732</v>
      </c>
      <c r="AR75" s="7">
        <v>0</v>
      </c>
      <c r="AS75" s="7">
        <v>0</v>
      </c>
      <c r="AT75" s="7">
        <v>0</v>
      </c>
      <c r="AU75" s="7">
        <v>6.3019999999999996</v>
      </c>
      <c r="AV75" s="7">
        <v>0</v>
      </c>
      <c r="AW75" s="7">
        <v>323.73599999999999</v>
      </c>
      <c r="AX75" s="7">
        <v>0</v>
      </c>
      <c r="AY75" s="7">
        <v>0</v>
      </c>
      <c r="AZ75" s="7">
        <v>0</v>
      </c>
      <c r="BA75" s="7">
        <v>60.222000000000001</v>
      </c>
      <c r="BB75" s="7">
        <v>0</v>
      </c>
      <c r="BC75" s="7">
        <v>0</v>
      </c>
      <c r="BD75" s="7">
        <v>25.239000000000001</v>
      </c>
      <c r="BE75" s="7">
        <v>110.276</v>
      </c>
      <c r="BF75" s="7">
        <v>0</v>
      </c>
      <c r="BG75" s="7">
        <v>3.516</v>
      </c>
      <c r="BH75" s="7">
        <v>0</v>
      </c>
      <c r="BI75" s="7">
        <v>0</v>
      </c>
      <c r="BJ75" s="7">
        <v>40.534999999999997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21"/>
    </row>
    <row r="76" spans="1:69" ht="15.75" x14ac:dyDescent="0.25">
      <c r="A76" s="5" t="s">
        <v>136</v>
      </c>
      <c r="B76" s="5" t="s">
        <v>137</v>
      </c>
      <c r="C76" s="7">
        <v>6</v>
      </c>
      <c r="D76" s="7">
        <v>6</v>
      </c>
      <c r="E76" s="7">
        <v>1210.7380000000001</v>
      </c>
      <c r="F76" s="7">
        <v>112.26300000000001</v>
      </c>
      <c r="G76" s="7">
        <v>160.59299999999999</v>
      </c>
      <c r="H76" s="7">
        <v>0</v>
      </c>
      <c r="I76" s="7">
        <v>28.189</v>
      </c>
      <c r="J76" s="7">
        <v>97.978999999999999</v>
      </c>
      <c r="K76" s="7">
        <v>0</v>
      </c>
      <c r="L76" s="7">
        <v>0</v>
      </c>
      <c r="M76" s="7">
        <v>889.62199999999996</v>
      </c>
      <c r="N76" s="7">
        <v>436.798</v>
      </c>
      <c r="O76" s="7">
        <v>0</v>
      </c>
      <c r="P76" s="7">
        <v>0</v>
      </c>
      <c r="Q76" s="7">
        <v>5.2469999999999999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13.920999999999999</v>
      </c>
      <c r="X76" s="7">
        <v>42.743000000000002</v>
      </c>
      <c r="Y76" s="7">
        <v>0</v>
      </c>
      <c r="Z76" s="7">
        <v>337.85399999999998</v>
      </c>
      <c r="AA76" s="7">
        <v>0</v>
      </c>
      <c r="AB76" s="7">
        <v>119.117</v>
      </c>
      <c r="AC76" s="7">
        <v>0</v>
      </c>
      <c r="AD76" s="7">
        <v>17.884</v>
      </c>
      <c r="AE76" s="7">
        <v>0</v>
      </c>
      <c r="AF76" s="7">
        <v>1073.6079999999999</v>
      </c>
      <c r="AG76" s="7">
        <v>0</v>
      </c>
      <c r="AH76" s="7">
        <v>0</v>
      </c>
      <c r="AI76" s="7">
        <v>2542.09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21"/>
    </row>
    <row r="77" spans="1:69" ht="15.75" x14ac:dyDescent="0.25">
      <c r="A77" s="5" t="s">
        <v>138</v>
      </c>
      <c r="B77" s="5" t="s">
        <v>139</v>
      </c>
      <c r="C77" s="7">
        <v>6</v>
      </c>
      <c r="D77" s="7">
        <v>6</v>
      </c>
      <c r="E77" s="7">
        <v>10466.91</v>
      </c>
      <c r="F77" s="7">
        <v>1989.704</v>
      </c>
      <c r="G77" s="7">
        <v>1063.509</v>
      </c>
      <c r="H77" s="7">
        <v>0</v>
      </c>
      <c r="I77" s="7">
        <v>129.39099999999999</v>
      </c>
      <c r="J77" s="7">
        <v>1577.1559999999999</v>
      </c>
      <c r="K77" s="7">
        <v>0</v>
      </c>
      <c r="L77" s="7">
        <v>0</v>
      </c>
      <c r="M77" s="7">
        <v>23289.306</v>
      </c>
      <c r="N77" s="7">
        <v>4481.82</v>
      </c>
      <c r="O77" s="7">
        <v>0</v>
      </c>
      <c r="P77" s="7">
        <v>0</v>
      </c>
      <c r="Q77" s="7">
        <v>7.9059999999999997</v>
      </c>
      <c r="R77" s="7">
        <v>0</v>
      </c>
      <c r="S77" s="7">
        <v>359.416</v>
      </c>
      <c r="T77" s="7">
        <v>205.45400000000001</v>
      </c>
      <c r="U77" s="7">
        <v>0</v>
      </c>
      <c r="V77" s="7">
        <v>0</v>
      </c>
      <c r="W77" s="7">
        <v>107.82299999999999</v>
      </c>
      <c r="X77" s="7">
        <v>237.24</v>
      </c>
      <c r="Y77" s="7">
        <v>0</v>
      </c>
      <c r="Z77" s="7">
        <v>919.28499999999997</v>
      </c>
      <c r="AA77" s="7">
        <v>0</v>
      </c>
      <c r="AB77" s="7">
        <v>819.61500000000001</v>
      </c>
      <c r="AC77" s="7">
        <v>0</v>
      </c>
      <c r="AD77" s="7">
        <v>110.11</v>
      </c>
      <c r="AE77" s="7">
        <v>0</v>
      </c>
      <c r="AF77" s="7">
        <v>4435.1210000000001</v>
      </c>
      <c r="AG77" s="7">
        <v>0</v>
      </c>
      <c r="AH77" s="7">
        <v>0</v>
      </c>
      <c r="AI77" s="7">
        <v>20929.726999999999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9.9130000000000003</v>
      </c>
      <c r="AR77" s="7">
        <v>0</v>
      </c>
      <c r="AS77" s="7">
        <v>0</v>
      </c>
      <c r="AT77" s="7">
        <v>0</v>
      </c>
      <c r="AU77" s="7">
        <v>1.9379999999999999</v>
      </c>
      <c r="AV77" s="7">
        <v>0</v>
      </c>
      <c r="AW77" s="7">
        <v>56.656999999999996</v>
      </c>
      <c r="AX77" s="7">
        <v>0</v>
      </c>
      <c r="AY77" s="7">
        <v>0</v>
      </c>
      <c r="AZ77" s="7">
        <v>0</v>
      </c>
      <c r="BA77" s="7">
        <v>5.5449999999999999</v>
      </c>
      <c r="BB77" s="7">
        <v>0</v>
      </c>
      <c r="BC77" s="7">
        <v>0</v>
      </c>
      <c r="BD77" s="7">
        <v>2.3180000000000001</v>
      </c>
      <c r="BE77" s="7">
        <v>9.3019999999999996</v>
      </c>
      <c r="BF77" s="7">
        <v>0</v>
      </c>
      <c r="BG77" s="7">
        <v>0.32300000000000001</v>
      </c>
      <c r="BH77" s="7">
        <v>0</v>
      </c>
      <c r="BI77" s="7">
        <v>0</v>
      </c>
      <c r="BJ77" s="7">
        <v>3.5219999999999998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21"/>
    </row>
    <row r="78" spans="1:69" ht="15.75" x14ac:dyDescent="0.25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21"/>
    </row>
    <row r="79" spans="1:69" ht="15.75" x14ac:dyDescent="0.25">
      <c r="A79" s="5" t="s">
        <v>142</v>
      </c>
      <c r="B79" s="5" t="s">
        <v>143</v>
      </c>
      <c r="C79" s="7">
        <v>6</v>
      </c>
      <c r="D79" s="7">
        <v>6</v>
      </c>
      <c r="E79" s="7">
        <v>9663.6910000000007</v>
      </c>
      <c r="F79" s="7">
        <v>1161.827</v>
      </c>
      <c r="G79" s="7">
        <v>1912.0609999999999</v>
      </c>
      <c r="H79" s="7">
        <v>6072</v>
      </c>
      <c r="I79" s="7">
        <v>232.756</v>
      </c>
      <c r="J79" s="7">
        <v>1241.9349999999999</v>
      </c>
      <c r="K79" s="7">
        <v>0</v>
      </c>
      <c r="L79" s="7">
        <v>0</v>
      </c>
      <c r="M79" s="7">
        <v>5259.933</v>
      </c>
      <c r="N79" s="7">
        <v>5290.1419999999998</v>
      </c>
      <c r="O79" s="7">
        <v>0</v>
      </c>
      <c r="P79" s="7">
        <v>0</v>
      </c>
      <c r="Q79" s="7">
        <v>14.273</v>
      </c>
      <c r="R79" s="7">
        <v>0</v>
      </c>
      <c r="S79" s="7">
        <v>0</v>
      </c>
      <c r="T79" s="7">
        <v>368.928</v>
      </c>
      <c r="U79" s="7">
        <v>0</v>
      </c>
      <c r="V79" s="7">
        <v>0</v>
      </c>
      <c r="W79" s="7">
        <v>193.81700000000001</v>
      </c>
      <c r="X79" s="7">
        <v>426.63</v>
      </c>
      <c r="Y79" s="7">
        <v>0</v>
      </c>
      <c r="Z79" s="7">
        <v>1655.6780000000001</v>
      </c>
      <c r="AA79" s="7">
        <v>0</v>
      </c>
      <c r="AB79" s="7">
        <v>1473.501</v>
      </c>
      <c r="AC79" s="7">
        <v>0</v>
      </c>
      <c r="AD79" s="7">
        <v>197.982</v>
      </c>
      <c r="AE79" s="7">
        <v>0</v>
      </c>
      <c r="AF79" s="7">
        <v>3880.1089999999999</v>
      </c>
      <c r="AG79" s="7">
        <v>0</v>
      </c>
      <c r="AH79" s="7">
        <v>0</v>
      </c>
      <c r="AI79" s="7">
        <v>13632.800999999999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17.8</v>
      </c>
      <c r="AR79" s="7">
        <v>0</v>
      </c>
      <c r="AS79" s="7">
        <v>0</v>
      </c>
      <c r="AT79" s="7">
        <v>0</v>
      </c>
      <c r="AU79" s="7">
        <v>3.4809999999999999</v>
      </c>
      <c r="AV79" s="7">
        <v>0</v>
      </c>
      <c r="AW79" s="7">
        <v>101.73699999999999</v>
      </c>
      <c r="AX79" s="7">
        <v>0</v>
      </c>
      <c r="AY79" s="7">
        <v>0</v>
      </c>
      <c r="AZ79" s="7">
        <v>0</v>
      </c>
      <c r="BA79" s="7">
        <v>9.9559999999999995</v>
      </c>
      <c r="BB79" s="7">
        <v>0</v>
      </c>
      <c r="BC79" s="7">
        <v>0</v>
      </c>
      <c r="BD79" s="7">
        <v>4.1630000000000003</v>
      </c>
      <c r="BE79" s="7">
        <v>16.704000000000001</v>
      </c>
      <c r="BF79" s="7">
        <v>0</v>
      </c>
      <c r="BG79" s="7">
        <v>0.58099999999999996</v>
      </c>
      <c r="BH79" s="7">
        <v>0</v>
      </c>
      <c r="BI79" s="7">
        <v>0</v>
      </c>
      <c r="BJ79" s="7">
        <v>6.3239999999999998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21"/>
    </row>
    <row r="80" spans="1:69" ht="15.75" x14ac:dyDescent="0.25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21"/>
    </row>
    <row r="81" spans="1:69" ht="15.75" x14ac:dyDescent="0.25">
      <c r="A81" s="5" t="s">
        <v>146</v>
      </c>
      <c r="B81" s="5" t="s">
        <v>147</v>
      </c>
      <c r="C81" s="7">
        <v>6</v>
      </c>
      <c r="D81" s="7">
        <v>6</v>
      </c>
      <c r="E81" s="7">
        <v>12409.668</v>
      </c>
      <c r="F81" s="7">
        <v>1632.941</v>
      </c>
      <c r="G81" s="7">
        <v>2402.8850000000002</v>
      </c>
      <c r="H81" s="7">
        <v>0</v>
      </c>
      <c r="I81" s="7">
        <v>219.822</v>
      </c>
      <c r="J81" s="7">
        <v>1867.365</v>
      </c>
      <c r="K81" s="7">
        <v>0</v>
      </c>
      <c r="L81" s="7">
        <v>0</v>
      </c>
      <c r="M81" s="7">
        <v>15480.989</v>
      </c>
      <c r="N81" s="7">
        <v>5209.7839999999997</v>
      </c>
      <c r="O81" s="7">
        <v>0</v>
      </c>
      <c r="P81" s="7">
        <v>0</v>
      </c>
      <c r="Q81" s="7">
        <v>28.463999999999999</v>
      </c>
      <c r="R81" s="7">
        <v>0</v>
      </c>
      <c r="S81" s="7">
        <v>155.04400000000001</v>
      </c>
      <c r="T81" s="7">
        <v>158.13499999999999</v>
      </c>
      <c r="U81" s="7">
        <v>0</v>
      </c>
      <c r="V81" s="7">
        <v>0</v>
      </c>
      <c r="W81" s="7">
        <v>142.36500000000001</v>
      </c>
      <c r="X81" s="7">
        <v>364.90800000000002</v>
      </c>
      <c r="Y81" s="7">
        <v>0</v>
      </c>
      <c r="Z81" s="7">
        <v>2363.4470000000001</v>
      </c>
      <c r="AA81" s="7">
        <v>0</v>
      </c>
      <c r="AB81" s="7">
        <v>1237.0550000000001</v>
      </c>
      <c r="AC81" s="7">
        <v>0</v>
      </c>
      <c r="AD81" s="7">
        <v>161.03</v>
      </c>
      <c r="AE81" s="7">
        <v>0</v>
      </c>
      <c r="AF81" s="7">
        <v>8272.7960000000003</v>
      </c>
      <c r="AG81" s="7">
        <v>0</v>
      </c>
      <c r="AH81" s="7">
        <v>0</v>
      </c>
      <c r="AI81" s="7">
        <v>24234.887999999999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7.63</v>
      </c>
      <c r="AR81" s="7">
        <v>0</v>
      </c>
      <c r="AS81" s="7">
        <v>0</v>
      </c>
      <c r="AT81" s="7">
        <v>0</v>
      </c>
      <c r="AU81" s="7">
        <v>1.492</v>
      </c>
      <c r="AV81" s="7">
        <v>0</v>
      </c>
      <c r="AW81" s="7">
        <v>43.607999999999997</v>
      </c>
      <c r="AX81" s="7">
        <v>0</v>
      </c>
      <c r="AY81" s="7">
        <v>0</v>
      </c>
      <c r="AZ81" s="7">
        <v>0</v>
      </c>
      <c r="BA81" s="7">
        <v>4.2679999999999998</v>
      </c>
      <c r="BB81" s="7">
        <v>0</v>
      </c>
      <c r="BC81" s="7">
        <v>0</v>
      </c>
      <c r="BD81" s="7">
        <v>1.784</v>
      </c>
      <c r="BE81" s="7">
        <v>7.16</v>
      </c>
      <c r="BF81" s="7">
        <v>0</v>
      </c>
      <c r="BG81" s="7">
        <v>0.249</v>
      </c>
      <c r="BH81" s="7">
        <v>0</v>
      </c>
      <c r="BI81" s="7">
        <v>0</v>
      </c>
      <c r="BJ81" s="7">
        <v>2.7109999999999999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21"/>
    </row>
    <row r="82" spans="1:69" ht="15.75" x14ac:dyDescent="0.25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21"/>
    </row>
    <row r="83" spans="1:69" ht="15.75" x14ac:dyDescent="0.25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21"/>
    </row>
    <row r="84" spans="1:69" ht="15.75" x14ac:dyDescent="0.25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21"/>
    </row>
    <row r="85" spans="1:69" ht="15.75" x14ac:dyDescent="0.25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21"/>
    </row>
    <row r="86" spans="1:69" ht="15.75" x14ac:dyDescent="0.25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21"/>
    </row>
    <row r="87" spans="1:69" ht="15.75" x14ac:dyDescent="0.25">
      <c r="A87" s="5" t="s">
        <v>158</v>
      </c>
      <c r="B87" s="5" t="s">
        <v>159</v>
      </c>
      <c r="C87" s="7">
        <v>6</v>
      </c>
      <c r="D87" s="7">
        <v>6</v>
      </c>
      <c r="E87" s="7">
        <v>4.1849999999999996</v>
      </c>
      <c r="F87" s="7">
        <v>1.1200000000000001</v>
      </c>
      <c r="G87" s="7">
        <v>1.0740000000000001</v>
      </c>
      <c r="H87" s="7">
        <v>2379.5709999999999</v>
      </c>
      <c r="I87" s="7">
        <v>0.13500000000000001</v>
      </c>
      <c r="J87" s="7">
        <v>0.58099999999999996</v>
      </c>
      <c r="K87" s="7">
        <v>0</v>
      </c>
      <c r="L87" s="7">
        <v>0</v>
      </c>
      <c r="M87" s="7">
        <v>18.155000000000001</v>
      </c>
      <c r="N87" s="7">
        <v>3.9060000000000001</v>
      </c>
      <c r="O87" s="7">
        <v>0</v>
      </c>
      <c r="P87" s="7">
        <v>0</v>
      </c>
      <c r="Q87" s="7">
        <v>2.3E-2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0.01</v>
      </c>
      <c r="X87" s="7">
        <v>4.1000000000000002E-2</v>
      </c>
      <c r="Y87" s="7">
        <v>0</v>
      </c>
      <c r="Z87" s="7">
        <v>0.115</v>
      </c>
      <c r="AA87" s="7">
        <v>0</v>
      </c>
      <c r="AB87" s="7">
        <v>0.105</v>
      </c>
      <c r="AC87" s="7">
        <v>0</v>
      </c>
      <c r="AD87" s="7">
        <v>1.2999999999999999E-2</v>
      </c>
      <c r="AE87" s="7">
        <v>0</v>
      </c>
      <c r="AF87" s="7">
        <v>0.27500000000000002</v>
      </c>
      <c r="AG87" s="7">
        <v>0</v>
      </c>
      <c r="AH87" s="7">
        <v>0</v>
      </c>
      <c r="AI87" s="7">
        <v>26.638999999999999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21"/>
    </row>
    <row r="88" spans="1:69" ht="15.75" x14ac:dyDescent="0.25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21"/>
    </row>
    <row r="89" spans="1:69" ht="15.75" x14ac:dyDescent="0.25">
      <c r="A89" s="5" t="s">
        <v>162</v>
      </c>
      <c r="B89" s="5" t="s">
        <v>163</v>
      </c>
      <c r="C89" s="7">
        <v>6</v>
      </c>
      <c r="D89" s="7">
        <v>6</v>
      </c>
      <c r="E89" s="7">
        <v>21159.107</v>
      </c>
      <c r="F89" s="7">
        <v>3251.7510000000002</v>
      </c>
      <c r="G89" s="7">
        <v>4333.0619999999999</v>
      </c>
      <c r="H89" s="7">
        <v>0</v>
      </c>
      <c r="I89" s="7">
        <v>648.10500000000002</v>
      </c>
      <c r="J89" s="7">
        <v>3060.3339999999998</v>
      </c>
      <c r="K89" s="7">
        <v>0</v>
      </c>
      <c r="L89" s="7">
        <v>0</v>
      </c>
      <c r="M89" s="7">
        <v>19716.585999999999</v>
      </c>
      <c r="N89" s="7">
        <v>12026.934999999999</v>
      </c>
      <c r="O89" s="7">
        <v>0</v>
      </c>
      <c r="P89" s="7">
        <v>0</v>
      </c>
      <c r="Q89" s="7">
        <v>71.397000000000006</v>
      </c>
      <c r="R89" s="7">
        <v>0</v>
      </c>
      <c r="S89" s="7">
        <v>111.181</v>
      </c>
      <c r="T89" s="7">
        <v>969.44299999999998</v>
      </c>
      <c r="U89" s="7">
        <v>0</v>
      </c>
      <c r="V89" s="7">
        <v>0</v>
      </c>
      <c r="W89" s="7">
        <v>417.69200000000001</v>
      </c>
      <c r="X89" s="7">
        <v>839.79600000000005</v>
      </c>
      <c r="Y89" s="7">
        <v>0</v>
      </c>
      <c r="Z89" s="7">
        <v>2229.7849999999999</v>
      </c>
      <c r="AA89" s="7">
        <v>0</v>
      </c>
      <c r="AB89" s="7">
        <v>3088.1089999999999</v>
      </c>
      <c r="AC89" s="7">
        <v>0</v>
      </c>
      <c r="AD89" s="7">
        <v>402.55599999999998</v>
      </c>
      <c r="AE89" s="7">
        <v>0</v>
      </c>
      <c r="AF89" s="7">
        <v>4246.7849999999999</v>
      </c>
      <c r="AG89" s="7">
        <v>0</v>
      </c>
      <c r="AH89" s="7">
        <v>0</v>
      </c>
      <c r="AI89" s="7">
        <v>30873.424999999999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46.774999999999999</v>
      </c>
      <c r="AR89" s="7">
        <v>0</v>
      </c>
      <c r="AS89" s="7">
        <v>0</v>
      </c>
      <c r="AT89" s="7">
        <v>0</v>
      </c>
      <c r="AU89" s="7">
        <v>9.1470000000000002</v>
      </c>
      <c r="AV89" s="7">
        <v>0</v>
      </c>
      <c r="AW89" s="7">
        <v>267.33800000000002</v>
      </c>
      <c r="AX89" s="7">
        <v>0</v>
      </c>
      <c r="AY89" s="7">
        <v>0</v>
      </c>
      <c r="AZ89" s="7">
        <v>0</v>
      </c>
      <c r="BA89" s="7">
        <v>26.161999999999999</v>
      </c>
      <c r="BB89" s="7">
        <v>0</v>
      </c>
      <c r="BC89" s="7">
        <v>0</v>
      </c>
      <c r="BD89" s="7">
        <v>10.939</v>
      </c>
      <c r="BE89" s="7">
        <v>43.893999999999998</v>
      </c>
      <c r="BF89" s="7">
        <v>0</v>
      </c>
      <c r="BG89" s="7">
        <v>1.526</v>
      </c>
      <c r="BH89" s="7">
        <v>0</v>
      </c>
      <c r="BI89" s="7">
        <v>0</v>
      </c>
      <c r="BJ89" s="7">
        <v>16.617000000000001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21"/>
    </row>
    <row r="90" spans="1:69" ht="15.75" x14ac:dyDescent="0.25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21"/>
    </row>
    <row r="91" spans="1:69" ht="15.75" x14ac:dyDescent="0.25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21"/>
    </row>
    <row r="92" spans="1:69" ht="15.75" x14ac:dyDescent="0.25">
      <c r="A92" s="5" t="s">
        <v>168</v>
      </c>
      <c r="B92" s="5" t="s">
        <v>169</v>
      </c>
      <c r="C92" s="7">
        <v>3</v>
      </c>
      <c r="D92" s="7">
        <v>3</v>
      </c>
      <c r="E92" s="7">
        <v>57344.508000000002</v>
      </c>
      <c r="F92" s="7">
        <v>7620.4650000000001</v>
      </c>
      <c r="G92" s="7">
        <v>14209.986999999999</v>
      </c>
      <c r="H92" s="7">
        <v>10199.718000000001</v>
      </c>
      <c r="I92" s="7">
        <v>1347.7760000000001</v>
      </c>
      <c r="J92" s="7">
        <v>9969.8089999999993</v>
      </c>
      <c r="K92" s="7">
        <v>0</v>
      </c>
      <c r="L92" s="7">
        <v>0</v>
      </c>
      <c r="M92" s="7">
        <v>25596.5</v>
      </c>
      <c r="N92" s="7">
        <v>37179.275000000001</v>
      </c>
      <c r="O92" s="7">
        <v>0</v>
      </c>
      <c r="P92" s="7">
        <v>0</v>
      </c>
      <c r="Q92" s="7">
        <v>1.448</v>
      </c>
      <c r="R92" s="7">
        <v>0</v>
      </c>
      <c r="S92" s="7">
        <v>136.37299999999999</v>
      </c>
      <c r="T92" s="7">
        <v>3167.4650000000001</v>
      </c>
      <c r="U92" s="7">
        <v>0</v>
      </c>
      <c r="V92" s="7">
        <v>0</v>
      </c>
      <c r="W92" s="7">
        <v>1342.7560000000001</v>
      </c>
      <c r="X92" s="7">
        <v>2676.413</v>
      </c>
      <c r="Y92" s="7">
        <v>0</v>
      </c>
      <c r="Z92" s="7">
        <v>6417.72</v>
      </c>
      <c r="AA92" s="7">
        <v>0</v>
      </c>
      <c r="AB92" s="7">
        <v>9901.8070000000007</v>
      </c>
      <c r="AC92" s="7">
        <v>0</v>
      </c>
      <c r="AD92" s="7">
        <v>1287.048</v>
      </c>
      <c r="AE92" s="7">
        <v>0</v>
      </c>
      <c r="AF92" s="7">
        <v>12785.79</v>
      </c>
      <c r="AG92" s="7">
        <v>0</v>
      </c>
      <c r="AH92" s="7">
        <v>0</v>
      </c>
      <c r="AI92" s="7">
        <v>62923.154000000002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152.827</v>
      </c>
      <c r="AR92" s="7">
        <v>0</v>
      </c>
      <c r="AS92" s="7">
        <v>0</v>
      </c>
      <c r="AT92" s="7">
        <v>0</v>
      </c>
      <c r="AU92" s="7">
        <v>29.885000000000002</v>
      </c>
      <c r="AV92" s="7">
        <v>0</v>
      </c>
      <c r="AW92" s="7">
        <v>873.47400000000005</v>
      </c>
      <c r="AX92" s="7">
        <v>0</v>
      </c>
      <c r="AY92" s="7">
        <v>0</v>
      </c>
      <c r="AZ92" s="7">
        <v>0</v>
      </c>
      <c r="BA92" s="7">
        <v>85.478999999999999</v>
      </c>
      <c r="BB92" s="7">
        <v>0</v>
      </c>
      <c r="BC92" s="7">
        <v>0</v>
      </c>
      <c r="BD92" s="7">
        <v>35.74</v>
      </c>
      <c r="BE92" s="7">
        <v>143.41499999999999</v>
      </c>
      <c r="BF92" s="7">
        <v>0</v>
      </c>
      <c r="BG92" s="7">
        <v>4.9850000000000003</v>
      </c>
      <c r="BH92" s="7">
        <v>0</v>
      </c>
      <c r="BI92" s="7">
        <v>0</v>
      </c>
      <c r="BJ92" s="7">
        <v>54.292999999999999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21"/>
    </row>
    <row r="93" spans="1:69" ht="15.75" x14ac:dyDescent="0.25">
      <c r="A93" s="5" t="s">
        <v>170</v>
      </c>
      <c r="B93" s="5" t="s">
        <v>171</v>
      </c>
      <c r="C93" s="7">
        <v>3</v>
      </c>
      <c r="D93" s="7">
        <v>3</v>
      </c>
      <c r="E93" s="7">
        <v>82202.964999999997</v>
      </c>
      <c r="F93" s="7">
        <v>11031.001</v>
      </c>
      <c r="G93" s="7">
        <v>18987.149000000001</v>
      </c>
      <c r="H93" s="7">
        <v>0</v>
      </c>
      <c r="I93" s="7">
        <v>2013.4269999999999</v>
      </c>
      <c r="J93" s="7">
        <v>12550.932000000001</v>
      </c>
      <c r="K93" s="7">
        <v>0</v>
      </c>
      <c r="L93" s="7">
        <v>0</v>
      </c>
      <c r="M93" s="7">
        <v>36791.864999999998</v>
      </c>
      <c r="N93" s="7">
        <v>52791.394</v>
      </c>
      <c r="O93" s="7">
        <v>0</v>
      </c>
      <c r="P93" s="7">
        <v>0</v>
      </c>
      <c r="Q93" s="7">
        <v>2.1640000000000001</v>
      </c>
      <c r="R93" s="7">
        <v>0</v>
      </c>
      <c r="S93" s="7">
        <v>0</v>
      </c>
      <c r="T93" s="7">
        <v>4731.84</v>
      </c>
      <c r="U93" s="7">
        <v>0</v>
      </c>
      <c r="V93" s="7">
        <v>0</v>
      </c>
      <c r="W93" s="7">
        <v>2005.9280000000001</v>
      </c>
      <c r="X93" s="7">
        <v>3998.2640000000001</v>
      </c>
      <c r="Y93" s="7">
        <v>0</v>
      </c>
      <c r="Z93" s="7">
        <v>9587.36</v>
      </c>
      <c r="AA93" s="7">
        <v>0</v>
      </c>
      <c r="AB93" s="7">
        <v>14792.198</v>
      </c>
      <c r="AC93" s="7">
        <v>0</v>
      </c>
      <c r="AD93" s="7">
        <v>1922.7059999999999</v>
      </c>
      <c r="AE93" s="7">
        <v>0</v>
      </c>
      <c r="AF93" s="7">
        <v>12751.075000000001</v>
      </c>
      <c r="AG93" s="7">
        <v>0</v>
      </c>
      <c r="AH93" s="7">
        <v>0</v>
      </c>
      <c r="AI93" s="7">
        <v>87209.31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228.30600000000001</v>
      </c>
      <c r="AR93" s="7">
        <v>0</v>
      </c>
      <c r="AS93" s="7">
        <v>0</v>
      </c>
      <c r="AT93" s="7">
        <v>0</v>
      </c>
      <c r="AU93" s="7">
        <v>44.645000000000003</v>
      </c>
      <c r="AV93" s="7">
        <v>0</v>
      </c>
      <c r="AW93" s="7">
        <v>1304.873</v>
      </c>
      <c r="AX93" s="7">
        <v>0</v>
      </c>
      <c r="AY93" s="7">
        <v>0</v>
      </c>
      <c r="AZ93" s="7">
        <v>0</v>
      </c>
      <c r="BA93" s="7">
        <v>127.696</v>
      </c>
      <c r="BB93" s="7">
        <v>0</v>
      </c>
      <c r="BC93" s="7">
        <v>0</v>
      </c>
      <c r="BD93" s="7">
        <v>53.390999999999998</v>
      </c>
      <c r="BE93" s="7">
        <v>214.24600000000001</v>
      </c>
      <c r="BF93" s="7">
        <v>0</v>
      </c>
      <c r="BG93" s="7">
        <v>7.4470000000000001</v>
      </c>
      <c r="BH93" s="7">
        <v>0</v>
      </c>
      <c r="BI93" s="7">
        <v>0</v>
      </c>
      <c r="BJ93" s="7">
        <v>81.108000000000004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21"/>
    </row>
    <row r="94" spans="1:69" ht="15.75" x14ac:dyDescent="0.25">
      <c r="A94" s="5" t="s">
        <v>172</v>
      </c>
      <c r="B94" s="5" t="s">
        <v>173</v>
      </c>
      <c r="C94" s="7">
        <v>3</v>
      </c>
      <c r="D94" s="7">
        <v>3</v>
      </c>
      <c r="E94" s="7">
        <v>5758.4070000000002</v>
      </c>
      <c r="F94" s="7">
        <v>1613.1869999999999</v>
      </c>
      <c r="G94" s="7">
        <v>4637.3310000000001</v>
      </c>
      <c r="H94" s="7">
        <v>0</v>
      </c>
      <c r="I94" s="7">
        <v>234.83600000000001</v>
      </c>
      <c r="J94" s="7">
        <v>1793.34</v>
      </c>
      <c r="K94" s="7">
        <v>0</v>
      </c>
      <c r="L94" s="7">
        <v>0</v>
      </c>
      <c r="M94" s="7">
        <v>4765.8639999999996</v>
      </c>
      <c r="N94" s="7">
        <v>3547.569</v>
      </c>
      <c r="O94" s="7">
        <v>0</v>
      </c>
      <c r="P94" s="7">
        <v>0</v>
      </c>
      <c r="Q94" s="7">
        <v>0.29799999999999999</v>
      </c>
      <c r="R94" s="7">
        <v>0</v>
      </c>
      <c r="S94" s="7">
        <v>0</v>
      </c>
      <c r="T94" s="7">
        <v>690.06200000000001</v>
      </c>
      <c r="U94" s="7">
        <v>0</v>
      </c>
      <c r="V94" s="7">
        <v>0</v>
      </c>
      <c r="W94" s="7">
        <v>233.209</v>
      </c>
      <c r="X94" s="7">
        <v>250.767</v>
      </c>
      <c r="Y94" s="7">
        <v>0</v>
      </c>
      <c r="Z94" s="7">
        <v>1809.5239999999999</v>
      </c>
      <c r="AA94" s="7">
        <v>0</v>
      </c>
      <c r="AB94" s="7">
        <v>2563.6489999999999</v>
      </c>
      <c r="AC94" s="7">
        <v>0</v>
      </c>
      <c r="AD94" s="7">
        <v>549.07299999999998</v>
      </c>
      <c r="AE94" s="7">
        <v>0</v>
      </c>
      <c r="AF94" s="7">
        <v>2990.5569999999998</v>
      </c>
      <c r="AG94" s="7">
        <v>507.37799999999999</v>
      </c>
      <c r="AH94" s="7">
        <v>0</v>
      </c>
      <c r="AI94" s="7">
        <v>20730.902999999998</v>
      </c>
      <c r="AJ94" s="7">
        <v>891.54700000000003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82.625</v>
      </c>
      <c r="AR94" s="7">
        <v>0</v>
      </c>
      <c r="AS94" s="7">
        <v>153.679</v>
      </c>
      <c r="AT94" s="7">
        <v>0</v>
      </c>
      <c r="AU94" s="7">
        <v>2.5489999999999999</v>
      </c>
      <c r="AV94" s="7">
        <v>0</v>
      </c>
      <c r="AW94" s="7">
        <v>304.97399999999999</v>
      </c>
      <c r="AX94" s="7">
        <v>0</v>
      </c>
      <c r="AY94" s="7">
        <v>0</v>
      </c>
      <c r="AZ94" s="7">
        <v>0</v>
      </c>
      <c r="BA94" s="7">
        <v>44.987000000000002</v>
      </c>
      <c r="BB94" s="7">
        <v>4.0380000000000003</v>
      </c>
      <c r="BC94" s="7">
        <v>0</v>
      </c>
      <c r="BD94" s="7">
        <v>17.553999999999998</v>
      </c>
      <c r="BE94" s="7">
        <v>64.882000000000005</v>
      </c>
      <c r="BF94" s="7">
        <v>8.1449999999999996</v>
      </c>
      <c r="BG94" s="7">
        <v>2.2370000000000001</v>
      </c>
      <c r="BH94" s="7">
        <v>3.843</v>
      </c>
      <c r="BI94" s="7">
        <v>0</v>
      </c>
      <c r="BJ94" s="7">
        <v>25.039000000000001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21"/>
    </row>
    <row r="95" spans="1:69" ht="15.75" x14ac:dyDescent="0.25">
      <c r="A95" s="5" t="s">
        <v>174</v>
      </c>
      <c r="B95" s="5" t="s">
        <v>175</v>
      </c>
      <c r="C95" s="7">
        <v>3</v>
      </c>
      <c r="D95" s="7">
        <v>3</v>
      </c>
      <c r="E95" s="7">
        <v>24102.120999999999</v>
      </c>
      <c r="F95" s="7">
        <v>15234.874</v>
      </c>
      <c r="G95" s="7">
        <v>25112.081999999999</v>
      </c>
      <c r="H95" s="7">
        <v>1105.962</v>
      </c>
      <c r="I95" s="7">
        <v>1999.479</v>
      </c>
      <c r="J95" s="7">
        <v>12236.936</v>
      </c>
      <c r="K95" s="7">
        <v>0</v>
      </c>
      <c r="L95" s="7">
        <v>0</v>
      </c>
      <c r="M95" s="7">
        <v>36277.798000000003</v>
      </c>
      <c r="N95" s="7">
        <v>19621.488000000001</v>
      </c>
      <c r="O95" s="7">
        <v>0</v>
      </c>
      <c r="P95" s="7">
        <v>0</v>
      </c>
      <c r="Q95" s="7">
        <v>0.24199999999999999</v>
      </c>
      <c r="R95" s="7">
        <v>0</v>
      </c>
      <c r="S95" s="7">
        <v>0</v>
      </c>
      <c r="T95" s="7">
        <v>6496.402</v>
      </c>
      <c r="U95" s="7">
        <v>0</v>
      </c>
      <c r="V95" s="7">
        <v>0</v>
      </c>
      <c r="W95" s="7">
        <v>1625.3320000000001</v>
      </c>
      <c r="X95" s="7">
        <v>389.02600000000001</v>
      </c>
      <c r="Y95" s="7">
        <v>0</v>
      </c>
      <c r="Z95" s="7">
        <v>9276.6759999999995</v>
      </c>
      <c r="AA95" s="7">
        <v>0</v>
      </c>
      <c r="AB95" s="7">
        <v>22422.268</v>
      </c>
      <c r="AC95" s="7">
        <v>0</v>
      </c>
      <c r="AD95" s="7">
        <v>4644.0780000000004</v>
      </c>
      <c r="AE95" s="7">
        <v>0</v>
      </c>
      <c r="AF95" s="7">
        <v>12122.731</v>
      </c>
      <c r="AG95" s="7">
        <v>2295.2359999999999</v>
      </c>
      <c r="AH95" s="7">
        <v>0</v>
      </c>
      <c r="AI95" s="7">
        <v>152052.318</v>
      </c>
      <c r="AJ95" s="7">
        <v>3805.3739999999998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832.09299999999996</v>
      </c>
      <c r="AR95" s="7">
        <v>0</v>
      </c>
      <c r="AS95" s="7">
        <v>673.81600000000003</v>
      </c>
      <c r="AT95" s="7">
        <v>0</v>
      </c>
      <c r="AU95" s="7">
        <v>22.945</v>
      </c>
      <c r="AV95" s="7">
        <v>0</v>
      </c>
      <c r="AW95" s="7">
        <v>19.654</v>
      </c>
      <c r="AX95" s="7">
        <v>0</v>
      </c>
      <c r="AY95" s="7">
        <v>0</v>
      </c>
      <c r="AZ95" s="7">
        <v>0</v>
      </c>
      <c r="BA95" s="7">
        <v>425.34899999999999</v>
      </c>
      <c r="BB95" s="7">
        <v>17.22</v>
      </c>
      <c r="BC95" s="7">
        <v>0</v>
      </c>
      <c r="BD95" s="7">
        <v>164.25800000000001</v>
      </c>
      <c r="BE95" s="7">
        <v>645.14800000000002</v>
      </c>
      <c r="BF95" s="7">
        <v>34.734999999999999</v>
      </c>
      <c r="BG95" s="7">
        <v>21.835000000000001</v>
      </c>
      <c r="BH95" s="7">
        <v>16.39</v>
      </c>
      <c r="BI95" s="7">
        <v>0</v>
      </c>
      <c r="BJ95" s="7">
        <v>242.309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21"/>
    </row>
    <row r="96" spans="1:69" ht="15.75" x14ac:dyDescent="0.25">
      <c r="A96" s="5" t="s">
        <v>176</v>
      </c>
      <c r="B96" s="5" t="s">
        <v>177</v>
      </c>
      <c r="C96" s="7">
        <v>3</v>
      </c>
      <c r="D96" s="7">
        <v>3</v>
      </c>
      <c r="E96" s="7">
        <v>70271.16</v>
      </c>
      <c r="F96" s="7">
        <v>27052.993999999999</v>
      </c>
      <c r="G96" s="7">
        <v>3804.1080000000002</v>
      </c>
      <c r="H96" s="7">
        <v>7088.36</v>
      </c>
      <c r="I96" s="7">
        <v>3446.6</v>
      </c>
      <c r="J96" s="7">
        <v>18886.620999999999</v>
      </c>
      <c r="K96" s="7">
        <v>0</v>
      </c>
      <c r="L96" s="7">
        <v>0</v>
      </c>
      <c r="M96" s="7">
        <v>103907.648</v>
      </c>
      <c r="N96" s="7">
        <v>50730.245999999999</v>
      </c>
      <c r="O96" s="7">
        <v>0</v>
      </c>
      <c r="P96" s="7">
        <v>0</v>
      </c>
      <c r="Q96" s="7">
        <v>1.21</v>
      </c>
      <c r="R96" s="7">
        <v>0</v>
      </c>
      <c r="S96" s="7">
        <v>0</v>
      </c>
      <c r="T96" s="7">
        <v>10874.319</v>
      </c>
      <c r="U96" s="7">
        <v>0</v>
      </c>
      <c r="V96" s="7">
        <v>0</v>
      </c>
      <c r="W96" s="7">
        <v>1825.567</v>
      </c>
      <c r="X96" s="7">
        <v>1645.616</v>
      </c>
      <c r="Y96" s="7">
        <v>0</v>
      </c>
      <c r="Z96" s="7">
        <v>8102.1080000000002</v>
      </c>
      <c r="AA96" s="7">
        <v>0</v>
      </c>
      <c r="AB96" s="7">
        <v>37739.326000000001</v>
      </c>
      <c r="AC96" s="7">
        <v>0</v>
      </c>
      <c r="AD96" s="7">
        <v>5021.7690000000002</v>
      </c>
      <c r="AE96" s="7">
        <v>0</v>
      </c>
      <c r="AF96" s="7">
        <v>18960.059000000001</v>
      </c>
      <c r="AG96" s="7">
        <v>9473.5239999999994</v>
      </c>
      <c r="AH96" s="7">
        <v>0</v>
      </c>
      <c r="AI96" s="7">
        <v>235293.25200000001</v>
      </c>
      <c r="AJ96" s="7">
        <v>15897.138000000001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1241.4469999999999</v>
      </c>
      <c r="AR96" s="7">
        <v>0</v>
      </c>
      <c r="AS96" s="7">
        <v>2799.0529999999999</v>
      </c>
      <c r="AT96" s="7">
        <v>0</v>
      </c>
      <c r="AU96" s="7">
        <v>48.261000000000003</v>
      </c>
      <c r="AV96" s="7">
        <v>0</v>
      </c>
      <c r="AW96" s="7">
        <v>217.02</v>
      </c>
      <c r="AX96" s="7">
        <v>0</v>
      </c>
      <c r="AY96" s="7">
        <v>0</v>
      </c>
      <c r="AZ96" s="7">
        <v>0</v>
      </c>
      <c r="BA96" s="7">
        <v>508.52100000000002</v>
      </c>
      <c r="BB96" s="7">
        <v>71.948999999999998</v>
      </c>
      <c r="BC96" s="7">
        <v>0</v>
      </c>
      <c r="BD96" s="7">
        <v>224.33099999999999</v>
      </c>
      <c r="BE96" s="7">
        <v>873.55899999999997</v>
      </c>
      <c r="BF96" s="7">
        <v>145.13300000000001</v>
      </c>
      <c r="BG96" s="7">
        <v>32.648000000000003</v>
      </c>
      <c r="BH96" s="7">
        <v>68.483000000000004</v>
      </c>
      <c r="BI96" s="7">
        <v>0</v>
      </c>
      <c r="BJ96" s="7">
        <v>310.16199999999998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21"/>
    </row>
    <row r="97" spans="1:69" ht="15.75" x14ac:dyDescent="0.25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21"/>
    </row>
    <row r="98" spans="1:69" ht="15.75" x14ac:dyDescent="0.25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21"/>
    </row>
    <row r="99" spans="1:69" ht="15.75" x14ac:dyDescent="0.25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21"/>
    </row>
    <row r="100" spans="1:69" ht="15.75" x14ac:dyDescent="0.25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21"/>
    </row>
    <row r="101" spans="1:69" ht="15.75" x14ac:dyDescent="0.25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21"/>
    </row>
    <row r="102" spans="1:69" ht="15.75" x14ac:dyDescent="0.25">
      <c r="A102" s="5" t="s">
        <v>188</v>
      </c>
      <c r="B102" s="5" t="s">
        <v>189</v>
      </c>
      <c r="C102" s="7">
        <v>6</v>
      </c>
      <c r="D102" s="7">
        <v>6</v>
      </c>
      <c r="E102" s="7">
        <v>5792.13</v>
      </c>
      <c r="F102" s="7">
        <v>537.06200000000001</v>
      </c>
      <c r="G102" s="7">
        <v>768.27300000000002</v>
      </c>
      <c r="H102" s="7">
        <v>0</v>
      </c>
      <c r="I102" s="7">
        <v>134.85499999999999</v>
      </c>
      <c r="J102" s="7">
        <v>468.72800000000001</v>
      </c>
      <c r="K102" s="7">
        <v>0</v>
      </c>
      <c r="L102" s="7">
        <v>0</v>
      </c>
      <c r="M102" s="7">
        <v>4255.9229999999998</v>
      </c>
      <c r="N102" s="7">
        <v>2089.6280000000002</v>
      </c>
      <c r="O102" s="7">
        <v>0</v>
      </c>
      <c r="P102" s="7">
        <v>0</v>
      </c>
      <c r="Q102" s="7">
        <v>25.100999999999999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66.597999999999999</v>
      </c>
      <c r="X102" s="7">
        <v>204.48099999999999</v>
      </c>
      <c r="Y102" s="7">
        <v>0</v>
      </c>
      <c r="Z102" s="7">
        <v>1616.2819999999999</v>
      </c>
      <c r="AA102" s="7">
        <v>0</v>
      </c>
      <c r="AB102" s="7">
        <v>569.85199999999998</v>
      </c>
      <c r="AC102" s="7">
        <v>0</v>
      </c>
      <c r="AD102" s="7">
        <v>85.558000000000007</v>
      </c>
      <c r="AE102" s="7">
        <v>0</v>
      </c>
      <c r="AF102" s="7">
        <v>5136.1030000000001</v>
      </c>
      <c r="AG102" s="7">
        <v>0</v>
      </c>
      <c r="AH102" s="7">
        <v>0</v>
      </c>
      <c r="AI102" s="7">
        <v>12161.269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21"/>
    </row>
    <row r="103" spans="1:69" ht="15.75" x14ac:dyDescent="0.25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21"/>
    </row>
    <row r="104" spans="1:69" ht="15.75" x14ac:dyDescent="0.25">
      <c r="A104" s="5" t="s">
        <v>192</v>
      </c>
      <c r="B104" s="5" t="s">
        <v>193</v>
      </c>
      <c r="C104" s="7">
        <v>6</v>
      </c>
      <c r="D104" s="7">
        <v>6</v>
      </c>
      <c r="E104" s="7">
        <v>0</v>
      </c>
      <c r="F104" s="7">
        <v>0</v>
      </c>
      <c r="G104" s="7">
        <v>0</v>
      </c>
      <c r="H104" s="7">
        <v>1851.69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21"/>
    </row>
    <row r="105" spans="1:69" ht="15.75" x14ac:dyDescent="0.25">
      <c r="A105" s="5" t="s">
        <v>194</v>
      </c>
      <c r="B105" s="5" t="s">
        <v>195</v>
      </c>
      <c r="C105" s="7">
        <v>4</v>
      </c>
      <c r="D105" s="7">
        <v>4</v>
      </c>
      <c r="E105" s="7">
        <v>293020.93699999998</v>
      </c>
      <c r="F105" s="7">
        <v>63355.743000000002</v>
      </c>
      <c r="G105" s="7">
        <v>0</v>
      </c>
      <c r="H105" s="7">
        <v>0</v>
      </c>
      <c r="I105" s="7">
        <v>3097.76</v>
      </c>
      <c r="J105" s="7">
        <v>0</v>
      </c>
      <c r="K105" s="7">
        <v>0</v>
      </c>
      <c r="L105" s="7">
        <v>0</v>
      </c>
      <c r="M105" s="7">
        <v>730709.71299999999</v>
      </c>
      <c r="N105" s="7">
        <v>74300.900999999998</v>
      </c>
      <c r="O105" s="7">
        <v>0</v>
      </c>
      <c r="P105" s="7">
        <v>24.548999999999999</v>
      </c>
      <c r="Q105" s="7">
        <v>14.166</v>
      </c>
      <c r="R105" s="7">
        <v>44.369</v>
      </c>
      <c r="S105" s="7">
        <v>0</v>
      </c>
      <c r="T105" s="7">
        <v>17145.925999999999</v>
      </c>
      <c r="U105" s="7">
        <v>0</v>
      </c>
      <c r="V105" s="7">
        <v>0</v>
      </c>
      <c r="W105" s="7">
        <v>0</v>
      </c>
      <c r="X105" s="7">
        <v>5314.6719999999996</v>
      </c>
      <c r="Y105" s="7">
        <v>0</v>
      </c>
      <c r="Z105" s="7">
        <v>112593.285</v>
      </c>
      <c r="AA105" s="7">
        <v>0</v>
      </c>
      <c r="AB105" s="7">
        <v>0</v>
      </c>
      <c r="AC105" s="7">
        <v>1772.576</v>
      </c>
      <c r="AD105" s="7">
        <v>10438.241</v>
      </c>
      <c r="AE105" s="7">
        <v>0</v>
      </c>
      <c r="AF105" s="7">
        <v>281306.53200000001</v>
      </c>
      <c r="AG105" s="7">
        <v>144451.122</v>
      </c>
      <c r="AH105" s="7">
        <v>0</v>
      </c>
      <c r="AI105" s="7">
        <v>1192088.1299999999</v>
      </c>
      <c r="AJ105" s="7">
        <v>253824.56599999999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1423.5820000000001</v>
      </c>
      <c r="AR105" s="7">
        <v>0</v>
      </c>
      <c r="AS105" s="7">
        <v>43752.606</v>
      </c>
      <c r="AT105" s="7">
        <v>0</v>
      </c>
      <c r="AU105" s="7">
        <v>168.69200000000001</v>
      </c>
      <c r="AV105" s="7">
        <v>0</v>
      </c>
      <c r="AW105" s="7">
        <v>1221.0509999999999</v>
      </c>
      <c r="AX105" s="7">
        <v>0</v>
      </c>
      <c r="AY105" s="7">
        <v>0</v>
      </c>
      <c r="AZ105" s="7">
        <v>0</v>
      </c>
      <c r="BA105" s="7">
        <v>163.13999999999999</v>
      </c>
      <c r="BB105" s="7">
        <v>1149.567</v>
      </c>
      <c r="BC105" s="7">
        <v>0</v>
      </c>
      <c r="BD105" s="7">
        <v>347.12200000000001</v>
      </c>
      <c r="BE105" s="7">
        <v>0</v>
      </c>
      <c r="BF105" s="7">
        <v>2318.855</v>
      </c>
      <c r="BG105" s="7">
        <v>47.820999999999998</v>
      </c>
      <c r="BH105" s="7">
        <v>1094.191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21"/>
    </row>
    <row r="106" spans="1:69" ht="15.75" x14ac:dyDescent="0.25">
      <c r="A106" s="5" t="s">
        <v>196</v>
      </c>
      <c r="B106" s="5" t="s">
        <v>197</v>
      </c>
      <c r="C106" s="7">
        <v>4</v>
      </c>
      <c r="D106" s="7">
        <v>4</v>
      </c>
      <c r="E106" s="7">
        <v>144203.85699999999</v>
      </c>
      <c r="F106" s="7">
        <v>30185.95</v>
      </c>
      <c r="G106" s="7">
        <v>0</v>
      </c>
      <c r="H106" s="7">
        <v>399.79599999999999</v>
      </c>
      <c r="I106" s="7">
        <v>1536.6659999999999</v>
      </c>
      <c r="J106" s="7">
        <v>0</v>
      </c>
      <c r="K106" s="7">
        <v>0</v>
      </c>
      <c r="L106" s="7">
        <v>0</v>
      </c>
      <c r="M106" s="7">
        <v>358776.77500000002</v>
      </c>
      <c r="N106" s="7">
        <v>36857.502999999997</v>
      </c>
      <c r="O106" s="7">
        <v>0</v>
      </c>
      <c r="P106" s="7">
        <v>5.7000000000000002E-2</v>
      </c>
      <c r="Q106" s="7">
        <v>7.0270000000000001</v>
      </c>
      <c r="R106" s="7">
        <v>0.10299999999999999</v>
      </c>
      <c r="S106" s="7">
        <v>0</v>
      </c>
      <c r="T106" s="7">
        <v>8505.3610000000008</v>
      </c>
      <c r="U106" s="7">
        <v>0</v>
      </c>
      <c r="V106" s="7">
        <v>0</v>
      </c>
      <c r="W106" s="7">
        <v>0</v>
      </c>
      <c r="X106" s="7">
        <v>2636.3820000000001</v>
      </c>
      <c r="Y106" s="7">
        <v>0</v>
      </c>
      <c r="Z106" s="7">
        <v>55852.718000000001</v>
      </c>
      <c r="AA106" s="7">
        <v>0</v>
      </c>
      <c r="AB106" s="7">
        <v>0</v>
      </c>
      <c r="AC106" s="7">
        <v>4.1280000000000001</v>
      </c>
      <c r="AD106" s="7">
        <v>5177.9650000000001</v>
      </c>
      <c r="AE106" s="7">
        <v>0</v>
      </c>
      <c r="AF106" s="7">
        <v>138690.09599999999</v>
      </c>
      <c r="AG106" s="7">
        <v>71656.028999999995</v>
      </c>
      <c r="AH106" s="7">
        <v>0</v>
      </c>
      <c r="AI106" s="7">
        <v>587859.679</v>
      </c>
      <c r="AJ106" s="7">
        <v>125911.522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706.178</v>
      </c>
      <c r="AR106" s="7">
        <v>0</v>
      </c>
      <c r="AS106" s="7">
        <v>21703.797999999999</v>
      </c>
      <c r="AT106" s="7">
        <v>0</v>
      </c>
      <c r="AU106" s="7">
        <v>83.680999999999997</v>
      </c>
      <c r="AV106" s="7">
        <v>0</v>
      </c>
      <c r="AW106" s="7">
        <v>605.71100000000001</v>
      </c>
      <c r="AX106" s="7">
        <v>0</v>
      </c>
      <c r="AY106" s="7">
        <v>0</v>
      </c>
      <c r="AZ106" s="7">
        <v>0</v>
      </c>
      <c r="BA106" s="7">
        <v>80.927000000000007</v>
      </c>
      <c r="BB106" s="7">
        <v>570.25099999999998</v>
      </c>
      <c r="BC106" s="7">
        <v>0</v>
      </c>
      <c r="BD106" s="7">
        <v>172.19300000000001</v>
      </c>
      <c r="BE106" s="7">
        <v>0</v>
      </c>
      <c r="BF106" s="7">
        <v>1150.2850000000001</v>
      </c>
      <c r="BG106" s="7">
        <v>23.722000000000001</v>
      </c>
      <c r="BH106" s="7">
        <v>542.78099999999995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21"/>
    </row>
    <row r="107" spans="1:69" ht="15.75" x14ac:dyDescent="0.25">
      <c r="A107" s="5" t="s">
        <v>198</v>
      </c>
      <c r="B107" s="5" t="s">
        <v>199</v>
      </c>
      <c r="C107" s="7">
        <v>4</v>
      </c>
      <c r="D107" s="7">
        <v>4</v>
      </c>
      <c r="E107" s="7">
        <v>64244.21</v>
      </c>
      <c r="F107" s="7">
        <v>13472.050999999999</v>
      </c>
      <c r="G107" s="7">
        <v>129.828</v>
      </c>
      <c r="H107" s="7">
        <v>2.7810000000000001</v>
      </c>
      <c r="I107" s="7">
        <v>749.10900000000004</v>
      </c>
      <c r="J107" s="7">
        <v>85.819000000000003</v>
      </c>
      <c r="K107" s="7">
        <v>0</v>
      </c>
      <c r="L107" s="7">
        <v>0</v>
      </c>
      <c r="M107" s="7">
        <v>154834.587</v>
      </c>
      <c r="N107" s="7">
        <v>18774.649000000001</v>
      </c>
      <c r="O107" s="7">
        <v>0</v>
      </c>
      <c r="P107" s="7">
        <v>48.704999999999998</v>
      </c>
      <c r="Q107" s="7">
        <v>2.85</v>
      </c>
      <c r="R107" s="7">
        <v>88.027000000000001</v>
      </c>
      <c r="S107" s="7">
        <v>0</v>
      </c>
      <c r="T107" s="7">
        <v>3463.8739999999998</v>
      </c>
      <c r="U107" s="7">
        <v>0</v>
      </c>
      <c r="V107" s="7">
        <v>0</v>
      </c>
      <c r="W107" s="7">
        <v>13.715999999999999</v>
      </c>
      <c r="X107" s="7">
        <v>1090.9970000000001</v>
      </c>
      <c r="Y107" s="7">
        <v>0</v>
      </c>
      <c r="Z107" s="7">
        <v>22599.542000000001</v>
      </c>
      <c r="AA107" s="7">
        <v>0</v>
      </c>
      <c r="AB107" s="7">
        <v>101.14400000000001</v>
      </c>
      <c r="AC107" s="7">
        <v>3516.779</v>
      </c>
      <c r="AD107" s="7">
        <v>2102.2159999999999</v>
      </c>
      <c r="AE107" s="7">
        <v>0</v>
      </c>
      <c r="AF107" s="7">
        <v>59472.523999999998</v>
      </c>
      <c r="AG107" s="7">
        <v>28912.687000000002</v>
      </c>
      <c r="AH107" s="7">
        <v>0</v>
      </c>
      <c r="AI107" s="7">
        <v>248545.26800000001</v>
      </c>
      <c r="AJ107" s="7">
        <v>50809.175000000003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286.471</v>
      </c>
      <c r="AR107" s="7">
        <v>0</v>
      </c>
      <c r="AS107" s="7">
        <v>8756.4779999999992</v>
      </c>
      <c r="AT107" s="7">
        <v>0</v>
      </c>
      <c r="AU107" s="7">
        <v>34.067</v>
      </c>
      <c r="AV107" s="7">
        <v>0</v>
      </c>
      <c r="AW107" s="7">
        <v>253.298</v>
      </c>
      <c r="AX107" s="7">
        <v>0</v>
      </c>
      <c r="AY107" s="7">
        <v>0</v>
      </c>
      <c r="AZ107" s="7">
        <v>0</v>
      </c>
      <c r="BA107" s="7">
        <v>33.523000000000003</v>
      </c>
      <c r="BB107" s="7">
        <v>230.07</v>
      </c>
      <c r="BC107" s="7">
        <v>0</v>
      </c>
      <c r="BD107" s="7">
        <v>69.837000000000003</v>
      </c>
      <c r="BE107" s="7">
        <v>1.4650000000000001</v>
      </c>
      <c r="BF107" s="7">
        <v>464.08699999999999</v>
      </c>
      <c r="BG107" s="7">
        <v>9.6219999999999999</v>
      </c>
      <c r="BH107" s="7">
        <v>218.98699999999999</v>
      </c>
      <c r="BI107" s="7">
        <v>0</v>
      </c>
      <c r="BJ107" s="7">
        <v>0.55500000000000005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21"/>
    </row>
    <row r="108" spans="1:69" ht="15.75" x14ac:dyDescent="0.25">
      <c r="A108" s="5" t="s">
        <v>200</v>
      </c>
      <c r="B108" s="5" t="s">
        <v>201</v>
      </c>
      <c r="C108" s="7">
        <v>4</v>
      </c>
      <c r="D108" s="7">
        <v>4</v>
      </c>
      <c r="E108" s="7">
        <v>4030.598</v>
      </c>
      <c r="F108" s="7">
        <v>816.55200000000002</v>
      </c>
      <c r="G108" s="7">
        <v>1.2929999999999999</v>
      </c>
      <c r="H108" s="7">
        <v>0</v>
      </c>
      <c r="I108" s="7">
        <v>41.667000000000002</v>
      </c>
      <c r="J108" s="7">
        <v>0.85499999999999998</v>
      </c>
      <c r="K108" s="7">
        <v>0</v>
      </c>
      <c r="L108" s="7">
        <v>0</v>
      </c>
      <c r="M108" s="7">
        <v>9840.0589999999993</v>
      </c>
      <c r="N108" s="7">
        <v>999.69899999999996</v>
      </c>
      <c r="O108" s="7">
        <v>0</v>
      </c>
      <c r="P108" s="7">
        <v>3.9390000000000001</v>
      </c>
      <c r="Q108" s="7">
        <v>0.19</v>
      </c>
      <c r="R108" s="7">
        <v>7.1189999999999998</v>
      </c>
      <c r="S108" s="7">
        <v>0</v>
      </c>
      <c r="T108" s="7">
        <v>230.18700000000001</v>
      </c>
      <c r="U108" s="7">
        <v>0</v>
      </c>
      <c r="V108" s="7">
        <v>0</v>
      </c>
      <c r="W108" s="7">
        <v>0.13700000000000001</v>
      </c>
      <c r="X108" s="7">
        <v>71.522999999999996</v>
      </c>
      <c r="Y108" s="7">
        <v>0</v>
      </c>
      <c r="Z108" s="7">
        <v>1510.1189999999999</v>
      </c>
      <c r="AA108" s="7">
        <v>0</v>
      </c>
      <c r="AB108" s="7">
        <v>1.0069999999999999</v>
      </c>
      <c r="AC108" s="7">
        <v>284.40499999999997</v>
      </c>
      <c r="AD108" s="7">
        <v>140.07</v>
      </c>
      <c r="AE108" s="7">
        <v>0</v>
      </c>
      <c r="AF108" s="7">
        <v>4026.5169999999998</v>
      </c>
      <c r="AG108" s="7">
        <v>1936.5640000000001</v>
      </c>
      <c r="AH108" s="7">
        <v>0</v>
      </c>
      <c r="AI108" s="7">
        <v>15893.335999999999</v>
      </c>
      <c r="AJ108" s="7">
        <v>3402.864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19.100999999999999</v>
      </c>
      <c r="AR108" s="7">
        <v>0</v>
      </c>
      <c r="AS108" s="7">
        <v>586.56299999999999</v>
      </c>
      <c r="AT108" s="7">
        <v>0</v>
      </c>
      <c r="AU108" s="7">
        <v>2.2650000000000001</v>
      </c>
      <c r="AV108" s="7">
        <v>0</v>
      </c>
      <c r="AW108" s="7">
        <v>16.459</v>
      </c>
      <c r="AX108" s="7">
        <v>0</v>
      </c>
      <c r="AY108" s="7">
        <v>0</v>
      </c>
      <c r="AZ108" s="7">
        <v>0</v>
      </c>
      <c r="BA108" s="7">
        <v>2.1960000000000002</v>
      </c>
      <c r="BB108" s="7">
        <v>15.412000000000001</v>
      </c>
      <c r="BC108" s="7">
        <v>0</v>
      </c>
      <c r="BD108" s="7">
        <v>4.657</v>
      </c>
      <c r="BE108" s="7">
        <v>1.4999999999999999E-2</v>
      </c>
      <c r="BF108" s="7">
        <v>31.087</v>
      </c>
      <c r="BG108" s="7">
        <v>0.64200000000000002</v>
      </c>
      <c r="BH108" s="7">
        <v>14.669</v>
      </c>
      <c r="BI108" s="7">
        <v>0</v>
      </c>
      <c r="BJ108" s="7">
        <v>6.0000000000000001E-3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21"/>
    </row>
    <row r="109" spans="1:69" ht="15.75" x14ac:dyDescent="0.25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21"/>
    </row>
    <row r="110" spans="1:69" ht="15.75" x14ac:dyDescent="0.25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21"/>
    </row>
    <row r="111" spans="1:69" ht="15.75" x14ac:dyDescent="0.25">
      <c r="A111" s="5" t="s">
        <v>206</v>
      </c>
      <c r="B111" s="5" t="s">
        <v>207</v>
      </c>
      <c r="C111" s="7">
        <v>6</v>
      </c>
      <c r="D111" s="7">
        <v>6</v>
      </c>
      <c r="E111" s="7">
        <v>82096.323999999993</v>
      </c>
      <c r="F111" s="7">
        <v>624.04700000000003</v>
      </c>
      <c r="G111" s="7">
        <v>0</v>
      </c>
      <c r="H111" s="7">
        <v>9439.5290000000005</v>
      </c>
      <c r="I111" s="7">
        <v>0.29499999999999998</v>
      </c>
      <c r="J111" s="7">
        <v>0</v>
      </c>
      <c r="K111" s="7">
        <v>0</v>
      </c>
      <c r="L111" s="7">
        <v>0</v>
      </c>
      <c r="M111" s="7">
        <v>119933.387</v>
      </c>
      <c r="N111" s="7">
        <v>19668.89</v>
      </c>
      <c r="O111" s="7">
        <v>0</v>
      </c>
      <c r="P111" s="7">
        <v>0</v>
      </c>
      <c r="Q111" s="7">
        <v>1E-3</v>
      </c>
      <c r="R111" s="7">
        <v>0</v>
      </c>
      <c r="S111" s="7">
        <v>2E-3</v>
      </c>
      <c r="T111" s="7">
        <v>1.62</v>
      </c>
      <c r="U111" s="7">
        <v>0</v>
      </c>
      <c r="V111" s="7">
        <v>0</v>
      </c>
      <c r="W111" s="7">
        <v>0</v>
      </c>
      <c r="X111" s="7">
        <v>0.502</v>
      </c>
      <c r="Y111" s="7">
        <v>0</v>
      </c>
      <c r="Z111" s="7">
        <v>27201.054</v>
      </c>
      <c r="AA111" s="7">
        <v>0</v>
      </c>
      <c r="AB111" s="7">
        <v>0</v>
      </c>
      <c r="AC111" s="7">
        <v>0</v>
      </c>
      <c r="AD111" s="7">
        <v>0.98599999999999999</v>
      </c>
      <c r="AE111" s="7">
        <v>0</v>
      </c>
      <c r="AF111" s="7">
        <v>93262.388999999996</v>
      </c>
      <c r="AG111" s="7">
        <v>3979.1509999999998</v>
      </c>
      <c r="AH111" s="7">
        <v>0</v>
      </c>
      <c r="AI111" s="7">
        <v>289036.55900000001</v>
      </c>
      <c r="AJ111" s="7">
        <v>5464.6559999999999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0.13400000000000001</v>
      </c>
      <c r="AR111" s="7">
        <v>0</v>
      </c>
      <c r="AS111" s="7">
        <v>4.133</v>
      </c>
      <c r="AT111" s="7">
        <v>0</v>
      </c>
      <c r="AU111" s="7">
        <v>2.1999999999999999E-2</v>
      </c>
      <c r="AV111" s="7">
        <v>0</v>
      </c>
      <c r="AW111" s="7">
        <v>0.115</v>
      </c>
      <c r="AX111" s="7">
        <v>0</v>
      </c>
      <c r="AY111" s="7">
        <v>0</v>
      </c>
      <c r="AZ111" s="7">
        <v>0</v>
      </c>
      <c r="BA111" s="7">
        <v>1.4999999999999999E-2</v>
      </c>
      <c r="BB111" s="7">
        <v>0.109</v>
      </c>
      <c r="BC111" s="7">
        <v>0</v>
      </c>
      <c r="BD111" s="7">
        <v>3.3000000000000002E-2</v>
      </c>
      <c r="BE111" s="7">
        <v>0</v>
      </c>
      <c r="BF111" s="7">
        <v>0.219</v>
      </c>
      <c r="BG111" s="7">
        <v>5.0000000000000001E-3</v>
      </c>
      <c r="BH111" s="7">
        <v>0.10299999999999999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21"/>
    </row>
    <row r="112" spans="1:69" ht="15.75" x14ac:dyDescent="0.25">
      <c r="A112" s="5" t="s">
        <v>208</v>
      </c>
      <c r="B112" s="5" t="s">
        <v>209</v>
      </c>
      <c r="C112" s="7">
        <v>4</v>
      </c>
      <c r="D112" s="7">
        <v>4</v>
      </c>
      <c r="E112" s="7">
        <v>95589.217000000004</v>
      </c>
      <c r="F112" s="7">
        <v>20016.988000000001</v>
      </c>
      <c r="G112" s="7">
        <v>0</v>
      </c>
      <c r="H112" s="7">
        <v>0</v>
      </c>
      <c r="I112" s="7">
        <v>1017.34</v>
      </c>
      <c r="J112" s="7">
        <v>0</v>
      </c>
      <c r="K112" s="7">
        <v>0</v>
      </c>
      <c r="L112" s="7">
        <v>0</v>
      </c>
      <c r="M112" s="7">
        <v>238316.024</v>
      </c>
      <c r="N112" s="7">
        <v>24409.082999999999</v>
      </c>
      <c r="O112" s="7">
        <v>0</v>
      </c>
      <c r="P112" s="7">
        <v>0</v>
      </c>
      <c r="Q112" s="7">
        <v>4.6479999999999997</v>
      </c>
      <c r="R112" s="7">
        <v>0</v>
      </c>
      <c r="S112" s="7">
        <v>0</v>
      </c>
      <c r="T112" s="7">
        <v>5632.3140000000003</v>
      </c>
      <c r="U112" s="7">
        <v>0</v>
      </c>
      <c r="V112" s="7">
        <v>0</v>
      </c>
      <c r="W112" s="7">
        <v>0</v>
      </c>
      <c r="X112" s="7">
        <v>1745.6130000000001</v>
      </c>
      <c r="Y112" s="7">
        <v>0</v>
      </c>
      <c r="Z112" s="7">
        <v>37015.279000000002</v>
      </c>
      <c r="AA112" s="7">
        <v>0</v>
      </c>
      <c r="AB112" s="7">
        <v>0</v>
      </c>
      <c r="AC112" s="7">
        <v>18.847999999999999</v>
      </c>
      <c r="AD112" s="7">
        <v>3428.78</v>
      </c>
      <c r="AE112" s="7">
        <v>0</v>
      </c>
      <c r="AF112" s="7">
        <v>91974.452999999994</v>
      </c>
      <c r="AG112" s="7">
        <v>47496.548000000003</v>
      </c>
      <c r="AH112" s="7">
        <v>0</v>
      </c>
      <c r="AI112" s="7">
        <v>390699.15600000002</v>
      </c>
      <c r="AJ112" s="7">
        <v>83424.142000000007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467.80399999999997</v>
      </c>
      <c r="AR112" s="7">
        <v>0</v>
      </c>
      <c r="AS112" s="7">
        <v>14390.72</v>
      </c>
      <c r="AT112" s="7">
        <v>0</v>
      </c>
      <c r="AU112" s="7">
        <v>55.418999999999997</v>
      </c>
      <c r="AV112" s="7">
        <v>0</v>
      </c>
      <c r="AW112" s="7">
        <v>582.45500000000004</v>
      </c>
      <c r="AX112" s="7">
        <v>0</v>
      </c>
      <c r="AY112" s="7">
        <v>0</v>
      </c>
      <c r="AZ112" s="7">
        <v>0</v>
      </c>
      <c r="BA112" s="7">
        <v>53.591000000000001</v>
      </c>
      <c r="BB112" s="7">
        <v>377.19400000000002</v>
      </c>
      <c r="BC112" s="7">
        <v>0</v>
      </c>
      <c r="BD112" s="7">
        <v>114.01300000000001</v>
      </c>
      <c r="BE112" s="7">
        <v>0</v>
      </c>
      <c r="BF112" s="7">
        <v>760.85799999999995</v>
      </c>
      <c r="BG112" s="7">
        <v>15.707000000000001</v>
      </c>
      <c r="BH112" s="7">
        <v>359.024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21"/>
    </row>
    <row r="113" spans="1:69" ht="15.75" x14ac:dyDescent="0.25">
      <c r="A113" s="5" t="s">
        <v>210</v>
      </c>
      <c r="B113" s="5" t="s">
        <v>211</v>
      </c>
      <c r="C113" s="7">
        <v>4</v>
      </c>
      <c r="D113" s="7">
        <v>4</v>
      </c>
      <c r="E113" s="7">
        <v>206370.42499999999</v>
      </c>
      <c r="F113" s="7">
        <v>48465.718999999997</v>
      </c>
      <c r="G113" s="7">
        <v>1.595</v>
      </c>
      <c r="H113" s="7">
        <v>3.516</v>
      </c>
      <c r="I113" s="7">
        <v>2069.2440000000001</v>
      </c>
      <c r="J113" s="7">
        <v>16.934999999999999</v>
      </c>
      <c r="K113" s="7">
        <v>0</v>
      </c>
      <c r="L113" s="7">
        <v>0</v>
      </c>
      <c r="M113" s="7">
        <v>566134.73400000005</v>
      </c>
      <c r="N113" s="7">
        <v>45917.292999999998</v>
      </c>
      <c r="O113" s="7">
        <v>0</v>
      </c>
      <c r="P113" s="7">
        <v>0</v>
      </c>
      <c r="Q113" s="7">
        <v>0.29599999999999999</v>
      </c>
      <c r="R113" s="7">
        <v>0</v>
      </c>
      <c r="S113" s="7">
        <v>0</v>
      </c>
      <c r="T113" s="7">
        <v>14036.084999999999</v>
      </c>
      <c r="U113" s="7">
        <v>0</v>
      </c>
      <c r="V113" s="7">
        <v>0</v>
      </c>
      <c r="W113" s="7">
        <v>1.554</v>
      </c>
      <c r="X113" s="7">
        <v>3944.2049999999999</v>
      </c>
      <c r="Y113" s="7">
        <v>77647.597999999998</v>
      </c>
      <c r="Z113" s="7">
        <v>89119.332999999999</v>
      </c>
      <c r="AA113" s="7">
        <v>0</v>
      </c>
      <c r="AB113" s="7">
        <v>34.892000000000003</v>
      </c>
      <c r="AC113" s="7">
        <v>32.460999999999999</v>
      </c>
      <c r="AD113" s="7">
        <v>8233.3140000000003</v>
      </c>
      <c r="AE113" s="7">
        <v>0</v>
      </c>
      <c r="AF113" s="7">
        <v>224032.59299999999</v>
      </c>
      <c r="AG113" s="7">
        <v>113846.933</v>
      </c>
      <c r="AH113" s="7">
        <v>0</v>
      </c>
      <c r="AI113" s="7">
        <v>960551.27099999995</v>
      </c>
      <c r="AJ113" s="7">
        <v>200698.269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1440.52</v>
      </c>
      <c r="AR113" s="7">
        <v>38789.646000000001</v>
      </c>
      <c r="AS113" s="7">
        <v>33492.184999999998</v>
      </c>
      <c r="AT113" s="7">
        <v>16383.919</v>
      </c>
      <c r="AU113" s="7">
        <v>141.018</v>
      </c>
      <c r="AV113" s="7">
        <v>0</v>
      </c>
      <c r="AW113" s="7">
        <v>992.94799999999998</v>
      </c>
      <c r="AX113" s="7">
        <v>59861.675999999999</v>
      </c>
      <c r="AY113" s="7">
        <v>58431.019</v>
      </c>
      <c r="AZ113" s="7">
        <v>30984.522000000001</v>
      </c>
      <c r="BA113" s="7">
        <v>128.88399999999999</v>
      </c>
      <c r="BB113" s="7">
        <v>24.01</v>
      </c>
      <c r="BC113" s="7">
        <v>11806.597</v>
      </c>
      <c r="BD113" s="7">
        <v>239.15899999999999</v>
      </c>
      <c r="BE113" s="7">
        <v>0.81899999999999995</v>
      </c>
      <c r="BF113" s="7">
        <v>48.427999999999997</v>
      </c>
      <c r="BG113" s="7">
        <v>33.957999999999998</v>
      </c>
      <c r="BH113" s="7">
        <v>22.853999999999999</v>
      </c>
      <c r="BI113" s="7">
        <v>0</v>
      </c>
      <c r="BJ113" s="7">
        <v>0.29099999999999998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21"/>
    </row>
    <row r="114" spans="1:69" ht="15.75" x14ac:dyDescent="0.25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21"/>
    </row>
    <row r="115" spans="1:69" ht="15.75" x14ac:dyDescent="0.25">
      <c r="A115" s="5" t="s">
        <v>214</v>
      </c>
      <c r="B115" s="5" t="s">
        <v>215</v>
      </c>
      <c r="C115" s="7">
        <v>6</v>
      </c>
      <c r="D115" s="7">
        <v>6</v>
      </c>
      <c r="E115" s="7">
        <v>0.73299999999999998</v>
      </c>
      <c r="F115" s="7">
        <v>42.514000000000003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-0.23200000000000001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356.238</v>
      </c>
      <c r="AG115" s="7">
        <v>23.823</v>
      </c>
      <c r="AH115" s="7">
        <v>0</v>
      </c>
      <c r="AI115" s="7">
        <v>297.47500000000002</v>
      </c>
      <c r="AJ115" s="7">
        <v>12.461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21"/>
    </row>
    <row r="116" spans="1:69" ht="15.75" x14ac:dyDescent="0.25">
      <c r="A116" s="5" t="s">
        <v>216</v>
      </c>
      <c r="B116" s="5" t="s">
        <v>217</v>
      </c>
      <c r="C116" s="7">
        <v>6</v>
      </c>
      <c r="D116" s="7">
        <v>6</v>
      </c>
      <c r="E116" s="7">
        <v>84956.172000000006</v>
      </c>
      <c r="F116" s="7">
        <v>1148.0830000000001</v>
      </c>
      <c r="G116" s="7">
        <v>0</v>
      </c>
      <c r="H116" s="7">
        <v>0</v>
      </c>
      <c r="I116" s="7">
        <v>75.834999999999994</v>
      </c>
      <c r="J116" s="7">
        <v>0</v>
      </c>
      <c r="K116" s="7">
        <v>0</v>
      </c>
      <c r="L116" s="7">
        <v>0</v>
      </c>
      <c r="M116" s="7">
        <v>187235.34099999999</v>
      </c>
      <c r="N116" s="7">
        <v>39177.574999999997</v>
      </c>
      <c r="O116" s="7">
        <v>0</v>
      </c>
      <c r="P116" s="7">
        <v>0</v>
      </c>
      <c r="Q116" s="7">
        <v>25.277999999999999</v>
      </c>
      <c r="R116" s="7">
        <v>0</v>
      </c>
      <c r="S116" s="7">
        <v>25.277999999999999</v>
      </c>
      <c r="T116" s="7">
        <v>0</v>
      </c>
      <c r="U116" s="7">
        <v>0</v>
      </c>
      <c r="V116" s="7">
        <v>0</v>
      </c>
      <c r="W116" s="7">
        <v>0</v>
      </c>
      <c r="X116" s="7">
        <v>252.78399999999999</v>
      </c>
      <c r="Y116" s="7">
        <v>0</v>
      </c>
      <c r="Z116" s="7">
        <v>18500.938999999998</v>
      </c>
      <c r="AA116" s="7">
        <v>0</v>
      </c>
      <c r="AB116" s="7">
        <v>2376.172</v>
      </c>
      <c r="AC116" s="7">
        <v>0</v>
      </c>
      <c r="AD116" s="7">
        <v>202.227</v>
      </c>
      <c r="AE116" s="7">
        <v>0</v>
      </c>
      <c r="AF116" s="7">
        <v>53774.241999999998</v>
      </c>
      <c r="AG116" s="7">
        <v>111.468</v>
      </c>
      <c r="AH116" s="7">
        <v>0</v>
      </c>
      <c r="AI116" s="7">
        <v>268087.75400000002</v>
      </c>
      <c r="AJ116" s="7">
        <v>75.564999999999998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21"/>
    </row>
    <row r="117" spans="1:69" ht="15.75" x14ac:dyDescent="0.25">
      <c r="A117" s="5" t="s">
        <v>218</v>
      </c>
      <c r="B117" s="5" t="s">
        <v>219</v>
      </c>
      <c r="C117" s="7">
        <v>4</v>
      </c>
      <c r="D117" s="7">
        <v>4</v>
      </c>
      <c r="E117" s="7">
        <v>29999.439999999999</v>
      </c>
      <c r="F117" s="7">
        <v>6279.8130000000001</v>
      </c>
      <c r="G117" s="7">
        <v>0</v>
      </c>
      <c r="H117" s="7">
        <v>12308.941000000001</v>
      </c>
      <c r="I117" s="7">
        <v>319.68400000000003</v>
      </c>
      <c r="J117" s="7">
        <v>0</v>
      </c>
      <c r="K117" s="7">
        <v>0</v>
      </c>
      <c r="L117" s="7">
        <v>0</v>
      </c>
      <c r="M117" s="7">
        <v>74638.638000000006</v>
      </c>
      <c r="N117" s="7">
        <v>7667.7470000000003</v>
      </c>
      <c r="O117" s="7">
        <v>0</v>
      </c>
      <c r="P117" s="7">
        <v>0</v>
      </c>
      <c r="Q117" s="7">
        <v>1.462</v>
      </c>
      <c r="R117" s="7">
        <v>0</v>
      </c>
      <c r="S117" s="7">
        <v>0</v>
      </c>
      <c r="T117" s="7">
        <v>1769.4349999999999</v>
      </c>
      <c r="U117" s="7">
        <v>0</v>
      </c>
      <c r="V117" s="7">
        <v>0</v>
      </c>
      <c r="W117" s="7">
        <v>0</v>
      </c>
      <c r="X117" s="7">
        <v>548.46699999999998</v>
      </c>
      <c r="Y117" s="7">
        <v>0</v>
      </c>
      <c r="Z117" s="7">
        <v>11619.466</v>
      </c>
      <c r="AA117" s="7">
        <v>0</v>
      </c>
      <c r="AB117" s="7">
        <v>0</v>
      </c>
      <c r="AC117" s="7">
        <v>0</v>
      </c>
      <c r="AD117" s="7">
        <v>1077.212</v>
      </c>
      <c r="AE117" s="7">
        <v>7711.7020000000002</v>
      </c>
      <c r="AF117" s="7">
        <v>28851.919000000002</v>
      </c>
      <c r="AG117" s="7">
        <v>14907.148999999999</v>
      </c>
      <c r="AH117" s="7">
        <v>35755.747000000003</v>
      </c>
      <c r="AI117" s="7">
        <v>122296.92600000001</v>
      </c>
      <c r="AJ117" s="7">
        <v>26194.332999999999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146.91200000000001</v>
      </c>
      <c r="AR117" s="7">
        <v>0</v>
      </c>
      <c r="AS117" s="7">
        <v>4515.2060000000001</v>
      </c>
      <c r="AT117" s="7">
        <v>0</v>
      </c>
      <c r="AU117" s="7">
        <v>17.408999999999999</v>
      </c>
      <c r="AV117" s="7">
        <v>0</v>
      </c>
      <c r="AW117" s="7">
        <v>2189.8180000000002</v>
      </c>
      <c r="AX117" s="7">
        <v>0</v>
      </c>
      <c r="AY117" s="7">
        <v>0</v>
      </c>
      <c r="AZ117" s="7">
        <v>0</v>
      </c>
      <c r="BA117" s="7">
        <v>16.835999999999999</v>
      </c>
      <c r="BB117" s="7">
        <v>118.634</v>
      </c>
      <c r="BC117" s="7">
        <v>0</v>
      </c>
      <c r="BD117" s="7">
        <v>35.823</v>
      </c>
      <c r="BE117" s="7">
        <v>0</v>
      </c>
      <c r="BF117" s="7">
        <v>239.303</v>
      </c>
      <c r="BG117" s="7">
        <v>4.9349999999999996</v>
      </c>
      <c r="BH117" s="7">
        <v>112.919</v>
      </c>
      <c r="BI117" s="7">
        <v>0</v>
      </c>
      <c r="BJ117" s="7">
        <v>0</v>
      </c>
      <c r="BK117" s="7">
        <v>0</v>
      </c>
      <c r="BL117" s="7">
        <v>2E-3</v>
      </c>
      <c r="BM117" s="7">
        <v>0</v>
      </c>
      <c r="BN117" s="7">
        <v>0</v>
      </c>
      <c r="BO117" s="7">
        <v>0</v>
      </c>
      <c r="BP117" s="7">
        <v>0</v>
      </c>
      <c r="BQ117" s="21"/>
    </row>
    <row r="118" spans="1:69" ht="15.75" x14ac:dyDescent="0.25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891.18200000000002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465758.57500000001</v>
      </c>
      <c r="AM118" s="7">
        <v>0</v>
      </c>
      <c r="AN118" s="7">
        <v>276484.24400000001</v>
      </c>
      <c r="AO118" s="7">
        <v>0</v>
      </c>
      <c r="AP118" s="7">
        <v>154030.10200000001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1604.8720000000001</v>
      </c>
      <c r="AX118" s="7">
        <v>0</v>
      </c>
      <c r="AY118" s="7">
        <v>0</v>
      </c>
      <c r="AZ118" s="7">
        <v>355.61700000000002</v>
      </c>
      <c r="BA118" s="7">
        <v>0</v>
      </c>
      <c r="BB118" s="7">
        <v>0</v>
      </c>
      <c r="BC118" s="7">
        <v>135.50700000000001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21"/>
    </row>
    <row r="119" spans="1:69" ht="15.75" x14ac:dyDescent="0.25">
      <c r="A119" s="5" t="s">
        <v>222</v>
      </c>
      <c r="B119" s="5" t="s">
        <v>223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2351.6610000000001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10797.664000000001</v>
      </c>
      <c r="AF119" s="7">
        <v>0</v>
      </c>
      <c r="AG119" s="7">
        <v>0</v>
      </c>
      <c r="AH119" s="7">
        <v>44821.877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42.158000000000001</v>
      </c>
      <c r="AV119" s="7">
        <v>0</v>
      </c>
      <c r="AW119" s="7">
        <v>2105.1170000000002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21"/>
    </row>
    <row r="120" spans="1:69" ht="15.75" x14ac:dyDescent="0.25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21"/>
    </row>
    <row r="121" spans="1:69" ht="15.75" x14ac:dyDescent="0.25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21"/>
    </row>
    <row r="122" spans="1:69" ht="15.75" x14ac:dyDescent="0.25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21"/>
    </row>
    <row r="123" spans="1:69" ht="15.75" x14ac:dyDescent="0.25">
      <c r="A123" s="5" t="s">
        <v>230</v>
      </c>
      <c r="B123" s="5" t="s">
        <v>231</v>
      </c>
      <c r="C123" s="7">
        <v>4</v>
      </c>
      <c r="D123" s="7">
        <v>4</v>
      </c>
      <c r="E123" s="7">
        <v>221053.47899999999</v>
      </c>
      <c r="F123" s="7">
        <v>48989.038</v>
      </c>
      <c r="G123" s="7">
        <v>0</v>
      </c>
      <c r="H123" s="7">
        <v>0</v>
      </c>
      <c r="I123" s="7">
        <v>1988.771</v>
      </c>
      <c r="J123" s="7">
        <v>0</v>
      </c>
      <c r="K123" s="7">
        <v>0</v>
      </c>
      <c r="L123" s="7">
        <v>0</v>
      </c>
      <c r="M123" s="7">
        <v>586153.89199999999</v>
      </c>
      <c r="N123" s="7">
        <v>44231.887000000002</v>
      </c>
      <c r="O123" s="7">
        <v>0</v>
      </c>
      <c r="P123" s="7">
        <v>1547.136</v>
      </c>
      <c r="Q123" s="7">
        <v>0</v>
      </c>
      <c r="R123" s="7">
        <v>843.37199999999996</v>
      </c>
      <c r="S123" s="7">
        <v>0</v>
      </c>
      <c r="T123" s="7">
        <v>14192.235000000001</v>
      </c>
      <c r="U123" s="7">
        <v>0</v>
      </c>
      <c r="V123" s="7">
        <v>0</v>
      </c>
      <c r="W123" s="7">
        <v>0</v>
      </c>
      <c r="X123" s="7">
        <v>3902.5819999999999</v>
      </c>
      <c r="Y123" s="7">
        <v>83856.98</v>
      </c>
      <c r="Z123" s="7">
        <v>96584.607000000004</v>
      </c>
      <c r="AA123" s="7">
        <v>44059.353999999999</v>
      </c>
      <c r="AB123" s="7">
        <v>0</v>
      </c>
      <c r="AC123" s="7">
        <v>42876.296999999999</v>
      </c>
      <c r="AD123" s="7">
        <v>8421.6669999999995</v>
      </c>
      <c r="AE123" s="7">
        <v>8430.9779999999992</v>
      </c>
      <c r="AF123" s="7">
        <v>278229.32400000002</v>
      </c>
      <c r="AG123" s="7">
        <v>116051.799</v>
      </c>
      <c r="AH123" s="7">
        <v>36704.476000000002</v>
      </c>
      <c r="AI123" s="7">
        <v>923381.64399999997</v>
      </c>
      <c r="AJ123" s="7">
        <v>205067.625</v>
      </c>
      <c r="AK123" s="7">
        <v>248724.83100000001</v>
      </c>
      <c r="AL123" s="7">
        <v>1005875.28</v>
      </c>
      <c r="AM123" s="7">
        <v>0</v>
      </c>
      <c r="AN123" s="7">
        <v>597109.05900000001</v>
      </c>
      <c r="AO123" s="7">
        <v>0</v>
      </c>
      <c r="AP123" s="7">
        <v>332651.03899999999</v>
      </c>
      <c r="AQ123" s="7">
        <v>1569.308</v>
      </c>
      <c r="AR123" s="7">
        <v>0</v>
      </c>
      <c r="AS123" s="7">
        <v>35357.805</v>
      </c>
      <c r="AT123" s="7">
        <v>0</v>
      </c>
      <c r="AU123" s="7">
        <v>153.02699999999999</v>
      </c>
      <c r="AV123" s="7">
        <v>0</v>
      </c>
      <c r="AW123" s="7">
        <v>1076.982</v>
      </c>
      <c r="AX123" s="7">
        <v>0</v>
      </c>
      <c r="AY123" s="7">
        <v>0</v>
      </c>
      <c r="AZ123" s="7">
        <v>33462.275999999998</v>
      </c>
      <c r="BA123" s="7">
        <v>139.16399999999999</v>
      </c>
      <c r="BB123" s="7">
        <v>0</v>
      </c>
      <c r="BC123" s="7">
        <v>12750.753000000001</v>
      </c>
      <c r="BD123" s="7">
        <v>257.95600000000002</v>
      </c>
      <c r="BE123" s="7">
        <v>0</v>
      </c>
      <c r="BF123" s="7">
        <v>0</v>
      </c>
      <c r="BG123" s="7">
        <v>36.659999999999997</v>
      </c>
      <c r="BH123" s="7">
        <v>0</v>
      </c>
      <c r="BI123" s="7">
        <v>87962.900999999998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21"/>
    </row>
    <row r="124" spans="1:69" ht="15.75" x14ac:dyDescent="0.25">
      <c r="A124" s="5" t="s">
        <v>232</v>
      </c>
      <c r="B124" s="5" t="s">
        <v>233</v>
      </c>
      <c r="C124" s="7">
        <v>4</v>
      </c>
      <c r="D124" s="7">
        <v>3</v>
      </c>
      <c r="E124" s="7">
        <v>3963.252</v>
      </c>
      <c r="F124" s="7">
        <v>767.68799999999999</v>
      </c>
      <c r="G124" s="7">
        <v>808.96600000000001</v>
      </c>
      <c r="H124" s="7">
        <v>87.403000000000006</v>
      </c>
      <c r="I124" s="7">
        <v>105.116</v>
      </c>
      <c r="J124" s="7">
        <v>636.97900000000004</v>
      </c>
      <c r="K124" s="7">
        <v>0</v>
      </c>
      <c r="L124" s="7">
        <v>0</v>
      </c>
      <c r="M124" s="7">
        <v>3314.0859999999998</v>
      </c>
      <c r="N124" s="7">
        <v>1166.914</v>
      </c>
      <c r="O124" s="7">
        <v>0</v>
      </c>
      <c r="P124" s="7">
        <v>0</v>
      </c>
      <c r="Q124" s="7">
        <v>2E-3</v>
      </c>
      <c r="R124" s="7">
        <v>358.78399999999999</v>
      </c>
      <c r="S124" s="7">
        <v>425.28199999999998</v>
      </c>
      <c r="T124" s="7">
        <v>329.81099999999998</v>
      </c>
      <c r="U124" s="7">
        <v>0</v>
      </c>
      <c r="V124" s="7">
        <v>0</v>
      </c>
      <c r="W124" s="7">
        <v>74.155000000000001</v>
      </c>
      <c r="X124" s="7">
        <v>22.673999999999999</v>
      </c>
      <c r="Y124" s="7">
        <v>0</v>
      </c>
      <c r="Z124" s="7">
        <v>237.292</v>
      </c>
      <c r="AA124" s="7">
        <v>12983.263999999999</v>
      </c>
      <c r="AB124" s="7">
        <v>1225.1859999999999</v>
      </c>
      <c r="AC124" s="7">
        <v>0</v>
      </c>
      <c r="AD124" s="7">
        <v>200.459</v>
      </c>
      <c r="AE124" s="7">
        <v>2025.403</v>
      </c>
      <c r="AF124" s="7">
        <v>4894.1319999999996</v>
      </c>
      <c r="AG124" s="7">
        <v>10.388999999999999</v>
      </c>
      <c r="AH124" s="7">
        <v>7260.6769999999997</v>
      </c>
      <c r="AI124" s="7">
        <v>6396.0749999999998</v>
      </c>
      <c r="AJ124" s="7">
        <v>0.25800000000000001</v>
      </c>
      <c r="AK124" s="7">
        <v>66617.172999999995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41.679000000000002</v>
      </c>
      <c r="AR124" s="7">
        <v>0</v>
      </c>
      <c r="AS124" s="7">
        <v>1.4570000000000001</v>
      </c>
      <c r="AT124" s="7">
        <v>0</v>
      </c>
      <c r="AU124" s="7">
        <v>1.117</v>
      </c>
      <c r="AV124" s="7">
        <v>0</v>
      </c>
      <c r="AW124" s="7">
        <v>47.612000000000002</v>
      </c>
      <c r="AX124" s="7">
        <v>0</v>
      </c>
      <c r="AY124" s="7">
        <v>0</v>
      </c>
      <c r="AZ124" s="7">
        <v>0</v>
      </c>
      <c r="BA124" s="7">
        <v>20.231999999999999</v>
      </c>
      <c r="BB124" s="7">
        <v>0</v>
      </c>
      <c r="BC124" s="7">
        <v>0</v>
      </c>
      <c r="BD124" s="7">
        <v>7.8220000000000001</v>
      </c>
      <c r="BE124" s="7">
        <v>32.484000000000002</v>
      </c>
      <c r="BF124" s="7">
        <v>0</v>
      </c>
      <c r="BG124" s="7">
        <v>1.0780000000000001</v>
      </c>
      <c r="BH124" s="7">
        <v>0</v>
      </c>
      <c r="BI124" s="7">
        <v>47963.07</v>
      </c>
      <c r="BJ124" s="7">
        <v>11.939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21"/>
    </row>
    <row r="125" spans="1:69" ht="15.75" x14ac:dyDescent="0.25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21"/>
    </row>
    <row r="126" spans="1:69" ht="15.75" x14ac:dyDescent="0.25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21"/>
    </row>
    <row r="127" spans="1:69" ht="15.75" x14ac:dyDescent="0.25">
      <c r="A127" s="5" t="s">
        <v>237</v>
      </c>
      <c r="B127" s="5" t="s">
        <v>238</v>
      </c>
      <c r="C127" s="7">
        <v>4</v>
      </c>
      <c r="D127" s="7">
        <v>4</v>
      </c>
      <c r="E127" s="7">
        <v>15.916</v>
      </c>
      <c r="F127" s="7">
        <v>1.3939999999999999</v>
      </c>
      <c r="G127" s="7">
        <v>5.0019999999999998</v>
      </c>
      <c r="H127" s="7">
        <v>158.845</v>
      </c>
      <c r="I127" s="7">
        <v>0.33300000000000002</v>
      </c>
      <c r="J127" s="7">
        <v>3.4489999999999998</v>
      </c>
      <c r="K127" s="7">
        <v>0</v>
      </c>
      <c r="L127" s="7">
        <v>0</v>
      </c>
      <c r="M127" s="7">
        <v>4.1440000000000001</v>
      </c>
      <c r="N127" s="7">
        <v>10.081</v>
      </c>
      <c r="O127" s="7">
        <v>0</v>
      </c>
      <c r="P127" s="7">
        <v>0</v>
      </c>
      <c r="Q127" s="7">
        <v>1E-3</v>
      </c>
      <c r="R127" s="7">
        <v>0</v>
      </c>
      <c r="S127" s="7">
        <v>100.084</v>
      </c>
      <c r="T127" s="7">
        <v>0.63500000000000001</v>
      </c>
      <c r="U127" s="7">
        <v>0</v>
      </c>
      <c r="V127" s="7">
        <v>0</v>
      </c>
      <c r="W127" s="7">
        <v>0.31</v>
      </c>
      <c r="X127" s="7">
        <v>0.94399999999999995</v>
      </c>
      <c r="Y127" s="7">
        <v>0</v>
      </c>
      <c r="Z127" s="7">
        <v>1.476</v>
      </c>
      <c r="AA127" s="7">
        <v>0</v>
      </c>
      <c r="AB127" s="7">
        <v>4.0190000000000001</v>
      </c>
      <c r="AC127" s="7">
        <v>0</v>
      </c>
      <c r="AD127" s="7">
        <v>0.25700000000000001</v>
      </c>
      <c r="AE127" s="7">
        <v>0</v>
      </c>
      <c r="AF127" s="7">
        <v>3.7629999999999999</v>
      </c>
      <c r="AG127" s="7">
        <v>0</v>
      </c>
      <c r="AH127" s="7">
        <v>0</v>
      </c>
      <c r="AI127" s="7">
        <v>17.66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5.0999999999999997E-2</v>
      </c>
      <c r="AR127" s="7">
        <v>0</v>
      </c>
      <c r="AS127" s="7">
        <v>0</v>
      </c>
      <c r="AT127" s="7">
        <v>0</v>
      </c>
      <c r="AU127" s="7">
        <v>2E-3</v>
      </c>
      <c r="AV127" s="7">
        <v>0</v>
      </c>
      <c r="AW127" s="7">
        <v>0.122</v>
      </c>
      <c r="AX127" s="7">
        <v>0</v>
      </c>
      <c r="AY127" s="7">
        <v>0</v>
      </c>
      <c r="AZ127" s="7">
        <v>0</v>
      </c>
      <c r="BA127" s="7">
        <v>2.4E-2</v>
      </c>
      <c r="BB127" s="7">
        <v>0</v>
      </c>
      <c r="BC127" s="7">
        <v>0</v>
      </c>
      <c r="BD127" s="7">
        <v>0.01</v>
      </c>
      <c r="BE127" s="7">
        <v>4.4999999999999998E-2</v>
      </c>
      <c r="BF127" s="7">
        <v>0</v>
      </c>
      <c r="BG127" s="7">
        <v>1E-3</v>
      </c>
      <c r="BH127" s="7">
        <v>0</v>
      </c>
      <c r="BI127" s="7">
        <v>0</v>
      </c>
      <c r="BJ127" s="7">
        <v>1.7000000000000001E-2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21"/>
    </row>
    <row r="128" spans="1:69" ht="15.75" x14ac:dyDescent="0.25">
      <c r="A128" s="5" t="s">
        <v>239</v>
      </c>
      <c r="B128" s="5" t="s">
        <v>240</v>
      </c>
      <c r="C128" s="7">
        <v>4</v>
      </c>
      <c r="D128" s="7">
        <v>3</v>
      </c>
      <c r="E128" s="7">
        <v>4781.4780000000001</v>
      </c>
      <c r="F128" s="7">
        <v>2424.1439999999998</v>
      </c>
      <c r="G128" s="7">
        <v>182.66399999999999</v>
      </c>
      <c r="H128" s="7">
        <v>241.40199999999999</v>
      </c>
      <c r="I128" s="7">
        <v>333.82799999999997</v>
      </c>
      <c r="J128" s="7">
        <v>1928.952</v>
      </c>
      <c r="K128" s="7">
        <v>0</v>
      </c>
      <c r="L128" s="7">
        <v>0</v>
      </c>
      <c r="M128" s="7">
        <v>6020.9129999999996</v>
      </c>
      <c r="N128" s="7">
        <v>4458.9030000000002</v>
      </c>
      <c r="O128" s="7">
        <v>0</v>
      </c>
      <c r="P128" s="7">
        <v>0</v>
      </c>
      <c r="Q128" s="7">
        <v>1.0999999999999999E-2</v>
      </c>
      <c r="R128" s="7">
        <v>0</v>
      </c>
      <c r="S128" s="7">
        <v>9.9000000000000005E-2</v>
      </c>
      <c r="T128" s="7">
        <v>1020.974</v>
      </c>
      <c r="U128" s="7">
        <v>0</v>
      </c>
      <c r="V128" s="7">
        <v>0</v>
      </c>
      <c r="W128" s="7">
        <v>176.88</v>
      </c>
      <c r="X128" s="7">
        <v>98.501999999999995</v>
      </c>
      <c r="Y128" s="7">
        <v>0</v>
      </c>
      <c r="Z128" s="7">
        <v>0.28799999999999998</v>
      </c>
      <c r="AA128" s="7">
        <v>0</v>
      </c>
      <c r="AB128" s="7">
        <v>3971.8939999999998</v>
      </c>
      <c r="AC128" s="7">
        <v>0</v>
      </c>
      <c r="AD128" s="7">
        <v>455.875</v>
      </c>
      <c r="AE128" s="7">
        <v>0</v>
      </c>
      <c r="AF128" s="7">
        <v>12.5</v>
      </c>
      <c r="AG128" s="7">
        <v>47.576999999999998</v>
      </c>
      <c r="AH128" s="7">
        <v>0</v>
      </c>
      <c r="AI128" s="7">
        <v>16655.183000000001</v>
      </c>
      <c r="AJ128" s="7">
        <v>1.1830000000000001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123.75</v>
      </c>
      <c r="AR128" s="7">
        <v>0</v>
      </c>
      <c r="AS128" s="7">
        <v>6.6710000000000003</v>
      </c>
      <c r="AT128" s="7">
        <v>0</v>
      </c>
      <c r="AU128" s="7">
        <v>3.6259999999999999</v>
      </c>
      <c r="AV128" s="7">
        <v>0</v>
      </c>
      <c r="AW128" s="7">
        <v>0.49199999999999999</v>
      </c>
      <c r="AX128" s="7">
        <v>0</v>
      </c>
      <c r="AY128" s="7">
        <v>0</v>
      </c>
      <c r="AZ128" s="7">
        <v>0</v>
      </c>
      <c r="BA128" s="7">
        <v>53.124000000000002</v>
      </c>
      <c r="BB128" s="7">
        <v>0</v>
      </c>
      <c r="BC128" s="7">
        <v>0</v>
      </c>
      <c r="BD128" s="7">
        <v>21.591999999999999</v>
      </c>
      <c r="BE128" s="7">
        <v>93.313999999999993</v>
      </c>
      <c r="BF128" s="7">
        <v>0</v>
      </c>
      <c r="BG128" s="7">
        <v>3.1659999999999999</v>
      </c>
      <c r="BH128" s="7">
        <v>0</v>
      </c>
      <c r="BI128" s="7">
        <v>0</v>
      </c>
      <c r="BJ128" s="7">
        <v>33.063000000000002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21"/>
    </row>
    <row r="129" spans="1:69" ht="15.75" x14ac:dyDescent="0.25">
      <c r="A129" s="5" t="s">
        <v>241</v>
      </c>
      <c r="B129" s="5" t="s">
        <v>242</v>
      </c>
      <c r="C129" s="7">
        <v>2</v>
      </c>
      <c r="D129" s="7">
        <v>2</v>
      </c>
      <c r="E129" s="7">
        <v>52571.544999999998</v>
      </c>
      <c r="F129" s="7">
        <v>11619.853999999999</v>
      </c>
      <c r="G129" s="7">
        <v>11333.682000000001</v>
      </c>
      <c r="H129" s="7">
        <v>0</v>
      </c>
      <c r="I129" s="7">
        <v>2275.0030000000002</v>
      </c>
      <c r="J129" s="7">
        <v>8928.0069999999996</v>
      </c>
      <c r="K129" s="7">
        <v>0</v>
      </c>
      <c r="L129" s="7">
        <v>0</v>
      </c>
      <c r="M129" s="7">
        <v>46576.103000000003</v>
      </c>
      <c r="N129" s="7">
        <v>41270.868000000002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3596.5230000000001</v>
      </c>
      <c r="U129" s="7">
        <v>0</v>
      </c>
      <c r="V129" s="7">
        <v>0</v>
      </c>
      <c r="W129" s="7">
        <v>1213.383</v>
      </c>
      <c r="X129" s="7">
        <v>3253.4749999999999</v>
      </c>
      <c r="Y129" s="7">
        <v>0</v>
      </c>
      <c r="Z129" s="7">
        <v>9646.3269999999993</v>
      </c>
      <c r="AA129" s="7">
        <v>0</v>
      </c>
      <c r="AB129" s="7">
        <v>11079.654</v>
      </c>
      <c r="AC129" s="7">
        <v>0</v>
      </c>
      <c r="AD129" s="7">
        <v>1593.885</v>
      </c>
      <c r="AE129" s="7">
        <v>0</v>
      </c>
      <c r="AF129" s="7">
        <v>27754.094000000001</v>
      </c>
      <c r="AG129" s="7">
        <v>0</v>
      </c>
      <c r="AH129" s="7">
        <v>0</v>
      </c>
      <c r="AI129" s="7">
        <v>170539.74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220.238</v>
      </c>
      <c r="AR129" s="7">
        <v>0</v>
      </c>
      <c r="AS129" s="7">
        <v>0</v>
      </c>
      <c r="AT129" s="7">
        <v>0</v>
      </c>
      <c r="AU129" s="7">
        <v>4.3209999999999997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80.340999999999994</v>
      </c>
      <c r="BB129" s="7">
        <v>0</v>
      </c>
      <c r="BC129" s="7">
        <v>0</v>
      </c>
      <c r="BD129" s="7">
        <v>42.402000000000001</v>
      </c>
      <c r="BE129" s="7">
        <v>152.82300000000001</v>
      </c>
      <c r="BF129" s="7">
        <v>0</v>
      </c>
      <c r="BG129" s="7">
        <v>6.1079999999999997</v>
      </c>
      <c r="BH129" s="7">
        <v>0</v>
      </c>
      <c r="BI129" s="7">
        <v>0</v>
      </c>
      <c r="BJ129" s="7">
        <v>59.121000000000002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21"/>
    </row>
    <row r="130" spans="1:69" ht="15.75" x14ac:dyDescent="0.25">
      <c r="A130" s="5" t="s">
        <v>243</v>
      </c>
      <c r="B130" s="5" t="s">
        <v>244</v>
      </c>
      <c r="C130" s="7">
        <v>4</v>
      </c>
      <c r="D130" s="7">
        <v>4</v>
      </c>
      <c r="E130" s="7">
        <v>35778.205999999998</v>
      </c>
      <c r="F130" s="7">
        <v>8498.3369999999995</v>
      </c>
      <c r="G130" s="7">
        <v>0</v>
      </c>
      <c r="H130" s="7">
        <v>0</v>
      </c>
      <c r="I130" s="7">
        <v>344.947</v>
      </c>
      <c r="J130" s="7">
        <v>0</v>
      </c>
      <c r="K130" s="7">
        <v>0</v>
      </c>
      <c r="L130" s="7">
        <v>0</v>
      </c>
      <c r="M130" s="7">
        <v>98541.839000000007</v>
      </c>
      <c r="N130" s="7">
        <v>7671.0709999999999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2461.991</v>
      </c>
      <c r="U130" s="7">
        <v>0</v>
      </c>
      <c r="V130" s="7">
        <v>0</v>
      </c>
      <c r="W130" s="7">
        <v>0</v>
      </c>
      <c r="X130" s="7">
        <v>676.93299999999999</v>
      </c>
      <c r="Y130" s="7">
        <v>0</v>
      </c>
      <c r="Z130" s="7">
        <v>16762.275000000001</v>
      </c>
      <c r="AA130" s="7">
        <v>0</v>
      </c>
      <c r="AB130" s="7">
        <v>0</v>
      </c>
      <c r="AC130" s="7">
        <v>6.2619999999999996</v>
      </c>
      <c r="AD130" s="7">
        <v>1461.0260000000001</v>
      </c>
      <c r="AE130" s="7">
        <v>0</v>
      </c>
      <c r="AF130" s="7">
        <v>42151.752</v>
      </c>
      <c r="AG130" s="7">
        <v>20133.053</v>
      </c>
      <c r="AH130" s="7">
        <v>0</v>
      </c>
      <c r="AI130" s="7">
        <v>160128.182</v>
      </c>
      <c r="AJ130" s="7">
        <v>35576.313000000002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272.375</v>
      </c>
      <c r="AR130" s="7">
        <v>0</v>
      </c>
      <c r="AS130" s="7">
        <v>6135.3530000000001</v>
      </c>
      <c r="AT130" s="7">
        <v>0</v>
      </c>
      <c r="AU130" s="7">
        <v>26.591999999999999</v>
      </c>
      <c r="AV130" s="7">
        <v>0</v>
      </c>
      <c r="AW130" s="7">
        <v>186.54900000000001</v>
      </c>
      <c r="AX130" s="7">
        <v>0</v>
      </c>
      <c r="AY130" s="7">
        <v>0</v>
      </c>
      <c r="AZ130" s="7">
        <v>0</v>
      </c>
      <c r="BA130" s="7">
        <v>24.13</v>
      </c>
      <c r="BB130" s="7">
        <v>0</v>
      </c>
      <c r="BC130" s="7">
        <v>0</v>
      </c>
      <c r="BD130" s="7">
        <v>44.783000000000001</v>
      </c>
      <c r="BE130" s="7">
        <v>0</v>
      </c>
      <c r="BF130" s="7">
        <v>0</v>
      </c>
      <c r="BG130" s="7">
        <v>6.351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21"/>
    </row>
    <row r="131" spans="1:69" ht="15.75" x14ac:dyDescent="0.25">
      <c r="A131" s="5" t="s">
        <v>245</v>
      </c>
      <c r="B131" s="5" t="s">
        <v>246</v>
      </c>
      <c r="C131" s="7">
        <v>4</v>
      </c>
      <c r="D131" s="7">
        <v>6</v>
      </c>
      <c r="E131" s="7">
        <v>2992.4879999999998</v>
      </c>
      <c r="F131" s="7">
        <v>837.22699999999998</v>
      </c>
      <c r="G131" s="7">
        <v>17.808</v>
      </c>
      <c r="H131" s="7">
        <v>39.265999999999998</v>
      </c>
      <c r="I131" s="7">
        <v>57.076999999999998</v>
      </c>
      <c r="J131" s="7">
        <v>189.12100000000001</v>
      </c>
      <c r="K131" s="7">
        <v>0</v>
      </c>
      <c r="L131" s="7">
        <v>0</v>
      </c>
      <c r="M131" s="7">
        <v>7541.3029999999999</v>
      </c>
      <c r="N131" s="7">
        <v>978.36099999999999</v>
      </c>
      <c r="O131" s="7">
        <v>0</v>
      </c>
      <c r="P131" s="7">
        <v>0</v>
      </c>
      <c r="Q131" s="7">
        <v>1E-3</v>
      </c>
      <c r="R131" s="7">
        <v>0</v>
      </c>
      <c r="S131" s="7">
        <v>0</v>
      </c>
      <c r="T131" s="7">
        <v>273.81900000000002</v>
      </c>
      <c r="U131" s="7">
        <v>0</v>
      </c>
      <c r="V131" s="7">
        <v>0</v>
      </c>
      <c r="W131" s="7">
        <v>17.353000000000002</v>
      </c>
      <c r="X131" s="7">
        <v>57.41</v>
      </c>
      <c r="Y131" s="7">
        <v>0</v>
      </c>
      <c r="Z131" s="7">
        <v>1182.3510000000001</v>
      </c>
      <c r="AA131" s="7">
        <v>0</v>
      </c>
      <c r="AB131" s="7">
        <v>389.65899999999999</v>
      </c>
      <c r="AC131" s="7">
        <v>0.442</v>
      </c>
      <c r="AD131" s="7">
        <v>147.779</v>
      </c>
      <c r="AE131" s="7">
        <v>0</v>
      </c>
      <c r="AF131" s="7">
        <v>2974.0140000000001</v>
      </c>
      <c r="AG131" s="7">
        <v>1424.7619999999999</v>
      </c>
      <c r="AH131" s="7">
        <v>0</v>
      </c>
      <c r="AI131" s="7">
        <v>12928.237999999999</v>
      </c>
      <c r="AJ131" s="7">
        <v>2509.509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31.350999999999999</v>
      </c>
      <c r="AR131" s="7">
        <v>0</v>
      </c>
      <c r="AS131" s="7">
        <v>433.41699999999997</v>
      </c>
      <c r="AT131" s="7">
        <v>0</v>
      </c>
      <c r="AU131" s="7">
        <v>2.2290000000000001</v>
      </c>
      <c r="AV131" s="7">
        <v>0</v>
      </c>
      <c r="AW131" s="7">
        <v>13.231999999999999</v>
      </c>
      <c r="AX131" s="7">
        <v>0</v>
      </c>
      <c r="AY131" s="7">
        <v>0</v>
      </c>
      <c r="AZ131" s="7">
        <v>0</v>
      </c>
      <c r="BA131" s="7">
        <v>6.915</v>
      </c>
      <c r="BB131" s="7">
        <v>0</v>
      </c>
      <c r="BC131" s="7">
        <v>0</v>
      </c>
      <c r="BD131" s="7">
        <v>5.2759999999999998</v>
      </c>
      <c r="BE131" s="7">
        <v>9.1539999999999999</v>
      </c>
      <c r="BF131" s="7">
        <v>0</v>
      </c>
      <c r="BG131" s="7">
        <v>0.75900000000000001</v>
      </c>
      <c r="BH131" s="7">
        <v>0</v>
      </c>
      <c r="BI131" s="7">
        <v>0</v>
      </c>
      <c r="BJ131" s="7">
        <v>3.2440000000000002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21"/>
    </row>
    <row r="132" spans="1:69" ht="15.75" x14ac:dyDescent="0.25">
      <c r="A132" s="5" t="s">
        <v>247</v>
      </c>
      <c r="B132" s="5" t="s">
        <v>248</v>
      </c>
      <c r="C132" s="7">
        <v>6</v>
      </c>
      <c r="D132" s="7">
        <v>6</v>
      </c>
      <c r="E132" s="7">
        <v>43381.110999999997</v>
      </c>
      <c r="F132" s="7">
        <v>427.24799999999999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75361.093999999997</v>
      </c>
      <c r="N132" s="7">
        <v>11551.419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4026.0529999999999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22564.216</v>
      </c>
      <c r="AG132" s="7">
        <v>89.748999999999995</v>
      </c>
      <c r="AH132" s="7">
        <v>0</v>
      </c>
      <c r="AI132" s="7">
        <v>111928.974</v>
      </c>
      <c r="AJ132" s="7">
        <v>57.271999999999998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21"/>
    </row>
    <row r="133" spans="1:69" ht="15.75" x14ac:dyDescent="0.25">
      <c r="A133" s="5" t="s">
        <v>249</v>
      </c>
      <c r="B133" s="5" t="s">
        <v>250</v>
      </c>
      <c r="C133" s="7">
        <v>6</v>
      </c>
      <c r="D133" s="7">
        <v>6</v>
      </c>
      <c r="E133" s="7">
        <v>33412.627999999997</v>
      </c>
      <c r="F133" s="7">
        <v>2316.4560000000001</v>
      </c>
      <c r="G133" s="7">
        <v>3313.7139999999999</v>
      </c>
      <c r="H133" s="7">
        <v>0</v>
      </c>
      <c r="I133" s="7">
        <v>581.65800000000002</v>
      </c>
      <c r="J133" s="7">
        <v>2021.7180000000001</v>
      </c>
      <c r="K133" s="7">
        <v>0</v>
      </c>
      <c r="L133" s="7">
        <v>0</v>
      </c>
      <c r="M133" s="7">
        <v>39478.084000000003</v>
      </c>
      <c r="N133" s="7">
        <v>9759.5660000000007</v>
      </c>
      <c r="O133" s="7">
        <v>0</v>
      </c>
      <c r="P133" s="7">
        <v>0</v>
      </c>
      <c r="Q133" s="7">
        <v>108.265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287.25</v>
      </c>
      <c r="X133" s="7">
        <v>881.96900000000005</v>
      </c>
      <c r="Y133" s="7">
        <v>0</v>
      </c>
      <c r="Z133" s="7">
        <v>6971.348</v>
      </c>
      <c r="AA133" s="7">
        <v>0</v>
      </c>
      <c r="AB133" s="7">
        <v>2457.886</v>
      </c>
      <c r="AC133" s="7">
        <v>0</v>
      </c>
      <c r="AD133" s="7">
        <v>369.02699999999999</v>
      </c>
      <c r="AE133" s="7">
        <v>0</v>
      </c>
      <c r="AF133" s="7">
        <v>23382.873</v>
      </c>
      <c r="AG133" s="7">
        <v>0</v>
      </c>
      <c r="AH133" s="7">
        <v>0</v>
      </c>
      <c r="AI133" s="7">
        <v>61834.057999999997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21"/>
    </row>
    <row r="134" spans="1:69" ht="15.75" x14ac:dyDescent="0.25">
      <c r="A134" s="5" t="s">
        <v>251</v>
      </c>
      <c r="B134" s="5" t="s">
        <v>252</v>
      </c>
      <c r="C134" s="7">
        <v>6</v>
      </c>
      <c r="D134" s="7">
        <v>6</v>
      </c>
      <c r="E134" s="7">
        <v>11691.05</v>
      </c>
      <c r="F134" s="7">
        <v>-2E-3</v>
      </c>
      <c r="G134" s="7">
        <v>-4.0000000000000001E-3</v>
      </c>
      <c r="H134" s="7">
        <v>0</v>
      </c>
      <c r="I134" s="7">
        <v>0</v>
      </c>
      <c r="J134" s="7">
        <v>-3.0000000000000001E-3</v>
      </c>
      <c r="K134" s="7">
        <v>0</v>
      </c>
      <c r="L134" s="7">
        <v>0</v>
      </c>
      <c r="M134" s="7">
        <v>61392.678999999996</v>
      </c>
      <c r="N134" s="7">
        <v>1939.152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-1E-3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-2E-3</v>
      </c>
      <c r="AA134" s="7">
        <v>0</v>
      </c>
      <c r="AB134" s="7">
        <v>224.80799999999999</v>
      </c>
      <c r="AC134" s="7">
        <v>0</v>
      </c>
      <c r="AD134" s="7">
        <v>0</v>
      </c>
      <c r="AE134" s="7">
        <v>0</v>
      </c>
      <c r="AF134" s="7">
        <v>14519.673000000001</v>
      </c>
      <c r="AG134" s="7">
        <v>0</v>
      </c>
      <c r="AH134" s="7">
        <v>0</v>
      </c>
      <c r="AI134" s="7">
        <v>84233.112999999998</v>
      </c>
      <c r="AJ134" s="7">
        <v>15685.428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21"/>
    </row>
    <row r="135" spans="1:69" ht="15.75" x14ac:dyDescent="0.25">
      <c r="A135" s="5" t="s">
        <v>253</v>
      </c>
      <c r="B135" s="5" t="s">
        <v>254</v>
      </c>
      <c r="C135" s="7">
        <v>6</v>
      </c>
      <c r="D135" s="7">
        <v>6</v>
      </c>
      <c r="E135" s="7">
        <v>142502.99600000001</v>
      </c>
      <c r="F135" s="7">
        <v>11100.742</v>
      </c>
      <c r="G135" s="7">
        <v>4021.7069999999999</v>
      </c>
      <c r="H135" s="7">
        <v>6226.1729999999998</v>
      </c>
      <c r="I135" s="7">
        <v>618.24400000000003</v>
      </c>
      <c r="J135" s="7">
        <v>2944.1210000000001</v>
      </c>
      <c r="K135" s="7">
        <v>0</v>
      </c>
      <c r="L135" s="7">
        <v>0</v>
      </c>
      <c r="M135" s="7">
        <v>278998.54599999997</v>
      </c>
      <c r="N135" s="7">
        <v>52871.053999999996</v>
      </c>
      <c r="O135" s="7">
        <v>0</v>
      </c>
      <c r="P135" s="7">
        <v>0</v>
      </c>
      <c r="Q135" s="7">
        <v>96.27</v>
      </c>
      <c r="R135" s="7">
        <v>0</v>
      </c>
      <c r="S135" s="7">
        <v>96.474000000000004</v>
      </c>
      <c r="T135" s="7">
        <v>3206.65</v>
      </c>
      <c r="U135" s="7">
        <v>0</v>
      </c>
      <c r="V135" s="7">
        <v>0</v>
      </c>
      <c r="W135" s="7">
        <v>255.42400000000001</v>
      </c>
      <c r="X135" s="7">
        <v>784.25199999999995</v>
      </c>
      <c r="Y135" s="7">
        <v>0</v>
      </c>
      <c r="Z135" s="7">
        <v>12372.226000000001</v>
      </c>
      <c r="AA135" s="7">
        <v>0</v>
      </c>
      <c r="AB135" s="7">
        <v>2185.5650000000001</v>
      </c>
      <c r="AC135" s="7">
        <v>0</v>
      </c>
      <c r="AD135" s="7">
        <v>328.14100000000002</v>
      </c>
      <c r="AE135" s="7">
        <v>0</v>
      </c>
      <c r="AF135" s="7">
        <v>57769.203000000001</v>
      </c>
      <c r="AG135" s="7">
        <v>229.691</v>
      </c>
      <c r="AH135" s="7">
        <v>0</v>
      </c>
      <c r="AI135" s="7">
        <v>343230.511</v>
      </c>
      <c r="AJ135" s="7">
        <v>428.28100000000001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160.172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21"/>
    </row>
    <row r="136" spans="1:69" ht="15.75" x14ac:dyDescent="0.25">
      <c r="A136" s="5" t="s">
        <v>255</v>
      </c>
      <c r="B136" s="5" t="s">
        <v>256</v>
      </c>
      <c r="C136" s="7">
        <v>6</v>
      </c>
      <c r="D136" s="7">
        <v>6</v>
      </c>
      <c r="E136" s="7">
        <v>5424.9009999999998</v>
      </c>
      <c r="F136" s="7">
        <v>32.066000000000003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7034.2089999999998</v>
      </c>
      <c r="N136" s="7">
        <v>574.54200000000003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270.92200000000003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1939.7180000000001</v>
      </c>
      <c r="AG136" s="7">
        <v>150.452</v>
      </c>
      <c r="AH136" s="7">
        <v>0</v>
      </c>
      <c r="AI136" s="7">
        <v>10117.967000000001</v>
      </c>
      <c r="AJ136" s="7">
        <v>496.69099999999997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21"/>
    </row>
    <row r="137" spans="1:69" ht="15.75" x14ac:dyDescent="0.25">
      <c r="A137" s="5" t="s">
        <v>257</v>
      </c>
      <c r="B137" s="5" t="s">
        <v>258</v>
      </c>
      <c r="C137" s="7">
        <v>6</v>
      </c>
      <c r="D137" s="7">
        <v>6</v>
      </c>
      <c r="E137" s="7">
        <v>76354.665999999997</v>
      </c>
      <c r="F137" s="7">
        <v>4725.8890000000001</v>
      </c>
      <c r="G137" s="7">
        <v>4132.902</v>
      </c>
      <c r="H137" s="7">
        <v>0</v>
      </c>
      <c r="I137" s="7">
        <v>726.61099999999999</v>
      </c>
      <c r="J137" s="7">
        <v>2521.5100000000002</v>
      </c>
      <c r="K137" s="7">
        <v>0</v>
      </c>
      <c r="L137" s="7">
        <v>0</v>
      </c>
      <c r="M137" s="7">
        <v>111865.258</v>
      </c>
      <c r="N137" s="7">
        <v>35397.446000000004</v>
      </c>
      <c r="O137" s="7">
        <v>0</v>
      </c>
      <c r="P137" s="7">
        <v>0</v>
      </c>
      <c r="Q137" s="7">
        <v>135.029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358.26100000000002</v>
      </c>
      <c r="X137" s="7">
        <v>1100.002</v>
      </c>
      <c r="Y137" s="7">
        <v>0</v>
      </c>
      <c r="Z137" s="7">
        <v>10494.027</v>
      </c>
      <c r="AA137" s="7">
        <v>0</v>
      </c>
      <c r="AB137" s="7">
        <v>3065.5030000000002</v>
      </c>
      <c r="AC137" s="7">
        <v>0</v>
      </c>
      <c r="AD137" s="7">
        <v>460.255</v>
      </c>
      <c r="AE137" s="7">
        <v>0</v>
      </c>
      <c r="AF137" s="7">
        <v>53038.38</v>
      </c>
      <c r="AG137" s="7">
        <v>1651.81</v>
      </c>
      <c r="AH137" s="7">
        <v>0</v>
      </c>
      <c r="AI137" s="7">
        <v>205361.17199999999</v>
      </c>
      <c r="AJ137" s="7">
        <v>2193.7820000000002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21"/>
    </row>
    <row r="138" spans="1:69" ht="15.75" x14ac:dyDescent="0.25">
      <c r="A138" s="5" t="s">
        <v>259</v>
      </c>
      <c r="B138" s="5" t="s">
        <v>260</v>
      </c>
      <c r="C138" s="7">
        <v>6</v>
      </c>
      <c r="D138" s="7">
        <v>6</v>
      </c>
      <c r="E138" s="7">
        <v>19948.837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39406.449999999997</v>
      </c>
      <c r="N138" s="7">
        <v>3354.3159999999998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8008.143</v>
      </c>
      <c r="AG138" s="7">
        <v>0</v>
      </c>
      <c r="AH138" s="7">
        <v>0</v>
      </c>
      <c r="AI138" s="7">
        <v>71362.578999999998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21"/>
    </row>
    <row r="139" spans="1:69" ht="15.75" x14ac:dyDescent="0.25">
      <c r="A139" s="5" t="s">
        <v>261</v>
      </c>
      <c r="B139" s="5" t="s">
        <v>262</v>
      </c>
      <c r="C139" s="7">
        <v>6</v>
      </c>
      <c r="D139" s="7">
        <v>6</v>
      </c>
      <c r="E139" s="7">
        <v>1012637.18</v>
      </c>
      <c r="F139" s="7">
        <v>21202.325000000001</v>
      </c>
      <c r="G139" s="7">
        <v>25892.751</v>
      </c>
      <c r="H139" s="7">
        <v>1897.153</v>
      </c>
      <c r="I139" s="7">
        <v>4809.41</v>
      </c>
      <c r="J139" s="7">
        <v>15712.007</v>
      </c>
      <c r="K139" s="7">
        <v>0</v>
      </c>
      <c r="L139" s="7">
        <v>0</v>
      </c>
      <c r="M139" s="7">
        <v>1012981.561</v>
      </c>
      <c r="N139" s="7">
        <v>319009.93800000002</v>
      </c>
      <c r="O139" s="7">
        <v>0</v>
      </c>
      <c r="P139" s="7">
        <v>0</v>
      </c>
      <c r="Q139" s="7">
        <v>828.10299999999995</v>
      </c>
      <c r="R139" s="7">
        <v>0</v>
      </c>
      <c r="S139" s="7">
        <v>12.085000000000001</v>
      </c>
      <c r="T139" s="7">
        <v>0</v>
      </c>
      <c r="U139" s="7">
        <v>0</v>
      </c>
      <c r="V139" s="7">
        <v>0</v>
      </c>
      <c r="W139" s="7">
        <v>1919.32</v>
      </c>
      <c r="X139" s="7">
        <v>6028.0209999999997</v>
      </c>
      <c r="Y139" s="7">
        <v>0</v>
      </c>
      <c r="Z139" s="7">
        <v>135172.837</v>
      </c>
      <c r="AA139" s="7">
        <v>0</v>
      </c>
      <c r="AB139" s="7">
        <v>19675.446</v>
      </c>
      <c r="AC139" s="7">
        <v>0</v>
      </c>
      <c r="AD139" s="7">
        <v>2655.511</v>
      </c>
      <c r="AE139" s="7">
        <v>0</v>
      </c>
      <c r="AF139" s="7">
        <v>550979.99100000004</v>
      </c>
      <c r="AG139" s="7">
        <v>7360.2520000000004</v>
      </c>
      <c r="AH139" s="7">
        <v>0</v>
      </c>
      <c r="AI139" s="7">
        <v>2133912.6770000001</v>
      </c>
      <c r="AJ139" s="7">
        <v>18362.434000000001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146.27099999999999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21"/>
    </row>
    <row r="140" spans="1:69" ht="15.75" x14ac:dyDescent="0.25">
      <c r="A140" s="5" t="s">
        <v>263</v>
      </c>
      <c r="B140" s="5" t="s">
        <v>264</v>
      </c>
      <c r="C140" s="7">
        <v>4</v>
      </c>
      <c r="D140" s="7">
        <v>4</v>
      </c>
      <c r="E140" s="7">
        <v>230.86799999999999</v>
      </c>
      <c r="F140" s="7">
        <v>45.816000000000003</v>
      </c>
      <c r="G140" s="7">
        <v>7.7220000000000004</v>
      </c>
      <c r="H140" s="7">
        <v>0</v>
      </c>
      <c r="I140" s="7">
        <v>2.923</v>
      </c>
      <c r="J140" s="7">
        <v>5.1050000000000004</v>
      </c>
      <c r="K140" s="7">
        <v>0</v>
      </c>
      <c r="L140" s="7">
        <v>0</v>
      </c>
      <c r="M140" s="7">
        <v>506.18200000000002</v>
      </c>
      <c r="N140" s="7">
        <v>71.935000000000002</v>
      </c>
      <c r="O140" s="7">
        <v>0</v>
      </c>
      <c r="P140" s="7">
        <v>0</v>
      </c>
      <c r="Q140" s="7">
        <v>0.01</v>
      </c>
      <c r="R140" s="7">
        <v>0</v>
      </c>
      <c r="S140" s="7">
        <v>0</v>
      </c>
      <c r="T140" s="7">
        <v>13.57</v>
      </c>
      <c r="U140" s="7">
        <v>0</v>
      </c>
      <c r="V140" s="7">
        <v>0</v>
      </c>
      <c r="W140" s="7">
        <v>0.81599999999999995</v>
      </c>
      <c r="X140" s="7">
        <v>5.2359999999999998</v>
      </c>
      <c r="Y140" s="7">
        <v>0</v>
      </c>
      <c r="Z140" s="7">
        <v>80.37</v>
      </c>
      <c r="AA140" s="7">
        <v>0</v>
      </c>
      <c r="AB140" s="7">
        <v>6.016</v>
      </c>
      <c r="AC140" s="7">
        <v>0</v>
      </c>
      <c r="AD140" s="7">
        <v>7.8710000000000004</v>
      </c>
      <c r="AE140" s="7">
        <v>0</v>
      </c>
      <c r="AF140" s="7">
        <v>195.06899999999999</v>
      </c>
      <c r="AG140" s="7">
        <v>98.465999999999994</v>
      </c>
      <c r="AH140" s="7">
        <v>0</v>
      </c>
      <c r="AI140" s="7">
        <v>840.34</v>
      </c>
      <c r="AJ140" s="7">
        <v>173.63399999999999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1.06</v>
      </c>
      <c r="AR140" s="7">
        <v>0</v>
      </c>
      <c r="AS140" s="7">
        <v>29.716000000000001</v>
      </c>
      <c r="AT140" s="7">
        <v>0</v>
      </c>
      <c r="AU140" s="7">
        <v>0.13300000000000001</v>
      </c>
      <c r="AV140" s="7">
        <v>0</v>
      </c>
      <c r="AW140" s="7">
        <v>1.36</v>
      </c>
      <c r="AX140" s="7">
        <v>0</v>
      </c>
      <c r="AY140" s="7">
        <v>0</v>
      </c>
      <c r="AZ140" s="7">
        <v>0</v>
      </c>
      <c r="BA140" s="7">
        <v>0.16300000000000001</v>
      </c>
      <c r="BB140" s="7">
        <v>0.78100000000000003</v>
      </c>
      <c r="BC140" s="7">
        <v>0</v>
      </c>
      <c r="BD140" s="7">
        <v>0.25700000000000001</v>
      </c>
      <c r="BE140" s="7">
        <v>8.6999999999999994E-2</v>
      </c>
      <c r="BF140" s="7">
        <v>1.575</v>
      </c>
      <c r="BG140" s="7">
        <v>3.5999999999999997E-2</v>
      </c>
      <c r="BH140" s="7">
        <v>0.74299999999999999</v>
      </c>
      <c r="BI140" s="7">
        <v>0</v>
      </c>
      <c r="BJ140" s="7">
        <v>3.3000000000000002E-2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21"/>
    </row>
    <row r="141" spans="1:69" ht="15.75" x14ac:dyDescent="0.25">
      <c r="A141" s="5" t="s">
        <v>265</v>
      </c>
      <c r="B141" s="5" t="s">
        <v>266</v>
      </c>
      <c r="C141" s="7">
        <v>6</v>
      </c>
      <c r="D141" s="7">
        <v>6</v>
      </c>
      <c r="E141" s="7">
        <v>3113.7860000000001</v>
      </c>
      <c r="F141" s="7">
        <v>5.4870000000000001</v>
      </c>
      <c r="G141" s="7">
        <v>0</v>
      </c>
      <c r="H141" s="7">
        <v>0</v>
      </c>
      <c r="I141" s="7">
        <v>0.27900000000000003</v>
      </c>
      <c r="J141" s="7">
        <v>0</v>
      </c>
      <c r="K141" s="7">
        <v>0</v>
      </c>
      <c r="L141" s="7">
        <v>0</v>
      </c>
      <c r="M141" s="7">
        <v>5857.4830000000002</v>
      </c>
      <c r="N141" s="7">
        <v>1038.0830000000001</v>
      </c>
      <c r="O141" s="7">
        <v>0</v>
      </c>
      <c r="P141" s="7">
        <v>0</v>
      </c>
      <c r="Q141" s="7">
        <v>1E-3</v>
      </c>
      <c r="R141" s="7">
        <v>0</v>
      </c>
      <c r="S141" s="7">
        <v>0</v>
      </c>
      <c r="T141" s="7">
        <v>1.546</v>
      </c>
      <c r="U141" s="7">
        <v>0</v>
      </c>
      <c r="V141" s="7">
        <v>0</v>
      </c>
      <c r="W141" s="7">
        <v>0</v>
      </c>
      <c r="X141" s="7">
        <v>0.47899999999999998</v>
      </c>
      <c r="Y141" s="7">
        <v>0</v>
      </c>
      <c r="Z141" s="7">
        <v>849.37</v>
      </c>
      <c r="AA141" s="7">
        <v>0</v>
      </c>
      <c r="AB141" s="7">
        <v>0</v>
      </c>
      <c r="AC141" s="7">
        <v>0</v>
      </c>
      <c r="AD141" s="7">
        <v>0.94099999999999995</v>
      </c>
      <c r="AE141" s="7">
        <v>0</v>
      </c>
      <c r="AF141" s="7">
        <v>3305.605</v>
      </c>
      <c r="AG141" s="7">
        <v>13.025</v>
      </c>
      <c r="AH141" s="7">
        <v>0</v>
      </c>
      <c r="AI141" s="7">
        <v>13121.960999999999</v>
      </c>
      <c r="AJ141" s="7">
        <v>22.887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0.128</v>
      </c>
      <c r="AR141" s="7">
        <v>0</v>
      </c>
      <c r="AS141" s="7">
        <v>3.9449999999999998</v>
      </c>
      <c r="AT141" s="7">
        <v>0</v>
      </c>
      <c r="AU141" s="7">
        <v>1.4999999999999999E-2</v>
      </c>
      <c r="AV141" s="7">
        <v>0</v>
      </c>
      <c r="AW141" s="7">
        <v>0.11</v>
      </c>
      <c r="AX141" s="7">
        <v>0</v>
      </c>
      <c r="AY141" s="7">
        <v>0</v>
      </c>
      <c r="AZ141" s="7">
        <v>0</v>
      </c>
      <c r="BA141" s="7">
        <v>1.4999999999999999E-2</v>
      </c>
      <c r="BB141" s="7">
        <v>0.104</v>
      </c>
      <c r="BC141" s="7">
        <v>0</v>
      </c>
      <c r="BD141" s="7">
        <v>3.1E-2</v>
      </c>
      <c r="BE141" s="7">
        <v>0</v>
      </c>
      <c r="BF141" s="7">
        <v>0.20899999999999999</v>
      </c>
      <c r="BG141" s="7">
        <v>4.0000000000000001E-3</v>
      </c>
      <c r="BH141" s="7">
        <v>9.9000000000000005E-2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21"/>
    </row>
    <row r="142" spans="1:69" ht="15.75" x14ac:dyDescent="0.25">
      <c r="A142" s="5" t="s">
        <v>267</v>
      </c>
      <c r="B142" s="5" t="s">
        <v>268</v>
      </c>
      <c r="C142" s="7">
        <v>4</v>
      </c>
      <c r="D142" s="7">
        <v>4</v>
      </c>
      <c r="E142" s="7">
        <v>377.76499999999999</v>
      </c>
      <c r="F142" s="7">
        <v>88.94</v>
      </c>
      <c r="G142" s="7">
        <v>0</v>
      </c>
      <c r="H142" s="7">
        <v>0</v>
      </c>
      <c r="I142" s="7">
        <v>3.67</v>
      </c>
      <c r="J142" s="7">
        <v>0</v>
      </c>
      <c r="K142" s="7">
        <v>0</v>
      </c>
      <c r="L142" s="7">
        <v>0</v>
      </c>
      <c r="M142" s="7">
        <v>1033.0039999999999</v>
      </c>
      <c r="N142" s="7">
        <v>82.147999999999996</v>
      </c>
      <c r="O142" s="7">
        <v>0</v>
      </c>
      <c r="P142" s="7">
        <v>0</v>
      </c>
      <c r="Q142" s="7">
        <v>1E-3</v>
      </c>
      <c r="R142" s="7">
        <v>0</v>
      </c>
      <c r="S142" s="7">
        <v>0</v>
      </c>
      <c r="T142" s="7">
        <v>25.72</v>
      </c>
      <c r="U142" s="7">
        <v>0</v>
      </c>
      <c r="V142" s="7">
        <v>0</v>
      </c>
      <c r="W142" s="7">
        <v>0</v>
      </c>
      <c r="X142" s="7">
        <v>7.1289999999999996</v>
      </c>
      <c r="Y142" s="7">
        <v>0</v>
      </c>
      <c r="Z142" s="7">
        <v>174.71199999999999</v>
      </c>
      <c r="AA142" s="7">
        <v>0</v>
      </c>
      <c r="AB142" s="7">
        <v>0</v>
      </c>
      <c r="AC142" s="7">
        <v>6.0999999999999999E-2</v>
      </c>
      <c r="AD142" s="7">
        <v>15.289</v>
      </c>
      <c r="AE142" s="7">
        <v>0</v>
      </c>
      <c r="AF142" s="7">
        <v>439.00299999999999</v>
      </c>
      <c r="AG142" s="7">
        <v>210.733</v>
      </c>
      <c r="AH142" s="7">
        <v>0</v>
      </c>
      <c r="AI142" s="7">
        <v>1679.55</v>
      </c>
      <c r="AJ142" s="7">
        <v>372.24099999999999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2.8</v>
      </c>
      <c r="AR142" s="7">
        <v>0</v>
      </c>
      <c r="AS142" s="7">
        <v>64.194000000000003</v>
      </c>
      <c r="AT142" s="7">
        <v>0</v>
      </c>
      <c r="AU142" s="7">
        <v>0.27600000000000002</v>
      </c>
      <c r="AV142" s="7">
        <v>0</v>
      </c>
      <c r="AW142" s="7">
        <v>1.9450000000000001</v>
      </c>
      <c r="AX142" s="7">
        <v>0</v>
      </c>
      <c r="AY142" s="7">
        <v>0</v>
      </c>
      <c r="AZ142" s="7">
        <v>0</v>
      </c>
      <c r="BA142" s="7">
        <v>0.252</v>
      </c>
      <c r="BB142" s="7">
        <v>0.111</v>
      </c>
      <c r="BC142" s="7">
        <v>0</v>
      </c>
      <c r="BD142" s="7">
        <v>0.47099999999999997</v>
      </c>
      <c r="BE142" s="7">
        <v>0</v>
      </c>
      <c r="BF142" s="7">
        <v>0.223</v>
      </c>
      <c r="BG142" s="7">
        <v>6.7000000000000004E-2</v>
      </c>
      <c r="BH142" s="7">
        <v>0.105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21"/>
    </row>
    <row r="143" spans="1:69" ht="15.75" x14ac:dyDescent="0.25">
      <c r="A143" s="5" t="s">
        <v>269</v>
      </c>
      <c r="B143" s="5" t="s">
        <v>270</v>
      </c>
      <c r="C143" s="7">
        <v>6</v>
      </c>
      <c r="D143" s="7">
        <v>6</v>
      </c>
      <c r="E143" s="7">
        <v>2193.4899999999998</v>
      </c>
      <c r="F143" s="7">
        <v>13.784000000000001</v>
      </c>
      <c r="G143" s="7">
        <v>19.719000000000001</v>
      </c>
      <c r="H143" s="7">
        <v>0</v>
      </c>
      <c r="I143" s="7">
        <v>3.4609999999999999</v>
      </c>
      <c r="J143" s="7">
        <v>12.03</v>
      </c>
      <c r="K143" s="7">
        <v>0</v>
      </c>
      <c r="L143" s="7">
        <v>0</v>
      </c>
      <c r="M143" s="7">
        <v>3334.8809999999999</v>
      </c>
      <c r="N143" s="7">
        <v>727.56500000000005</v>
      </c>
      <c r="O143" s="7">
        <v>0</v>
      </c>
      <c r="P143" s="7">
        <v>0</v>
      </c>
      <c r="Q143" s="7">
        <v>0.64400000000000002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1.7090000000000001</v>
      </c>
      <c r="X143" s="7">
        <v>5.2480000000000002</v>
      </c>
      <c r="Y143" s="7">
        <v>0</v>
      </c>
      <c r="Z143" s="7">
        <v>657.81100000000004</v>
      </c>
      <c r="AA143" s="7">
        <v>0</v>
      </c>
      <c r="AB143" s="7">
        <v>14.625999999999999</v>
      </c>
      <c r="AC143" s="7">
        <v>0</v>
      </c>
      <c r="AD143" s="7">
        <v>2.1960000000000002</v>
      </c>
      <c r="AE143" s="7">
        <v>0</v>
      </c>
      <c r="AF143" s="7">
        <v>2579.8629999999998</v>
      </c>
      <c r="AG143" s="7">
        <v>0</v>
      </c>
      <c r="AH143" s="7">
        <v>0</v>
      </c>
      <c r="AI143" s="7">
        <v>7011.1149999999998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21"/>
    </row>
    <row r="144" spans="1:69" ht="15.75" x14ac:dyDescent="0.25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21"/>
    </row>
    <row r="145" spans="1:69" ht="15.75" x14ac:dyDescent="0.25">
      <c r="A145" s="5" t="s">
        <v>273</v>
      </c>
      <c r="B145" s="5" t="s">
        <v>274</v>
      </c>
      <c r="C145" s="7">
        <v>6</v>
      </c>
      <c r="D145" s="7">
        <v>6</v>
      </c>
      <c r="E145" s="7">
        <v>9097.6170000000002</v>
      </c>
      <c r="F145" s="7">
        <v>1580.633</v>
      </c>
      <c r="G145" s="7">
        <v>0</v>
      </c>
      <c r="H145" s="7">
        <v>0</v>
      </c>
      <c r="I145" s="7">
        <v>80.465000000000003</v>
      </c>
      <c r="J145" s="7">
        <v>0</v>
      </c>
      <c r="K145" s="7">
        <v>0</v>
      </c>
      <c r="L145" s="7">
        <v>0</v>
      </c>
      <c r="M145" s="7">
        <v>20497.251</v>
      </c>
      <c r="N145" s="7">
        <v>1929.9770000000001</v>
      </c>
      <c r="O145" s="7">
        <v>0</v>
      </c>
      <c r="P145" s="7">
        <v>47.661999999999999</v>
      </c>
      <c r="Q145" s="7">
        <v>0.36799999999999999</v>
      </c>
      <c r="R145" s="7">
        <v>86.143000000000001</v>
      </c>
      <c r="S145" s="7">
        <v>0</v>
      </c>
      <c r="T145" s="7">
        <v>445.36799999999999</v>
      </c>
      <c r="U145" s="7">
        <v>0</v>
      </c>
      <c r="V145" s="7">
        <v>0</v>
      </c>
      <c r="W145" s="7">
        <v>0</v>
      </c>
      <c r="X145" s="7">
        <v>138.04900000000001</v>
      </c>
      <c r="Y145" s="7">
        <v>0</v>
      </c>
      <c r="Z145" s="7">
        <v>2924.627</v>
      </c>
      <c r="AA145" s="7">
        <v>0</v>
      </c>
      <c r="AB145" s="7">
        <v>0</v>
      </c>
      <c r="AC145" s="7">
        <v>3441.5030000000002</v>
      </c>
      <c r="AD145" s="7">
        <v>271.13499999999999</v>
      </c>
      <c r="AE145" s="7">
        <v>0</v>
      </c>
      <c r="AF145" s="7">
        <v>10620.512000000001</v>
      </c>
      <c r="AG145" s="7">
        <v>3752.1390000000001</v>
      </c>
      <c r="AH145" s="7">
        <v>0</v>
      </c>
      <c r="AI145" s="7">
        <v>30782.215</v>
      </c>
      <c r="AJ145" s="7">
        <v>6593.13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36.978000000000002</v>
      </c>
      <c r="AR145" s="7">
        <v>0</v>
      </c>
      <c r="AS145" s="7">
        <v>1136.48</v>
      </c>
      <c r="AT145" s="7">
        <v>0</v>
      </c>
      <c r="AU145" s="7">
        <v>4.3819999999999997</v>
      </c>
      <c r="AV145" s="7">
        <v>0</v>
      </c>
      <c r="AW145" s="7">
        <v>31.716999999999999</v>
      </c>
      <c r="AX145" s="7">
        <v>0</v>
      </c>
      <c r="AY145" s="7">
        <v>0</v>
      </c>
      <c r="AZ145" s="7">
        <v>0</v>
      </c>
      <c r="BA145" s="7">
        <v>4.2380000000000004</v>
      </c>
      <c r="BB145" s="7">
        <v>29.86</v>
      </c>
      <c r="BC145" s="7">
        <v>0</v>
      </c>
      <c r="BD145" s="7">
        <v>9.0169999999999995</v>
      </c>
      <c r="BE145" s="7">
        <v>0</v>
      </c>
      <c r="BF145" s="7">
        <v>60.232999999999997</v>
      </c>
      <c r="BG145" s="7">
        <v>1.242</v>
      </c>
      <c r="BH145" s="7">
        <v>28.422000000000001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21"/>
    </row>
    <row r="146" spans="1:69" ht="15.75" x14ac:dyDescent="0.25">
      <c r="A146" s="5" t="s">
        <v>275</v>
      </c>
      <c r="B146" s="5" t="s">
        <v>276</v>
      </c>
      <c r="C146" s="7">
        <v>6</v>
      </c>
      <c r="D146" s="7">
        <v>6</v>
      </c>
      <c r="E146" s="7">
        <v>7525.88</v>
      </c>
      <c r="F146" s="7">
        <v>1849.6420000000001</v>
      </c>
      <c r="G146" s="7">
        <v>3618.7240000000002</v>
      </c>
      <c r="H146" s="7">
        <v>-50.784999999999997</v>
      </c>
      <c r="I146" s="7">
        <v>557.48299999999995</v>
      </c>
      <c r="J146" s="7">
        <v>2562.8119999999999</v>
      </c>
      <c r="K146" s="7">
        <v>0</v>
      </c>
      <c r="L146" s="7">
        <v>0</v>
      </c>
      <c r="M146" s="7">
        <v>-13148.28</v>
      </c>
      <c r="N146" s="7">
        <v>6673.9880000000003</v>
      </c>
      <c r="O146" s="7">
        <v>0</v>
      </c>
      <c r="P146" s="7">
        <v>-13.539</v>
      </c>
      <c r="Q146" s="7">
        <v>50.704000000000001</v>
      </c>
      <c r="R146" s="7">
        <v>-23.98</v>
      </c>
      <c r="S146" s="7">
        <v>-8.3290000000000006</v>
      </c>
      <c r="T146" s="7">
        <v>657.202</v>
      </c>
      <c r="U146" s="7">
        <v>0</v>
      </c>
      <c r="V146" s="7">
        <v>0</v>
      </c>
      <c r="W146" s="7">
        <v>443.08800000000002</v>
      </c>
      <c r="X146" s="7">
        <v>1035.3610000000001</v>
      </c>
      <c r="Y146" s="7">
        <v>0</v>
      </c>
      <c r="Z146" s="7">
        <v>1869.481</v>
      </c>
      <c r="AA146" s="7">
        <v>-1274.258</v>
      </c>
      <c r="AB146" s="7">
        <v>2950.6840000000002</v>
      </c>
      <c r="AC146" s="7">
        <v>-403.37</v>
      </c>
      <c r="AD146" s="7">
        <v>270.95800000000003</v>
      </c>
      <c r="AE146" s="7">
        <v>-98.203000000000003</v>
      </c>
      <c r="AF146" s="7">
        <v>700.08699999999999</v>
      </c>
      <c r="AG146" s="7">
        <v>-1760.5450000000001</v>
      </c>
      <c r="AH146" s="7">
        <v>-364.91300000000001</v>
      </c>
      <c r="AI146" s="7">
        <v>-6487.3459999999995</v>
      </c>
      <c r="AJ146" s="7">
        <v>-2562.4740000000002</v>
      </c>
      <c r="AK146" s="7">
        <v>-6348.0460000000003</v>
      </c>
      <c r="AL146" s="7">
        <v>-104561.68</v>
      </c>
      <c r="AM146" s="7">
        <v>0</v>
      </c>
      <c r="AN146" s="7">
        <v>-62070.048000000003</v>
      </c>
      <c r="AO146" s="7">
        <v>0</v>
      </c>
      <c r="AP146" s="7">
        <v>-34579.387999999999</v>
      </c>
      <c r="AQ146" s="7">
        <v>-9.6340000000000003</v>
      </c>
      <c r="AR146" s="7">
        <v>0</v>
      </c>
      <c r="AS146" s="7">
        <v>-536.61400000000003</v>
      </c>
      <c r="AT146" s="7">
        <v>0</v>
      </c>
      <c r="AU146" s="7">
        <v>5.8410000000000002</v>
      </c>
      <c r="AV146" s="7">
        <v>0</v>
      </c>
      <c r="AW146" s="7">
        <v>195.13</v>
      </c>
      <c r="AX146" s="7">
        <v>0</v>
      </c>
      <c r="AY146" s="7">
        <v>0</v>
      </c>
      <c r="AZ146" s="7">
        <v>0</v>
      </c>
      <c r="BA146" s="7">
        <v>10.558</v>
      </c>
      <c r="BB146" s="7">
        <v>6.5000000000000002E-2</v>
      </c>
      <c r="BC146" s="7">
        <v>0</v>
      </c>
      <c r="BD146" s="7">
        <v>2.4020000000000001</v>
      </c>
      <c r="BE146" s="7">
        <v>21.742000000000001</v>
      </c>
      <c r="BF146" s="7">
        <v>0</v>
      </c>
      <c r="BG146" s="7">
        <v>-7.5999999999999998E-2</v>
      </c>
      <c r="BH146" s="7">
        <v>0</v>
      </c>
      <c r="BI146" s="7">
        <v>-3444.797</v>
      </c>
      <c r="BJ146" s="7">
        <v>6.391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21"/>
    </row>
    <row r="147" spans="1:69" ht="15.75" x14ac:dyDescent="0.25">
      <c r="A147" s="5" t="s">
        <v>277</v>
      </c>
      <c r="B147" s="5" t="s">
        <v>278</v>
      </c>
      <c r="C147" s="7">
        <v>6</v>
      </c>
      <c r="D147" s="7">
        <v>6</v>
      </c>
      <c r="E147" s="7">
        <v>-8632.9449999999997</v>
      </c>
      <c r="F147" s="7">
        <v>-697.01900000000001</v>
      </c>
      <c r="G147" s="7">
        <v>-600.53399999999999</v>
      </c>
      <c r="H147" s="7">
        <v>-34.845999999999997</v>
      </c>
      <c r="I147" s="7">
        <v>-182.98099999999999</v>
      </c>
      <c r="J147" s="7">
        <v>-474.94</v>
      </c>
      <c r="K147" s="7">
        <v>0</v>
      </c>
      <c r="L147" s="7">
        <v>0</v>
      </c>
      <c r="M147" s="7">
        <v>-7828.4949999999999</v>
      </c>
      <c r="N147" s="7">
        <v>-2922.143</v>
      </c>
      <c r="O147" s="7">
        <v>0</v>
      </c>
      <c r="P147" s="7">
        <v>0</v>
      </c>
      <c r="Q147" s="7">
        <v>-18.853999999999999</v>
      </c>
      <c r="R147" s="7">
        <v>0</v>
      </c>
      <c r="S147" s="7">
        <v>-1.4219999999999999</v>
      </c>
      <c r="T147" s="7">
        <v>-200.017</v>
      </c>
      <c r="U147" s="7">
        <v>0</v>
      </c>
      <c r="V147" s="7">
        <v>0</v>
      </c>
      <c r="W147" s="7">
        <v>-104.626</v>
      </c>
      <c r="X147" s="7">
        <v>-289.27699999999999</v>
      </c>
      <c r="Y147" s="7">
        <v>0</v>
      </c>
      <c r="Z147" s="7">
        <v>-2408.1149999999998</v>
      </c>
      <c r="AA147" s="7">
        <v>0</v>
      </c>
      <c r="AB147" s="7">
        <v>-1142.261</v>
      </c>
      <c r="AC147" s="7">
        <v>-0.23499999999999999</v>
      </c>
      <c r="AD147" s="7">
        <v>-198.97800000000001</v>
      </c>
      <c r="AE147" s="7">
        <v>0</v>
      </c>
      <c r="AF147" s="7">
        <v>-7704.2870000000003</v>
      </c>
      <c r="AG147" s="7">
        <v>-570.13699999999994</v>
      </c>
      <c r="AH147" s="7">
        <v>0</v>
      </c>
      <c r="AI147" s="7">
        <v>-20140.210999999999</v>
      </c>
      <c r="AJ147" s="7">
        <v>-1063.3430000000001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-16.05</v>
      </c>
      <c r="AR147" s="7">
        <v>0</v>
      </c>
      <c r="AS147" s="7">
        <v>-104.149</v>
      </c>
      <c r="AT147" s="7">
        <v>0</v>
      </c>
      <c r="AU147" s="7">
        <v>-0.84499999999999997</v>
      </c>
      <c r="AV147" s="7">
        <v>0</v>
      </c>
      <c r="AW147" s="7">
        <v>-6.3849999999999998</v>
      </c>
      <c r="AX147" s="7">
        <v>0</v>
      </c>
      <c r="AY147" s="7">
        <v>0</v>
      </c>
      <c r="AZ147" s="7">
        <v>0</v>
      </c>
      <c r="BA147" s="7">
        <v>-5.9909999999999997</v>
      </c>
      <c r="BB147" s="7">
        <v>-6.4000000000000001E-2</v>
      </c>
      <c r="BC147" s="7">
        <v>0.68</v>
      </c>
      <c r="BD147" s="7">
        <v>-3.5430000000000001</v>
      </c>
      <c r="BE147" s="7">
        <v>-9.1590000000000007</v>
      </c>
      <c r="BF147" s="7">
        <v>-0.151</v>
      </c>
      <c r="BG147" s="7">
        <v>-0.54100000000000004</v>
      </c>
      <c r="BH147" s="7">
        <v>-3.7999999999999999E-2</v>
      </c>
      <c r="BI147" s="7">
        <v>76.632000000000005</v>
      </c>
      <c r="BJ147" s="7">
        <v>-3.282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21"/>
    </row>
    <row r="148" spans="1:69" ht="15.75" x14ac:dyDescent="0.25">
      <c r="A148" s="5" t="s">
        <v>279</v>
      </c>
      <c r="B148" s="5" t="s">
        <v>280</v>
      </c>
      <c r="C148" s="7">
        <v>6</v>
      </c>
      <c r="D148" s="7">
        <v>6</v>
      </c>
      <c r="E148" s="7">
        <v>-25730.813999999998</v>
      </c>
      <c r="F148" s="7">
        <v>-3429.366</v>
      </c>
      <c r="G148" s="7">
        <v>-4508.2960000000003</v>
      </c>
      <c r="H148" s="7">
        <v>-20.936</v>
      </c>
      <c r="I148" s="7">
        <v>-596.00400000000002</v>
      </c>
      <c r="J148" s="7">
        <v>-3012.9920000000002</v>
      </c>
      <c r="K148" s="7">
        <v>0</v>
      </c>
      <c r="L148" s="7">
        <v>0</v>
      </c>
      <c r="M148" s="7">
        <v>-19565.853999999999</v>
      </c>
      <c r="N148" s="7">
        <v>-13207.591</v>
      </c>
      <c r="O148" s="7">
        <v>0</v>
      </c>
      <c r="P148" s="7">
        <v>0</v>
      </c>
      <c r="Q148" s="7">
        <v>-38.734999999999999</v>
      </c>
      <c r="R148" s="7">
        <v>0</v>
      </c>
      <c r="S148" s="7">
        <v>0</v>
      </c>
      <c r="T148" s="7">
        <v>-1044.769</v>
      </c>
      <c r="U148" s="7">
        <v>0</v>
      </c>
      <c r="V148" s="7">
        <v>0</v>
      </c>
      <c r="W148" s="7">
        <v>-464.32900000000001</v>
      </c>
      <c r="X148" s="7">
        <v>-1063.9839999999999</v>
      </c>
      <c r="Y148" s="7">
        <v>0</v>
      </c>
      <c r="Z148" s="7">
        <v>-5207.1319999999996</v>
      </c>
      <c r="AA148" s="7">
        <v>0</v>
      </c>
      <c r="AB148" s="7">
        <v>-3669.1010000000001</v>
      </c>
      <c r="AC148" s="7">
        <v>-0.39800000000000002</v>
      </c>
      <c r="AD148" s="7">
        <v>-586.74599999999998</v>
      </c>
      <c r="AE148" s="7">
        <v>1.296</v>
      </c>
      <c r="AF148" s="7">
        <v>-12713.876</v>
      </c>
      <c r="AG148" s="7">
        <v>-1281.3510000000001</v>
      </c>
      <c r="AH148" s="7">
        <v>4.32</v>
      </c>
      <c r="AI148" s="7">
        <v>-44864.286999999997</v>
      </c>
      <c r="AJ148" s="7">
        <v>-2259.89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-63.744</v>
      </c>
      <c r="AR148" s="7">
        <v>0</v>
      </c>
      <c r="AS148" s="7">
        <v>-390.072</v>
      </c>
      <c r="AT148" s="7">
        <v>0</v>
      </c>
      <c r="AU148" s="7">
        <v>-9.6509999999999998</v>
      </c>
      <c r="AV148" s="7">
        <v>0</v>
      </c>
      <c r="AW148" s="7">
        <v>-240.55500000000001</v>
      </c>
      <c r="AX148" s="7">
        <v>0</v>
      </c>
      <c r="AY148" s="7">
        <v>0</v>
      </c>
      <c r="AZ148" s="7">
        <v>0</v>
      </c>
      <c r="BA148" s="7">
        <v>-26.803000000000001</v>
      </c>
      <c r="BB148" s="7">
        <v>0</v>
      </c>
      <c r="BC148" s="7">
        <v>0</v>
      </c>
      <c r="BD148" s="7">
        <v>-13.381</v>
      </c>
      <c r="BE148" s="7">
        <v>-42.616999999999997</v>
      </c>
      <c r="BF148" s="7">
        <v>0</v>
      </c>
      <c r="BG148" s="7">
        <v>-1.879</v>
      </c>
      <c r="BH148" s="7">
        <v>0</v>
      </c>
      <c r="BI148" s="7">
        <v>0</v>
      </c>
      <c r="BJ148" s="7">
        <v>-16.03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21"/>
    </row>
    <row r="149" spans="1:69" ht="15.75" x14ac:dyDescent="0.25">
      <c r="A149" s="5" t="s">
        <v>281</v>
      </c>
      <c r="B149" s="5" t="s">
        <v>282</v>
      </c>
      <c r="C149" s="7">
        <v>6</v>
      </c>
      <c r="D149" s="7">
        <v>6</v>
      </c>
      <c r="E149" s="7">
        <v>-6634.8040000000001</v>
      </c>
      <c r="F149" s="7">
        <v>-275.70400000000001</v>
      </c>
      <c r="G149" s="7">
        <v>-268.91399999999999</v>
      </c>
      <c r="H149" s="7">
        <v>0</v>
      </c>
      <c r="I149" s="7">
        <v>-53.978999999999999</v>
      </c>
      <c r="J149" s="7">
        <v>-211.83500000000001</v>
      </c>
      <c r="K149" s="7">
        <v>0</v>
      </c>
      <c r="L149" s="7">
        <v>0</v>
      </c>
      <c r="M149" s="7">
        <v>-4526.0919999999996</v>
      </c>
      <c r="N149" s="7">
        <v>-979.23299999999995</v>
      </c>
      <c r="O149" s="7">
        <v>0</v>
      </c>
      <c r="P149" s="7">
        <v>0</v>
      </c>
      <c r="Q149" s="7">
        <v>0</v>
      </c>
      <c r="R149" s="7">
        <v>-711.91700000000003</v>
      </c>
      <c r="S149" s="7">
        <v>-843.86099999999999</v>
      </c>
      <c r="T149" s="7">
        <v>-85.334999999999994</v>
      </c>
      <c r="U149" s="7">
        <v>0</v>
      </c>
      <c r="V149" s="7">
        <v>0</v>
      </c>
      <c r="W149" s="7">
        <v>-28.79</v>
      </c>
      <c r="X149" s="7">
        <v>-77.194999999999993</v>
      </c>
      <c r="Y149" s="7">
        <v>0</v>
      </c>
      <c r="Z149" s="7">
        <v>-228.87799999999999</v>
      </c>
      <c r="AA149" s="7">
        <v>-25761.916000000001</v>
      </c>
      <c r="AB149" s="7">
        <v>-262.887</v>
      </c>
      <c r="AC149" s="7">
        <v>0</v>
      </c>
      <c r="AD149" s="7">
        <v>-37.817999999999998</v>
      </c>
      <c r="AE149" s="7">
        <v>-4790.3909999999996</v>
      </c>
      <c r="AF149" s="7">
        <v>-9875.2739999999994</v>
      </c>
      <c r="AG149" s="7">
        <v>0</v>
      </c>
      <c r="AH149" s="7">
        <v>-17530.766</v>
      </c>
      <c r="AI149" s="7">
        <v>-4046.3910000000001</v>
      </c>
      <c r="AJ149" s="7">
        <v>0</v>
      </c>
      <c r="AK149" s="7">
        <v>-132184.481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-5.226</v>
      </c>
      <c r="AR149" s="7">
        <v>0</v>
      </c>
      <c r="AS149" s="7">
        <v>0</v>
      </c>
      <c r="AT149" s="7">
        <v>0</v>
      </c>
      <c r="AU149" s="7">
        <v>-0.10199999999999999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-1.9059999999999999</v>
      </c>
      <c r="BB149" s="7">
        <v>0</v>
      </c>
      <c r="BC149" s="7">
        <v>0</v>
      </c>
      <c r="BD149" s="7">
        <v>-1.006</v>
      </c>
      <c r="BE149" s="7">
        <v>-3.6259999999999999</v>
      </c>
      <c r="BF149" s="7">
        <v>0</v>
      </c>
      <c r="BG149" s="7">
        <v>-0.14499999999999999</v>
      </c>
      <c r="BH149" s="7">
        <v>0</v>
      </c>
      <c r="BI149" s="7">
        <v>-95170.256999999998</v>
      </c>
      <c r="BJ149" s="7">
        <v>-1.403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21"/>
    </row>
    <row r="150" spans="1:69" ht="15.75" x14ac:dyDescent="0.25">
      <c r="A150" s="5" t="s">
        <v>283</v>
      </c>
      <c r="B150" s="5" t="s">
        <v>284</v>
      </c>
      <c r="C150" s="7">
        <v>4</v>
      </c>
      <c r="D150" s="7">
        <v>4</v>
      </c>
      <c r="E150" s="7">
        <v>-5581.1859999999997</v>
      </c>
      <c r="F150" s="7">
        <v>-1055.9380000000001</v>
      </c>
      <c r="G150" s="7">
        <v>2.339</v>
      </c>
      <c r="H150" s="7">
        <v>0</v>
      </c>
      <c r="I150" s="7">
        <v>-42.618000000000002</v>
      </c>
      <c r="J150" s="7">
        <v>1.8420000000000001</v>
      </c>
      <c r="K150" s="7">
        <v>0</v>
      </c>
      <c r="L150" s="7">
        <v>0</v>
      </c>
      <c r="M150" s="7">
        <v>-13867.477000000001</v>
      </c>
      <c r="N150" s="7">
        <v>-921.89800000000002</v>
      </c>
      <c r="O150" s="7">
        <v>0</v>
      </c>
      <c r="P150" s="7">
        <v>-29.946999999999999</v>
      </c>
      <c r="Q150" s="7">
        <v>0</v>
      </c>
      <c r="R150" s="7">
        <v>-20.957000000000001</v>
      </c>
      <c r="S150" s="7">
        <v>0</v>
      </c>
      <c r="T150" s="7">
        <v>-305.86500000000001</v>
      </c>
      <c r="U150" s="7">
        <v>0</v>
      </c>
      <c r="V150" s="7">
        <v>0</v>
      </c>
      <c r="W150" s="7">
        <v>0.25</v>
      </c>
      <c r="X150" s="7">
        <v>-83.745000000000005</v>
      </c>
      <c r="Y150" s="7">
        <v>-181.39599999999999</v>
      </c>
      <c r="Z150" s="7">
        <v>-2075.674</v>
      </c>
      <c r="AA150" s="7">
        <v>15.832000000000001</v>
      </c>
      <c r="AB150" s="7">
        <v>2.286</v>
      </c>
      <c r="AC150" s="7">
        <v>-773.56200000000001</v>
      </c>
      <c r="AD150" s="7">
        <v>-181.46899999999999</v>
      </c>
      <c r="AE150" s="7">
        <v>-75.688999999999993</v>
      </c>
      <c r="AF150" s="7">
        <v>-5802.7030000000004</v>
      </c>
      <c r="AG150" s="7">
        <v>-2505.8130000000001</v>
      </c>
      <c r="AH150" s="7">
        <v>-435.30700000000002</v>
      </c>
      <c r="AI150" s="7">
        <v>-19347.749</v>
      </c>
      <c r="AJ150" s="7">
        <v>-4427.2290000000003</v>
      </c>
      <c r="AK150" s="7">
        <v>86.56</v>
      </c>
      <c r="AL150" s="7">
        <v>26636.733</v>
      </c>
      <c r="AM150" s="7">
        <v>0</v>
      </c>
      <c r="AN150" s="7">
        <v>15812.168</v>
      </c>
      <c r="AO150" s="7">
        <v>0</v>
      </c>
      <c r="AP150" s="7">
        <v>8809.0049999999992</v>
      </c>
      <c r="AQ150" s="7">
        <v>-33.712000000000003</v>
      </c>
      <c r="AR150" s="7">
        <v>0</v>
      </c>
      <c r="AS150" s="7">
        <v>-761.75599999999997</v>
      </c>
      <c r="AT150" s="7">
        <v>0</v>
      </c>
      <c r="AU150" s="7">
        <v>-3.29</v>
      </c>
      <c r="AV150" s="7">
        <v>0</v>
      </c>
      <c r="AW150" s="7">
        <v>-23.17</v>
      </c>
      <c r="AX150" s="7">
        <v>0</v>
      </c>
      <c r="AY150" s="7">
        <v>0</v>
      </c>
      <c r="AZ150" s="7">
        <v>-72.384</v>
      </c>
      <c r="BA150" s="7">
        <v>-2.9769999999999999</v>
      </c>
      <c r="BB150" s="7">
        <v>0</v>
      </c>
      <c r="BC150" s="7">
        <v>-27.58</v>
      </c>
      <c r="BD150" s="7">
        <v>-5.5410000000000004</v>
      </c>
      <c r="BE150" s="7">
        <v>3.2000000000000001E-2</v>
      </c>
      <c r="BF150" s="7">
        <v>0</v>
      </c>
      <c r="BG150" s="7">
        <v>-0.78700000000000003</v>
      </c>
      <c r="BH150" s="7">
        <v>0</v>
      </c>
      <c r="BI150" s="7">
        <v>-1385.279</v>
      </c>
      <c r="BJ150" s="7">
        <v>1.2E-2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21"/>
    </row>
    <row r="151" spans="1:69" ht="15.75" x14ac:dyDescent="0.25">
      <c r="A151" s="5" t="s">
        <v>285</v>
      </c>
      <c r="B151" s="5" t="s">
        <v>286</v>
      </c>
      <c r="C151" s="7">
        <v>6</v>
      </c>
      <c r="D151" s="7">
        <v>6</v>
      </c>
      <c r="E151" s="7">
        <v>3270.319</v>
      </c>
      <c r="F151" s="7">
        <v>541.56500000000005</v>
      </c>
      <c r="G151" s="7">
        <v>-50.677999999999997</v>
      </c>
      <c r="H151" s="7">
        <v>-111.742</v>
      </c>
      <c r="I151" s="7">
        <v>-43.756</v>
      </c>
      <c r="J151" s="7">
        <v>-538.19500000000005</v>
      </c>
      <c r="K151" s="7">
        <v>0</v>
      </c>
      <c r="L151" s="7">
        <v>0</v>
      </c>
      <c r="M151" s="7">
        <v>12265.832</v>
      </c>
      <c r="N151" s="7">
        <v>-144.721</v>
      </c>
      <c r="O151" s="7">
        <v>0</v>
      </c>
      <c r="P151" s="7">
        <v>42.264000000000003</v>
      </c>
      <c r="Q151" s="7">
        <v>-3.0000000000000001E-3</v>
      </c>
      <c r="R151" s="7">
        <v>-85.936999999999998</v>
      </c>
      <c r="S151" s="7">
        <v>-140.291</v>
      </c>
      <c r="T151" s="7">
        <v>67.899000000000001</v>
      </c>
      <c r="U151" s="7">
        <v>0</v>
      </c>
      <c r="V151" s="7">
        <v>0</v>
      </c>
      <c r="W151" s="7">
        <v>-49.381</v>
      </c>
      <c r="X151" s="7">
        <v>69.537999999999997</v>
      </c>
      <c r="Y151" s="7">
        <v>0</v>
      </c>
      <c r="Z151" s="7">
        <v>2402.8870000000002</v>
      </c>
      <c r="AA151" s="7">
        <v>-4577.79</v>
      </c>
      <c r="AB151" s="7">
        <v>-1108.8779999999999</v>
      </c>
      <c r="AC151" s="7">
        <v>1065.4179999999999</v>
      </c>
      <c r="AD151" s="7">
        <v>82.177000000000007</v>
      </c>
      <c r="AE151" s="7">
        <v>-329.62599999999998</v>
      </c>
      <c r="AF151" s="7">
        <v>5280.7520000000004</v>
      </c>
      <c r="AG151" s="7">
        <v>2872.8780000000002</v>
      </c>
      <c r="AH151" s="7">
        <v>-799.41200000000003</v>
      </c>
      <c r="AI151" s="7">
        <v>18306.423999999999</v>
      </c>
      <c r="AJ151" s="7">
        <v>5099.6909999999998</v>
      </c>
      <c r="AK151" s="7">
        <v>-23583.511999999999</v>
      </c>
      <c r="AL151" s="7">
        <v>190735.995</v>
      </c>
      <c r="AM151" s="7">
        <v>0</v>
      </c>
      <c r="AN151" s="7">
        <v>113224.963</v>
      </c>
      <c r="AO151" s="7">
        <v>0</v>
      </c>
      <c r="AP151" s="7">
        <v>63077.925999999999</v>
      </c>
      <c r="AQ151" s="7">
        <v>4.4939999999999998</v>
      </c>
      <c r="AR151" s="7">
        <v>0</v>
      </c>
      <c r="AS151" s="7">
        <v>877.67100000000005</v>
      </c>
      <c r="AT151" s="7">
        <v>0</v>
      </c>
      <c r="AU151" s="7">
        <v>2.7949999999999999</v>
      </c>
      <c r="AV151" s="7">
        <v>0</v>
      </c>
      <c r="AW151" s="7">
        <v>26.655999999999999</v>
      </c>
      <c r="AX151" s="7">
        <v>0</v>
      </c>
      <c r="AY151" s="7">
        <v>0</v>
      </c>
      <c r="AZ151" s="7">
        <v>0</v>
      </c>
      <c r="BA151" s="7">
        <v>-11.369</v>
      </c>
      <c r="BB151" s="7">
        <v>0</v>
      </c>
      <c r="BC151" s="7">
        <v>0</v>
      </c>
      <c r="BD151" s="7">
        <v>0.39</v>
      </c>
      <c r="BE151" s="7">
        <v>-26.050999999999998</v>
      </c>
      <c r="BF151" s="7">
        <v>0</v>
      </c>
      <c r="BG151" s="7">
        <v>2.8000000000000001E-2</v>
      </c>
      <c r="BH151" s="7">
        <v>0</v>
      </c>
      <c r="BI151" s="7">
        <v>-13579.171</v>
      </c>
      <c r="BJ151" s="7">
        <v>-9.2309999999999999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21"/>
    </row>
    <row r="152" spans="1:69" ht="15.75" x14ac:dyDescent="0.25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21"/>
    </row>
    <row r="153" spans="1:69" ht="15.75" x14ac:dyDescent="0.25">
      <c r="A153" s="5" t="s">
        <v>289</v>
      </c>
      <c r="B153" s="5" t="s">
        <v>290</v>
      </c>
      <c r="C153" s="7">
        <v>6</v>
      </c>
      <c r="D153" s="7">
        <v>6</v>
      </c>
      <c r="E153" s="7">
        <v>-8207.0280000000002</v>
      </c>
      <c r="F153" s="7">
        <v>-1717.9849999999999</v>
      </c>
      <c r="G153" s="7">
        <v>0</v>
      </c>
      <c r="H153" s="7">
        <v>0</v>
      </c>
      <c r="I153" s="7">
        <v>-87.456999999999994</v>
      </c>
      <c r="J153" s="7">
        <v>0</v>
      </c>
      <c r="K153" s="7">
        <v>0</v>
      </c>
      <c r="L153" s="7">
        <v>0</v>
      </c>
      <c r="M153" s="7">
        <v>-20419.093000000001</v>
      </c>
      <c r="N153" s="7">
        <v>-2097.6860000000001</v>
      </c>
      <c r="O153" s="7">
        <v>0</v>
      </c>
      <c r="P153" s="7">
        <v>0</v>
      </c>
      <c r="Q153" s="7">
        <v>-0.4</v>
      </c>
      <c r="R153" s="7">
        <v>0</v>
      </c>
      <c r="S153" s="7">
        <v>0</v>
      </c>
      <c r="T153" s="7">
        <v>-484.06900000000002</v>
      </c>
      <c r="U153" s="7">
        <v>0</v>
      </c>
      <c r="V153" s="7">
        <v>0</v>
      </c>
      <c r="W153" s="7">
        <v>0</v>
      </c>
      <c r="X153" s="7">
        <v>-150.04499999999999</v>
      </c>
      <c r="Y153" s="7">
        <v>0</v>
      </c>
      <c r="Z153" s="7">
        <v>-3178.7689999999998</v>
      </c>
      <c r="AA153" s="7">
        <v>0</v>
      </c>
      <c r="AB153" s="7">
        <v>0</v>
      </c>
      <c r="AC153" s="7">
        <v>0</v>
      </c>
      <c r="AD153" s="7">
        <v>-294.69600000000003</v>
      </c>
      <c r="AE153" s="7">
        <v>0</v>
      </c>
      <c r="AF153" s="7">
        <v>-7893.0969999999998</v>
      </c>
      <c r="AG153" s="7">
        <v>-4078.1889999999999</v>
      </c>
      <c r="AH153" s="7">
        <v>0</v>
      </c>
      <c r="AI153" s="7">
        <v>-33457.099000000002</v>
      </c>
      <c r="AJ153" s="7">
        <v>-7166.0540000000001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-40.191000000000003</v>
      </c>
      <c r="AR153" s="7">
        <v>0</v>
      </c>
      <c r="AS153" s="7">
        <v>-1235.2370000000001</v>
      </c>
      <c r="AT153" s="7">
        <v>0</v>
      </c>
      <c r="AU153" s="7">
        <v>-4.7629999999999999</v>
      </c>
      <c r="AV153" s="7">
        <v>0</v>
      </c>
      <c r="AW153" s="7">
        <v>-34.472999999999999</v>
      </c>
      <c r="AX153" s="7">
        <v>0</v>
      </c>
      <c r="AY153" s="7">
        <v>0</v>
      </c>
      <c r="AZ153" s="7">
        <v>0</v>
      </c>
      <c r="BA153" s="7">
        <v>-4.6059999999999999</v>
      </c>
      <c r="BB153" s="7">
        <v>-32.454999999999998</v>
      </c>
      <c r="BC153" s="7">
        <v>0</v>
      </c>
      <c r="BD153" s="7">
        <v>-9.8000000000000007</v>
      </c>
      <c r="BE153" s="7">
        <v>0</v>
      </c>
      <c r="BF153" s="7">
        <v>-65.466999999999999</v>
      </c>
      <c r="BG153" s="7">
        <v>-1.35</v>
      </c>
      <c r="BH153" s="7">
        <v>-30.891999999999999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21"/>
    </row>
    <row r="154" spans="1:69" ht="15.75" x14ac:dyDescent="0.25">
      <c r="A154" s="5" t="s">
        <v>291</v>
      </c>
      <c r="B154" s="5" t="s">
        <v>292</v>
      </c>
      <c r="C154" s="7">
        <v>6</v>
      </c>
      <c r="D154" s="7">
        <v>6</v>
      </c>
      <c r="E154" s="7">
        <v>9090.0439999999999</v>
      </c>
      <c r="F154" s="7">
        <v>961.03499999999997</v>
      </c>
      <c r="G154" s="7">
        <v>320.98099999999999</v>
      </c>
      <c r="H154" s="7">
        <v>113.03</v>
      </c>
      <c r="I154" s="7">
        <v>148.41300000000001</v>
      </c>
      <c r="J154" s="7">
        <v>756.86599999999999</v>
      </c>
      <c r="K154" s="7">
        <v>0</v>
      </c>
      <c r="L154" s="7">
        <v>0</v>
      </c>
      <c r="M154" s="7">
        <v>6929.18</v>
      </c>
      <c r="N154" s="7">
        <v>2240.9050000000002</v>
      </c>
      <c r="O154" s="7">
        <v>0</v>
      </c>
      <c r="P154" s="7">
        <v>0</v>
      </c>
      <c r="Q154" s="7">
        <v>3.0000000000000001E-3</v>
      </c>
      <c r="R154" s="7">
        <v>857.52200000000005</v>
      </c>
      <c r="S154" s="7">
        <v>1016.452</v>
      </c>
      <c r="T154" s="7">
        <v>373.91199999999998</v>
      </c>
      <c r="U154" s="7">
        <v>0</v>
      </c>
      <c r="V154" s="7">
        <v>0</v>
      </c>
      <c r="W154" s="7">
        <v>78.826999999999998</v>
      </c>
      <c r="X154" s="7">
        <v>105.24299999999999</v>
      </c>
      <c r="Y154" s="7">
        <v>0</v>
      </c>
      <c r="Z154" s="7">
        <v>229.61699999999999</v>
      </c>
      <c r="AA154" s="7">
        <v>31030.873</v>
      </c>
      <c r="AB154" s="7">
        <v>1385.3320000000001</v>
      </c>
      <c r="AC154" s="7">
        <v>0</v>
      </c>
      <c r="AD154" s="7">
        <v>166.67</v>
      </c>
      <c r="AE154" s="7">
        <v>5410.9880000000003</v>
      </c>
      <c r="AF154" s="7">
        <v>11764.67</v>
      </c>
      <c r="AG154" s="7">
        <v>13.436</v>
      </c>
      <c r="AH154" s="7">
        <v>19661.994999999999</v>
      </c>
      <c r="AI154" s="7">
        <v>8760.7199999999993</v>
      </c>
      <c r="AJ154" s="7">
        <v>0.33400000000000002</v>
      </c>
      <c r="AK154" s="7">
        <v>159219.519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40.188000000000002</v>
      </c>
      <c r="AR154" s="7">
        <v>0</v>
      </c>
      <c r="AS154" s="7">
        <v>1.8839999999999999</v>
      </c>
      <c r="AT154" s="7">
        <v>0</v>
      </c>
      <c r="AU154" s="7">
        <v>1.127</v>
      </c>
      <c r="AV154" s="7">
        <v>0</v>
      </c>
      <c r="AW154" s="7">
        <v>0.13900000000000001</v>
      </c>
      <c r="AX154" s="7">
        <v>0</v>
      </c>
      <c r="AY154" s="7">
        <v>0</v>
      </c>
      <c r="AZ154" s="7">
        <v>0</v>
      </c>
      <c r="BA154" s="7">
        <v>16.914000000000001</v>
      </c>
      <c r="BB154" s="7">
        <v>0</v>
      </c>
      <c r="BC154" s="7">
        <v>0</v>
      </c>
      <c r="BD154" s="7">
        <v>7.1070000000000002</v>
      </c>
      <c r="BE154" s="7">
        <v>29.989000000000001</v>
      </c>
      <c r="BF154" s="7">
        <v>0</v>
      </c>
      <c r="BG154" s="7">
        <v>1.04</v>
      </c>
      <c r="BH154" s="7">
        <v>0</v>
      </c>
      <c r="BI154" s="7">
        <v>114634.958</v>
      </c>
      <c r="BJ154" s="7">
        <v>10.744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21"/>
    </row>
    <row r="155" spans="1:69" ht="15.75" x14ac:dyDescent="0.25">
      <c r="A155" s="5" t="s">
        <v>293</v>
      </c>
      <c r="B155" s="5" t="s">
        <v>294</v>
      </c>
      <c r="C155" s="7">
        <v>4</v>
      </c>
      <c r="D155" s="7">
        <v>4</v>
      </c>
      <c r="E155" s="7">
        <v>13243.993</v>
      </c>
      <c r="F155" s="7">
        <v>2772.3780000000002</v>
      </c>
      <c r="G155" s="7">
        <v>0</v>
      </c>
      <c r="H155" s="7">
        <v>0</v>
      </c>
      <c r="I155" s="7">
        <v>141.13300000000001</v>
      </c>
      <c r="J155" s="7">
        <v>0</v>
      </c>
      <c r="K155" s="7">
        <v>0</v>
      </c>
      <c r="L155" s="7">
        <v>0</v>
      </c>
      <c r="M155" s="7">
        <v>32951.061999999998</v>
      </c>
      <c r="N155" s="7">
        <v>3385.1149999999998</v>
      </c>
      <c r="O155" s="7">
        <v>0</v>
      </c>
      <c r="P155" s="7">
        <v>0</v>
      </c>
      <c r="Q155" s="7">
        <v>0.64600000000000002</v>
      </c>
      <c r="R155" s="7">
        <v>0</v>
      </c>
      <c r="S155" s="7">
        <v>0</v>
      </c>
      <c r="T155" s="7">
        <v>781.16</v>
      </c>
      <c r="U155" s="7">
        <v>0</v>
      </c>
      <c r="V155" s="7">
        <v>0</v>
      </c>
      <c r="W155" s="7">
        <v>0</v>
      </c>
      <c r="X155" s="7">
        <v>242.13499999999999</v>
      </c>
      <c r="Y155" s="7">
        <v>0</v>
      </c>
      <c r="Z155" s="7">
        <v>5129.7</v>
      </c>
      <c r="AA155" s="7">
        <v>0</v>
      </c>
      <c r="AB155" s="7">
        <v>0</v>
      </c>
      <c r="AC155" s="7">
        <v>0</v>
      </c>
      <c r="AD155" s="7">
        <v>475.56200000000001</v>
      </c>
      <c r="AE155" s="7">
        <v>0</v>
      </c>
      <c r="AF155" s="7">
        <v>12737.387000000001</v>
      </c>
      <c r="AG155" s="7">
        <v>6581.1289999999999</v>
      </c>
      <c r="AH155" s="7">
        <v>0</v>
      </c>
      <c r="AI155" s="7">
        <v>53990.982000000004</v>
      </c>
      <c r="AJ155" s="7">
        <v>11564.13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64.856999999999999</v>
      </c>
      <c r="AR155" s="7">
        <v>0</v>
      </c>
      <c r="AS155" s="7">
        <v>1993.3520000000001</v>
      </c>
      <c r="AT155" s="7">
        <v>0</v>
      </c>
      <c r="AU155" s="7">
        <v>7.6859999999999999</v>
      </c>
      <c r="AV155" s="7">
        <v>0</v>
      </c>
      <c r="AW155" s="7">
        <v>55.616999999999997</v>
      </c>
      <c r="AX155" s="7">
        <v>0</v>
      </c>
      <c r="AY155" s="7">
        <v>0</v>
      </c>
      <c r="AZ155" s="7">
        <v>0</v>
      </c>
      <c r="BA155" s="7">
        <v>7.431</v>
      </c>
      <c r="BB155" s="7">
        <v>52.372</v>
      </c>
      <c r="BC155" s="7">
        <v>0</v>
      </c>
      <c r="BD155" s="7">
        <v>15.815</v>
      </c>
      <c r="BE155" s="7">
        <v>0</v>
      </c>
      <c r="BF155" s="7">
        <v>105.64700000000001</v>
      </c>
      <c r="BG155" s="7">
        <v>2.1749999999999998</v>
      </c>
      <c r="BH155" s="7">
        <v>49.851999999999997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21"/>
    </row>
    <row r="156" spans="1:69" ht="15.75" x14ac:dyDescent="0.25">
      <c r="A156" s="5" t="s">
        <v>295</v>
      </c>
      <c r="B156" s="5" t="s">
        <v>296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21"/>
    </row>
    <row r="157" spans="1:69" ht="15.75" x14ac:dyDescent="0.25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21"/>
    </row>
    <row r="158" spans="1:69" ht="15.75" x14ac:dyDescent="0.25">
      <c r="A158" s="5" t="s">
        <v>299</v>
      </c>
      <c r="B158" s="5" t="s">
        <v>300</v>
      </c>
      <c r="C158" s="7">
        <v>4</v>
      </c>
      <c r="D158" s="7">
        <v>4</v>
      </c>
      <c r="E158" s="7">
        <v>611.69000000000005</v>
      </c>
      <c r="F158" s="7">
        <v>56.718000000000004</v>
      </c>
      <c r="G158" s="7">
        <v>81.135000000000005</v>
      </c>
      <c r="H158" s="7">
        <v>0</v>
      </c>
      <c r="I158" s="7">
        <v>14.242000000000001</v>
      </c>
      <c r="J158" s="7">
        <v>49.500999999999998</v>
      </c>
      <c r="K158" s="7">
        <v>0</v>
      </c>
      <c r="L158" s="7">
        <v>0</v>
      </c>
      <c r="M158" s="7">
        <v>449.45499999999998</v>
      </c>
      <c r="N158" s="7">
        <v>220.679</v>
      </c>
      <c r="O158" s="7">
        <v>0</v>
      </c>
      <c r="P158" s="7">
        <v>0</v>
      </c>
      <c r="Q158" s="7">
        <v>2.6509999999999998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7.0330000000000004</v>
      </c>
      <c r="X158" s="7">
        <v>21.594999999999999</v>
      </c>
      <c r="Y158" s="7">
        <v>0</v>
      </c>
      <c r="Z158" s="7">
        <v>170.691</v>
      </c>
      <c r="AA158" s="7">
        <v>0</v>
      </c>
      <c r="AB158" s="7">
        <v>60.18</v>
      </c>
      <c r="AC158" s="7">
        <v>0</v>
      </c>
      <c r="AD158" s="7">
        <v>9.0350000000000001</v>
      </c>
      <c r="AE158" s="7">
        <v>0</v>
      </c>
      <c r="AF158" s="7">
        <v>542.40899999999999</v>
      </c>
      <c r="AG158" s="7">
        <v>0</v>
      </c>
      <c r="AH158" s="7">
        <v>0</v>
      </c>
      <c r="AI158" s="7">
        <v>1284.316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21"/>
    </row>
    <row r="159" spans="1:69" ht="15.75" x14ac:dyDescent="0.25">
      <c r="A159" s="5" t="s">
        <v>301</v>
      </c>
      <c r="B159" s="5" t="s">
        <v>302</v>
      </c>
      <c r="C159" s="7">
        <v>4</v>
      </c>
      <c r="D159" s="7">
        <v>4</v>
      </c>
      <c r="E159" s="7">
        <v>-36.942</v>
      </c>
      <c r="F159" s="7">
        <v>-7.7329999999999997</v>
      </c>
      <c r="G159" s="7">
        <v>0</v>
      </c>
      <c r="H159" s="7">
        <v>0</v>
      </c>
      <c r="I159" s="7">
        <v>-0.39400000000000002</v>
      </c>
      <c r="J159" s="7">
        <v>0</v>
      </c>
      <c r="K159" s="7">
        <v>0</v>
      </c>
      <c r="L159" s="7">
        <v>0</v>
      </c>
      <c r="M159" s="7">
        <v>-91.912000000000006</v>
      </c>
      <c r="N159" s="7">
        <v>-9.4420000000000002</v>
      </c>
      <c r="O159" s="7">
        <v>0</v>
      </c>
      <c r="P159" s="7">
        <v>0</v>
      </c>
      <c r="Q159" s="7">
        <v>-2E-3</v>
      </c>
      <c r="R159" s="7">
        <v>0</v>
      </c>
      <c r="S159" s="7">
        <v>0</v>
      </c>
      <c r="T159" s="7">
        <v>-2.1789999999999998</v>
      </c>
      <c r="U159" s="7">
        <v>0</v>
      </c>
      <c r="V159" s="7">
        <v>0</v>
      </c>
      <c r="W159" s="7">
        <v>0</v>
      </c>
      <c r="X159" s="7">
        <v>-0.67500000000000004</v>
      </c>
      <c r="Y159" s="7">
        <v>0</v>
      </c>
      <c r="Z159" s="7">
        <v>-14.308999999999999</v>
      </c>
      <c r="AA159" s="7">
        <v>0</v>
      </c>
      <c r="AB159" s="7">
        <v>0</v>
      </c>
      <c r="AC159" s="7">
        <v>0</v>
      </c>
      <c r="AD159" s="7">
        <v>-1.327</v>
      </c>
      <c r="AE159" s="7">
        <v>0</v>
      </c>
      <c r="AF159" s="7">
        <v>-35.529000000000003</v>
      </c>
      <c r="AG159" s="7">
        <v>-18.356999999999999</v>
      </c>
      <c r="AH159" s="7">
        <v>0</v>
      </c>
      <c r="AI159" s="7">
        <v>-150.59899999999999</v>
      </c>
      <c r="AJ159" s="7">
        <v>-32.256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-0.18099999999999999</v>
      </c>
      <c r="AR159" s="7">
        <v>0</v>
      </c>
      <c r="AS159" s="7">
        <v>-5.56</v>
      </c>
      <c r="AT159" s="7">
        <v>0</v>
      </c>
      <c r="AU159" s="7">
        <v>-2.1999999999999999E-2</v>
      </c>
      <c r="AV159" s="7">
        <v>0</v>
      </c>
      <c r="AW159" s="7">
        <v>-0.155</v>
      </c>
      <c r="AX159" s="7">
        <v>0</v>
      </c>
      <c r="AY159" s="7">
        <v>0</v>
      </c>
      <c r="AZ159" s="7">
        <v>0</v>
      </c>
      <c r="BA159" s="7">
        <v>-2.1000000000000001E-2</v>
      </c>
      <c r="BB159" s="7">
        <v>-0.14599999999999999</v>
      </c>
      <c r="BC159" s="7">
        <v>0</v>
      </c>
      <c r="BD159" s="7">
        <v>-4.3999999999999997E-2</v>
      </c>
      <c r="BE159" s="7">
        <v>0</v>
      </c>
      <c r="BF159" s="7">
        <v>-0.29499999999999998</v>
      </c>
      <c r="BG159" s="7">
        <v>-6.0000000000000001E-3</v>
      </c>
      <c r="BH159" s="7">
        <v>-0.13900000000000001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21"/>
    </row>
    <row r="160" spans="1:69" ht="15.75" x14ac:dyDescent="0.25">
      <c r="A160" s="5" t="s">
        <v>303</v>
      </c>
      <c r="B160" s="5" t="s">
        <v>304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21"/>
    </row>
    <row r="161" spans="1:69" ht="15.75" x14ac:dyDescent="0.25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21"/>
    </row>
    <row r="162" spans="1:69" ht="15.75" x14ac:dyDescent="0.25">
      <c r="A162" s="5" t="s">
        <v>307</v>
      </c>
      <c r="B162" s="5" t="s">
        <v>308</v>
      </c>
      <c r="C162" s="7">
        <v>4</v>
      </c>
      <c r="D162" s="7">
        <v>4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21"/>
    </row>
    <row r="163" spans="1:69" ht="15.75" x14ac:dyDescent="0.25">
      <c r="A163" s="5" t="s">
        <v>293</v>
      </c>
      <c r="B163" s="5" t="s">
        <v>309</v>
      </c>
      <c r="C163" s="7">
        <v>6</v>
      </c>
      <c r="D163" s="7">
        <v>6</v>
      </c>
      <c r="E163" s="7">
        <v>2E-3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1E-3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1E-3</v>
      </c>
      <c r="AG163" s="7">
        <v>0</v>
      </c>
      <c r="AH163" s="7">
        <v>0</v>
      </c>
      <c r="AI163" s="7">
        <v>3.0000000000000001E-3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21"/>
    </row>
    <row r="164" spans="1:69" ht="15.75" x14ac:dyDescent="0.25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21"/>
    </row>
    <row r="165" spans="1:69" ht="15.75" x14ac:dyDescent="0.25">
      <c r="A165" s="5" t="s">
        <v>312</v>
      </c>
      <c r="B165" s="5" t="s">
        <v>313</v>
      </c>
      <c r="C165" s="7">
        <v>6</v>
      </c>
      <c r="D165" s="7">
        <v>6</v>
      </c>
      <c r="E165" s="7">
        <v>381.57600000000002</v>
      </c>
      <c r="F165" s="7">
        <v>88.683000000000007</v>
      </c>
      <c r="G165" s="7">
        <v>25.512</v>
      </c>
      <c r="H165" s="7">
        <v>0</v>
      </c>
      <c r="I165" s="7">
        <v>7.6589999999999998</v>
      </c>
      <c r="J165" s="7">
        <v>20.097000000000001</v>
      </c>
      <c r="K165" s="7">
        <v>0</v>
      </c>
      <c r="L165" s="7">
        <v>0</v>
      </c>
      <c r="M165" s="7">
        <v>829.86</v>
      </c>
      <c r="N165" s="7">
        <v>149.34100000000001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26.21</v>
      </c>
      <c r="U165" s="7">
        <v>0</v>
      </c>
      <c r="V165" s="7">
        <v>0</v>
      </c>
      <c r="W165" s="7">
        <v>2.7309999999999999</v>
      </c>
      <c r="X165" s="7">
        <v>12.304</v>
      </c>
      <c r="Y165" s="7">
        <v>0</v>
      </c>
      <c r="Z165" s="7">
        <v>145.041</v>
      </c>
      <c r="AA165" s="7">
        <v>0</v>
      </c>
      <c r="AB165" s="7">
        <v>24.940999999999999</v>
      </c>
      <c r="AC165" s="7">
        <v>4.5999999999999999E-2</v>
      </c>
      <c r="AD165" s="7">
        <v>14.337999999999999</v>
      </c>
      <c r="AE165" s="7">
        <v>0</v>
      </c>
      <c r="AF165" s="7">
        <v>372.60399999999998</v>
      </c>
      <c r="AG165" s="7">
        <v>148.12799999999999</v>
      </c>
      <c r="AH165" s="7">
        <v>0</v>
      </c>
      <c r="AI165" s="7">
        <v>1562.0229999999999</v>
      </c>
      <c r="AJ165" s="7">
        <v>261.75099999999998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2.5</v>
      </c>
      <c r="AR165" s="7">
        <v>0</v>
      </c>
      <c r="AS165" s="7">
        <v>45.140999999999998</v>
      </c>
      <c r="AT165" s="7">
        <v>0</v>
      </c>
      <c r="AU165" s="7">
        <v>0.20499999999999999</v>
      </c>
      <c r="AV165" s="7">
        <v>0</v>
      </c>
      <c r="AW165" s="7">
        <v>1.375</v>
      </c>
      <c r="AX165" s="7">
        <v>0</v>
      </c>
      <c r="AY165" s="7">
        <v>0</v>
      </c>
      <c r="AZ165" s="7">
        <v>0</v>
      </c>
      <c r="BA165" s="7">
        <v>0.35899999999999999</v>
      </c>
      <c r="BB165" s="7">
        <v>0</v>
      </c>
      <c r="BC165" s="7">
        <v>0</v>
      </c>
      <c r="BD165" s="7">
        <v>0.42499999999999999</v>
      </c>
      <c r="BE165" s="7">
        <v>0.34399999999999997</v>
      </c>
      <c r="BF165" s="7">
        <v>0</v>
      </c>
      <c r="BG165" s="7">
        <v>6.0999999999999999E-2</v>
      </c>
      <c r="BH165" s="7">
        <v>0</v>
      </c>
      <c r="BI165" s="7">
        <v>0</v>
      </c>
      <c r="BJ165" s="7">
        <v>0.13300000000000001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21"/>
    </row>
    <row r="166" spans="1:69" ht="15.75" x14ac:dyDescent="0.25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21"/>
    </row>
    <row r="167" spans="1:69" ht="15.75" x14ac:dyDescent="0.25">
      <c r="A167" s="5" t="s">
        <v>299</v>
      </c>
      <c r="B167" s="5" t="s">
        <v>315</v>
      </c>
      <c r="C167" s="7">
        <v>6</v>
      </c>
      <c r="D167" s="7">
        <v>6</v>
      </c>
      <c r="E167" s="7">
        <v>676.221</v>
      </c>
      <c r="F167" s="7">
        <v>62.701000000000001</v>
      </c>
      <c r="G167" s="7">
        <v>89.694999999999993</v>
      </c>
      <c r="H167" s="7">
        <v>0</v>
      </c>
      <c r="I167" s="7">
        <v>15.744</v>
      </c>
      <c r="J167" s="7">
        <v>54.722999999999999</v>
      </c>
      <c r="K167" s="7">
        <v>0</v>
      </c>
      <c r="L167" s="7">
        <v>0</v>
      </c>
      <c r="M167" s="7">
        <v>496.87099999999998</v>
      </c>
      <c r="N167" s="7">
        <v>243.96</v>
      </c>
      <c r="O167" s="7">
        <v>0</v>
      </c>
      <c r="P167" s="7">
        <v>0</v>
      </c>
      <c r="Q167" s="7">
        <v>2.93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7.7750000000000004</v>
      </c>
      <c r="X167" s="7">
        <v>23.873000000000001</v>
      </c>
      <c r="Y167" s="7">
        <v>0</v>
      </c>
      <c r="Z167" s="7">
        <v>188.69800000000001</v>
      </c>
      <c r="AA167" s="7">
        <v>0</v>
      </c>
      <c r="AB167" s="7">
        <v>66.528999999999996</v>
      </c>
      <c r="AC167" s="7">
        <v>0</v>
      </c>
      <c r="AD167" s="7">
        <v>9.9890000000000008</v>
      </c>
      <c r="AE167" s="7">
        <v>0</v>
      </c>
      <c r="AF167" s="7">
        <v>599.63099999999997</v>
      </c>
      <c r="AG167" s="7">
        <v>0</v>
      </c>
      <c r="AH167" s="7">
        <v>0</v>
      </c>
      <c r="AI167" s="7">
        <v>1419.807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21"/>
    </row>
    <row r="168" spans="1:69" ht="15.75" x14ac:dyDescent="0.25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21"/>
    </row>
    <row r="169" spans="1:69" ht="15.75" x14ac:dyDescent="0.25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21"/>
    </row>
    <row r="170" spans="1:69" ht="15.75" x14ac:dyDescent="0.25">
      <c r="A170" s="5" t="s">
        <v>319</v>
      </c>
      <c r="B170" s="5" t="s">
        <v>320</v>
      </c>
      <c r="C170" s="7">
        <v>6</v>
      </c>
      <c r="D170" s="7">
        <v>6</v>
      </c>
      <c r="E170" s="7">
        <v>-248.21799999999999</v>
      </c>
      <c r="F170" s="7">
        <v>-57.718000000000004</v>
      </c>
      <c r="G170" s="7">
        <v>-16.206</v>
      </c>
      <c r="H170" s="7">
        <v>0</v>
      </c>
      <c r="I170" s="7">
        <v>-4.9210000000000003</v>
      </c>
      <c r="J170" s="7">
        <v>-12.766</v>
      </c>
      <c r="K170" s="7">
        <v>0</v>
      </c>
      <c r="L170" s="7">
        <v>0</v>
      </c>
      <c r="M170" s="7">
        <v>-543.20600000000002</v>
      </c>
      <c r="N170" s="7">
        <v>-96.116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-17.05</v>
      </c>
      <c r="U170" s="7">
        <v>0</v>
      </c>
      <c r="V170" s="7">
        <v>0</v>
      </c>
      <c r="W170" s="7">
        <v>-1.7350000000000001</v>
      </c>
      <c r="X170" s="7">
        <v>-7.9260000000000002</v>
      </c>
      <c r="Y170" s="7">
        <v>0</v>
      </c>
      <c r="Z170" s="7">
        <v>-94.864999999999995</v>
      </c>
      <c r="AA170" s="7">
        <v>0</v>
      </c>
      <c r="AB170" s="7">
        <v>-15.843</v>
      </c>
      <c r="AC170" s="7">
        <v>-0.03</v>
      </c>
      <c r="AD170" s="7">
        <v>-9.3460000000000001</v>
      </c>
      <c r="AE170" s="7">
        <v>0</v>
      </c>
      <c r="AF170" s="7">
        <v>-243.55600000000001</v>
      </c>
      <c r="AG170" s="7">
        <v>-97.375</v>
      </c>
      <c r="AH170" s="7">
        <v>0</v>
      </c>
      <c r="AI170" s="7">
        <v>-1018.332</v>
      </c>
      <c r="AJ170" s="7">
        <v>-172.06800000000001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-1.6319999999999999</v>
      </c>
      <c r="AR170" s="7">
        <v>0</v>
      </c>
      <c r="AS170" s="7">
        <v>-29.673999999999999</v>
      </c>
      <c r="AT170" s="7">
        <v>0</v>
      </c>
      <c r="AU170" s="7">
        <v>-0.13500000000000001</v>
      </c>
      <c r="AV170" s="7">
        <v>0</v>
      </c>
      <c r="AW170" s="7">
        <v>-0.90400000000000003</v>
      </c>
      <c r="AX170" s="7">
        <v>0</v>
      </c>
      <c r="AY170" s="7">
        <v>0</v>
      </c>
      <c r="AZ170" s="7">
        <v>0</v>
      </c>
      <c r="BA170" s="7">
        <v>-0.23200000000000001</v>
      </c>
      <c r="BB170" s="7">
        <v>0</v>
      </c>
      <c r="BC170" s="7">
        <v>0</v>
      </c>
      <c r="BD170" s="7">
        <v>-0.27700000000000002</v>
      </c>
      <c r="BE170" s="7">
        <v>-0.219</v>
      </c>
      <c r="BF170" s="7">
        <v>0</v>
      </c>
      <c r="BG170" s="7">
        <v>-0.04</v>
      </c>
      <c r="BH170" s="7">
        <v>0</v>
      </c>
      <c r="BI170" s="7">
        <v>0</v>
      </c>
      <c r="BJ170" s="7">
        <v>-8.5000000000000006E-2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21"/>
    </row>
    <row r="171" spans="1:69" ht="15.75" x14ac:dyDescent="0.25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21"/>
    </row>
    <row r="172" spans="1:69" ht="15.75" x14ac:dyDescent="0.25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21"/>
    </row>
    <row r="173" spans="1:69" ht="15.75" x14ac:dyDescent="0.25">
      <c r="A173" s="5" t="s">
        <v>323</v>
      </c>
      <c r="B173" s="5" t="s">
        <v>324</v>
      </c>
      <c r="C173" s="7">
        <v>4</v>
      </c>
      <c r="D173" s="7">
        <v>4</v>
      </c>
      <c r="E173" s="7">
        <v>5177.2979999999998</v>
      </c>
      <c r="F173" s="7">
        <v>1151.4590000000001</v>
      </c>
      <c r="G173" s="7">
        <v>0</v>
      </c>
      <c r="H173" s="7">
        <v>0</v>
      </c>
      <c r="I173" s="7">
        <v>53.055999999999997</v>
      </c>
      <c r="J173" s="7">
        <v>0</v>
      </c>
      <c r="K173" s="7">
        <v>0</v>
      </c>
      <c r="L173" s="7">
        <v>0</v>
      </c>
      <c r="M173" s="7">
        <v>13538.007</v>
      </c>
      <c r="N173" s="7">
        <v>1229.039</v>
      </c>
      <c r="O173" s="7">
        <v>0</v>
      </c>
      <c r="P173" s="7">
        <v>0</v>
      </c>
      <c r="Q173" s="7">
        <v>0.13200000000000001</v>
      </c>
      <c r="R173" s="7">
        <v>0</v>
      </c>
      <c r="S173" s="7">
        <v>0</v>
      </c>
      <c r="T173" s="7">
        <v>329.11399999999998</v>
      </c>
      <c r="U173" s="7">
        <v>0</v>
      </c>
      <c r="V173" s="7">
        <v>0</v>
      </c>
      <c r="W173" s="7">
        <v>0</v>
      </c>
      <c r="X173" s="7">
        <v>96.480999999999995</v>
      </c>
      <c r="Y173" s="7">
        <v>0</v>
      </c>
      <c r="Z173" s="7">
        <v>2166.6120000000001</v>
      </c>
      <c r="AA173" s="7">
        <v>0</v>
      </c>
      <c r="AB173" s="7">
        <v>0</v>
      </c>
      <c r="AC173" s="7">
        <v>0.42</v>
      </c>
      <c r="AD173" s="7">
        <v>197.18299999999999</v>
      </c>
      <c r="AE173" s="7">
        <v>0</v>
      </c>
      <c r="AF173" s="7">
        <v>5415.3109999999997</v>
      </c>
      <c r="AG173" s="7">
        <v>2725.308</v>
      </c>
      <c r="AH173" s="7">
        <v>0</v>
      </c>
      <c r="AI173" s="7">
        <v>22318.376</v>
      </c>
      <c r="AJ173" s="7">
        <v>4799.9939999999997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31.436</v>
      </c>
      <c r="AR173" s="7">
        <v>0</v>
      </c>
      <c r="AS173" s="7">
        <v>821.255</v>
      </c>
      <c r="AT173" s="7">
        <v>0</v>
      </c>
      <c r="AU173" s="7">
        <v>3.343</v>
      </c>
      <c r="AV173" s="7">
        <v>0</v>
      </c>
      <c r="AW173" s="7">
        <v>23.831</v>
      </c>
      <c r="AX173" s="7">
        <v>0</v>
      </c>
      <c r="AY173" s="7">
        <v>0</v>
      </c>
      <c r="AZ173" s="7">
        <v>0</v>
      </c>
      <c r="BA173" s="7">
        <v>3.13</v>
      </c>
      <c r="BB173" s="7">
        <v>10.669</v>
      </c>
      <c r="BC173" s="7">
        <v>0</v>
      </c>
      <c r="BD173" s="7">
        <v>6.2160000000000002</v>
      </c>
      <c r="BE173" s="7">
        <v>0</v>
      </c>
      <c r="BF173" s="7">
        <v>21.52</v>
      </c>
      <c r="BG173" s="7">
        <v>0.86899999999999999</v>
      </c>
      <c r="BH173" s="7">
        <v>10.154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21"/>
    </row>
    <row r="174" spans="1:69" ht="15.75" x14ac:dyDescent="0.25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21"/>
    </row>
    <row r="175" spans="1:69" ht="15.75" x14ac:dyDescent="0.25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21"/>
    </row>
    <row r="176" spans="1:69" ht="15.75" x14ac:dyDescent="0.25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21"/>
    </row>
    <row r="177" spans="1:69" ht="15.75" x14ac:dyDescent="0.25">
      <c r="A177" s="5" t="s">
        <v>331</v>
      </c>
      <c r="B177" s="5" t="s">
        <v>332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21"/>
    </row>
    <row r="178" spans="1:69" ht="15.75" x14ac:dyDescent="0.25">
      <c r="A178" s="5" t="s">
        <v>333</v>
      </c>
      <c r="B178" s="5" t="s">
        <v>334</v>
      </c>
      <c r="C178" s="7">
        <v>4</v>
      </c>
      <c r="D178" s="7">
        <v>4</v>
      </c>
      <c r="E178" s="7">
        <v>-6602.6379999999999</v>
      </c>
      <c r="F178" s="7">
        <v>-1496.691</v>
      </c>
      <c r="G178" s="7">
        <v>0</v>
      </c>
      <c r="H178" s="7">
        <v>0</v>
      </c>
      <c r="I178" s="7">
        <v>-66.341999999999999</v>
      </c>
      <c r="J178" s="7">
        <v>0</v>
      </c>
      <c r="K178" s="7">
        <v>0</v>
      </c>
      <c r="L178" s="7">
        <v>0</v>
      </c>
      <c r="M178" s="7">
        <v>-17515.162</v>
      </c>
      <c r="N178" s="7">
        <v>-1521.866</v>
      </c>
      <c r="O178" s="7">
        <v>0</v>
      </c>
      <c r="P178" s="7">
        <v>0</v>
      </c>
      <c r="Q178" s="7">
        <v>-0.122</v>
      </c>
      <c r="R178" s="7">
        <v>0</v>
      </c>
      <c r="S178" s="7">
        <v>0</v>
      </c>
      <c r="T178" s="7">
        <v>-429.428</v>
      </c>
      <c r="U178" s="7">
        <v>0</v>
      </c>
      <c r="V178" s="7">
        <v>0</v>
      </c>
      <c r="W178" s="7">
        <v>0</v>
      </c>
      <c r="X178" s="7">
        <v>-123.40300000000001</v>
      </c>
      <c r="Y178" s="7">
        <v>0</v>
      </c>
      <c r="Z178" s="7">
        <v>-2875.5520000000001</v>
      </c>
      <c r="AA178" s="7">
        <v>0</v>
      </c>
      <c r="AB178" s="7">
        <v>0</v>
      </c>
      <c r="AC178" s="7">
        <v>-0.71</v>
      </c>
      <c r="AD178" s="7">
        <v>-256.91899999999998</v>
      </c>
      <c r="AE178" s="7">
        <v>0</v>
      </c>
      <c r="AF178" s="7">
        <v>-7200.3370000000004</v>
      </c>
      <c r="AG178" s="7">
        <v>-3546.44</v>
      </c>
      <c r="AH178" s="7">
        <v>0</v>
      </c>
      <c r="AI178" s="7">
        <v>-28625.460999999999</v>
      </c>
      <c r="AJ178" s="7">
        <v>-6253.5439999999999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-43.215000000000003</v>
      </c>
      <c r="AR178" s="7">
        <v>0</v>
      </c>
      <c r="AS178" s="7">
        <v>-1076.0889999999999</v>
      </c>
      <c r="AT178" s="7">
        <v>0</v>
      </c>
      <c r="AU178" s="7">
        <v>-4.4740000000000002</v>
      </c>
      <c r="AV178" s="7">
        <v>0</v>
      </c>
      <c r="AW178" s="7">
        <v>-31.768000000000001</v>
      </c>
      <c r="AX178" s="7">
        <v>0</v>
      </c>
      <c r="AY178" s="7">
        <v>0</v>
      </c>
      <c r="AZ178" s="7">
        <v>0</v>
      </c>
      <c r="BA178" s="7">
        <v>-4.149</v>
      </c>
      <c r="BB178" s="7">
        <v>-9.9369999999999994</v>
      </c>
      <c r="BC178" s="7">
        <v>0</v>
      </c>
      <c r="BD178" s="7">
        <v>-8.0790000000000006</v>
      </c>
      <c r="BE178" s="7">
        <v>0</v>
      </c>
      <c r="BF178" s="7">
        <v>-20.042999999999999</v>
      </c>
      <c r="BG178" s="7">
        <v>-1.1359999999999999</v>
      </c>
      <c r="BH178" s="7">
        <v>-9.4570000000000007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21"/>
    </row>
    <row r="179" spans="1:69" ht="15.75" x14ac:dyDescent="0.25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21"/>
    </row>
    <row r="180" spans="1:69" ht="15.75" x14ac:dyDescent="0.25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21"/>
    </row>
    <row r="181" spans="1:69" ht="15.75" x14ac:dyDescent="0.25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21"/>
    </row>
    <row r="182" spans="1:69" ht="15.75" x14ac:dyDescent="0.25">
      <c r="A182" s="5" t="s">
        <v>341</v>
      </c>
      <c r="B182" s="5" t="s">
        <v>342</v>
      </c>
      <c r="C182" s="7">
        <v>4</v>
      </c>
      <c r="D182" s="7">
        <v>4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21"/>
    </row>
    <row r="183" spans="1:69" ht="15.75" x14ac:dyDescent="0.25">
      <c r="A183" s="5" t="s">
        <v>323</v>
      </c>
      <c r="B183" s="5" t="s">
        <v>343</v>
      </c>
      <c r="C183" s="7">
        <v>6</v>
      </c>
      <c r="D183" s="7">
        <v>6</v>
      </c>
      <c r="E183" s="7">
        <v>47.862000000000002</v>
      </c>
      <c r="F183" s="7">
        <v>10.019</v>
      </c>
      <c r="G183" s="7">
        <v>0</v>
      </c>
      <c r="H183" s="7">
        <v>0</v>
      </c>
      <c r="I183" s="7">
        <v>0.51</v>
      </c>
      <c r="J183" s="7">
        <v>0</v>
      </c>
      <c r="K183" s="7">
        <v>0</v>
      </c>
      <c r="L183" s="7">
        <v>0</v>
      </c>
      <c r="M183" s="7">
        <v>119.08199999999999</v>
      </c>
      <c r="N183" s="7">
        <v>12.233000000000001</v>
      </c>
      <c r="O183" s="7">
        <v>0</v>
      </c>
      <c r="P183" s="7">
        <v>0</v>
      </c>
      <c r="Q183" s="7">
        <v>2E-3</v>
      </c>
      <c r="R183" s="7">
        <v>0</v>
      </c>
      <c r="S183" s="7">
        <v>0</v>
      </c>
      <c r="T183" s="7">
        <v>2.823</v>
      </c>
      <c r="U183" s="7">
        <v>0</v>
      </c>
      <c r="V183" s="7">
        <v>0</v>
      </c>
      <c r="W183" s="7">
        <v>0</v>
      </c>
      <c r="X183" s="7">
        <v>0.875</v>
      </c>
      <c r="Y183" s="7">
        <v>0</v>
      </c>
      <c r="Z183" s="7">
        <v>18.538</v>
      </c>
      <c r="AA183" s="7">
        <v>0</v>
      </c>
      <c r="AB183" s="7">
        <v>0</v>
      </c>
      <c r="AC183" s="7">
        <v>0</v>
      </c>
      <c r="AD183" s="7">
        <v>1.7190000000000001</v>
      </c>
      <c r="AE183" s="7">
        <v>0</v>
      </c>
      <c r="AF183" s="7">
        <v>46.031999999999996</v>
      </c>
      <c r="AG183" s="7">
        <v>23.783999999999999</v>
      </c>
      <c r="AH183" s="7">
        <v>0</v>
      </c>
      <c r="AI183" s="7">
        <v>195.11799999999999</v>
      </c>
      <c r="AJ183" s="7">
        <v>41.792000000000002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0.23400000000000001</v>
      </c>
      <c r="AR183" s="7">
        <v>0</v>
      </c>
      <c r="AS183" s="7">
        <v>7.2039999999999997</v>
      </c>
      <c r="AT183" s="7">
        <v>0</v>
      </c>
      <c r="AU183" s="7">
        <v>2.8000000000000001E-2</v>
      </c>
      <c r="AV183" s="7">
        <v>0</v>
      </c>
      <c r="AW183" s="7">
        <v>0.20100000000000001</v>
      </c>
      <c r="AX183" s="7">
        <v>0</v>
      </c>
      <c r="AY183" s="7">
        <v>0</v>
      </c>
      <c r="AZ183" s="7">
        <v>0</v>
      </c>
      <c r="BA183" s="7">
        <v>2.7E-2</v>
      </c>
      <c r="BB183" s="7">
        <v>0.189</v>
      </c>
      <c r="BC183" s="7">
        <v>0</v>
      </c>
      <c r="BD183" s="7">
        <v>5.7000000000000002E-2</v>
      </c>
      <c r="BE183" s="7">
        <v>0</v>
      </c>
      <c r="BF183" s="7">
        <v>0.38200000000000001</v>
      </c>
      <c r="BG183" s="7">
        <v>8.0000000000000002E-3</v>
      </c>
      <c r="BH183" s="7">
        <v>0.18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21"/>
    </row>
    <row r="184" spans="1:69" ht="15.75" x14ac:dyDescent="0.25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21"/>
    </row>
    <row r="185" spans="1:69" ht="15.75" x14ac:dyDescent="0.25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21"/>
    </row>
    <row r="186" spans="1:69" ht="15.75" x14ac:dyDescent="0.25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21"/>
    </row>
    <row r="187" spans="1:69" ht="15.75" x14ac:dyDescent="0.25">
      <c r="A187" s="5" t="s">
        <v>331</v>
      </c>
      <c r="B187" s="5" t="s">
        <v>347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21"/>
    </row>
    <row r="188" spans="1:69" ht="15.75" x14ac:dyDescent="0.25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21"/>
    </row>
    <row r="189" spans="1:69" ht="15.75" x14ac:dyDescent="0.25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21"/>
    </row>
    <row r="190" spans="1:69" ht="15.75" x14ac:dyDescent="0.25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21"/>
    </row>
    <row r="191" spans="1:69" ht="15.75" x14ac:dyDescent="0.25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21"/>
    </row>
    <row r="192" spans="1:69" ht="15.75" x14ac:dyDescent="0.25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21"/>
    </row>
    <row r="193" spans="1:69" ht="15.75" x14ac:dyDescent="0.25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21"/>
    </row>
    <row r="194" spans="1:69" ht="15.75" x14ac:dyDescent="0.25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21"/>
    </row>
    <row r="195" spans="1:69" ht="15.75" x14ac:dyDescent="0.25">
      <c r="A195" s="5" t="s">
        <v>357</v>
      </c>
      <c r="B195" s="5" t="s">
        <v>358</v>
      </c>
      <c r="C195" s="7">
        <v>6</v>
      </c>
      <c r="D195" s="7">
        <v>6</v>
      </c>
      <c r="E195" s="7">
        <v>38.796999999999997</v>
      </c>
      <c r="F195" s="7">
        <v>3.3980000000000001</v>
      </c>
      <c r="G195" s="7">
        <v>12.192</v>
      </c>
      <c r="H195" s="7">
        <v>0</v>
      </c>
      <c r="I195" s="7">
        <v>0.81200000000000006</v>
      </c>
      <c r="J195" s="7">
        <v>8.407</v>
      </c>
      <c r="K195" s="7">
        <v>0</v>
      </c>
      <c r="L195" s="7">
        <v>0</v>
      </c>
      <c r="M195" s="7">
        <v>10.102</v>
      </c>
      <c r="N195" s="7">
        <v>24.574000000000002</v>
      </c>
      <c r="O195" s="7">
        <v>0</v>
      </c>
      <c r="P195" s="7">
        <v>0</v>
      </c>
      <c r="Q195" s="7">
        <v>3.0000000000000001E-3</v>
      </c>
      <c r="R195" s="7">
        <v>0</v>
      </c>
      <c r="S195" s="7">
        <v>0</v>
      </c>
      <c r="T195" s="7">
        <v>1.5489999999999999</v>
      </c>
      <c r="U195" s="7">
        <v>0</v>
      </c>
      <c r="V195" s="7">
        <v>0</v>
      </c>
      <c r="W195" s="7">
        <v>0.75600000000000001</v>
      </c>
      <c r="X195" s="7">
        <v>2.302</v>
      </c>
      <c r="Y195" s="7">
        <v>0</v>
      </c>
      <c r="Z195" s="7">
        <v>3.597</v>
      </c>
      <c r="AA195" s="7">
        <v>0</v>
      </c>
      <c r="AB195" s="7">
        <v>9.7970000000000006</v>
      </c>
      <c r="AC195" s="7">
        <v>0</v>
      </c>
      <c r="AD195" s="7">
        <v>0.627</v>
      </c>
      <c r="AE195" s="7">
        <v>0</v>
      </c>
      <c r="AF195" s="7">
        <v>9.1720000000000006</v>
      </c>
      <c r="AG195" s="7">
        <v>0</v>
      </c>
      <c r="AH195" s="7">
        <v>0</v>
      </c>
      <c r="AI195" s="7">
        <v>43.048999999999999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0.124</v>
      </c>
      <c r="AR195" s="7">
        <v>0</v>
      </c>
      <c r="AS195" s="7">
        <v>0</v>
      </c>
      <c r="AT195" s="7">
        <v>0</v>
      </c>
      <c r="AU195" s="7">
        <v>5.0000000000000001E-3</v>
      </c>
      <c r="AV195" s="7">
        <v>0</v>
      </c>
      <c r="AW195" s="7">
        <v>0.29799999999999999</v>
      </c>
      <c r="AX195" s="7">
        <v>0</v>
      </c>
      <c r="AY195" s="7">
        <v>0</v>
      </c>
      <c r="AZ195" s="7">
        <v>0</v>
      </c>
      <c r="BA195" s="7">
        <v>0.06</v>
      </c>
      <c r="BB195" s="7">
        <v>0</v>
      </c>
      <c r="BC195" s="7">
        <v>0</v>
      </c>
      <c r="BD195" s="7">
        <v>2.5000000000000001E-2</v>
      </c>
      <c r="BE195" s="7">
        <v>0.11</v>
      </c>
      <c r="BF195" s="7">
        <v>0</v>
      </c>
      <c r="BG195" s="7">
        <v>3.0000000000000001E-3</v>
      </c>
      <c r="BH195" s="7">
        <v>0</v>
      </c>
      <c r="BI195" s="7">
        <v>0</v>
      </c>
      <c r="BJ195" s="7">
        <v>0.04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21"/>
    </row>
    <row r="196" spans="1:69" ht="15.75" x14ac:dyDescent="0.25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21"/>
    </row>
    <row r="197" spans="1:69" ht="15.75" x14ac:dyDescent="0.25">
      <c r="A197" s="5" t="s">
        <v>361</v>
      </c>
      <c r="B197" s="5" t="s">
        <v>362</v>
      </c>
      <c r="C197" s="7">
        <v>6</v>
      </c>
      <c r="D197" s="7">
        <v>6</v>
      </c>
      <c r="E197" s="7">
        <v>166.709</v>
      </c>
      <c r="F197" s="7">
        <v>0</v>
      </c>
      <c r="G197" s="7">
        <v>40.593000000000004</v>
      </c>
      <c r="H197" s="7">
        <v>0</v>
      </c>
      <c r="I197" s="7">
        <v>0</v>
      </c>
      <c r="J197" s="7">
        <v>70.608999999999995</v>
      </c>
      <c r="K197" s="7">
        <v>0</v>
      </c>
      <c r="L197" s="7">
        <v>0</v>
      </c>
      <c r="M197" s="7">
        <v>599.61500000000001</v>
      </c>
      <c r="N197" s="7">
        <v>86.944999999999993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514.01199999999994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21"/>
    </row>
    <row r="198" spans="1:69" ht="15.75" x14ac:dyDescent="0.25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21"/>
    </row>
    <row r="199" spans="1:69" ht="15.75" x14ac:dyDescent="0.25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21"/>
    </row>
    <row r="200" spans="1:69" ht="15.75" x14ac:dyDescent="0.25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21"/>
    </row>
    <row r="201" spans="1:69" ht="15.75" x14ac:dyDescent="0.25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21"/>
    </row>
    <row r="202" spans="1:69" ht="15.75" x14ac:dyDescent="0.25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21"/>
    </row>
    <row r="203" spans="1:69" ht="15.75" x14ac:dyDescent="0.25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21"/>
    </row>
    <row r="204" spans="1:69" ht="15.75" x14ac:dyDescent="0.25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21"/>
    </row>
    <row r="205" spans="1:69" ht="15.75" x14ac:dyDescent="0.25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21"/>
    </row>
    <row r="206" spans="1:69" ht="15.75" x14ac:dyDescent="0.25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21"/>
    </row>
    <row r="207" spans="1:69" ht="15.75" x14ac:dyDescent="0.25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21"/>
    </row>
    <row r="208" spans="1:69" ht="15.75" x14ac:dyDescent="0.25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21"/>
    </row>
    <row r="209" spans="1:69" ht="15.75" x14ac:dyDescent="0.25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21"/>
    </row>
    <row r="210" spans="1:69" ht="15.75" x14ac:dyDescent="0.25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21"/>
    </row>
    <row r="211" spans="1:69" ht="15.75" x14ac:dyDescent="0.25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21"/>
    </row>
    <row r="212" spans="1:69" ht="15.75" x14ac:dyDescent="0.25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21"/>
    </row>
    <row r="213" spans="1:69" ht="15.75" x14ac:dyDescent="0.25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21"/>
    </row>
    <row r="214" spans="1:69" ht="15.75" x14ac:dyDescent="0.25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21"/>
    </row>
    <row r="215" spans="1:69" ht="15.75" x14ac:dyDescent="0.25">
      <c r="A215" s="5" t="s">
        <v>353</v>
      </c>
      <c r="B215" s="5" t="s">
        <v>397</v>
      </c>
      <c r="C215" s="7">
        <v>6</v>
      </c>
      <c r="D215" s="7">
        <v>6</v>
      </c>
      <c r="E215" s="7">
        <v>1455.7470000000001</v>
      </c>
      <c r="F215" s="7">
        <v>133.97800000000001</v>
      </c>
      <c r="G215" s="7">
        <v>197.23699999999999</v>
      </c>
      <c r="H215" s="7">
        <v>2.8170000000000002</v>
      </c>
      <c r="I215" s="7">
        <v>33.642000000000003</v>
      </c>
      <c r="J215" s="7">
        <v>118.104</v>
      </c>
      <c r="K215" s="7">
        <v>0</v>
      </c>
      <c r="L215" s="7">
        <v>0</v>
      </c>
      <c r="M215" s="7">
        <v>1072.6969999999999</v>
      </c>
      <c r="N215" s="7">
        <v>530.97900000000004</v>
      </c>
      <c r="O215" s="7">
        <v>0</v>
      </c>
      <c r="P215" s="7">
        <v>0</v>
      </c>
      <c r="Q215" s="7">
        <v>6.2619999999999996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16.614000000000001</v>
      </c>
      <c r="X215" s="7">
        <v>51.011000000000003</v>
      </c>
      <c r="Y215" s="7">
        <v>0</v>
      </c>
      <c r="Z215" s="7">
        <v>403.20600000000002</v>
      </c>
      <c r="AA215" s="7">
        <v>0</v>
      </c>
      <c r="AB215" s="7">
        <v>142.15799999999999</v>
      </c>
      <c r="AC215" s="7">
        <v>0</v>
      </c>
      <c r="AD215" s="7">
        <v>21.344000000000001</v>
      </c>
      <c r="AE215" s="7">
        <v>0</v>
      </c>
      <c r="AF215" s="7">
        <v>1281.279</v>
      </c>
      <c r="AG215" s="7">
        <v>0</v>
      </c>
      <c r="AH215" s="7">
        <v>0</v>
      </c>
      <c r="AI215" s="7">
        <v>3049.3420000000001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21"/>
    </row>
    <row r="216" spans="1:69" ht="15.75" x14ac:dyDescent="0.25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21"/>
    </row>
    <row r="217" spans="1:69" ht="15.75" x14ac:dyDescent="0.25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21"/>
    </row>
    <row r="218" spans="1:69" ht="15.75" x14ac:dyDescent="0.25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21"/>
    </row>
    <row r="219" spans="1:69" ht="15.75" x14ac:dyDescent="0.25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21"/>
    </row>
    <row r="220" spans="1:69" ht="15.75" x14ac:dyDescent="0.25">
      <c r="A220" s="5" t="s">
        <v>363</v>
      </c>
      <c r="B220" s="5" t="s">
        <v>402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-2E-3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21"/>
    </row>
    <row r="221" spans="1:69" ht="15.75" x14ac:dyDescent="0.25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21"/>
    </row>
    <row r="222" spans="1:69" ht="15.75" x14ac:dyDescent="0.25">
      <c r="A222" s="5" t="s">
        <v>367</v>
      </c>
      <c r="B222" s="5" t="s">
        <v>404</v>
      </c>
      <c r="C222" s="7">
        <v>6</v>
      </c>
      <c r="D222" s="7">
        <v>6</v>
      </c>
      <c r="E222" s="7">
        <v>20100.609</v>
      </c>
      <c r="F222" s="7">
        <v>4207.6809999999996</v>
      </c>
      <c r="G222" s="7">
        <v>0</v>
      </c>
      <c r="H222" s="7">
        <v>0</v>
      </c>
      <c r="I222" s="7">
        <v>214.19900000000001</v>
      </c>
      <c r="J222" s="7">
        <v>0</v>
      </c>
      <c r="K222" s="7">
        <v>0</v>
      </c>
      <c r="L222" s="7">
        <v>0</v>
      </c>
      <c r="M222" s="7">
        <v>50010.336000000003</v>
      </c>
      <c r="N222" s="7">
        <v>5137.6419999999998</v>
      </c>
      <c r="O222" s="7">
        <v>0</v>
      </c>
      <c r="P222" s="7">
        <v>0</v>
      </c>
      <c r="Q222" s="7">
        <v>0.97899999999999998</v>
      </c>
      <c r="R222" s="7">
        <v>0</v>
      </c>
      <c r="S222" s="7">
        <v>0</v>
      </c>
      <c r="T222" s="7">
        <v>1185.58</v>
      </c>
      <c r="U222" s="7">
        <v>0</v>
      </c>
      <c r="V222" s="7">
        <v>0</v>
      </c>
      <c r="W222" s="7">
        <v>0</v>
      </c>
      <c r="X222" s="7">
        <v>367.49099999999999</v>
      </c>
      <c r="Y222" s="7">
        <v>0</v>
      </c>
      <c r="Z222" s="7">
        <v>7785.424</v>
      </c>
      <c r="AA222" s="7">
        <v>0</v>
      </c>
      <c r="AB222" s="7">
        <v>0</v>
      </c>
      <c r="AC222" s="7">
        <v>0</v>
      </c>
      <c r="AD222" s="7">
        <v>721.76700000000005</v>
      </c>
      <c r="AE222" s="7">
        <v>0</v>
      </c>
      <c r="AF222" s="7">
        <v>19331.732</v>
      </c>
      <c r="AG222" s="7">
        <v>9988.2790000000005</v>
      </c>
      <c r="AH222" s="7">
        <v>0</v>
      </c>
      <c r="AI222" s="7">
        <v>81942.952000000005</v>
      </c>
      <c r="AJ222" s="7">
        <v>17551.062000000002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98.436000000000007</v>
      </c>
      <c r="AR222" s="7">
        <v>0</v>
      </c>
      <c r="AS222" s="7">
        <v>3025.3359999999998</v>
      </c>
      <c r="AT222" s="7">
        <v>0</v>
      </c>
      <c r="AU222" s="7">
        <v>11.664</v>
      </c>
      <c r="AV222" s="7">
        <v>0</v>
      </c>
      <c r="AW222" s="7">
        <v>84.430999999999997</v>
      </c>
      <c r="AX222" s="7">
        <v>0</v>
      </c>
      <c r="AY222" s="7">
        <v>0</v>
      </c>
      <c r="AZ222" s="7">
        <v>0</v>
      </c>
      <c r="BA222" s="7">
        <v>11.281000000000001</v>
      </c>
      <c r="BB222" s="7">
        <v>79.488</v>
      </c>
      <c r="BC222" s="7">
        <v>0</v>
      </c>
      <c r="BD222" s="7">
        <v>24.001999999999999</v>
      </c>
      <c r="BE222" s="7">
        <v>0</v>
      </c>
      <c r="BF222" s="7">
        <v>160.34100000000001</v>
      </c>
      <c r="BG222" s="7">
        <v>3.3069999999999999</v>
      </c>
      <c r="BH222" s="7">
        <v>75.659000000000006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21"/>
    </row>
    <row r="223" spans="1:69" ht="15.75" x14ac:dyDescent="0.25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21"/>
    </row>
    <row r="224" spans="1:69" ht="15.75" x14ac:dyDescent="0.25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21"/>
    </row>
    <row r="225" spans="1:69" ht="15.75" x14ac:dyDescent="0.25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21"/>
    </row>
    <row r="226" spans="1:69" ht="15.75" x14ac:dyDescent="0.25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21"/>
    </row>
    <row r="227" spans="1:69" ht="15.75" x14ac:dyDescent="0.25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21"/>
    </row>
    <row r="228" spans="1:69" ht="15.75" x14ac:dyDescent="0.25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21"/>
    </row>
    <row r="229" spans="1:69" ht="15.75" x14ac:dyDescent="0.25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21"/>
    </row>
    <row r="230" spans="1:69" ht="15.75" x14ac:dyDescent="0.25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21"/>
    </row>
    <row r="231" spans="1:69" ht="15.75" x14ac:dyDescent="0.25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21"/>
    </row>
    <row r="232" spans="1:69" ht="15.75" x14ac:dyDescent="0.25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21"/>
    </row>
    <row r="233" spans="1:69" ht="15.75" x14ac:dyDescent="0.25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21"/>
    </row>
    <row r="234" spans="1:69" ht="15.75" x14ac:dyDescent="0.25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21"/>
    </row>
    <row r="235" spans="1:69" ht="15.75" x14ac:dyDescent="0.25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21"/>
    </row>
    <row r="236" spans="1:69" ht="15.75" x14ac:dyDescent="0.25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21"/>
    </row>
    <row r="237" spans="1:69" ht="15.75" x14ac:dyDescent="0.25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21"/>
    </row>
    <row r="238" spans="1:69" ht="15.75" x14ac:dyDescent="0.25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21"/>
    </row>
    <row r="239" spans="1:69" ht="15.75" x14ac:dyDescent="0.25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21"/>
    </row>
    <row r="240" spans="1:69" ht="15.75" x14ac:dyDescent="0.25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21"/>
    </row>
    <row r="241" spans="1:69" ht="15.75" x14ac:dyDescent="0.25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21"/>
    </row>
    <row r="242" spans="1:69" ht="15.75" x14ac:dyDescent="0.25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21"/>
    </row>
    <row r="243" spans="1:69" ht="15.75" x14ac:dyDescent="0.25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21"/>
    </row>
    <row r="244" spans="1:69" ht="15.75" x14ac:dyDescent="0.25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21"/>
    </row>
    <row r="245" spans="1:69" ht="15.75" x14ac:dyDescent="0.25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21"/>
    </row>
    <row r="246" spans="1:69" ht="15.75" x14ac:dyDescent="0.25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21"/>
    </row>
    <row r="247" spans="1:69" ht="15.75" x14ac:dyDescent="0.25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21"/>
    </row>
    <row r="248" spans="1:69" ht="15.75" x14ac:dyDescent="0.25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21"/>
    </row>
    <row r="249" spans="1:69" ht="15.75" x14ac:dyDescent="0.25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21"/>
    </row>
    <row r="250" spans="1:69" ht="15.75" x14ac:dyDescent="0.25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21"/>
    </row>
    <row r="251" spans="1:69" ht="15.75" x14ac:dyDescent="0.25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21"/>
    </row>
    <row r="252" spans="1:69" ht="15.75" x14ac:dyDescent="0.25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21"/>
    </row>
    <row r="253" spans="1:69" ht="15.75" x14ac:dyDescent="0.25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21"/>
    </row>
    <row r="254" spans="1:69" ht="15.75" x14ac:dyDescent="0.25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21"/>
    </row>
    <row r="255" spans="1:69" ht="15.75" x14ac:dyDescent="0.25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21"/>
    </row>
    <row r="256" spans="1:69" ht="15.75" x14ac:dyDescent="0.25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21"/>
    </row>
    <row r="257" spans="1:69" ht="15.75" x14ac:dyDescent="0.25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21"/>
    </row>
    <row r="258" spans="1:69" ht="15.75" x14ac:dyDescent="0.25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519.64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407.71800000000002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21"/>
    </row>
    <row r="259" spans="1:69" ht="15.75" x14ac:dyDescent="0.25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7.0000000000000001E-3</v>
      </c>
      <c r="J259" s="7">
        <v>0</v>
      </c>
      <c r="K259" s="7">
        <v>0</v>
      </c>
      <c r="L259" s="7">
        <v>0</v>
      </c>
      <c r="M259" s="7">
        <v>0.04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4.4999999999999998E-2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21"/>
    </row>
    <row r="260" spans="1:69" ht="15.75" x14ac:dyDescent="0.25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21"/>
    </row>
    <row r="261" spans="1:69" ht="15.75" x14ac:dyDescent="0.25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21"/>
    </row>
    <row r="262" spans="1:69" ht="15.75" x14ac:dyDescent="0.25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21"/>
    </row>
    <row r="263" spans="1:69" ht="15.75" x14ac:dyDescent="0.25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21"/>
    </row>
    <row r="264" spans="1:69" ht="15.75" x14ac:dyDescent="0.25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21"/>
    </row>
    <row r="265" spans="1:69" ht="15.75" x14ac:dyDescent="0.25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21"/>
    </row>
    <row r="266" spans="1:69" ht="15.75" x14ac:dyDescent="0.25">
      <c r="A266" s="5" t="s">
        <v>433</v>
      </c>
      <c r="B266" s="5" t="s">
        <v>470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21"/>
    </row>
    <row r="267" spans="1:69" ht="15.75" x14ac:dyDescent="0.25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21"/>
    </row>
    <row r="268" spans="1:69" ht="15.75" x14ac:dyDescent="0.25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21"/>
    </row>
    <row r="269" spans="1:69" ht="15.75" x14ac:dyDescent="0.25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21"/>
    </row>
    <row r="270" spans="1:69" ht="15.75" x14ac:dyDescent="0.25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21"/>
    </row>
    <row r="271" spans="1:69" ht="15.75" x14ac:dyDescent="0.25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21"/>
    </row>
    <row r="272" spans="1:69" ht="15.75" x14ac:dyDescent="0.25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21"/>
    </row>
    <row r="273" spans="1:69" ht="15.75" x14ac:dyDescent="0.25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21"/>
    </row>
    <row r="274" spans="1:69" ht="15.75" x14ac:dyDescent="0.25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21"/>
    </row>
    <row r="275" spans="1:69" ht="15.75" x14ac:dyDescent="0.25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21"/>
    </row>
    <row r="276" spans="1:69" ht="15.75" x14ac:dyDescent="0.25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21"/>
    </row>
    <row r="277" spans="1:69" ht="15.75" x14ac:dyDescent="0.25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21"/>
    </row>
    <row r="278" spans="1:69" ht="15.75" x14ac:dyDescent="0.25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21"/>
    </row>
    <row r="279" spans="1:69" ht="15.75" x14ac:dyDescent="0.25">
      <c r="A279" s="5" t="s">
        <v>459</v>
      </c>
      <c r="B279" s="5" t="s">
        <v>483</v>
      </c>
      <c r="C279" s="7">
        <v>6</v>
      </c>
      <c r="D279" s="7">
        <v>6</v>
      </c>
      <c r="E279" s="7">
        <v>4532.393</v>
      </c>
      <c r="F279" s="7">
        <v>2298.723</v>
      </c>
      <c r="G279" s="7">
        <v>172.15</v>
      </c>
      <c r="H279" s="7">
        <v>379.57900000000001</v>
      </c>
      <c r="I279" s="7">
        <v>316.589</v>
      </c>
      <c r="J279" s="7">
        <v>1828.2090000000001</v>
      </c>
      <c r="K279" s="7">
        <v>0</v>
      </c>
      <c r="L279" s="7">
        <v>0</v>
      </c>
      <c r="M279" s="7">
        <v>5709.3270000000002</v>
      </c>
      <c r="N279" s="7">
        <v>4227.1350000000002</v>
      </c>
      <c r="O279" s="7">
        <v>0</v>
      </c>
      <c r="P279" s="7">
        <v>0</v>
      </c>
      <c r="Q279" s="7">
        <v>0.01</v>
      </c>
      <c r="R279" s="7">
        <v>0</v>
      </c>
      <c r="S279" s="7">
        <v>0</v>
      </c>
      <c r="T279" s="7">
        <v>968.25</v>
      </c>
      <c r="U279" s="7">
        <v>0</v>
      </c>
      <c r="V279" s="7">
        <v>0</v>
      </c>
      <c r="W279" s="7">
        <v>167.745</v>
      </c>
      <c r="X279" s="7">
        <v>93.415000000000006</v>
      </c>
      <c r="Y279" s="7">
        <v>0</v>
      </c>
      <c r="Z279" s="7">
        <v>0.17899999999999999</v>
      </c>
      <c r="AA279" s="7">
        <v>0</v>
      </c>
      <c r="AB279" s="7">
        <v>3766.78</v>
      </c>
      <c r="AC279" s="7">
        <v>0</v>
      </c>
      <c r="AD279" s="7">
        <v>432.33300000000003</v>
      </c>
      <c r="AE279" s="7">
        <v>0</v>
      </c>
      <c r="AF279" s="7">
        <v>7.9509999999999996</v>
      </c>
      <c r="AG279" s="7">
        <v>45.12</v>
      </c>
      <c r="AH279" s="7">
        <v>0</v>
      </c>
      <c r="AI279" s="7">
        <v>15791.092000000001</v>
      </c>
      <c r="AJ279" s="7">
        <v>1.121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117.35899999999999</v>
      </c>
      <c r="AR279" s="7">
        <v>0</v>
      </c>
      <c r="AS279" s="7">
        <v>6.327</v>
      </c>
      <c r="AT279" s="7">
        <v>0</v>
      </c>
      <c r="AU279" s="7">
        <v>3.4390000000000001</v>
      </c>
      <c r="AV279" s="7">
        <v>0</v>
      </c>
      <c r="AW279" s="7">
        <v>0.46800000000000003</v>
      </c>
      <c r="AX279" s="7">
        <v>0</v>
      </c>
      <c r="AY279" s="7">
        <v>0</v>
      </c>
      <c r="AZ279" s="7">
        <v>0</v>
      </c>
      <c r="BA279" s="7">
        <v>50.381</v>
      </c>
      <c r="BB279" s="7">
        <v>0</v>
      </c>
      <c r="BC279" s="7">
        <v>0</v>
      </c>
      <c r="BD279" s="7">
        <v>20.477</v>
      </c>
      <c r="BE279" s="7">
        <v>88.495000000000005</v>
      </c>
      <c r="BF279" s="7">
        <v>0</v>
      </c>
      <c r="BG279" s="7">
        <v>3.0030000000000001</v>
      </c>
      <c r="BH279" s="7">
        <v>0</v>
      </c>
      <c r="BI279" s="7">
        <v>0</v>
      </c>
      <c r="BJ279" s="7">
        <v>31.356000000000002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21"/>
    </row>
    <row r="280" spans="1:69" ht="15.75" x14ac:dyDescent="0.25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21"/>
    </row>
    <row r="281" spans="1:69" ht="15.75" x14ac:dyDescent="0.25">
      <c r="A281" s="5" t="s">
        <v>485</v>
      </c>
      <c r="B281" s="5" t="s">
        <v>486</v>
      </c>
      <c r="C281" s="7">
        <v>5</v>
      </c>
      <c r="D281" s="7">
        <v>5</v>
      </c>
      <c r="E281" s="7">
        <v>139181.74799999999</v>
      </c>
      <c r="F281" s="7">
        <v>0</v>
      </c>
      <c r="G281" s="7">
        <v>14618.621999999999</v>
      </c>
      <c r="H281" s="7">
        <v>495.01400000000001</v>
      </c>
      <c r="I281" s="7">
        <v>0</v>
      </c>
      <c r="J281" s="7">
        <v>23483.674999999999</v>
      </c>
      <c r="K281" s="7">
        <v>0</v>
      </c>
      <c r="L281" s="7">
        <v>6804.2309999999998</v>
      </c>
      <c r="M281" s="7">
        <v>173582.024</v>
      </c>
      <c r="N281" s="7">
        <v>141114.80100000001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2529.0729999999999</v>
      </c>
      <c r="W281" s="7">
        <v>691.21900000000005</v>
      </c>
      <c r="X281" s="7">
        <v>4538.9189999999999</v>
      </c>
      <c r="Y281" s="7">
        <v>0</v>
      </c>
      <c r="Z281" s="7">
        <v>35568.974000000002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87120.611000000004</v>
      </c>
      <c r="AG281" s="7">
        <v>13448.433000000001</v>
      </c>
      <c r="AH281" s="7">
        <v>3079.4940000000001</v>
      </c>
      <c r="AI281" s="7">
        <v>575672.74199999997</v>
      </c>
      <c r="AJ281" s="7">
        <v>124092.22199999999</v>
      </c>
      <c r="AK281" s="7">
        <v>24.876999999999999</v>
      </c>
      <c r="AL281" s="7">
        <v>33.691000000000003</v>
      </c>
      <c r="AM281" s="7">
        <v>0</v>
      </c>
      <c r="AN281" s="7">
        <v>116.35599999999999</v>
      </c>
      <c r="AO281" s="7">
        <v>543.25400000000002</v>
      </c>
      <c r="AP281" s="7">
        <v>636.41</v>
      </c>
      <c r="AQ281" s="7">
        <v>0</v>
      </c>
      <c r="AR281" s="7">
        <v>0</v>
      </c>
      <c r="AS281" s="7">
        <v>4235.3280000000004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21"/>
    </row>
    <row r="282" spans="1:69" ht="15.75" x14ac:dyDescent="0.25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21"/>
    </row>
    <row r="283" spans="1:69" ht="15.75" x14ac:dyDescent="0.25">
      <c r="A283" s="5" t="s">
        <v>489</v>
      </c>
      <c r="B283" s="5" t="s">
        <v>490</v>
      </c>
      <c r="C283" s="7">
        <v>5</v>
      </c>
      <c r="D283" s="7">
        <v>5</v>
      </c>
      <c r="E283" s="7">
        <v>17777.485000000001</v>
      </c>
      <c r="F283" s="7">
        <v>1648.377</v>
      </c>
      <c r="G283" s="7">
        <v>2358.0210000000002</v>
      </c>
      <c r="H283" s="7">
        <v>0</v>
      </c>
      <c r="I283" s="7">
        <v>413.90499999999997</v>
      </c>
      <c r="J283" s="7">
        <v>1438.643</v>
      </c>
      <c r="K283" s="7">
        <v>0</v>
      </c>
      <c r="L283" s="7">
        <v>0</v>
      </c>
      <c r="M283" s="7">
        <v>13062.484</v>
      </c>
      <c r="N283" s="7">
        <v>6413.5870000000004</v>
      </c>
      <c r="O283" s="7">
        <v>0</v>
      </c>
      <c r="P283" s="7">
        <v>0</v>
      </c>
      <c r="Q283" s="7">
        <v>77.040999999999997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204.405</v>
      </c>
      <c r="X283" s="7">
        <v>627.60400000000004</v>
      </c>
      <c r="Y283" s="7">
        <v>0</v>
      </c>
      <c r="Z283" s="7">
        <v>4960.7719999999999</v>
      </c>
      <c r="AA283" s="7">
        <v>0</v>
      </c>
      <c r="AB283" s="7">
        <v>1749.018</v>
      </c>
      <c r="AC283" s="7">
        <v>0</v>
      </c>
      <c r="AD283" s="7">
        <v>262.59800000000001</v>
      </c>
      <c r="AE283" s="7">
        <v>0</v>
      </c>
      <c r="AF283" s="7">
        <v>15763.975</v>
      </c>
      <c r="AG283" s="7">
        <v>0</v>
      </c>
      <c r="AH283" s="7">
        <v>0</v>
      </c>
      <c r="AI283" s="7">
        <v>37325.955000000002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21"/>
    </row>
    <row r="284" spans="1:69" ht="15.75" x14ac:dyDescent="0.25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21"/>
    </row>
    <row r="285" spans="1:69" ht="15.75" x14ac:dyDescent="0.25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21"/>
    </row>
    <row r="286" spans="1:69" ht="15.75" x14ac:dyDescent="0.25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21"/>
    </row>
    <row r="287" spans="1:69" ht="15.75" x14ac:dyDescent="0.25">
      <c r="A287" s="5" t="s">
        <v>497</v>
      </c>
      <c r="B287" s="5" t="s">
        <v>498</v>
      </c>
      <c r="C287" s="7">
        <v>5</v>
      </c>
      <c r="D287" s="7">
        <v>5</v>
      </c>
      <c r="E287" s="7">
        <v>67916.058000000005</v>
      </c>
      <c r="F287" s="7">
        <v>6530.5029999999997</v>
      </c>
      <c r="G287" s="7">
        <v>10445.392</v>
      </c>
      <c r="H287" s="7">
        <v>0</v>
      </c>
      <c r="I287" s="7">
        <v>1700.856</v>
      </c>
      <c r="J287" s="7">
        <v>5937.2439999999997</v>
      </c>
      <c r="K287" s="7">
        <v>0</v>
      </c>
      <c r="L287" s="7">
        <v>0</v>
      </c>
      <c r="M287" s="7">
        <v>62897.641000000003</v>
      </c>
      <c r="N287" s="7">
        <v>28623.892</v>
      </c>
      <c r="O287" s="7">
        <v>0</v>
      </c>
      <c r="P287" s="7">
        <v>0</v>
      </c>
      <c r="Q287" s="7">
        <v>342.767</v>
      </c>
      <c r="R287" s="7">
        <v>0</v>
      </c>
      <c r="S287" s="7">
        <v>0</v>
      </c>
      <c r="T287" s="7">
        <v>0.16300000000000001</v>
      </c>
      <c r="U287" s="7">
        <v>0</v>
      </c>
      <c r="V287" s="7">
        <v>0</v>
      </c>
      <c r="W287" s="7">
        <v>662.23800000000006</v>
      </c>
      <c r="X287" s="7">
        <v>2033.2560000000001</v>
      </c>
      <c r="Y287" s="7">
        <v>0</v>
      </c>
      <c r="Z287" s="7">
        <v>17117.226999999999</v>
      </c>
      <c r="AA287" s="7">
        <v>0</v>
      </c>
      <c r="AB287" s="7">
        <v>5666.4380000000001</v>
      </c>
      <c r="AC287" s="7">
        <v>0</v>
      </c>
      <c r="AD287" s="7">
        <v>850.74900000000002</v>
      </c>
      <c r="AE287" s="7">
        <v>0</v>
      </c>
      <c r="AF287" s="7">
        <v>55231.856</v>
      </c>
      <c r="AG287" s="7">
        <v>0</v>
      </c>
      <c r="AH287" s="7">
        <v>0</v>
      </c>
      <c r="AI287" s="7">
        <v>159616.679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8.0000000000000002E-3</v>
      </c>
      <c r="AR287" s="7">
        <v>0</v>
      </c>
      <c r="AS287" s="7">
        <v>0</v>
      </c>
      <c r="AT287" s="7">
        <v>0</v>
      </c>
      <c r="AU287" s="7">
        <v>2E-3</v>
      </c>
      <c r="AV287" s="7">
        <v>0</v>
      </c>
      <c r="AW287" s="7">
        <v>4.4999999999999998E-2</v>
      </c>
      <c r="AX287" s="7">
        <v>0</v>
      </c>
      <c r="AY287" s="7">
        <v>0</v>
      </c>
      <c r="AZ287" s="7">
        <v>0</v>
      </c>
      <c r="BA287" s="7">
        <v>4.0000000000000001E-3</v>
      </c>
      <c r="BB287" s="7">
        <v>0</v>
      </c>
      <c r="BC287" s="7">
        <v>0</v>
      </c>
      <c r="BD287" s="7">
        <v>2E-3</v>
      </c>
      <c r="BE287" s="7">
        <v>7.0000000000000001E-3</v>
      </c>
      <c r="BF287" s="7">
        <v>0</v>
      </c>
      <c r="BG287" s="7">
        <v>0</v>
      </c>
      <c r="BH287" s="7">
        <v>0</v>
      </c>
      <c r="BI287" s="7">
        <v>0</v>
      </c>
      <c r="BJ287" s="7">
        <v>3.0000000000000001E-3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21"/>
    </row>
    <row r="288" spans="1:69" ht="15.75" x14ac:dyDescent="0.25">
      <c r="A288" s="5" t="s">
        <v>499</v>
      </c>
      <c r="B288" s="5" t="s">
        <v>500</v>
      </c>
      <c r="C288" s="7">
        <v>5</v>
      </c>
      <c r="D288" s="7">
        <v>5</v>
      </c>
      <c r="E288" s="7">
        <v>194362.15599999999</v>
      </c>
      <c r="F288" s="7">
        <v>19341.121999999999</v>
      </c>
      <c r="G288" s="7">
        <v>29057.593000000001</v>
      </c>
      <c r="H288" s="7">
        <v>14455.75</v>
      </c>
      <c r="I288" s="7">
        <v>5105.1880000000001</v>
      </c>
      <c r="J288" s="7">
        <v>17156.039000000001</v>
      </c>
      <c r="K288" s="7">
        <v>0</v>
      </c>
      <c r="L288" s="7">
        <v>0</v>
      </c>
      <c r="M288" s="7">
        <v>150684.198</v>
      </c>
      <c r="N288" s="7">
        <v>77869.464999999997</v>
      </c>
      <c r="O288" s="7">
        <v>0</v>
      </c>
      <c r="P288" s="7">
        <v>0</v>
      </c>
      <c r="Q288" s="7">
        <v>946.654</v>
      </c>
      <c r="R288" s="7">
        <v>0</v>
      </c>
      <c r="S288" s="7">
        <v>54.46</v>
      </c>
      <c r="T288" s="7">
        <v>0</v>
      </c>
      <c r="U288" s="7">
        <v>0</v>
      </c>
      <c r="V288" s="7">
        <v>0</v>
      </c>
      <c r="W288" s="7">
        <v>2048.46</v>
      </c>
      <c r="X288" s="7">
        <v>6376.8680000000004</v>
      </c>
      <c r="Y288" s="7">
        <v>0</v>
      </c>
      <c r="Z288" s="7">
        <v>50063.847000000002</v>
      </c>
      <c r="AA288" s="7">
        <v>0</v>
      </c>
      <c r="AB288" s="7">
        <v>17804.817999999999</v>
      </c>
      <c r="AC288" s="7">
        <v>0</v>
      </c>
      <c r="AD288" s="7">
        <v>2631.6390000000001</v>
      </c>
      <c r="AE288" s="7">
        <v>0</v>
      </c>
      <c r="AF288" s="7">
        <v>159725.323</v>
      </c>
      <c r="AG288" s="7">
        <v>0</v>
      </c>
      <c r="AH288" s="7">
        <v>0</v>
      </c>
      <c r="AI288" s="7">
        <v>404206.76799999998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50.673000000000002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21"/>
    </row>
    <row r="289" spans="1:69" ht="15.75" x14ac:dyDescent="0.25">
      <c r="A289" s="5" t="s">
        <v>501</v>
      </c>
      <c r="B289" s="5" t="s">
        <v>502</v>
      </c>
      <c r="C289" s="7">
        <v>5</v>
      </c>
      <c r="D289" s="7">
        <v>5</v>
      </c>
      <c r="E289" s="7">
        <v>1839.578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5725.2759999999998</v>
      </c>
      <c r="N289" s="7">
        <v>229.947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2307.6849999999999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4607.1570000000002</v>
      </c>
      <c r="AG289" s="7">
        <v>0</v>
      </c>
      <c r="AH289" s="7">
        <v>0</v>
      </c>
      <c r="AI289" s="7">
        <v>10878.627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21"/>
    </row>
    <row r="290" spans="1:69" ht="15.75" x14ac:dyDescent="0.25">
      <c r="A290" s="5" t="s">
        <v>503</v>
      </c>
      <c r="B290" s="5" t="s">
        <v>504</v>
      </c>
      <c r="C290" s="7">
        <v>5</v>
      </c>
      <c r="D290" s="7">
        <v>5</v>
      </c>
      <c r="E290" s="7">
        <v>43357.046000000002</v>
      </c>
      <c r="F290" s="7">
        <v>3708.1320000000001</v>
      </c>
      <c r="G290" s="7">
        <v>5304.5209999999997</v>
      </c>
      <c r="H290" s="7">
        <v>102.61499999999999</v>
      </c>
      <c r="I290" s="7">
        <v>931.10599999999999</v>
      </c>
      <c r="J290" s="7">
        <v>3236.3220000000001</v>
      </c>
      <c r="K290" s="7">
        <v>0</v>
      </c>
      <c r="L290" s="7">
        <v>0</v>
      </c>
      <c r="M290" s="7">
        <v>36590.163999999997</v>
      </c>
      <c r="N290" s="7">
        <v>15539.462</v>
      </c>
      <c r="O290" s="7">
        <v>0</v>
      </c>
      <c r="P290" s="7">
        <v>0</v>
      </c>
      <c r="Q290" s="7">
        <v>173.30799999999999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459.82299999999998</v>
      </c>
      <c r="X290" s="7">
        <v>1411.837</v>
      </c>
      <c r="Y290" s="7">
        <v>0</v>
      </c>
      <c r="Z290" s="7">
        <v>13797.618</v>
      </c>
      <c r="AA290" s="7">
        <v>0</v>
      </c>
      <c r="AB290" s="7">
        <v>3934.53</v>
      </c>
      <c r="AC290" s="7">
        <v>0</v>
      </c>
      <c r="AD290" s="7">
        <v>590.73099999999999</v>
      </c>
      <c r="AE290" s="7">
        <v>0</v>
      </c>
      <c r="AF290" s="7">
        <v>40728.779000000002</v>
      </c>
      <c r="AG290" s="7">
        <v>0</v>
      </c>
      <c r="AH290" s="7">
        <v>0</v>
      </c>
      <c r="AI290" s="7">
        <v>95993.595000000001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21"/>
    </row>
    <row r="291" spans="1:69" ht="15.75" x14ac:dyDescent="0.25">
      <c r="A291" s="5" t="s">
        <v>505</v>
      </c>
      <c r="B291" s="5" t="s">
        <v>506</v>
      </c>
      <c r="C291" s="7">
        <v>5</v>
      </c>
      <c r="D291" s="7">
        <v>5</v>
      </c>
      <c r="E291" s="7">
        <v>48326.044999999998</v>
      </c>
      <c r="F291" s="7">
        <v>1111.0709999999999</v>
      </c>
      <c r="G291" s="7">
        <v>1589.3989999999999</v>
      </c>
      <c r="H291" s="7">
        <v>9441.8289999999997</v>
      </c>
      <c r="I291" s="7">
        <v>278.988</v>
      </c>
      <c r="J291" s="7">
        <v>969.702</v>
      </c>
      <c r="K291" s="7">
        <v>0</v>
      </c>
      <c r="L291" s="7">
        <v>0</v>
      </c>
      <c r="M291" s="7">
        <v>61955.788</v>
      </c>
      <c r="N291" s="7">
        <v>13339.234</v>
      </c>
      <c r="O291" s="7">
        <v>0</v>
      </c>
      <c r="P291" s="7">
        <v>0</v>
      </c>
      <c r="Q291" s="7">
        <v>51.927999999999997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137.77699999999999</v>
      </c>
      <c r="X291" s="7">
        <v>423.03</v>
      </c>
      <c r="Y291" s="7">
        <v>0</v>
      </c>
      <c r="Z291" s="7">
        <v>17185.508999999998</v>
      </c>
      <c r="AA291" s="7">
        <v>0</v>
      </c>
      <c r="AB291" s="7">
        <v>1178.9069999999999</v>
      </c>
      <c r="AC291" s="7">
        <v>0</v>
      </c>
      <c r="AD291" s="7">
        <v>177.001</v>
      </c>
      <c r="AE291" s="7">
        <v>0</v>
      </c>
      <c r="AF291" s="7">
        <v>62986.211000000003</v>
      </c>
      <c r="AG291" s="7">
        <v>0</v>
      </c>
      <c r="AH291" s="7">
        <v>0</v>
      </c>
      <c r="AI291" s="7">
        <v>140228.99400000001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21"/>
    </row>
    <row r="292" spans="1:69" ht="15.75" x14ac:dyDescent="0.25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21"/>
    </row>
    <row r="293" spans="1:69" ht="15.75" x14ac:dyDescent="0.25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21"/>
    </row>
    <row r="294" spans="1:69" ht="15.75" x14ac:dyDescent="0.25">
      <c r="A294" s="5" t="s">
        <v>511</v>
      </c>
      <c r="B294" s="5" t="s">
        <v>512</v>
      </c>
      <c r="C294" s="7">
        <v>5</v>
      </c>
      <c r="D294" s="7">
        <v>5</v>
      </c>
      <c r="E294" s="7">
        <v>220719.07199999999</v>
      </c>
      <c r="F294" s="7">
        <v>18195.848999999998</v>
      </c>
      <c r="G294" s="7">
        <v>25751.909</v>
      </c>
      <c r="H294" s="7">
        <v>0</v>
      </c>
      <c r="I294" s="7">
        <v>4155.5870000000004</v>
      </c>
      <c r="J294" s="7">
        <v>16177.612999999999</v>
      </c>
      <c r="K294" s="7">
        <v>0</v>
      </c>
      <c r="L294" s="7">
        <v>0</v>
      </c>
      <c r="M294" s="7">
        <v>150606.758</v>
      </c>
      <c r="N294" s="7">
        <v>69846.116999999998</v>
      </c>
      <c r="O294" s="7">
        <v>0</v>
      </c>
      <c r="P294" s="7">
        <v>0</v>
      </c>
      <c r="Q294" s="7">
        <v>777.14200000000005</v>
      </c>
      <c r="R294" s="7">
        <v>0</v>
      </c>
      <c r="S294" s="7">
        <v>27.283999999999999</v>
      </c>
      <c r="T294" s="7">
        <v>0</v>
      </c>
      <c r="U294" s="7">
        <v>0</v>
      </c>
      <c r="V294" s="7">
        <v>0</v>
      </c>
      <c r="W294" s="7">
        <v>2702.72</v>
      </c>
      <c r="X294" s="7">
        <v>8363.6779999999999</v>
      </c>
      <c r="Y294" s="7">
        <v>0</v>
      </c>
      <c r="Z294" s="7">
        <v>67830.486999999994</v>
      </c>
      <c r="AA294" s="7">
        <v>0</v>
      </c>
      <c r="AB294" s="7">
        <v>24575.674999999999</v>
      </c>
      <c r="AC294" s="7">
        <v>0</v>
      </c>
      <c r="AD294" s="7">
        <v>3900.607</v>
      </c>
      <c r="AE294" s="7">
        <v>0</v>
      </c>
      <c r="AF294" s="7">
        <v>208592.44099999999</v>
      </c>
      <c r="AG294" s="7">
        <v>0</v>
      </c>
      <c r="AH294" s="7">
        <v>0</v>
      </c>
      <c r="AI294" s="7">
        <v>467803.01500000001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21"/>
    </row>
    <row r="295" spans="1:69" ht="15.75" x14ac:dyDescent="0.25">
      <c r="A295" s="5" t="s">
        <v>513</v>
      </c>
      <c r="B295" s="5" t="s">
        <v>514</v>
      </c>
      <c r="C295" s="7">
        <v>5</v>
      </c>
      <c r="D295" s="7">
        <v>5</v>
      </c>
      <c r="E295" s="7">
        <v>19714.923999999999</v>
      </c>
      <c r="F295" s="7">
        <v>457.33199999999999</v>
      </c>
      <c r="G295" s="7">
        <v>604.66899999999998</v>
      </c>
      <c r="H295" s="7">
        <v>0</v>
      </c>
      <c r="I295" s="7">
        <v>41.012999999999998</v>
      </c>
      <c r="J295" s="7">
        <v>452.173</v>
      </c>
      <c r="K295" s="7">
        <v>0</v>
      </c>
      <c r="L295" s="7">
        <v>0</v>
      </c>
      <c r="M295" s="7">
        <v>23998.294999999998</v>
      </c>
      <c r="N295" s="7">
        <v>5099.4319999999998</v>
      </c>
      <c r="O295" s="7">
        <v>0</v>
      </c>
      <c r="P295" s="7">
        <v>0</v>
      </c>
      <c r="Q295" s="7">
        <v>8.2870000000000008</v>
      </c>
      <c r="R295" s="7">
        <v>0</v>
      </c>
      <c r="S295" s="7">
        <v>4.8730000000000002</v>
      </c>
      <c r="T295" s="7">
        <v>0</v>
      </c>
      <c r="U295" s="7">
        <v>0</v>
      </c>
      <c r="V295" s="7">
        <v>0</v>
      </c>
      <c r="W295" s="7">
        <v>136.42699999999999</v>
      </c>
      <c r="X295" s="7">
        <v>430.54</v>
      </c>
      <c r="Y295" s="7">
        <v>0</v>
      </c>
      <c r="Z295" s="7">
        <v>3556.4859999999999</v>
      </c>
      <c r="AA295" s="7">
        <v>0</v>
      </c>
      <c r="AB295" s="7">
        <v>1426.2239999999999</v>
      </c>
      <c r="AC295" s="7">
        <v>0</v>
      </c>
      <c r="AD295" s="7">
        <v>251.78299999999999</v>
      </c>
      <c r="AE295" s="7">
        <v>0</v>
      </c>
      <c r="AF295" s="7">
        <v>12465.081</v>
      </c>
      <c r="AG295" s="7">
        <v>0</v>
      </c>
      <c r="AH295" s="7">
        <v>0</v>
      </c>
      <c r="AI295" s="7">
        <v>32018.074000000001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21"/>
    </row>
    <row r="296" spans="1:69" ht="15.75" x14ac:dyDescent="0.25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21"/>
    </row>
    <row r="297" spans="1:69" ht="15.75" x14ac:dyDescent="0.25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21"/>
    </row>
    <row r="298" spans="1:69" ht="15.75" x14ac:dyDescent="0.25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21"/>
    </row>
    <row r="299" spans="1:69" ht="15.75" x14ac:dyDescent="0.25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21"/>
    </row>
    <row r="300" spans="1:69" ht="15.75" x14ac:dyDescent="0.25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21"/>
    </row>
    <row r="301" spans="1:69" ht="15.75" x14ac:dyDescent="0.25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21"/>
    </row>
    <row r="302" spans="1:69" ht="15.75" x14ac:dyDescent="0.25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21"/>
    </row>
    <row r="303" spans="1:69" ht="15.75" x14ac:dyDescent="0.25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21"/>
    </row>
    <row r="304" spans="1:69" ht="15.75" x14ac:dyDescent="0.25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21"/>
    </row>
    <row r="305" spans="1:69" ht="15.75" x14ac:dyDescent="0.25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21"/>
    </row>
    <row r="306" spans="1:69" ht="15.75" x14ac:dyDescent="0.25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21"/>
    </row>
    <row r="307" spans="1:69" ht="15.75" x14ac:dyDescent="0.25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21"/>
    </row>
    <row r="308" spans="1:69" ht="15.75" x14ac:dyDescent="0.25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21"/>
    </row>
    <row r="309" spans="1:69" ht="15.75" x14ac:dyDescent="0.25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21"/>
    </row>
    <row r="310" spans="1:69" ht="15.75" x14ac:dyDescent="0.25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21"/>
    </row>
    <row r="311" spans="1:69" ht="15.75" x14ac:dyDescent="0.25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21"/>
    </row>
    <row r="312" spans="1:69" ht="15.75" x14ac:dyDescent="0.25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21"/>
    </row>
    <row r="313" spans="1:69" ht="15.75" x14ac:dyDescent="0.25">
      <c r="A313" s="5" t="s">
        <v>549</v>
      </c>
      <c r="B313" s="5" t="s">
        <v>550</v>
      </c>
      <c r="C313" s="7">
        <v>5</v>
      </c>
      <c r="D313" s="7">
        <v>5</v>
      </c>
      <c r="E313" s="7">
        <v>11724.949000000001</v>
      </c>
      <c r="F313" s="7">
        <v>2785.0059999999999</v>
      </c>
      <c r="G313" s="7">
        <v>0</v>
      </c>
      <c r="H313" s="7">
        <v>0</v>
      </c>
      <c r="I313" s="7">
        <v>113.02800000000001</v>
      </c>
      <c r="J313" s="7">
        <v>0</v>
      </c>
      <c r="K313" s="7">
        <v>0</v>
      </c>
      <c r="L313" s="7">
        <v>0</v>
      </c>
      <c r="M313" s="7">
        <v>32293.39</v>
      </c>
      <c r="N313" s="7">
        <v>2513.8969999999999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806.822</v>
      </c>
      <c r="U313" s="7">
        <v>0</v>
      </c>
      <c r="V313" s="7">
        <v>0</v>
      </c>
      <c r="W313" s="7">
        <v>0</v>
      </c>
      <c r="X313" s="7">
        <v>221.83199999999999</v>
      </c>
      <c r="Y313" s="7">
        <v>0</v>
      </c>
      <c r="Z313" s="7">
        <v>5493.1940000000004</v>
      </c>
      <c r="AA313" s="7">
        <v>0</v>
      </c>
      <c r="AB313" s="7">
        <v>0</v>
      </c>
      <c r="AC313" s="7">
        <v>2.0550000000000002</v>
      </c>
      <c r="AD313" s="7">
        <v>478.80599999999998</v>
      </c>
      <c r="AE313" s="7">
        <v>0</v>
      </c>
      <c r="AF313" s="7">
        <v>13813.642</v>
      </c>
      <c r="AG313" s="7">
        <v>6597.85</v>
      </c>
      <c r="AH313" s="7">
        <v>0</v>
      </c>
      <c r="AI313" s="7">
        <v>52475.970999999998</v>
      </c>
      <c r="AJ313" s="7">
        <v>11658.805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89.254000000000005</v>
      </c>
      <c r="AR313" s="7">
        <v>0</v>
      </c>
      <c r="AS313" s="7">
        <v>2010.6410000000001</v>
      </c>
      <c r="AT313" s="7">
        <v>0</v>
      </c>
      <c r="AU313" s="7">
        <v>8.7029999999999994</v>
      </c>
      <c r="AV313" s="7">
        <v>0</v>
      </c>
      <c r="AW313" s="7">
        <v>61.253</v>
      </c>
      <c r="AX313" s="7">
        <v>0</v>
      </c>
      <c r="AY313" s="7">
        <v>0</v>
      </c>
      <c r="AZ313" s="7">
        <v>0</v>
      </c>
      <c r="BA313" s="7">
        <v>7.915</v>
      </c>
      <c r="BB313" s="7">
        <v>0</v>
      </c>
      <c r="BC313" s="7">
        <v>0</v>
      </c>
      <c r="BD313" s="7">
        <v>14.670999999999999</v>
      </c>
      <c r="BE313" s="7">
        <v>0</v>
      </c>
      <c r="BF313" s="7">
        <v>0</v>
      </c>
      <c r="BG313" s="7">
        <v>2.085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21"/>
    </row>
    <row r="314" spans="1:69" ht="15.75" x14ac:dyDescent="0.25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21"/>
    </row>
    <row r="315" spans="1:69" ht="15.75" x14ac:dyDescent="0.25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21"/>
    </row>
    <row r="316" spans="1:69" ht="15.75" x14ac:dyDescent="0.25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21"/>
    </row>
    <row r="317" spans="1:69" ht="15.75" x14ac:dyDescent="0.25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21"/>
    </row>
    <row r="318" spans="1:69" ht="15.75" x14ac:dyDescent="0.25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21"/>
    </row>
    <row r="319" spans="1:69" ht="15.75" x14ac:dyDescent="0.25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21"/>
    </row>
    <row r="320" spans="1:69" ht="15.75" x14ac:dyDescent="0.25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21"/>
    </row>
    <row r="321" spans="1:69" ht="15.75" x14ac:dyDescent="0.25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21"/>
    </row>
    <row r="322" spans="1:69" ht="15.75" x14ac:dyDescent="0.25">
      <c r="A322" s="5" t="s">
        <v>567</v>
      </c>
      <c r="B322" s="5" t="s">
        <v>568</v>
      </c>
      <c r="C322" s="7">
        <v>5</v>
      </c>
      <c r="D322" s="7">
        <v>5</v>
      </c>
      <c r="E322" s="7">
        <v>-5564.6809999999996</v>
      </c>
      <c r="F322" s="7">
        <v>-1321.769</v>
      </c>
      <c r="G322" s="7">
        <v>0</v>
      </c>
      <c r="H322" s="7">
        <v>0</v>
      </c>
      <c r="I322" s="7">
        <v>-53.643000000000001</v>
      </c>
      <c r="J322" s="7">
        <v>0</v>
      </c>
      <c r="K322" s="7">
        <v>0</v>
      </c>
      <c r="L322" s="7">
        <v>0</v>
      </c>
      <c r="M322" s="7">
        <v>-15326.499</v>
      </c>
      <c r="N322" s="7">
        <v>-1193.0999999999999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-382.91899999999998</v>
      </c>
      <c r="U322" s="7">
        <v>0</v>
      </c>
      <c r="V322" s="7">
        <v>0</v>
      </c>
      <c r="W322" s="7">
        <v>0</v>
      </c>
      <c r="X322" s="7">
        <v>-105.282</v>
      </c>
      <c r="Y322" s="7">
        <v>0</v>
      </c>
      <c r="Z322" s="7">
        <v>-2607.0790000000002</v>
      </c>
      <c r="AA322" s="7">
        <v>0</v>
      </c>
      <c r="AB322" s="7">
        <v>0</v>
      </c>
      <c r="AC322" s="7">
        <v>-0.97499999999999998</v>
      </c>
      <c r="AD322" s="7">
        <v>-227.24199999999999</v>
      </c>
      <c r="AE322" s="7">
        <v>0</v>
      </c>
      <c r="AF322" s="7">
        <v>-6555.9790000000003</v>
      </c>
      <c r="AG322" s="7">
        <v>-3131.3510000000001</v>
      </c>
      <c r="AH322" s="7">
        <v>0</v>
      </c>
      <c r="AI322" s="7">
        <v>-24905.187999999998</v>
      </c>
      <c r="AJ322" s="7">
        <v>-5533.2889999999998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-42.36</v>
      </c>
      <c r="AR322" s="7">
        <v>0</v>
      </c>
      <c r="AS322" s="7">
        <v>-954.25400000000002</v>
      </c>
      <c r="AT322" s="7">
        <v>0</v>
      </c>
      <c r="AU322" s="7">
        <v>-4.1310000000000002</v>
      </c>
      <c r="AV322" s="7">
        <v>0</v>
      </c>
      <c r="AW322" s="7">
        <v>-29.071000000000002</v>
      </c>
      <c r="AX322" s="7">
        <v>0</v>
      </c>
      <c r="AY322" s="7">
        <v>0</v>
      </c>
      <c r="AZ322" s="7">
        <v>0</v>
      </c>
      <c r="BA322" s="7">
        <v>-3.7559999999999998</v>
      </c>
      <c r="BB322" s="7">
        <v>0</v>
      </c>
      <c r="BC322" s="7">
        <v>0</v>
      </c>
      <c r="BD322" s="7">
        <v>-6.9630000000000001</v>
      </c>
      <c r="BE322" s="7">
        <v>0</v>
      </c>
      <c r="BF322" s="7">
        <v>0</v>
      </c>
      <c r="BG322" s="7">
        <v>-0.99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21"/>
    </row>
    <row r="323" spans="1:69" ht="15.75" x14ac:dyDescent="0.25">
      <c r="A323" s="5" t="s">
        <v>569</v>
      </c>
      <c r="B323" s="5" t="s">
        <v>570</v>
      </c>
      <c r="C323" s="7">
        <v>5</v>
      </c>
      <c r="D323" s="7">
        <v>5</v>
      </c>
      <c r="E323" s="7">
        <v>-11803.939</v>
      </c>
      <c r="F323" s="7">
        <v>-2803.7689999999998</v>
      </c>
      <c r="G323" s="7">
        <v>0</v>
      </c>
      <c r="H323" s="7">
        <v>0</v>
      </c>
      <c r="I323" s="7">
        <v>-113.789</v>
      </c>
      <c r="J323" s="7">
        <v>0</v>
      </c>
      <c r="K323" s="7">
        <v>0</v>
      </c>
      <c r="L323" s="7">
        <v>0</v>
      </c>
      <c r="M323" s="7">
        <v>-32510.948</v>
      </c>
      <c r="N323" s="7">
        <v>-2530.8330000000001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-812.25699999999995</v>
      </c>
      <c r="U323" s="7">
        <v>0</v>
      </c>
      <c r="V323" s="7">
        <v>0</v>
      </c>
      <c r="W323" s="7">
        <v>0</v>
      </c>
      <c r="X323" s="7">
        <v>-223.32599999999999</v>
      </c>
      <c r="Y323" s="7">
        <v>0</v>
      </c>
      <c r="Z323" s="7">
        <v>-5530.201</v>
      </c>
      <c r="AA323" s="7">
        <v>0</v>
      </c>
      <c r="AB323" s="7">
        <v>0</v>
      </c>
      <c r="AC323" s="7">
        <v>-2.069</v>
      </c>
      <c r="AD323" s="7">
        <v>-482.03199999999998</v>
      </c>
      <c r="AE323" s="7">
        <v>0</v>
      </c>
      <c r="AF323" s="7">
        <v>-13906.704</v>
      </c>
      <c r="AG323" s="7">
        <v>-6642.3</v>
      </c>
      <c r="AH323" s="7">
        <v>0</v>
      </c>
      <c r="AI323" s="7">
        <v>-52829.499000000003</v>
      </c>
      <c r="AJ323" s="7">
        <v>-11737.349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-89.855000000000004</v>
      </c>
      <c r="AR323" s="7">
        <v>0</v>
      </c>
      <c r="AS323" s="7">
        <v>-2024.1869999999999</v>
      </c>
      <c r="AT323" s="7">
        <v>0</v>
      </c>
      <c r="AU323" s="7">
        <v>-8.7620000000000005</v>
      </c>
      <c r="AV323" s="7">
        <v>0</v>
      </c>
      <c r="AW323" s="7">
        <v>-61.664999999999999</v>
      </c>
      <c r="AX323" s="7">
        <v>0</v>
      </c>
      <c r="AY323" s="7">
        <v>0</v>
      </c>
      <c r="AZ323" s="7">
        <v>0</v>
      </c>
      <c r="BA323" s="7">
        <v>-7.968</v>
      </c>
      <c r="BB323" s="7">
        <v>0</v>
      </c>
      <c r="BC323" s="7">
        <v>0</v>
      </c>
      <c r="BD323" s="7">
        <v>-14.77</v>
      </c>
      <c r="BE323" s="7">
        <v>0</v>
      </c>
      <c r="BF323" s="7">
        <v>0</v>
      </c>
      <c r="BG323" s="7">
        <v>-2.0990000000000002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21"/>
    </row>
    <row r="324" spans="1:69" ht="15.75" x14ac:dyDescent="0.25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21"/>
    </row>
    <row r="325" spans="1:69" ht="15.75" x14ac:dyDescent="0.25">
      <c r="A325" s="5" t="s">
        <v>573</v>
      </c>
      <c r="B325" s="5" t="s">
        <v>574</v>
      </c>
      <c r="C325" s="7">
        <v>5</v>
      </c>
      <c r="D325" s="7">
        <v>5</v>
      </c>
      <c r="E325" s="7">
        <v>-5910.7129999999997</v>
      </c>
      <c r="F325" s="7">
        <v>-1403.961</v>
      </c>
      <c r="G325" s="7">
        <v>0</v>
      </c>
      <c r="H325" s="7">
        <v>0</v>
      </c>
      <c r="I325" s="7">
        <v>-56.978999999999999</v>
      </c>
      <c r="J325" s="7">
        <v>0</v>
      </c>
      <c r="K325" s="7">
        <v>0</v>
      </c>
      <c r="L325" s="7">
        <v>0</v>
      </c>
      <c r="M325" s="7">
        <v>-16279.557000000001</v>
      </c>
      <c r="N325" s="7">
        <v>-1267.2909999999999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-406.73</v>
      </c>
      <c r="U325" s="7">
        <v>0</v>
      </c>
      <c r="V325" s="7">
        <v>0</v>
      </c>
      <c r="W325" s="7">
        <v>0</v>
      </c>
      <c r="X325" s="7">
        <v>-111.828</v>
      </c>
      <c r="Y325" s="7">
        <v>0</v>
      </c>
      <c r="Z325" s="7">
        <v>-2769.1970000000001</v>
      </c>
      <c r="AA325" s="7">
        <v>0</v>
      </c>
      <c r="AB325" s="7">
        <v>0</v>
      </c>
      <c r="AC325" s="7">
        <v>-1.036</v>
      </c>
      <c r="AD325" s="7">
        <v>-241.37299999999999</v>
      </c>
      <c r="AE325" s="7">
        <v>0</v>
      </c>
      <c r="AF325" s="7">
        <v>-6963.6530000000002</v>
      </c>
      <c r="AG325" s="7">
        <v>-3326.07</v>
      </c>
      <c r="AH325" s="7">
        <v>0</v>
      </c>
      <c r="AI325" s="7">
        <v>-26453.883999999998</v>
      </c>
      <c r="AJ325" s="7">
        <v>-5877.3689999999997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-44.994</v>
      </c>
      <c r="AR325" s="7">
        <v>0</v>
      </c>
      <c r="AS325" s="7">
        <v>-1013.593</v>
      </c>
      <c r="AT325" s="7">
        <v>0</v>
      </c>
      <c r="AU325" s="7">
        <v>-4.3869999999999996</v>
      </c>
      <c r="AV325" s="7">
        <v>0</v>
      </c>
      <c r="AW325" s="7">
        <v>-30.878</v>
      </c>
      <c r="AX325" s="7">
        <v>0</v>
      </c>
      <c r="AY325" s="7">
        <v>0</v>
      </c>
      <c r="AZ325" s="7">
        <v>0</v>
      </c>
      <c r="BA325" s="7">
        <v>-3.99</v>
      </c>
      <c r="BB325" s="7">
        <v>0</v>
      </c>
      <c r="BC325" s="7">
        <v>0</v>
      </c>
      <c r="BD325" s="7">
        <v>-7.3959999999999999</v>
      </c>
      <c r="BE325" s="7">
        <v>0</v>
      </c>
      <c r="BF325" s="7">
        <v>0</v>
      </c>
      <c r="BG325" s="7">
        <v>-1.0509999999999999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21"/>
    </row>
    <row r="326" spans="1:69" ht="15.75" x14ac:dyDescent="0.25">
      <c r="A326" s="5" t="s">
        <v>575</v>
      </c>
      <c r="B326" s="5" t="s">
        <v>576</v>
      </c>
      <c r="C326" s="7">
        <v>6</v>
      </c>
      <c r="D326" s="7">
        <v>6</v>
      </c>
      <c r="E326" s="7">
        <v>71.775000000000006</v>
      </c>
      <c r="F326" s="7">
        <v>0</v>
      </c>
      <c r="G326" s="7">
        <v>0</v>
      </c>
      <c r="H326" s="7">
        <v>0</v>
      </c>
      <c r="I326" s="7">
        <v>101.232</v>
      </c>
      <c r="J326" s="7">
        <v>0</v>
      </c>
      <c r="K326" s="7">
        <v>0</v>
      </c>
      <c r="L326" s="7">
        <v>0</v>
      </c>
      <c r="M326" s="7">
        <v>10629.011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21"/>
    </row>
    <row r="327" spans="1:69" ht="15.75" x14ac:dyDescent="0.25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21"/>
    </row>
    <row r="328" spans="1:69" ht="15.75" x14ac:dyDescent="0.25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21"/>
    </row>
    <row r="329" spans="1:69" ht="15.75" x14ac:dyDescent="0.25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21"/>
    </row>
    <row r="330" spans="1:69" ht="15.75" x14ac:dyDescent="0.25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21"/>
    </row>
    <row r="331" spans="1:69" ht="15.75" x14ac:dyDescent="0.25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21"/>
    </row>
    <row r="332" spans="1:69" ht="15.75" x14ac:dyDescent="0.25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21"/>
    </row>
    <row r="333" spans="1:69" ht="15.75" x14ac:dyDescent="0.25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21"/>
    </row>
    <row r="334" spans="1:69" ht="15.75" x14ac:dyDescent="0.25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21"/>
    </row>
    <row r="335" spans="1:69" ht="15.75" x14ac:dyDescent="0.25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21"/>
    </row>
    <row r="336" spans="1:69" ht="15.75" x14ac:dyDescent="0.25">
      <c r="A336" s="5" t="s">
        <v>595</v>
      </c>
      <c r="B336" s="5" t="s">
        <v>596</v>
      </c>
      <c r="C336" s="7">
        <v>6</v>
      </c>
      <c r="D336" s="7">
        <v>6</v>
      </c>
      <c r="E336" s="7">
        <v>10534.004000000001</v>
      </c>
      <c r="F336" s="7">
        <v>1864.6759999999999</v>
      </c>
      <c r="G336" s="7">
        <v>1683.374</v>
      </c>
      <c r="H336" s="7">
        <v>2153.982</v>
      </c>
      <c r="I336" s="7">
        <v>217.946</v>
      </c>
      <c r="J336" s="7">
        <v>1769.3109999999999</v>
      </c>
      <c r="K336" s="7">
        <v>0</v>
      </c>
      <c r="L336" s="7">
        <v>23124.625</v>
      </c>
      <c r="M336" s="7">
        <v>12771.481</v>
      </c>
      <c r="N336" s="7">
        <v>4517.6400000000003</v>
      </c>
      <c r="O336" s="7">
        <v>131.97200000000001</v>
      </c>
      <c r="P336" s="7">
        <v>0.39800000000000002</v>
      </c>
      <c r="Q336" s="7">
        <v>81.233000000000004</v>
      </c>
      <c r="R336" s="7">
        <v>23.35</v>
      </c>
      <c r="S336" s="7">
        <v>134.09100000000001</v>
      </c>
      <c r="T336" s="7">
        <v>453.12799999999999</v>
      </c>
      <c r="U336" s="7">
        <v>0</v>
      </c>
      <c r="V336" s="7">
        <v>16967.419000000002</v>
      </c>
      <c r="W336" s="7">
        <v>133.56200000000001</v>
      </c>
      <c r="X336" s="7">
        <v>350.15899999999999</v>
      </c>
      <c r="Y336" s="7">
        <v>38.311999999999998</v>
      </c>
      <c r="Z336" s="7">
        <v>13741.853999999999</v>
      </c>
      <c r="AA336" s="7">
        <v>0</v>
      </c>
      <c r="AB336" s="7">
        <v>1121.9639999999999</v>
      </c>
      <c r="AC336" s="7">
        <v>28.893999999999998</v>
      </c>
      <c r="AD336" s="7">
        <v>261.30500000000001</v>
      </c>
      <c r="AE336" s="7">
        <v>1.6859999999999999</v>
      </c>
      <c r="AF336" s="7">
        <v>6691.6689999999999</v>
      </c>
      <c r="AG336" s="7">
        <v>2375.1909999999998</v>
      </c>
      <c r="AH336" s="7">
        <v>4.5119999999999996</v>
      </c>
      <c r="AI336" s="7">
        <v>27534.635999999999</v>
      </c>
      <c r="AJ336" s="7">
        <v>2808.9</v>
      </c>
      <c r="AK336" s="7">
        <v>364.35700000000003</v>
      </c>
      <c r="AL336" s="7">
        <v>0</v>
      </c>
      <c r="AM336" s="7">
        <v>0</v>
      </c>
      <c r="AN336" s="7">
        <v>0</v>
      </c>
      <c r="AO336" s="7">
        <v>3156.7710000000002</v>
      </c>
      <c r="AP336" s="7">
        <v>0</v>
      </c>
      <c r="AQ336" s="7">
        <v>39.356000000000002</v>
      </c>
      <c r="AR336" s="7">
        <v>31.161999999999999</v>
      </c>
      <c r="AS336" s="7">
        <v>675.10900000000004</v>
      </c>
      <c r="AT336" s="7">
        <v>10.603</v>
      </c>
      <c r="AU336" s="7">
        <v>4.3070000000000004</v>
      </c>
      <c r="AV336" s="7">
        <v>0</v>
      </c>
      <c r="AW336" s="7">
        <v>82.222999999999999</v>
      </c>
      <c r="AX336" s="7">
        <v>37.744999999999997</v>
      </c>
      <c r="AY336" s="7">
        <v>61.046999999999997</v>
      </c>
      <c r="AZ336" s="7">
        <v>15.288</v>
      </c>
      <c r="BA336" s="7">
        <v>9.702</v>
      </c>
      <c r="BB336" s="7">
        <v>8.23</v>
      </c>
      <c r="BC336" s="7">
        <v>5.8250000000000002</v>
      </c>
      <c r="BD336" s="7">
        <v>6.9889999999999999</v>
      </c>
      <c r="BE336" s="7">
        <v>13.348000000000001</v>
      </c>
      <c r="BF336" s="7">
        <v>16.600999999999999</v>
      </c>
      <c r="BG336" s="7">
        <v>0.98099999999999998</v>
      </c>
      <c r="BH336" s="7">
        <v>7.8339999999999996</v>
      </c>
      <c r="BI336" s="7">
        <v>21.96</v>
      </c>
      <c r="BJ336" s="7">
        <v>4.9710000000000001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21"/>
    </row>
    <row r="337" spans="1:69" ht="15.75" x14ac:dyDescent="0.25">
      <c r="A337" s="5" t="s">
        <v>597</v>
      </c>
      <c r="B337" s="5" t="s">
        <v>598</v>
      </c>
      <c r="C337" s="7">
        <v>6</v>
      </c>
      <c r="D337" s="7">
        <v>6</v>
      </c>
      <c r="E337" s="7">
        <v>-14553.536</v>
      </c>
      <c r="F337" s="7">
        <v>-2344.88</v>
      </c>
      <c r="G337" s="7">
        <v>-1305.482</v>
      </c>
      <c r="H337" s="7">
        <v>-10004.66</v>
      </c>
      <c r="I337" s="7">
        <v>-394.99700000000001</v>
      </c>
      <c r="J337" s="7">
        <v>-1112.3240000000001</v>
      </c>
      <c r="K337" s="7">
        <v>0</v>
      </c>
      <c r="L337" s="7">
        <v>-150.762</v>
      </c>
      <c r="M337" s="7">
        <v>-22024.201000000001</v>
      </c>
      <c r="N337" s="7">
        <v>-5227.6639999999998</v>
      </c>
      <c r="O337" s="7">
        <v>-6.1479999999999997</v>
      </c>
      <c r="P337" s="7">
        <v>-11.449</v>
      </c>
      <c r="Q337" s="7">
        <v>-84.457999999999998</v>
      </c>
      <c r="R337" s="7">
        <v>-11.34</v>
      </c>
      <c r="S337" s="7">
        <v>-146.97399999999999</v>
      </c>
      <c r="T337" s="7">
        <v>-50.055999999999997</v>
      </c>
      <c r="U337" s="7">
        <v>-1.446</v>
      </c>
      <c r="V337" s="7">
        <v>-107.739</v>
      </c>
      <c r="W337" s="7">
        <v>-319.39499999999998</v>
      </c>
      <c r="X337" s="7">
        <v>-989.13300000000004</v>
      </c>
      <c r="Y337" s="7">
        <v>-651.91999999999996</v>
      </c>
      <c r="Z337" s="7">
        <v>-2527.826</v>
      </c>
      <c r="AA337" s="7">
        <v>-330.22800000000001</v>
      </c>
      <c r="AB337" s="7">
        <v>-453.214</v>
      </c>
      <c r="AC337" s="7">
        <v>-2.3010000000000002</v>
      </c>
      <c r="AD337" s="7">
        <v>-75.474999999999994</v>
      </c>
      <c r="AE337" s="7">
        <v>-0.38900000000000001</v>
      </c>
      <c r="AF337" s="7">
        <v>-8053.6840000000002</v>
      </c>
      <c r="AG337" s="7">
        <v>-524.50800000000004</v>
      </c>
      <c r="AH337" s="7">
        <v>-164.411</v>
      </c>
      <c r="AI337" s="7">
        <v>-35092.357000000004</v>
      </c>
      <c r="AJ337" s="7">
        <v>-1624.856</v>
      </c>
      <c r="AK337" s="7">
        <v>-331.05200000000002</v>
      </c>
      <c r="AL337" s="7">
        <v>-9748.902</v>
      </c>
      <c r="AM337" s="7">
        <v>0</v>
      </c>
      <c r="AN337" s="7">
        <v>-3283.3620000000001</v>
      </c>
      <c r="AO337" s="7">
        <v>-1080.242</v>
      </c>
      <c r="AP337" s="7">
        <v>-9992.1380000000008</v>
      </c>
      <c r="AQ337" s="7">
        <v>-11.519</v>
      </c>
      <c r="AR337" s="7">
        <v>-21.312000000000001</v>
      </c>
      <c r="AS337" s="7">
        <v>-160.5</v>
      </c>
      <c r="AT337" s="7">
        <v>-84.8</v>
      </c>
      <c r="AU337" s="7">
        <v>-3.7730000000000001</v>
      </c>
      <c r="AV337" s="7">
        <v>0</v>
      </c>
      <c r="AW337" s="7">
        <v>-27.271999999999998</v>
      </c>
      <c r="AX337" s="7">
        <v>-0.20499999999999999</v>
      </c>
      <c r="AY337" s="7">
        <v>-38.003</v>
      </c>
      <c r="AZ337" s="7">
        <v>-35.396000000000001</v>
      </c>
      <c r="BA337" s="7">
        <v>-2.12</v>
      </c>
      <c r="BB337" s="7">
        <v>-1.246</v>
      </c>
      <c r="BC337" s="7">
        <v>-11.238</v>
      </c>
      <c r="BD337" s="7">
        <v>-2.044</v>
      </c>
      <c r="BE337" s="7">
        <v>-3.3559999999999999</v>
      </c>
      <c r="BF337" s="7">
        <v>-2.4769999999999999</v>
      </c>
      <c r="BG337" s="7">
        <v>-0.25</v>
      </c>
      <c r="BH337" s="7">
        <v>-50.67</v>
      </c>
      <c r="BI337" s="7">
        <v>-233.04900000000001</v>
      </c>
      <c r="BJ337" s="7">
        <v>-1.3759999999999999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21"/>
    </row>
    <row r="338" spans="1:69" ht="15.75" x14ac:dyDescent="0.25">
      <c r="A338" s="5" t="s">
        <v>599</v>
      </c>
      <c r="B338" s="5" t="s">
        <v>600</v>
      </c>
      <c r="C338" s="7">
        <v>6</v>
      </c>
      <c r="D338" s="7">
        <v>6</v>
      </c>
      <c r="E338" s="7">
        <v>-1452.809</v>
      </c>
      <c r="F338" s="7">
        <v>-24.045999999999999</v>
      </c>
      <c r="G338" s="7">
        <v>-514.25900000000001</v>
      </c>
      <c r="H338" s="7">
        <v>0</v>
      </c>
      <c r="I338" s="7">
        <v>-22.663</v>
      </c>
      <c r="J338" s="7">
        <v>-13.28</v>
      </c>
      <c r="K338" s="7">
        <v>-183.89</v>
      </c>
      <c r="L338" s="7">
        <v>-19.878</v>
      </c>
      <c r="M338" s="7">
        <v>-2458.1660000000002</v>
      </c>
      <c r="N338" s="7">
        <v>-86.209000000000003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-65.018000000000001</v>
      </c>
      <c r="W338" s="7">
        <v>-2.6970000000000001</v>
      </c>
      <c r="X338" s="7">
        <v>-5.0149999999999997</v>
      </c>
      <c r="Y338" s="7">
        <v>-10.909000000000001</v>
      </c>
      <c r="Z338" s="7">
        <v>-175.42699999999999</v>
      </c>
      <c r="AA338" s="7">
        <v>-11.827</v>
      </c>
      <c r="AB338" s="7">
        <v>-1.9630000000000001</v>
      </c>
      <c r="AC338" s="7">
        <v>-29.51</v>
      </c>
      <c r="AD338" s="7">
        <v>-18.79</v>
      </c>
      <c r="AE338" s="7">
        <v>-1.504</v>
      </c>
      <c r="AF338" s="7">
        <v>-158.684</v>
      </c>
      <c r="AG338" s="7">
        <v>-115.396</v>
      </c>
      <c r="AH338" s="7">
        <v>-23.273</v>
      </c>
      <c r="AI338" s="7">
        <v>-1686.857</v>
      </c>
      <c r="AJ338" s="7">
        <v>-136.124</v>
      </c>
      <c r="AK338" s="7">
        <v>-38.43</v>
      </c>
      <c r="AL338" s="7">
        <v>-695.46100000000001</v>
      </c>
      <c r="AM338" s="7">
        <v>-28.846</v>
      </c>
      <c r="AN338" s="7">
        <v>-669.755</v>
      </c>
      <c r="AO338" s="7">
        <v>-9.2189999999999994</v>
      </c>
      <c r="AP338" s="7">
        <v>-1039.491</v>
      </c>
      <c r="AQ338" s="7">
        <v>0</v>
      </c>
      <c r="AR338" s="7">
        <v>0</v>
      </c>
      <c r="AS338" s="7">
        <v>-32.725999999999999</v>
      </c>
      <c r="AT338" s="7">
        <v>-9.3409999999999993</v>
      </c>
      <c r="AU338" s="7">
        <v>0</v>
      </c>
      <c r="AV338" s="7">
        <v>0</v>
      </c>
      <c r="AW338" s="7">
        <v>0</v>
      </c>
      <c r="AX338" s="7">
        <v>-8.8889999999999993</v>
      </c>
      <c r="AY338" s="7">
        <v>-21.654</v>
      </c>
      <c r="AZ338" s="7">
        <v>-1.8089999999999999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-1.1439999999999999</v>
      </c>
      <c r="BI338" s="7">
        <v>-43.006999999999998</v>
      </c>
      <c r="BJ338" s="7">
        <v>0</v>
      </c>
      <c r="BK338" s="7">
        <v>-4.8579999999999997</v>
      </c>
      <c r="BL338" s="7">
        <v>-1.1220000000000001</v>
      </c>
      <c r="BM338" s="7">
        <v>-326.28800000000001</v>
      </c>
      <c r="BN338" s="7">
        <v>-61.420999999999999</v>
      </c>
      <c r="BO338" s="7">
        <v>-17.122</v>
      </c>
      <c r="BP338" s="7">
        <v>-86.238</v>
      </c>
      <c r="BQ338" s="21"/>
    </row>
    <row r="339" spans="1:69" ht="15.75" x14ac:dyDescent="0.25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0.61899999999999999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21"/>
    </row>
    <row r="340" spans="1:69" ht="15.75" x14ac:dyDescent="0.25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 s="21"/>
    </row>
    <row r="341" spans="1:69" ht="15.75" x14ac:dyDescent="0.25">
      <c r="A341" s="5" t="s">
        <v>605</v>
      </c>
      <c r="B341" s="5" t="s">
        <v>606</v>
      </c>
      <c r="C341" s="5"/>
      <c r="D341" s="5"/>
      <c r="E341">
        <v>8030278.8940000003</v>
      </c>
      <c r="F341">
        <v>915407.21799999999</v>
      </c>
      <c r="G341">
        <v>1012216.252</v>
      </c>
      <c r="H341">
        <v>1086744.088</v>
      </c>
      <c r="I341">
        <v>144495.94200000001</v>
      </c>
      <c r="J341">
        <v>718791.05099999998</v>
      </c>
      <c r="K341">
        <v>-183.89</v>
      </c>
      <c r="L341">
        <v>310921.93199999997</v>
      </c>
      <c r="M341">
        <v>8757552.9309999999</v>
      </c>
      <c r="N341">
        <v>3219600.4530000002</v>
      </c>
      <c r="O341">
        <v>15733.203</v>
      </c>
      <c r="P341">
        <v>6563.1819999999998</v>
      </c>
      <c r="Q341">
        <v>20914.278999999999</v>
      </c>
      <c r="R341">
        <v>11721.762000000001</v>
      </c>
      <c r="S341">
        <v>21287.177</v>
      </c>
      <c r="T341">
        <v>278342.26500000001</v>
      </c>
      <c r="U341">
        <v>1510.4190000000001</v>
      </c>
      <c r="V341">
        <v>225016.23699999999</v>
      </c>
      <c r="W341">
        <v>86331.732999999993</v>
      </c>
      <c r="X341">
        <v>221296.93599999999</v>
      </c>
      <c r="Y341">
        <v>200581.24400000001</v>
      </c>
      <c r="Z341">
        <v>1658237.32</v>
      </c>
      <c r="AA341">
        <v>124397.97199999999</v>
      </c>
      <c r="AB341">
        <v>877401.26500000001</v>
      </c>
      <c r="AC341">
        <v>234172.47899999999</v>
      </c>
      <c r="AD341">
        <v>150868.38699999999</v>
      </c>
      <c r="AE341">
        <v>53637.665000000001</v>
      </c>
      <c r="AF341">
        <v>4726846.6639999999</v>
      </c>
      <c r="AG341">
        <v>967292.59499999997</v>
      </c>
      <c r="AH341">
        <v>226113.45300000001</v>
      </c>
      <c r="AI341">
        <v>17788596.857000001</v>
      </c>
      <c r="AJ341">
        <v>1822430.0009999999</v>
      </c>
      <c r="AK341">
        <v>669036.45600000001</v>
      </c>
      <c r="AL341">
        <v>9307950.7210000008</v>
      </c>
      <c r="AM341">
        <v>-28.846</v>
      </c>
      <c r="AN341">
        <v>5522146.909</v>
      </c>
      <c r="AO341">
        <v>40859.811999999998</v>
      </c>
      <c r="AP341">
        <v>3068167.8459999999</v>
      </c>
      <c r="AQ341">
        <v>24077.936000000002</v>
      </c>
      <c r="AR341">
        <v>43430.557999999997</v>
      </c>
      <c r="AS341">
        <v>287806.98599999998</v>
      </c>
      <c r="AT341">
        <v>18321.017</v>
      </c>
      <c r="AU341">
        <v>3344.462</v>
      </c>
      <c r="AV341">
        <v>0</v>
      </c>
      <c r="AW341">
        <v>76507.304000000004</v>
      </c>
      <c r="AX341">
        <v>66650.194000000003</v>
      </c>
      <c r="AY341">
        <v>65485.656999999999</v>
      </c>
      <c r="AZ341">
        <v>83794.301000000007</v>
      </c>
      <c r="BA341">
        <v>7350.7709999999997</v>
      </c>
      <c r="BB341">
        <v>3094.1179999999999</v>
      </c>
      <c r="BC341">
        <v>32380.984</v>
      </c>
      <c r="BD341">
        <v>4513.5159999999996</v>
      </c>
      <c r="BE341">
        <v>10293.129000000001</v>
      </c>
      <c r="BF341">
        <v>6312.7150000000001</v>
      </c>
      <c r="BG341">
        <v>630.62199999999996</v>
      </c>
      <c r="BH341">
        <v>2868.0610000000001</v>
      </c>
      <c r="BI341">
        <v>477233.53600000002</v>
      </c>
      <c r="BJ341">
        <v>3532.0590000000002</v>
      </c>
      <c r="BK341">
        <v>-4.8579999999999997</v>
      </c>
      <c r="BL341">
        <v>-1.1200000000000001</v>
      </c>
      <c r="BM341">
        <v>-326.28800000000001</v>
      </c>
      <c r="BN341">
        <v>-61.420999999999999</v>
      </c>
      <c r="BO341">
        <v>-17.122</v>
      </c>
      <c r="BP341">
        <v>-86.238</v>
      </c>
      <c r="BQ341" s="21"/>
    </row>
    <row r="342" spans="1:69" x14ac:dyDescent="0.2">
      <c r="BQ342" s="21"/>
    </row>
    <row r="343" spans="1:69" ht="15.75" x14ac:dyDescent="0.25">
      <c r="A343" s="5" t="s">
        <v>607</v>
      </c>
      <c r="E343">
        <f t="shared" ref="E343:AY343" si="0">SUM(E8:E340)-E341</f>
        <v>0</v>
      </c>
      <c r="F343">
        <f t="shared" si="0"/>
        <v>0</v>
      </c>
      <c r="G343">
        <f t="shared" si="0"/>
        <v>0</v>
      </c>
      <c r="H343">
        <f t="shared" si="0"/>
        <v>0</v>
      </c>
      <c r="I343">
        <f t="shared" si="0"/>
        <v>0</v>
      </c>
      <c r="J343">
        <f t="shared" si="0"/>
        <v>0</v>
      </c>
      <c r="K343">
        <f t="shared" si="0"/>
        <v>0</v>
      </c>
      <c r="L343">
        <f t="shared" si="0"/>
        <v>0</v>
      </c>
      <c r="M343">
        <f t="shared" si="0"/>
        <v>0</v>
      </c>
      <c r="N343">
        <f t="shared" si="0"/>
        <v>0</v>
      </c>
      <c r="O343">
        <f t="shared" si="0"/>
        <v>0</v>
      </c>
      <c r="P343">
        <f t="shared" si="0"/>
        <v>0</v>
      </c>
      <c r="Q343">
        <f t="shared" si="0"/>
        <v>0</v>
      </c>
      <c r="R343">
        <f t="shared" si="0"/>
        <v>0</v>
      </c>
      <c r="S343">
        <f t="shared" si="0"/>
        <v>0</v>
      </c>
      <c r="T343">
        <f t="shared" si="0"/>
        <v>0</v>
      </c>
      <c r="U343">
        <f t="shared" si="0"/>
        <v>0</v>
      </c>
      <c r="V343">
        <f t="shared" si="0"/>
        <v>0</v>
      </c>
      <c r="W343">
        <f t="shared" si="0"/>
        <v>0</v>
      </c>
      <c r="X343">
        <f t="shared" si="0"/>
        <v>0</v>
      </c>
      <c r="Y343">
        <f t="shared" si="0"/>
        <v>0</v>
      </c>
      <c r="Z343">
        <f t="shared" si="0"/>
        <v>0</v>
      </c>
      <c r="AA343">
        <f t="shared" si="0"/>
        <v>0</v>
      </c>
      <c r="AB343">
        <f t="shared" si="0"/>
        <v>0</v>
      </c>
      <c r="AC343">
        <f t="shared" si="0"/>
        <v>0</v>
      </c>
      <c r="AD343">
        <f t="shared" si="0"/>
        <v>0</v>
      </c>
      <c r="AE343">
        <f t="shared" si="0"/>
        <v>0</v>
      </c>
      <c r="AF343">
        <f t="shared" si="0"/>
        <v>0</v>
      </c>
      <c r="AG343">
        <f t="shared" si="0"/>
        <v>0</v>
      </c>
      <c r="AH343">
        <f t="shared" si="0"/>
        <v>0</v>
      </c>
      <c r="AI343">
        <f t="shared" si="0"/>
        <v>0</v>
      </c>
      <c r="AJ343">
        <f t="shared" si="0"/>
        <v>0</v>
      </c>
      <c r="AK343">
        <f t="shared" si="0"/>
        <v>0</v>
      </c>
      <c r="AL343">
        <f t="shared" si="0"/>
        <v>0</v>
      </c>
      <c r="AM343">
        <f t="shared" si="0"/>
        <v>0</v>
      </c>
      <c r="AN343">
        <f t="shared" si="0"/>
        <v>0</v>
      </c>
      <c r="AO343">
        <f>SUM(AO8:AO340)-AO341</f>
        <v>0</v>
      </c>
      <c r="AP343">
        <f>SUM(AP8:AP340)-AP341</f>
        <v>0</v>
      </c>
      <c r="AQ343">
        <f>SUM(AQ8:AQ340)-AQ341</f>
        <v>0</v>
      </c>
      <c r="AR343">
        <f t="shared" si="0"/>
        <v>0</v>
      </c>
      <c r="AS343">
        <f t="shared" si="0"/>
        <v>0</v>
      </c>
      <c r="AT343">
        <f t="shared" si="0"/>
        <v>0</v>
      </c>
      <c r="AU343">
        <f t="shared" si="0"/>
        <v>0</v>
      </c>
      <c r="AV343">
        <f t="shared" si="0"/>
        <v>0</v>
      </c>
      <c r="AW343">
        <f t="shared" si="0"/>
        <v>0</v>
      </c>
      <c r="AX343">
        <f t="shared" si="0"/>
        <v>0</v>
      </c>
      <c r="AY343">
        <f t="shared" si="0"/>
        <v>0</v>
      </c>
      <c r="AZ343">
        <f>SUM(AZ8:AZ340)-AZ341</f>
        <v>0</v>
      </c>
      <c r="BA343">
        <f t="shared" ref="BA343:BP343" si="1">SUM(BA8:BA340)-BA341</f>
        <v>0</v>
      </c>
      <c r="BB343">
        <f t="shared" si="1"/>
        <v>0</v>
      </c>
      <c r="BC343">
        <f t="shared" si="1"/>
        <v>0</v>
      </c>
      <c r="BD343">
        <f t="shared" si="1"/>
        <v>0</v>
      </c>
      <c r="BE343">
        <f t="shared" si="1"/>
        <v>0</v>
      </c>
      <c r="BF343">
        <f t="shared" si="1"/>
        <v>0</v>
      </c>
      <c r="BG343">
        <f t="shared" si="1"/>
        <v>0</v>
      </c>
      <c r="BH343">
        <f t="shared" si="1"/>
        <v>0</v>
      </c>
      <c r="BI343">
        <f t="shared" si="1"/>
        <v>0</v>
      </c>
      <c r="BJ343">
        <f t="shared" si="1"/>
        <v>0</v>
      </c>
      <c r="BK343">
        <f t="shared" si="1"/>
        <v>0</v>
      </c>
      <c r="BL343">
        <f t="shared" si="1"/>
        <v>0</v>
      </c>
      <c r="BM343">
        <f t="shared" si="1"/>
        <v>0</v>
      </c>
      <c r="BN343">
        <f t="shared" si="1"/>
        <v>0</v>
      </c>
      <c r="BO343">
        <f t="shared" si="1"/>
        <v>0</v>
      </c>
      <c r="BP343">
        <f t="shared" si="1"/>
        <v>0</v>
      </c>
      <c r="BQ343" s="21"/>
    </row>
    <row r="344" spans="1:69" x14ac:dyDescent="0.2">
      <c r="BQ344" s="21"/>
    </row>
    <row r="345" spans="1:69" x14ac:dyDescent="0.2">
      <c r="A345" t="s">
        <v>608</v>
      </c>
      <c r="D345">
        <v>1</v>
      </c>
      <c r="E345" s="16">
        <f t="shared" ref="E345:AY345" si="2">SUMIF($D$7:$D$339,$D$345,E7:E339)</f>
        <v>883848.67300000007</v>
      </c>
      <c r="F345" s="16">
        <f t="shared" si="2"/>
        <v>167764.49400000004</v>
      </c>
      <c r="G345" s="16">
        <f t="shared" si="2"/>
        <v>33953.565999999999</v>
      </c>
      <c r="H345" s="16">
        <f t="shared" si="2"/>
        <v>20632.565999999999</v>
      </c>
      <c r="I345" s="16">
        <f t="shared" si="2"/>
        <v>13186.802</v>
      </c>
      <c r="J345" s="16">
        <f t="shared" si="2"/>
        <v>26387.725999999999</v>
      </c>
      <c r="K345" s="16">
        <f t="shared" si="2"/>
        <v>0</v>
      </c>
      <c r="L345" s="16">
        <f t="shared" si="2"/>
        <v>3606.3429999999998</v>
      </c>
      <c r="M345" s="16">
        <f t="shared" si="2"/>
        <v>1865253.2630000003</v>
      </c>
      <c r="N345" s="16">
        <f t="shared" si="2"/>
        <v>221424.65900000001</v>
      </c>
      <c r="O345" s="16">
        <f>SUMIF($D$7:$D$339,$D$345,O7:O339)</f>
        <v>62.487000000000002</v>
      </c>
      <c r="P345" s="16">
        <f t="shared" si="2"/>
        <v>4897.0639999999994</v>
      </c>
      <c r="Q345" s="16">
        <f t="shared" si="2"/>
        <v>562.86500000000001</v>
      </c>
      <c r="R345" s="16">
        <f t="shared" si="2"/>
        <v>5518.2719999999999</v>
      </c>
      <c r="S345" s="16">
        <f t="shared" si="2"/>
        <v>3945.61</v>
      </c>
      <c r="T345" s="16">
        <f t="shared" si="2"/>
        <v>47716.276999999995</v>
      </c>
      <c r="U345" s="16">
        <f t="shared" si="2"/>
        <v>83.712000000000003</v>
      </c>
      <c r="V345" s="16">
        <f t="shared" si="2"/>
        <v>2092.4429999999998</v>
      </c>
      <c r="W345" s="16">
        <f t="shared" si="2"/>
        <v>9269.6579999999994</v>
      </c>
      <c r="X345" s="16">
        <f t="shared" si="2"/>
        <v>19495.511999999995</v>
      </c>
      <c r="Y345" s="16">
        <f t="shared" si="2"/>
        <v>15641.647999999999</v>
      </c>
      <c r="Z345" s="16">
        <f t="shared" si="2"/>
        <v>313245.07700000005</v>
      </c>
      <c r="AA345" s="16">
        <f t="shared" si="2"/>
        <v>68234.975000000006</v>
      </c>
      <c r="AB345" s="16">
        <f t="shared" si="2"/>
        <v>83162.645999999993</v>
      </c>
      <c r="AC345" s="16">
        <f t="shared" si="2"/>
        <v>182163.533</v>
      </c>
      <c r="AD345" s="16">
        <f t="shared" si="2"/>
        <v>29225.447</v>
      </c>
      <c r="AE345" s="16">
        <f t="shared" si="2"/>
        <v>15512.712000000001</v>
      </c>
      <c r="AF345" s="16">
        <f t="shared" si="2"/>
        <v>970672.27399999986</v>
      </c>
      <c r="AG345" s="16">
        <f t="shared" si="2"/>
        <v>338077.01400000002</v>
      </c>
      <c r="AH345" s="16">
        <f t="shared" si="2"/>
        <v>68386.176999999996</v>
      </c>
      <c r="AI345" s="16">
        <f t="shared" si="2"/>
        <v>3042378.1770000001</v>
      </c>
      <c r="AJ345" s="16">
        <f t="shared" si="2"/>
        <v>598074.45399999991</v>
      </c>
      <c r="AK345" s="16">
        <f t="shared" si="2"/>
        <v>356322.75499999995</v>
      </c>
      <c r="AL345" s="16">
        <f t="shared" si="2"/>
        <v>7060365.1430000002</v>
      </c>
      <c r="AM345" s="16">
        <f t="shared" si="2"/>
        <v>0</v>
      </c>
      <c r="AN345" s="16">
        <f t="shared" si="2"/>
        <v>4185588.81</v>
      </c>
      <c r="AO345" s="16">
        <f>SUMIF($D$7:$D$339,$D$345,AO7:AO339)</f>
        <v>359.54599999999999</v>
      </c>
      <c r="AP345" s="16">
        <f>SUMIF($D$7:$D$339,$D$345,AP7:AP339)</f>
        <v>2331825.5399999996</v>
      </c>
      <c r="AQ345" s="16">
        <f>SUMIF($D$7:$D$339,$D$345,AQ7:AQ339)</f>
        <v>5486.5410000000002</v>
      </c>
      <c r="AR345" s="16">
        <f t="shared" si="2"/>
        <v>4631.0619999999999</v>
      </c>
      <c r="AS345" s="16">
        <f t="shared" si="2"/>
        <v>101995.23</v>
      </c>
      <c r="AT345" s="16">
        <f t="shared" si="2"/>
        <v>2020.636</v>
      </c>
      <c r="AU345" s="16">
        <f t="shared" si="2"/>
        <v>547.03100000000006</v>
      </c>
      <c r="AV345" s="16">
        <f t="shared" si="2"/>
        <v>0</v>
      </c>
      <c r="AW345" s="16">
        <f t="shared" si="2"/>
        <v>11381.598000000002</v>
      </c>
      <c r="AX345" s="16">
        <f t="shared" si="2"/>
        <v>6759.8670000000002</v>
      </c>
      <c r="AY345" s="16">
        <f t="shared" si="2"/>
        <v>7053.2479999999996</v>
      </c>
      <c r="AZ345" s="16">
        <f>SUMIF($D$7:$D$339,$D$345,AZ7:AZ339)</f>
        <v>9768.7060000000001</v>
      </c>
      <c r="BA345" s="16">
        <f t="shared" ref="BA345:BP345" si="3">SUMIF($D$7:$D$339,$D$345,BA7:BA339)</f>
        <v>1366.271</v>
      </c>
      <c r="BB345" s="16">
        <f t="shared" si="3"/>
        <v>333.15600000000001</v>
      </c>
      <c r="BC345" s="16">
        <f t="shared" si="3"/>
        <v>4170.027</v>
      </c>
      <c r="BD345" s="16">
        <f t="shared" si="3"/>
        <v>961.75</v>
      </c>
      <c r="BE345" s="16">
        <f t="shared" si="3"/>
        <v>1280.1379999999999</v>
      </c>
      <c r="BF345" s="16">
        <f t="shared" si="3"/>
        <v>743.54500000000007</v>
      </c>
      <c r="BG345" s="16">
        <f t="shared" si="3"/>
        <v>116.82199999999999</v>
      </c>
      <c r="BH345" s="16">
        <f t="shared" si="3"/>
        <v>290.76499999999999</v>
      </c>
      <c r="BI345" s="16">
        <f t="shared" si="3"/>
        <v>305908.41600000003</v>
      </c>
      <c r="BJ345" s="16">
        <f t="shared" si="3"/>
        <v>264.56100000000004</v>
      </c>
      <c r="BK345" s="16">
        <f t="shared" si="3"/>
        <v>0</v>
      </c>
      <c r="BL345" s="16">
        <f t="shared" si="3"/>
        <v>0</v>
      </c>
      <c r="BM345" s="16">
        <f t="shared" si="3"/>
        <v>0</v>
      </c>
      <c r="BN345" s="16">
        <f t="shared" si="3"/>
        <v>0</v>
      </c>
      <c r="BO345" s="16">
        <f t="shared" si="3"/>
        <v>0</v>
      </c>
      <c r="BP345" s="16">
        <f t="shared" si="3"/>
        <v>0</v>
      </c>
      <c r="BQ345" s="21"/>
    </row>
    <row r="346" spans="1:69" x14ac:dyDescent="0.2">
      <c r="A346" t="s">
        <v>609</v>
      </c>
      <c r="D346">
        <v>2</v>
      </c>
      <c r="E346" s="16">
        <f t="shared" ref="E346:AY346" si="4">SUMIF($D$7:$D$339,$D$346,E7:E339)</f>
        <v>1836073.0349999999</v>
      </c>
      <c r="F346" s="16">
        <f t="shared" si="4"/>
        <v>151394.92599999998</v>
      </c>
      <c r="G346" s="16">
        <f t="shared" si="4"/>
        <v>357066.61699999997</v>
      </c>
      <c r="H346" s="16">
        <f t="shared" si="4"/>
        <v>0</v>
      </c>
      <c r="I346" s="16">
        <f t="shared" si="4"/>
        <v>53029.004999999997</v>
      </c>
      <c r="J346" s="16">
        <f t="shared" si="4"/>
        <v>250986.283</v>
      </c>
      <c r="K346" s="16">
        <f t="shared" si="4"/>
        <v>0</v>
      </c>
      <c r="L346" s="16">
        <f t="shared" si="4"/>
        <v>222772.03600000002</v>
      </c>
      <c r="M346" s="16">
        <f t="shared" si="4"/>
        <v>518231.79100000003</v>
      </c>
      <c r="N346" s="16">
        <f t="shared" si="4"/>
        <v>675635.45400000003</v>
      </c>
      <c r="O346" s="16">
        <f>SUMIF($D$7:$D$339,$D$346,O7:O339)</f>
        <v>12239.709000000001</v>
      </c>
      <c r="P346" s="16">
        <f t="shared" si="4"/>
        <v>6.343</v>
      </c>
      <c r="Q346" s="16">
        <f t="shared" si="4"/>
        <v>16483.98</v>
      </c>
      <c r="R346" s="16">
        <f t="shared" si="4"/>
        <v>1766.2329999999999</v>
      </c>
      <c r="S346" s="16">
        <f t="shared" si="4"/>
        <v>4701.7669999999998</v>
      </c>
      <c r="T346" s="16">
        <f t="shared" si="4"/>
        <v>49266.782000000007</v>
      </c>
      <c r="U346" s="16">
        <f t="shared" si="4"/>
        <v>1428.153</v>
      </c>
      <c r="V346" s="16">
        <f t="shared" si="4"/>
        <v>163412.69899999999</v>
      </c>
      <c r="W346" s="16">
        <f t="shared" si="4"/>
        <v>23683.097000000002</v>
      </c>
      <c r="X346" s="16">
        <f t="shared" si="4"/>
        <v>54760.545000000006</v>
      </c>
      <c r="Y346" s="16">
        <f t="shared" si="4"/>
        <v>23349.749</v>
      </c>
      <c r="Z346" s="16">
        <f t="shared" si="4"/>
        <v>242436.81199999998</v>
      </c>
      <c r="AA346" s="16">
        <f t="shared" si="4"/>
        <v>29.693000000000001</v>
      </c>
      <c r="AB346" s="16">
        <f t="shared" si="4"/>
        <v>277814.37400000001</v>
      </c>
      <c r="AC346" s="16">
        <f t="shared" si="4"/>
        <v>172.547</v>
      </c>
      <c r="AD346" s="16">
        <f t="shared" si="4"/>
        <v>20041.653999999999</v>
      </c>
      <c r="AE346" s="16">
        <f t="shared" si="4"/>
        <v>8783.3490000000002</v>
      </c>
      <c r="AF346" s="16">
        <f t="shared" si="4"/>
        <v>609236.63800000004</v>
      </c>
      <c r="AG346" s="16">
        <f t="shared" si="4"/>
        <v>21165.466</v>
      </c>
      <c r="AH346" s="16">
        <f t="shared" si="4"/>
        <v>29308.194</v>
      </c>
      <c r="AI346" s="16">
        <f t="shared" si="4"/>
        <v>2177088.1370000001</v>
      </c>
      <c r="AJ346" s="16">
        <f t="shared" si="4"/>
        <v>37345.356</v>
      </c>
      <c r="AK346" s="16">
        <f t="shared" si="4"/>
        <v>161.905</v>
      </c>
      <c r="AL346" s="16">
        <f t="shared" si="4"/>
        <v>673551.34700000007</v>
      </c>
      <c r="AM346" s="16">
        <f t="shared" si="4"/>
        <v>0</v>
      </c>
      <c r="AN346" s="16">
        <f t="shared" si="4"/>
        <v>399834.47400000005</v>
      </c>
      <c r="AO346" s="16">
        <f>SUMIF($D$7:$D$339,$D$346,AO7:AO339)</f>
        <v>30410.887999999999</v>
      </c>
      <c r="AP346" s="16">
        <f>SUMIF($D$7:$D$339,$D$346,AP7:AP339)</f>
        <v>222748.84099999999</v>
      </c>
      <c r="AQ346" s="16">
        <f>SUMIF($D$7:$D$339,$D$346,AQ7:AQ339)</f>
        <v>4719.3419999999996</v>
      </c>
      <c r="AR346" s="16">
        <f t="shared" si="4"/>
        <v>0</v>
      </c>
      <c r="AS346" s="16">
        <f t="shared" si="4"/>
        <v>6439.6440000000002</v>
      </c>
      <c r="AT346" s="16">
        <f t="shared" si="4"/>
        <v>0</v>
      </c>
      <c r="AU346" s="16">
        <f t="shared" si="4"/>
        <v>1129.615</v>
      </c>
      <c r="AV346" s="16">
        <f t="shared" si="4"/>
        <v>0</v>
      </c>
      <c r="AW346" s="16">
        <f t="shared" si="4"/>
        <v>30020.931000000004</v>
      </c>
      <c r="AX346" s="16">
        <f t="shared" si="4"/>
        <v>0</v>
      </c>
      <c r="AY346" s="16">
        <f t="shared" si="4"/>
        <v>0</v>
      </c>
      <c r="AZ346" s="16">
        <f>SUMIF($D$7:$D$339,$D$346,AZ7:AZ339)</f>
        <v>9317.4809999999998</v>
      </c>
      <c r="BA346" s="16">
        <f t="shared" ref="BA346:BP346" si="5">SUMIF($D$7:$D$339,$D$346,BA7:BA339)</f>
        <v>1555.2219999999998</v>
      </c>
      <c r="BB346" s="16">
        <f t="shared" si="5"/>
        <v>44.487000000000002</v>
      </c>
      <c r="BC346" s="16">
        <f t="shared" si="5"/>
        <v>3550.413</v>
      </c>
      <c r="BD346" s="16">
        <f t="shared" si="5"/>
        <v>667.82400000000007</v>
      </c>
      <c r="BE346" s="16">
        <f t="shared" si="5"/>
        <v>2571.5100000000002</v>
      </c>
      <c r="BF346" s="16">
        <f t="shared" si="5"/>
        <v>89.736999999999995</v>
      </c>
      <c r="BG346" s="16">
        <f t="shared" si="5"/>
        <v>111.66800000000001</v>
      </c>
      <c r="BH346" s="16">
        <f t="shared" si="5"/>
        <v>42.344000000000001</v>
      </c>
      <c r="BI346" s="16">
        <f t="shared" si="5"/>
        <v>34521.159</v>
      </c>
      <c r="BJ346" s="16">
        <f t="shared" si="5"/>
        <v>877.76699999999994</v>
      </c>
      <c r="BK346" s="16">
        <f t="shared" si="5"/>
        <v>0</v>
      </c>
      <c r="BL346" s="16">
        <f t="shared" si="5"/>
        <v>0</v>
      </c>
      <c r="BM346" s="16">
        <f t="shared" si="5"/>
        <v>0</v>
      </c>
      <c r="BN346" s="16">
        <f t="shared" si="5"/>
        <v>0</v>
      </c>
      <c r="BO346" s="16">
        <f t="shared" si="5"/>
        <v>0</v>
      </c>
      <c r="BP346" s="16">
        <f t="shared" si="5"/>
        <v>0</v>
      </c>
      <c r="BQ346" s="21"/>
    </row>
    <row r="347" spans="1:69" x14ac:dyDescent="0.2">
      <c r="A347" t="s">
        <v>610</v>
      </c>
      <c r="D347">
        <v>3</v>
      </c>
      <c r="E347" s="16">
        <f t="shared" ref="E347:AY347" si="6">SUMIF($D$7:$D$339,$D$347,E7:E339)</f>
        <v>1830313.7469999997</v>
      </c>
      <c r="F347" s="16">
        <f t="shared" si="6"/>
        <v>244516.01100000003</v>
      </c>
      <c r="G347" s="16">
        <f t="shared" si="6"/>
        <v>468491.29500000004</v>
      </c>
      <c r="H347" s="16">
        <f t="shared" si="6"/>
        <v>75896.512000000017</v>
      </c>
      <c r="I347" s="16">
        <f t="shared" si="6"/>
        <v>44871.719000000005</v>
      </c>
      <c r="J347" s="16">
        <f t="shared" si="6"/>
        <v>328138.60100000002</v>
      </c>
      <c r="K347" s="16">
        <f t="shared" si="6"/>
        <v>0</v>
      </c>
      <c r="L347" s="16">
        <f t="shared" si="6"/>
        <v>50072.533000000003</v>
      </c>
      <c r="M347" s="16">
        <f t="shared" si="6"/>
        <v>819260.51099999982</v>
      </c>
      <c r="N347" s="16">
        <f t="shared" si="6"/>
        <v>1146541.7269999997</v>
      </c>
      <c r="O347" s="16">
        <f>SUMIF($D$7:$D$339,$D$347,O7:O339)</f>
        <v>3305.183</v>
      </c>
      <c r="P347" s="16">
        <f t="shared" si="6"/>
        <v>0</v>
      </c>
      <c r="Q347" s="16">
        <f t="shared" si="6"/>
        <v>67.449999999999989</v>
      </c>
      <c r="R347" s="16">
        <f t="shared" si="6"/>
        <v>3341.3830000000003</v>
      </c>
      <c r="S347" s="16">
        <f t="shared" si="6"/>
        <v>11554.768</v>
      </c>
      <c r="T347" s="16">
        <f t="shared" si="6"/>
        <v>105204.46700000002</v>
      </c>
      <c r="U347" s="16">
        <f t="shared" si="6"/>
        <v>0</v>
      </c>
      <c r="V347" s="16">
        <f t="shared" si="6"/>
        <v>36730.319000000003</v>
      </c>
      <c r="W347" s="16">
        <f t="shared" si="6"/>
        <v>41765.428</v>
      </c>
      <c r="X347" s="16">
        <f t="shared" si="6"/>
        <v>89436.930999999997</v>
      </c>
      <c r="Y347" s="16">
        <f t="shared" si="6"/>
        <v>0</v>
      </c>
      <c r="Z347" s="16">
        <f t="shared" si="6"/>
        <v>200148.73199999999</v>
      </c>
      <c r="AA347" s="16">
        <f t="shared" si="6"/>
        <v>12983.263999999999</v>
      </c>
      <c r="AB347" s="16">
        <f t="shared" si="6"/>
        <v>408749.27899999992</v>
      </c>
      <c r="AC347" s="16">
        <f t="shared" si="6"/>
        <v>0</v>
      </c>
      <c r="AD347" s="16">
        <f t="shared" si="6"/>
        <v>45696.313000000002</v>
      </c>
      <c r="AE347" s="16">
        <f t="shared" si="6"/>
        <v>13080.756000000001</v>
      </c>
      <c r="AF347" s="16">
        <f t="shared" si="6"/>
        <v>410254.679</v>
      </c>
      <c r="AG347" s="16">
        <f t="shared" si="6"/>
        <v>12341.005999999998</v>
      </c>
      <c r="AH347" s="16">
        <f t="shared" si="6"/>
        <v>52526.619999999995</v>
      </c>
      <c r="AI347" s="16">
        <f t="shared" si="6"/>
        <v>2232962.7300000004</v>
      </c>
      <c r="AJ347" s="16">
        <f t="shared" si="6"/>
        <v>20619.454000000002</v>
      </c>
      <c r="AK347" s="16">
        <f t="shared" si="6"/>
        <v>66617.172999999995</v>
      </c>
      <c r="AL347" s="16">
        <f t="shared" si="6"/>
        <v>0</v>
      </c>
      <c r="AM347" s="16">
        <f t="shared" si="6"/>
        <v>0</v>
      </c>
      <c r="AN347" s="16">
        <f t="shared" si="6"/>
        <v>0</v>
      </c>
      <c r="AO347" s="16">
        <f>SUMIF($D$7:$D$339,$D$347,AO7:AO339)</f>
        <v>6835.4629999999997</v>
      </c>
      <c r="AP347" s="16">
        <f>SUMIF($D$7:$D$339,$D$347,AP7:AP339)</f>
        <v>0</v>
      </c>
      <c r="AQ347" s="16">
        <f>SUMIF($D$7:$D$339,$D$347,AQ7:AQ339)</f>
        <v>7175.5169999999989</v>
      </c>
      <c r="AR347" s="16">
        <f t="shared" si="6"/>
        <v>0</v>
      </c>
      <c r="AS347" s="16">
        <f t="shared" si="6"/>
        <v>3634.6759999999995</v>
      </c>
      <c r="AT347" s="16">
        <f t="shared" si="6"/>
        <v>0</v>
      </c>
      <c r="AU347" s="16">
        <f t="shared" si="6"/>
        <v>791.245</v>
      </c>
      <c r="AV347" s="16">
        <f t="shared" si="6"/>
        <v>0</v>
      </c>
      <c r="AW347" s="16">
        <f t="shared" si="6"/>
        <v>25290.639999999992</v>
      </c>
      <c r="AX347" s="16">
        <f t="shared" si="6"/>
        <v>0</v>
      </c>
      <c r="AY347" s="16">
        <f t="shared" si="6"/>
        <v>0</v>
      </c>
      <c r="AZ347" s="16">
        <f>SUMIF($D$7:$D$339,$D$347,AZ7:AZ339)</f>
        <v>0</v>
      </c>
      <c r="BA347" s="16">
        <f t="shared" ref="BA347:BP347" si="7">SUMIF($D$7:$D$339,$D$347,BA7:BA339)</f>
        <v>3627.2379999999998</v>
      </c>
      <c r="BB347" s="16">
        <f t="shared" si="7"/>
        <v>93.206999999999994</v>
      </c>
      <c r="BC347" s="16">
        <f t="shared" si="7"/>
        <v>0</v>
      </c>
      <c r="BD347" s="16">
        <f t="shared" si="7"/>
        <v>1513.1270000000002</v>
      </c>
      <c r="BE347" s="16">
        <f t="shared" si="7"/>
        <v>6173.5210000000006</v>
      </c>
      <c r="BF347" s="16">
        <f t="shared" si="7"/>
        <v>188.01300000000001</v>
      </c>
      <c r="BG347" s="16">
        <f t="shared" si="7"/>
        <v>211.19500000000002</v>
      </c>
      <c r="BH347" s="16">
        <f t="shared" si="7"/>
        <v>88.716000000000008</v>
      </c>
      <c r="BI347" s="16">
        <f t="shared" si="7"/>
        <v>47963.07</v>
      </c>
      <c r="BJ347" s="16">
        <f t="shared" si="7"/>
        <v>2293.6329999999998</v>
      </c>
      <c r="BK347" s="16">
        <f t="shared" si="7"/>
        <v>0</v>
      </c>
      <c r="BL347" s="16">
        <f t="shared" si="7"/>
        <v>0</v>
      </c>
      <c r="BM347" s="16">
        <f t="shared" si="7"/>
        <v>0</v>
      </c>
      <c r="BN347" s="16">
        <f t="shared" si="7"/>
        <v>0</v>
      </c>
      <c r="BO347" s="16">
        <f t="shared" si="7"/>
        <v>0</v>
      </c>
      <c r="BP347" s="16">
        <f t="shared" si="7"/>
        <v>0</v>
      </c>
      <c r="BQ347" s="21"/>
    </row>
    <row r="348" spans="1:69" x14ac:dyDescent="0.2">
      <c r="A348" t="s">
        <v>611</v>
      </c>
      <c r="B348">
        <v>7</v>
      </c>
      <c r="D348">
        <v>4</v>
      </c>
      <c r="E348" s="16">
        <f t="shared" ref="E348:AY348" si="8">SUMIF($D$7:$D$339,$D$348,E7:E339)</f>
        <v>1101727.1329999997</v>
      </c>
      <c r="F348" s="16">
        <f t="shared" si="8"/>
        <v>241636.53399999999</v>
      </c>
      <c r="G348" s="16">
        <f t="shared" si="8"/>
        <v>228.91400000000004</v>
      </c>
      <c r="H348" s="16">
        <f t="shared" si="8"/>
        <v>12873.879000000001</v>
      </c>
      <c r="I348" s="16">
        <f t="shared" si="8"/>
        <v>11271.191000000003</v>
      </c>
      <c r="J348" s="16">
        <f t="shared" si="8"/>
        <v>163.506</v>
      </c>
      <c r="K348" s="16">
        <f t="shared" si="8"/>
        <v>0</v>
      </c>
      <c r="L348" s="16">
        <f t="shared" si="8"/>
        <v>0</v>
      </c>
      <c r="M348" s="16">
        <f t="shared" si="8"/>
        <v>2834953.5640000002</v>
      </c>
      <c r="N348" s="16">
        <f t="shared" si="8"/>
        <v>263375.62400000001</v>
      </c>
      <c r="O348" s="16">
        <f>SUMIF($D$7:$D$339,$D$348,O7:O339)</f>
        <v>0</v>
      </c>
      <c r="P348" s="16">
        <f t="shared" si="8"/>
        <v>1594.4390000000001</v>
      </c>
      <c r="Q348" s="16">
        <f t="shared" si="8"/>
        <v>33.956000000000003</v>
      </c>
      <c r="R348" s="16">
        <f t="shared" si="8"/>
        <v>962.03300000000002</v>
      </c>
      <c r="S348" s="16">
        <f t="shared" si="8"/>
        <v>100.084</v>
      </c>
      <c r="T348" s="16">
        <f t="shared" si="8"/>
        <v>67850.135000000009</v>
      </c>
      <c r="U348" s="16">
        <f t="shared" si="8"/>
        <v>0</v>
      </c>
      <c r="V348" s="16">
        <f t="shared" si="8"/>
        <v>0</v>
      </c>
      <c r="W348" s="16">
        <f t="shared" si="8"/>
        <v>23.816000000000003</v>
      </c>
      <c r="X348" s="16">
        <f t="shared" si="8"/>
        <v>20097.071000000004</v>
      </c>
      <c r="Y348" s="16">
        <f t="shared" si="8"/>
        <v>162214.364</v>
      </c>
      <c r="Z348" s="16">
        <f t="shared" si="8"/>
        <v>446414.65000000008</v>
      </c>
      <c r="AA348" s="16">
        <f t="shared" si="8"/>
        <v>44075.186000000002</v>
      </c>
      <c r="AB348" s="16">
        <f t="shared" si="8"/>
        <v>209.54400000000001</v>
      </c>
      <c r="AC348" s="16">
        <f t="shared" si="8"/>
        <v>47737.965000000004</v>
      </c>
      <c r="AD348" s="16">
        <f t="shared" si="8"/>
        <v>40745.972999999991</v>
      </c>
      <c r="AE348" s="16">
        <f t="shared" si="8"/>
        <v>16066.991</v>
      </c>
      <c r="AF348" s="16">
        <f t="shared" si="8"/>
        <v>1155030.0830000001</v>
      </c>
      <c r="AG348" s="16">
        <f t="shared" si="8"/>
        <v>562936.91</v>
      </c>
      <c r="AH348" s="16">
        <f t="shared" si="8"/>
        <v>72024.915999999997</v>
      </c>
      <c r="AI348" s="16">
        <f t="shared" si="8"/>
        <v>4633451.0069999993</v>
      </c>
      <c r="AJ348" s="16">
        <f t="shared" si="8"/>
        <v>991105.77899999975</v>
      </c>
      <c r="AK348" s="16">
        <f t="shared" si="8"/>
        <v>248811.391</v>
      </c>
      <c r="AL348" s="16">
        <f t="shared" si="8"/>
        <v>1498270.588</v>
      </c>
      <c r="AM348" s="16">
        <f t="shared" si="8"/>
        <v>0</v>
      </c>
      <c r="AN348" s="16">
        <f t="shared" si="8"/>
        <v>889405.47100000002</v>
      </c>
      <c r="AO348" s="16">
        <f>SUMIF($D$7:$D$339,$D$348,AO7:AO339)</f>
        <v>0</v>
      </c>
      <c r="AP348" s="16">
        <f>SUMIF($D$7:$D$339,$D$348,AP7:AP339)</f>
        <v>495490.14600000001</v>
      </c>
      <c r="AQ348" s="16">
        <f>SUMIF($D$7:$D$339,$D$348,AQ7:AQ339)</f>
        <v>6355.3470000000016</v>
      </c>
      <c r="AR348" s="16">
        <f t="shared" si="8"/>
        <v>38789.646000000001</v>
      </c>
      <c r="AS348" s="16">
        <f t="shared" si="8"/>
        <v>169755.826</v>
      </c>
      <c r="AT348" s="16">
        <f t="shared" si="8"/>
        <v>16383.919</v>
      </c>
      <c r="AU348" s="16">
        <f t="shared" si="8"/>
        <v>685.82399999999984</v>
      </c>
      <c r="AV348" s="16">
        <f t="shared" si="8"/>
        <v>0</v>
      </c>
      <c r="AW348" s="16">
        <f t="shared" si="8"/>
        <v>8757.9250000000011</v>
      </c>
      <c r="AX348" s="16">
        <f t="shared" si="8"/>
        <v>59861.675999999999</v>
      </c>
      <c r="AY348" s="16">
        <f t="shared" si="8"/>
        <v>58431.019</v>
      </c>
      <c r="AZ348" s="16">
        <f>SUMIF($D$7:$D$339,$D$348,AZ7:AZ339)</f>
        <v>64730.030999999995</v>
      </c>
      <c r="BA348" s="16">
        <f t="shared" ref="BA348:BP348" si="9">SUMIF($D$7:$D$339,$D$348,BA7:BA339)</f>
        <v>646.24400000000014</v>
      </c>
      <c r="BB348" s="16">
        <f t="shared" si="9"/>
        <v>2538.9879999999998</v>
      </c>
      <c r="BC348" s="16">
        <f t="shared" si="9"/>
        <v>24665.276999999998</v>
      </c>
      <c r="BD348" s="16">
        <f t="shared" si="9"/>
        <v>1294.6480000000001</v>
      </c>
      <c r="BE348" s="16">
        <f t="shared" si="9"/>
        <v>2.4630000000000001</v>
      </c>
      <c r="BF348" s="16">
        <f t="shared" si="9"/>
        <v>5121.5300000000007</v>
      </c>
      <c r="BG348" s="16">
        <f t="shared" si="9"/>
        <v>180.63700000000003</v>
      </c>
      <c r="BH348" s="16">
        <f t="shared" si="9"/>
        <v>2416.6829999999995</v>
      </c>
      <c r="BI348" s="16">
        <f t="shared" si="9"/>
        <v>86577.622000000003</v>
      </c>
      <c r="BJ348" s="16">
        <f t="shared" si="9"/>
        <v>0.91400000000000015</v>
      </c>
      <c r="BK348" s="16">
        <f t="shared" si="9"/>
        <v>0</v>
      </c>
      <c r="BL348" s="16">
        <f t="shared" si="9"/>
        <v>2E-3</v>
      </c>
      <c r="BM348" s="16">
        <f t="shared" si="9"/>
        <v>0</v>
      </c>
      <c r="BN348" s="16">
        <f t="shared" si="9"/>
        <v>0</v>
      </c>
      <c r="BO348" s="16">
        <f t="shared" si="9"/>
        <v>0</v>
      </c>
      <c r="BP348" s="16">
        <f t="shared" si="9"/>
        <v>0</v>
      </c>
      <c r="BQ348" s="21"/>
    </row>
    <row r="349" spans="1:69" x14ac:dyDescent="0.2">
      <c r="A349" t="s">
        <v>612</v>
      </c>
      <c r="D349">
        <v>5</v>
      </c>
      <c r="E349" s="16">
        <f t="shared" ref="E349:AY349" si="10">SUMIF($D$7:$D$339,$D$349,E7:E339)</f>
        <v>741639.728</v>
      </c>
      <c r="F349" s="16">
        <f t="shared" si="10"/>
        <v>48247.893000000004</v>
      </c>
      <c r="G349" s="16">
        <f t="shared" si="10"/>
        <v>89730.125999999989</v>
      </c>
      <c r="H349" s="16">
        <f t="shared" si="10"/>
        <v>955011.33299999998</v>
      </c>
      <c r="I349" s="16">
        <f t="shared" si="10"/>
        <v>12515.260000000002</v>
      </c>
      <c r="J349" s="16">
        <f t="shared" si="10"/>
        <v>68851.410999999993</v>
      </c>
      <c r="K349" s="16">
        <f t="shared" si="10"/>
        <v>0</v>
      </c>
      <c r="L349" s="16">
        <f t="shared" si="10"/>
        <v>6804.2309999999998</v>
      </c>
      <c r="M349" s="16">
        <f t="shared" si="10"/>
        <v>647279.01400000008</v>
      </c>
      <c r="N349" s="16">
        <f t="shared" si="10"/>
        <v>355598.61</v>
      </c>
      <c r="O349" s="16">
        <f>SUMIF($D$7:$D$339,$D$349,O7:O339)</f>
        <v>0</v>
      </c>
      <c r="P349" s="16">
        <f t="shared" si="10"/>
        <v>0</v>
      </c>
      <c r="Q349" s="16">
        <f t="shared" si="10"/>
        <v>2377.127</v>
      </c>
      <c r="R349" s="16">
        <f t="shared" si="10"/>
        <v>0</v>
      </c>
      <c r="S349" s="16">
        <f t="shared" si="10"/>
        <v>86.617000000000004</v>
      </c>
      <c r="T349" s="16">
        <f t="shared" si="10"/>
        <v>-794.92099999999994</v>
      </c>
      <c r="U349" s="16">
        <f t="shared" si="10"/>
        <v>0</v>
      </c>
      <c r="V349" s="16">
        <f t="shared" si="10"/>
        <v>2529.0729999999999</v>
      </c>
      <c r="W349" s="16">
        <f t="shared" si="10"/>
        <v>7043.0689999999995</v>
      </c>
      <c r="X349" s="16">
        <f t="shared" si="10"/>
        <v>23987.128000000001</v>
      </c>
      <c r="Y349" s="16">
        <f t="shared" si="10"/>
        <v>0</v>
      </c>
      <c r="Z349" s="16">
        <f t="shared" si="10"/>
        <v>206975.32199999999</v>
      </c>
      <c r="AA349" s="16">
        <f t="shared" si="10"/>
        <v>0</v>
      </c>
      <c r="AB349" s="16">
        <f t="shared" si="10"/>
        <v>56335.61</v>
      </c>
      <c r="AC349" s="16">
        <f t="shared" si="10"/>
        <v>-2.0249999999999999</v>
      </c>
      <c r="AD349" s="16">
        <f t="shared" si="10"/>
        <v>8193.2670000000016</v>
      </c>
      <c r="AE349" s="16">
        <f t="shared" si="10"/>
        <v>0</v>
      </c>
      <c r="AF349" s="16">
        <f t="shared" si="10"/>
        <v>633608.73999999987</v>
      </c>
      <c r="AG349" s="16">
        <f t="shared" si="10"/>
        <v>6946.5620000000054</v>
      </c>
      <c r="AH349" s="16">
        <f t="shared" si="10"/>
        <v>3079.4940000000001</v>
      </c>
      <c r="AI349" s="16">
        <f t="shared" si="10"/>
        <v>1872031.8489999997</v>
      </c>
      <c r="AJ349" s="16">
        <f t="shared" si="10"/>
        <v>112603.01999999999</v>
      </c>
      <c r="AK349" s="16">
        <f t="shared" si="10"/>
        <v>24.876999999999999</v>
      </c>
      <c r="AL349" s="16">
        <f t="shared" si="10"/>
        <v>33.691000000000003</v>
      </c>
      <c r="AM349" s="16">
        <f t="shared" si="10"/>
        <v>0</v>
      </c>
      <c r="AN349" s="16">
        <f t="shared" si="10"/>
        <v>116.35599999999999</v>
      </c>
      <c r="AO349" s="16">
        <f>SUMIF($D$7:$D$339,$D$349,AO7:AO339)</f>
        <v>543.25400000000002</v>
      </c>
      <c r="AP349" s="16">
        <f>SUMIF($D$7:$D$339,$D$349,AP7:AP339)</f>
        <v>636.41</v>
      </c>
      <c r="AQ349" s="16">
        <f>SUMIF($D$7:$D$339,$D$349,AQ7:AQ339)</f>
        <v>-87.947000000000003</v>
      </c>
      <c r="AR349" s="16">
        <f t="shared" si="10"/>
        <v>0</v>
      </c>
      <c r="AS349" s="16">
        <f t="shared" si="10"/>
        <v>2253.9350000000013</v>
      </c>
      <c r="AT349" s="16">
        <f t="shared" si="10"/>
        <v>0</v>
      </c>
      <c r="AU349" s="16">
        <f t="shared" si="10"/>
        <v>-8.5749999999999993</v>
      </c>
      <c r="AV349" s="16">
        <f t="shared" si="10"/>
        <v>0</v>
      </c>
      <c r="AW349" s="16">
        <f t="shared" si="10"/>
        <v>-9.6429999999999936</v>
      </c>
      <c r="AX349" s="16">
        <f t="shared" si="10"/>
        <v>0</v>
      </c>
      <c r="AY349" s="16">
        <f t="shared" si="10"/>
        <v>0</v>
      </c>
      <c r="AZ349" s="16">
        <f>SUMIF($D$7:$D$339,$D$349,AZ7:AZ339)</f>
        <v>0</v>
      </c>
      <c r="BA349" s="16">
        <f t="shared" ref="BA349:BP349" si="11">SUMIF($D$7:$D$339,$D$349,BA7:BA339)</f>
        <v>-7.7949999999999999</v>
      </c>
      <c r="BB349" s="16">
        <f t="shared" si="11"/>
        <v>0</v>
      </c>
      <c r="BC349" s="16">
        <f t="shared" si="11"/>
        <v>0</v>
      </c>
      <c r="BD349" s="16">
        <f t="shared" si="11"/>
        <v>-14.456</v>
      </c>
      <c r="BE349" s="16">
        <f t="shared" si="11"/>
        <v>7.0000000000000001E-3</v>
      </c>
      <c r="BF349" s="16">
        <f t="shared" si="11"/>
        <v>0</v>
      </c>
      <c r="BG349" s="16">
        <f t="shared" si="11"/>
        <v>-2.0550000000000002</v>
      </c>
      <c r="BH349" s="16">
        <f t="shared" si="11"/>
        <v>0</v>
      </c>
      <c r="BI349" s="16">
        <f t="shared" si="11"/>
        <v>0</v>
      </c>
      <c r="BJ349" s="16">
        <f t="shared" si="11"/>
        <v>3.0000000000000001E-3</v>
      </c>
      <c r="BK349" s="16">
        <f t="shared" si="11"/>
        <v>0</v>
      </c>
      <c r="BL349" s="16">
        <f t="shared" si="11"/>
        <v>0</v>
      </c>
      <c r="BM349" s="16">
        <f t="shared" si="11"/>
        <v>0</v>
      </c>
      <c r="BN349" s="16">
        <f t="shared" si="11"/>
        <v>0</v>
      </c>
      <c r="BO349" s="16">
        <f t="shared" si="11"/>
        <v>0</v>
      </c>
      <c r="BP349" s="16">
        <f t="shared" si="11"/>
        <v>0</v>
      </c>
      <c r="BQ349" s="21"/>
    </row>
    <row r="350" spans="1:69" x14ac:dyDescent="0.2">
      <c r="A350" t="s">
        <v>613</v>
      </c>
      <c r="B350">
        <v>7</v>
      </c>
      <c r="D350">
        <v>6</v>
      </c>
      <c r="E350" s="16">
        <f t="shared" ref="E350:AY350" si="12">SUMIF($D$7:$D$339,$D$350,E7:E339)+SUMIF($D$7:$D$339,$B$350,E7:E339)</f>
        <v>1636676.5779999995</v>
      </c>
      <c r="F350" s="16">
        <f t="shared" si="12"/>
        <v>61847.360000000008</v>
      </c>
      <c r="G350" s="16">
        <f t="shared" si="12"/>
        <v>62745.734000000019</v>
      </c>
      <c r="H350" s="16">
        <f t="shared" si="12"/>
        <v>22329.797999999995</v>
      </c>
      <c r="I350" s="16">
        <f t="shared" si="12"/>
        <v>9621.9650000000001</v>
      </c>
      <c r="J350" s="16">
        <f t="shared" si="12"/>
        <v>44263.52399999999</v>
      </c>
      <c r="K350" s="16">
        <f t="shared" si="12"/>
        <v>-183.89</v>
      </c>
      <c r="L350" s="16">
        <f t="shared" si="12"/>
        <v>27666.789000000001</v>
      </c>
      <c r="M350" s="16">
        <f t="shared" si="12"/>
        <v>2072574.787999999</v>
      </c>
      <c r="N350" s="16">
        <f t="shared" si="12"/>
        <v>557024.37899999984</v>
      </c>
      <c r="O350" s="16">
        <f>SUMIF($D$7:$D$339,$D$350,O7:O339)+SUMIF($D$7:$D$339,$B$350,O7:O339)</f>
        <v>125.82400000000001</v>
      </c>
      <c r="P350" s="16">
        <f t="shared" si="12"/>
        <v>65.335999999999999</v>
      </c>
      <c r="Q350" s="16">
        <f t="shared" si="12"/>
        <v>1388.9009999999996</v>
      </c>
      <c r="R350" s="16">
        <f t="shared" si="12"/>
        <v>133.84100000000001</v>
      </c>
      <c r="S350" s="16">
        <f t="shared" si="12"/>
        <v>898.33100000000036</v>
      </c>
      <c r="T350" s="16">
        <f t="shared" si="12"/>
        <v>9099.5250000000015</v>
      </c>
      <c r="U350" s="16">
        <f t="shared" si="12"/>
        <v>-1.446</v>
      </c>
      <c r="V350" s="16">
        <f t="shared" si="12"/>
        <v>20251.703000000001</v>
      </c>
      <c r="W350" s="16">
        <f t="shared" si="12"/>
        <v>4546.6649999999991</v>
      </c>
      <c r="X350" s="16">
        <f t="shared" si="12"/>
        <v>13519.749000000002</v>
      </c>
      <c r="Y350" s="16">
        <f t="shared" si="12"/>
        <v>-624.51699999999994</v>
      </c>
      <c r="Z350" s="16">
        <f t="shared" si="12"/>
        <v>249016.72700000001</v>
      </c>
      <c r="AA350" s="16">
        <f t="shared" si="12"/>
        <v>-925.14600000000405</v>
      </c>
      <c r="AB350" s="16">
        <f t="shared" si="12"/>
        <v>51129.811999999991</v>
      </c>
      <c r="AC350" s="16">
        <f t="shared" si="12"/>
        <v>4100.4589999999998</v>
      </c>
      <c r="AD350" s="16">
        <f t="shared" si="12"/>
        <v>6965.7329999999993</v>
      </c>
      <c r="AE350" s="16">
        <f t="shared" si="12"/>
        <v>193.85700000000031</v>
      </c>
      <c r="AF350" s="16">
        <f t="shared" si="12"/>
        <v>948044.25000000023</v>
      </c>
      <c r="AG350" s="16">
        <f t="shared" si="12"/>
        <v>25825.636999999999</v>
      </c>
      <c r="AH350" s="16">
        <f t="shared" si="12"/>
        <v>788.0519999999982</v>
      </c>
      <c r="AI350" s="16">
        <f t="shared" si="12"/>
        <v>3830684.9570000013</v>
      </c>
      <c r="AJ350" s="16">
        <f t="shared" si="12"/>
        <v>62681.937999999995</v>
      </c>
      <c r="AK350" s="16">
        <f t="shared" si="12"/>
        <v>-2901.6449999999895</v>
      </c>
      <c r="AL350" s="16">
        <f t="shared" si="12"/>
        <v>75729.952000000005</v>
      </c>
      <c r="AM350" s="16">
        <f t="shared" si="12"/>
        <v>-28.846</v>
      </c>
      <c r="AN350" s="16">
        <f t="shared" si="12"/>
        <v>47201.798000000003</v>
      </c>
      <c r="AO350" s="16">
        <f>SUMIF($D$7:$D$339,$D$350,AO7:AO339)+SUMIF($D$7:$D$339,$B$350,AO7:AO339)</f>
        <v>2710.6610000000001</v>
      </c>
      <c r="AP350" s="16">
        <f>SUMIF($D$7:$D$339,$D$350,AP7:AP339)+SUMIF($D$7:$D$339,$B$350,AP7:AP339)</f>
        <v>17466.909</v>
      </c>
      <c r="AQ350" s="16">
        <f>SUMIF($D$7:$D$339,$D$350,AQ7:AQ339)+SUMIF($D$7:$D$339,$B$350,AQ7:AQ339)</f>
        <v>429.13599999999991</v>
      </c>
      <c r="AR350" s="16">
        <f t="shared" si="12"/>
        <v>9.8499999999999979</v>
      </c>
      <c r="AS350" s="16">
        <f t="shared" si="12"/>
        <v>3727.6749999999997</v>
      </c>
      <c r="AT350" s="16">
        <f t="shared" si="12"/>
        <v>-83.537999999999997</v>
      </c>
      <c r="AU350" s="16">
        <f t="shared" si="12"/>
        <v>199.32199999999995</v>
      </c>
      <c r="AV350" s="16">
        <f t="shared" si="12"/>
        <v>0</v>
      </c>
      <c r="AW350" s="16">
        <f t="shared" si="12"/>
        <v>1065.8529999999998</v>
      </c>
      <c r="AX350" s="16">
        <f t="shared" si="12"/>
        <v>28.651</v>
      </c>
      <c r="AY350" s="16">
        <f t="shared" si="12"/>
        <v>1.389999999999997</v>
      </c>
      <c r="AZ350" s="16">
        <f>SUMIF($D$7:$D$339,$D$350,AZ7:AZ339)+SUMIF($D$7:$D$339,$B$350,AZ7:AZ339)</f>
        <v>-21.917000000000002</v>
      </c>
      <c r="BA350" s="16">
        <f t="shared" ref="BA350:BP350" si="13">SUMIF($D$7:$D$339,$D$350,BA7:BA339)+SUMIF($D$7:$D$339,$B$350,BA7:BA339)</f>
        <v>163.59100000000001</v>
      </c>
      <c r="BB350" s="16">
        <f t="shared" si="13"/>
        <v>84.280000000000015</v>
      </c>
      <c r="BC350" s="16">
        <f t="shared" si="13"/>
        <v>-4.7329999999999997</v>
      </c>
      <c r="BD350" s="16">
        <f t="shared" si="13"/>
        <v>90.623000000000019</v>
      </c>
      <c r="BE350" s="16">
        <f t="shared" si="13"/>
        <v>265.49000000000007</v>
      </c>
      <c r="BF350" s="16">
        <f t="shared" si="13"/>
        <v>169.89</v>
      </c>
      <c r="BG350" s="16">
        <f t="shared" si="13"/>
        <v>12.354999999999997</v>
      </c>
      <c r="BH350" s="16">
        <f t="shared" si="13"/>
        <v>29.553000000000019</v>
      </c>
      <c r="BI350" s="16">
        <f t="shared" si="13"/>
        <v>2263.2690000000052</v>
      </c>
      <c r="BJ350" s="16">
        <f t="shared" si="13"/>
        <v>95.180999999999997</v>
      </c>
      <c r="BK350" s="16">
        <f t="shared" si="13"/>
        <v>-4.8579999999999997</v>
      </c>
      <c r="BL350" s="16">
        <f t="shared" si="13"/>
        <v>-1.1220000000000001</v>
      </c>
      <c r="BM350" s="16">
        <f t="shared" si="13"/>
        <v>-326.28800000000001</v>
      </c>
      <c r="BN350" s="16">
        <f t="shared" si="13"/>
        <v>-61.420999999999999</v>
      </c>
      <c r="BO350" s="16">
        <f t="shared" si="13"/>
        <v>-17.122</v>
      </c>
      <c r="BP350" s="16">
        <f t="shared" si="13"/>
        <v>-86.238</v>
      </c>
      <c r="BQ350" s="21"/>
    </row>
    <row r="351" spans="1:69" x14ac:dyDescent="0.2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21"/>
    </row>
    <row r="352" spans="1:69" x14ac:dyDescent="0.2">
      <c r="E352">
        <f t="shared" ref="E352:N352" si="14">SUM(E345:E351)</f>
        <v>8030278.8939999994</v>
      </c>
      <c r="F352">
        <f t="shared" si="14"/>
        <v>915407.21800000011</v>
      </c>
      <c r="G352">
        <f t="shared" si="14"/>
        <v>1012216.252</v>
      </c>
      <c r="H352">
        <f t="shared" si="14"/>
        <v>1086744.088</v>
      </c>
      <c r="I352">
        <f t="shared" si="14"/>
        <v>144495.94200000001</v>
      </c>
      <c r="J352">
        <f t="shared" si="14"/>
        <v>718791.05100000009</v>
      </c>
      <c r="K352">
        <f t="shared" si="14"/>
        <v>-183.89</v>
      </c>
      <c r="L352">
        <f t="shared" si="14"/>
        <v>310921.93200000003</v>
      </c>
      <c r="M352" s="17">
        <f t="shared" si="14"/>
        <v>8757552.9309999999</v>
      </c>
      <c r="N352">
        <f t="shared" si="14"/>
        <v>3219600.4529999993</v>
      </c>
      <c r="O352">
        <f>SUM(O345:O351)</f>
        <v>15733.203000000001</v>
      </c>
      <c r="P352">
        <f t="shared" ref="P352:AN352" si="15">SUM(P345:P351)</f>
        <v>6563.1819999999998</v>
      </c>
      <c r="Q352">
        <f t="shared" si="15"/>
        <v>20914.278999999999</v>
      </c>
      <c r="R352">
        <f t="shared" si="15"/>
        <v>11721.762000000001</v>
      </c>
      <c r="S352">
        <f t="shared" si="15"/>
        <v>21287.177</v>
      </c>
      <c r="T352">
        <f t="shared" si="15"/>
        <v>278342.26500000007</v>
      </c>
      <c r="U352">
        <f t="shared" si="15"/>
        <v>1510.4190000000001</v>
      </c>
      <c r="V352">
        <f t="shared" si="15"/>
        <v>225016.23700000002</v>
      </c>
      <c r="W352">
        <f t="shared" si="15"/>
        <v>86331.733000000007</v>
      </c>
      <c r="X352">
        <f t="shared" si="15"/>
        <v>221296.93600000002</v>
      </c>
      <c r="Y352">
        <f t="shared" si="15"/>
        <v>200581.24400000001</v>
      </c>
      <c r="Z352">
        <f t="shared" si="15"/>
        <v>1658237.3199999998</v>
      </c>
      <c r="AA352">
        <f t="shared" si="15"/>
        <v>124397.97199999999</v>
      </c>
      <c r="AB352">
        <f t="shared" si="15"/>
        <v>877401.2649999999</v>
      </c>
      <c r="AC352">
        <f t="shared" si="15"/>
        <v>234172.47899999999</v>
      </c>
      <c r="AD352">
        <f t="shared" si="15"/>
        <v>150868.38699999999</v>
      </c>
      <c r="AE352">
        <f t="shared" si="15"/>
        <v>53637.665000000008</v>
      </c>
      <c r="AF352">
        <f t="shared" si="15"/>
        <v>4726846.6639999999</v>
      </c>
      <c r="AG352">
        <f t="shared" si="15"/>
        <v>967292.59500000009</v>
      </c>
      <c r="AH352">
        <f t="shared" si="15"/>
        <v>226113.45299999998</v>
      </c>
      <c r="AI352">
        <f t="shared" si="15"/>
        <v>17788596.857000001</v>
      </c>
      <c r="AJ352">
        <f t="shared" si="15"/>
        <v>1822430.0009999997</v>
      </c>
      <c r="AK352">
        <f t="shared" si="15"/>
        <v>669036.45599999989</v>
      </c>
      <c r="AL352">
        <f t="shared" si="15"/>
        <v>9307950.720999999</v>
      </c>
      <c r="AM352">
        <f t="shared" si="15"/>
        <v>-28.846</v>
      </c>
      <c r="AN352">
        <f t="shared" si="15"/>
        <v>5522146.909</v>
      </c>
      <c r="AO352">
        <f>SUM(AO345:AO351)</f>
        <v>40859.811999999998</v>
      </c>
      <c r="AP352">
        <f>SUM(AP345:AP351)</f>
        <v>3068167.8459999999</v>
      </c>
      <c r="AQ352">
        <f>SUM(AQ345:AQ351)</f>
        <v>24077.935999999998</v>
      </c>
      <c r="AR352">
        <f>SUM(AR345:AR351)</f>
        <v>43430.557999999997</v>
      </c>
      <c r="AS352">
        <f t="shared" ref="AS352:AY352" si="16">SUM(AS345:AS351)</f>
        <v>287806.98599999998</v>
      </c>
      <c r="AT352">
        <f t="shared" si="16"/>
        <v>18321.017</v>
      </c>
      <c r="AU352">
        <f t="shared" si="16"/>
        <v>3344.4620000000004</v>
      </c>
      <c r="AV352">
        <f t="shared" si="16"/>
        <v>0</v>
      </c>
      <c r="AW352">
        <f t="shared" si="16"/>
        <v>76507.304000000004</v>
      </c>
      <c r="AX352">
        <f t="shared" si="16"/>
        <v>66650.194000000003</v>
      </c>
      <c r="AY352">
        <f t="shared" si="16"/>
        <v>65485.656999999999</v>
      </c>
      <c r="AZ352">
        <f>SUM(AZ345:AZ351)</f>
        <v>83794.300999999992</v>
      </c>
      <c r="BA352">
        <f t="shared" ref="BA352:BP352" si="17">SUM(BA345:BA351)</f>
        <v>7350.7710000000006</v>
      </c>
      <c r="BB352">
        <f t="shared" si="17"/>
        <v>3094.1179999999999</v>
      </c>
      <c r="BC352">
        <f t="shared" si="17"/>
        <v>32380.983999999997</v>
      </c>
      <c r="BD352">
        <f t="shared" si="17"/>
        <v>4513.5159999999996</v>
      </c>
      <c r="BE352">
        <f t="shared" si="17"/>
        <v>10293.129000000001</v>
      </c>
      <c r="BF352">
        <f t="shared" si="17"/>
        <v>6312.7150000000011</v>
      </c>
      <c r="BG352">
        <f t="shared" si="17"/>
        <v>630.62200000000018</v>
      </c>
      <c r="BH352">
        <f t="shared" si="17"/>
        <v>2868.0609999999992</v>
      </c>
      <c r="BI352">
        <f t="shared" si="17"/>
        <v>477233.53600000002</v>
      </c>
      <c r="BJ352">
        <f t="shared" si="17"/>
        <v>3532.0590000000002</v>
      </c>
      <c r="BK352">
        <f t="shared" si="17"/>
        <v>-4.8579999999999997</v>
      </c>
      <c r="BL352">
        <f t="shared" si="17"/>
        <v>-1.1200000000000001</v>
      </c>
      <c r="BM352">
        <f t="shared" si="17"/>
        <v>-326.28800000000001</v>
      </c>
      <c r="BN352">
        <f t="shared" si="17"/>
        <v>-61.420999999999999</v>
      </c>
      <c r="BO352">
        <f t="shared" si="17"/>
        <v>-17.122</v>
      </c>
      <c r="BP352">
        <f t="shared" si="17"/>
        <v>-86.238</v>
      </c>
      <c r="BQ352" s="21"/>
    </row>
    <row r="353" spans="1:69" x14ac:dyDescent="0.2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21"/>
    </row>
    <row r="354" spans="1:69" x14ac:dyDescent="0.2">
      <c r="A354" s="8"/>
      <c r="B354" s="8"/>
      <c r="C354" s="8"/>
      <c r="D354" s="8"/>
      <c r="E354" s="8">
        <f t="shared" ref="E354:AY354" si="18">E352-E340</f>
        <v>8030278.8939999994</v>
      </c>
      <c r="F354" s="8">
        <f t="shared" si="18"/>
        <v>915407.21800000011</v>
      </c>
      <c r="G354" s="8">
        <f t="shared" si="18"/>
        <v>1012216.252</v>
      </c>
      <c r="H354" s="8">
        <f t="shared" si="18"/>
        <v>1086744.088</v>
      </c>
      <c r="I354" s="8">
        <f t="shared" si="18"/>
        <v>144495.94200000001</v>
      </c>
      <c r="J354" s="8">
        <f t="shared" si="18"/>
        <v>718791.05100000009</v>
      </c>
      <c r="K354" s="8">
        <f t="shared" si="18"/>
        <v>-183.89</v>
      </c>
      <c r="L354" s="8">
        <f t="shared" si="18"/>
        <v>310921.93200000003</v>
      </c>
      <c r="M354" s="18">
        <f t="shared" si="18"/>
        <v>8757552.9309999999</v>
      </c>
      <c r="N354" s="8">
        <f t="shared" si="18"/>
        <v>3219600.4529999993</v>
      </c>
      <c r="O354" s="8">
        <f>O352-O340</f>
        <v>15733.203000000001</v>
      </c>
      <c r="P354" s="8">
        <f t="shared" si="18"/>
        <v>6563.1819999999998</v>
      </c>
      <c r="Q354" s="8">
        <f t="shared" si="18"/>
        <v>20914.278999999999</v>
      </c>
      <c r="R354" s="8">
        <f t="shared" si="18"/>
        <v>11721.762000000001</v>
      </c>
      <c r="S354" s="8">
        <f t="shared" si="18"/>
        <v>21287.177</v>
      </c>
      <c r="T354" s="8">
        <f t="shared" si="18"/>
        <v>278342.26500000007</v>
      </c>
      <c r="U354" s="8">
        <f t="shared" si="18"/>
        <v>1510.4190000000001</v>
      </c>
      <c r="V354" s="8">
        <f t="shared" si="18"/>
        <v>225016.23700000002</v>
      </c>
      <c r="W354" s="8">
        <f t="shared" si="18"/>
        <v>86331.733000000007</v>
      </c>
      <c r="X354" s="8">
        <f t="shared" si="18"/>
        <v>221296.93600000002</v>
      </c>
      <c r="Y354" s="8">
        <f t="shared" si="18"/>
        <v>200581.24400000001</v>
      </c>
      <c r="Z354" s="8">
        <f t="shared" si="18"/>
        <v>1658237.3199999998</v>
      </c>
      <c r="AA354" s="8">
        <f t="shared" si="18"/>
        <v>124397.97199999999</v>
      </c>
      <c r="AB354" s="8">
        <f t="shared" si="18"/>
        <v>877401.2649999999</v>
      </c>
      <c r="AC354" s="8">
        <f t="shared" si="18"/>
        <v>234172.47899999999</v>
      </c>
      <c r="AD354" s="8">
        <f t="shared" si="18"/>
        <v>150868.38699999999</v>
      </c>
      <c r="AE354" s="8">
        <f t="shared" si="18"/>
        <v>53637.665000000008</v>
      </c>
      <c r="AF354" s="8">
        <f t="shared" si="18"/>
        <v>4726846.6639999999</v>
      </c>
      <c r="AG354" s="8">
        <f t="shared" si="18"/>
        <v>967292.59500000009</v>
      </c>
      <c r="AH354" s="8">
        <f t="shared" si="18"/>
        <v>226113.45299999998</v>
      </c>
      <c r="AI354" s="8">
        <f t="shared" si="18"/>
        <v>17788596.857000001</v>
      </c>
      <c r="AJ354" s="8">
        <f t="shared" si="18"/>
        <v>1822430.0009999997</v>
      </c>
      <c r="AK354" s="8">
        <f t="shared" si="18"/>
        <v>669036.45599999989</v>
      </c>
      <c r="AL354" s="8">
        <f t="shared" si="18"/>
        <v>9307950.720999999</v>
      </c>
      <c r="AM354" s="8">
        <f t="shared" si="18"/>
        <v>-28.846</v>
      </c>
      <c r="AN354" s="8">
        <f t="shared" si="18"/>
        <v>5522146.909</v>
      </c>
      <c r="AO354" s="8">
        <f t="shared" si="18"/>
        <v>40859.811999999998</v>
      </c>
      <c r="AP354" s="8">
        <f t="shared" si="18"/>
        <v>3068167.8459999999</v>
      </c>
      <c r="AQ354" s="8">
        <f t="shared" si="18"/>
        <v>24077.935999999998</v>
      </c>
      <c r="AR354" s="8">
        <f t="shared" si="18"/>
        <v>43430.557999999997</v>
      </c>
      <c r="AS354" s="8">
        <f t="shared" si="18"/>
        <v>287806.98599999998</v>
      </c>
      <c r="AT354" s="8">
        <f t="shared" si="18"/>
        <v>18321.017</v>
      </c>
      <c r="AU354" s="8">
        <f t="shared" si="18"/>
        <v>3344.4620000000004</v>
      </c>
      <c r="AV354" s="8">
        <f t="shared" si="18"/>
        <v>0</v>
      </c>
      <c r="AW354" s="8">
        <f t="shared" si="18"/>
        <v>76507.304000000004</v>
      </c>
      <c r="AX354" s="8">
        <f t="shared" si="18"/>
        <v>66650.194000000003</v>
      </c>
      <c r="AY354" s="8">
        <f t="shared" si="18"/>
        <v>65485.656999999999</v>
      </c>
      <c r="AZ354" s="8">
        <f>AZ352-AZ340</f>
        <v>83794.300999999992</v>
      </c>
      <c r="BA354" s="8">
        <f t="shared" ref="BA354:BP354" si="19">BA352-BA340</f>
        <v>7350.7710000000006</v>
      </c>
      <c r="BB354" s="8">
        <f t="shared" si="19"/>
        <v>3094.1179999999999</v>
      </c>
      <c r="BC354" s="8">
        <f t="shared" si="19"/>
        <v>32380.983999999997</v>
      </c>
      <c r="BD354" s="8">
        <f t="shared" si="19"/>
        <v>4513.5159999999996</v>
      </c>
      <c r="BE354" s="8">
        <f t="shared" si="19"/>
        <v>10293.129000000001</v>
      </c>
      <c r="BF354" s="8">
        <f t="shared" si="19"/>
        <v>6312.7150000000011</v>
      </c>
      <c r="BG354" s="8">
        <f t="shared" si="19"/>
        <v>630.62200000000018</v>
      </c>
      <c r="BH354" s="8">
        <f t="shared" si="19"/>
        <v>2868.0609999999992</v>
      </c>
      <c r="BI354" s="8">
        <f t="shared" si="19"/>
        <v>477233.53600000002</v>
      </c>
      <c r="BJ354" s="8">
        <f t="shared" si="19"/>
        <v>3532.0590000000002</v>
      </c>
      <c r="BK354" s="8">
        <f t="shared" si="19"/>
        <v>-4.8579999999999997</v>
      </c>
      <c r="BL354" s="8">
        <f t="shared" si="19"/>
        <v>-1.1200000000000001</v>
      </c>
      <c r="BM354" s="8">
        <f t="shared" si="19"/>
        <v>-326.28800000000001</v>
      </c>
      <c r="BN354" s="8">
        <f t="shared" si="19"/>
        <v>-61.420999999999999</v>
      </c>
      <c r="BO354" s="8">
        <f t="shared" si="19"/>
        <v>-17.122</v>
      </c>
      <c r="BP354" s="8">
        <f t="shared" si="19"/>
        <v>-86.238</v>
      </c>
      <c r="BQ354" s="21"/>
    </row>
    <row r="355" spans="1:69" x14ac:dyDescent="0.2">
      <c r="E355" s="20">
        <f t="shared" ref="E355:N355" si="20">E5</f>
        <v>401</v>
      </c>
      <c r="F355" s="20">
        <f t="shared" si="20"/>
        <v>242</v>
      </c>
      <c r="G355" s="20">
        <f t="shared" si="20"/>
        <v>385</v>
      </c>
      <c r="H355" s="20">
        <f t="shared" si="20"/>
        <v>528</v>
      </c>
      <c r="I355" s="20">
        <f t="shared" si="20"/>
        <v>384</v>
      </c>
      <c r="J355" s="20">
        <f t="shared" si="20"/>
        <v>716</v>
      </c>
      <c r="K355" s="20">
        <f t="shared" si="20"/>
        <v>686</v>
      </c>
      <c r="L355" s="20">
        <f t="shared" si="20"/>
        <v>715</v>
      </c>
      <c r="M355" s="20">
        <f t="shared" si="20"/>
        <v>9916</v>
      </c>
      <c r="N355" s="20">
        <f t="shared" si="20"/>
        <v>1100</v>
      </c>
      <c r="O355" s="20">
        <f>O5</f>
        <v>801</v>
      </c>
      <c r="P355" s="20">
        <f t="shared" ref="P355:U355" si="21">P5</f>
        <v>804</v>
      </c>
      <c r="Q355" s="20">
        <f t="shared" si="21"/>
        <v>806</v>
      </c>
      <c r="R355" s="20">
        <f t="shared" si="21"/>
        <v>8765</v>
      </c>
      <c r="S355" s="20">
        <f t="shared" si="21"/>
        <v>8766</v>
      </c>
      <c r="T355" s="20">
        <f t="shared" si="21"/>
        <v>9418</v>
      </c>
      <c r="U355" s="20">
        <f t="shared" si="21"/>
        <v>9475</v>
      </c>
      <c r="V355" s="20">
        <f>V5</f>
        <v>9906</v>
      </c>
      <c r="W355" s="20">
        <f>W5</f>
        <v>7905</v>
      </c>
      <c r="X355" s="20">
        <f t="shared" ref="X355:AY355" si="22">X5</f>
        <v>7906</v>
      </c>
      <c r="Y355" s="20">
        <f t="shared" si="22"/>
        <v>7907</v>
      </c>
      <c r="Z355" s="20">
        <f t="shared" si="22"/>
        <v>7908</v>
      </c>
      <c r="AA355" s="20">
        <f t="shared" si="22"/>
        <v>7909</v>
      </c>
      <c r="AB355" s="20">
        <f t="shared" si="22"/>
        <v>11310</v>
      </c>
      <c r="AC355" s="20">
        <f t="shared" si="22"/>
        <v>11311</v>
      </c>
      <c r="AD355" s="20">
        <f t="shared" si="22"/>
        <v>11312</v>
      </c>
      <c r="AE355" s="20">
        <f t="shared" si="22"/>
        <v>11335</v>
      </c>
      <c r="AF355" s="20">
        <f t="shared" si="22"/>
        <v>9529</v>
      </c>
      <c r="AG355" s="20">
        <f t="shared" si="22"/>
        <v>961</v>
      </c>
      <c r="AH355" s="20">
        <f t="shared" si="22"/>
        <v>9528</v>
      </c>
      <c r="AI355" s="20">
        <f t="shared" si="22"/>
        <v>964</v>
      </c>
      <c r="AJ355" s="20">
        <f t="shared" si="22"/>
        <v>968</v>
      </c>
      <c r="AK355" s="20">
        <f t="shared" si="22"/>
        <v>8629</v>
      </c>
      <c r="AL355" s="20">
        <f t="shared" si="22"/>
        <v>13264</v>
      </c>
      <c r="AM355" s="20">
        <f t="shared" si="22"/>
        <v>9917</v>
      </c>
      <c r="AN355" s="20">
        <f t="shared" si="22"/>
        <v>13263</v>
      </c>
      <c r="AO355" s="20">
        <f t="shared" si="22"/>
        <v>13209</v>
      </c>
      <c r="AP355" s="20">
        <f t="shared" si="22"/>
        <v>13250</v>
      </c>
      <c r="AQ355" s="20">
        <f t="shared" si="22"/>
        <v>14281</v>
      </c>
      <c r="AR355" s="20">
        <f t="shared" si="22"/>
        <v>2049</v>
      </c>
      <c r="AS355" s="20">
        <f t="shared" si="22"/>
        <v>7975</v>
      </c>
      <c r="AT355" s="20">
        <f t="shared" si="22"/>
        <v>8004</v>
      </c>
      <c r="AU355" s="20">
        <f t="shared" si="22"/>
        <v>1008</v>
      </c>
      <c r="AV355" s="20">
        <f t="shared" si="22"/>
        <v>9484</v>
      </c>
      <c r="AW355" s="20">
        <f t="shared" si="22"/>
        <v>682</v>
      </c>
      <c r="AX355" s="20">
        <f t="shared" si="22"/>
        <v>11352</v>
      </c>
      <c r="AY355" s="20">
        <f t="shared" si="22"/>
        <v>2058</v>
      </c>
      <c r="AZ355" s="20">
        <f>AZ5</f>
        <v>15007</v>
      </c>
      <c r="BA355" s="20">
        <f t="shared" ref="BA355:BP355" si="23">BA5</f>
        <v>15208</v>
      </c>
      <c r="BB355" s="20">
        <f t="shared" si="23"/>
        <v>15209</v>
      </c>
      <c r="BC355" s="20">
        <f t="shared" si="23"/>
        <v>15210</v>
      </c>
      <c r="BD355" s="20">
        <f t="shared" si="23"/>
        <v>15211</v>
      </c>
      <c r="BE355" s="20">
        <f t="shared" si="23"/>
        <v>15212</v>
      </c>
      <c r="BF355" s="20">
        <f t="shared" si="23"/>
        <v>15232</v>
      </c>
      <c r="BG355" s="20">
        <f t="shared" si="23"/>
        <v>15214</v>
      </c>
      <c r="BH355" s="20">
        <f t="shared" si="23"/>
        <v>15233</v>
      </c>
      <c r="BI355" s="20">
        <f t="shared" si="23"/>
        <v>15234</v>
      </c>
      <c r="BJ355" s="20">
        <f t="shared" si="23"/>
        <v>15215</v>
      </c>
      <c r="BK355" s="20">
        <f t="shared" si="23"/>
        <v>12088</v>
      </c>
      <c r="BL355" s="20">
        <f t="shared" si="23"/>
        <v>14282</v>
      </c>
      <c r="BM355" s="20">
        <f t="shared" si="23"/>
        <v>211</v>
      </c>
      <c r="BN355" s="20">
        <f t="shared" si="23"/>
        <v>8624</v>
      </c>
      <c r="BO355" s="20">
        <f t="shared" si="23"/>
        <v>9905</v>
      </c>
      <c r="BP355" s="20">
        <f t="shared" si="23"/>
        <v>1190</v>
      </c>
      <c r="BQ355" s="21"/>
    </row>
    <row r="356" spans="1:69" x14ac:dyDescent="0.2">
      <c r="A356" t="s">
        <v>608</v>
      </c>
      <c r="E356" s="19">
        <f t="shared" ref="E356:AN356" si="24">E345/E352</f>
        <v>0.11006450518927645</v>
      </c>
      <c r="F356" s="19">
        <f t="shared" si="24"/>
        <v>0.18326761107098896</v>
      </c>
      <c r="G356" s="19">
        <f t="shared" si="24"/>
        <v>3.3543786649258424E-2</v>
      </c>
      <c r="H356" s="19">
        <f t="shared" si="24"/>
        <v>1.8985671261365075E-2</v>
      </c>
      <c r="I356" s="19">
        <f t="shared" si="24"/>
        <v>9.1260708207293456E-2</v>
      </c>
      <c r="J356" s="19">
        <f t="shared" si="24"/>
        <v>3.6711261170111587E-2</v>
      </c>
      <c r="K356" s="19">
        <f t="shared" si="24"/>
        <v>0</v>
      </c>
      <c r="L356" s="19">
        <f t="shared" si="24"/>
        <v>1.1598869776738682E-2</v>
      </c>
      <c r="M356" s="19">
        <f t="shared" si="24"/>
        <v>0.21298795196514014</v>
      </c>
      <c r="N356" s="19">
        <f t="shared" si="24"/>
        <v>6.877395572288425E-2</v>
      </c>
      <c r="O356" s="19">
        <f>O345/O352</f>
        <v>3.9716642567950086E-3</v>
      </c>
      <c r="P356" s="19">
        <f t="shared" si="24"/>
        <v>0.7461417342990031</v>
      </c>
      <c r="Q356" s="19">
        <f t="shared" si="24"/>
        <v>2.6912952629158292E-2</v>
      </c>
      <c r="R356" s="19">
        <f t="shared" si="24"/>
        <v>0.47077154441456837</v>
      </c>
      <c r="S356" s="19">
        <f t="shared" si="24"/>
        <v>0.18535149118175698</v>
      </c>
      <c r="T356" s="19">
        <f t="shared" si="24"/>
        <v>0.17143022458339191</v>
      </c>
      <c r="U356" s="19">
        <f t="shared" si="24"/>
        <v>5.5423031622351147E-2</v>
      </c>
      <c r="V356" s="19">
        <f t="shared" si="24"/>
        <v>9.2990756040418517E-3</v>
      </c>
      <c r="W356" s="19">
        <f t="shared" si="24"/>
        <v>0.10737254631503805</v>
      </c>
      <c r="X356" s="19">
        <f t="shared" si="24"/>
        <v>8.809661964772976E-2</v>
      </c>
      <c r="Y356" s="19">
        <f t="shared" si="24"/>
        <v>7.7981608290354401E-2</v>
      </c>
      <c r="Z356" s="19">
        <f t="shared" si="24"/>
        <v>0.18890244069528003</v>
      </c>
      <c r="AA356" s="19">
        <f t="shared" si="24"/>
        <v>0.5485216029084462</v>
      </c>
      <c r="AB356" s="19">
        <f t="shared" si="24"/>
        <v>9.4782910986571239E-2</v>
      </c>
      <c r="AC356" s="19">
        <f t="shared" si="24"/>
        <v>0.77790325224340306</v>
      </c>
      <c r="AD356" s="19">
        <f t="shared" si="24"/>
        <v>0.19371485028205412</v>
      </c>
      <c r="AE356" s="19">
        <f t="shared" si="24"/>
        <v>0.28921303714470042</v>
      </c>
      <c r="AF356" s="19">
        <f t="shared" si="24"/>
        <v>0.20535302771564579</v>
      </c>
      <c r="AG356" s="19">
        <f t="shared" si="24"/>
        <v>0.34950853107688684</v>
      </c>
      <c r="AH356" s="19">
        <f t="shared" si="24"/>
        <v>0.30244187637964204</v>
      </c>
      <c r="AI356" s="19">
        <f t="shared" si="24"/>
        <v>0.17102968837043447</v>
      </c>
      <c r="AJ356" s="19">
        <f t="shared" si="24"/>
        <v>0.3281741705699675</v>
      </c>
      <c r="AK356" s="19">
        <f t="shared" si="24"/>
        <v>0.53259094000701213</v>
      </c>
      <c r="AL356" s="19">
        <f t="shared" si="24"/>
        <v>0.75853056753629555</v>
      </c>
      <c r="AM356" s="19">
        <f t="shared" si="24"/>
        <v>0</v>
      </c>
      <c r="AN356" s="19">
        <f t="shared" si="24"/>
        <v>0.75796404532054795</v>
      </c>
      <c r="AO356" s="19">
        <f>AO345/AO352</f>
        <v>8.7995020632987749E-3</v>
      </c>
      <c r="AP356" s="19">
        <f>AP345/AP352</f>
        <v>0.76000585921008956</v>
      </c>
      <c r="AQ356" s="19">
        <f>AQ345/AQ352</f>
        <v>0.22786591840762432</v>
      </c>
      <c r="AR356" s="19">
        <f>AR345/AR352</f>
        <v>0.10663141836676379</v>
      </c>
      <c r="AS356" s="19">
        <f t="shared" ref="AS356:AY356" si="25">AS345/AS352</f>
        <v>0.3543876103132535</v>
      </c>
      <c r="AT356" s="19">
        <f t="shared" si="25"/>
        <v>0.11029060231754602</v>
      </c>
      <c r="AU356" s="19">
        <f t="shared" si="25"/>
        <v>0.1635632278076414</v>
      </c>
      <c r="AV356" s="19" t="e">
        <f t="shared" si="25"/>
        <v>#DIV/0!</v>
      </c>
      <c r="AW356" s="19">
        <f t="shared" si="25"/>
        <v>0.14876485518297705</v>
      </c>
      <c r="AX356" s="19">
        <f t="shared" si="25"/>
        <v>0.10142306562528534</v>
      </c>
      <c r="AY356" s="19">
        <f t="shared" si="25"/>
        <v>0.10770676088658619</v>
      </c>
      <c r="AZ356" s="19">
        <f>AZ345/AZ352</f>
        <v>0.11657959889181486</v>
      </c>
      <c r="BA356" s="19">
        <f t="shared" ref="BA356:BP356" si="26">BA345/BA352</f>
        <v>0.1858677137405042</v>
      </c>
      <c r="BB356" s="19">
        <f t="shared" si="26"/>
        <v>0.10767398011323422</v>
      </c>
      <c r="BC356" s="19">
        <f t="shared" si="26"/>
        <v>0.12878011983823592</v>
      </c>
      <c r="BD356" s="19">
        <f t="shared" si="26"/>
        <v>0.21308221794273025</v>
      </c>
      <c r="BE356" s="19">
        <f t="shared" si="26"/>
        <v>0.12436820717976038</v>
      </c>
      <c r="BF356" s="19">
        <f t="shared" si="26"/>
        <v>0.11778529523350888</v>
      </c>
      <c r="BG356" s="19">
        <f t="shared" si="26"/>
        <v>0.1852488495485409</v>
      </c>
      <c r="BH356" s="19">
        <f t="shared" si="26"/>
        <v>0.10138034023683599</v>
      </c>
      <c r="BI356" s="19">
        <f t="shared" si="26"/>
        <v>0.64100360289851888</v>
      </c>
      <c r="BJ356" s="19">
        <f t="shared" si="26"/>
        <v>7.4902769177978057E-2</v>
      </c>
      <c r="BK356" s="19">
        <f t="shared" si="26"/>
        <v>0</v>
      </c>
      <c r="BL356" s="19">
        <f t="shared" si="26"/>
        <v>0</v>
      </c>
      <c r="BM356" s="19">
        <f t="shared" si="26"/>
        <v>0</v>
      </c>
      <c r="BN356" s="19">
        <f t="shared" si="26"/>
        <v>0</v>
      </c>
      <c r="BO356" s="19">
        <f t="shared" si="26"/>
        <v>0</v>
      </c>
      <c r="BP356" s="19">
        <f t="shared" si="26"/>
        <v>0</v>
      </c>
      <c r="BQ356" s="21"/>
    </row>
    <row r="357" spans="1:69" x14ac:dyDescent="0.2">
      <c r="A357" t="s">
        <v>609</v>
      </c>
      <c r="E357" s="19">
        <f t="shared" ref="E357:AN357" si="27">E346/E352</f>
        <v>0.22864374441239674</v>
      </c>
      <c r="F357" s="19">
        <f t="shared" si="27"/>
        <v>0.16538533127450167</v>
      </c>
      <c r="G357" s="19">
        <f t="shared" si="27"/>
        <v>0.35275724559300986</v>
      </c>
      <c r="H357" s="19">
        <f t="shared" si="27"/>
        <v>0</v>
      </c>
      <c r="I357" s="19">
        <f t="shared" si="27"/>
        <v>0.36699303984606013</v>
      </c>
      <c r="J357" s="19">
        <f t="shared" si="27"/>
        <v>0.34917836365773003</v>
      </c>
      <c r="K357" s="19">
        <f t="shared" si="27"/>
        <v>0</v>
      </c>
      <c r="L357" s="19">
        <f t="shared" si="27"/>
        <v>0.71648865220611069</v>
      </c>
      <c r="M357" s="19">
        <f t="shared" si="27"/>
        <v>5.9175410652165437E-2</v>
      </c>
      <c r="N357" s="19">
        <f t="shared" si="27"/>
        <v>0.20985071404448588</v>
      </c>
      <c r="O357" s="19">
        <f>O346/O352</f>
        <v>0.7779540504244431</v>
      </c>
      <c r="P357" s="19">
        <f t="shared" si="27"/>
        <v>9.6645194358468197E-4</v>
      </c>
      <c r="Q357" s="19">
        <f t="shared" si="27"/>
        <v>0.78816869565525072</v>
      </c>
      <c r="R357" s="19">
        <f t="shared" si="27"/>
        <v>0.15067982100301985</v>
      </c>
      <c r="S357" s="19">
        <f t="shared" si="27"/>
        <v>0.22087320455878204</v>
      </c>
      <c r="T357" s="19">
        <f t="shared" si="27"/>
        <v>0.1770007224738219</v>
      </c>
      <c r="U357" s="19">
        <f t="shared" si="27"/>
        <v>0.94553431862284565</v>
      </c>
      <c r="V357" s="19">
        <f t="shared" si="27"/>
        <v>0.72622625450802458</v>
      </c>
      <c r="W357" s="19">
        <f t="shared" si="27"/>
        <v>0.27432667197819371</v>
      </c>
      <c r="X357" s="19">
        <f t="shared" si="27"/>
        <v>0.24745279347202531</v>
      </c>
      <c r="Y357" s="19">
        <f t="shared" si="27"/>
        <v>0.11641043067815453</v>
      </c>
      <c r="Z357" s="19">
        <f t="shared" si="27"/>
        <v>0.14620151716281479</v>
      </c>
      <c r="AA357" s="19">
        <f t="shared" si="27"/>
        <v>2.386936018538952E-4</v>
      </c>
      <c r="AB357" s="19">
        <f t="shared" si="27"/>
        <v>0.31663320430703967</v>
      </c>
      <c r="AC357" s="19">
        <f t="shared" si="27"/>
        <v>7.3683722671783304E-4</v>
      </c>
      <c r="AD357" s="19">
        <f t="shared" si="27"/>
        <v>0.13284197172466622</v>
      </c>
      <c r="AE357" s="19">
        <f t="shared" si="27"/>
        <v>0.16375338113618479</v>
      </c>
      <c r="AF357" s="19">
        <f t="shared" si="27"/>
        <v>0.12888859768606195</v>
      </c>
      <c r="AG357" s="19">
        <f t="shared" si="27"/>
        <v>2.1881141352064211E-2</v>
      </c>
      <c r="AH357" s="19">
        <f t="shared" si="27"/>
        <v>0.1296172059253812</v>
      </c>
      <c r="AI357" s="19">
        <f t="shared" si="27"/>
        <v>0.12238672642374786</v>
      </c>
      <c r="AJ357" s="19">
        <f t="shared" si="27"/>
        <v>2.0492066076341995E-2</v>
      </c>
      <c r="AK357" s="19">
        <f t="shared" si="27"/>
        <v>2.4199727615441038E-4</v>
      </c>
      <c r="AL357" s="19">
        <f t="shared" si="27"/>
        <v>7.2363011707870017E-2</v>
      </c>
      <c r="AM357" s="19">
        <f t="shared" si="27"/>
        <v>0</v>
      </c>
      <c r="AN357" s="19">
        <f t="shared" si="27"/>
        <v>7.2405620601717319E-2</v>
      </c>
      <c r="AO357" s="19">
        <f>AO346/AO352</f>
        <v>0.74427381114724656</v>
      </c>
      <c r="AP357" s="19">
        <f>AP346/AP352</f>
        <v>7.2599952864508308E-2</v>
      </c>
      <c r="AQ357" s="19">
        <f>AQ346/AQ352</f>
        <v>0.1960027636920374</v>
      </c>
      <c r="AR357" s="19">
        <f>AR346/AR352</f>
        <v>0</v>
      </c>
      <c r="AS357" s="19">
        <f t="shared" ref="AS357:AY357" si="28">AS346/AS352</f>
        <v>2.2374870358428341E-2</v>
      </c>
      <c r="AT357" s="19">
        <f t="shared" si="28"/>
        <v>0</v>
      </c>
      <c r="AU357" s="19">
        <f t="shared" si="28"/>
        <v>0.3377568649307422</v>
      </c>
      <c r="AV357" s="19" t="e">
        <f t="shared" si="28"/>
        <v>#DIV/0!</v>
      </c>
      <c r="AW357" s="19">
        <f t="shared" si="28"/>
        <v>0.39239300603246985</v>
      </c>
      <c r="AX357" s="19">
        <f t="shared" si="28"/>
        <v>0</v>
      </c>
      <c r="AY357" s="19">
        <f t="shared" si="28"/>
        <v>0</v>
      </c>
      <c r="AZ357" s="19">
        <f>AZ346/AZ352</f>
        <v>0.11119468613981279</v>
      </c>
      <c r="BA357" s="19">
        <f t="shared" ref="BA357:BP357" si="29">BA346/BA352</f>
        <v>0.21157263639419588</v>
      </c>
      <c r="BB357" s="19">
        <f t="shared" si="29"/>
        <v>1.4377926116586375E-2</v>
      </c>
      <c r="BC357" s="19">
        <f t="shared" si="29"/>
        <v>0.10964500028782326</v>
      </c>
      <c r="BD357" s="19">
        <f t="shared" si="29"/>
        <v>0.14796092447661649</v>
      </c>
      <c r="BE357" s="19">
        <f t="shared" si="29"/>
        <v>0.24982782203545686</v>
      </c>
      <c r="BF357" s="19">
        <f t="shared" si="29"/>
        <v>1.4215278212306429E-2</v>
      </c>
      <c r="BG357" s="19">
        <f t="shared" si="29"/>
        <v>0.17707596626822403</v>
      </c>
      <c r="BH357" s="19">
        <f t="shared" si="29"/>
        <v>1.4763981658688575E-2</v>
      </c>
      <c r="BI357" s="19">
        <f t="shared" si="29"/>
        <v>7.2335987301613267E-2</v>
      </c>
      <c r="BJ357" s="19">
        <f t="shared" si="29"/>
        <v>0.24851425188537335</v>
      </c>
      <c r="BK357" s="19">
        <f t="shared" si="29"/>
        <v>0</v>
      </c>
      <c r="BL357" s="19">
        <f t="shared" si="29"/>
        <v>0</v>
      </c>
      <c r="BM357" s="19">
        <f t="shared" si="29"/>
        <v>0</v>
      </c>
      <c r="BN357" s="19">
        <f t="shared" si="29"/>
        <v>0</v>
      </c>
      <c r="BO357" s="19">
        <f t="shared" si="29"/>
        <v>0</v>
      </c>
      <c r="BP357" s="19">
        <f t="shared" si="29"/>
        <v>0</v>
      </c>
      <c r="BQ357" s="21"/>
    </row>
    <row r="358" spans="1:69" x14ac:dyDescent="0.2">
      <c r="A358" t="s">
        <v>610</v>
      </c>
      <c r="E358" s="19">
        <f t="shared" ref="E358:AN358" si="30">E347/E352</f>
        <v>0.22792654790203604</v>
      </c>
      <c r="F358" s="19">
        <f t="shared" si="30"/>
        <v>0.26711173583951353</v>
      </c>
      <c r="G358" s="19">
        <f t="shared" si="30"/>
        <v>0.46283715962308025</v>
      </c>
      <c r="H358" s="19">
        <f t="shared" si="30"/>
        <v>6.9838440197707352E-2</v>
      </c>
      <c r="I358" s="19">
        <f t="shared" si="30"/>
        <v>0.31053964823455044</v>
      </c>
      <c r="J358" s="19">
        <f t="shared" si="30"/>
        <v>0.45651458868816658</v>
      </c>
      <c r="K358" s="19">
        <f t="shared" si="30"/>
        <v>0</v>
      </c>
      <c r="L358" s="19">
        <f t="shared" si="30"/>
        <v>0.16104535526943786</v>
      </c>
      <c r="M358" s="19">
        <f t="shared" si="30"/>
        <v>9.3549021907704394E-2</v>
      </c>
      <c r="N358" s="19">
        <f t="shared" si="30"/>
        <v>0.35611304686320966</v>
      </c>
      <c r="O358" s="19">
        <f>O347/O352</f>
        <v>0.21007693093389818</v>
      </c>
      <c r="P358" s="19">
        <f t="shared" si="30"/>
        <v>0</v>
      </c>
      <c r="Q358" s="19">
        <f t="shared" si="30"/>
        <v>3.2250693413815503E-3</v>
      </c>
      <c r="R358" s="19">
        <f t="shared" si="30"/>
        <v>0.28505808256472021</v>
      </c>
      <c r="S358" s="19">
        <f t="shared" si="30"/>
        <v>0.54280414918333231</v>
      </c>
      <c r="T358" s="19">
        <f t="shared" si="30"/>
        <v>0.37796799203311793</v>
      </c>
      <c r="U358" s="19">
        <f t="shared" si="30"/>
        <v>0</v>
      </c>
      <c r="V358" s="19">
        <f t="shared" si="30"/>
        <v>0.16323408252534238</v>
      </c>
      <c r="W358" s="19">
        <f t="shared" si="30"/>
        <v>0.48377840393867683</v>
      </c>
      <c r="X358" s="19">
        <f t="shared" si="30"/>
        <v>0.40414898017386014</v>
      </c>
      <c r="Y358" s="19">
        <f t="shared" si="30"/>
        <v>0</v>
      </c>
      <c r="Z358" s="19">
        <f t="shared" si="30"/>
        <v>0.12069969092240669</v>
      </c>
      <c r="AA358" s="19">
        <f t="shared" si="30"/>
        <v>0.1043687754009366</v>
      </c>
      <c r="AB358" s="19">
        <f t="shared" si="30"/>
        <v>0.46586356243742133</v>
      </c>
      <c r="AC358" s="19">
        <f t="shared" si="30"/>
        <v>0</v>
      </c>
      <c r="AD358" s="19">
        <f t="shared" si="30"/>
        <v>0.30288858990717521</v>
      </c>
      <c r="AE358" s="19">
        <f t="shared" si="30"/>
        <v>0.24387258468466141</v>
      </c>
      <c r="AF358" s="19">
        <f t="shared" si="30"/>
        <v>8.6792466132766435E-2</v>
      </c>
      <c r="AG358" s="19">
        <f t="shared" si="30"/>
        <v>1.2758296779890056E-2</v>
      </c>
      <c r="AH358" s="19">
        <f t="shared" si="30"/>
        <v>0.23230205590642145</v>
      </c>
      <c r="AI358" s="19">
        <f t="shared" si="30"/>
        <v>0.12552776073067876</v>
      </c>
      <c r="AJ358" s="19">
        <f t="shared" si="30"/>
        <v>1.1314263916137103E-2</v>
      </c>
      <c r="AK358" s="19">
        <f t="shared" si="30"/>
        <v>9.9571813168877615E-2</v>
      </c>
      <c r="AL358" s="19">
        <f t="shared" si="30"/>
        <v>0</v>
      </c>
      <c r="AM358" s="19">
        <f t="shared" si="30"/>
        <v>0</v>
      </c>
      <c r="AN358" s="19">
        <f t="shared" si="30"/>
        <v>0</v>
      </c>
      <c r="AO358" s="19">
        <f>AO347/AO352</f>
        <v>0.16729061308456339</v>
      </c>
      <c r="AP358" s="19">
        <f>AP347/AP352</f>
        <v>0</v>
      </c>
      <c r="AQ358" s="19">
        <f>AQ347/AQ352</f>
        <v>0.29801213027561829</v>
      </c>
      <c r="AR358" s="19">
        <f>AR347/AR352</f>
        <v>0</v>
      </c>
      <c r="AS358" s="19">
        <f t="shared" ref="AS358:AY358" si="31">AS347/AS352</f>
        <v>1.2628866486236021E-2</v>
      </c>
      <c r="AT358" s="19">
        <f t="shared" si="31"/>
        <v>0</v>
      </c>
      <c r="AU358" s="19">
        <f t="shared" si="31"/>
        <v>0.23658364185330852</v>
      </c>
      <c r="AV358" s="19" t="e">
        <f t="shared" si="31"/>
        <v>#DIV/0!</v>
      </c>
      <c r="AW358" s="19">
        <f t="shared" si="31"/>
        <v>0.3305650399078236</v>
      </c>
      <c r="AX358" s="19">
        <f t="shared" si="31"/>
        <v>0</v>
      </c>
      <c r="AY358" s="19">
        <f t="shared" si="31"/>
        <v>0</v>
      </c>
      <c r="AZ358" s="19">
        <f>AZ347/AZ352</f>
        <v>0</v>
      </c>
      <c r="BA358" s="19">
        <f t="shared" ref="BA358:BP358" si="32">BA347/BA352</f>
        <v>0.49345000680880952</v>
      </c>
      <c r="BB358" s="19">
        <f t="shared" si="32"/>
        <v>3.0123931925026774E-2</v>
      </c>
      <c r="BC358" s="19">
        <f t="shared" si="32"/>
        <v>0</v>
      </c>
      <c r="BD358" s="19">
        <f t="shared" si="32"/>
        <v>0.33524352190177242</v>
      </c>
      <c r="BE358" s="19">
        <f t="shared" si="32"/>
        <v>0.59977107058504753</v>
      </c>
      <c r="BF358" s="19">
        <f t="shared" si="32"/>
        <v>2.9783223224872337E-2</v>
      </c>
      <c r="BG358" s="19">
        <f t="shared" si="32"/>
        <v>0.33489951191046297</v>
      </c>
      <c r="BH358" s="19">
        <f t="shared" si="32"/>
        <v>3.0932396486685616E-2</v>
      </c>
      <c r="BI358" s="19">
        <f t="shared" si="32"/>
        <v>0.10050230418006499</v>
      </c>
      <c r="BJ358" s="19">
        <f t="shared" si="32"/>
        <v>0.6493756191501896</v>
      </c>
      <c r="BK358" s="19">
        <f t="shared" si="32"/>
        <v>0</v>
      </c>
      <c r="BL358" s="19">
        <f t="shared" si="32"/>
        <v>0</v>
      </c>
      <c r="BM358" s="19">
        <f t="shared" si="32"/>
        <v>0</v>
      </c>
      <c r="BN358" s="19">
        <f t="shared" si="32"/>
        <v>0</v>
      </c>
      <c r="BO358" s="19">
        <f t="shared" si="32"/>
        <v>0</v>
      </c>
      <c r="BP358" s="19">
        <f t="shared" si="32"/>
        <v>0</v>
      </c>
      <c r="BQ358" s="21"/>
    </row>
    <row r="359" spans="1:69" x14ac:dyDescent="0.2">
      <c r="A359" t="s">
        <v>611</v>
      </c>
      <c r="E359" s="19">
        <f t="shared" ref="E359:AN359" si="33">E348/E352</f>
        <v>0.13719662138050764</v>
      </c>
      <c r="F359" s="19">
        <f t="shared" si="33"/>
        <v>0.26396616636684633</v>
      </c>
      <c r="G359" s="19">
        <f t="shared" si="33"/>
        <v>2.2615127898578736E-4</v>
      </c>
      <c r="H359" s="19">
        <f t="shared" si="33"/>
        <v>1.1846283906354227E-2</v>
      </c>
      <c r="I359" s="19">
        <f t="shared" si="33"/>
        <v>7.8003512375454817E-2</v>
      </c>
      <c r="J359" s="19">
        <f t="shared" si="33"/>
        <v>2.2747361666860817E-4</v>
      </c>
      <c r="K359" s="19">
        <f t="shared" si="33"/>
        <v>0</v>
      </c>
      <c r="L359" s="19">
        <f t="shared" si="33"/>
        <v>0</v>
      </c>
      <c r="M359" s="19">
        <f t="shared" si="33"/>
        <v>0.32371526456492511</v>
      </c>
      <c r="N359" s="19">
        <f t="shared" si="33"/>
        <v>8.1803822506792301E-2</v>
      </c>
      <c r="O359" s="19">
        <f>O348/O352</f>
        <v>0</v>
      </c>
      <c r="P359" s="19">
        <f t="shared" si="33"/>
        <v>0.24293688640662411</v>
      </c>
      <c r="Q359" s="19">
        <f t="shared" si="33"/>
        <v>1.6235797562038838E-3</v>
      </c>
      <c r="R359" s="19">
        <f t="shared" si="33"/>
        <v>8.2072388093189397E-2</v>
      </c>
      <c r="S359" s="19">
        <f t="shared" si="33"/>
        <v>4.7016098001158163E-3</v>
      </c>
      <c r="T359" s="19">
        <f t="shared" si="33"/>
        <v>0.24376511774092227</v>
      </c>
      <c r="U359" s="19">
        <f t="shared" si="33"/>
        <v>0</v>
      </c>
      <c r="V359" s="19">
        <f t="shared" si="33"/>
        <v>0</v>
      </c>
      <c r="W359" s="19">
        <f t="shared" si="33"/>
        <v>2.7586611750281904E-4</v>
      </c>
      <c r="X359" s="19">
        <f t="shared" si="33"/>
        <v>9.0814953714496993E-2</v>
      </c>
      <c r="Y359" s="19">
        <f t="shared" si="33"/>
        <v>0.80872149740979771</v>
      </c>
      <c r="Z359" s="19">
        <f t="shared" si="33"/>
        <v>0.26921035042197705</v>
      </c>
      <c r="AA359" s="19">
        <f t="shared" si="33"/>
        <v>0.35430791428014602</v>
      </c>
      <c r="AB359" s="19">
        <f t="shared" si="33"/>
        <v>2.3882345325772927E-4</v>
      </c>
      <c r="AC359" s="19">
        <f t="shared" si="33"/>
        <v>0.20385813569492939</v>
      </c>
      <c r="AD359" s="19">
        <f t="shared" si="33"/>
        <v>0.27007628178592508</v>
      </c>
      <c r="AE359" s="19">
        <f t="shared" si="33"/>
        <v>0.29954680167378644</v>
      </c>
      <c r="AF359" s="19">
        <f t="shared" si="33"/>
        <v>0.24435531023182777</v>
      </c>
      <c r="AG359" s="19">
        <f t="shared" si="33"/>
        <v>0.58197169389061643</v>
      </c>
      <c r="AH359" s="19">
        <f t="shared" si="33"/>
        <v>0.31853441289935103</v>
      </c>
      <c r="AI359" s="19">
        <f t="shared" si="33"/>
        <v>0.26047310219280662</v>
      </c>
      <c r="AJ359" s="19">
        <f t="shared" si="33"/>
        <v>0.5438375018278685</v>
      </c>
      <c r="AK359" s="19">
        <f t="shared" si="33"/>
        <v>0.37189511687835447</v>
      </c>
      <c r="AL359" s="19">
        <f t="shared" si="33"/>
        <v>0.16096675121191803</v>
      </c>
      <c r="AM359" s="19">
        <f t="shared" si="33"/>
        <v>0</v>
      </c>
      <c r="AN359" s="19">
        <f t="shared" si="33"/>
        <v>0.16106153741589999</v>
      </c>
      <c r="AO359" s="19">
        <f>AO348/AO352</f>
        <v>0</v>
      </c>
      <c r="AP359" s="19">
        <f>AP348/AP352</f>
        <v>0.16149382004833121</v>
      </c>
      <c r="AQ359" s="19">
        <f>AQ348/AQ352</f>
        <v>0.26394899463143362</v>
      </c>
      <c r="AR359" s="19">
        <f>AR348/AR352</f>
        <v>0.89314178279726464</v>
      </c>
      <c r="AS359" s="19">
        <f t="shared" ref="AS359:AY359" si="34">AS348/AS352</f>
        <v>0.58982524489520216</v>
      </c>
      <c r="AT359" s="19">
        <f t="shared" si="34"/>
        <v>0.8942690790582204</v>
      </c>
      <c r="AU359" s="19">
        <f t="shared" si="34"/>
        <v>0.20506257807683262</v>
      </c>
      <c r="AV359" s="19" t="e">
        <f t="shared" si="34"/>
        <v>#DIV/0!</v>
      </c>
      <c r="AW359" s="19">
        <f t="shared" si="34"/>
        <v>0.11447175030504278</v>
      </c>
      <c r="AX359" s="19">
        <f t="shared" si="34"/>
        <v>0.89814706315783566</v>
      </c>
      <c r="AY359" s="19">
        <f t="shared" si="34"/>
        <v>0.89227201309135529</v>
      </c>
      <c r="AZ359" s="19">
        <f>AZ348/AZ352</f>
        <v>0.77248727213560742</v>
      </c>
      <c r="BA359" s="19">
        <f t="shared" ref="BA359:BP359" si="35">BA348/BA352</f>
        <v>8.7915131623607937E-2</v>
      </c>
      <c r="BB359" s="19">
        <f t="shared" si="35"/>
        <v>0.82058538168227579</v>
      </c>
      <c r="BC359" s="19">
        <f t="shared" si="35"/>
        <v>0.76172104590768464</v>
      </c>
      <c r="BD359" s="19">
        <f t="shared" si="35"/>
        <v>0.28683802162216776</v>
      </c>
      <c r="BE359" s="19">
        <f t="shared" si="35"/>
        <v>2.3928583815475353E-4</v>
      </c>
      <c r="BF359" s="19">
        <f t="shared" si="35"/>
        <v>0.81130385262125726</v>
      </c>
      <c r="BG359" s="19">
        <f t="shared" si="35"/>
        <v>0.28644259160003926</v>
      </c>
      <c r="BH359" s="19">
        <f t="shared" si="35"/>
        <v>0.84261910747365565</v>
      </c>
      <c r="BI359" s="19">
        <f t="shared" si="35"/>
        <v>0.18141562876251849</v>
      </c>
      <c r="BJ359" s="19">
        <f t="shared" si="35"/>
        <v>2.5877257429731499E-4</v>
      </c>
      <c r="BK359" s="19">
        <f t="shared" si="35"/>
        <v>0</v>
      </c>
      <c r="BL359" s="19">
        <f t="shared" si="35"/>
        <v>-1.7857142857142857E-3</v>
      </c>
      <c r="BM359" s="19">
        <f t="shared" si="35"/>
        <v>0</v>
      </c>
      <c r="BN359" s="19">
        <f t="shared" si="35"/>
        <v>0</v>
      </c>
      <c r="BO359" s="19">
        <f t="shared" si="35"/>
        <v>0</v>
      </c>
      <c r="BP359" s="19">
        <f t="shared" si="35"/>
        <v>0</v>
      </c>
      <c r="BQ359" s="21"/>
    </row>
    <row r="360" spans="1:69" x14ac:dyDescent="0.2">
      <c r="A360" t="s">
        <v>612</v>
      </c>
      <c r="E360" s="19">
        <f t="shared" ref="E360:AN360" si="36">E349/E352</f>
        <v>9.2355413527932709E-2</v>
      </c>
      <c r="F360" s="19">
        <f t="shared" si="36"/>
        <v>5.2706480844025856E-2</v>
      </c>
      <c r="G360" s="19">
        <f t="shared" si="36"/>
        <v>8.8647189592842054E-2</v>
      </c>
      <c r="H360" s="19">
        <f t="shared" si="36"/>
        <v>0.87878217470459341</v>
      </c>
      <c r="I360" s="19">
        <f t="shared" si="36"/>
        <v>8.6613228210934812E-2</v>
      </c>
      <c r="J360" s="19">
        <f t="shared" si="36"/>
        <v>9.5787796612398252E-2</v>
      </c>
      <c r="K360" s="19">
        <f t="shared" si="36"/>
        <v>0</v>
      </c>
      <c r="L360" s="19">
        <f t="shared" si="36"/>
        <v>2.1884049659127935E-2</v>
      </c>
      <c r="M360" s="19">
        <f t="shared" si="36"/>
        <v>7.3910945112162646E-2</v>
      </c>
      <c r="N360" s="19">
        <f t="shared" si="36"/>
        <v>0.11044805564884795</v>
      </c>
      <c r="O360" s="19">
        <f>O349/O352</f>
        <v>0</v>
      </c>
      <c r="P360" s="19">
        <f t="shared" si="36"/>
        <v>0</v>
      </c>
      <c r="Q360" s="19">
        <f t="shared" si="36"/>
        <v>0.11366048047843294</v>
      </c>
      <c r="R360" s="19">
        <f t="shared" si="36"/>
        <v>0</v>
      </c>
      <c r="S360" s="19">
        <f t="shared" si="36"/>
        <v>4.0689754212124979E-3</v>
      </c>
      <c r="T360" s="19">
        <f t="shared" si="36"/>
        <v>-2.8559119471130256E-3</v>
      </c>
      <c r="U360" s="19">
        <f t="shared" si="36"/>
        <v>0</v>
      </c>
      <c r="V360" s="19">
        <f t="shared" si="36"/>
        <v>1.1239513351207627E-2</v>
      </c>
      <c r="W360" s="19">
        <f t="shared" si="36"/>
        <v>8.158146205636807E-2</v>
      </c>
      <c r="X360" s="19">
        <f t="shared" si="36"/>
        <v>0.10839340315132062</v>
      </c>
      <c r="Y360" s="19">
        <f t="shared" si="36"/>
        <v>0</v>
      </c>
      <c r="Z360" s="19">
        <f t="shared" si="36"/>
        <v>0.12481646595675461</v>
      </c>
      <c r="AA360" s="19">
        <f t="shared" si="36"/>
        <v>0</v>
      </c>
      <c r="AB360" s="19">
        <f t="shared" si="36"/>
        <v>6.420734987201096E-2</v>
      </c>
      <c r="AC360" s="19">
        <f t="shared" si="36"/>
        <v>-8.647472190786348E-6</v>
      </c>
      <c r="AD360" s="19">
        <f t="shared" si="36"/>
        <v>5.4307381174559799E-2</v>
      </c>
      <c r="AE360" s="19">
        <f t="shared" si="36"/>
        <v>0</v>
      </c>
      <c r="AF360" s="19">
        <f t="shared" si="36"/>
        <v>0.13404469936069835</v>
      </c>
      <c r="AG360" s="19">
        <f t="shared" si="36"/>
        <v>7.1814485460834163E-3</v>
      </c>
      <c r="AH360" s="19">
        <f t="shared" si="36"/>
        <v>1.3619242725907159E-2</v>
      </c>
      <c r="AI360" s="19">
        <f t="shared" si="36"/>
        <v>0.10523774663336279</v>
      </c>
      <c r="AJ360" s="19">
        <f t="shared" si="36"/>
        <v>6.1787294951363134E-2</v>
      </c>
      <c r="AK360" s="19">
        <f t="shared" si="36"/>
        <v>3.7183325029451012E-5</v>
      </c>
      <c r="AL360" s="19">
        <f t="shared" si="36"/>
        <v>3.6195937225998132E-6</v>
      </c>
      <c r="AM360" s="19">
        <f t="shared" si="36"/>
        <v>0</v>
      </c>
      <c r="AN360" s="19">
        <f t="shared" si="36"/>
        <v>2.1070790385957113E-5</v>
      </c>
      <c r="AO360" s="19">
        <f>AO349/AO352</f>
        <v>1.3295557992288366E-2</v>
      </c>
      <c r="AP360" s="19">
        <f>AP349/AP352</f>
        <v>2.0742346310345891E-4</v>
      </c>
      <c r="AQ360" s="19">
        <f>AQ349/AQ352</f>
        <v>-3.6525971329103963E-3</v>
      </c>
      <c r="AR360" s="19">
        <f>AR349/AR352</f>
        <v>0</v>
      </c>
      <c r="AS360" s="19">
        <f t="shared" ref="AS360:AY360" si="37">AS349/AS352</f>
        <v>7.8314117086789592E-3</v>
      </c>
      <c r="AT360" s="19">
        <f t="shared" si="37"/>
        <v>0</v>
      </c>
      <c r="AU360" s="19">
        <f t="shared" si="37"/>
        <v>-2.5639400298164542E-3</v>
      </c>
      <c r="AV360" s="19" t="e">
        <f t="shared" si="37"/>
        <v>#DIV/0!</v>
      </c>
      <c r="AW360" s="19">
        <f t="shared" si="37"/>
        <v>-1.2604025362075225E-4</v>
      </c>
      <c r="AX360" s="19">
        <f t="shared" si="37"/>
        <v>0</v>
      </c>
      <c r="AY360" s="19">
        <f t="shared" si="37"/>
        <v>0</v>
      </c>
      <c r="AZ360" s="19">
        <f>AZ349/AZ352</f>
        <v>0</v>
      </c>
      <c r="BA360" s="19">
        <f t="shared" ref="BA360:BP360" si="38">BA349/BA352</f>
        <v>-1.0604329804315765E-3</v>
      </c>
      <c r="BB360" s="19">
        <f t="shared" si="38"/>
        <v>0</v>
      </c>
      <c r="BC360" s="19">
        <f t="shared" si="38"/>
        <v>0</v>
      </c>
      <c r="BD360" s="19">
        <f t="shared" si="38"/>
        <v>-3.2028245828750802E-3</v>
      </c>
      <c r="BE360" s="19">
        <f t="shared" si="38"/>
        <v>6.8006531347270592E-7</v>
      </c>
      <c r="BF360" s="19">
        <f t="shared" si="38"/>
        <v>0</v>
      </c>
      <c r="BG360" s="19">
        <f t="shared" si="38"/>
        <v>-3.2586874546083069E-3</v>
      </c>
      <c r="BH360" s="19">
        <f t="shared" si="38"/>
        <v>0</v>
      </c>
      <c r="BI360" s="19">
        <f t="shared" si="38"/>
        <v>0</v>
      </c>
      <c r="BJ360" s="19">
        <f t="shared" si="38"/>
        <v>8.4936293533035543E-7</v>
      </c>
      <c r="BK360" s="19">
        <f t="shared" si="38"/>
        <v>0</v>
      </c>
      <c r="BL360" s="19">
        <f t="shared" si="38"/>
        <v>0</v>
      </c>
      <c r="BM360" s="19">
        <f t="shared" si="38"/>
        <v>0</v>
      </c>
      <c r="BN360" s="19">
        <f t="shared" si="38"/>
        <v>0</v>
      </c>
      <c r="BO360" s="19">
        <f t="shared" si="38"/>
        <v>0</v>
      </c>
      <c r="BP360" s="19">
        <f t="shared" si="38"/>
        <v>0</v>
      </c>
      <c r="BQ360" s="21"/>
    </row>
    <row r="361" spans="1:69" x14ac:dyDescent="0.2">
      <c r="A361" t="s">
        <v>613</v>
      </c>
      <c r="E361" s="19">
        <f t="shared" ref="E361:N361" si="39">E350/E352</f>
        <v>0.20381316758785037</v>
      </c>
      <c r="F361" s="19">
        <f t="shared" si="39"/>
        <v>6.756267460412356E-2</v>
      </c>
      <c r="G361" s="19">
        <f t="shared" si="39"/>
        <v>6.1988467262823616E-2</v>
      </c>
      <c r="H361" s="19">
        <f t="shared" si="39"/>
        <v>2.0547429929979977E-2</v>
      </c>
      <c r="I361" s="19">
        <f t="shared" si="39"/>
        <v>6.6589863125706319E-2</v>
      </c>
      <c r="J361" s="19">
        <f t="shared" si="39"/>
        <v>6.1580516254924805E-2</v>
      </c>
      <c r="K361" s="19">
        <f t="shared" si="39"/>
        <v>1</v>
      </c>
      <c r="L361" s="19">
        <f t="shared" si="39"/>
        <v>8.8983073088584816E-2</v>
      </c>
      <c r="M361" s="19">
        <f t="shared" si="39"/>
        <v>0.23666140579790224</v>
      </c>
      <c r="N361" s="19">
        <f t="shared" si="39"/>
        <v>0.17301040521378011</v>
      </c>
      <c r="O361" s="19">
        <f>O350/O352</f>
        <v>7.9973543848636548E-3</v>
      </c>
      <c r="P361" s="19">
        <f t="shared" ref="P361:AN361" si="40">P350/P352</f>
        <v>9.954927350788078E-3</v>
      </c>
      <c r="Q361" s="19">
        <f t="shared" si="40"/>
        <v>6.6409222139572663E-2</v>
      </c>
      <c r="R361" s="19">
        <f t="shared" si="40"/>
        <v>1.1418163924502135E-2</v>
      </c>
      <c r="S361" s="19">
        <f t="shared" si="40"/>
        <v>4.2200569854800397E-2</v>
      </c>
      <c r="T361" s="19">
        <f t="shared" si="40"/>
        <v>3.2691855115858884E-2</v>
      </c>
      <c r="U361" s="19">
        <f t="shared" si="40"/>
        <v>-9.5735024519686253E-4</v>
      </c>
      <c r="V361" s="19">
        <f t="shared" si="40"/>
        <v>9.000107401138345E-2</v>
      </c>
      <c r="W361" s="19">
        <f t="shared" si="40"/>
        <v>5.2665049594220456E-2</v>
      </c>
      <c r="X361" s="19">
        <f t="shared" si="40"/>
        <v>6.109324984056716E-2</v>
      </c>
      <c r="Y361" s="19">
        <f t="shared" si="40"/>
        <v>-3.1135363783066374E-3</v>
      </c>
      <c r="Z361" s="19">
        <f t="shared" si="40"/>
        <v>0.15016953484076698</v>
      </c>
      <c r="AA361" s="19">
        <f t="shared" si="40"/>
        <v>-7.4369861913826385E-3</v>
      </c>
      <c r="AB361" s="19">
        <f t="shared" si="40"/>
        <v>5.8274148943699089E-2</v>
      </c>
      <c r="AC361" s="19">
        <f t="shared" si="40"/>
        <v>1.751042230714054E-2</v>
      </c>
      <c r="AD361" s="19">
        <f t="shared" si="40"/>
        <v>4.6170925125619593E-2</v>
      </c>
      <c r="AE361" s="19">
        <f t="shared" si="40"/>
        <v>3.6141953606668052E-3</v>
      </c>
      <c r="AF361" s="19">
        <f t="shared" si="40"/>
        <v>0.20056589887299975</v>
      </c>
      <c r="AG361" s="19">
        <f t="shared" si="40"/>
        <v>2.6698888354459074E-2</v>
      </c>
      <c r="AH361" s="19">
        <f t="shared" si="40"/>
        <v>3.4852061632971404E-3</v>
      </c>
      <c r="AI361" s="19">
        <f t="shared" si="40"/>
        <v>0.21534497564896954</v>
      </c>
      <c r="AJ361" s="19">
        <f t="shared" si="40"/>
        <v>3.439470265832175E-2</v>
      </c>
      <c r="AK361" s="19">
        <f t="shared" si="40"/>
        <v>-4.3370506554279457E-3</v>
      </c>
      <c r="AL361" s="19">
        <f t="shared" si="40"/>
        <v>8.1360499501939732E-3</v>
      </c>
      <c r="AM361" s="19">
        <f t="shared" si="40"/>
        <v>1</v>
      </c>
      <c r="AN361" s="19">
        <f t="shared" si="40"/>
        <v>8.5477258714487421E-3</v>
      </c>
      <c r="AO361" s="19">
        <f>AO350/AO352</f>
        <v>6.6340515712602896E-2</v>
      </c>
      <c r="AP361" s="19">
        <f>AP350/AP352</f>
        <v>5.6929444139673709E-3</v>
      </c>
      <c r="AQ361" s="19">
        <f>AQ350/AQ352</f>
        <v>1.782279012619686E-2</v>
      </c>
      <c r="AR361" s="19">
        <f>AR350/AR352</f>
        <v>2.2679883597166766E-4</v>
      </c>
      <c r="AS361" s="19">
        <f t="shared" ref="AS361:AY361" si="41">AS350/AS352</f>
        <v>1.2951996238201112E-2</v>
      </c>
      <c r="AT361" s="19">
        <f t="shared" si="41"/>
        <v>-4.5596813757664218E-3</v>
      </c>
      <c r="AU361" s="19">
        <f t="shared" si="41"/>
        <v>5.9597627361291566E-2</v>
      </c>
      <c r="AV361" s="19" t="e">
        <f t="shared" si="41"/>
        <v>#DIV/0!</v>
      </c>
      <c r="AW361" s="19">
        <f t="shared" si="41"/>
        <v>1.3931388825307447E-2</v>
      </c>
      <c r="AX361" s="19">
        <f t="shared" si="41"/>
        <v>4.2987121687897861E-4</v>
      </c>
      <c r="AY361" s="19">
        <f t="shared" si="41"/>
        <v>2.1226022058540195E-5</v>
      </c>
      <c r="AZ361" s="19">
        <f>AZ350/AZ352</f>
        <v>-2.6155716723503668E-4</v>
      </c>
      <c r="BA361" s="19">
        <f t="shared" ref="BA361:BP361" si="42">BA350/BA352</f>
        <v>2.2254944413313923E-2</v>
      </c>
      <c r="BB361" s="19">
        <f t="shared" si="42"/>
        <v>2.7238780162876793E-2</v>
      </c>
      <c r="BC361" s="19">
        <f t="shared" si="42"/>
        <v>-1.4616603374375528E-4</v>
      </c>
      <c r="BD361" s="19">
        <f t="shared" si="42"/>
        <v>2.0078138639588301E-2</v>
      </c>
      <c r="BE361" s="19">
        <f t="shared" si="42"/>
        <v>2.5792934296266962E-2</v>
      </c>
      <c r="BF361" s="19">
        <f t="shared" si="42"/>
        <v>2.6912350708055085E-2</v>
      </c>
      <c r="BG361" s="19">
        <f t="shared" si="42"/>
        <v>1.9591768127340932E-2</v>
      </c>
      <c r="BH361" s="19">
        <f t="shared" si="42"/>
        <v>1.0304174144134322E-2</v>
      </c>
      <c r="BI361" s="19">
        <f t="shared" si="42"/>
        <v>4.7424768572844073E-3</v>
      </c>
      <c r="BJ361" s="19">
        <f t="shared" si="42"/>
        <v>2.6947737849226185E-2</v>
      </c>
      <c r="BK361" s="19">
        <f t="shared" si="42"/>
        <v>1</v>
      </c>
      <c r="BL361" s="19">
        <f t="shared" si="42"/>
        <v>1.0017857142857143</v>
      </c>
      <c r="BM361" s="19">
        <f t="shared" si="42"/>
        <v>1</v>
      </c>
      <c r="BN361" s="19">
        <f t="shared" si="42"/>
        <v>1</v>
      </c>
      <c r="BO361" s="19">
        <f t="shared" si="42"/>
        <v>1</v>
      </c>
      <c r="BP361" s="19">
        <f t="shared" si="42"/>
        <v>1</v>
      </c>
      <c r="BQ361" s="21"/>
    </row>
    <row r="362" spans="1:69" x14ac:dyDescent="0.2">
      <c r="A362" s="21" t="s">
        <v>700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</row>
  </sheetData>
  <mergeCells count="3">
    <mergeCell ref="A3:BP3"/>
    <mergeCell ref="BQ3:BQ362"/>
    <mergeCell ref="A362:BP362"/>
  </mergeCells>
  <conditionalFormatting sqref="A19:A35">
    <cfRule type="cellIs" dxfId="3" priority="23" stopIfTrue="1" operator="lessThan">
      <formula>0</formula>
    </cfRule>
  </conditionalFormatting>
  <conditionalFormatting sqref="B25:B35">
    <cfRule type="cellIs" dxfId="2" priority="32" stopIfTrue="1" operator="lessThan">
      <formula>0</formula>
    </cfRule>
  </conditionalFormatting>
  <conditionalFormatting sqref="C18:D26">
    <cfRule type="cellIs" dxfId="1" priority="24" stopIfTrue="1" operator="lessThan">
      <formula>0</formula>
    </cfRule>
  </conditionalFormatting>
  <conditionalFormatting sqref="E17:BP25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Hishtalmut xmlns="e7c93c0b-31f4-4d6d-a404-57fd37393f5c">
      <Value>6</Value>
      <Value>7</Value>
      <Value>13</Value>
      <Value>14</Value>
      <Value>16</Value>
      <Value>17</Value>
      <Value>18</Value>
      <Value>9</Value>
      <Value>1</Value>
      <Value>2</Value>
      <Value>3</Value>
      <Value>11</Value>
      <Value>12</Value>
      <Value>4</Value>
      <Value>5</Value>
    </Kupa_Hishtalmut>
    <Category xmlns="e7c93c0b-31f4-4d6d-a404-57fd37393f5c">1</Category>
    <KupotIsHidden xmlns="7c67d0cd-db71-4ceb-ba14-b5862b768686">false</KupotIsHidden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17</Value>
      <Value>14</Value>
      <Value>15</Value>
      <Value>16</Value>
      <Value>19</Value>
      <Value>20</Value>
      <Value>21</Value>
      <Value>22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</documentManagement>
</p:properties>
</file>

<file path=customXml/itemProps1.xml><?xml version="1.0" encoding="utf-8"?>
<ds:datastoreItem xmlns:ds="http://schemas.openxmlformats.org/officeDocument/2006/customXml" ds:itemID="{25D15348-8A40-4246-BBAE-3467A1590EAC}"/>
</file>

<file path=customXml/itemProps2.xml><?xml version="1.0" encoding="utf-8"?>
<ds:datastoreItem xmlns:ds="http://schemas.openxmlformats.org/officeDocument/2006/customXml" ds:itemID="{B9C84DCD-21E2-425F-9EDB-8BB824AA98BA}"/>
</file>

<file path=customXml/itemProps3.xml><?xml version="1.0" encoding="utf-8"?>
<ds:datastoreItem xmlns:ds="http://schemas.openxmlformats.org/officeDocument/2006/customXml" ds:itemID="{6331CE33-1716-4BA1-85DB-3B36213DB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8/2024</dc:title>
  <dc:creator>פרידמן אמיר</dc:creator>
  <cp:lastModifiedBy>מטי לנדו</cp:lastModifiedBy>
  <dcterms:created xsi:type="dcterms:W3CDTF">2024-09-22T11:13:02Z</dcterms:created>
  <dcterms:modified xsi:type="dcterms:W3CDTF">2024-10-01T09:35:35Z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