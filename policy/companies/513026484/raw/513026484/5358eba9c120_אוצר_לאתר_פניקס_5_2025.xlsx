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95CED4D7-11DE-4C02-8E34-F40DD04A3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4" i="1" l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U351" i="1" l="1"/>
  <c r="AK351" i="1"/>
  <c r="AK355" i="1" s="1"/>
  <c r="R351" i="1"/>
  <c r="R357" i="1" s="1"/>
  <c r="AD351" i="1"/>
  <c r="AD355" i="1" s="1"/>
  <c r="AP351" i="1"/>
  <c r="AP353" i="1" s="1"/>
  <c r="BB351" i="1"/>
  <c r="BB355" i="1" s="1"/>
  <c r="BF351" i="1"/>
  <c r="BF353" i="1" s="1"/>
  <c r="U356" i="1"/>
  <c r="H351" i="1"/>
  <c r="H357" i="1" s="1"/>
  <c r="L351" i="1"/>
  <c r="L359" i="1" s="1"/>
  <c r="P351" i="1"/>
  <c r="P360" i="1" s="1"/>
  <c r="T351" i="1"/>
  <c r="T357" i="1" s="1"/>
  <c r="X351" i="1"/>
  <c r="X356" i="1" s="1"/>
  <c r="AB351" i="1"/>
  <c r="AB359" i="1" s="1"/>
  <c r="AF351" i="1"/>
  <c r="AF357" i="1" s="1"/>
  <c r="AJ351" i="1"/>
  <c r="AJ356" i="1" s="1"/>
  <c r="AN351" i="1"/>
  <c r="AN353" i="1" s="1"/>
  <c r="AR351" i="1"/>
  <c r="AV351" i="1"/>
  <c r="AV356" i="1" s="1"/>
  <c r="AZ351" i="1"/>
  <c r="AZ356" i="1" s="1"/>
  <c r="BD351" i="1"/>
  <c r="BD355" i="1" s="1"/>
  <c r="BH351" i="1"/>
  <c r="BH358" i="1" s="1"/>
  <c r="I351" i="1"/>
  <c r="I355" i="1" s="1"/>
  <c r="Y351" i="1"/>
  <c r="Y358" i="1" s="1"/>
  <c r="AO351" i="1"/>
  <c r="AO355" i="1" s="1"/>
  <c r="E351" i="1"/>
  <c r="E353" i="1" s="1"/>
  <c r="Q351" i="1"/>
  <c r="Q353" i="1" s="1"/>
  <c r="AG351" i="1"/>
  <c r="AG359" i="1" s="1"/>
  <c r="AW351" i="1"/>
  <c r="AW353" i="1" s="1"/>
  <c r="BA351" i="1"/>
  <c r="BA360" i="1" s="1"/>
  <c r="BE351" i="1"/>
  <c r="BE355" i="1" s="1"/>
  <c r="BI351" i="1"/>
  <c r="BI356" i="1" s="1"/>
  <c r="J351" i="1"/>
  <c r="J360" i="1" s="1"/>
  <c r="V351" i="1"/>
  <c r="V356" i="1" s="1"/>
  <c r="AH351" i="1"/>
  <c r="AH353" i="1" s="1"/>
  <c r="AT351" i="1"/>
  <c r="AT359" i="1" s="1"/>
  <c r="AO356" i="1"/>
  <c r="AN357" i="1"/>
  <c r="M351" i="1"/>
  <c r="M357" i="1" s="1"/>
  <c r="AC351" i="1"/>
  <c r="AC356" i="1" s="1"/>
  <c r="AS351" i="1"/>
  <c r="AS353" i="1" s="1"/>
  <c r="L356" i="1"/>
  <c r="F351" i="1"/>
  <c r="F357" i="1" s="1"/>
  <c r="N351" i="1"/>
  <c r="N360" i="1" s="1"/>
  <c r="Z351" i="1"/>
  <c r="Z356" i="1" s="1"/>
  <c r="AL351" i="1"/>
  <c r="AL355" i="1" s="1"/>
  <c r="AX351" i="1"/>
  <c r="AX353" i="1" s="1"/>
  <c r="AS356" i="1"/>
  <c r="G351" i="1"/>
  <c r="G356" i="1" s="1"/>
  <c r="K351" i="1"/>
  <c r="K357" i="1" s="1"/>
  <c r="O351" i="1"/>
  <c r="O360" i="1" s="1"/>
  <c r="S351" i="1"/>
  <c r="S357" i="1" s="1"/>
  <c r="W351" i="1"/>
  <c r="W353" i="1" s="1"/>
  <c r="AA351" i="1"/>
  <c r="AA357" i="1" s="1"/>
  <c r="AE351" i="1"/>
  <c r="AE356" i="1" s="1"/>
  <c r="AE355" i="1"/>
  <c r="AI351" i="1"/>
  <c r="AI359" i="1" s="1"/>
  <c r="AM351" i="1"/>
  <c r="AM353" i="1" s="1"/>
  <c r="AQ351" i="1"/>
  <c r="AQ359" i="1" s="1"/>
  <c r="AU351" i="1"/>
  <c r="AU356" i="1" s="1"/>
  <c r="AY351" i="1"/>
  <c r="AY356" i="1" s="1"/>
  <c r="BC351" i="1"/>
  <c r="BC360" i="1" s="1"/>
  <c r="BG351" i="1"/>
  <c r="BG360" i="1" s="1"/>
  <c r="R356" i="1"/>
  <c r="AH356" i="1"/>
  <c r="AP356" i="1"/>
  <c r="AY359" i="1"/>
  <c r="AG357" i="1"/>
  <c r="AJ358" i="1"/>
  <c r="AZ358" i="1"/>
  <c r="AX360" i="1"/>
  <c r="AD357" i="1"/>
  <c r="AH357" i="1"/>
  <c r="BB357" i="1"/>
  <c r="U358" i="1"/>
  <c r="AG358" i="1"/>
  <c r="AK358" i="1"/>
  <c r="AO358" i="1"/>
  <c r="AS358" i="1"/>
  <c r="H359" i="1"/>
  <c r="AJ359" i="1"/>
  <c r="AR359" i="1"/>
  <c r="AZ359" i="1"/>
  <c r="BC357" i="1"/>
  <c r="BG357" i="1"/>
  <c r="AD358" i="1"/>
  <c r="AH358" i="1"/>
  <c r="BF358" i="1"/>
  <c r="U359" i="1"/>
  <c r="AC359" i="1"/>
  <c r="AK359" i="1"/>
  <c r="AS359" i="1"/>
  <c r="H360" i="1"/>
  <c r="X360" i="1"/>
  <c r="AY358" i="1"/>
  <c r="AD359" i="1"/>
  <c r="AH359" i="1"/>
  <c r="AP359" i="1"/>
  <c r="AX359" i="1"/>
  <c r="U360" i="1"/>
  <c r="AC360" i="1"/>
  <c r="AG360" i="1"/>
  <c r="AO360" i="1"/>
  <c r="AS360" i="1"/>
  <c r="AR360" i="1"/>
  <c r="AZ360" i="1"/>
  <c r="Y357" i="1" l="1"/>
  <c r="Y360" i="1"/>
  <c r="AH360" i="1"/>
  <c r="E357" i="1"/>
  <c r="Y356" i="1"/>
  <c r="AS355" i="1"/>
  <c r="AH355" i="1"/>
  <c r="BE357" i="1"/>
  <c r="F359" i="1"/>
  <c r="AM358" i="1"/>
  <c r="AE360" i="1"/>
  <c r="BC359" i="1"/>
  <c r="BB356" i="1"/>
  <c r="E355" i="1"/>
  <c r="BA359" i="1"/>
  <c r="BE358" i="1"/>
  <c r="BB359" i="1"/>
  <c r="AI358" i="1"/>
  <c r="AE359" i="1"/>
  <c r="BE360" i="1"/>
  <c r="AJ360" i="1"/>
  <c r="AS357" i="1"/>
  <c r="O355" i="1"/>
  <c r="AZ357" i="1"/>
  <c r="AL357" i="1"/>
  <c r="M360" i="1"/>
  <c r="Z359" i="1"/>
  <c r="N358" i="1"/>
  <c r="J356" i="1"/>
  <c r="E360" i="1"/>
  <c r="N359" i="1"/>
  <c r="J358" i="1"/>
  <c r="X359" i="1"/>
  <c r="N357" i="1"/>
  <c r="T358" i="1"/>
  <c r="S359" i="1"/>
  <c r="I356" i="1"/>
  <c r="I360" i="1"/>
  <c r="S358" i="1"/>
  <c r="AW356" i="1"/>
  <c r="BD356" i="1"/>
  <c r="AK360" i="1"/>
  <c r="BF359" i="1"/>
  <c r="J359" i="1"/>
  <c r="AF360" i="1"/>
  <c r="T359" i="1"/>
  <c r="H358" i="1"/>
  <c r="AF358" i="1"/>
  <c r="BC355" i="1"/>
  <c r="E356" i="1"/>
  <c r="I358" i="1"/>
  <c r="BC358" i="1"/>
  <c r="T360" i="1"/>
  <c r="E359" i="1"/>
  <c r="E358" i="1"/>
  <c r="AK357" i="1"/>
  <c r="AQ360" i="1"/>
  <c r="AQ358" i="1"/>
  <c r="M359" i="1"/>
  <c r="F358" i="1"/>
  <c r="AX357" i="1"/>
  <c r="AX355" i="1"/>
  <c r="S356" i="1"/>
  <c r="AC355" i="1"/>
  <c r="AF356" i="1"/>
  <c r="F360" i="1"/>
  <c r="G359" i="1"/>
  <c r="W358" i="1"/>
  <c r="AX358" i="1"/>
  <c r="F356" i="1"/>
  <c r="BG358" i="1"/>
  <c r="W359" i="1"/>
  <c r="AW360" i="1"/>
  <c r="Q360" i="1"/>
  <c r="AL359" i="1"/>
  <c r="W360" i="1"/>
  <c r="AW358" i="1"/>
  <c r="AX356" i="1"/>
  <c r="P357" i="1"/>
  <c r="AN360" i="1"/>
  <c r="V359" i="1"/>
  <c r="Z358" i="1"/>
  <c r="AU360" i="1"/>
  <c r="K360" i="1"/>
  <c r="AN359" i="1"/>
  <c r="BA358" i="1"/>
  <c r="BG356" i="1"/>
  <c r="AP360" i="1"/>
  <c r="AN358" i="1"/>
  <c r="AC357" i="1"/>
  <c r="AL356" i="1"/>
  <c r="N355" i="1"/>
  <c r="AJ357" i="1"/>
  <c r="AN355" i="1"/>
  <c r="BF355" i="1"/>
  <c r="AP355" i="1"/>
  <c r="H356" i="1"/>
  <c r="R359" i="1"/>
  <c r="AP358" i="1"/>
  <c r="R358" i="1"/>
  <c r="AP357" i="1"/>
  <c r="AT356" i="1"/>
  <c r="BF356" i="1"/>
  <c r="BA356" i="1"/>
  <c r="BD357" i="1"/>
  <c r="AN356" i="1"/>
  <c r="BD360" i="1"/>
  <c r="K358" i="1"/>
  <c r="BD359" i="1"/>
  <c r="BF357" i="1"/>
  <c r="BF360" i="1"/>
  <c r="Z360" i="1"/>
  <c r="V360" i="1"/>
  <c r="K359" i="1"/>
  <c r="AU355" i="1"/>
  <c r="W355" i="1"/>
  <c r="V355" i="1"/>
  <c r="AT353" i="1"/>
  <c r="AT360" i="1"/>
  <c r="AB353" i="1"/>
  <c r="AB355" i="1"/>
  <c r="AB357" i="1"/>
  <c r="AB360" i="1"/>
  <c r="BI360" i="1"/>
  <c r="BI359" i="1"/>
  <c r="AV360" i="1"/>
  <c r="AA358" i="1"/>
  <c r="AU357" i="1"/>
  <c r="BH359" i="1"/>
  <c r="AT357" i="1"/>
  <c r="AB358" i="1"/>
  <c r="AW357" i="1"/>
  <c r="AV358" i="1"/>
  <c r="BC353" i="1"/>
  <c r="BC356" i="1"/>
  <c r="AQ353" i="1"/>
  <c r="AQ356" i="1"/>
  <c r="AQ355" i="1"/>
  <c r="K353" i="1"/>
  <c r="K356" i="1"/>
  <c r="K355" i="1"/>
  <c r="F353" i="1"/>
  <c r="F355" i="1"/>
  <c r="AV357" i="1"/>
  <c r="X357" i="1"/>
  <c r="J353" i="1"/>
  <c r="J355" i="1"/>
  <c r="J357" i="1"/>
  <c r="AG353" i="1"/>
  <c r="AG355" i="1"/>
  <c r="AR353" i="1"/>
  <c r="AR355" i="1"/>
  <c r="AR356" i="1"/>
  <c r="AR357" i="1"/>
  <c r="AR358" i="1"/>
  <c r="AF353" i="1"/>
  <c r="AF359" i="1"/>
  <c r="X355" i="1"/>
  <c r="L353" i="1"/>
  <c r="L355" i="1"/>
  <c r="L357" i="1"/>
  <c r="L358" i="1"/>
  <c r="L360" i="1"/>
  <c r="AG356" i="1"/>
  <c r="AV353" i="1"/>
  <c r="AV359" i="1"/>
  <c r="BH360" i="1"/>
  <c r="AW359" i="1"/>
  <c r="AT358" i="1"/>
  <c r="AM360" i="1"/>
  <c r="Q358" i="1"/>
  <c r="V357" i="1"/>
  <c r="AM359" i="1"/>
  <c r="BI357" i="1"/>
  <c r="AY353" i="1"/>
  <c r="AY355" i="1"/>
  <c r="AY360" i="1"/>
  <c r="AY357" i="1"/>
  <c r="AM355" i="1"/>
  <c r="AE353" i="1"/>
  <c r="AE357" i="1"/>
  <c r="AE358" i="1"/>
  <c r="S353" i="1"/>
  <c r="S355" i="1"/>
  <c r="S360" i="1"/>
  <c r="Z353" i="1"/>
  <c r="Z355" i="1"/>
  <c r="Z357" i="1"/>
  <c r="AC353" i="1"/>
  <c r="AC358" i="1"/>
  <c r="G358" i="1"/>
  <c r="AB356" i="1"/>
  <c r="BA353" i="1"/>
  <c r="BA355" i="1"/>
  <c r="BA357" i="1"/>
  <c r="Q355" i="1"/>
  <c r="AQ357" i="1"/>
  <c r="W357" i="1"/>
  <c r="G357" i="1"/>
  <c r="AO353" i="1"/>
  <c r="AO357" i="1"/>
  <c r="AO359" i="1"/>
  <c r="I353" i="1"/>
  <c r="I357" i="1"/>
  <c r="I359" i="1"/>
  <c r="W356" i="1"/>
  <c r="AZ353" i="1"/>
  <c r="AZ355" i="1"/>
  <c r="AF355" i="1"/>
  <c r="T353" i="1"/>
  <c r="T356" i="1"/>
  <c r="T355" i="1"/>
  <c r="BB353" i="1"/>
  <c r="BB360" i="1"/>
  <c r="BB358" i="1"/>
  <c r="AD353" i="1"/>
  <c r="AD356" i="1"/>
  <c r="AD360" i="1"/>
  <c r="U353" i="1"/>
  <c r="U355" i="1"/>
  <c r="U357" i="1"/>
  <c r="BG353" i="1"/>
  <c r="BG355" i="1"/>
  <c r="BG359" i="1"/>
  <c r="AM357" i="1"/>
  <c r="AM356" i="1"/>
  <c r="P353" i="1"/>
  <c r="P356" i="1"/>
  <c r="P359" i="1"/>
  <c r="AA353" i="1"/>
  <c r="AA356" i="1"/>
  <c r="AA355" i="1"/>
  <c r="AA359" i="1"/>
  <c r="BI353" i="1"/>
  <c r="BI355" i="1"/>
  <c r="BI358" i="1"/>
  <c r="BH353" i="1"/>
  <c r="BH355" i="1"/>
  <c r="BH356" i="1"/>
  <c r="BH357" i="1"/>
  <c r="Q359" i="1"/>
  <c r="AA360" i="1"/>
  <c r="Q357" i="1"/>
  <c r="P358" i="1"/>
  <c r="AU353" i="1"/>
  <c r="AU359" i="1"/>
  <c r="AU358" i="1"/>
  <c r="AI353" i="1"/>
  <c r="AI355" i="1"/>
  <c r="AI360" i="1"/>
  <c r="O353" i="1"/>
  <c r="O357" i="1"/>
  <c r="O359" i="1"/>
  <c r="O358" i="1"/>
  <c r="G353" i="1"/>
  <c r="G355" i="1"/>
  <c r="G360" i="1"/>
  <c r="Q356" i="1"/>
  <c r="AL353" i="1"/>
  <c r="AL360" i="1"/>
  <c r="AL358" i="1"/>
  <c r="N353" i="1"/>
  <c r="N356" i="1"/>
  <c r="M353" i="1"/>
  <c r="M356" i="1"/>
  <c r="M355" i="1"/>
  <c r="M358" i="1"/>
  <c r="AT355" i="1"/>
  <c r="V353" i="1"/>
  <c r="V358" i="1"/>
  <c r="BE353" i="1"/>
  <c r="BE356" i="1"/>
  <c r="BE359" i="1"/>
  <c r="AW355" i="1"/>
  <c r="AI357" i="1"/>
  <c r="Y353" i="1"/>
  <c r="Y355" i="1"/>
  <c r="Y359" i="1"/>
  <c r="AI356" i="1"/>
  <c r="O356" i="1"/>
  <c r="BD353" i="1"/>
  <c r="BD358" i="1"/>
  <c r="AV355" i="1"/>
  <c r="AJ353" i="1"/>
  <c r="AJ355" i="1"/>
  <c r="X353" i="1"/>
  <c r="X358" i="1"/>
  <c r="P355" i="1"/>
  <c r="H353" i="1"/>
  <c r="H355" i="1"/>
  <c r="R353" i="1"/>
  <c r="R355" i="1"/>
  <c r="R360" i="1"/>
  <c r="AK353" i="1"/>
  <c r="AK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<sst xmlns="http://schemas.openxmlformats.org/spreadsheetml/2006/main" count="765" uniqueCount="697">
  <si>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</si>
  <si>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</si>
  <si>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</si>
  <si>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</si>
  <si>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</si>
  <si>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</si>
  <si>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</si>
  <si>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</si>
  <si>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</si>
  <si>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</si>
  <si>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</si>
  <si>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</si>
  <si>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</si>
  <si>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</si>
  <si>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</si>
  <si>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</si>
  <si>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</si>
  <si>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</si>
  <si>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</si>
  <si>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</si>
  <si>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</si>
  <si>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</si>
  <si>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</si>
  <si>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</si>
  <si>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</si>
  <si>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</si>
  <si>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</si>
  <si>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</si>
  <si>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</si>
  <si>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</si>
  <si>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</si>
  <si>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</si>
  <si>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</si>
  <si>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</si>
  <si>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</si>
  <si>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</si>
  <si>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</si>
  <si>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</si>
  <si>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</si>
  <si>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</si>
  <si>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</si>
  <si>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</si>
  <si>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</si>
  <si>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</si>
  <si>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</si>
  <si>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</si>
  <si>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</si>
  <si>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</si>
  <si>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</si>
  <si>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</si>
  <si>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</si>
  <si>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</si>
  <si>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</si>
  <si>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</si>
  <si>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</si>
  <si>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</si>
  <si>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</si>
  <si>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</si>
  <si>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</si>
  <si>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</si>
  <si>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</si>
  <si>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</si>
  <si>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</si>
  <si>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</si>
  <si>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</si>
  <si>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</si>
  <si>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</si>
  <si>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</si>
  <si>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</si>
  <si>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</si>
  <si>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</si>
  <si>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</si>
  <si>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</si>
  <si>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</si>
  <si>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</si>
  <si>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</si>
  <si>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</si>
  <si>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</si>
  <si>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</si>
  <si>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</si>
  <si>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</si>
  <si>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</si>
  <si>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</si>
  <si>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</si>
  <si>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</si>
  <si>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</si>
  <si>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</si>
  <si>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</si>
  <si>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</si>
  <si>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</si>
  <si>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</si>
  <si>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</si>
  <si>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</si>
  <si>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</si>
  <si>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</si>
  <si>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</si>
  <si>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</si>
  <si>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</si>
  <si>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</si>
  <si>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</si>
  <si>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</si>
  <si>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</si>
  <si>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</si>
  <si>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</si>
  <si>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</si>
  <si>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</si>
  <si>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</si>
  <si>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</si>
  <si>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</si>
  <si>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</si>
  <si>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</si>
  <si>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</si>
  <si>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</si>
  <si>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</si>
  <si>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</si>
  <si>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</si>
  <si>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</si>
  <si>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</si>
  <si>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</si>
  <si>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</si>
  <si>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</si>
  <si>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</si>
  <si>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</si>
  <si>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</si>
  <si>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</si>
  <si>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</si>
  <si>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</si>
  <si>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</si>
  <si>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</si>
  <si>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</si>
  <si>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</si>
  <si>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</si>
  <si>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</si>
  <si>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</si>
  <si>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</si>
  <si>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</si>
  <si>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</si>
  <si>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</si>
  <si>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</si>
  <si>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</si>
  <si>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</si>
  <si>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</si>
  <si>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</si>
  <si>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</si>
  <si>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</si>
  <si>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</si>
  <si>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</si>
  <si>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</si>
  <si>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</si>
  <si>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</si>
  <si>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</si>
  <si>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</si>
  <si>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</si>
  <si>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</si>
  <si>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</si>
  <si>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</si>
  <si>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</si>
  <si>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</si>
  <si>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</si>
  <si>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</si>
  <si>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</si>
  <si>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</si>
  <si>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</si>
  <si>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</si>
  <si>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</si>
  <si>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</si>
  <si>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</si>
  <si>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</si>
  <si>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</si>
  <si>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</si>
  <si>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</si>
  <si>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</si>
  <si>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</si>
  <si>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</si>
  <si>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</si>
  <si>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</si>
  <si>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</si>
  <si>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</si>
  <si>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</si>
  <si>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</si>
  <si>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</si>
  <si>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</si>
  <si>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</si>
  <si>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</si>
  <si>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</si>
  <si>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</si>
  <si>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</si>
  <si>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</si>
  <si>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</si>
  <si>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</si>
  <si>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</si>
  <si>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</si>
  <si>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</si>
  <si>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</si>
  <si>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</si>
  <si>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</si>
  <si>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</si>
  <si>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</si>
  <si>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</si>
  <si>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</si>
  <si>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</si>
  <si>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</si>
  <si>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</si>
  <si>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</si>
  <si>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</si>
  <si>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</si>
  <si>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</si>
  <si>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</si>
  <si>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</si>
  <si>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</si>
  <si>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</si>
  <si>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</si>
  <si>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</si>
  <si>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</si>
  <si>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</si>
  <si>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</si>
  <si>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</si>
  <si>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</si>
  <si>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</si>
  <si>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</si>
  <si>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</si>
  <si>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</si>
  <si>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</si>
  <si>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</si>
  <si>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</si>
  <si>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</si>
  <si>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</si>
  <si>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</si>
  <si>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</si>
  <si>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</si>
  <si>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</si>
  <si>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</si>
  <si>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</si>
  <si>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</si>
  <si>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</si>
  <si>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</si>
  <si>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</si>
  <si>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</si>
  <si>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</si>
  <si>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</si>
  <si>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</si>
  <si>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</si>
  <si>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</si>
  <si>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</si>
  <si>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</si>
  <si>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</si>
  <si>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</si>
  <si>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</si>
  <si>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</si>
  <si>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</si>
  <si>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</si>
  <si>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</si>
  <si>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</si>
  <si>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</si>
  <si>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</si>
  <si>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</si>
  <si>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</si>
  <si>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</si>
  <si>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</si>
  <si>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</si>
  <si>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</si>
  <si>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</si>
  <si>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</si>
  <si>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</si>
  <si>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</si>
  <si>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</si>
  <si>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</si>
  <si>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</si>
  <si>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</si>
  <si>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</si>
  <si>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</si>
  <si>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</si>
  <si>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</si>
  <si>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</si>
  <si>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</si>
  <si>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</si>
  <si>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</si>
  <si>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</si>
  <si>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</si>
  <si>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</si>
  <si>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</si>
  <si>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</si>
  <si>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</si>
  <si>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</si>
  <si>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</si>
  <si>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</si>
  <si>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</si>
  <si>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</si>
  <si>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</si>
  <si>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</si>
  <si>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</si>
  <si>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</si>
  <si>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</si>
  <si>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</si>
  <si>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</si>
  <si>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</si>
  <si>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</si>
  <si>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</si>
  <si>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</si>
  <si>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</si>
  <si>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</si>
  <si>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</si>
  <si>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</si>
  <si>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</si>
  <si>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</si>
  <si>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</si>
  <si>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</si>
  <si>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</si>
  <si>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</si>
  <si>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</si>
  <si>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</si>
  <si>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</si>
  <si>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</si>
  <si>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</si>
  <si>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</si>
  <si>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</si>
  <si>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</si>
  <si>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</si>
  <si>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</si>
  <si>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</si>
  <si>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</si>
  <si>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</si>
  <si>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</si>
  <si>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</si>
  <si>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</si>
  <si>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</si>
  <si>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</si>
  <si>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</si>
  <si>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</si>
  <si>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</si>
  <si>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</si>
  <si>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</si>
  <si>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</si>
  <si>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</si>
  <si>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</si>
  <si>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</si>
  <si>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</si>
  <si>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</si>
  <si>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</si>
  <si>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</si>
  <si>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</si>
  <si>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</si>
  <si>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</si>
  <si>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</si>
  <si>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</si>
  <si>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</si>
  <si>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</si>
  <si>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</si>
  <si>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</si>
  <si>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</si>
  <si>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</si>
  <si>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</si>
  <si>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</si>
  <si>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</si>
  <si>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</si>
  <si>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</si>
  <si>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</si>
  <si>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</si>
  <si>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</si>
  <si>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</si>
  <si>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</si>
  <si>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</si>
  <si>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</si>
  <si>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</si>
  <si>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</si>
  <si>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</si>
  <si>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</si>
  <si>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</si>
  <si>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</si>
  <si>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</si>
  <si>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</si>
  <si>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</si>
  <si>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</si>
  <si>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</si>
  <si>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</si>
  <si>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</si>
  <si>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</si>
  <si>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</si>
  <si>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</si>
  <si>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</si>
  <si>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</si>
  <si>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</si>
  <si>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</si>
  <si>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</si>
  <si>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</si>
  <si>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</si>
  <si>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</si>
  <si>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</si>
  <si>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</si>
  <si>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</si>
  <si>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</si>
  <si>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</si>
  <si>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</si>
  <si>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</si>
  <si>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</si>
  <si>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</si>
  <si>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</si>
  <si>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</si>
  <si>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</si>
  <si>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</si>
  <si>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</si>
  <si>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</si>
  <si>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</si>
  <si>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</si>
  <si>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</si>
  <si>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</si>
  <si>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</si>
  <si>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</si>
  <si>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</si>
  <si>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</si>
  <si>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</si>
  <si>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</si>
  <si>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</si>
  <si>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</si>
  <si>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</si>
  <si>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</si>
  <si>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</si>
  <si>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</si>
  <si>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</si>
  <si>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</si>
  <si>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</si>
  <si>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</si>
  <si>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</si>
  <si>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</si>
  <si>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</si>
  <si>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</si>
  <si>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</si>
  <si>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</si>
  <si>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</si>
  <si>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</si>
  <si>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</si>
  <si>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</si>
  <si>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</si>
  <si>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</si>
  <si>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</si>
  <si>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</si>
  <si>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</si>
  <si>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</si>
  <si>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</si>
  <si>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</si>
  <si>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</si>
  <si>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</si>
  <si>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</si>
  <si>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</si>
  <si>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</si>
  <si>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</si>
  <si>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</si>
  <si>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</si>
  <si>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</si>
  <si>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</si>
  <si>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</si>
  <si>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</si>
  <si>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</si>
  <si>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</si>
  <si>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</si>
  <si>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</si>
  <si>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</si>
  <si>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</si>
  <si>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</si>
  <si>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</si>
  <si>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</si>
  <si>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</si>
  <si>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</si>
  <si>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</si>
  <si>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</si>
  <si>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</si>
  <si>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</si>
  <si>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</si>
  <si>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</si>
  <si>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</si>
  <si>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</si>
  <si>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</si>
  <si>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</si>
  <si>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</si>
  <si>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</si>
  <si>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</si>
  <si>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</si>
  <si>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</si>
  <si>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</si>
  <si>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</si>
  <si>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</si>
  <si>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</si>
  <si>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</si>
  <si>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</si>
  <si>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</si>
  <si>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</si>
  <si>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</si>
  <si>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</si>
  <si>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</si>
  <si>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</si>
  <si>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</si>
  <si>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</si>
  <si>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</si>
  <si>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</si>
  <si>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</si>
  <si>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</si>
  <si>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</si>
  <si>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</si>
  <si>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</si>
  <si>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</si>
  <si>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</si>
  <si>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</si>
  <si>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</si>
  <si>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</si>
  <si>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</si>
  <si>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</si>
  <si>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</si>
  <si>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</si>
  <si>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</si>
  <si>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</si>
  <si>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</si>
  <si>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</si>
  <si>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</si>
  <si>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</si>
  <si>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</si>
  <si>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</si>
  <si>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</si>
  <si>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</si>
  <si>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</si>
  <si>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</si>
  <si>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</si>
  <si>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</si>
  <si>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</si>
  <si>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</si>
  <si>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</si>
  <si>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</si>
  <si>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</si>
  <si>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</si>
  <si>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</si>
  <si>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</si>
  <si>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</si>
  <si>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</si>
  <si>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</si>
  <si>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</si>
  <si>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</si>
  <si>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</si>
  <si>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</si>
  <si>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</si>
  <si>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</si>
  <si>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</si>
  <si>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</si>
  <si>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</si>
  <si>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</si>
  <si>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</si>
  <si>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</si>
  <si>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</si>
  <si>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</si>
  <si>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</si>
  <si>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</si>
  <si>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</si>
  <si>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</si>
  <si>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</si>
  <si>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</si>
  <si>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</si>
  <si>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</si>
  <si>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</si>
  <si>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</si>
  <si>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</si>
  <si>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</si>
  <si>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</si>
  <si>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</si>
  <si>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</si>
  <si>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</si>
  <si>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</si>
  <si>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</si>
  <si>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</si>
  <si>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</si>
  <si>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</si>
  <si>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</si>
  <si>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</si>
  <si>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</si>
  <si>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</si>
  <si>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</si>
  <si>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</si>
  <si>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</si>
  <si>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</si>
  <si>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</si>
  <si>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</si>
  <si>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</si>
  <si>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</si>
  <si>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</si>
  <si>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</si>
  <si>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</si>
  <si>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</si>
  <si>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</si>
  <si>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</si>
  <si>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</si>
  <si>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</si>
  <si>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</si>
  <si>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</si>
  <si>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</si>
  <si>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</si>
  <si>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</si>
  <si>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</si>
  <si>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</si>
  <si>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</si>
  <si>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</si>
  <si>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</si>
  <si>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</si>
  <si>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</si>
  <si>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</si>
  <si>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</si>
  <si>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</si>
  <si>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</si>
  <si>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</si>
  <si>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</si>
  <si>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</si>
  <si>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</si>
  <si>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</si>
  <si>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</si>
  <si>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</si>
  <si>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</si>
  <si>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</si>
  <si>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</si>
  <si>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</si>
  <si>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</si>
  <si>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</si>
  <si>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</si>
  <si>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</si>
  <si>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</si>
  <si>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</si>
  <si>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</si>
  <si>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</si>
  <si>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</si>
  <si>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</si>
  <si>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</si>
  <si>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</si>
  <si>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</si>
  <si>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</si>
  <si>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</si>
  <si>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</si>
  <si>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</si>
  <si>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</si>
  <si>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</si>
  <si>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</si>
  <si>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</si>
  <si>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</si>
  <si>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</si>
  <si>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</si>
  <si>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</si>
  <si>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</si>
  <si>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</si>
  <si>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</si>
  <si>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</si>
  <si>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</si>
  <si>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</si>
  <si>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</si>
  <si>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</si>
  <si>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</si>
  <si>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</si>
  <si>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</si>
  <si>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</si>
  <si>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</si>
  <si>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</si>
  <si>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</si>
  <si>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</si>
  <si>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</si>
  <si>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</si>
  <si>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</si>
  <si>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</si>
  <si>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</si>
  <si>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</si>
  <si>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</si>
  <si>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</si>
  <si>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</si>
  <si>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</si>
  <si>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</si>
  <si>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</si>
  <si>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</si>
  <si>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</si>
  <si>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</si>
  <si>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</si>
  <si>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</si>
  <si>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</si>
  <si>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</si>
  <si>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</si>
  <si>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</si>
  <si>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</si>
  <si>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</si>
  <si>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</si>
  <si>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</si>
  <si>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</si>
  <si>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</si>
  <si>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</si>
  <si>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</si>
  <si>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</si>
  <si>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</si>
  <si>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</si>
  <si>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</si>
  <si>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</si>
  <si>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</si>
  <si>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</si>
  <si>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</si>
  <si>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</si>
  <si>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סיום מידע טבלה </t>
  </si>
  <si>
    <t>סיום מידע טבלה צד שמאל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</si>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</sst>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358140</xdr:colOff>
      <xdr:row>1</xdr:row>
      <xdr:rowOff>167640</xdr:rowOff>
    </xdr:to>
    <xdr:pic>
      <xdr:nvPicPr>
        <xdr:cNvPr id="4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F6E19A2F-7231-4F1E-A9FD-6EAF8A92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426340" y="0"/>
          <a:ext cx="3581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8"/>
      <sheetName val="גיליון230"/>
      <sheetName val="גיליון232"/>
      <sheetName val="גיליון234"/>
      <sheetName val="גיליון236"/>
      <sheetName val="גיליון238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A2" sqref="A2:BI2"/>
    </sheetView>
  </sheetViews>
  <sheetFormatPr defaultRowHeight="13.8" x14ac:dyDescent="0.25"/>
  <sheetData>
    <row r="2" spans="1:62" x14ac:dyDescent="0.25">
      <c r="A2" s="21" t="s">
        <v>696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851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558</v>
      </c>
      <c r="BG3" s="9">
        <v>578</v>
      </c>
      <c r="BH3" s="9">
        <v>580</v>
      </c>
      <c r="BI3" s="9">
        <v>577</v>
      </c>
      <c r="BJ3" s="21"/>
    </row>
    <row r="4" spans="1:62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15214</v>
      </c>
      <c r="BG4" s="11">
        <v>15233</v>
      </c>
      <c r="BH4" s="11">
        <v>15234</v>
      </c>
      <c r="BI4" s="11">
        <v>15215</v>
      </c>
      <c r="BJ4" s="21"/>
    </row>
    <row r="5" spans="1:62" ht="15.6" x14ac:dyDescent="0.3">
      <c r="A5" s="3">
        <v>45778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21"/>
    </row>
    <row r="6" spans="1:62" ht="15.6" x14ac:dyDescent="0.3">
      <c r="A6" s="4"/>
      <c r="B6" s="5"/>
      <c r="C6" s="5"/>
      <c r="D6" s="6" t="s">
        <v>0</v>
      </c>
      <c r="E6" s="15" t="s">
        <v>660</v>
      </c>
      <c r="F6" s="15" t="s">
        <v>661</v>
      </c>
      <c r="G6" s="15" t="s">
        <v>662</v>
      </c>
      <c r="H6" s="15" t="s">
        <v>663</v>
      </c>
      <c r="I6" s="15" t="s">
        <v>664</v>
      </c>
      <c r="J6" s="15" t="s">
        <v>665</v>
      </c>
      <c r="K6" s="15" t="s">
        <v>666</v>
      </c>
      <c r="L6" s="15" t="s">
        <v>667</v>
      </c>
      <c r="M6" s="15" t="s">
        <v>668</v>
      </c>
      <c r="N6" s="15" t="s">
        <v>669</v>
      </c>
      <c r="O6" s="15" t="s">
        <v>670</v>
      </c>
      <c r="P6" s="15" t="s">
        <v>671</v>
      </c>
      <c r="Q6" s="15" t="s">
        <v>672</v>
      </c>
      <c r="R6" s="15" t="s">
        <v>673</v>
      </c>
      <c r="S6" s="15" t="s">
        <v>674</v>
      </c>
      <c r="T6" s="15" t="s">
        <v>675</v>
      </c>
      <c r="U6" s="15" t="s">
        <v>676</v>
      </c>
      <c r="V6" s="15" t="s">
        <v>677</v>
      </c>
      <c r="W6" s="15" t="s">
        <v>678</v>
      </c>
      <c r="X6" s="15" t="s">
        <v>679</v>
      </c>
      <c r="Y6" s="15" t="s">
        <v>680</v>
      </c>
      <c r="Z6" s="15" t="s">
        <v>681</v>
      </c>
      <c r="AA6" s="15" t="s">
        <v>682</v>
      </c>
      <c r="AB6" s="15" t="s">
        <v>683</v>
      </c>
      <c r="AC6" s="15" t="s">
        <v>684</v>
      </c>
      <c r="AD6" s="15" t="s">
        <v>685</v>
      </c>
      <c r="AE6" s="15" t="s">
        <v>686</v>
      </c>
      <c r="AF6" s="15" t="s">
        <v>687</v>
      </c>
      <c r="AG6" s="15" t="s">
        <v>688</v>
      </c>
      <c r="AH6" s="15" t="s">
        <v>689</v>
      </c>
      <c r="AI6" s="15" t="s">
        <v>690</v>
      </c>
      <c r="AJ6" s="15" t="s">
        <v>691</v>
      </c>
      <c r="AK6" s="15" t="s">
        <v>692</v>
      </c>
      <c r="AL6" s="15" t="s">
        <v>693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135259.76800000001</v>
      </c>
      <c r="F7" s="7">
        <v>18000.952000000001</v>
      </c>
      <c r="G7" s="7">
        <v>16132.814</v>
      </c>
      <c r="H7" s="7">
        <v>9.4719999999999995</v>
      </c>
      <c r="I7" s="7">
        <v>2416.92</v>
      </c>
      <c r="J7" s="7">
        <v>10739.223</v>
      </c>
      <c r="K7" s="7">
        <v>9480.9380000000001</v>
      </c>
      <c r="L7" s="7">
        <v>160617.76500000001</v>
      </c>
      <c r="M7" s="7">
        <v>34842.459000000003</v>
      </c>
      <c r="N7" s="7">
        <v>2.1999999999999999E-2</v>
      </c>
      <c r="O7" s="7">
        <v>1900.2090000000001</v>
      </c>
      <c r="P7" s="7">
        <v>60.273000000000003</v>
      </c>
      <c r="Q7" s="7">
        <v>906.95500000000004</v>
      </c>
      <c r="R7" s="7">
        <v>306.06299999999999</v>
      </c>
      <c r="S7" s="7">
        <v>5214.3389999999999</v>
      </c>
      <c r="T7" s="7">
        <v>1.052</v>
      </c>
      <c r="U7" s="7">
        <v>7429.1270000000004</v>
      </c>
      <c r="V7" s="7">
        <v>1375.8150000000001</v>
      </c>
      <c r="W7" s="7">
        <v>3711.1410000000001</v>
      </c>
      <c r="X7" s="7">
        <v>-348.37599999999998</v>
      </c>
      <c r="Y7" s="7">
        <v>40898.408000000003</v>
      </c>
      <c r="Z7" s="7">
        <v>10290.806</v>
      </c>
      <c r="AA7" s="7">
        <v>21041.056</v>
      </c>
      <c r="AB7" s="7">
        <v>43844.837</v>
      </c>
      <c r="AC7" s="7">
        <v>3291.674</v>
      </c>
      <c r="AD7" s="7">
        <v>2763.7469999999998</v>
      </c>
      <c r="AE7" s="7">
        <v>115406.33199999999</v>
      </c>
      <c r="AF7" s="7">
        <v>33111.364999999998</v>
      </c>
      <c r="AG7" s="7">
        <v>16257.239</v>
      </c>
      <c r="AH7" s="7">
        <v>323189.47600000002</v>
      </c>
      <c r="AI7" s="7">
        <v>53978.36</v>
      </c>
      <c r="AJ7" s="7">
        <v>53723.114000000001</v>
      </c>
      <c r="AK7" s="7">
        <v>33561.330999999998</v>
      </c>
      <c r="AL7" s="7">
        <v>18580.550999999999</v>
      </c>
      <c r="AM7" s="7">
        <v>1696.9359999999999</v>
      </c>
      <c r="AN7" s="7">
        <v>12054.380999999999</v>
      </c>
      <c r="AO7" s="7">
        <v>2555.5929999999998</v>
      </c>
      <c r="AP7" s="7">
        <v>2456.1669999999999</v>
      </c>
      <c r="AQ7" s="7">
        <v>16654.937000000002</v>
      </c>
      <c r="AR7" s="7">
        <v>749.90700000000004</v>
      </c>
      <c r="AS7" s="7">
        <v>89.182000000000002</v>
      </c>
      <c r="AT7" s="7">
        <v>0</v>
      </c>
      <c r="AU7" s="7">
        <v>5964.1270000000004</v>
      </c>
      <c r="AV7" s="7">
        <v>2534.576</v>
      </c>
      <c r="AW7" s="7">
        <v>3315.2620000000002</v>
      </c>
      <c r="AX7" s="7">
        <v>-366.78399999999999</v>
      </c>
      <c r="AY7" s="7">
        <v>1853.0239999999999</v>
      </c>
      <c r="AZ7" s="7">
        <v>13636.855</v>
      </c>
      <c r="BA7" s="7">
        <v>3543.748</v>
      </c>
      <c r="BB7" s="7">
        <v>1830.395</v>
      </c>
      <c r="BC7" s="7">
        <v>1867.173</v>
      </c>
      <c r="BD7" s="7">
        <v>10343.493</v>
      </c>
      <c r="BE7" s="7">
        <v>337.14</v>
      </c>
      <c r="BF7" s="7">
        <v>337.14</v>
      </c>
      <c r="BG7" s="7">
        <v>3312.8</v>
      </c>
      <c r="BH7" s="7">
        <v>39632.201999999997</v>
      </c>
      <c r="BI7" s="7">
        <v>518.721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104511.584</v>
      </c>
      <c r="F8" s="7">
        <v>17540.710999999999</v>
      </c>
      <c r="G8" s="7">
        <v>6902.4049999999997</v>
      </c>
      <c r="H8" s="7">
        <v>58.140999999999998</v>
      </c>
      <c r="I8" s="7">
        <v>3676.348</v>
      </c>
      <c r="J8" s="7">
        <v>5150.5360000000001</v>
      </c>
      <c r="K8" s="7">
        <v>0</v>
      </c>
      <c r="L8" s="7">
        <v>157089.959</v>
      </c>
      <c r="M8" s="7">
        <v>28588.651000000002</v>
      </c>
      <c r="N8" s="7">
        <v>0</v>
      </c>
      <c r="O8" s="7">
        <v>106.246</v>
      </c>
      <c r="P8" s="7">
        <v>361.69499999999999</v>
      </c>
      <c r="Q8" s="7">
        <v>66.519000000000005</v>
      </c>
      <c r="R8" s="7">
        <v>1219.5530000000001</v>
      </c>
      <c r="S8" s="7">
        <v>4092.953</v>
      </c>
      <c r="T8" s="7">
        <v>0</v>
      </c>
      <c r="U8" s="7">
        <v>0</v>
      </c>
      <c r="V8" s="7">
        <v>890.65599999999995</v>
      </c>
      <c r="W8" s="7">
        <v>2953.7109999999998</v>
      </c>
      <c r="X8" s="7">
        <v>3490.3009999999999</v>
      </c>
      <c r="Y8" s="7">
        <v>31509.598999999998</v>
      </c>
      <c r="Z8" s="7">
        <v>1973.2660000000001</v>
      </c>
      <c r="AA8" s="7">
        <v>40433.533000000003</v>
      </c>
      <c r="AB8" s="7">
        <v>2366.3420000000001</v>
      </c>
      <c r="AC8" s="7">
        <v>2697.5059999999999</v>
      </c>
      <c r="AD8" s="7">
        <v>498.92399999999998</v>
      </c>
      <c r="AE8" s="7">
        <v>78365.422000000006</v>
      </c>
      <c r="AF8" s="7">
        <v>24391.561000000002</v>
      </c>
      <c r="AG8" s="7">
        <v>2631.913</v>
      </c>
      <c r="AH8" s="7">
        <v>269072.163</v>
      </c>
      <c r="AI8" s="7">
        <v>39216.379999999997</v>
      </c>
      <c r="AJ8" s="7">
        <v>9137.1039999999994</v>
      </c>
      <c r="AK8" s="7">
        <v>59376.385999999999</v>
      </c>
      <c r="AL8" s="7">
        <v>31185.921999999999</v>
      </c>
      <c r="AM8" s="7">
        <v>0</v>
      </c>
      <c r="AN8" s="7">
        <v>19946.386999999999</v>
      </c>
      <c r="AO8" s="7">
        <v>1774.713</v>
      </c>
      <c r="AP8" s="7">
        <v>4210.8280000000004</v>
      </c>
      <c r="AQ8" s="7">
        <v>8910.0529999999999</v>
      </c>
      <c r="AR8" s="7">
        <v>1768.8589999999999</v>
      </c>
      <c r="AS8" s="7">
        <v>152.77699999999999</v>
      </c>
      <c r="AT8" s="7">
        <v>0</v>
      </c>
      <c r="AU8" s="7">
        <v>3647.6909999999998</v>
      </c>
      <c r="AV8" s="7">
        <v>4220.5379999999996</v>
      </c>
      <c r="AW8" s="7">
        <v>7545.9359999999997</v>
      </c>
      <c r="AX8" s="7">
        <v>3618.58</v>
      </c>
      <c r="AY8" s="7">
        <v>267.69200000000001</v>
      </c>
      <c r="AZ8" s="7">
        <v>192.56800000000001</v>
      </c>
      <c r="BA8" s="7">
        <v>2663.989</v>
      </c>
      <c r="BB8" s="7">
        <v>569.88800000000003</v>
      </c>
      <c r="BC8" s="7">
        <v>243.298</v>
      </c>
      <c r="BD8" s="7">
        <v>240.97399999999999</v>
      </c>
      <c r="BE8" s="7">
        <v>160.68199999999999</v>
      </c>
      <c r="BF8" s="7">
        <v>160.68199999999999</v>
      </c>
      <c r="BG8" s="7">
        <v>73.733999999999995</v>
      </c>
      <c r="BH8" s="7">
        <v>7691.4489999999996</v>
      </c>
      <c r="BI8" s="7">
        <v>49.067999999999998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83728.125</v>
      </c>
      <c r="F9" s="7">
        <v>4724.576</v>
      </c>
      <c r="G9" s="7">
        <v>5557.0860000000002</v>
      </c>
      <c r="H9" s="7">
        <v>37417.947999999997</v>
      </c>
      <c r="I9" s="7">
        <v>936.58900000000006</v>
      </c>
      <c r="J9" s="7">
        <v>22599.526999999998</v>
      </c>
      <c r="K9" s="7">
        <v>1727.6379999999999</v>
      </c>
      <c r="L9" s="7">
        <v>62077.546000000002</v>
      </c>
      <c r="M9" s="7">
        <v>4088.6179999999999</v>
      </c>
      <c r="N9" s="7">
        <v>191.565</v>
      </c>
      <c r="O9" s="7">
        <v>538.34</v>
      </c>
      <c r="P9" s="7">
        <v>94.063000000000002</v>
      </c>
      <c r="Q9" s="7">
        <v>355.56200000000001</v>
      </c>
      <c r="R9" s="7">
        <v>210.04900000000001</v>
      </c>
      <c r="S9" s="7">
        <v>2262.7600000000002</v>
      </c>
      <c r="T9" s="7">
        <v>4.5119999999999996</v>
      </c>
      <c r="U9" s="7">
        <v>4411.6009999999997</v>
      </c>
      <c r="V9" s="7">
        <v>1808.886</v>
      </c>
      <c r="W9" s="7">
        <v>1855.6379999999999</v>
      </c>
      <c r="X9" s="7">
        <v>5941.5770000000002</v>
      </c>
      <c r="Y9" s="7">
        <v>3545.672</v>
      </c>
      <c r="Z9" s="7">
        <v>5748.8329999999996</v>
      </c>
      <c r="AA9" s="7">
        <v>76246.948999999993</v>
      </c>
      <c r="AB9" s="7">
        <v>33310.677000000003</v>
      </c>
      <c r="AC9" s="7">
        <v>2037.7360000000001</v>
      </c>
      <c r="AD9" s="7">
        <v>2734.7959999999998</v>
      </c>
      <c r="AE9" s="7">
        <v>71256.979000000007</v>
      </c>
      <c r="AF9" s="7">
        <v>25835.807000000001</v>
      </c>
      <c r="AG9" s="7">
        <v>13321.026</v>
      </c>
      <c r="AH9" s="7">
        <v>102695.63</v>
      </c>
      <c r="AI9" s="7">
        <v>41645.061000000002</v>
      </c>
      <c r="AJ9" s="7">
        <v>28440.742999999999</v>
      </c>
      <c r="AK9" s="7">
        <v>321097.95199999999</v>
      </c>
      <c r="AL9" s="7">
        <v>185511.18400000001</v>
      </c>
      <c r="AM9" s="7">
        <v>1104.4829999999999</v>
      </c>
      <c r="AN9" s="7">
        <v>115359.997</v>
      </c>
      <c r="AO9" s="7">
        <v>2208.7809999999999</v>
      </c>
      <c r="AP9" s="7">
        <v>0</v>
      </c>
      <c r="AQ9" s="7">
        <v>4052.0770000000002</v>
      </c>
      <c r="AR9" s="7">
        <v>0</v>
      </c>
      <c r="AS9" s="7">
        <v>11.21</v>
      </c>
      <c r="AT9" s="7">
        <v>0</v>
      </c>
      <c r="AU9" s="7">
        <v>45.713000000000001</v>
      </c>
      <c r="AV9" s="7">
        <v>0</v>
      </c>
      <c r="AW9" s="7">
        <v>0</v>
      </c>
      <c r="AX9" s="7">
        <v>9169.8109999999997</v>
      </c>
      <c r="AY9" s="7">
        <v>37.719000000000001</v>
      </c>
      <c r="AZ9" s="7">
        <v>844.49300000000005</v>
      </c>
      <c r="BA9" s="7">
        <v>932.67100000000005</v>
      </c>
      <c r="BB9" s="7">
        <v>311.291</v>
      </c>
      <c r="BC9" s="7">
        <v>8.3680000000000003</v>
      </c>
      <c r="BD9" s="7">
        <v>1051.27</v>
      </c>
      <c r="BE9" s="7">
        <v>77.486000000000004</v>
      </c>
      <c r="BF9" s="7">
        <v>77.486000000000004</v>
      </c>
      <c r="BG9" s="7">
        <v>320.54599999999999</v>
      </c>
      <c r="BH9" s="7">
        <v>14774.963</v>
      </c>
      <c r="BI9" s="7">
        <v>3.802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410461.67499999999</v>
      </c>
      <c r="F10" s="7">
        <v>83343.097999999998</v>
      </c>
      <c r="G10" s="7">
        <v>0</v>
      </c>
      <c r="H10" s="7">
        <v>0</v>
      </c>
      <c r="I10" s="7">
        <v>2199.692</v>
      </c>
      <c r="J10" s="7">
        <v>0</v>
      </c>
      <c r="K10" s="7">
        <v>0</v>
      </c>
      <c r="L10" s="7">
        <v>976240.56</v>
      </c>
      <c r="M10" s="7">
        <v>33513.565000000002</v>
      </c>
      <c r="N10" s="7">
        <v>0</v>
      </c>
      <c r="O10" s="7">
        <v>6616.89</v>
      </c>
      <c r="P10" s="7">
        <v>0</v>
      </c>
      <c r="Q10" s="7">
        <v>4303.4340000000002</v>
      </c>
      <c r="R10" s="7">
        <v>896.04399999999998</v>
      </c>
      <c r="S10" s="7">
        <v>25864.412</v>
      </c>
      <c r="T10" s="7">
        <v>0</v>
      </c>
      <c r="U10" s="7">
        <v>0</v>
      </c>
      <c r="V10" s="7">
        <v>0</v>
      </c>
      <c r="W10" s="7">
        <v>7638.2749999999996</v>
      </c>
      <c r="X10" s="7">
        <v>23304.116000000002</v>
      </c>
      <c r="Y10" s="7">
        <v>188455.84299999999</v>
      </c>
      <c r="Z10" s="7">
        <v>53233.739000000001</v>
      </c>
      <c r="AA10" s="7">
        <v>553.875</v>
      </c>
      <c r="AB10" s="7">
        <v>193902.99799999999</v>
      </c>
      <c r="AC10" s="7">
        <v>15394.305</v>
      </c>
      <c r="AD10" s="7">
        <v>11255.754000000001</v>
      </c>
      <c r="AE10" s="7">
        <v>537897.19200000004</v>
      </c>
      <c r="AF10" s="7">
        <v>256327.91399999999</v>
      </c>
      <c r="AG10" s="7">
        <v>57388.375</v>
      </c>
      <c r="AH10" s="7">
        <v>1588889.885</v>
      </c>
      <c r="AI10" s="7">
        <v>404607.36300000001</v>
      </c>
      <c r="AJ10" s="7">
        <v>274419.71399999998</v>
      </c>
      <c r="AK10" s="7">
        <v>7590151.2429999998</v>
      </c>
      <c r="AL10" s="7">
        <v>4201829.2560000001</v>
      </c>
      <c r="AM10" s="7">
        <v>0</v>
      </c>
      <c r="AN10" s="7">
        <v>2726433.7579999999</v>
      </c>
      <c r="AO10" s="7">
        <v>13454.986999999999</v>
      </c>
      <c r="AP10" s="7">
        <v>0</v>
      </c>
      <c r="AQ10" s="7">
        <v>90321.15</v>
      </c>
      <c r="AR10" s="7">
        <v>0</v>
      </c>
      <c r="AS10" s="7">
        <v>273.21899999999999</v>
      </c>
      <c r="AT10" s="7">
        <v>0</v>
      </c>
      <c r="AU10" s="7">
        <v>1840.98</v>
      </c>
      <c r="AV10" s="7">
        <v>0</v>
      </c>
      <c r="AW10" s="7">
        <v>0</v>
      </c>
      <c r="AX10" s="7">
        <v>24325.491000000002</v>
      </c>
      <c r="AY10" s="7">
        <v>0</v>
      </c>
      <c r="AZ10" s="7">
        <v>0</v>
      </c>
      <c r="BA10" s="7">
        <v>18066.150000000001</v>
      </c>
      <c r="BB10" s="7">
        <v>4666.9120000000003</v>
      </c>
      <c r="BC10" s="7">
        <v>0</v>
      </c>
      <c r="BD10" s="7">
        <v>0</v>
      </c>
      <c r="BE10" s="7">
        <v>1226.403</v>
      </c>
      <c r="BF10" s="7">
        <v>1226.403</v>
      </c>
      <c r="BG10" s="7">
        <v>0</v>
      </c>
      <c r="BH10" s="7">
        <v>183042.44099999999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60386.748</v>
      </c>
      <c r="F13" s="7">
        <v>11271.109</v>
      </c>
      <c r="G13" s="7">
        <v>4008.3150000000001</v>
      </c>
      <c r="H13" s="7">
        <v>7.9000000000000001E-2</v>
      </c>
      <c r="I13" s="7">
        <v>821.56700000000001</v>
      </c>
      <c r="J13" s="7">
        <v>3063.57</v>
      </c>
      <c r="K13" s="7">
        <v>0</v>
      </c>
      <c r="L13" s="7">
        <v>106567.83</v>
      </c>
      <c r="M13" s="7">
        <v>15874.955</v>
      </c>
      <c r="N13" s="7">
        <v>0</v>
      </c>
      <c r="O13" s="7">
        <v>47.908999999999999</v>
      </c>
      <c r="P13" s="7">
        <v>62.390999999999998</v>
      </c>
      <c r="Q13" s="7">
        <v>19.951000000000001</v>
      </c>
      <c r="R13" s="7">
        <v>5.8710000000000004</v>
      </c>
      <c r="S13" s="7">
        <v>3298.9580000000001</v>
      </c>
      <c r="T13" s="7">
        <v>0</v>
      </c>
      <c r="U13" s="7">
        <v>0</v>
      </c>
      <c r="V13" s="7">
        <v>514.05700000000002</v>
      </c>
      <c r="W13" s="7">
        <v>1424.9290000000001</v>
      </c>
      <c r="X13" s="7">
        <v>358.08600000000001</v>
      </c>
      <c r="Y13" s="7">
        <v>25263.042000000001</v>
      </c>
      <c r="Z13" s="7">
        <v>860.072</v>
      </c>
      <c r="AA13" s="7">
        <v>6730.366</v>
      </c>
      <c r="AB13" s="7">
        <v>1057.643</v>
      </c>
      <c r="AC13" s="7">
        <v>2000.0940000000001</v>
      </c>
      <c r="AD13" s="7">
        <v>118.166</v>
      </c>
      <c r="AE13" s="7">
        <v>56441.016000000003</v>
      </c>
      <c r="AF13" s="7">
        <v>23987.848000000002</v>
      </c>
      <c r="AG13" s="7">
        <v>513.45100000000002</v>
      </c>
      <c r="AH13" s="7">
        <v>189437.853</v>
      </c>
      <c r="AI13" s="7">
        <v>37983.813999999998</v>
      </c>
      <c r="AJ13" s="7">
        <v>4480.0829999999996</v>
      </c>
      <c r="AK13" s="7">
        <v>126643.58900000001</v>
      </c>
      <c r="AL13" s="7">
        <v>70108.581999999995</v>
      </c>
      <c r="AM13" s="7">
        <v>0</v>
      </c>
      <c r="AN13" s="7">
        <v>45491.235000000001</v>
      </c>
      <c r="AO13" s="7">
        <v>1711.0239999999999</v>
      </c>
      <c r="AP13" s="7">
        <v>0</v>
      </c>
      <c r="AQ13" s="7">
        <v>8028.9809999999998</v>
      </c>
      <c r="AR13" s="7">
        <v>0</v>
      </c>
      <c r="AS13" s="7">
        <v>28.417999999999999</v>
      </c>
      <c r="AT13" s="7">
        <v>0</v>
      </c>
      <c r="AU13" s="7">
        <v>203.31200000000001</v>
      </c>
      <c r="AV13" s="7">
        <v>0</v>
      </c>
      <c r="AW13" s="7">
        <v>0</v>
      </c>
      <c r="AX13" s="7">
        <v>373.75599999999997</v>
      </c>
      <c r="AY13" s="7">
        <v>29.452999999999999</v>
      </c>
      <c r="AZ13" s="7">
        <v>12.733000000000001</v>
      </c>
      <c r="BA13" s="7">
        <v>277.58300000000003</v>
      </c>
      <c r="BB13" s="7">
        <v>589.38199999999995</v>
      </c>
      <c r="BC13" s="7">
        <v>21.896000000000001</v>
      </c>
      <c r="BD13" s="7">
        <v>15.851000000000001</v>
      </c>
      <c r="BE13" s="7">
        <v>151.999</v>
      </c>
      <c r="BF13" s="7">
        <v>151.999</v>
      </c>
      <c r="BG13" s="7">
        <v>4.8330000000000002</v>
      </c>
      <c r="BH13" s="7">
        <v>2616.587</v>
      </c>
      <c r="BI13" s="7">
        <v>9.8379999999999992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32.066000000000003</v>
      </c>
      <c r="F14" s="7">
        <v>4.4359999999999999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142.947</v>
      </c>
      <c r="M14" s="7">
        <v>10.61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9.7929999999999993</v>
      </c>
      <c r="AF14" s="7">
        <v>1.458</v>
      </c>
      <c r="AG14" s="7">
        <v>0</v>
      </c>
      <c r="AH14" s="7">
        <v>91.787000000000006</v>
      </c>
      <c r="AI14" s="7">
        <v>0.98799999999999999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7572.0690000000004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6861.5119999999997</v>
      </c>
      <c r="M15" s="7">
        <v>7028.34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10337.993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1307011.5079999999</v>
      </c>
      <c r="F16" s="7">
        <v>95467.793999999994</v>
      </c>
      <c r="G16" s="7">
        <v>241007.77</v>
      </c>
      <c r="H16" s="7">
        <v>0</v>
      </c>
      <c r="I16" s="7">
        <v>33467.531000000003</v>
      </c>
      <c r="J16" s="7">
        <v>164236.30300000001</v>
      </c>
      <c r="K16" s="7">
        <v>0</v>
      </c>
      <c r="L16" s="7">
        <v>347244.11499999999</v>
      </c>
      <c r="M16" s="7">
        <v>394673.26500000001</v>
      </c>
      <c r="N16" s="7">
        <v>0</v>
      </c>
      <c r="O16" s="7">
        <v>0</v>
      </c>
      <c r="P16" s="7">
        <v>15254.271000000001</v>
      </c>
      <c r="Q16" s="7">
        <v>713.32299999999998</v>
      </c>
      <c r="R16" s="7">
        <v>1464.6790000000001</v>
      </c>
      <c r="S16" s="7">
        <v>29234.909</v>
      </c>
      <c r="T16" s="7">
        <v>0</v>
      </c>
      <c r="U16" s="7">
        <v>0</v>
      </c>
      <c r="V16" s="7">
        <v>19243.348000000002</v>
      </c>
      <c r="W16" s="7">
        <v>32960.998</v>
      </c>
      <c r="X16" s="7">
        <v>0</v>
      </c>
      <c r="Y16" s="7">
        <v>221798.141</v>
      </c>
      <c r="Z16" s="7">
        <v>0</v>
      </c>
      <c r="AA16" s="7">
        <v>361127.25099999999</v>
      </c>
      <c r="AB16" s="7">
        <v>0</v>
      </c>
      <c r="AC16" s="7">
        <v>13289.437</v>
      </c>
      <c r="AD16" s="7">
        <v>7264.1850000000004</v>
      </c>
      <c r="AE16" s="7">
        <v>521509.315</v>
      </c>
      <c r="AF16" s="7">
        <v>0</v>
      </c>
      <c r="AG16" s="7">
        <v>25413.205999999998</v>
      </c>
      <c r="AH16" s="7">
        <v>1370097.652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12279.564</v>
      </c>
      <c r="AP16" s="7">
        <v>0</v>
      </c>
      <c r="AQ16" s="7">
        <v>0</v>
      </c>
      <c r="AR16" s="7">
        <v>0</v>
      </c>
      <c r="AS16" s="7">
        <v>828.94399999999996</v>
      </c>
      <c r="AT16" s="7">
        <v>0</v>
      </c>
      <c r="AU16" s="7">
        <v>19656.47</v>
      </c>
      <c r="AV16" s="7">
        <v>0</v>
      </c>
      <c r="AW16" s="7">
        <v>0</v>
      </c>
      <c r="AX16" s="7">
        <v>0</v>
      </c>
      <c r="AY16" s="7">
        <v>8328.8989999999994</v>
      </c>
      <c r="AZ16" s="7">
        <v>0</v>
      </c>
      <c r="BA16" s="7">
        <v>0</v>
      </c>
      <c r="BB16" s="7">
        <v>4655.652</v>
      </c>
      <c r="BC16" s="7">
        <v>5174.8829999999998</v>
      </c>
      <c r="BD16" s="7">
        <v>0</v>
      </c>
      <c r="BE16" s="7">
        <v>979.14700000000005</v>
      </c>
      <c r="BF16" s="7">
        <v>979.14700000000005</v>
      </c>
      <c r="BG16" s="7">
        <v>0</v>
      </c>
      <c r="BH16" s="7">
        <v>0</v>
      </c>
      <c r="BI16" s="7">
        <v>2212.2759999999998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506718.15600000002</v>
      </c>
      <c r="F18" s="7">
        <v>42289.91</v>
      </c>
      <c r="G18" s="7">
        <v>87304.85</v>
      </c>
      <c r="H18" s="7">
        <v>0</v>
      </c>
      <c r="I18" s="7">
        <v>12326.99</v>
      </c>
      <c r="J18" s="7">
        <v>59494.455000000002</v>
      </c>
      <c r="K18" s="7">
        <v>69842.229000000007</v>
      </c>
      <c r="L18" s="7">
        <v>212743.32</v>
      </c>
      <c r="M18" s="7">
        <v>146069.05900000001</v>
      </c>
      <c r="N18" s="7">
        <v>11476.316000000001</v>
      </c>
      <c r="O18" s="7">
        <v>0</v>
      </c>
      <c r="P18" s="7">
        <v>0</v>
      </c>
      <c r="Q18" s="7">
        <v>1114.0260000000001</v>
      </c>
      <c r="R18" s="7">
        <v>2287.451</v>
      </c>
      <c r="S18" s="7">
        <v>12982.017</v>
      </c>
      <c r="T18" s="7">
        <v>451.15199999999999</v>
      </c>
      <c r="U18" s="7">
        <v>54722.601000000002</v>
      </c>
      <c r="V18" s="7">
        <v>6970.8860000000004</v>
      </c>
      <c r="W18" s="7">
        <v>12646.407999999999</v>
      </c>
      <c r="X18" s="7">
        <v>0</v>
      </c>
      <c r="Y18" s="7">
        <v>97312.707999999999</v>
      </c>
      <c r="Z18" s="7">
        <v>0</v>
      </c>
      <c r="AA18" s="7">
        <v>130818.026</v>
      </c>
      <c r="AB18" s="7">
        <v>0</v>
      </c>
      <c r="AC18" s="7">
        <v>6237.607</v>
      </c>
      <c r="AD18" s="7">
        <v>2631.444</v>
      </c>
      <c r="AE18" s="7">
        <v>231072.92</v>
      </c>
      <c r="AF18" s="7">
        <v>23702.794999999998</v>
      </c>
      <c r="AG18" s="7">
        <v>9205.9110000000001</v>
      </c>
      <c r="AH18" s="7">
        <v>642907.46</v>
      </c>
      <c r="AI18" s="7">
        <v>37414.284</v>
      </c>
      <c r="AJ18" s="7">
        <v>0</v>
      </c>
      <c r="AK18" s="7">
        <v>0</v>
      </c>
      <c r="AL18" s="7">
        <v>0</v>
      </c>
      <c r="AM18" s="7">
        <v>12504.237999999999</v>
      </c>
      <c r="AN18" s="7">
        <v>0</v>
      </c>
      <c r="AO18" s="7">
        <v>5692.4520000000002</v>
      </c>
      <c r="AP18" s="7">
        <v>0</v>
      </c>
      <c r="AQ18" s="7">
        <v>8352.0509999999995</v>
      </c>
      <c r="AR18" s="7">
        <v>0</v>
      </c>
      <c r="AS18" s="7">
        <v>325.54899999999998</v>
      </c>
      <c r="AT18" s="7">
        <v>0</v>
      </c>
      <c r="AU18" s="7">
        <v>9597.8169999999991</v>
      </c>
      <c r="AV18" s="7">
        <v>0</v>
      </c>
      <c r="AW18" s="7">
        <v>0</v>
      </c>
      <c r="AX18" s="7">
        <v>0</v>
      </c>
      <c r="AY18" s="7">
        <v>3017.136</v>
      </c>
      <c r="AZ18" s="7">
        <v>0</v>
      </c>
      <c r="BA18" s="7">
        <v>0</v>
      </c>
      <c r="BB18" s="7">
        <v>2118.058</v>
      </c>
      <c r="BC18" s="7">
        <v>1874.597</v>
      </c>
      <c r="BD18" s="7">
        <v>0</v>
      </c>
      <c r="BE18" s="7">
        <v>468.101</v>
      </c>
      <c r="BF18" s="7">
        <v>468.101</v>
      </c>
      <c r="BG18" s="7">
        <v>0</v>
      </c>
      <c r="BH18" s="7">
        <v>0</v>
      </c>
      <c r="BI18" s="7">
        <v>801.39499999999998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7.0129999999999999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60883.821000000004</v>
      </c>
      <c r="F20" s="7">
        <v>13973.628000000001</v>
      </c>
      <c r="G20" s="7">
        <v>0</v>
      </c>
      <c r="H20" s="7">
        <v>0</v>
      </c>
      <c r="I20" s="7">
        <v>379.95400000000001</v>
      </c>
      <c r="J20" s="7">
        <v>0</v>
      </c>
      <c r="K20" s="7">
        <v>110695.985</v>
      </c>
      <c r="L20" s="7">
        <v>158033.234</v>
      </c>
      <c r="M20" s="7">
        <v>5900.9369999999999</v>
      </c>
      <c r="N20" s="7">
        <v>0</v>
      </c>
      <c r="O20" s="7">
        <v>0</v>
      </c>
      <c r="P20" s="7">
        <v>0.13500000000000001</v>
      </c>
      <c r="Q20" s="7">
        <v>0</v>
      </c>
      <c r="R20" s="7">
        <v>0</v>
      </c>
      <c r="S20" s="7">
        <v>4344.8530000000001</v>
      </c>
      <c r="T20" s="7">
        <v>532.58799999999997</v>
      </c>
      <c r="U20" s="7">
        <v>86732.23</v>
      </c>
      <c r="V20" s="7">
        <v>0</v>
      </c>
      <c r="W20" s="7">
        <v>1293.557</v>
      </c>
      <c r="X20" s="7">
        <v>0</v>
      </c>
      <c r="Y20" s="7">
        <v>30776.547999999999</v>
      </c>
      <c r="Z20" s="7">
        <v>0</v>
      </c>
      <c r="AA20" s="7">
        <v>0</v>
      </c>
      <c r="AB20" s="7">
        <v>0</v>
      </c>
      <c r="AC20" s="7">
        <v>2588.7939999999999</v>
      </c>
      <c r="AD20" s="7">
        <v>0</v>
      </c>
      <c r="AE20" s="7">
        <v>76424.187000000005</v>
      </c>
      <c r="AF20" s="7">
        <v>42892.535000000003</v>
      </c>
      <c r="AG20" s="7">
        <v>0</v>
      </c>
      <c r="AH20" s="7">
        <v>266772.86599999998</v>
      </c>
      <c r="AI20" s="7">
        <v>68193.600999999995</v>
      </c>
      <c r="AJ20" s="7">
        <v>0</v>
      </c>
      <c r="AK20" s="7">
        <v>0</v>
      </c>
      <c r="AL20" s="7">
        <v>0</v>
      </c>
      <c r="AM20" s="7">
        <v>19818.510999999999</v>
      </c>
      <c r="AN20" s="7">
        <v>0</v>
      </c>
      <c r="AO20" s="7">
        <v>2242.0189999999998</v>
      </c>
      <c r="AP20" s="7">
        <v>0</v>
      </c>
      <c r="AQ20" s="7">
        <v>15114.665999999999</v>
      </c>
      <c r="AR20" s="7">
        <v>0</v>
      </c>
      <c r="AS20" s="7">
        <v>45.677</v>
      </c>
      <c r="AT20" s="7">
        <v>0</v>
      </c>
      <c r="AU20" s="7">
        <v>304.34399999999999</v>
      </c>
      <c r="AV20" s="7">
        <v>0</v>
      </c>
      <c r="AW20" s="7">
        <v>0</v>
      </c>
      <c r="AX20" s="7">
        <v>0</v>
      </c>
      <c r="AY20" s="7">
        <v>38.770000000000003</v>
      </c>
      <c r="AZ20" s="7">
        <v>684.33799999999997</v>
      </c>
      <c r="BA20" s="7">
        <v>0</v>
      </c>
      <c r="BB20" s="7">
        <v>779.01499999999999</v>
      </c>
      <c r="BC20" s="7">
        <v>0</v>
      </c>
      <c r="BD20" s="7">
        <v>851.90099999999995</v>
      </c>
      <c r="BE20" s="7">
        <v>203.74799999999999</v>
      </c>
      <c r="BF20" s="7">
        <v>203.74799999999999</v>
      </c>
      <c r="BG20" s="7">
        <v>259.75599999999997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961400.63300000003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6804.3339999999998</v>
      </c>
      <c r="F23" s="7">
        <v>0</v>
      </c>
      <c r="G23" s="7">
        <v>1738.981</v>
      </c>
      <c r="H23" s="7">
        <v>0</v>
      </c>
      <c r="I23" s="7">
        <v>0</v>
      </c>
      <c r="J23" s="7">
        <v>1334.2729999999999</v>
      </c>
      <c r="K23" s="7">
        <v>0</v>
      </c>
      <c r="L23" s="7">
        <v>4243.1130000000003</v>
      </c>
      <c r="M23" s="7">
        <v>2329.2550000000001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790.44600000000003</v>
      </c>
      <c r="AF23" s="7">
        <v>0</v>
      </c>
      <c r="AG23" s="7">
        <v>0</v>
      </c>
      <c r="AH23" s="7">
        <v>3990.1709999999998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37641.644999999997</v>
      </c>
      <c r="F24" s="7">
        <v>8428.3420000000006</v>
      </c>
      <c r="G24" s="7">
        <v>5934.9350000000004</v>
      </c>
      <c r="H24" s="7">
        <v>0</v>
      </c>
      <c r="I24" s="7">
        <v>1253.1690000000001</v>
      </c>
      <c r="J24" s="7">
        <v>4675.1930000000002</v>
      </c>
      <c r="K24" s="7">
        <v>0</v>
      </c>
      <c r="L24" s="7">
        <v>50831.716</v>
      </c>
      <c r="M24" s="7">
        <v>21415.670999999998</v>
      </c>
      <c r="N24" s="7">
        <v>0</v>
      </c>
      <c r="O24" s="7">
        <v>167.399</v>
      </c>
      <c r="P24" s="7">
        <v>0</v>
      </c>
      <c r="Q24" s="7">
        <v>62.523000000000003</v>
      </c>
      <c r="R24" s="7">
        <v>0</v>
      </c>
      <c r="S24" s="7">
        <v>2476.163</v>
      </c>
      <c r="T24" s="7">
        <v>0</v>
      </c>
      <c r="U24" s="7">
        <v>0</v>
      </c>
      <c r="V24" s="7">
        <v>727.09199999999998</v>
      </c>
      <c r="W24" s="7">
        <v>1918.48</v>
      </c>
      <c r="X24" s="7">
        <v>2452.0070000000001</v>
      </c>
      <c r="Y24" s="7">
        <v>13837.147999999999</v>
      </c>
      <c r="Z24" s="7">
        <v>95.418999999999997</v>
      </c>
      <c r="AA24" s="7">
        <v>5579.78</v>
      </c>
      <c r="AB24" s="7">
        <v>3294.94</v>
      </c>
      <c r="AC24" s="7">
        <v>1381.732</v>
      </c>
      <c r="AD24" s="7">
        <v>233.18100000000001</v>
      </c>
      <c r="AE24" s="7">
        <v>31049.921999999999</v>
      </c>
      <c r="AF24" s="7">
        <v>7207.768</v>
      </c>
      <c r="AG24" s="7">
        <v>1645.9159999999999</v>
      </c>
      <c r="AH24" s="7">
        <v>114664.845</v>
      </c>
      <c r="AI24" s="7">
        <v>11377.285</v>
      </c>
      <c r="AJ24" s="7">
        <v>501.32799999999997</v>
      </c>
      <c r="AK24" s="7">
        <v>831212.48300000001</v>
      </c>
      <c r="AL24" s="7">
        <v>460150.63699999999</v>
      </c>
      <c r="AM24" s="7">
        <v>0</v>
      </c>
      <c r="AN24" s="7">
        <v>298577.15600000002</v>
      </c>
      <c r="AO24" s="7">
        <v>726.47500000000002</v>
      </c>
      <c r="AP24" s="7">
        <v>0</v>
      </c>
      <c r="AQ24" s="7">
        <v>2539.77</v>
      </c>
      <c r="AR24" s="7">
        <v>0</v>
      </c>
      <c r="AS24" s="7">
        <v>9.9450000000000003</v>
      </c>
      <c r="AT24" s="7">
        <v>0</v>
      </c>
      <c r="AU24" s="7">
        <v>150.25200000000001</v>
      </c>
      <c r="AV24" s="7">
        <v>0</v>
      </c>
      <c r="AW24" s="7">
        <v>0</v>
      </c>
      <c r="AX24" s="7">
        <v>2559.4740000000002</v>
      </c>
      <c r="AY24" s="7">
        <v>0</v>
      </c>
      <c r="AZ24" s="7">
        <v>0</v>
      </c>
      <c r="BA24" s="7">
        <v>1900.88</v>
      </c>
      <c r="BB24" s="7">
        <v>260.65499999999997</v>
      </c>
      <c r="BC24" s="7">
        <v>0</v>
      </c>
      <c r="BD24" s="7">
        <v>0</v>
      </c>
      <c r="BE24" s="7">
        <v>89.766000000000005</v>
      </c>
      <c r="BF24" s="7">
        <v>89.766000000000005</v>
      </c>
      <c r="BG24" s="7">
        <v>0</v>
      </c>
      <c r="BH24" s="7">
        <v>27699.598000000002</v>
      </c>
      <c r="BI24" s="7">
        <v>0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967188.75699999998</v>
      </c>
      <c r="F62" s="7">
        <v>104143.46</v>
      </c>
      <c r="G62" s="7">
        <v>238839.856</v>
      </c>
      <c r="H62" s="7">
        <v>3227.8380000000002</v>
      </c>
      <c r="I62" s="7">
        <v>21876.987000000001</v>
      </c>
      <c r="J62" s="7">
        <v>163620.53</v>
      </c>
      <c r="K62" s="7">
        <v>0</v>
      </c>
      <c r="L62" s="7">
        <v>358733.97200000001</v>
      </c>
      <c r="M62" s="7">
        <v>579880.92000000004</v>
      </c>
      <c r="N62" s="7">
        <v>0</v>
      </c>
      <c r="O62" s="7">
        <v>0</v>
      </c>
      <c r="P62" s="7">
        <v>32.728999999999999</v>
      </c>
      <c r="Q62" s="7">
        <v>1511.8209999999999</v>
      </c>
      <c r="R62" s="7">
        <v>4498.1059999999998</v>
      </c>
      <c r="S62" s="7">
        <v>41844.326999999997</v>
      </c>
      <c r="T62" s="7">
        <v>0</v>
      </c>
      <c r="U62" s="7">
        <v>0</v>
      </c>
      <c r="V62" s="7">
        <v>25065.173999999999</v>
      </c>
      <c r="W62" s="7">
        <v>51801.156000000003</v>
      </c>
      <c r="X62" s="7">
        <v>0</v>
      </c>
      <c r="Y62" s="7">
        <v>149710.83300000001</v>
      </c>
      <c r="Z62" s="7">
        <v>0</v>
      </c>
      <c r="AA62" s="7">
        <v>281237.53399999999</v>
      </c>
      <c r="AB62" s="7">
        <v>0</v>
      </c>
      <c r="AC62" s="7">
        <v>18846.797999999999</v>
      </c>
      <c r="AD62" s="7">
        <v>222.262</v>
      </c>
      <c r="AE62" s="7">
        <v>326777.93699999998</v>
      </c>
      <c r="AF62" s="7">
        <v>0</v>
      </c>
      <c r="AG62" s="7">
        <v>455.94299999999998</v>
      </c>
      <c r="AH62" s="7">
        <v>1086633.541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14719.758</v>
      </c>
      <c r="AP62" s="7">
        <v>0</v>
      </c>
      <c r="AQ62" s="7">
        <v>0</v>
      </c>
      <c r="AR62" s="7">
        <v>0</v>
      </c>
      <c r="AS62" s="7">
        <v>267.83499999999998</v>
      </c>
      <c r="AT62" s="7">
        <v>0</v>
      </c>
      <c r="AU62" s="7">
        <v>10287.011</v>
      </c>
      <c r="AV62" s="7">
        <v>0</v>
      </c>
      <c r="AW62" s="7">
        <v>0</v>
      </c>
      <c r="AX62" s="7">
        <v>0</v>
      </c>
      <c r="AY62" s="7">
        <v>10809.543</v>
      </c>
      <c r="AZ62" s="7">
        <v>0</v>
      </c>
      <c r="BA62" s="7">
        <v>0</v>
      </c>
      <c r="BB62" s="7">
        <v>5367.982</v>
      </c>
      <c r="BC62" s="7">
        <v>8724.2289999999994</v>
      </c>
      <c r="BD62" s="7">
        <v>0</v>
      </c>
      <c r="BE62" s="7">
        <v>1344.421</v>
      </c>
      <c r="BF62" s="7">
        <v>1344.421</v>
      </c>
      <c r="BG62" s="7">
        <v>0</v>
      </c>
      <c r="BH62" s="7">
        <v>0</v>
      </c>
      <c r="BI62" s="7">
        <v>3967.6889999999999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6332.424</v>
      </c>
      <c r="F63" s="7">
        <v>862.09799999999996</v>
      </c>
      <c r="G63" s="7">
        <v>1385.096</v>
      </c>
      <c r="H63" s="7">
        <v>0</v>
      </c>
      <c r="I63" s="7">
        <v>141.22</v>
      </c>
      <c r="J63" s="7">
        <v>802.303</v>
      </c>
      <c r="K63" s="7">
        <v>0</v>
      </c>
      <c r="L63" s="7">
        <v>2508.67</v>
      </c>
      <c r="M63" s="7">
        <v>3534.6010000000001</v>
      </c>
      <c r="N63" s="7">
        <v>0</v>
      </c>
      <c r="O63" s="7">
        <v>0</v>
      </c>
      <c r="P63" s="7">
        <v>0.121</v>
      </c>
      <c r="Q63" s="7">
        <v>119.86</v>
      </c>
      <c r="R63" s="7">
        <v>356.61700000000002</v>
      </c>
      <c r="S63" s="7">
        <v>373.35500000000002</v>
      </c>
      <c r="T63" s="7">
        <v>0</v>
      </c>
      <c r="U63" s="7">
        <v>0</v>
      </c>
      <c r="V63" s="7">
        <v>178.51599999999999</v>
      </c>
      <c r="W63" s="7">
        <v>264.25200000000001</v>
      </c>
      <c r="X63" s="7">
        <v>0</v>
      </c>
      <c r="Y63" s="7">
        <v>970.89800000000002</v>
      </c>
      <c r="Z63" s="7">
        <v>0</v>
      </c>
      <c r="AA63" s="7">
        <v>1876.049</v>
      </c>
      <c r="AB63" s="7">
        <v>0</v>
      </c>
      <c r="AC63" s="7">
        <v>140.285</v>
      </c>
      <c r="AD63" s="7">
        <v>0</v>
      </c>
      <c r="AE63" s="7">
        <v>1096.799</v>
      </c>
      <c r="AF63" s="7">
        <v>0</v>
      </c>
      <c r="AG63" s="7">
        <v>0</v>
      </c>
      <c r="AH63" s="7">
        <v>6043.3609999999999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102.94</v>
      </c>
      <c r="AP63" s="7">
        <v>0</v>
      </c>
      <c r="AQ63" s="7">
        <v>0</v>
      </c>
      <c r="AR63" s="7">
        <v>0</v>
      </c>
      <c r="AS63" s="7">
        <v>3.234</v>
      </c>
      <c r="AT63" s="7">
        <v>0</v>
      </c>
      <c r="AU63" s="7">
        <v>93.962000000000003</v>
      </c>
      <c r="AV63" s="7">
        <v>0</v>
      </c>
      <c r="AW63" s="7">
        <v>0</v>
      </c>
      <c r="AX63" s="7">
        <v>0</v>
      </c>
      <c r="AY63" s="7">
        <v>73.474999999999994</v>
      </c>
      <c r="AZ63" s="7">
        <v>0</v>
      </c>
      <c r="BA63" s="7">
        <v>0</v>
      </c>
      <c r="BB63" s="7">
        <v>36.545000000000002</v>
      </c>
      <c r="BC63" s="7">
        <v>59.186</v>
      </c>
      <c r="BD63" s="7">
        <v>0</v>
      </c>
      <c r="BE63" s="7">
        <v>8.9169999999999998</v>
      </c>
      <c r="BF63" s="7">
        <v>8.9169999999999998</v>
      </c>
      <c r="BG63" s="7">
        <v>0</v>
      </c>
      <c r="BH63" s="7">
        <v>0</v>
      </c>
      <c r="BI63" s="7">
        <v>26.901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151377.149</v>
      </c>
      <c r="F64" s="7">
        <v>19645.258000000002</v>
      </c>
      <c r="G64" s="7">
        <v>34065.567000000003</v>
      </c>
      <c r="H64" s="7">
        <v>0</v>
      </c>
      <c r="I64" s="7">
        <v>3386.634</v>
      </c>
      <c r="J64" s="7">
        <v>20616.501</v>
      </c>
      <c r="K64" s="7">
        <v>25307.241000000002</v>
      </c>
      <c r="L64" s="7">
        <v>59115.177000000003</v>
      </c>
      <c r="M64" s="7">
        <v>85895.25</v>
      </c>
      <c r="N64" s="7">
        <v>984.53700000000003</v>
      </c>
      <c r="O64" s="7">
        <v>0</v>
      </c>
      <c r="P64" s="7">
        <v>3.3969999999999998</v>
      </c>
      <c r="Q64" s="7">
        <v>561.87300000000005</v>
      </c>
      <c r="R64" s="7">
        <v>1671.7349999999999</v>
      </c>
      <c r="S64" s="7">
        <v>8393.9349999999995</v>
      </c>
      <c r="T64" s="7">
        <v>0</v>
      </c>
      <c r="U64" s="7">
        <v>19828.663</v>
      </c>
      <c r="V64" s="7">
        <v>4190.4350000000004</v>
      </c>
      <c r="W64" s="7">
        <v>6717.2610000000004</v>
      </c>
      <c r="X64" s="7">
        <v>0</v>
      </c>
      <c r="Y64" s="7">
        <v>23259.077000000001</v>
      </c>
      <c r="Z64" s="7">
        <v>0</v>
      </c>
      <c r="AA64" s="7">
        <v>44661.578000000001</v>
      </c>
      <c r="AB64" s="7">
        <v>0</v>
      </c>
      <c r="AC64" s="7">
        <v>3263.2570000000001</v>
      </c>
      <c r="AD64" s="7">
        <v>0</v>
      </c>
      <c r="AE64" s="7">
        <v>31791.437000000002</v>
      </c>
      <c r="AF64" s="7">
        <v>0</v>
      </c>
      <c r="AG64" s="7">
        <v>0</v>
      </c>
      <c r="AH64" s="7">
        <v>150305.35999999999</v>
      </c>
      <c r="AI64" s="7">
        <v>0</v>
      </c>
      <c r="AJ64" s="7">
        <v>0</v>
      </c>
      <c r="AK64" s="7">
        <v>0</v>
      </c>
      <c r="AL64" s="7">
        <v>0</v>
      </c>
      <c r="AM64" s="7">
        <v>4530.8950000000004</v>
      </c>
      <c r="AN64" s="7">
        <v>0</v>
      </c>
      <c r="AO64" s="7">
        <v>2425.6909999999998</v>
      </c>
      <c r="AP64" s="7">
        <v>0</v>
      </c>
      <c r="AQ64" s="7">
        <v>0</v>
      </c>
      <c r="AR64" s="7">
        <v>0</v>
      </c>
      <c r="AS64" s="7">
        <v>69.397999999999996</v>
      </c>
      <c r="AT64" s="7">
        <v>0</v>
      </c>
      <c r="AU64" s="7">
        <v>2246.1689999999999</v>
      </c>
      <c r="AV64" s="7">
        <v>0</v>
      </c>
      <c r="AW64" s="7">
        <v>0</v>
      </c>
      <c r="AX64" s="7">
        <v>0</v>
      </c>
      <c r="AY64" s="7">
        <v>1741.9870000000001</v>
      </c>
      <c r="AZ64" s="7">
        <v>0</v>
      </c>
      <c r="BA64" s="7">
        <v>0</v>
      </c>
      <c r="BB64" s="7">
        <v>866.125</v>
      </c>
      <c r="BC64" s="7">
        <v>1403.799</v>
      </c>
      <c r="BD64" s="7">
        <v>0</v>
      </c>
      <c r="BE64" s="7">
        <v>212.54499999999999</v>
      </c>
      <c r="BF64" s="7">
        <v>212.54499999999999</v>
      </c>
      <c r="BG64" s="7">
        <v>0</v>
      </c>
      <c r="BH64" s="7">
        <v>0</v>
      </c>
      <c r="BI64" s="7">
        <v>638.12699999999995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189245.74</v>
      </c>
      <c r="F66" s="7">
        <v>26227.241999999998</v>
      </c>
      <c r="G66" s="7">
        <v>41268.379000000001</v>
      </c>
      <c r="H66" s="7">
        <v>9121.0349999999999</v>
      </c>
      <c r="I66" s="7">
        <v>4180.26</v>
      </c>
      <c r="J66" s="7">
        <v>23696.008999999998</v>
      </c>
      <c r="K66" s="7">
        <v>0</v>
      </c>
      <c r="L66" s="7">
        <v>78578.820999999996</v>
      </c>
      <c r="M66" s="7">
        <v>105249.726</v>
      </c>
      <c r="N66" s="7">
        <v>0</v>
      </c>
      <c r="O66" s="7">
        <v>0</v>
      </c>
      <c r="P66" s="7">
        <v>3.3780000000000001</v>
      </c>
      <c r="Q66" s="7">
        <v>528.41</v>
      </c>
      <c r="R66" s="7">
        <v>1572.174</v>
      </c>
      <c r="S66" s="7">
        <v>11295.885</v>
      </c>
      <c r="T66" s="7">
        <v>0</v>
      </c>
      <c r="U66" s="7">
        <v>0</v>
      </c>
      <c r="V66" s="7">
        <v>5323.7920000000004</v>
      </c>
      <c r="W66" s="7">
        <v>7656.2979999999998</v>
      </c>
      <c r="X66" s="7">
        <v>0</v>
      </c>
      <c r="Y66" s="7">
        <v>28903.653999999999</v>
      </c>
      <c r="Z66" s="7">
        <v>0</v>
      </c>
      <c r="AA66" s="7">
        <v>55776.129000000001</v>
      </c>
      <c r="AB66" s="7">
        <v>0</v>
      </c>
      <c r="AC66" s="7">
        <v>4196.6319999999996</v>
      </c>
      <c r="AD66" s="7">
        <v>0</v>
      </c>
      <c r="AE66" s="7">
        <v>31016.296999999999</v>
      </c>
      <c r="AF66" s="7">
        <v>0</v>
      </c>
      <c r="AG66" s="7">
        <v>0</v>
      </c>
      <c r="AH66" s="7">
        <v>179848.46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3065.857</v>
      </c>
      <c r="AP66" s="7">
        <v>0</v>
      </c>
      <c r="AQ66" s="7">
        <v>0</v>
      </c>
      <c r="AR66" s="7">
        <v>0</v>
      </c>
      <c r="AS66" s="7">
        <v>99.29</v>
      </c>
      <c r="AT66" s="7">
        <v>0</v>
      </c>
      <c r="AU66" s="7">
        <v>2918.973</v>
      </c>
      <c r="AV66" s="7">
        <v>0</v>
      </c>
      <c r="AW66" s="7">
        <v>0</v>
      </c>
      <c r="AX66" s="7">
        <v>0</v>
      </c>
      <c r="AY66" s="7">
        <v>2183.6889999999999</v>
      </c>
      <c r="AZ66" s="7">
        <v>0</v>
      </c>
      <c r="BA66" s="7">
        <v>0</v>
      </c>
      <c r="BB66" s="7">
        <v>1086.239</v>
      </c>
      <c r="BC66" s="7">
        <v>1758.75</v>
      </c>
      <c r="BD66" s="7">
        <v>0</v>
      </c>
      <c r="BE66" s="7">
        <v>264.512</v>
      </c>
      <c r="BF66" s="7">
        <v>264.512</v>
      </c>
      <c r="BG66" s="7">
        <v>0</v>
      </c>
      <c r="BH66" s="7">
        <v>0</v>
      </c>
      <c r="BI66" s="7">
        <v>799.33299999999997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24973.465</v>
      </c>
      <c r="F67" s="7">
        <v>3455.82</v>
      </c>
      <c r="G67" s="7">
        <v>5407.0339999999997</v>
      </c>
      <c r="H67" s="7">
        <v>0</v>
      </c>
      <c r="I67" s="7">
        <v>556.30899999999997</v>
      </c>
      <c r="J67" s="7">
        <v>3080.625</v>
      </c>
      <c r="K67" s="7">
        <v>0</v>
      </c>
      <c r="L67" s="7">
        <v>9943.1849999999995</v>
      </c>
      <c r="M67" s="7">
        <v>13858.264999999999</v>
      </c>
      <c r="N67" s="7">
        <v>0</v>
      </c>
      <c r="O67" s="7">
        <v>0</v>
      </c>
      <c r="P67" s="7">
        <v>0.45</v>
      </c>
      <c r="Q67" s="7">
        <v>77.558000000000007</v>
      </c>
      <c r="R67" s="7">
        <v>230.75700000000001</v>
      </c>
      <c r="S67" s="7">
        <v>1503.258</v>
      </c>
      <c r="T67" s="7">
        <v>0</v>
      </c>
      <c r="U67" s="7">
        <v>0</v>
      </c>
      <c r="V67" s="7">
        <v>708.49099999999999</v>
      </c>
      <c r="W67" s="7">
        <v>1018.901</v>
      </c>
      <c r="X67" s="7">
        <v>0</v>
      </c>
      <c r="Y67" s="7">
        <v>3826.0889999999999</v>
      </c>
      <c r="Z67" s="7">
        <v>0</v>
      </c>
      <c r="AA67" s="7">
        <v>7409.4309999999996</v>
      </c>
      <c r="AB67" s="7">
        <v>0</v>
      </c>
      <c r="AC67" s="7">
        <v>558.48800000000006</v>
      </c>
      <c r="AD67" s="7">
        <v>0</v>
      </c>
      <c r="AE67" s="7">
        <v>4001.9639999999999</v>
      </c>
      <c r="AF67" s="7">
        <v>0</v>
      </c>
      <c r="AG67" s="7">
        <v>0</v>
      </c>
      <c r="AH67" s="7">
        <v>23501.133000000002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408.005</v>
      </c>
      <c r="AP67" s="7">
        <v>0</v>
      </c>
      <c r="AQ67" s="7">
        <v>0</v>
      </c>
      <c r="AR67" s="7">
        <v>0</v>
      </c>
      <c r="AS67" s="7">
        <v>13.212999999999999</v>
      </c>
      <c r="AT67" s="7">
        <v>0</v>
      </c>
      <c r="AU67" s="7">
        <v>396.995</v>
      </c>
      <c r="AV67" s="7">
        <v>0</v>
      </c>
      <c r="AW67" s="7">
        <v>0</v>
      </c>
      <c r="AX67" s="7">
        <v>0</v>
      </c>
      <c r="AY67" s="7">
        <v>290.60599999999999</v>
      </c>
      <c r="AZ67" s="7">
        <v>0</v>
      </c>
      <c r="BA67" s="7">
        <v>0</v>
      </c>
      <c r="BB67" s="7">
        <v>144.55699999999999</v>
      </c>
      <c r="BC67" s="7">
        <v>234.05500000000001</v>
      </c>
      <c r="BD67" s="7">
        <v>0</v>
      </c>
      <c r="BE67" s="7">
        <v>35.201000000000001</v>
      </c>
      <c r="BF67" s="7">
        <v>35.201000000000001</v>
      </c>
      <c r="BG67" s="7">
        <v>0</v>
      </c>
      <c r="BH67" s="7">
        <v>0</v>
      </c>
      <c r="BI67" s="7">
        <v>106.375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173410.66</v>
      </c>
      <c r="F68" s="7">
        <v>23996.508999999998</v>
      </c>
      <c r="G68" s="7">
        <v>37545.345000000001</v>
      </c>
      <c r="H68" s="7">
        <v>0</v>
      </c>
      <c r="I68" s="7">
        <v>3862.9</v>
      </c>
      <c r="J68" s="7">
        <v>21391.23</v>
      </c>
      <c r="K68" s="7">
        <v>6182.86</v>
      </c>
      <c r="L68" s="7">
        <v>69043.453999999998</v>
      </c>
      <c r="M68" s="7">
        <v>96228.974000000002</v>
      </c>
      <c r="N68" s="7">
        <v>0</v>
      </c>
      <c r="O68" s="7">
        <v>0</v>
      </c>
      <c r="P68" s="7">
        <v>3.121</v>
      </c>
      <c r="Q68" s="7">
        <v>842.44200000000001</v>
      </c>
      <c r="R68" s="7">
        <v>2506.5100000000002</v>
      </c>
      <c r="S68" s="7">
        <v>10438.315000000001</v>
      </c>
      <c r="T68" s="7">
        <v>0</v>
      </c>
      <c r="U68" s="7">
        <v>4844.3779999999997</v>
      </c>
      <c r="V68" s="7">
        <v>4919.616</v>
      </c>
      <c r="W68" s="7">
        <v>7075.0410000000002</v>
      </c>
      <c r="X68" s="7">
        <v>0</v>
      </c>
      <c r="Y68" s="7">
        <v>26567.582999999999</v>
      </c>
      <c r="Z68" s="7">
        <v>0</v>
      </c>
      <c r="AA68" s="7">
        <v>51449.578999999998</v>
      </c>
      <c r="AB68" s="7">
        <v>0</v>
      </c>
      <c r="AC68" s="7">
        <v>3878.029</v>
      </c>
      <c r="AD68" s="7">
        <v>0</v>
      </c>
      <c r="AE68" s="7">
        <v>27788.826000000001</v>
      </c>
      <c r="AF68" s="7">
        <v>0</v>
      </c>
      <c r="AG68" s="7">
        <v>0</v>
      </c>
      <c r="AH68" s="7">
        <v>163214.96900000001</v>
      </c>
      <c r="AI68" s="7">
        <v>0</v>
      </c>
      <c r="AJ68" s="7">
        <v>0</v>
      </c>
      <c r="AK68" s="7">
        <v>0</v>
      </c>
      <c r="AL68" s="7">
        <v>0</v>
      </c>
      <c r="AM68" s="7">
        <v>1106.951</v>
      </c>
      <c r="AN68" s="7">
        <v>0</v>
      </c>
      <c r="AO68" s="7">
        <v>2833.1010000000001</v>
      </c>
      <c r="AP68" s="7">
        <v>0</v>
      </c>
      <c r="AQ68" s="7">
        <v>0</v>
      </c>
      <c r="AR68" s="7">
        <v>0</v>
      </c>
      <c r="AS68" s="7">
        <v>91.751999999999995</v>
      </c>
      <c r="AT68" s="7">
        <v>0</v>
      </c>
      <c r="AU68" s="7">
        <v>2722.1840000000002</v>
      </c>
      <c r="AV68" s="7">
        <v>0</v>
      </c>
      <c r="AW68" s="7">
        <v>0</v>
      </c>
      <c r="AX68" s="7">
        <v>0</v>
      </c>
      <c r="AY68" s="7">
        <v>2017.9059999999999</v>
      </c>
      <c r="AZ68" s="7">
        <v>0</v>
      </c>
      <c r="BA68" s="7">
        <v>0</v>
      </c>
      <c r="BB68" s="7">
        <v>1003.773</v>
      </c>
      <c r="BC68" s="7">
        <v>1625.2280000000001</v>
      </c>
      <c r="BD68" s="7">
        <v>0</v>
      </c>
      <c r="BE68" s="7">
        <v>244.43</v>
      </c>
      <c r="BF68" s="7">
        <v>244.43</v>
      </c>
      <c r="BG68" s="7">
        <v>0</v>
      </c>
      <c r="BH68" s="7">
        <v>0</v>
      </c>
      <c r="BI68" s="7">
        <v>738.64800000000002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45148.701000000001</v>
      </c>
      <c r="F70" s="7">
        <v>6247.6620000000003</v>
      </c>
      <c r="G70" s="7">
        <v>9775.1980000000003</v>
      </c>
      <c r="H70" s="7">
        <v>19282.856</v>
      </c>
      <c r="I70" s="7">
        <v>1005.7329999999999</v>
      </c>
      <c r="J70" s="7">
        <v>5569.3590000000004</v>
      </c>
      <c r="K70" s="7">
        <v>0</v>
      </c>
      <c r="L70" s="7">
        <v>17975.955000000002</v>
      </c>
      <c r="M70" s="7">
        <v>25053.899000000001</v>
      </c>
      <c r="N70" s="7">
        <v>0</v>
      </c>
      <c r="O70" s="7">
        <v>0</v>
      </c>
      <c r="P70" s="7">
        <v>0.81299999999999994</v>
      </c>
      <c r="Q70" s="7">
        <v>0</v>
      </c>
      <c r="R70" s="7">
        <v>0</v>
      </c>
      <c r="S70" s="7">
        <v>2717.69</v>
      </c>
      <c r="T70" s="7">
        <v>0</v>
      </c>
      <c r="U70" s="7">
        <v>0</v>
      </c>
      <c r="V70" s="7">
        <v>1280.857</v>
      </c>
      <c r="W70" s="7">
        <v>1842.037</v>
      </c>
      <c r="X70" s="7">
        <v>0</v>
      </c>
      <c r="Y70" s="7">
        <v>6917.0590000000002</v>
      </c>
      <c r="Z70" s="7">
        <v>0</v>
      </c>
      <c r="AA70" s="7">
        <v>13395.263999999999</v>
      </c>
      <c r="AB70" s="7">
        <v>0</v>
      </c>
      <c r="AC70" s="7">
        <v>1009.672</v>
      </c>
      <c r="AD70" s="7">
        <v>0</v>
      </c>
      <c r="AE70" s="7">
        <v>7235.0190000000002</v>
      </c>
      <c r="AF70" s="7">
        <v>0</v>
      </c>
      <c r="AG70" s="7">
        <v>0</v>
      </c>
      <c r="AH70" s="7">
        <v>42486.919000000002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737.61800000000005</v>
      </c>
      <c r="AP70" s="7">
        <v>0</v>
      </c>
      <c r="AQ70" s="7">
        <v>0</v>
      </c>
      <c r="AR70" s="7">
        <v>0</v>
      </c>
      <c r="AS70" s="7">
        <v>23.888000000000002</v>
      </c>
      <c r="AT70" s="7">
        <v>0</v>
      </c>
      <c r="AU70" s="7">
        <v>686.23400000000004</v>
      </c>
      <c r="AV70" s="7">
        <v>0</v>
      </c>
      <c r="AW70" s="7">
        <v>0</v>
      </c>
      <c r="AX70" s="7">
        <v>0</v>
      </c>
      <c r="AY70" s="7">
        <v>525.37599999999998</v>
      </c>
      <c r="AZ70" s="7">
        <v>0</v>
      </c>
      <c r="BA70" s="7">
        <v>0</v>
      </c>
      <c r="BB70" s="7">
        <v>261.339</v>
      </c>
      <c r="BC70" s="7">
        <v>423.14</v>
      </c>
      <c r="BD70" s="7">
        <v>0</v>
      </c>
      <c r="BE70" s="7">
        <v>63.639000000000003</v>
      </c>
      <c r="BF70" s="7">
        <v>63.639000000000003</v>
      </c>
      <c r="BG70" s="7">
        <v>0</v>
      </c>
      <c r="BH70" s="7">
        <v>0</v>
      </c>
      <c r="BI70" s="7">
        <v>192.31200000000001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19250.690999999999</v>
      </c>
      <c r="F71" s="7">
        <v>2663.904</v>
      </c>
      <c r="G71" s="7">
        <v>4167.99</v>
      </c>
      <c r="H71" s="7">
        <v>3024</v>
      </c>
      <c r="I71" s="7">
        <v>428.82900000000001</v>
      </c>
      <c r="J71" s="7">
        <v>2374.6860000000001</v>
      </c>
      <c r="K71" s="7">
        <v>0</v>
      </c>
      <c r="L71" s="7">
        <v>7664.6620000000003</v>
      </c>
      <c r="M71" s="7">
        <v>10682.585999999999</v>
      </c>
      <c r="N71" s="7">
        <v>0</v>
      </c>
      <c r="O71" s="7">
        <v>0</v>
      </c>
      <c r="P71" s="7">
        <v>0.34699999999999998</v>
      </c>
      <c r="Q71" s="7">
        <v>0</v>
      </c>
      <c r="R71" s="7">
        <v>0</v>
      </c>
      <c r="S71" s="7">
        <v>1158.78</v>
      </c>
      <c r="T71" s="7">
        <v>0</v>
      </c>
      <c r="U71" s="7">
        <v>0</v>
      </c>
      <c r="V71" s="7">
        <v>546.13699999999994</v>
      </c>
      <c r="W71" s="7">
        <v>785.41600000000005</v>
      </c>
      <c r="X71" s="7">
        <v>0</v>
      </c>
      <c r="Y71" s="7">
        <v>2949.3249999999998</v>
      </c>
      <c r="Z71" s="7">
        <v>0</v>
      </c>
      <c r="AA71" s="7">
        <v>5711.5290000000005</v>
      </c>
      <c r="AB71" s="7">
        <v>0</v>
      </c>
      <c r="AC71" s="7">
        <v>430.50799999999998</v>
      </c>
      <c r="AD71" s="7">
        <v>0</v>
      </c>
      <c r="AE71" s="7">
        <v>3084.8969999999999</v>
      </c>
      <c r="AF71" s="7">
        <v>0</v>
      </c>
      <c r="AG71" s="7">
        <v>0</v>
      </c>
      <c r="AH71" s="7">
        <v>18115.749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314.50900000000001</v>
      </c>
      <c r="AP71" s="7">
        <v>0</v>
      </c>
      <c r="AQ71" s="7">
        <v>0</v>
      </c>
      <c r="AR71" s="7">
        <v>0</v>
      </c>
      <c r="AS71" s="7">
        <v>10.186</v>
      </c>
      <c r="AT71" s="7">
        <v>0</v>
      </c>
      <c r="AU71" s="7">
        <v>292.59899999999999</v>
      </c>
      <c r="AV71" s="7">
        <v>0</v>
      </c>
      <c r="AW71" s="7">
        <v>0</v>
      </c>
      <c r="AX71" s="7">
        <v>0</v>
      </c>
      <c r="AY71" s="7">
        <v>224.012</v>
      </c>
      <c r="AZ71" s="7">
        <v>0</v>
      </c>
      <c r="BA71" s="7">
        <v>0</v>
      </c>
      <c r="BB71" s="7">
        <v>111.431</v>
      </c>
      <c r="BC71" s="7">
        <v>180.42</v>
      </c>
      <c r="BD71" s="7">
        <v>0</v>
      </c>
      <c r="BE71" s="7">
        <v>27.135000000000002</v>
      </c>
      <c r="BF71" s="7">
        <v>27.135000000000002</v>
      </c>
      <c r="BG71" s="7">
        <v>0</v>
      </c>
      <c r="BH71" s="7">
        <v>0</v>
      </c>
      <c r="BI71" s="7">
        <v>81.998999999999995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59640.766000000003</v>
      </c>
      <c r="F72" s="7">
        <v>8253.0689999999995</v>
      </c>
      <c r="G72" s="7">
        <v>12912.892</v>
      </c>
      <c r="H72" s="7">
        <v>11630.45</v>
      </c>
      <c r="I72" s="7">
        <v>1328.559</v>
      </c>
      <c r="J72" s="7">
        <v>7357.0410000000002</v>
      </c>
      <c r="K72" s="7">
        <v>0</v>
      </c>
      <c r="L72" s="7">
        <v>23745.971000000001</v>
      </c>
      <c r="M72" s="7">
        <v>33095.83</v>
      </c>
      <c r="N72" s="7">
        <v>0</v>
      </c>
      <c r="O72" s="7">
        <v>0</v>
      </c>
      <c r="P72" s="7">
        <v>1.0740000000000001</v>
      </c>
      <c r="Q72" s="7">
        <v>2.3849999999999998</v>
      </c>
      <c r="R72" s="7">
        <v>7.0970000000000004</v>
      </c>
      <c r="S72" s="7">
        <v>3590.0279999999998</v>
      </c>
      <c r="T72" s="7">
        <v>0</v>
      </c>
      <c r="U72" s="7">
        <v>0</v>
      </c>
      <c r="V72" s="7">
        <v>1691.9929999999999</v>
      </c>
      <c r="W72" s="7">
        <v>2433.3040000000001</v>
      </c>
      <c r="X72" s="7">
        <v>0</v>
      </c>
      <c r="Y72" s="7">
        <v>9137.3330000000005</v>
      </c>
      <c r="Z72" s="7">
        <v>0</v>
      </c>
      <c r="AA72" s="7">
        <v>17694.946</v>
      </c>
      <c r="AB72" s="7">
        <v>0</v>
      </c>
      <c r="AC72" s="7">
        <v>1333.7619999999999</v>
      </c>
      <c r="AD72" s="7">
        <v>0</v>
      </c>
      <c r="AE72" s="7">
        <v>9557.3529999999992</v>
      </c>
      <c r="AF72" s="7">
        <v>7.8250000000000002</v>
      </c>
      <c r="AG72" s="7">
        <v>0</v>
      </c>
      <c r="AH72" s="7">
        <v>56124.593000000001</v>
      </c>
      <c r="AI72" s="7">
        <v>27.157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974.38300000000004</v>
      </c>
      <c r="AP72" s="7">
        <v>0</v>
      </c>
      <c r="AQ72" s="7">
        <v>0</v>
      </c>
      <c r="AR72" s="7">
        <v>0</v>
      </c>
      <c r="AS72" s="7">
        <v>31.556000000000001</v>
      </c>
      <c r="AT72" s="7">
        <v>0</v>
      </c>
      <c r="AU72" s="7">
        <v>906.505</v>
      </c>
      <c r="AV72" s="7">
        <v>0</v>
      </c>
      <c r="AW72" s="7">
        <v>0</v>
      </c>
      <c r="AX72" s="7">
        <v>0</v>
      </c>
      <c r="AY72" s="7">
        <v>694.01400000000001</v>
      </c>
      <c r="AZ72" s="7">
        <v>0</v>
      </c>
      <c r="BA72" s="7">
        <v>0</v>
      </c>
      <c r="BB72" s="7">
        <v>345.226</v>
      </c>
      <c r="BC72" s="7">
        <v>558.96100000000001</v>
      </c>
      <c r="BD72" s="7">
        <v>0</v>
      </c>
      <c r="BE72" s="7">
        <v>84.066000000000003</v>
      </c>
      <c r="BF72" s="7">
        <v>84.066000000000003</v>
      </c>
      <c r="BG72" s="7">
        <v>0</v>
      </c>
      <c r="BH72" s="7">
        <v>0</v>
      </c>
      <c r="BI72" s="7">
        <v>254.042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58145.317000000003</v>
      </c>
      <c r="F74" s="7">
        <v>5585.34</v>
      </c>
      <c r="G74" s="7">
        <v>14855.162</v>
      </c>
      <c r="H74" s="7">
        <v>1870.9349999999999</v>
      </c>
      <c r="I74" s="7">
        <v>1234.018</v>
      </c>
      <c r="J74" s="7">
        <v>11067.039000000001</v>
      </c>
      <c r="K74" s="7">
        <v>0</v>
      </c>
      <c r="L74" s="7">
        <v>24947.731</v>
      </c>
      <c r="M74" s="7">
        <v>33630.21</v>
      </c>
      <c r="N74" s="7">
        <v>0</v>
      </c>
      <c r="O74" s="7">
        <v>0</v>
      </c>
      <c r="P74" s="7">
        <v>35.340000000000003</v>
      </c>
      <c r="Q74" s="7">
        <v>0</v>
      </c>
      <c r="R74" s="7">
        <v>127.604</v>
      </c>
      <c r="S74" s="7">
        <v>1647.8030000000001</v>
      </c>
      <c r="T74" s="7">
        <v>0</v>
      </c>
      <c r="U74" s="7">
        <v>0</v>
      </c>
      <c r="V74" s="7">
        <v>1243.982</v>
      </c>
      <c r="W74" s="7">
        <v>3029.55</v>
      </c>
      <c r="X74" s="7">
        <v>0</v>
      </c>
      <c r="Y74" s="7">
        <v>9502.1630000000005</v>
      </c>
      <c r="Z74" s="7">
        <v>0</v>
      </c>
      <c r="AA74" s="7">
        <v>14113.852999999999</v>
      </c>
      <c r="AB74" s="7">
        <v>0</v>
      </c>
      <c r="AC74" s="7">
        <v>967.721</v>
      </c>
      <c r="AD74" s="7">
        <v>0</v>
      </c>
      <c r="AE74" s="7">
        <v>31981.331999999999</v>
      </c>
      <c r="AF74" s="7">
        <v>0</v>
      </c>
      <c r="AG74" s="7">
        <v>0</v>
      </c>
      <c r="AH74" s="7">
        <v>79047.076000000001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679.09500000000003</v>
      </c>
      <c r="AP74" s="7">
        <v>0</v>
      </c>
      <c r="AQ74" s="7">
        <v>0</v>
      </c>
      <c r="AR74" s="7">
        <v>0</v>
      </c>
      <c r="AS74" s="7">
        <v>7.5910000000000002</v>
      </c>
      <c r="AT74" s="7">
        <v>0</v>
      </c>
      <c r="AU74" s="7">
        <v>370.88600000000002</v>
      </c>
      <c r="AV74" s="7">
        <v>0</v>
      </c>
      <c r="AW74" s="7">
        <v>0</v>
      </c>
      <c r="AX74" s="7">
        <v>0</v>
      </c>
      <c r="AY74" s="7">
        <v>506.11799999999999</v>
      </c>
      <c r="AZ74" s="7">
        <v>0</v>
      </c>
      <c r="BA74" s="7">
        <v>0</v>
      </c>
      <c r="BB74" s="7">
        <v>251.137</v>
      </c>
      <c r="BC74" s="7">
        <v>408.88400000000001</v>
      </c>
      <c r="BD74" s="7">
        <v>0</v>
      </c>
      <c r="BE74" s="7">
        <v>63.722999999999999</v>
      </c>
      <c r="BF74" s="7">
        <v>63.722999999999999</v>
      </c>
      <c r="BG74" s="7">
        <v>0</v>
      </c>
      <c r="BH74" s="7">
        <v>0</v>
      </c>
      <c r="BI74" s="7">
        <v>186.01400000000001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1002.706</v>
      </c>
      <c r="F75" s="7">
        <v>90.363</v>
      </c>
      <c r="G75" s="7">
        <v>127.346</v>
      </c>
      <c r="H75" s="7">
        <v>0</v>
      </c>
      <c r="I75" s="7">
        <v>22.393999999999998</v>
      </c>
      <c r="J75" s="7">
        <v>77.713999999999999</v>
      </c>
      <c r="K75" s="7">
        <v>0</v>
      </c>
      <c r="L75" s="7">
        <v>724.36199999999997</v>
      </c>
      <c r="M75" s="7">
        <v>346.71499999999997</v>
      </c>
      <c r="N75" s="7">
        <v>0</v>
      </c>
      <c r="O75" s="7">
        <v>0</v>
      </c>
      <c r="P75" s="7">
        <v>4.0830000000000002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12.07</v>
      </c>
      <c r="W75" s="7">
        <v>36.185000000000002</v>
      </c>
      <c r="X75" s="7">
        <v>0</v>
      </c>
      <c r="Y75" s="7">
        <v>284.214</v>
      </c>
      <c r="Z75" s="7">
        <v>0</v>
      </c>
      <c r="AA75" s="7">
        <v>100.227</v>
      </c>
      <c r="AB75" s="7">
        <v>0</v>
      </c>
      <c r="AC75" s="7">
        <v>15.613</v>
      </c>
      <c r="AD75" s="7">
        <v>0</v>
      </c>
      <c r="AE75" s="7">
        <v>915.89300000000003</v>
      </c>
      <c r="AF75" s="7">
        <v>0</v>
      </c>
      <c r="AG75" s="7">
        <v>0</v>
      </c>
      <c r="AH75" s="7">
        <v>2101.6660000000002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10151.195</v>
      </c>
      <c r="F76" s="7">
        <v>1908.4110000000001</v>
      </c>
      <c r="G76" s="7">
        <v>1076.1500000000001</v>
      </c>
      <c r="H76" s="7">
        <v>0</v>
      </c>
      <c r="I76" s="7">
        <v>125.38200000000001</v>
      </c>
      <c r="J76" s="7">
        <v>1420.8779999999999</v>
      </c>
      <c r="K76" s="7">
        <v>0</v>
      </c>
      <c r="L76" s="7">
        <v>20953.992999999999</v>
      </c>
      <c r="M76" s="7">
        <v>4152.5870000000004</v>
      </c>
      <c r="N76" s="7">
        <v>0</v>
      </c>
      <c r="O76" s="7">
        <v>0</v>
      </c>
      <c r="P76" s="7">
        <v>6.5140000000000002</v>
      </c>
      <c r="Q76" s="7">
        <v>0</v>
      </c>
      <c r="R76" s="7">
        <v>328.9</v>
      </c>
      <c r="S76" s="7">
        <v>243.33099999999999</v>
      </c>
      <c r="T76" s="7">
        <v>0</v>
      </c>
      <c r="U76" s="7">
        <v>0</v>
      </c>
      <c r="V76" s="7">
        <v>133.726</v>
      </c>
      <c r="W76" s="7">
        <v>222.01900000000001</v>
      </c>
      <c r="X76" s="7">
        <v>0</v>
      </c>
      <c r="Y76" s="7">
        <v>1067.7429999999999</v>
      </c>
      <c r="Z76" s="7">
        <v>0</v>
      </c>
      <c r="AA76" s="7">
        <v>1357.489</v>
      </c>
      <c r="AB76" s="7">
        <v>0</v>
      </c>
      <c r="AC76" s="7">
        <v>115.035</v>
      </c>
      <c r="AD76" s="7">
        <v>0</v>
      </c>
      <c r="AE76" s="7">
        <v>4159.6660000000002</v>
      </c>
      <c r="AF76" s="7">
        <v>0</v>
      </c>
      <c r="AG76" s="7">
        <v>0</v>
      </c>
      <c r="AH76" s="7">
        <v>19066.949000000001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66.043000000000006</v>
      </c>
      <c r="AP76" s="7">
        <v>0</v>
      </c>
      <c r="AQ76" s="7">
        <v>0</v>
      </c>
      <c r="AR76" s="7">
        <v>0</v>
      </c>
      <c r="AS76" s="7">
        <v>2.1389999999999998</v>
      </c>
      <c r="AT76" s="7">
        <v>0</v>
      </c>
      <c r="AU76" s="7">
        <v>61.442999999999998</v>
      </c>
      <c r="AV76" s="7">
        <v>0</v>
      </c>
      <c r="AW76" s="7">
        <v>0</v>
      </c>
      <c r="AX76" s="7">
        <v>0</v>
      </c>
      <c r="AY76" s="7">
        <v>47.04</v>
      </c>
      <c r="AZ76" s="7">
        <v>0</v>
      </c>
      <c r="BA76" s="7">
        <v>0</v>
      </c>
      <c r="BB76" s="7">
        <v>23.399000000000001</v>
      </c>
      <c r="BC76" s="7">
        <v>37.886000000000003</v>
      </c>
      <c r="BD76" s="7">
        <v>0</v>
      </c>
      <c r="BE76" s="7">
        <v>5.6980000000000004</v>
      </c>
      <c r="BF76" s="7">
        <v>5.6980000000000004</v>
      </c>
      <c r="BG76" s="7">
        <v>0</v>
      </c>
      <c r="BH76" s="7">
        <v>0</v>
      </c>
      <c r="BI76" s="7">
        <v>17.219000000000001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9446.7080000000005</v>
      </c>
      <c r="F78" s="7">
        <v>1199.662</v>
      </c>
      <c r="G78" s="7">
        <v>1845.807</v>
      </c>
      <c r="H78" s="7">
        <v>5959.3270000000002</v>
      </c>
      <c r="I78" s="7">
        <v>210.56399999999999</v>
      </c>
      <c r="J78" s="7">
        <v>1063.106</v>
      </c>
      <c r="K78" s="7">
        <v>0</v>
      </c>
      <c r="L78" s="7">
        <v>4483.9579999999996</v>
      </c>
      <c r="M78" s="7">
        <v>4776.0010000000002</v>
      </c>
      <c r="N78" s="7">
        <v>0</v>
      </c>
      <c r="O78" s="7">
        <v>0</v>
      </c>
      <c r="P78" s="7">
        <v>9.2050000000000001</v>
      </c>
      <c r="Q78" s="7">
        <v>0</v>
      </c>
      <c r="R78" s="7">
        <v>0</v>
      </c>
      <c r="S78" s="7">
        <v>434.46699999999998</v>
      </c>
      <c r="T78" s="7">
        <v>0</v>
      </c>
      <c r="U78" s="7">
        <v>0</v>
      </c>
      <c r="V78" s="7">
        <v>231.59700000000001</v>
      </c>
      <c r="W78" s="7">
        <v>374.91699999999997</v>
      </c>
      <c r="X78" s="7">
        <v>0</v>
      </c>
      <c r="Y78" s="7">
        <v>1737.5940000000001</v>
      </c>
      <c r="Z78" s="7">
        <v>0</v>
      </c>
      <c r="AA78" s="7">
        <v>2364.252</v>
      </c>
      <c r="AB78" s="7">
        <v>0</v>
      </c>
      <c r="AC78" s="7">
        <v>196.119</v>
      </c>
      <c r="AD78" s="7">
        <v>0</v>
      </c>
      <c r="AE78" s="7">
        <v>3192.6019999999999</v>
      </c>
      <c r="AF78" s="7">
        <v>0</v>
      </c>
      <c r="AG78" s="7">
        <v>0</v>
      </c>
      <c r="AH78" s="7">
        <v>11464.09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117.92</v>
      </c>
      <c r="AP78" s="7">
        <v>0</v>
      </c>
      <c r="AQ78" s="7">
        <v>0</v>
      </c>
      <c r="AR78" s="7">
        <v>0</v>
      </c>
      <c r="AS78" s="7">
        <v>3.819</v>
      </c>
      <c r="AT78" s="7">
        <v>0</v>
      </c>
      <c r="AU78" s="7">
        <v>109.706</v>
      </c>
      <c r="AV78" s="7">
        <v>0</v>
      </c>
      <c r="AW78" s="7">
        <v>0</v>
      </c>
      <c r="AX78" s="7">
        <v>0</v>
      </c>
      <c r="AY78" s="7">
        <v>83.99</v>
      </c>
      <c r="AZ78" s="7">
        <v>0</v>
      </c>
      <c r="BA78" s="7">
        <v>0</v>
      </c>
      <c r="BB78" s="7">
        <v>41.779000000000003</v>
      </c>
      <c r="BC78" s="7">
        <v>67.646000000000001</v>
      </c>
      <c r="BD78" s="7">
        <v>0</v>
      </c>
      <c r="BE78" s="7">
        <v>10.173999999999999</v>
      </c>
      <c r="BF78" s="7">
        <v>10.173999999999999</v>
      </c>
      <c r="BG78" s="7">
        <v>0</v>
      </c>
      <c r="BH78" s="7">
        <v>0</v>
      </c>
      <c r="BI78" s="7">
        <v>30.744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11075.957</v>
      </c>
      <c r="F80" s="7">
        <v>1451.914</v>
      </c>
      <c r="G80" s="7">
        <v>2200.8139999999999</v>
      </c>
      <c r="H80" s="7">
        <v>0</v>
      </c>
      <c r="I80" s="7">
        <v>202.92099999999999</v>
      </c>
      <c r="J80" s="7">
        <v>1503.019</v>
      </c>
      <c r="K80" s="7">
        <v>0</v>
      </c>
      <c r="L80" s="7">
        <v>11506.209000000001</v>
      </c>
      <c r="M80" s="7">
        <v>4566.5519999999997</v>
      </c>
      <c r="N80" s="7">
        <v>0</v>
      </c>
      <c r="O80" s="7">
        <v>0</v>
      </c>
      <c r="P80" s="7">
        <v>22.032</v>
      </c>
      <c r="Q80" s="7">
        <v>0</v>
      </c>
      <c r="R80" s="7">
        <v>117.214</v>
      </c>
      <c r="S80" s="7">
        <v>222.74700000000001</v>
      </c>
      <c r="T80" s="7">
        <v>0</v>
      </c>
      <c r="U80" s="7">
        <v>0</v>
      </c>
      <c r="V80" s="7">
        <v>169.923</v>
      </c>
      <c r="W80" s="7">
        <v>345.666</v>
      </c>
      <c r="X80" s="7">
        <v>0</v>
      </c>
      <c r="Y80" s="7">
        <v>2278.1329999999998</v>
      </c>
      <c r="Z80" s="7">
        <v>0</v>
      </c>
      <c r="AA80" s="7">
        <v>1726.8409999999999</v>
      </c>
      <c r="AB80" s="7">
        <v>0</v>
      </c>
      <c r="AC80" s="7">
        <v>166.75700000000001</v>
      </c>
      <c r="AD80" s="7">
        <v>0</v>
      </c>
      <c r="AE80" s="7">
        <v>6685.8249999999998</v>
      </c>
      <c r="AF80" s="7">
        <v>0</v>
      </c>
      <c r="AG80" s="7">
        <v>0</v>
      </c>
      <c r="AH80" s="7">
        <v>19633.545999999998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60.456000000000003</v>
      </c>
      <c r="AP80" s="7">
        <v>0</v>
      </c>
      <c r="AQ80" s="7">
        <v>0</v>
      </c>
      <c r="AR80" s="7">
        <v>0</v>
      </c>
      <c r="AS80" s="7">
        <v>1.958</v>
      </c>
      <c r="AT80" s="7">
        <v>0</v>
      </c>
      <c r="AU80" s="7">
        <v>56.244999999999997</v>
      </c>
      <c r="AV80" s="7">
        <v>0</v>
      </c>
      <c r="AW80" s="7">
        <v>0</v>
      </c>
      <c r="AX80" s="7">
        <v>0</v>
      </c>
      <c r="AY80" s="7">
        <v>43.061</v>
      </c>
      <c r="AZ80" s="7">
        <v>0</v>
      </c>
      <c r="BA80" s="7">
        <v>0</v>
      </c>
      <c r="BB80" s="7">
        <v>21.42</v>
      </c>
      <c r="BC80" s="7">
        <v>34.680999999999997</v>
      </c>
      <c r="BD80" s="7">
        <v>0</v>
      </c>
      <c r="BE80" s="7">
        <v>5.2160000000000002</v>
      </c>
      <c r="BF80" s="7">
        <v>5.2160000000000002</v>
      </c>
      <c r="BG80" s="7">
        <v>0</v>
      </c>
      <c r="BH80" s="7">
        <v>0</v>
      </c>
      <c r="BI80" s="7">
        <v>15.762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15922.888000000001</v>
      </c>
      <c r="F86" s="7">
        <v>2203.9450000000002</v>
      </c>
      <c r="G86" s="7">
        <v>3447.6509999999998</v>
      </c>
      <c r="H86" s="7">
        <v>2379.5700000000002</v>
      </c>
      <c r="I86" s="7">
        <v>354.74099999999999</v>
      </c>
      <c r="J86" s="7">
        <v>1964.2470000000001</v>
      </c>
      <c r="K86" s="7">
        <v>0</v>
      </c>
      <c r="L86" s="7">
        <v>6356.1859999999997</v>
      </c>
      <c r="M86" s="7">
        <v>8837.5059999999994</v>
      </c>
      <c r="N86" s="7">
        <v>0</v>
      </c>
      <c r="O86" s="7">
        <v>0</v>
      </c>
      <c r="P86" s="7">
        <v>0.309</v>
      </c>
      <c r="Q86" s="7">
        <v>0</v>
      </c>
      <c r="R86" s="7">
        <v>0</v>
      </c>
      <c r="S86" s="7">
        <v>958.21400000000006</v>
      </c>
      <c r="T86" s="7">
        <v>0</v>
      </c>
      <c r="U86" s="7">
        <v>0</v>
      </c>
      <c r="V86" s="7">
        <v>451.62</v>
      </c>
      <c r="W86" s="7">
        <v>649.51400000000001</v>
      </c>
      <c r="X86" s="7">
        <v>0</v>
      </c>
      <c r="Y86" s="7">
        <v>2438.9580000000001</v>
      </c>
      <c r="Z86" s="7">
        <v>0</v>
      </c>
      <c r="AA86" s="7">
        <v>4723.0590000000002</v>
      </c>
      <c r="AB86" s="7">
        <v>0</v>
      </c>
      <c r="AC86" s="7">
        <v>356.00799999999998</v>
      </c>
      <c r="AD86" s="7">
        <v>0</v>
      </c>
      <c r="AE86" s="7">
        <v>2551.2260000000001</v>
      </c>
      <c r="AF86" s="7">
        <v>0</v>
      </c>
      <c r="AG86" s="7">
        <v>0</v>
      </c>
      <c r="AH86" s="7">
        <v>15006.841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260.072</v>
      </c>
      <c r="AP86" s="7">
        <v>0</v>
      </c>
      <c r="AQ86" s="7">
        <v>0</v>
      </c>
      <c r="AR86" s="7">
        <v>0</v>
      </c>
      <c r="AS86" s="7">
        <v>8.423</v>
      </c>
      <c r="AT86" s="7">
        <v>0</v>
      </c>
      <c r="AU86" s="7">
        <v>241.95500000000001</v>
      </c>
      <c r="AV86" s="7">
        <v>0</v>
      </c>
      <c r="AW86" s="7">
        <v>0</v>
      </c>
      <c r="AX86" s="7">
        <v>0</v>
      </c>
      <c r="AY86" s="7">
        <v>185.239</v>
      </c>
      <c r="AZ86" s="7">
        <v>0</v>
      </c>
      <c r="BA86" s="7">
        <v>0</v>
      </c>
      <c r="BB86" s="7">
        <v>92.144000000000005</v>
      </c>
      <c r="BC86" s="7">
        <v>149.19200000000001</v>
      </c>
      <c r="BD86" s="7">
        <v>0</v>
      </c>
      <c r="BE86" s="7">
        <v>22.437999999999999</v>
      </c>
      <c r="BF86" s="7">
        <v>22.437999999999999</v>
      </c>
      <c r="BG86" s="7">
        <v>0</v>
      </c>
      <c r="BH86" s="7">
        <v>0</v>
      </c>
      <c r="BI86" s="7">
        <v>67.805999999999997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40711.796000000002</v>
      </c>
      <c r="F88" s="7">
        <v>6025.0339999999997</v>
      </c>
      <c r="G88" s="7">
        <v>8317.2129999999997</v>
      </c>
      <c r="H88" s="7">
        <v>6033.1480000000001</v>
      </c>
      <c r="I88" s="7">
        <v>1045.5709999999999</v>
      </c>
      <c r="J88" s="7">
        <v>4975.1040000000003</v>
      </c>
      <c r="K88" s="7">
        <v>0</v>
      </c>
      <c r="L88" s="7">
        <v>26683.706999999999</v>
      </c>
      <c r="M88" s="7">
        <v>21393.629000000001</v>
      </c>
      <c r="N88" s="7">
        <v>0</v>
      </c>
      <c r="O88" s="7">
        <v>0</v>
      </c>
      <c r="P88" s="7">
        <v>71.472999999999999</v>
      </c>
      <c r="Q88" s="7">
        <v>0</v>
      </c>
      <c r="R88" s="7">
        <v>111.181</v>
      </c>
      <c r="S88" s="7">
        <v>2189.9279999999999</v>
      </c>
      <c r="T88" s="7">
        <v>0</v>
      </c>
      <c r="U88" s="7">
        <v>0</v>
      </c>
      <c r="V88" s="7">
        <v>1039.2139999999999</v>
      </c>
      <c r="W88" s="7">
        <v>1505.588</v>
      </c>
      <c r="X88" s="7">
        <v>0</v>
      </c>
      <c r="Y88" s="7">
        <v>5854.0410000000002</v>
      </c>
      <c r="Z88" s="7">
        <v>0</v>
      </c>
      <c r="AA88" s="7">
        <v>10852.870999999999</v>
      </c>
      <c r="AB88" s="7">
        <v>0</v>
      </c>
      <c r="AC88" s="7">
        <v>822.774</v>
      </c>
      <c r="AD88" s="7">
        <v>0</v>
      </c>
      <c r="AE88" s="7">
        <v>7505.7259999999997</v>
      </c>
      <c r="AF88" s="7">
        <v>0</v>
      </c>
      <c r="AG88" s="7">
        <v>0</v>
      </c>
      <c r="AH88" s="7">
        <v>47295.171999999999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594.37599999999998</v>
      </c>
      <c r="AP88" s="7">
        <v>0</v>
      </c>
      <c r="AQ88" s="7">
        <v>0</v>
      </c>
      <c r="AR88" s="7">
        <v>0</v>
      </c>
      <c r="AS88" s="7">
        <v>19.248999999999999</v>
      </c>
      <c r="AT88" s="7">
        <v>0</v>
      </c>
      <c r="AU88" s="7">
        <v>552.971</v>
      </c>
      <c r="AV88" s="7">
        <v>0</v>
      </c>
      <c r="AW88" s="7">
        <v>0</v>
      </c>
      <c r="AX88" s="7">
        <v>0</v>
      </c>
      <c r="AY88" s="7">
        <v>423.351</v>
      </c>
      <c r="AZ88" s="7">
        <v>0</v>
      </c>
      <c r="BA88" s="7">
        <v>0</v>
      </c>
      <c r="BB88" s="7">
        <v>210.589</v>
      </c>
      <c r="BC88" s="7">
        <v>340.96800000000002</v>
      </c>
      <c r="BD88" s="7">
        <v>0</v>
      </c>
      <c r="BE88" s="7">
        <v>51.280999999999999</v>
      </c>
      <c r="BF88" s="7">
        <v>51.280999999999999</v>
      </c>
      <c r="BG88" s="7">
        <v>0</v>
      </c>
      <c r="BH88" s="7">
        <v>0</v>
      </c>
      <c r="BI88" s="7">
        <v>154.96600000000001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64567.731</v>
      </c>
      <c r="F91" s="7">
        <v>8847.6119999999992</v>
      </c>
      <c r="G91" s="7">
        <v>15011.103999999999</v>
      </c>
      <c r="H91" s="7">
        <v>0</v>
      </c>
      <c r="I91" s="7">
        <v>1384.9449999999999</v>
      </c>
      <c r="J91" s="7">
        <v>9289.9150000000009</v>
      </c>
      <c r="K91" s="7">
        <v>0</v>
      </c>
      <c r="L91" s="7">
        <v>25754.350999999999</v>
      </c>
      <c r="M91" s="7">
        <v>36402.949000000001</v>
      </c>
      <c r="N91" s="7">
        <v>0</v>
      </c>
      <c r="O91" s="7">
        <v>0</v>
      </c>
      <c r="P91" s="7">
        <v>1.119</v>
      </c>
      <c r="Q91" s="7">
        <v>0</v>
      </c>
      <c r="R91" s="7">
        <v>140.92400000000001</v>
      </c>
      <c r="S91" s="7">
        <v>3742.395</v>
      </c>
      <c r="T91" s="7">
        <v>0</v>
      </c>
      <c r="U91" s="7">
        <v>0</v>
      </c>
      <c r="V91" s="7">
        <v>1763.8040000000001</v>
      </c>
      <c r="W91" s="7">
        <v>2536.578</v>
      </c>
      <c r="X91" s="7">
        <v>0</v>
      </c>
      <c r="Y91" s="7">
        <v>9525.1370000000006</v>
      </c>
      <c r="Z91" s="7">
        <v>0</v>
      </c>
      <c r="AA91" s="7">
        <v>18445.949000000001</v>
      </c>
      <c r="AB91" s="7">
        <v>0</v>
      </c>
      <c r="AC91" s="7">
        <v>1390.3689999999999</v>
      </c>
      <c r="AD91" s="7">
        <v>0</v>
      </c>
      <c r="AE91" s="7">
        <v>14355.121999999999</v>
      </c>
      <c r="AF91" s="7">
        <v>0</v>
      </c>
      <c r="AG91" s="7">
        <v>0</v>
      </c>
      <c r="AH91" s="7">
        <v>63204.088000000003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1015.737</v>
      </c>
      <c r="AP91" s="7">
        <v>0</v>
      </c>
      <c r="AQ91" s="7">
        <v>0</v>
      </c>
      <c r="AR91" s="7">
        <v>0</v>
      </c>
      <c r="AS91" s="7">
        <v>32.895000000000003</v>
      </c>
      <c r="AT91" s="7">
        <v>0</v>
      </c>
      <c r="AU91" s="7">
        <v>944.97900000000004</v>
      </c>
      <c r="AV91" s="7">
        <v>0</v>
      </c>
      <c r="AW91" s="7">
        <v>0</v>
      </c>
      <c r="AX91" s="7">
        <v>0</v>
      </c>
      <c r="AY91" s="7">
        <v>723.46900000000005</v>
      </c>
      <c r="AZ91" s="7">
        <v>0</v>
      </c>
      <c r="BA91" s="7">
        <v>0</v>
      </c>
      <c r="BB91" s="7">
        <v>359.87799999999999</v>
      </c>
      <c r="BC91" s="7">
        <v>582.68399999999997</v>
      </c>
      <c r="BD91" s="7">
        <v>0</v>
      </c>
      <c r="BE91" s="7">
        <v>87.634</v>
      </c>
      <c r="BF91" s="7">
        <v>87.634</v>
      </c>
      <c r="BG91" s="7">
        <v>0</v>
      </c>
      <c r="BH91" s="7">
        <v>0</v>
      </c>
      <c r="BI91" s="7">
        <v>264.82400000000001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79287.866999999998</v>
      </c>
      <c r="F92" s="7">
        <v>10971.829</v>
      </c>
      <c r="G92" s="7">
        <v>17166.708999999999</v>
      </c>
      <c r="H92" s="7">
        <v>0</v>
      </c>
      <c r="I92" s="7">
        <v>1766.2180000000001</v>
      </c>
      <c r="J92" s="7">
        <v>9780.6270000000004</v>
      </c>
      <c r="K92" s="7">
        <v>0</v>
      </c>
      <c r="L92" s="7">
        <v>31568.464</v>
      </c>
      <c r="M92" s="7">
        <v>43998.392</v>
      </c>
      <c r="N92" s="7">
        <v>0</v>
      </c>
      <c r="O92" s="7">
        <v>0</v>
      </c>
      <c r="P92" s="7">
        <v>1.427</v>
      </c>
      <c r="Q92" s="7">
        <v>0</v>
      </c>
      <c r="R92" s="7">
        <v>0</v>
      </c>
      <c r="S92" s="7">
        <v>4772.67</v>
      </c>
      <c r="T92" s="7">
        <v>0</v>
      </c>
      <c r="U92" s="7">
        <v>0</v>
      </c>
      <c r="V92" s="7">
        <v>2249.377</v>
      </c>
      <c r="W92" s="7">
        <v>3234.893</v>
      </c>
      <c r="X92" s="7">
        <v>0</v>
      </c>
      <c r="Y92" s="7">
        <v>12147.39</v>
      </c>
      <c r="Z92" s="7">
        <v>0</v>
      </c>
      <c r="AA92" s="7">
        <v>23524.087</v>
      </c>
      <c r="AB92" s="7">
        <v>0</v>
      </c>
      <c r="AC92" s="7">
        <v>1773.136</v>
      </c>
      <c r="AD92" s="7">
        <v>0</v>
      </c>
      <c r="AE92" s="7">
        <v>12705.773999999999</v>
      </c>
      <c r="AF92" s="7">
        <v>0</v>
      </c>
      <c r="AG92" s="7">
        <v>0</v>
      </c>
      <c r="AH92" s="7">
        <v>74613.380999999994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1295.3679999999999</v>
      </c>
      <c r="AP92" s="7">
        <v>0</v>
      </c>
      <c r="AQ92" s="7">
        <v>0</v>
      </c>
      <c r="AR92" s="7">
        <v>0</v>
      </c>
      <c r="AS92" s="7">
        <v>41.951000000000001</v>
      </c>
      <c r="AT92" s="7">
        <v>0</v>
      </c>
      <c r="AU92" s="7">
        <v>1205.1300000000001</v>
      </c>
      <c r="AV92" s="7">
        <v>0</v>
      </c>
      <c r="AW92" s="7">
        <v>0</v>
      </c>
      <c r="AX92" s="7">
        <v>0</v>
      </c>
      <c r="AY92" s="7">
        <v>922.63900000000001</v>
      </c>
      <c r="AZ92" s="7">
        <v>0</v>
      </c>
      <c r="BA92" s="7">
        <v>0</v>
      </c>
      <c r="BB92" s="7">
        <v>458.95100000000002</v>
      </c>
      <c r="BC92" s="7">
        <v>743.096</v>
      </c>
      <c r="BD92" s="7">
        <v>0</v>
      </c>
      <c r="BE92" s="7">
        <v>111.76</v>
      </c>
      <c r="BF92" s="7">
        <v>111.76</v>
      </c>
      <c r="BG92" s="7">
        <v>0</v>
      </c>
      <c r="BH92" s="7">
        <v>0</v>
      </c>
      <c r="BI92" s="7">
        <v>337.72899999999998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6744.9989999999998</v>
      </c>
      <c r="F93" s="7">
        <v>2395.069</v>
      </c>
      <c r="G93" s="7">
        <v>5708.277</v>
      </c>
      <c r="H93" s="7">
        <v>0</v>
      </c>
      <c r="I93" s="7">
        <v>247.76599999999999</v>
      </c>
      <c r="J93" s="7">
        <v>1955.662</v>
      </c>
      <c r="K93" s="7">
        <v>0</v>
      </c>
      <c r="L93" s="7">
        <v>17770.258000000002</v>
      </c>
      <c r="M93" s="7">
        <v>5616.3440000000001</v>
      </c>
      <c r="N93" s="7">
        <v>0</v>
      </c>
      <c r="O93" s="7">
        <v>0</v>
      </c>
      <c r="P93" s="7">
        <v>0.216</v>
      </c>
      <c r="Q93" s="7">
        <v>0</v>
      </c>
      <c r="R93" s="7">
        <v>0</v>
      </c>
      <c r="S93" s="7">
        <v>955.08299999999997</v>
      </c>
      <c r="T93" s="7">
        <v>0</v>
      </c>
      <c r="U93" s="7">
        <v>0</v>
      </c>
      <c r="V93" s="7">
        <v>438.69099999999997</v>
      </c>
      <c r="W93" s="7">
        <v>332.84899999999999</v>
      </c>
      <c r="X93" s="7">
        <v>0</v>
      </c>
      <c r="Y93" s="7">
        <v>4294.0690000000004</v>
      </c>
      <c r="Z93" s="7">
        <v>0</v>
      </c>
      <c r="AA93" s="7">
        <v>3485.835</v>
      </c>
      <c r="AB93" s="7">
        <v>0</v>
      </c>
      <c r="AC93" s="7">
        <v>970.15700000000004</v>
      </c>
      <c r="AD93" s="7">
        <v>0</v>
      </c>
      <c r="AE93" s="7">
        <v>16742.93</v>
      </c>
      <c r="AF93" s="7">
        <v>1474.816</v>
      </c>
      <c r="AG93" s="7">
        <v>0</v>
      </c>
      <c r="AH93" s="7">
        <v>27159.164000000001</v>
      </c>
      <c r="AI93" s="7">
        <v>2655.9140000000002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693.32600000000002</v>
      </c>
      <c r="AP93" s="7">
        <v>0</v>
      </c>
      <c r="AQ93" s="7">
        <v>520.21799999999996</v>
      </c>
      <c r="AR93" s="7">
        <v>0</v>
      </c>
      <c r="AS93" s="7">
        <v>3.9950000000000001</v>
      </c>
      <c r="AT93" s="7">
        <v>0</v>
      </c>
      <c r="AU93" s="7">
        <v>296.77600000000001</v>
      </c>
      <c r="AV93" s="7">
        <v>0</v>
      </c>
      <c r="AW93" s="7">
        <v>0</v>
      </c>
      <c r="AX93" s="7">
        <v>0</v>
      </c>
      <c r="AY93" s="7">
        <v>57.491999999999997</v>
      </c>
      <c r="AZ93" s="7">
        <v>459.166</v>
      </c>
      <c r="BA93" s="7">
        <v>0</v>
      </c>
      <c r="BB93" s="7">
        <v>240.161</v>
      </c>
      <c r="BC93" s="7">
        <v>25.44</v>
      </c>
      <c r="BD93" s="7">
        <v>571.59400000000005</v>
      </c>
      <c r="BE93" s="7">
        <v>57.387</v>
      </c>
      <c r="BF93" s="7">
        <v>57.387</v>
      </c>
      <c r="BG93" s="7">
        <v>174.28700000000001</v>
      </c>
      <c r="BH93" s="7">
        <v>0</v>
      </c>
      <c r="BI93" s="7">
        <v>11.574999999999999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18745.421999999999</v>
      </c>
      <c r="F94" s="7">
        <v>13879.691000000001</v>
      </c>
      <c r="G94" s="7">
        <v>22138.91</v>
      </c>
      <c r="H94" s="7">
        <v>0.26200000000000001</v>
      </c>
      <c r="I94" s="7">
        <v>1255.7570000000001</v>
      </c>
      <c r="J94" s="7">
        <v>10369.966</v>
      </c>
      <c r="K94" s="7">
        <v>0</v>
      </c>
      <c r="L94" s="7">
        <v>71064.39</v>
      </c>
      <c r="M94" s="7">
        <v>21713.167000000001</v>
      </c>
      <c r="N94" s="7">
        <v>0</v>
      </c>
      <c r="O94" s="7">
        <v>0</v>
      </c>
      <c r="P94" s="7">
        <v>0.185</v>
      </c>
      <c r="Q94" s="7">
        <v>0</v>
      </c>
      <c r="R94" s="7">
        <v>0</v>
      </c>
      <c r="S94" s="7">
        <v>5675.4489999999996</v>
      </c>
      <c r="T94" s="7">
        <v>0</v>
      </c>
      <c r="U94" s="7">
        <v>0</v>
      </c>
      <c r="V94" s="7">
        <v>2367.4520000000002</v>
      </c>
      <c r="W94" s="7">
        <v>556.15499999999997</v>
      </c>
      <c r="X94" s="7">
        <v>0</v>
      </c>
      <c r="Y94" s="7">
        <v>14434.859</v>
      </c>
      <c r="Z94" s="7">
        <v>0</v>
      </c>
      <c r="AA94" s="7">
        <v>24102.276000000002</v>
      </c>
      <c r="AB94" s="7">
        <v>0</v>
      </c>
      <c r="AC94" s="7">
        <v>4751.192</v>
      </c>
      <c r="AD94" s="7">
        <v>0</v>
      </c>
      <c r="AE94" s="7">
        <v>61527.703999999998</v>
      </c>
      <c r="AF94" s="7">
        <v>2846.42</v>
      </c>
      <c r="AG94" s="7">
        <v>0</v>
      </c>
      <c r="AH94" s="7">
        <v>97978.881999999998</v>
      </c>
      <c r="AI94" s="7">
        <v>4936.4129999999996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4213.058</v>
      </c>
      <c r="AP94" s="7">
        <v>0</v>
      </c>
      <c r="AQ94" s="7">
        <v>982.399</v>
      </c>
      <c r="AR94" s="7">
        <v>0</v>
      </c>
      <c r="AS94" s="7">
        <v>20.077999999999999</v>
      </c>
      <c r="AT94" s="7">
        <v>0</v>
      </c>
      <c r="AU94" s="7">
        <v>21.222999999999999</v>
      </c>
      <c r="AV94" s="7">
        <v>0</v>
      </c>
      <c r="AW94" s="7">
        <v>0</v>
      </c>
      <c r="AX94" s="7">
        <v>0</v>
      </c>
      <c r="AY94" s="7">
        <v>48.348999999999997</v>
      </c>
      <c r="AZ94" s="7">
        <v>853.41399999999999</v>
      </c>
      <c r="BA94" s="7">
        <v>0</v>
      </c>
      <c r="BB94" s="7">
        <v>1436.13</v>
      </c>
      <c r="BC94" s="7">
        <v>0</v>
      </c>
      <c r="BD94" s="7">
        <v>1062.377</v>
      </c>
      <c r="BE94" s="7">
        <v>342.88600000000002</v>
      </c>
      <c r="BF94" s="7">
        <v>342.88600000000002</v>
      </c>
      <c r="BG94" s="7">
        <v>323.93299999999999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52338.055</v>
      </c>
      <c r="F95" s="7">
        <v>29246.406999999999</v>
      </c>
      <c r="G95" s="7">
        <v>2697.3560000000002</v>
      </c>
      <c r="H95" s="7">
        <v>2708.4209999999998</v>
      </c>
      <c r="I95" s="7">
        <v>2455.5839999999998</v>
      </c>
      <c r="J95" s="7">
        <v>19616.812000000002</v>
      </c>
      <c r="K95" s="7">
        <v>0</v>
      </c>
      <c r="L95" s="7">
        <v>91715.331999999995</v>
      </c>
      <c r="M95" s="7">
        <v>26983.876</v>
      </c>
      <c r="N95" s="7">
        <v>0</v>
      </c>
      <c r="O95" s="7">
        <v>0</v>
      </c>
      <c r="P95" s="7">
        <v>0.59899999999999998</v>
      </c>
      <c r="Q95" s="7">
        <v>0</v>
      </c>
      <c r="R95" s="7">
        <v>0</v>
      </c>
      <c r="S95" s="7">
        <v>11500.405000000001</v>
      </c>
      <c r="T95" s="7">
        <v>0</v>
      </c>
      <c r="U95" s="7">
        <v>0</v>
      </c>
      <c r="V95" s="7">
        <v>3463.509</v>
      </c>
      <c r="W95" s="7">
        <v>366.089</v>
      </c>
      <c r="X95" s="7">
        <v>0</v>
      </c>
      <c r="Y95" s="7">
        <v>8386.1309999999994</v>
      </c>
      <c r="Z95" s="7">
        <v>0</v>
      </c>
      <c r="AA95" s="7">
        <v>56857.593999999997</v>
      </c>
      <c r="AB95" s="7">
        <v>0</v>
      </c>
      <c r="AC95" s="7">
        <v>5049.9830000000002</v>
      </c>
      <c r="AD95" s="7">
        <v>0</v>
      </c>
      <c r="AE95" s="7">
        <v>19895.327000000001</v>
      </c>
      <c r="AF95" s="7">
        <v>8997.9619999999995</v>
      </c>
      <c r="AG95" s="7">
        <v>0</v>
      </c>
      <c r="AH95" s="7">
        <v>151784.27299999999</v>
      </c>
      <c r="AI95" s="7">
        <v>15343.325999999999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7455.1469999999999</v>
      </c>
      <c r="AP95" s="7">
        <v>0</v>
      </c>
      <c r="AQ95" s="7">
        <v>3075.6779999999999</v>
      </c>
      <c r="AR95" s="7">
        <v>0</v>
      </c>
      <c r="AS95" s="7">
        <v>45.725999999999999</v>
      </c>
      <c r="AT95" s="7">
        <v>0</v>
      </c>
      <c r="AU95" s="7">
        <v>67.53</v>
      </c>
      <c r="AV95" s="7">
        <v>0</v>
      </c>
      <c r="AW95" s="7">
        <v>0</v>
      </c>
      <c r="AX95" s="7">
        <v>0</v>
      </c>
      <c r="AY95" s="7">
        <v>150.27600000000001</v>
      </c>
      <c r="AZ95" s="7">
        <v>2652.5569999999998</v>
      </c>
      <c r="BA95" s="7">
        <v>0</v>
      </c>
      <c r="BB95" s="7">
        <v>2514.154</v>
      </c>
      <c r="BC95" s="7">
        <v>0</v>
      </c>
      <c r="BD95" s="7">
        <v>3302.047</v>
      </c>
      <c r="BE95" s="7">
        <v>603.74800000000005</v>
      </c>
      <c r="BF95" s="7">
        <v>603.74800000000005</v>
      </c>
      <c r="BG95" s="7">
        <v>1006.8390000000001</v>
      </c>
      <c r="BH95" s="7">
        <v>0</v>
      </c>
      <c r="BI95" s="7">
        <v>0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0.56299999999999994</v>
      </c>
      <c r="F103" s="7">
        <v>0.39200000000000002</v>
      </c>
      <c r="G103" s="7">
        <v>2.7E-2</v>
      </c>
      <c r="H103" s="7">
        <v>1774.3889999999999</v>
      </c>
      <c r="I103" s="7">
        <v>3.5000000000000003E-2</v>
      </c>
      <c r="J103" s="7">
        <v>0.29099999999999998</v>
      </c>
      <c r="K103" s="7">
        <v>0</v>
      </c>
      <c r="L103" s="7">
        <v>0.84</v>
      </c>
      <c r="M103" s="7">
        <v>0.32200000000000001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0.157</v>
      </c>
      <c r="T103" s="7">
        <v>0</v>
      </c>
      <c r="U103" s="7">
        <v>0</v>
      </c>
      <c r="V103" s="7">
        <v>5.0999999999999997E-2</v>
      </c>
      <c r="W103" s="7">
        <v>0</v>
      </c>
      <c r="X103" s="7">
        <v>0</v>
      </c>
      <c r="Y103" s="7">
        <v>2.3E-2</v>
      </c>
      <c r="Z103" s="7">
        <v>0</v>
      </c>
      <c r="AA103" s="7">
        <v>0.84799999999999998</v>
      </c>
      <c r="AB103" s="7">
        <v>0</v>
      </c>
      <c r="AC103" s="7">
        <v>6.5000000000000002E-2</v>
      </c>
      <c r="AD103" s="7">
        <v>0</v>
      </c>
      <c r="AE103" s="7">
        <v>2.9000000000000001E-2</v>
      </c>
      <c r="AF103" s="7">
        <v>7.0000000000000001E-3</v>
      </c>
      <c r="AG103" s="7">
        <v>0</v>
      </c>
      <c r="AH103" s="7">
        <v>1.3640000000000001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0.104</v>
      </c>
      <c r="AP103" s="7">
        <v>0</v>
      </c>
      <c r="AQ103" s="7">
        <v>1E-3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3.5000000000000003E-2</v>
      </c>
      <c r="BC103" s="7">
        <v>0</v>
      </c>
      <c r="BD103" s="7">
        <v>0</v>
      </c>
      <c r="BE103" s="7">
        <v>8.0000000000000002E-3</v>
      </c>
      <c r="BF103" s="7">
        <v>8.0000000000000002E-3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392943.09600000002</v>
      </c>
      <c r="F104" s="7">
        <v>79928.879000000001</v>
      </c>
      <c r="G104" s="7">
        <v>0</v>
      </c>
      <c r="H104" s="7">
        <v>4850.8320000000003</v>
      </c>
      <c r="I104" s="7">
        <v>3152.7890000000002</v>
      </c>
      <c r="J104" s="7">
        <v>0</v>
      </c>
      <c r="K104" s="7">
        <v>0</v>
      </c>
      <c r="L104" s="7">
        <v>908978.62</v>
      </c>
      <c r="M104" s="7">
        <v>59536.696000000004</v>
      </c>
      <c r="N104" s="7">
        <v>0</v>
      </c>
      <c r="O104" s="7">
        <v>85.289000000000001</v>
      </c>
      <c r="P104" s="7">
        <v>13.863</v>
      </c>
      <c r="Q104" s="7">
        <v>96.454999999999998</v>
      </c>
      <c r="R104" s="7">
        <v>0</v>
      </c>
      <c r="S104" s="7">
        <v>24481.167000000001</v>
      </c>
      <c r="T104" s="7">
        <v>0</v>
      </c>
      <c r="U104" s="7">
        <v>0</v>
      </c>
      <c r="V104" s="7">
        <v>0</v>
      </c>
      <c r="W104" s="7">
        <v>8300.3760000000002</v>
      </c>
      <c r="X104" s="7">
        <v>0</v>
      </c>
      <c r="Y104" s="7">
        <v>168997.636</v>
      </c>
      <c r="Z104" s="7">
        <v>0</v>
      </c>
      <c r="AA104" s="7">
        <v>0</v>
      </c>
      <c r="AB104" s="7">
        <v>4918.8320000000003</v>
      </c>
      <c r="AC104" s="7">
        <v>14855.147999999999</v>
      </c>
      <c r="AD104" s="7">
        <v>0</v>
      </c>
      <c r="AE104" s="7">
        <v>418995.75699999998</v>
      </c>
      <c r="AF104" s="7">
        <v>225496.6</v>
      </c>
      <c r="AG104" s="7">
        <v>0</v>
      </c>
      <c r="AH104" s="7">
        <v>1563632.351</v>
      </c>
      <c r="AI104" s="7">
        <v>406084.37099999998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10865.518</v>
      </c>
      <c r="AP104" s="7">
        <v>0</v>
      </c>
      <c r="AQ104" s="7">
        <v>79540.368000000002</v>
      </c>
      <c r="AR104" s="7">
        <v>0</v>
      </c>
      <c r="AS104" s="7">
        <v>236.02799999999999</v>
      </c>
      <c r="AT104" s="7">
        <v>0</v>
      </c>
      <c r="AU104" s="7">
        <v>1656.049</v>
      </c>
      <c r="AV104" s="7">
        <v>0</v>
      </c>
      <c r="AW104" s="7">
        <v>0</v>
      </c>
      <c r="AX104" s="7">
        <v>0</v>
      </c>
      <c r="AY104" s="7">
        <v>3977.3850000000002</v>
      </c>
      <c r="AZ104" s="7">
        <v>70205.577999999994</v>
      </c>
      <c r="BA104" s="7">
        <v>0</v>
      </c>
      <c r="BB104" s="7">
        <v>3908.4569999999999</v>
      </c>
      <c r="BC104" s="7">
        <v>0</v>
      </c>
      <c r="BD104" s="7">
        <v>87395.72</v>
      </c>
      <c r="BE104" s="7">
        <v>927.93499999999995</v>
      </c>
      <c r="BF104" s="7">
        <v>927.93499999999995</v>
      </c>
      <c r="BG104" s="7">
        <v>26648.129000000001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186771.23300000001</v>
      </c>
      <c r="F105" s="7">
        <v>36028.671999999999</v>
      </c>
      <c r="G105" s="7">
        <v>0</v>
      </c>
      <c r="H105" s="7">
        <v>549.37900000000002</v>
      </c>
      <c r="I105" s="7">
        <v>1491.99</v>
      </c>
      <c r="J105" s="7">
        <v>0</v>
      </c>
      <c r="K105" s="7">
        <v>0</v>
      </c>
      <c r="L105" s="7">
        <v>427813.38699999999</v>
      </c>
      <c r="M105" s="7">
        <v>30049.433000000001</v>
      </c>
      <c r="N105" s="7">
        <v>0</v>
      </c>
      <c r="O105" s="7">
        <v>10.391</v>
      </c>
      <c r="P105" s="7">
        <v>6.5609999999999999</v>
      </c>
      <c r="Q105" s="7">
        <v>11.750999999999999</v>
      </c>
      <c r="R105" s="7">
        <v>0</v>
      </c>
      <c r="S105" s="7">
        <v>11585.189</v>
      </c>
      <c r="T105" s="7">
        <v>0</v>
      </c>
      <c r="U105" s="7">
        <v>0</v>
      </c>
      <c r="V105" s="7">
        <v>0</v>
      </c>
      <c r="W105" s="7">
        <v>3927.9749999999999</v>
      </c>
      <c r="X105" s="7">
        <v>0</v>
      </c>
      <c r="Y105" s="7">
        <v>79974.520999999993</v>
      </c>
      <c r="Z105" s="7">
        <v>0</v>
      </c>
      <c r="AA105" s="7">
        <v>0</v>
      </c>
      <c r="AB105" s="7">
        <v>599.26599999999996</v>
      </c>
      <c r="AC105" s="7">
        <v>7029.8810000000003</v>
      </c>
      <c r="AD105" s="7">
        <v>0</v>
      </c>
      <c r="AE105" s="7">
        <v>196938.34099999999</v>
      </c>
      <c r="AF105" s="7">
        <v>106711.448</v>
      </c>
      <c r="AG105" s="7">
        <v>0</v>
      </c>
      <c r="AH105" s="7">
        <v>736560.16500000004</v>
      </c>
      <c r="AI105" s="7">
        <v>192170.75200000001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5141.8739999999998</v>
      </c>
      <c r="AP105" s="7">
        <v>0</v>
      </c>
      <c r="AQ105" s="7">
        <v>37640.78</v>
      </c>
      <c r="AR105" s="7">
        <v>0</v>
      </c>
      <c r="AS105" s="7">
        <v>111.69499999999999</v>
      </c>
      <c r="AT105" s="7">
        <v>0</v>
      </c>
      <c r="AU105" s="7">
        <v>783.68899999999996</v>
      </c>
      <c r="AV105" s="7">
        <v>0</v>
      </c>
      <c r="AW105" s="7">
        <v>0</v>
      </c>
      <c r="AX105" s="7">
        <v>0</v>
      </c>
      <c r="AY105" s="7">
        <v>1882.212</v>
      </c>
      <c r="AZ105" s="7">
        <v>33223.29</v>
      </c>
      <c r="BA105" s="7">
        <v>0</v>
      </c>
      <c r="BB105" s="7">
        <v>1849.5930000000001</v>
      </c>
      <c r="BC105" s="7">
        <v>0</v>
      </c>
      <c r="BD105" s="7">
        <v>41358.156999999999</v>
      </c>
      <c r="BE105" s="7">
        <v>439.125</v>
      </c>
      <c r="BF105" s="7">
        <v>439.125</v>
      </c>
      <c r="BG105" s="7">
        <v>12610.657999999999</v>
      </c>
      <c r="BH105" s="7">
        <v>0</v>
      </c>
      <c r="BI105" s="7">
        <v>0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79032.952000000005</v>
      </c>
      <c r="F106" s="7">
        <v>15720.459000000001</v>
      </c>
      <c r="G106" s="7">
        <v>137.226</v>
      </c>
      <c r="H106" s="7">
        <v>3.95</v>
      </c>
      <c r="I106" s="7">
        <v>778.42600000000004</v>
      </c>
      <c r="J106" s="7">
        <v>78.183999999999997</v>
      </c>
      <c r="K106" s="7">
        <v>0</v>
      </c>
      <c r="L106" s="7">
        <v>177105.334</v>
      </c>
      <c r="M106" s="7">
        <v>16458.054</v>
      </c>
      <c r="N106" s="7">
        <v>0</v>
      </c>
      <c r="O106" s="7">
        <v>103.119</v>
      </c>
      <c r="P106" s="7">
        <v>2.5209999999999999</v>
      </c>
      <c r="Q106" s="7">
        <v>116.619</v>
      </c>
      <c r="R106" s="7">
        <v>0</v>
      </c>
      <c r="S106" s="7">
        <v>4469.5659999999998</v>
      </c>
      <c r="T106" s="7">
        <v>0</v>
      </c>
      <c r="U106" s="7">
        <v>0</v>
      </c>
      <c r="V106" s="7">
        <v>17.981000000000002</v>
      </c>
      <c r="W106" s="7">
        <v>1528.337</v>
      </c>
      <c r="X106" s="7">
        <v>0</v>
      </c>
      <c r="Y106" s="7">
        <v>30687.912</v>
      </c>
      <c r="Z106" s="7">
        <v>0</v>
      </c>
      <c r="AA106" s="7">
        <v>188.04499999999999</v>
      </c>
      <c r="AB106" s="7">
        <v>5947.1030000000001</v>
      </c>
      <c r="AC106" s="7">
        <v>2703.152</v>
      </c>
      <c r="AD106" s="7">
        <v>0</v>
      </c>
      <c r="AE106" s="7">
        <v>79872.755999999994</v>
      </c>
      <c r="AF106" s="7">
        <v>40820.652999999998</v>
      </c>
      <c r="AG106" s="7">
        <v>0</v>
      </c>
      <c r="AH106" s="7">
        <v>297871.10800000001</v>
      </c>
      <c r="AI106" s="7">
        <v>73516.308000000005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1977.1569999999999</v>
      </c>
      <c r="AP106" s="7">
        <v>0</v>
      </c>
      <c r="AQ106" s="7">
        <v>14397.859</v>
      </c>
      <c r="AR106" s="7">
        <v>0</v>
      </c>
      <c r="AS106" s="7">
        <v>43.06</v>
      </c>
      <c r="AT106" s="7">
        <v>0</v>
      </c>
      <c r="AU106" s="7">
        <v>309.39999999999998</v>
      </c>
      <c r="AV106" s="7">
        <v>0</v>
      </c>
      <c r="AW106" s="7">
        <v>0</v>
      </c>
      <c r="AX106" s="7">
        <v>0</v>
      </c>
      <c r="AY106" s="7">
        <v>727.33500000000004</v>
      </c>
      <c r="AZ106" s="7">
        <v>12708.138999999999</v>
      </c>
      <c r="BA106" s="7">
        <v>0</v>
      </c>
      <c r="BB106" s="7">
        <v>711.15099999999995</v>
      </c>
      <c r="BC106" s="7">
        <v>5.94</v>
      </c>
      <c r="BD106" s="7">
        <v>15819.781999999999</v>
      </c>
      <c r="BE106" s="7">
        <v>168.86199999999999</v>
      </c>
      <c r="BF106" s="7">
        <v>168.86199999999999</v>
      </c>
      <c r="BG106" s="7">
        <v>4823.6639999999998</v>
      </c>
      <c r="BH106" s="7">
        <v>0</v>
      </c>
      <c r="BI106" s="7">
        <v>2.7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430.75900000000001</v>
      </c>
      <c r="F107" s="7">
        <v>78.626999999999995</v>
      </c>
      <c r="G107" s="7">
        <v>1.119</v>
      </c>
      <c r="H107" s="7">
        <v>0</v>
      </c>
      <c r="I107" s="7">
        <v>3.3420000000000001</v>
      </c>
      <c r="J107" s="7">
        <v>0.63800000000000001</v>
      </c>
      <c r="K107" s="7">
        <v>0</v>
      </c>
      <c r="L107" s="7">
        <v>950.64099999999996</v>
      </c>
      <c r="M107" s="7">
        <v>63.795999999999999</v>
      </c>
      <c r="N107" s="7">
        <v>0</v>
      </c>
      <c r="O107" s="7">
        <v>1.34</v>
      </c>
      <c r="P107" s="7">
        <v>1.4E-2</v>
      </c>
      <c r="Q107" s="7">
        <v>1.5149999999999999</v>
      </c>
      <c r="R107" s="7">
        <v>0</v>
      </c>
      <c r="S107" s="7">
        <v>25.364000000000001</v>
      </c>
      <c r="T107" s="7">
        <v>0</v>
      </c>
      <c r="U107" s="7">
        <v>0</v>
      </c>
      <c r="V107" s="7">
        <v>0.14699999999999999</v>
      </c>
      <c r="W107" s="7">
        <v>8.7050000000000001</v>
      </c>
      <c r="X107" s="7">
        <v>0</v>
      </c>
      <c r="Y107" s="7">
        <v>173.73599999999999</v>
      </c>
      <c r="Z107" s="7">
        <v>0</v>
      </c>
      <c r="AA107" s="7">
        <v>1.534</v>
      </c>
      <c r="AB107" s="7">
        <v>77.278999999999996</v>
      </c>
      <c r="AC107" s="7">
        <v>15.318</v>
      </c>
      <c r="AD107" s="7">
        <v>0</v>
      </c>
      <c r="AE107" s="7">
        <v>485.71800000000002</v>
      </c>
      <c r="AF107" s="7">
        <v>230.762</v>
      </c>
      <c r="AG107" s="7">
        <v>0</v>
      </c>
      <c r="AH107" s="7">
        <v>1594.1110000000001</v>
      </c>
      <c r="AI107" s="7">
        <v>415.56599999999997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11.204000000000001</v>
      </c>
      <c r="AP107" s="7">
        <v>0</v>
      </c>
      <c r="AQ107" s="7">
        <v>81.397999999999996</v>
      </c>
      <c r="AR107" s="7">
        <v>0</v>
      </c>
      <c r="AS107" s="7">
        <v>0.24399999999999999</v>
      </c>
      <c r="AT107" s="7">
        <v>0</v>
      </c>
      <c r="AU107" s="7">
        <v>1.7729999999999999</v>
      </c>
      <c r="AV107" s="7">
        <v>0</v>
      </c>
      <c r="AW107" s="7">
        <v>0</v>
      </c>
      <c r="AX107" s="7">
        <v>0</v>
      </c>
      <c r="AY107" s="7">
        <v>4.13</v>
      </c>
      <c r="AZ107" s="7">
        <v>71.844999999999999</v>
      </c>
      <c r="BA107" s="7">
        <v>0</v>
      </c>
      <c r="BB107" s="7">
        <v>4.03</v>
      </c>
      <c r="BC107" s="7">
        <v>4.8000000000000001E-2</v>
      </c>
      <c r="BD107" s="7">
        <v>89.436000000000007</v>
      </c>
      <c r="BE107" s="7">
        <v>0.95699999999999996</v>
      </c>
      <c r="BF107" s="7">
        <v>0.95699999999999996</v>
      </c>
      <c r="BG107" s="7">
        <v>27.27</v>
      </c>
      <c r="BH107" s="7">
        <v>0</v>
      </c>
      <c r="BI107" s="7">
        <v>2.1999999999999999E-2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89506.758000000002</v>
      </c>
      <c r="F110" s="7">
        <v>574.38499999999999</v>
      </c>
      <c r="G110" s="7">
        <v>0</v>
      </c>
      <c r="H110" s="7">
        <v>9710.0840000000007</v>
      </c>
      <c r="I110" s="7">
        <v>0.05</v>
      </c>
      <c r="J110" s="7">
        <v>0</v>
      </c>
      <c r="K110" s="7">
        <v>0</v>
      </c>
      <c r="L110" s="7">
        <v>135480.40900000001</v>
      </c>
      <c r="M110" s="7">
        <v>21764.469000000001</v>
      </c>
      <c r="N110" s="7">
        <v>0</v>
      </c>
      <c r="O110" s="7">
        <v>0</v>
      </c>
      <c r="P110" s="7">
        <v>0</v>
      </c>
      <c r="Q110" s="7">
        <v>0</v>
      </c>
      <c r="R110" s="7">
        <v>3.0000000000000001E-3</v>
      </c>
      <c r="S110" s="7">
        <v>0.38600000000000001</v>
      </c>
      <c r="T110" s="7">
        <v>0</v>
      </c>
      <c r="U110" s="7">
        <v>0</v>
      </c>
      <c r="V110" s="7">
        <v>0</v>
      </c>
      <c r="W110" s="7">
        <v>0.13100000000000001</v>
      </c>
      <c r="X110" s="7">
        <v>0</v>
      </c>
      <c r="Y110" s="7">
        <v>32447.716</v>
      </c>
      <c r="Z110" s="7">
        <v>0</v>
      </c>
      <c r="AA110" s="7">
        <v>0</v>
      </c>
      <c r="AB110" s="7">
        <v>0</v>
      </c>
      <c r="AC110" s="7">
        <v>0.23400000000000001</v>
      </c>
      <c r="AD110" s="7">
        <v>0</v>
      </c>
      <c r="AE110" s="7">
        <v>104190.077</v>
      </c>
      <c r="AF110" s="7">
        <v>4125.1350000000002</v>
      </c>
      <c r="AG110" s="7">
        <v>0</v>
      </c>
      <c r="AH110" s="7">
        <v>321110.90500000003</v>
      </c>
      <c r="AI110" s="7">
        <v>5668.0690000000004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0.17100000000000001</v>
      </c>
      <c r="AP110" s="7">
        <v>0</v>
      </c>
      <c r="AQ110" s="7">
        <v>1.254</v>
      </c>
      <c r="AR110" s="7">
        <v>0</v>
      </c>
      <c r="AS110" s="7">
        <v>8.9999999999999993E-3</v>
      </c>
      <c r="AT110" s="7">
        <v>0</v>
      </c>
      <c r="AU110" s="7">
        <v>2.5999999999999999E-2</v>
      </c>
      <c r="AV110" s="7">
        <v>0</v>
      </c>
      <c r="AW110" s="7">
        <v>0</v>
      </c>
      <c r="AX110" s="7">
        <v>0</v>
      </c>
      <c r="AY110" s="7">
        <v>6.3E-2</v>
      </c>
      <c r="AZ110" s="7">
        <v>1.107</v>
      </c>
      <c r="BA110" s="7">
        <v>0</v>
      </c>
      <c r="BB110" s="7">
        <v>6.2E-2</v>
      </c>
      <c r="BC110" s="7">
        <v>0</v>
      </c>
      <c r="BD110" s="7">
        <v>1.3779999999999999</v>
      </c>
      <c r="BE110" s="7">
        <v>1.4999999999999999E-2</v>
      </c>
      <c r="BF110" s="7">
        <v>1.4999999999999999E-2</v>
      </c>
      <c r="BG110" s="7">
        <v>0.42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95732.61</v>
      </c>
      <c r="F111" s="7">
        <v>18803.877</v>
      </c>
      <c r="G111" s="7">
        <v>0</v>
      </c>
      <c r="H111" s="7">
        <v>0</v>
      </c>
      <c r="I111" s="7">
        <v>772.40499999999997</v>
      </c>
      <c r="J111" s="7">
        <v>0</v>
      </c>
      <c r="K111" s="7">
        <v>0</v>
      </c>
      <c r="L111" s="7">
        <v>221745.519</v>
      </c>
      <c r="M111" s="7">
        <v>14556.778</v>
      </c>
      <c r="N111" s="7">
        <v>0</v>
      </c>
      <c r="O111" s="7">
        <v>0</v>
      </c>
      <c r="P111" s="7">
        <v>3.355</v>
      </c>
      <c r="Q111" s="7">
        <v>0</v>
      </c>
      <c r="R111" s="7">
        <v>0</v>
      </c>
      <c r="S111" s="7">
        <v>6036.3810000000003</v>
      </c>
      <c r="T111" s="7">
        <v>0</v>
      </c>
      <c r="U111" s="7">
        <v>0</v>
      </c>
      <c r="V111" s="7">
        <v>0</v>
      </c>
      <c r="W111" s="7">
        <v>2041.6569999999999</v>
      </c>
      <c r="X111" s="7">
        <v>0</v>
      </c>
      <c r="Y111" s="7">
        <v>41710.482000000004</v>
      </c>
      <c r="Z111" s="7">
        <v>0</v>
      </c>
      <c r="AA111" s="7">
        <v>0</v>
      </c>
      <c r="AB111" s="7">
        <v>12.382</v>
      </c>
      <c r="AC111" s="7">
        <v>3661.5459999999998</v>
      </c>
      <c r="AD111" s="7">
        <v>0</v>
      </c>
      <c r="AE111" s="7">
        <v>102533.552</v>
      </c>
      <c r="AF111" s="7">
        <v>55711.928999999996</v>
      </c>
      <c r="AG111" s="7">
        <v>0</v>
      </c>
      <c r="AH111" s="7">
        <v>383889.17800000001</v>
      </c>
      <c r="AI111" s="7">
        <v>100052.522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2687.8440000000001</v>
      </c>
      <c r="AP111" s="7">
        <v>0</v>
      </c>
      <c r="AQ111" s="7">
        <v>19652.552</v>
      </c>
      <c r="AR111" s="7">
        <v>0</v>
      </c>
      <c r="AS111" s="7">
        <v>58.302999999999997</v>
      </c>
      <c r="AT111" s="7">
        <v>0</v>
      </c>
      <c r="AU111" s="7">
        <v>569.57899999999995</v>
      </c>
      <c r="AV111" s="7">
        <v>0</v>
      </c>
      <c r="AW111" s="7">
        <v>0</v>
      </c>
      <c r="AX111" s="7">
        <v>0</v>
      </c>
      <c r="AY111" s="7">
        <v>962.19200000000001</v>
      </c>
      <c r="AZ111" s="7">
        <v>16983.843000000001</v>
      </c>
      <c r="BA111" s="7">
        <v>0</v>
      </c>
      <c r="BB111" s="7">
        <v>966.08699999999999</v>
      </c>
      <c r="BC111" s="7">
        <v>0</v>
      </c>
      <c r="BD111" s="7">
        <v>21142.41</v>
      </c>
      <c r="BE111" s="7">
        <v>229.88800000000001</v>
      </c>
      <c r="BF111" s="7">
        <v>229.88800000000001</v>
      </c>
      <c r="BG111" s="7">
        <v>6446.6049999999996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154562.91099999999</v>
      </c>
      <c r="F112" s="7">
        <v>38554.461000000003</v>
      </c>
      <c r="G112" s="7">
        <v>1.4490000000000001</v>
      </c>
      <c r="H112" s="7">
        <v>0</v>
      </c>
      <c r="I112" s="7">
        <v>1177.1279999999999</v>
      </c>
      <c r="J112" s="7">
        <v>15.388</v>
      </c>
      <c r="K112" s="7">
        <v>0</v>
      </c>
      <c r="L112" s="7">
        <v>401232.67099999997</v>
      </c>
      <c r="M112" s="7">
        <v>19508.129000000001</v>
      </c>
      <c r="N112" s="7">
        <v>0</v>
      </c>
      <c r="O112" s="7">
        <v>0</v>
      </c>
      <c r="P112" s="7">
        <v>0.35899999999999999</v>
      </c>
      <c r="Q112" s="7">
        <v>0</v>
      </c>
      <c r="R112" s="7">
        <v>0</v>
      </c>
      <c r="S112" s="7">
        <v>11927.598</v>
      </c>
      <c r="T112" s="7">
        <v>0</v>
      </c>
      <c r="U112" s="7">
        <v>0</v>
      </c>
      <c r="V112" s="7">
        <v>2.7</v>
      </c>
      <c r="W112" s="7">
        <v>3601.44</v>
      </c>
      <c r="X112" s="7">
        <v>79329.368000000002</v>
      </c>
      <c r="Y112" s="7">
        <v>78054.95</v>
      </c>
      <c r="Z112" s="7">
        <v>0</v>
      </c>
      <c r="AA112" s="7">
        <v>44.793999999999997</v>
      </c>
      <c r="AB112" s="7">
        <v>0</v>
      </c>
      <c r="AC112" s="7">
        <v>7005.7449999999999</v>
      </c>
      <c r="AD112" s="7">
        <v>0</v>
      </c>
      <c r="AE112" s="7">
        <v>193818.94699999999</v>
      </c>
      <c r="AF112" s="7">
        <v>115198.978</v>
      </c>
      <c r="AG112" s="7">
        <v>0</v>
      </c>
      <c r="AH112" s="7">
        <v>779317.89599999995</v>
      </c>
      <c r="AI112" s="7">
        <v>183916.87299999999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5689.3829999999998</v>
      </c>
      <c r="AP112" s="7">
        <v>58082.148999999998</v>
      </c>
      <c r="AQ112" s="7">
        <v>39124.618999999999</v>
      </c>
      <c r="AR112" s="7">
        <v>23398.597000000002</v>
      </c>
      <c r="AS112" s="7">
        <v>115.84</v>
      </c>
      <c r="AT112" s="7">
        <v>0</v>
      </c>
      <c r="AU112" s="7">
        <v>771.71</v>
      </c>
      <c r="AV112" s="7">
        <v>63041.692999999999</v>
      </c>
      <c r="AW112" s="7">
        <v>87531.858999999997</v>
      </c>
      <c r="AX112" s="7">
        <v>82806.252999999997</v>
      </c>
      <c r="AY112" s="7">
        <v>102.947</v>
      </c>
      <c r="AZ112" s="7">
        <v>1817.13</v>
      </c>
      <c r="BA112" s="7">
        <v>61498.902999999998</v>
      </c>
      <c r="BB112" s="7">
        <v>1976.9459999999999</v>
      </c>
      <c r="BC112" s="7">
        <v>0</v>
      </c>
      <c r="BD112" s="7">
        <v>2262.0610000000001</v>
      </c>
      <c r="BE112" s="7">
        <v>516.899</v>
      </c>
      <c r="BF112" s="7">
        <v>516.899</v>
      </c>
      <c r="BG112" s="7">
        <v>689.73299999999995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3343.2869999999998</v>
      </c>
      <c r="F114" s="7">
        <v>242.25700000000001</v>
      </c>
      <c r="G114" s="7">
        <v>283.99400000000003</v>
      </c>
      <c r="H114" s="7">
        <v>0</v>
      </c>
      <c r="I114" s="7">
        <v>49.941000000000003</v>
      </c>
      <c r="J114" s="7">
        <v>173.309</v>
      </c>
      <c r="K114" s="7">
        <v>0</v>
      </c>
      <c r="L114" s="7">
        <v>3996.77</v>
      </c>
      <c r="M114" s="7">
        <v>924.899</v>
      </c>
      <c r="N114" s="7">
        <v>0</v>
      </c>
      <c r="O114" s="7">
        <v>0</v>
      </c>
      <c r="P114" s="7">
        <v>9.1050000000000004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26.917999999999999</v>
      </c>
      <c r="W114" s="7">
        <v>80.697000000000003</v>
      </c>
      <c r="X114" s="7">
        <v>0</v>
      </c>
      <c r="Y114" s="7">
        <v>1407.1980000000001</v>
      </c>
      <c r="Z114" s="7">
        <v>0</v>
      </c>
      <c r="AA114" s="7">
        <v>223.517</v>
      </c>
      <c r="AB114" s="7">
        <v>0</v>
      </c>
      <c r="AC114" s="7">
        <v>34.817999999999998</v>
      </c>
      <c r="AD114" s="7">
        <v>0</v>
      </c>
      <c r="AE114" s="7">
        <v>3317.1320000000001</v>
      </c>
      <c r="AF114" s="7">
        <v>23.536000000000001</v>
      </c>
      <c r="AG114" s="7">
        <v>0</v>
      </c>
      <c r="AH114" s="7">
        <v>15098.437</v>
      </c>
      <c r="AI114" s="7">
        <v>1566.8589999999999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88429.953999999998</v>
      </c>
      <c r="F115" s="7">
        <v>893.625</v>
      </c>
      <c r="G115" s="7">
        <v>0</v>
      </c>
      <c r="H115" s="7">
        <v>0</v>
      </c>
      <c r="I115" s="7">
        <v>83.777000000000001</v>
      </c>
      <c r="J115" s="7">
        <v>0</v>
      </c>
      <c r="K115" s="7">
        <v>0</v>
      </c>
      <c r="L115" s="7">
        <v>178756.80100000001</v>
      </c>
      <c r="M115" s="7">
        <v>39878.836000000003</v>
      </c>
      <c r="N115" s="7">
        <v>0</v>
      </c>
      <c r="O115" s="7">
        <v>0</v>
      </c>
      <c r="P115" s="7">
        <v>27.925999999999998</v>
      </c>
      <c r="Q115" s="7">
        <v>0</v>
      </c>
      <c r="R115" s="7">
        <v>27.925999999999998</v>
      </c>
      <c r="S115" s="7">
        <v>0</v>
      </c>
      <c r="T115" s="7">
        <v>0</v>
      </c>
      <c r="U115" s="7">
        <v>0</v>
      </c>
      <c r="V115" s="7">
        <v>0</v>
      </c>
      <c r="W115" s="7">
        <v>279.25799999999998</v>
      </c>
      <c r="X115" s="7">
        <v>0</v>
      </c>
      <c r="Y115" s="7">
        <v>18699.784</v>
      </c>
      <c r="Z115" s="7">
        <v>0</v>
      </c>
      <c r="AA115" s="7">
        <v>2625.0239999999999</v>
      </c>
      <c r="AB115" s="7">
        <v>0</v>
      </c>
      <c r="AC115" s="7">
        <v>223.40600000000001</v>
      </c>
      <c r="AD115" s="7">
        <v>0</v>
      </c>
      <c r="AE115" s="7">
        <v>54433.584000000003</v>
      </c>
      <c r="AF115" s="7">
        <v>8.0000000000000002E-3</v>
      </c>
      <c r="AG115" s="7">
        <v>0</v>
      </c>
      <c r="AH115" s="7">
        <v>273288.33899999998</v>
      </c>
      <c r="AI115" s="7">
        <v>1.2E-2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42942.695</v>
      </c>
      <c r="F116" s="7">
        <v>8407.4560000000001</v>
      </c>
      <c r="G116" s="7">
        <v>0</v>
      </c>
      <c r="H116" s="7">
        <v>23369.544999999998</v>
      </c>
      <c r="I116" s="7">
        <v>348.16300000000001</v>
      </c>
      <c r="J116" s="7">
        <v>0</v>
      </c>
      <c r="K116" s="7">
        <v>0</v>
      </c>
      <c r="L116" s="7">
        <v>99063.055999999997</v>
      </c>
      <c r="M116" s="7">
        <v>6574.6409999999996</v>
      </c>
      <c r="N116" s="7">
        <v>0</v>
      </c>
      <c r="O116" s="7">
        <v>0</v>
      </c>
      <c r="P116" s="7">
        <v>1.5309999999999999</v>
      </c>
      <c r="Q116" s="7">
        <v>0</v>
      </c>
      <c r="R116" s="7">
        <v>0</v>
      </c>
      <c r="S116" s="7">
        <v>2703.4569999999999</v>
      </c>
      <c r="T116" s="7">
        <v>0</v>
      </c>
      <c r="U116" s="7">
        <v>0</v>
      </c>
      <c r="V116" s="7">
        <v>0</v>
      </c>
      <c r="W116" s="7">
        <v>916.61099999999999</v>
      </c>
      <c r="X116" s="7">
        <v>0</v>
      </c>
      <c r="Y116" s="7">
        <v>18662.419999999998</v>
      </c>
      <c r="Z116" s="7">
        <v>0</v>
      </c>
      <c r="AA116" s="7">
        <v>0</v>
      </c>
      <c r="AB116" s="7">
        <v>0</v>
      </c>
      <c r="AC116" s="7">
        <v>1640.4549999999999</v>
      </c>
      <c r="AD116" s="7">
        <v>10119.007</v>
      </c>
      <c r="AE116" s="7">
        <v>45847.853000000003</v>
      </c>
      <c r="AF116" s="7">
        <v>24901.605</v>
      </c>
      <c r="AG116" s="7">
        <v>46832.13</v>
      </c>
      <c r="AH116" s="7">
        <v>171496.416</v>
      </c>
      <c r="AI116" s="7">
        <v>44843.925000000003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1199.8800000000001</v>
      </c>
      <c r="AP116" s="7">
        <v>0</v>
      </c>
      <c r="AQ116" s="7">
        <v>8783.6479999999992</v>
      </c>
      <c r="AR116" s="7">
        <v>0</v>
      </c>
      <c r="AS116" s="7">
        <v>26.065000000000001</v>
      </c>
      <c r="AT116" s="7">
        <v>0</v>
      </c>
      <c r="AU116" s="7">
        <v>2646.9229999999998</v>
      </c>
      <c r="AV116" s="7">
        <v>0</v>
      </c>
      <c r="AW116" s="7">
        <v>0</v>
      </c>
      <c r="AX116" s="7">
        <v>0</v>
      </c>
      <c r="AY116" s="7">
        <v>439.22300000000001</v>
      </c>
      <c r="AZ116" s="7">
        <v>20394.296999999999</v>
      </c>
      <c r="BA116" s="7">
        <v>0</v>
      </c>
      <c r="BB116" s="7">
        <v>431.61099999999999</v>
      </c>
      <c r="BC116" s="7">
        <v>0</v>
      </c>
      <c r="BD116" s="7">
        <v>9651.1149999999998</v>
      </c>
      <c r="BE116" s="7">
        <v>102.47199999999999</v>
      </c>
      <c r="BF116" s="7">
        <v>102.47199999999999</v>
      </c>
      <c r="BG116" s="7">
        <v>2942.7550000000001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328.79199999999997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638033.16500000004</v>
      </c>
      <c r="AL117" s="7">
        <v>353208.56300000002</v>
      </c>
      <c r="AM117" s="7">
        <v>0</v>
      </c>
      <c r="AN117" s="7">
        <v>229185.83600000001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1616.3320000000001</v>
      </c>
      <c r="AV117" s="7">
        <v>0</v>
      </c>
      <c r="AW117" s="7">
        <v>0</v>
      </c>
      <c r="AX117" s="7">
        <v>343.202</v>
      </c>
      <c r="AY117" s="7">
        <v>0</v>
      </c>
      <c r="AZ117" s="7">
        <v>0</v>
      </c>
      <c r="BA117" s="7">
        <v>254.89099999999999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28644.75</v>
      </c>
      <c r="F118" s="7">
        <v>3963.8510000000001</v>
      </c>
      <c r="G118" s="7">
        <v>6201.9080000000004</v>
      </c>
      <c r="H118" s="7">
        <v>0</v>
      </c>
      <c r="I118" s="7">
        <v>638.09100000000001</v>
      </c>
      <c r="J118" s="7">
        <v>3533.4989999999998</v>
      </c>
      <c r="K118" s="7">
        <v>11981.547</v>
      </c>
      <c r="L118" s="7">
        <v>11404.906999999999</v>
      </c>
      <c r="M118" s="7">
        <v>15895.532999999999</v>
      </c>
      <c r="N118" s="7">
        <v>2212.991</v>
      </c>
      <c r="O118" s="7">
        <v>0</v>
      </c>
      <c r="P118" s="7">
        <v>0.51600000000000001</v>
      </c>
      <c r="Q118" s="7">
        <v>0</v>
      </c>
      <c r="R118" s="7">
        <v>0</v>
      </c>
      <c r="S118" s="7">
        <v>1724.248</v>
      </c>
      <c r="T118" s="7">
        <v>0</v>
      </c>
      <c r="U118" s="7">
        <v>9387.7510000000002</v>
      </c>
      <c r="V118" s="7">
        <v>812.64400000000001</v>
      </c>
      <c r="W118" s="7">
        <v>1168.6869999999999</v>
      </c>
      <c r="X118" s="7">
        <v>0</v>
      </c>
      <c r="Y118" s="7">
        <v>4388.5519999999997</v>
      </c>
      <c r="Z118" s="7">
        <v>0</v>
      </c>
      <c r="AA118" s="7">
        <v>8498.6720000000005</v>
      </c>
      <c r="AB118" s="7">
        <v>0</v>
      </c>
      <c r="AC118" s="7">
        <v>640.59</v>
      </c>
      <c r="AD118" s="7">
        <v>11242.498</v>
      </c>
      <c r="AE118" s="7">
        <v>4590.2830000000004</v>
      </c>
      <c r="AF118" s="7">
        <v>0</v>
      </c>
      <c r="AG118" s="7">
        <v>46693.322999999997</v>
      </c>
      <c r="AH118" s="7">
        <v>27010.012999999999</v>
      </c>
      <c r="AI118" s="7">
        <v>0</v>
      </c>
      <c r="AJ118" s="7">
        <v>0</v>
      </c>
      <c r="AK118" s="7">
        <v>0</v>
      </c>
      <c r="AL118" s="7">
        <v>0</v>
      </c>
      <c r="AM118" s="7">
        <v>2145.1219999999998</v>
      </c>
      <c r="AN118" s="7">
        <v>0</v>
      </c>
      <c r="AO118" s="7">
        <v>467.98399999999998</v>
      </c>
      <c r="AP118" s="7">
        <v>0</v>
      </c>
      <c r="AQ118" s="7">
        <v>0</v>
      </c>
      <c r="AR118" s="7">
        <v>0</v>
      </c>
      <c r="AS118" s="7">
        <v>59.545999999999999</v>
      </c>
      <c r="AT118" s="7">
        <v>0</v>
      </c>
      <c r="AU118" s="7">
        <v>2611.8359999999998</v>
      </c>
      <c r="AV118" s="7">
        <v>0</v>
      </c>
      <c r="AW118" s="7">
        <v>0</v>
      </c>
      <c r="AX118" s="7">
        <v>0</v>
      </c>
      <c r="AY118" s="7">
        <v>333.327</v>
      </c>
      <c r="AZ118" s="7">
        <v>0</v>
      </c>
      <c r="BA118" s="7">
        <v>0</v>
      </c>
      <c r="BB118" s="7">
        <v>165.80799999999999</v>
      </c>
      <c r="BC118" s="7">
        <v>268.46199999999999</v>
      </c>
      <c r="BD118" s="7">
        <v>0</v>
      </c>
      <c r="BE118" s="7">
        <v>40.375999999999998</v>
      </c>
      <c r="BF118" s="7">
        <v>40.375999999999998</v>
      </c>
      <c r="BG118" s="7">
        <v>0</v>
      </c>
      <c r="BH118" s="7">
        <v>0</v>
      </c>
      <c r="BI118" s="7">
        <v>122.01300000000001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309351.52500000002</v>
      </c>
      <c r="F122" s="7">
        <v>71767.903999999995</v>
      </c>
      <c r="G122" s="7">
        <v>0</v>
      </c>
      <c r="H122" s="7">
        <v>0</v>
      </c>
      <c r="I122" s="7">
        <v>1897.319</v>
      </c>
      <c r="J122" s="7">
        <v>0</v>
      </c>
      <c r="K122" s="7">
        <v>0</v>
      </c>
      <c r="L122" s="7">
        <v>808905.33299999998</v>
      </c>
      <c r="M122" s="7">
        <v>28937.976999999999</v>
      </c>
      <c r="N122" s="7">
        <v>0</v>
      </c>
      <c r="O122" s="7">
        <v>1825.3789999999999</v>
      </c>
      <c r="P122" s="7">
        <v>0</v>
      </c>
      <c r="Q122" s="7">
        <v>567.226</v>
      </c>
      <c r="R122" s="7">
        <v>0</v>
      </c>
      <c r="S122" s="7">
        <v>22270.724999999999</v>
      </c>
      <c r="T122" s="7">
        <v>0</v>
      </c>
      <c r="U122" s="7">
        <v>0</v>
      </c>
      <c r="V122" s="7">
        <v>0</v>
      </c>
      <c r="W122" s="7">
        <v>6578.299</v>
      </c>
      <c r="X122" s="7">
        <v>95077.163</v>
      </c>
      <c r="Y122" s="7">
        <v>157831.68700000001</v>
      </c>
      <c r="Z122" s="7">
        <v>43202.61</v>
      </c>
      <c r="AA122" s="7">
        <v>0</v>
      </c>
      <c r="AB122" s="7">
        <v>40699.750999999997</v>
      </c>
      <c r="AC122" s="7">
        <v>13252.933000000001</v>
      </c>
      <c r="AD122" s="7">
        <v>7100.866</v>
      </c>
      <c r="AE122" s="7">
        <v>405137.408</v>
      </c>
      <c r="AF122" s="7">
        <v>220652.40299999999</v>
      </c>
      <c r="AG122" s="7">
        <v>29653.248</v>
      </c>
      <c r="AH122" s="7">
        <v>1363260.5430000001</v>
      </c>
      <c r="AI122" s="7">
        <v>348313.42499999999</v>
      </c>
      <c r="AJ122" s="7">
        <v>226880.91099999999</v>
      </c>
      <c r="AK122" s="7">
        <v>567663.37899999996</v>
      </c>
      <c r="AL122" s="7">
        <v>314252.57699999999</v>
      </c>
      <c r="AM122" s="7">
        <v>0</v>
      </c>
      <c r="AN122" s="7">
        <v>203908.53200000001</v>
      </c>
      <c r="AO122" s="7">
        <v>11574.105</v>
      </c>
      <c r="AP122" s="7">
        <v>0</v>
      </c>
      <c r="AQ122" s="7">
        <v>77714.577000000005</v>
      </c>
      <c r="AR122" s="7">
        <v>0</v>
      </c>
      <c r="AS122" s="7">
        <v>235.02</v>
      </c>
      <c r="AT122" s="7">
        <v>0</v>
      </c>
      <c r="AU122" s="7">
        <v>1561.6</v>
      </c>
      <c r="AV122" s="7">
        <v>0</v>
      </c>
      <c r="AW122" s="7">
        <v>0</v>
      </c>
      <c r="AX122" s="7">
        <v>99244.259000000005</v>
      </c>
      <c r="AY122" s="7">
        <v>0</v>
      </c>
      <c r="AZ122" s="7">
        <v>0</v>
      </c>
      <c r="BA122" s="7">
        <v>73707.092999999993</v>
      </c>
      <c r="BB122" s="7">
        <v>4014.538</v>
      </c>
      <c r="BC122" s="7">
        <v>0</v>
      </c>
      <c r="BD122" s="7">
        <v>0</v>
      </c>
      <c r="BE122" s="7">
        <v>1054.9839999999999</v>
      </c>
      <c r="BF122" s="7">
        <v>1054.9839999999999</v>
      </c>
      <c r="BG122" s="7">
        <v>0</v>
      </c>
      <c r="BH122" s="7">
        <v>106125.74400000001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972.54100000000005</v>
      </c>
      <c r="F123" s="7">
        <v>677.94</v>
      </c>
      <c r="G123" s="7">
        <v>47.415999999999997</v>
      </c>
      <c r="H123" s="7">
        <v>3.1E-2</v>
      </c>
      <c r="I123" s="7">
        <v>59.994999999999997</v>
      </c>
      <c r="J123" s="7">
        <v>503.55399999999997</v>
      </c>
      <c r="K123" s="7">
        <v>0</v>
      </c>
      <c r="L123" s="7">
        <v>1453.076</v>
      </c>
      <c r="M123" s="7">
        <v>556.322</v>
      </c>
      <c r="N123" s="7">
        <v>0</v>
      </c>
      <c r="O123" s="7">
        <v>0</v>
      </c>
      <c r="P123" s="7">
        <v>2E-3</v>
      </c>
      <c r="Q123" s="7">
        <v>287.25599999999997</v>
      </c>
      <c r="R123" s="7">
        <v>350.66699999999997</v>
      </c>
      <c r="S123" s="7">
        <v>271.69099999999997</v>
      </c>
      <c r="T123" s="7">
        <v>0</v>
      </c>
      <c r="U123" s="7">
        <v>0</v>
      </c>
      <c r="V123" s="7">
        <v>88.340999999999994</v>
      </c>
      <c r="W123" s="7">
        <v>0.89700000000000002</v>
      </c>
      <c r="X123" s="7">
        <v>0</v>
      </c>
      <c r="Y123" s="7">
        <v>39.433</v>
      </c>
      <c r="Z123" s="7">
        <v>11103.391</v>
      </c>
      <c r="AA123" s="7">
        <v>1465.7809999999999</v>
      </c>
      <c r="AB123" s="7">
        <v>0</v>
      </c>
      <c r="AC123" s="7">
        <v>112.908</v>
      </c>
      <c r="AD123" s="7">
        <v>2087.8159999999998</v>
      </c>
      <c r="AE123" s="7">
        <v>50.875</v>
      </c>
      <c r="AF123" s="7">
        <v>12.428000000000001</v>
      </c>
      <c r="AG123" s="7">
        <v>6939.4170000000004</v>
      </c>
      <c r="AH123" s="7">
        <v>2358.56</v>
      </c>
      <c r="AI123" s="7">
        <v>8.9999999999999993E-3</v>
      </c>
      <c r="AJ123" s="7">
        <v>56346.58</v>
      </c>
      <c r="AK123" s="7">
        <v>0</v>
      </c>
      <c r="AL123" s="7">
        <v>0</v>
      </c>
      <c r="AM123" s="7">
        <v>0</v>
      </c>
      <c r="AN123" s="7">
        <v>0</v>
      </c>
      <c r="AO123" s="7">
        <v>180.45599999999999</v>
      </c>
      <c r="AP123" s="7">
        <v>0</v>
      </c>
      <c r="AQ123" s="7">
        <v>1.831</v>
      </c>
      <c r="AR123" s="7">
        <v>0</v>
      </c>
      <c r="AS123" s="7">
        <v>0.94699999999999995</v>
      </c>
      <c r="AT123" s="7">
        <v>0</v>
      </c>
      <c r="AU123" s="7">
        <v>46.664000000000001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60.600999999999999</v>
      </c>
      <c r="BC123" s="7">
        <v>0</v>
      </c>
      <c r="BD123" s="7">
        <v>0</v>
      </c>
      <c r="BE123" s="7">
        <v>14.565</v>
      </c>
      <c r="BF123" s="7">
        <v>14.565</v>
      </c>
      <c r="BG123" s="7">
        <v>0</v>
      </c>
      <c r="BH123" s="7">
        <v>37884.881999999998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28.521000000000001</v>
      </c>
      <c r="F126" s="7">
        <v>3.331</v>
      </c>
      <c r="G126" s="7">
        <v>6.7850000000000001</v>
      </c>
      <c r="H126" s="7">
        <v>0</v>
      </c>
      <c r="I126" s="7">
        <v>0.64200000000000002</v>
      </c>
      <c r="J126" s="7">
        <v>4.4370000000000003</v>
      </c>
      <c r="K126" s="7">
        <v>0</v>
      </c>
      <c r="L126" s="7">
        <v>10.808999999999999</v>
      </c>
      <c r="M126" s="7">
        <v>16.722000000000001</v>
      </c>
      <c r="N126" s="7">
        <v>0</v>
      </c>
      <c r="O126" s="7">
        <v>0</v>
      </c>
      <c r="P126" s="7">
        <v>0</v>
      </c>
      <c r="Q126" s="7">
        <v>0</v>
      </c>
      <c r="R126" s="7">
        <v>99.64</v>
      </c>
      <c r="S126" s="7">
        <v>1.377</v>
      </c>
      <c r="T126" s="7">
        <v>0</v>
      </c>
      <c r="U126" s="7">
        <v>0</v>
      </c>
      <c r="V126" s="7">
        <v>0.76</v>
      </c>
      <c r="W126" s="7">
        <v>1.419</v>
      </c>
      <c r="X126" s="7">
        <v>0</v>
      </c>
      <c r="Y126" s="7">
        <v>4.4009999999999998</v>
      </c>
      <c r="Z126" s="7">
        <v>0</v>
      </c>
      <c r="AA126" s="7">
        <v>8.343</v>
      </c>
      <c r="AB126" s="7">
        <v>0</v>
      </c>
      <c r="AC126" s="7">
        <v>0.57999999999999996</v>
      </c>
      <c r="AD126" s="7">
        <v>0</v>
      </c>
      <c r="AE126" s="7">
        <v>8.1319999999999997</v>
      </c>
      <c r="AF126" s="7">
        <v>0</v>
      </c>
      <c r="AG126" s="7">
        <v>0</v>
      </c>
      <c r="AH126" s="7">
        <v>30.498000000000001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0.44400000000000001</v>
      </c>
      <c r="AP126" s="7">
        <v>0</v>
      </c>
      <c r="AQ126" s="7">
        <v>0</v>
      </c>
      <c r="AR126" s="7">
        <v>0</v>
      </c>
      <c r="AS126" s="7">
        <v>0.01</v>
      </c>
      <c r="AT126" s="7">
        <v>0</v>
      </c>
      <c r="AU126" s="7">
        <v>0.33400000000000002</v>
      </c>
      <c r="AV126" s="7">
        <v>0</v>
      </c>
      <c r="AW126" s="7">
        <v>0</v>
      </c>
      <c r="AX126" s="7">
        <v>0</v>
      </c>
      <c r="AY126" s="7">
        <v>0.32300000000000001</v>
      </c>
      <c r="AZ126" s="7">
        <v>0</v>
      </c>
      <c r="BA126" s="7">
        <v>0</v>
      </c>
      <c r="BB126" s="7">
        <v>0.16</v>
      </c>
      <c r="BC126" s="7">
        <v>0.26</v>
      </c>
      <c r="BD126" s="7">
        <v>0</v>
      </c>
      <c r="BE126" s="7">
        <v>0.04</v>
      </c>
      <c r="BF126" s="7">
        <v>0.04</v>
      </c>
      <c r="BG126" s="7">
        <v>0</v>
      </c>
      <c r="BH126" s="7">
        <v>0</v>
      </c>
      <c r="BI126" s="7">
        <v>0.11799999999999999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2477.5590000000002</v>
      </c>
      <c r="F127" s="7">
        <v>1725.6489999999999</v>
      </c>
      <c r="G127" s="7">
        <v>121.875</v>
      </c>
      <c r="H127" s="7">
        <v>7.8E-2</v>
      </c>
      <c r="I127" s="7">
        <v>152.68899999999999</v>
      </c>
      <c r="J127" s="7">
        <v>1282.82</v>
      </c>
      <c r="K127" s="7">
        <v>0</v>
      </c>
      <c r="L127" s="7">
        <v>3698.8739999999998</v>
      </c>
      <c r="M127" s="7">
        <v>1417.5319999999999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0.104</v>
      </c>
      <c r="S127" s="7">
        <v>691.46400000000006</v>
      </c>
      <c r="T127" s="7">
        <v>0</v>
      </c>
      <c r="U127" s="7">
        <v>0</v>
      </c>
      <c r="V127" s="7">
        <v>224.83199999999999</v>
      </c>
      <c r="W127" s="7">
        <v>2.282</v>
      </c>
      <c r="X127" s="7">
        <v>0</v>
      </c>
      <c r="Y127" s="7">
        <v>100.464</v>
      </c>
      <c r="Z127" s="7">
        <v>0</v>
      </c>
      <c r="AA127" s="7">
        <v>3730.4769999999999</v>
      </c>
      <c r="AB127" s="7">
        <v>0</v>
      </c>
      <c r="AC127" s="7">
        <v>287.35500000000002</v>
      </c>
      <c r="AD127" s="7">
        <v>0</v>
      </c>
      <c r="AE127" s="7">
        <v>133.80600000000001</v>
      </c>
      <c r="AF127" s="7">
        <v>31.629000000000001</v>
      </c>
      <c r="AG127" s="7">
        <v>0</v>
      </c>
      <c r="AH127" s="7">
        <v>6007.0730000000003</v>
      </c>
      <c r="AI127" s="7">
        <v>2.4E-2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459.26799999999997</v>
      </c>
      <c r="AP127" s="7">
        <v>0</v>
      </c>
      <c r="AQ127" s="7">
        <v>4.6589999999999998</v>
      </c>
      <c r="AR127" s="7">
        <v>0</v>
      </c>
      <c r="AS127" s="7">
        <v>2.411</v>
      </c>
      <c r="AT127" s="7">
        <v>0</v>
      </c>
      <c r="AU127" s="7">
        <v>0.32600000000000001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154.233</v>
      </c>
      <c r="BC127" s="7">
        <v>0</v>
      </c>
      <c r="BD127" s="7">
        <v>0</v>
      </c>
      <c r="BE127" s="7">
        <v>37.069000000000003</v>
      </c>
      <c r="BF127" s="7">
        <v>37.069000000000003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54695.216</v>
      </c>
      <c r="F128" s="7">
        <v>12089.246999999999</v>
      </c>
      <c r="G128" s="7">
        <v>11791.514999999999</v>
      </c>
      <c r="H128" s="7">
        <v>0</v>
      </c>
      <c r="I128" s="7">
        <v>2366.902</v>
      </c>
      <c r="J128" s="7">
        <v>9288.6620000000003</v>
      </c>
      <c r="K128" s="7">
        <v>0</v>
      </c>
      <c r="L128" s="7">
        <v>48457.580999999998</v>
      </c>
      <c r="M128" s="7">
        <v>40676.286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3474.6559999999999</v>
      </c>
      <c r="T128" s="7">
        <v>0</v>
      </c>
      <c r="U128" s="7">
        <v>0</v>
      </c>
      <c r="V128" s="7">
        <v>1444.585</v>
      </c>
      <c r="W128" s="7">
        <v>3384.9</v>
      </c>
      <c r="X128" s="7">
        <v>0</v>
      </c>
      <c r="Y128" s="7">
        <v>17241.047999999999</v>
      </c>
      <c r="Z128" s="7">
        <v>0</v>
      </c>
      <c r="AA128" s="7">
        <v>11085.89</v>
      </c>
      <c r="AB128" s="7">
        <v>0</v>
      </c>
      <c r="AC128" s="7">
        <v>1885.181</v>
      </c>
      <c r="AD128" s="7">
        <v>0</v>
      </c>
      <c r="AE128" s="7">
        <v>36132.417999999998</v>
      </c>
      <c r="AF128" s="7">
        <v>0</v>
      </c>
      <c r="AG128" s="7">
        <v>0</v>
      </c>
      <c r="AH128" s="7">
        <v>139441.25599999999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691.66499999999996</v>
      </c>
      <c r="AP128" s="7">
        <v>0</v>
      </c>
      <c r="AQ128" s="7">
        <v>0</v>
      </c>
      <c r="AR128" s="7">
        <v>0</v>
      </c>
      <c r="AS128" s="7">
        <v>4.4950000000000001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257.14</v>
      </c>
      <c r="BC128" s="7">
        <v>0</v>
      </c>
      <c r="BD128" s="7">
        <v>0</v>
      </c>
      <c r="BE128" s="7">
        <v>109.83199999999999</v>
      </c>
      <c r="BF128" s="7">
        <v>109.83199999999999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29929.561000000002</v>
      </c>
      <c r="F129" s="7">
        <v>6936.223</v>
      </c>
      <c r="G129" s="7">
        <v>0</v>
      </c>
      <c r="H129" s="7">
        <v>0</v>
      </c>
      <c r="I129" s="7">
        <v>183.08500000000001</v>
      </c>
      <c r="J129" s="7">
        <v>0</v>
      </c>
      <c r="K129" s="7">
        <v>0</v>
      </c>
      <c r="L129" s="7">
        <v>78260.394</v>
      </c>
      <c r="M129" s="7">
        <v>2789.1419999999998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2152.5859999999998</v>
      </c>
      <c r="T129" s="7">
        <v>0</v>
      </c>
      <c r="U129" s="7">
        <v>0</v>
      </c>
      <c r="V129" s="7">
        <v>0</v>
      </c>
      <c r="W129" s="7">
        <v>635.67499999999995</v>
      </c>
      <c r="X129" s="7">
        <v>0</v>
      </c>
      <c r="Y129" s="7">
        <v>15270.172</v>
      </c>
      <c r="Z129" s="7">
        <v>0</v>
      </c>
      <c r="AA129" s="7">
        <v>0</v>
      </c>
      <c r="AB129" s="7">
        <v>0</v>
      </c>
      <c r="AC129" s="7">
        <v>1281.1569999999999</v>
      </c>
      <c r="AD129" s="7">
        <v>0</v>
      </c>
      <c r="AE129" s="7">
        <v>37941.582000000002</v>
      </c>
      <c r="AF129" s="7">
        <v>21332.920999999998</v>
      </c>
      <c r="AG129" s="7">
        <v>0</v>
      </c>
      <c r="AH129" s="7">
        <v>131650.524</v>
      </c>
      <c r="AI129" s="7">
        <v>33673.432000000001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1119.836</v>
      </c>
      <c r="AP129" s="7">
        <v>0</v>
      </c>
      <c r="AQ129" s="7">
        <v>7516.9650000000001</v>
      </c>
      <c r="AR129" s="7">
        <v>0</v>
      </c>
      <c r="AS129" s="7">
        <v>22.798999999999999</v>
      </c>
      <c r="AT129" s="7">
        <v>0</v>
      </c>
      <c r="AU129" s="7">
        <v>150.71199999999999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388.36099999999999</v>
      </c>
      <c r="BC129" s="7">
        <v>0</v>
      </c>
      <c r="BD129" s="7">
        <v>0</v>
      </c>
      <c r="BE129" s="7">
        <v>102.131</v>
      </c>
      <c r="BF129" s="7">
        <v>102.131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1694.4880000000001</v>
      </c>
      <c r="F130" s="7">
        <v>573.529</v>
      </c>
      <c r="G130" s="7">
        <v>18.946000000000002</v>
      </c>
      <c r="H130" s="7">
        <v>1.2E-2</v>
      </c>
      <c r="I130" s="7">
        <v>31.96</v>
      </c>
      <c r="J130" s="7">
        <v>201.208</v>
      </c>
      <c r="K130" s="7">
        <v>0</v>
      </c>
      <c r="L130" s="7">
        <v>3995.2739999999999</v>
      </c>
      <c r="M130" s="7">
        <v>343.98899999999998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202.48</v>
      </c>
      <c r="T130" s="7">
        <v>0</v>
      </c>
      <c r="U130" s="7">
        <v>0</v>
      </c>
      <c r="V130" s="7">
        <v>35.298999999999999</v>
      </c>
      <c r="W130" s="7">
        <v>28.091999999999999</v>
      </c>
      <c r="X130" s="7">
        <v>0</v>
      </c>
      <c r="Y130" s="7">
        <v>682.02700000000004</v>
      </c>
      <c r="Z130" s="7">
        <v>0</v>
      </c>
      <c r="AA130" s="7">
        <v>585.69000000000005</v>
      </c>
      <c r="AB130" s="7">
        <v>0</v>
      </c>
      <c r="AC130" s="7">
        <v>101.01900000000001</v>
      </c>
      <c r="AD130" s="7">
        <v>0</v>
      </c>
      <c r="AE130" s="7">
        <v>1675.8</v>
      </c>
      <c r="AF130" s="7">
        <v>935.76099999999997</v>
      </c>
      <c r="AG130" s="7">
        <v>0</v>
      </c>
      <c r="AH130" s="7">
        <v>6686.607</v>
      </c>
      <c r="AI130" s="7">
        <v>1469.2470000000001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120.965</v>
      </c>
      <c r="AP130" s="7">
        <v>0</v>
      </c>
      <c r="AQ130" s="7">
        <v>328.71300000000002</v>
      </c>
      <c r="AR130" s="7">
        <v>0</v>
      </c>
      <c r="AS130" s="7">
        <v>1.3680000000000001</v>
      </c>
      <c r="AT130" s="7">
        <v>0</v>
      </c>
      <c r="AU130" s="7">
        <v>6.6630000000000003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41.16</v>
      </c>
      <c r="BC130" s="7">
        <v>0</v>
      </c>
      <c r="BD130" s="7">
        <v>0</v>
      </c>
      <c r="BE130" s="7">
        <v>10.273999999999999</v>
      </c>
      <c r="BF130" s="7">
        <v>10.273999999999999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44827.02</v>
      </c>
      <c r="F131" s="7">
        <v>356.78500000000003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71802.441999999995</v>
      </c>
      <c r="M131" s="7">
        <v>11032.045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5146.2079999999996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24978.662</v>
      </c>
      <c r="AF131" s="7">
        <v>61.061</v>
      </c>
      <c r="AG131" s="7">
        <v>0</v>
      </c>
      <c r="AH131" s="7">
        <v>113181.943</v>
      </c>
      <c r="AI131" s="7">
        <v>38.965000000000003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63982.519</v>
      </c>
      <c r="F132" s="7">
        <v>4958.5659999999998</v>
      </c>
      <c r="G132" s="7">
        <v>6968.0110000000004</v>
      </c>
      <c r="H132" s="7">
        <v>0</v>
      </c>
      <c r="I132" s="7">
        <v>1221.4480000000001</v>
      </c>
      <c r="J132" s="7">
        <v>4258.5060000000003</v>
      </c>
      <c r="K132" s="7">
        <v>0</v>
      </c>
      <c r="L132" s="7">
        <v>60427.752999999997</v>
      </c>
      <c r="M132" s="7">
        <v>19675.262999999999</v>
      </c>
      <c r="N132" s="7">
        <v>0</v>
      </c>
      <c r="O132" s="7">
        <v>0</v>
      </c>
      <c r="P132" s="7">
        <v>222.179</v>
      </c>
      <c r="Q132" s="7">
        <v>0</v>
      </c>
      <c r="R132" s="7">
        <v>0.36599999999999999</v>
      </c>
      <c r="S132" s="7">
        <v>0</v>
      </c>
      <c r="T132" s="7">
        <v>0</v>
      </c>
      <c r="U132" s="7">
        <v>0</v>
      </c>
      <c r="V132" s="7">
        <v>669.51400000000001</v>
      </c>
      <c r="W132" s="7">
        <v>2006.212</v>
      </c>
      <c r="X132" s="7">
        <v>0</v>
      </c>
      <c r="Y132" s="7">
        <v>15772.619000000001</v>
      </c>
      <c r="Z132" s="7">
        <v>0</v>
      </c>
      <c r="AA132" s="7">
        <v>5583.5339999999997</v>
      </c>
      <c r="AB132" s="7">
        <v>0</v>
      </c>
      <c r="AC132" s="7">
        <v>872.423</v>
      </c>
      <c r="AD132" s="7">
        <v>0</v>
      </c>
      <c r="AE132" s="7">
        <v>51925.004999999997</v>
      </c>
      <c r="AF132" s="7">
        <v>0</v>
      </c>
      <c r="AG132" s="7">
        <v>0</v>
      </c>
      <c r="AH132" s="7">
        <v>125150.617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12790.948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64555.792999999998</v>
      </c>
      <c r="M133" s="7">
        <v>1910.92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221.53700000000001</v>
      </c>
      <c r="AB133" s="7">
        <v>0</v>
      </c>
      <c r="AC133" s="7">
        <v>0</v>
      </c>
      <c r="AD133" s="7">
        <v>0</v>
      </c>
      <c r="AE133" s="7">
        <v>13751.254000000001</v>
      </c>
      <c r="AF133" s="7">
        <v>0</v>
      </c>
      <c r="AG133" s="7">
        <v>0</v>
      </c>
      <c r="AH133" s="7">
        <v>86861.145999999993</v>
      </c>
      <c r="AI133" s="7">
        <v>15763.407999999999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205847.959</v>
      </c>
      <c r="F134" s="7">
        <v>12412.299000000001</v>
      </c>
      <c r="G134" s="7">
        <v>8743.5820000000003</v>
      </c>
      <c r="H134" s="7">
        <v>4465.2110000000002</v>
      </c>
      <c r="I134" s="7">
        <v>1331.816</v>
      </c>
      <c r="J134" s="7">
        <v>5998.75</v>
      </c>
      <c r="K134" s="7">
        <v>0</v>
      </c>
      <c r="L134" s="7">
        <v>291688.31599999999</v>
      </c>
      <c r="M134" s="7">
        <v>61079.184000000001</v>
      </c>
      <c r="N134" s="7">
        <v>0</v>
      </c>
      <c r="O134" s="7">
        <v>0</v>
      </c>
      <c r="P134" s="7">
        <v>206.97499999999999</v>
      </c>
      <c r="Q134" s="7">
        <v>0</v>
      </c>
      <c r="R134" s="7">
        <v>99.384</v>
      </c>
      <c r="S134" s="7">
        <v>3198.9749999999999</v>
      </c>
      <c r="T134" s="7">
        <v>0</v>
      </c>
      <c r="U134" s="7">
        <v>0</v>
      </c>
      <c r="V134" s="7">
        <v>1051.9580000000001</v>
      </c>
      <c r="W134" s="7">
        <v>3121.4090000000001</v>
      </c>
      <c r="X134" s="7">
        <v>0</v>
      </c>
      <c r="Y134" s="7">
        <v>33862.783000000003</v>
      </c>
      <c r="Z134" s="7">
        <v>0</v>
      </c>
      <c r="AA134" s="7">
        <v>9573.2800000000007</v>
      </c>
      <c r="AB134" s="7">
        <v>0</v>
      </c>
      <c r="AC134" s="7">
        <v>1583.5809999999999</v>
      </c>
      <c r="AD134" s="7">
        <v>0</v>
      </c>
      <c r="AE134" s="7">
        <v>119464.09600000001</v>
      </c>
      <c r="AF134" s="7">
        <v>842.76900000000001</v>
      </c>
      <c r="AG134" s="7">
        <v>0</v>
      </c>
      <c r="AH134" s="7">
        <v>479048.36900000001</v>
      </c>
      <c r="AI134" s="7">
        <v>1814.6959999999999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82.980999999999995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7052.7479999999996</v>
      </c>
      <c r="F135" s="7">
        <v>30.727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8048.2470000000003</v>
      </c>
      <c r="M135" s="7">
        <v>676.08500000000004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683.69399999999996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3357.192</v>
      </c>
      <c r="AF135" s="7">
        <v>379.678</v>
      </c>
      <c r="AG135" s="7">
        <v>0</v>
      </c>
      <c r="AH135" s="7">
        <v>14100.960999999999</v>
      </c>
      <c r="AI135" s="7">
        <v>1253.4390000000001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95068.506999999998</v>
      </c>
      <c r="F136" s="7">
        <v>2654.3470000000002</v>
      </c>
      <c r="G136" s="7">
        <v>1098.4829999999999</v>
      </c>
      <c r="H136" s="7">
        <v>0</v>
      </c>
      <c r="I136" s="7">
        <v>168.65600000000001</v>
      </c>
      <c r="J136" s="7">
        <v>709.48699999999997</v>
      </c>
      <c r="K136" s="7">
        <v>0</v>
      </c>
      <c r="L136" s="7">
        <v>100813.356</v>
      </c>
      <c r="M136" s="7">
        <v>30735.842000000001</v>
      </c>
      <c r="N136" s="7">
        <v>0</v>
      </c>
      <c r="O136" s="7">
        <v>0</v>
      </c>
      <c r="P136" s="7">
        <v>27.623999999999999</v>
      </c>
      <c r="Q136" s="7">
        <v>0</v>
      </c>
      <c r="R136" s="7">
        <v>2.2999999999999998</v>
      </c>
      <c r="S136" s="7">
        <v>0</v>
      </c>
      <c r="T136" s="7">
        <v>0</v>
      </c>
      <c r="U136" s="7">
        <v>0</v>
      </c>
      <c r="V136" s="7">
        <v>161.119</v>
      </c>
      <c r="W136" s="7">
        <v>477.19600000000003</v>
      </c>
      <c r="X136" s="7">
        <v>0</v>
      </c>
      <c r="Y136" s="7">
        <v>14458.362999999999</v>
      </c>
      <c r="Z136" s="7">
        <v>0</v>
      </c>
      <c r="AA136" s="7">
        <v>2378.8130000000001</v>
      </c>
      <c r="AB136" s="7">
        <v>0</v>
      </c>
      <c r="AC136" s="7">
        <v>248.64699999999999</v>
      </c>
      <c r="AD136" s="7">
        <v>0</v>
      </c>
      <c r="AE136" s="7">
        <v>49649.067999999999</v>
      </c>
      <c r="AF136" s="7">
        <v>1497.414</v>
      </c>
      <c r="AG136" s="7">
        <v>0</v>
      </c>
      <c r="AH136" s="7">
        <v>209522.37400000001</v>
      </c>
      <c r="AI136" s="7">
        <v>1978.288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25231.988000000001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50099.559000000001</v>
      </c>
      <c r="M137" s="7">
        <v>4215.08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9206.232</v>
      </c>
      <c r="AF137" s="7">
        <v>0</v>
      </c>
      <c r="AG137" s="7">
        <v>0</v>
      </c>
      <c r="AH137" s="7">
        <v>91560.540999999997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1033121.509</v>
      </c>
      <c r="F138" s="7">
        <v>19326.164000000001</v>
      </c>
      <c r="G138" s="7">
        <v>22876.786</v>
      </c>
      <c r="H138" s="7">
        <v>2007.348</v>
      </c>
      <c r="I138" s="7">
        <v>4344.2700000000004</v>
      </c>
      <c r="J138" s="7">
        <v>13417.838</v>
      </c>
      <c r="K138" s="7">
        <v>0</v>
      </c>
      <c r="L138" s="7">
        <v>1003514.642</v>
      </c>
      <c r="M138" s="7">
        <v>302605.59000000003</v>
      </c>
      <c r="N138" s="7">
        <v>0</v>
      </c>
      <c r="O138" s="7">
        <v>0</v>
      </c>
      <c r="P138" s="7">
        <v>730.28</v>
      </c>
      <c r="Q138" s="7">
        <v>0</v>
      </c>
      <c r="R138" s="7">
        <v>2.9889999999999999</v>
      </c>
      <c r="S138" s="7">
        <v>0</v>
      </c>
      <c r="T138" s="7">
        <v>0</v>
      </c>
      <c r="U138" s="7">
        <v>0</v>
      </c>
      <c r="V138" s="7">
        <v>1693.1610000000001</v>
      </c>
      <c r="W138" s="7">
        <v>5164.8130000000001</v>
      </c>
      <c r="X138" s="7">
        <v>0</v>
      </c>
      <c r="Y138" s="7">
        <v>158779.73499999999</v>
      </c>
      <c r="Z138" s="7">
        <v>0</v>
      </c>
      <c r="AA138" s="7">
        <v>37615.46</v>
      </c>
      <c r="AB138" s="7">
        <v>0</v>
      </c>
      <c r="AC138" s="7">
        <v>2242.4160000000002</v>
      </c>
      <c r="AD138" s="7">
        <v>0</v>
      </c>
      <c r="AE138" s="7">
        <v>593159.93799999997</v>
      </c>
      <c r="AF138" s="7">
        <v>14056.795</v>
      </c>
      <c r="AG138" s="7">
        <v>0</v>
      </c>
      <c r="AH138" s="7">
        <v>2215296.8089999999</v>
      </c>
      <c r="AI138" s="7">
        <v>43391.368999999999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109.396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688.39499999999998</v>
      </c>
      <c r="F139" s="7">
        <v>113.372</v>
      </c>
      <c r="G139" s="7">
        <v>80.730999999999995</v>
      </c>
      <c r="H139" s="7">
        <v>0</v>
      </c>
      <c r="I139" s="7">
        <v>10.864000000000001</v>
      </c>
      <c r="J139" s="7">
        <v>45.996000000000002</v>
      </c>
      <c r="K139" s="7">
        <v>0</v>
      </c>
      <c r="L139" s="7">
        <v>876.32600000000002</v>
      </c>
      <c r="M139" s="7">
        <v>255.22200000000001</v>
      </c>
      <c r="N139" s="7">
        <v>0</v>
      </c>
      <c r="O139" s="7">
        <v>0</v>
      </c>
      <c r="P139" s="7">
        <v>1.7999999999999999E-2</v>
      </c>
      <c r="Q139" s="7">
        <v>0</v>
      </c>
      <c r="R139" s="7">
        <v>0</v>
      </c>
      <c r="S139" s="7">
        <v>42.308999999999997</v>
      </c>
      <c r="T139" s="7">
        <v>0</v>
      </c>
      <c r="U139" s="7">
        <v>0</v>
      </c>
      <c r="V139" s="7">
        <v>10.577999999999999</v>
      </c>
      <c r="W139" s="7">
        <v>21.948</v>
      </c>
      <c r="X139" s="7">
        <v>0</v>
      </c>
      <c r="Y139" s="7">
        <v>194.249</v>
      </c>
      <c r="Z139" s="7">
        <v>0</v>
      </c>
      <c r="AA139" s="7">
        <v>110.629</v>
      </c>
      <c r="AB139" s="7">
        <v>0</v>
      </c>
      <c r="AC139" s="7">
        <v>20.391999999999999</v>
      </c>
      <c r="AD139" s="7">
        <v>0</v>
      </c>
      <c r="AE139" s="7">
        <v>396.62</v>
      </c>
      <c r="AF139" s="7">
        <v>183.37200000000001</v>
      </c>
      <c r="AG139" s="7">
        <v>0</v>
      </c>
      <c r="AH139" s="7">
        <v>1610.962</v>
      </c>
      <c r="AI139" s="7">
        <v>330.904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14.907999999999999</v>
      </c>
      <c r="AP139" s="7">
        <v>0</v>
      </c>
      <c r="AQ139" s="7">
        <v>64.537999999999997</v>
      </c>
      <c r="AR139" s="7">
        <v>0</v>
      </c>
      <c r="AS139" s="7">
        <v>0.38900000000000001</v>
      </c>
      <c r="AT139" s="7">
        <v>0</v>
      </c>
      <c r="AU139" s="7">
        <v>7.0110000000000001</v>
      </c>
      <c r="AV139" s="7">
        <v>0</v>
      </c>
      <c r="AW139" s="7">
        <v>0</v>
      </c>
      <c r="AX139" s="7">
        <v>0</v>
      </c>
      <c r="AY139" s="7">
        <v>7.5659999999999998</v>
      </c>
      <c r="AZ139" s="7">
        <v>56.963999999999999</v>
      </c>
      <c r="BA139" s="7">
        <v>0</v>
      </c>
      <c r="BB139" s="7">
        <v>5.33</v>
      </c>
      <c r="BC139" s="7">
        <v>3.4950000000000001</v>
      </c>
      <c r="BD139" s="7">
        <v>70.912000000000006</v>
      </c>
      <c r="BE139" s="7">
        <v>1.2789999999999999</v>
      </c>
      <c r="BF139" s="7">
        <v>1.2789999999999999</v>
      </c>
      <c r="BG139" s="7">
        <v>21.622</v>
      </c>
      <c r="BH139" s="7">
        <v>0</v>
      </c>
      <c r="BI139" s="7">
        <v>1.5880000000000001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2235.4279999999999</v>
      </c>
      <c r="F140" s="7">
        <v>57.335000000000001</v>
      </c>
      <c r="G140" s="7">
        <v>0</v>
      </c>
      <c r="H140" s="7">
        <v>1.0999999999999999E-2</v>
      </c>
      <c r="I140" s="7">
        <v>2.3740000000000001</v>
      </c>
      <c r="J140" s="7">
        <v>0</v>
      </c>
      <c r="K140" s="7">
        <v>0</v>
      </c>
      <c r="L140" s="7">
        <v>4016.9259999999999</v>
      </c>
      <c r="M140" s="7">
        <v>609.48199999999997</v>
      </c>
      <c r="N140" s="7">
        <v>0</v>
      </c>
      <c r="O140" s="7">
        <v>0</v>
      </c>
      <c r="P140" s="7">
        <v>0.01</v>
      </c>
      <c r="Q140" s="7">
        <v>0</v>
      </c>
      <c r="R140" s="7">
        <v>0</v>
      </c>
      <c r="S140" s="7">
        <v>18.436</v>
      </c>
      <c r="T140" s="7">
        <v>0</v>
      </c>
      <c r="U140" s="7">
        <v>0</v>
      </c>
      <c r="V140" s="7">
        <v>0</v>
      </c>
      <c r="W140" s="7">
        <v>6.2510000000000003</v>
      </c>
      <c r="X140" s="7">
        <v>0</v>
      </c>
      <c r="Y140" s="7">
        <v>598.87800000000004</v>
      </c>
      <c r="Z140" s="7">
        <v>0</v>
      </c>
      <c r="AA140" s="7">
        <v>0</v>
      </c>
      <c r="AB140" s="7">
        <v>0</v>
      </c>
      <c r="AC140" s="7">
        <v>11.186999999999999</v>
      </c>
      <c r="AD140" s="7">
        <v>0</v>
      </c>
      <c r="AE140" s="7">
        <v>2449.2600000000002</v>
      </c>
      <c r="AF140" s="7">
        <v>169.82300000000001</v>
      </c>
      <c r="AG140" s="7">
        <v>0</v>
      </c>
      <c r="AH140" s="7">
        <v>9639.4740000000002</v>
      </c>
      <c r="AI140" s="7">
        <v>305.822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8.1829999999999998</v>
      </c>
      <c r="AP140" s="7">
        <v>0</v>
      </c>
      <c r="AQ140" s="7">
        <v>59.9</v>
      </c>
      <c r="AR140" s="7">
        <v>0</v>
      </c>
      <c r="AS140" s="7">
        <v>0.17799999999999999</v>
      </c>
      <c r="AT140" s="7">
        <v>0</v>
      </c>
      <c r="AU140" s="7">
        <v>1.2470000000000001</v>
      </c>
      <c r="AV140" s="7">
        <v>0</v>
      </c>
      <c r="AW140" s="7">
        <v>0</v>
      </c>
      <c r="AX140" s="7">
        <v>0</v>
      </c>
      <c r="AY140" s="7">
        <v>2.9950000000000001</v>
      </c>
      <c r="AZ140" s="7">
        <v>52.87</v>
      </c>
      <c r="BA140" s="7">
        <v>0</v>
      </c>
      <c r="BB140" s="7">
        <v>2.9430000000000001</v>
      </c>
      <c r="BC140" s="7">
        <v>0</v>
      </c>
      <c r="BD140" s="7">
        <v>65.816000000000003</v>
      </c>
      <c r="BE140" s="7">
        <v>0.69899999999999995</v>
      </c>
      <c r="BF140" s="7">
        <v>0.69899999999999995</v>
      </c>
      <c r="BG140" s="7">
        <v>20.068000000000001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9.7439999999999998</v>
      </c>
      <c r="F141" s="7">
        <v>2.2170000000000001</v>
      </c>
      <c r="G141" s="7">
        <v>0</v>
      </c>
      <c r="H141" s="7">
        <v>0</v>
      </c>
      <c r="I141" s="7">
        <v>6.2E-2</v>
      </c>
      <c r="J141" s="7">
        <v>0</v>
      </c>
      <c r="K141" s="7">
        <v>0</v>
      </c>
      <c r="L141" s="7">
        <v>25.128</v>
      </c>
      <c r="M141" s="7">
        <v>0.97599999999999998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0.69099999999999995</v>
      </c>
      <c r="T141" s="7">
        <v>0</v>
      </c>
      <c r="U141" s="7">
        <v>0</v>
      </c>
      <c r="V141" s="7">
        <v>0</v>
      </c>
      <c r="W141" s="7">
        <v>0.20699999999999999</v>
      </c>
      <c r="X141" s="7">
        <v>0</v>
      </c>
      <c r="Y141" s="7">
        <v>4.8849999999999998</v>
      </c>
      <c r="Z141" s="7">
        <v>0</v>
      </c>
      <c r="AA141" s="7">
        <v>0</v>
      </c>
      <c r="AB141" s="7">
        <v>0</v>
      </c>
      <c r="AC141" s="7">
        <v>0.41199999999999998</v>
      </c>
      <c r="AD141" s="7">
        <v>0</v>
      </c>
      <c r="AE141" s="7">
        <v>12.125</v>
      </c>
      <c r="AF141" s="7">
        <v>6.7939999999999996</v>
      </c>
      <c r="AG141" s="7">
        <v>0</v>
      </c>
      <c r="AH141" s="7">
        <v>42.4</v>
      </c>
      <c r="AI141" s="7">
        <v>10.871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0.35399999999999998</v>
      </c>
      <c r="AP141" s="7">
        <v>0</v>
      </c>
      <c r="AQ141" s="7">
        <v>2.3940000000000001</v>
      </c>
      <c r="AR141" s="7">
        <v>0</v>
      </c>
      <c r="AS141" s="7">
        <v>7.0000000000000001E-3</v>
      </c>
      <c r="AT141" s="7">
        <v>0</v>
      </c>
      <c r="AU141" s="7">
        <v>4.8000000000000001E-2</v>
      </c>
      <c r="AV141" s="7">
        <v>0</v>
      </c>
      <c r="AW141" s="7">
        <v>0</v>
      </c>
      <c r="AX141" s="7">
        <v>0</v>
      </c>
      <c r="AY141" s="7">
        <v>1.2E-2</v>
      </c>
      <c r="AZ141" s="7">
        <v>0.20599999999999999</v>
      </c>
      <c r="BA141" s="7">
        <v>0</v>
      </c>
      <c r="BB141" s="7">
        <v>0.123</v>
      </c>
      <c r="BC141" s="7">
        <v>0</v>
      </c>
      <c r="BD141" s="7">
        <v>0.25600000000000001</v>
      </c>
      <c r="BE141" s="7">
        <v>3.2000000000000001E-2</v>
      </c>
      <c r="BF141" s="7">
        <v>3.2000000000000001E-2</v>
      </c>
      <c r="BG141" s="7">
        <v>7.8E-2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1799.3430000000001</v>
      </c>
      <c r="F142" s="7">
        <v>13.15</v>
      </c>
      <c r="G142" s="7">
        <v>18.532</v>
      </c>
      <c r="H142" s="7">
        <v>0</v>
      </c>
      <c r="I142" s="7">
        <v>3.2589999999999999</v>
      </c>
      <c r="J142" s="7">
        <v>11.308999999999999</v>
      </c>
      <c r="K142" s="7">
        <v>0</v>
      </c>
      <c r="L142" s="7">
        <v>2713.6309999999999</v>
      </c>
      <c r="M142" s="7">
        <v>595.38699999999994</v>
      </c>
      <c r="N142" s="7">
        <v>0</v>
      </c>
      <c r="O142" s="7">
        <v>0</v>
      </c>
      <c r="P142" s="7">
        <v>0.59399999999999997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1.756</v>
      </c>
      <c r="W142" s="7">
        <v>5.266</v>
      </c>
      <c r="X142" s="7">
        <v>0</v>
      </c>
      <c r="Y142" s="7">
        <v>539.71600000000001</v>
      </c>
      <c r="Z142" s="7">
        <v>0</v>
      </c>
      <c r="AA142" s="7">
        <v>14.585000000000001</v>
      </c>
      <c r="AB142" s="7">
        <v>0</v>
      </c>
      <c r="AC142" s="7">
        <v>2.2719999999999998</v>
      </c>
      <c r="AD142" s="7">
        <v>0</v>
      </c>
      <c r="AE142" s="7">
        <v>2112.7359999999999</v>
      </c>
      <c r="AF142" s="7">
        <v>0</v>
      </c>
      <c r="AG142" s="7">
        <v>0</v>
      </c>
      <c r="AH142" s="7">
        <v>5722.5550000000003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3591.2040000000002</v>
      </c>
      <c r="F144" s="7">
        <v>212.624</v>
      </c>
      <c r="G144" s="7">
        <v>0</v>
      </c>
      <c r="H144" s="7">
        <v>0</v>
      </c>
      <c r="I144" s="7">
        <v>8.8049999999999997</v>
      </c>
      <c r="J144" s="7">
        <v>0</v>
      </c>
      <c r="K144" s="7">
        <v>0</v>
      </c>
      <c r="L144" s="7">
        <v>5275.9750000000004</v>
      </c>
      <c r="M144" s="7">
        <v>166.27199999999999</v>
      </c>
      <c r="N144" s="7">
        <v>0</v>
      </c>
      <c r="O144" s="7">
        <v>121.43899999999999</v>
      </c>
      <c r="P144" s="7">
        <v>3.9E-2</v>
      </c>
      <c r="Q144" s="7">
        <v>137.33799999999999</v>
      </c>
      <c r="R144" s="7">
        <v>0</v>
      </c>
      <c r="S144" s="7">
        <v>68.37</v>
      </c>
      <c r="T144" s="7">
        <v>0</v>
      </c>
      <c r="U144" s="7">
        <v>0</v>
      </c>
      <c r="V144" s="7">
        <v>0</v>
      </c>
      <c r="W144" s="7">
        <v>23.181000000000001</v>
      </c>
      <c r="X144" s="7">
        <v>0</v>
      </c>
      <c r="Y144" s="7">
        <v>471.97</v>
      </c>
      <c r="Z144" s="7">
        <v>0</v>
      </c>
      <c r="AA144" s="7">
        <v>0</v>
      </c>
      <c r="AB144" s="7">
        <v>7003.7020000000002</v>
      </c>
      <c r="AC144" s="7">
        <v>41.487000000000002</v>
      </c>
      <c r="AD144" s="7">
        <v>0</v>
      </c>
      <c r="AE144" s="7">
        <v>6599.0540000000001</v>
      </c>
      <c r="AF144" s="7">
        <v>629.75900000000001</v>
      </c>
      <c r="AG144" s="7">
        <v>0</v>
      </c>
      <c r="AH144" s="7">
        <v>4337.1239999999998</v>
      </c>
      <c r="AI144" s="7">
        <v>1134.098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30.344999999999999</v>
      </c>
      <c r="AP144" s="7">
        <v>0</v>
      </c>
      <c r="AQ144" s="7">
        <v>222.137</v>
      </c>
      <c r="AR144" s="7">
        <v>0</v>
      </c>
      <c r="AS144" s="7">
        <v>0.65900000000000003</v>
      </c>
      <c r="AT144" s="7">
        <v>0</v>
      </c>
      <c r="AU144" s="7">
        <v>4.625</v>
      </c>
      <c r="AV144" s="7">
        <v>0</v>
      </c>
      <c r="AW144" s="7">
        <v>0</v>
      </c>
      <c r="AX144" s="7">
        <v>0</v>
      </c>
      <c r="AY144" s="7">
        <v>11.108000000000001</v>
      </c>
      <c r="AZ144" s="7">
        <v>196.06800000000001</v>
      </c>
      <c r="BA144" s="7">
        <v>0</v>
      </c>
      <c r="BB144" s="7">
        <v>10.914999999999999</v>
      </c>
      <c r="BC144" s="7">
        <v>0</v>
      </c>
      <c r="BD144" s="7">
        <v>244.07599999999999</v>
      </c>
      <c r="BE144" s="7">
        <v>2.5920000000000001</v>
      </c>
      <c r="BF144" s="7">
        <v>2.5920000000000001</v>
      </c>
      <c r="BG144" s="7">
        <v>74.421999999999997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69413.638999999996</v>
      </c>
      <c r="F145" s="7">
        <v>3694.819</v>
      </c>
      <c r="G145" s="7">
        <v>3162.1469999999999</v>
      </c>
      <c r="H145" s="7">
        <v>2.1999999999999999E-2</v>
      </c>
      <c r="I145" s="7">
        <v>585.18799999999999</v>
      </c>
      <c r="J145" s="7">
        <v>1794.2260000000001</v>
      </c>
      <c r="K145" s="7">
        <v>0</v>
      </c>
      <c r="L145" s="7">
        <v>57960.525999999998</v>
      </c>
      <c r="M145" s="7">
        <v>17732.201000000001</v>
      </c>
      <c r="N145" s="7">
        <v>0</v>
      </c>
      <c r="O145" s="7">
        <v>-61.625</v>
      </c>
      <c r="P145" s="7">
        <v>73.641999999999996</v>
      </c>
      <c r="Q145" s="7">
        <v>-32.381999999999998</v>
      </c>
      <c r="R145" s="7">
        <v>-15.661</v>
      </c>
      <c r="S145" s="7">
        <v>782.37900000000002</v>
      </c>
      <c r="T145" s="7">
        <v>0</v>
      </c>
      <c r="U145" s="7">
        <v>0</v>
      </c>
      <c r="V145" s="7">
        <v>443.13</v>
      </c>
      <c r="W145" s="7">
        <v>994.81200000000001</v>
      </c>
      <c r="X145" s="7">
        <v>207.898</v>
      </c>
      <c r="Y145" s="7">
        <v>12590.441999999999</v>
      </c>
      <c r="Z145" s="7">
        <v>-1656.5630000000001</v>
      </c>
      <c r="AA145" s="7">
        <v>4984.1139999999996</v>
      </c>
      <c r="AB145" s="7">
        <v>-1404.6410000000001</v>
      </c>
      <c r="AC145" s="7">
        <v>878.71799999999996</v>
      </c>
      <c r="AD145" s="7">
        <v>-87.290999999999997</v>
      </c>
      <c r="AE145" s="7">
        <v>49481.686000000002</v>
      </c>
      <c r="AF145" s="7">
        <v>2238.6680000000001</v>
      </c>
      <c r="AG145" s="7">
        <v>-281.59399999999999</v>
      </c>
      <c r="AH145" s="7">
        <v>168770.68400000001</v>
      </c>
      <c r="AI145" s="7">
        <v>6190.7129999999997</v>
      </c>
      <c r="AJ145" s="7">
        <v>-8597.7520000000004</v>
      </c>
      <c r="AK145" s="7">
        <v>-344734.696</v>
      </c>
      <c r="AL145" s="7">
        <v>-190841.56299999999</v>
      </c>
      <c r="AM145" s="7">
        <v>0</v>
      </c>
      <c r="AN145" s="7">
        <v>-123831.039</v>
      </c>
      <c r="AO145" s="7">
        <v>510.57299999999998</v>
      </c>
      <c r="AP145" s="7">
        <v>0</v>
      </c>
      <c r="AQ145" s="7">
        <v>569.27</v>
      </c>
      <c r="AR145" s="7">
        <v>0</v>
      </c>
      <c r="AS145" s="7">
        <v>3.6930000000000001</v>
      </c>
      <c r="AT145" s="7">
        <v>0</v>
      </c>
      <c r="AU145" s="7">
        <v>99.736000000000004</v>
      </c>
      <c r="AV145" s="7">
        <v>0</v>
      </c>
      <c r="AW145" s="7">
        <v>0</v>
      </c>
      <c r="AX145" s="7">
        <v>217.01</v>
      </c>
      <c r="AY145" s="7">
        <v>-24.960999999999999</v>
      </c>
      <c r="AZ145" s="7">
        <v>-90.784000000000006</v>
      </c>
      <c r="BA145" s="7">
        <v>146.74600000000001</v>
      </c>
      <c r="BB145" s="7">
        <v>163.898</v>
      </c>
      <c r="BC145" s="7">
        <v>1.958</v>
      </c>
      <c r="BD145" s="7">
        <v>-20.846</v>
      </c>
      <c r="BE145" s="7">
        <v>42.67</v>
      </c>
      <c r="BF145" s="7">
        <v>42.67</v>
      </c>
      <c r="BG145" s="7">
        <v>-34.173999999999999</v>
      </c>
      <c r="BH145" s="7">
        <v>-5054.4179999999997</v>
      </c>
      <c r="BI145" s="7">
        <v>-1.796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-34482.726999999999</v>
      </c>
      <c r="F146" s="7">
        <v>-5064.7139999999999</v>
      </c>
      <c r="G146" s="7">
        <v>-928.71299999999997</v>
      </c>
      <c r="H146" s="7">
        <v>-0.11700000000000001</v>
      </c>
      <c r="I146" s="7">
        <v>-697.56600000000003</v>
      </c>
      <c r="J146" s="7">
        <v>-2032.02</v>
      </c>
      <c r="K146" s="7">
        <v>0</v>
      </c>
      <c r="L146" s="7">
        <v>-51033.406999999999</v>
      </c>
      <c r="M146" s="7">
        <v>-9344.6620000000003</v>
      </c>
      <c r="N146" s="7">
        <v>0</v>
      </c>
      <c r="O146" s="7">
        <v>0</v>
      </c>
      <c r="P146" s="7">
        <v>-39.793999999999997</v>
      </c>
      <c r="Q146" s="7">
        <v>0</v>
      </c>
      <c r="R146" s="7">
        <v>-1.3560000000000001</v>
      </c>
      <c r="S146" s="7">
        <v>-1869.624</v>
      </c>
      <c r="T146" s="7">
        <v>0</v>
      </c>
      <c r="U146" s="7">
        <v>0</v>
      </c>
      <c r="V146" s="7">
        <v>-497.45100000000002</v>
      </c>
      <c r="W146" s="7">
        <v>-739.94899999999996</v>
      </c>
      <c r="X146" s="7">
        <v>0</v>
      </c>
      <c r="Y146" s="7">
        <v>-9177.4359999999997</v>
      </c>
      <c r="Z146" s="7">
        <v>0</v>
      </c>
      <c r="AA146" s="7">
        <v>-6546.7510000000002</v>
      </c>
      <c r="AB146" s="7">
        <v>0</v>
      </c>
      <c r="AC146" s="7">
        <v>-966.29899999999998</v>
      </c>
      <c r="AD146" s="7">
        <v>-0.182</v>
      </c>
      <c r="AE146" s="7">
        <v>-27450.937000000002</v>
      </c>
      <c r="AF146" s="7">
        <v>-6107.7209999999995</v>
      </c>
      <c r="AG146" s="7">
        <v>-0.63600000000000001</v>
      </c>
      <c r="AH146" s="7">
        <v>-90356.959000000003</v>
      </c>
      <c r="AI146" s="7">
        <v>-9548.3529999999992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-923.375</v>
      </c>
      <c r="AP146" s="7">
        <v>0</v>
      </c>
      <c r="AQ146" s="7">
        <v>-2152.5680000000002</v>
      </c>
      <c r="AR146" s="7">
        <v>0</v>
      </c>
      <c r="AS146" s="7">
        <v>-9.8480000000000008</v>
      </c>
      <c r="AT146" s="7">
        <v>0</v>
      </c>
      <c r="AU146" s="7">
        <v>-53.273000000000003</v>
      </c>
      <c r="AV146" s="7">
        <v>0</v>
      </c>
      <c r="AW146" s="7">
        <v>0</v>
      </c>
      <c r="AX146" s="7">
        <v>0</v>
      </c>
      <c r="AY146" s="7">
        <v>-10.441000000000001</v>
      </c>
      <c r="AZ146" s="7">
        <v>-54.668999999999997</v>
      </c>
      <c r="BA146" s="7">
        <v>0</v>
      </c>
      <c r="BB146" s="7">
        <v>-319.95800000000003</v>
      </c>
      <c r="BC146" s="7">
        <v>5.2190000000000003</v>
      </c>
      <c r="BD146" s="7">
        <v>-62.634</v>
      </c>
      <c r="BE146" s="7">
        <v>-78.688000000000002</v>
      </c>
      <c r="BF146" s="7">
        <v>-78.688000000000002</v>
      </c>
      <c r="BG146" s="7">
        <v>-21.614000000000001</v>
      </c>
      <c r="BH146" s="7">
        <v>0</v>
      </c>
      <c r="BI146" s="7">
        <v>2.2320000000000002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127.383</v>
      </c>
      <c r="F147" s="7">
        <v>42.975000000000001</v>
      </c>
      <c r="G147" s="7">
        <v>25.571999999999999</v>
      </c>
      <c r="H147" s="7">
        <v>1E-3</v>
      </c>
      <c r="I147" s="7">
        <v>4.0789999999999997</v>
      </c>
      <c r="J147" s="7">
        <v>29.971</v>
      </c>
      <c r="K147" s="7">
        <v>0</v>
      </c>
      <c r="L147" s="7">
        <v>86.51</v>
      </c>
      <c r="M147" s="7">
        <v>101.426</v>
      </c>
      <c r="N147" s="7">
        <v>0</v>
      </c>
      <c r="O147" s="7">
        <v>0</v>
      </c>
      <c r="P147" s="7">
        <v>0.123</v>
      </c>
      <c r="Q147" s="7">
        <v>0</v>
      </c>
      <c r="R147" s="7">
        <v>0</v>
      </c>
      <c r="S147" s="7">
        <v>18.186</v>
      </c>
      <c r="T147" s="7">
        <v>0</v>
      </c>
      <c r="U147" s="7">
        <v>0</v>
      </c>
      <c r="V147" s="7">
        <v>7.3940000000000001</v>
      </c>
      <c r="W147" s="7">
        <v>5.734</v>
      </c>
      <c r="X147" s="7">
        <v>0</v>
      </c>
      <c r="Y147" s="7">
        <v>12.6</v>
      </c>
      <c r="Z147" s="7">
        <v>0</v>
      </c>
      <c r="AA147" s="7">
        <v>82.111999999999995</v>
      </c>
      <c r="AB147" s="7">
        <v>0</v>
      </c>
      <c r="AC147" s="7">
        <v>7.2240000000000002</v>
      </c>
      <c r="AD147" s="7">
        <v>-0.66300000000000003</v>
      </c>
      <c r="AE147" s="7">
        <v>-4.4740000000000002</v>
      </c>
      <c r="AF147" s="7">
        <v>-8.8979999999999997</v>
      </c>
      <c r="AG147" s="7">
        <v>-2.3199999999999998</v>
      </c>
      <c r="AH147" s="7">
        <v>149.11199999999999</v>
      </c>
      <c r="AI147" s="7">
        <v>-14.773999999999999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8.27</v>
      </c>
      <c r="AP147" s="7">
        <v>0</v>
      </c>
      <c r="AQ147" s="7">
        <v>-3.23</v>
      </c>
      <c r="AR147" s="7">
        <v>0</v>
      </c>
      <c r="AS147" s="7">
        <v>5.1999999999999998E-2</v>
      </c>
      <c r="AT147" s="7">
        <v>0</v>
      </c>
      <c r="AU147" s="7">
        <v>1.391</v>
      </c>
      <c r="AV147" s="7">
        <v>0</v>
      </c>
      <c r="AW147" s="7">
        <v>0</v>
      </c>
      <c r="AX147" s="7">
        <v>0</v>
      </c>
      <c r="AY147" s="7">
        <v>1.502</v>
      </c>
      <c r="AZ147" s="7">
        <v>0</v>
      </c>
      <c r="BA147" s="7">
        <v>0</v>
      </c>
      <c r="BB147" s="7">
        <v>2.782</v>
      </c>
      <c r="BC147" s="7">
        <v>1.35</v>
      </c>
      <c r="BD147" s="7">
        <v>0</v>
      </c>
      <c r="BE147" s="7">
        <v>0.68100000000000005</v>
      </c>
      <c r="BF147" s="7">
        <v>0.68100000000000005</v>
      </c>
      <c r="BG147" s="7">
        <v>0</v>
      </c>
      <c r="BH147" s="7">
        <v>0</v>
      </c>
      <c r="BI147" s="7">
        <v>0.626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-1475.4280000000001</v>
      </c>
      <c r="F148" s="7">
        <v>-1151.9659999999999</v>
      </c>
      <c r="G148" s="7">
        <v>-899.65700000000004</v>
      </c>
      <c r="H148" s="7">
        <v>-0.04</v>
      </c>
      <c r="I148" s="7">
        <v>-104.7</v>
      </c>
      <c r="J148" s="7">
        <v>-881.02</v>
      </c>
      <c r="K148" s="7">
        <v>0</v>
      </c>
      <c r="L148" s="7">
        <v>-3724.0390000000002</v>
      </c>
      <c r="M148" s="7">
        <v>-1295.2719999999999</v>
      </c>
      <c r="N148" s="7">
        <v>0</v>
      </c>
      <c r="O148" s="7">
        <v>0</v>
      </c>
      <c r="P148" s="7">
        <v>-3.0000000000000001E-3</v>
      </c>
      <c r="Q148" s="7">
        <v>-386.72899999999998</v>
      </c>
      <c r="R148" s="7">
        <v>-472.101</v>
      </c>
      <c r="S148" s="7">
        <v>-468.89100000000002</v>
      </c>
      <c r="T148" s="7">
        <v>0</v>
      </c>
      <c r="U148" s="7">
        <v>0</v>
      </c>
      <c r="V148" s="7">
        <v>-176.47200000000001</v>
      </c>
      <c r="W148" s="7">
        <v>-18.523</v>
      </c>
      <c r="X148" s="7">
        <v>0</v>
      </c>
      <c r="Y148" s="7">
        <v>-518.13699999999994</v>
      </c>
      <c r="Z148" s="7">
        <v>-14948.331</v>
      </c>
      <c r="AA148" s="7">
        <v>-2339.116</v>
      </c>
      <c r="AB148" s="7">
        <v>0</v>
      </c>
      <c r="AC148" s="7">
        <v>-285.48500000000001</v>
      </c>
      <c r="AD148" s="7">
        <v>-2037.202</v>
      </c>
      <c r="AE148" s="7">
        <v>-2238.0369999999998</v>
      </c>
      <c r="AF148" s="7">
        <v>-15.989000000000001</v>
      </c>
      <c r="AG148" s="7">
        <v>-6420.308</v>
      </c>
      <c r="AH148" s="7">
        <v>-5328.1890000000003</v>
      </c>
      <c r="AI148" s="7">
        <v>-1.2E-2</v>
      </c>
      <c r="AJ148" s="7">
        <v>-75858.565000000002</v>
      </c>
      <c r="AK148" s="7">
        <v>0</v>
      </c>
      <c r="AL148" s="7">
        <v>0</v>
      </c>
      <c r="AM148" s="7">
        <v>0</v>
      </c>
      <c r="AN148" s="7">
        <v>0</v>
      </c>
      <c r="AO148" s="7">
        <v>-331.18599999999998</v>
      </c>
      <c r="AP148" s="7">
        <v>0</v>
      </c>
      <c r="AQ148" s="7">
        <v>-2.355</v>
      </c>
      <c r="AR148" s="7">
        <v>0</v>
      </c>
      <c r="AS148" s="7">
        <v>-1.575</v>
      </c>
      <c r="AT148" s="7">
        <v>0</v>
      </c>
      <c r="AU148" s="7">
        <v>-0.16600000000000001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-111.92400000000001</v>
      </c>
      <c r="BC148" s="7">
        <v>0</v>
      </c>
      <c r="BD148" s="7">
        <v>0</v>
      </c>
      <c r="BE148" s="7">
        <v>-26.817</v>
      </c>
      <c r="BF148" s="7">
        <v>-26.817</v>
      </c>
      <c r="BG148" s="7">
        <v>0</v>
      </c>
      <c r="BH148" s="7">
        <v>-51003.853999999999</v>
      </c>
      <c r="BI148" s="7">
        <v>0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32854.957000000002</v>
      </c>
      <c r="F149" s="7">
        <v>6849.9849999999997</v>
      </c>
      <c r="G149" s="7">
        <v>88.777000000000001</v>
      </c>
      <c r="H149" s="7">
        <v>0</v>
      </c>
      <c r="I149" s="7">
        <v>192.69800000000001</v>
      </c>
      <c r="J149" s="7">
        <v>60.497</v>
      </c>
      <c r="K149" s="7">
        <v>0</v>
      </c>
      <c r="L149" s="7">
        <v>79971.319000000003</v>
      </c>
      <c r="M149" s="7">
        <v>6502.3950000000004</v>
      </c>
      <c r="N149" s="7">
        <v>0</v>
      </c>
      <c r="O149" s="7">
        <v>49.593000000000004</v>
      </c>
      <c r="P149" s="7">
        <v>0</v>
      </c>
      <c r="Q149" s="7">
        <v>18.838999999999999</v>
      </c>
      <c r="R149" s="7">
        <v>0</v>
      </c>
      <c r="S149" s="7">
        <v>2125.4160000000002</v>
      </c>
      <c r="T149" s="7">
        <v>0</v>
      </c>
      <c r="U149" s="7">
        <v>0</v>
      </c>
      <c r="V149" s="7">
        <v>7.0880000000000001</v>
      </c>
      <c r="W149" s="7">
        <v>636.84299999999996</v>
      </c>
      <c r="X149" s="7">
        <v>1257.595</v>
      </c>
      <c r="Y149" s="7">
        <v>15058.063</v>
      </c>
      <c r="Z149" s="7">
        <v>-13.103999999999999</v>
      </c>
      <c r="AA149" s="7">
        <v>133.023</v>
      </c>
      <c r="AB149" s="7">
        <v>969.53099999999995</v>
      </c>
      <c r="AC149" s="7">
        <v>1263.1289999999999</v>
      </c>
      <c r="AD149" s="7">
        <v>75.352000000000004</v>
      </c>
      <c r="AE149" s="7">
        <v>37397.743999999999</v>
      </c>
      <c r="AF149" s="7">
        <v>20947.464</v>
      </c>
      <c r="AG149" s="7">
        <v>521.83500000000004</v>
      </c>
      <c r="AH149" s="7">
        <v>132318.913</v>
      </c>
      <c r="AI149" s="7">
        <v>33068.097999999998</v>
      </c>
      <c r="AJ149" s="7">
        <v>-68.417000000000002</v>
      </c>
      <c r="AK149" s="7">
        <v>-414.60399999999998</v>
      </c>
      <c r="AL149" s="7">
        <v>-229.52099999999999</v>
      </c>
      <c r="AM149" s="7">
        <v>0</v>
      </c>
      <c r="AN149" s="7">
        <v>-148.929</v>
      </c>
      <c r="AO149" s="7">
        <v>1102.7670000000001</v>
      </c>
      <c r="AP149" s="7">
        <v>0</v>
      </c>
      <c r="AQ149" s="7">
        <v>7375.4549999999999</v>
      </c>
      <c r="AR149" s="7">
        <v>0</v>
      </c>
      <c r="AS149" s="7">
        <v>22.606999999999999</v>
      </c>
      <c r="AT149" s="7">
        <v>0</v>
      </c>
      <c r="AU149" s="7">
        <v>154.239</v>
      </c>
      <c r="AV149" s="7">
        <v>0</v>
      </c>
      <c r="AW149" s="7">
        <v>0</v>
      </c>
      <c r="AX149" s="7">
        <v>1312.7090000000001</v>
      </c>
      <c r="AY149" s="7">
        <v>3.0680000000000001</v>
      </c>
      <c r="AZ149" s="7">
        <v>0</v>
      </c>
      <c r="BA149" s="7">
        <v>974.93100000000004</v>
      </c>
      <c r="BB149" s="7">
        <v>382.64400000000001</v>
      </c>
      <c r="BC149" s="7">
        <v>1.9059999999999999</v>
      </c>
      <c r="BD149" s="7">
        <v>0</v>
      </c>
      <c r="BE149" s="7">
        <v>100.464</v>
      </c>
      <c r="BF149" s="7">
        <v>100.464</v>
      </c>
      <c r="BG149" s="7">
        <v>0</v>
      </c>
      <c r="BH149" s="7">
        <v>164.18700000000001</v>
      </c>
      <c r="BI149" s="7">
        <v>0.81499999999999995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9000.2939999999999</v>
      </c>
      <c r="F150" s="7">
        <v>2085.84</v>
      </c>
      <c r="G150" s="7">
        <v>0</v>
      </c>
      <c r="H150" s="7">
        <v>0</v>
      </c>
      <c r="I150" s="7">
        <v>55.052</v>
      </c>
      <c r="J150" s="7">
        <v>0</v>
      </c>
      <c r="K150" s="7">
        <v>0</v>
      </c>
      <c r="L150" s="7">
        <v>23534.199000000001</v>
      </c>
      <c r="M150" s="7">
        <v>838.74900000000002</v>
      </c>
      <c r="N150" s="7">
        <v>0</v>
      </c>
      <c r="O150" s="7">
        <v>333.48099999999999</v>
      </c>
      <c r="P150" s="7">
        <v>0</v>
      </c>
      <c r="Q150" s="7">
        <v>-365.47500000000002</v>
      </c>
      <c r="R150" s="7">
        <v>-594.73400000000004</v>
      </c>
      <c r="S150" s="7">
        <v>647.31200000000001</v>
      </c>
      <c r="T150" s="7">
        <v>0</v>
      </c>
      <c r="U150" s="7">
        <v>0</v>
      </c>
      <c r="V150" s="7">
        <v>0</v>
      </c>
      <c r="W150" s="7">
        <v>191.16399999999999</v>
      </c>
      <c r="X150" s="7">
        <v>0</v>
      </c>
      <c r="Y150" s="7">
        <v>4591.9859999999999</v>
      </c>
      <c r="Z150" s="7">
        <v>-17973.079000000002</v>
      </c>
      <c r="AA150" s="7">
        <v>0</v>
      </c>
      <c r="AB150" s="7">
        <v>6682.348</v>
      </c>
      <c r="AC150" s="7">
        <v>385.27499999999998</v>
      </c>
      <c r="AD150" s="7">
        <v>-4871.3379999999997</v>
      </c>
      <c r="AE150" s="7">
        <v>11807.927</v>
      </c>
      <c r="AF150" s="7">
        <v>6415.1549999999997</v>
      </c>
      <c r="AG150" s="7">
        <v>-15445.496999999999</v>
      </c>
      <c r="AH150" s="7">
        <v>39589.506999999998</v>
      </c>
      <c r="AI150" s="7">
        <v>10126.165999999999</v>
      </c>
      <c r="AJ150" s="7">
        <v>-91060.027000000002</v>
      </c>
      <c r="AK150" s="7">
        <v>909518.21799999999</v>
      </c>
      <c r="AL150" s="7">
        <v>503499.88199999998</v>
      </c>
      <c r="AM150" s="7">
        <v>0</v>
      </c>
      <c r="AN150" s="7">
        <v>326705.10700000002</v>
      </c>
      <c r="AO150" s="7">
        <v>336.74</v>
      </c>
      <c r="AP150" s="7">
        <v>0</v>
      </c>
      <c r="AQ150" s="7">
        <v>2260.48</v>
      </c>
      <c r="AR150" s="7">
        <v>0</v>
      </c>
      <c r="AS150" s="7">
        <v>6.8380000000000001</v>
      </c>
      <c r="AT150" s="7">
        <v>0</v>
      </c>
      <c r="AU150" s="7">
        <v>45.432000000000002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116.79900000000001</v>
      </c>
      <c r="BC150" s="7">
        <v>0</v>
      </c>
      <c r="BD150" s="7">
        <v>0</v>
      </c>
      <c r="BE150" s="7">
        <v>30.693000000000001</v>
      </c>
      <c r="BF150" s="7">
        <v>30.693000000000001</v>
      </c>
      <c r="BG150" s="7">
        <v>0</v>
      </c>
      <c r="BH150" s="7">
        <v>-60636.88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1502.931</v>
      </c>
      <c r="F153" s="7">
        <v>1171.279</v>
      </c>
      <c r="G153" s="7">
        <v>906.70100000000002</v>
      </c>
      <c r="H153" s="7">
        <v>4.1000000000000002E-2</v>
      </c>
      <c r="I153" s="7">
        <v>106.41200000000001</v>
      </c>
      <c r="J153" s="7">
        <v>899.04499999999996</v>
      </c>
      <c r="K153" s="7">
        <v>0</v>
      </c>
      <c r="L153" s="7">
        <v>3768.8130000000001</v>
      </c>
      <c r="M153" s="7">
        <v>1314.998</v>
      </c>
      <c r="N153" s="7">
        <v>0</v>
      </c>
      <c r="O153" s="7">
        <v>0</v>
      </c>
      <c r="P153" s="7">
        <v>3.0000000000000001E-3</v>
      </c>
      <c r="Q153" s="7">
        <v>879.58699999999999</v>
      </c>
      <c r="R153" s="7">
        <v>1073.759</v>
      </c>
      <c r="S153" s="7">
        <v>476.63900000000001</v>
      </c>
      <c r="T153" s="7">
        <v>0</v>
      </c>
      <c r="U153" s="7">
        <v>0</v>
      </c>
      <c r="V153" s="7">
        <v>179.01900000000001</v>
      </c>
      <c r="W153" s="7">
        <v>18.568000000000001</v>
      </c>
      <c r="X153" s="7">
        <v>0</v>
      </c>
      <c r="Y153" s="7">
        <v>519.77499999999998</v>
      </c>
      <c r="Z153" s="7">
        <v>33998.902999999998</v>
      </c>
      <c r="AA153" s="7">
        <v>2380.6990000000001</v>
      </c>
      <c r="AB153" s="7">
        <v>0</v>
      </c>
      <c r="AC153" s="7">
        <v>288.80799999999999</v>
      </c>
      <c r="AD153" s="7">
        <v>7320.6549999999997</v>
      </c>
      <c r="AE153" s="7">
        <v>2244.105</v>
      </c>
      <c r="AF153" s="7">
        <v>16.337</v>
      </c>
      <c r="AG153" s="7">
        <v>24752.928</v>
      </c>
      <c r="AH153" s="7">
        <v>5396.8850000000002</v>
      </c>
      <c r="AI153" s="7">
        <v>1.2E-2</v>
      </c>
      <c r="AJ153" s="7">
        <v>172534.84299999999</v>
      </c>
      <c r="AK153" s="7">
        <v>0</v>
      </c>
      <c r="AL153" s="7">
        <v>0</v>
      </c>
      <c r="AM153" s="7">
        <v>0</v>
      </c>
      <c r="AN153" s="7">
        <v>0</v>
      </c>
      <c r="AO153" s="7">
        <v>336.35399999999998</v>
      </c>
      <c r="AP153" s="7">
        <v>0</v>
      </c>
      <c r="AQ153" s="7">
        <v>2.407</v>
      </c>
      <c r="AR153" s="7">
        <v>0</v>
      </c>
      <c r="AS153" s="7">
        <v>1.6020000000000001</v>
      </c>
      <c r="AT153" s="7">
        <v>0</v>
      </c>
      <c r="AU153" s="7">
        <v>0.16900000000000001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113.66</v>
      </c>
      <c r="BC153" s="7">
        <v>0</v>
      </c>
      <c r="BD153" s="7">
        <v>0</v>
      </c>
      <c r="BE153" s="7">
        <v>27.234999999999999</v>
      </c>
      <c r="BF153" s="7">
        <v>27.234999999999999</v>
      </c>
      <c r="BG153" s="7">
        <v>0</v>
      </c>
      <c r="BH153" s="7">
        <v>116004.59299999999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3976.11</v>
      </c>
      <c r="F154" s="7">
        <v>778.45699999999999</v>
      </c>
      <c r="G154" s="7">
        <v>0</v>
      </c>
      <c r="H154" s="7">
        <v>0</v>
      </c>
      <c r="I154" s="7">
        <v>32.235999999999997</v>
      </c>
      <c r="J154" s="7">
        <v>0</v>
      </c>
      <c r="K154" s="7">
        <v>0</v>
      </c>
      <c r="L154" s="7">
        <v>9172.3559999999998</v>
      </c>
      <c r="M154" s="7">
        <v>608.75300000000004</v>
      </c>
      <c r="N154" s="7">
        <v>0</v>
      </c>
      <c r="O154" s="7">
        <v>0</v>
      </c>
      <c r="P154" s="7">
        <v>0.14000000000000001</v>
      </c>
      <c r="Q154" s="7">
        <v>0</v>
      </c>
      <c r="R154" s="7">
        <v>0</v>
      </c>
      <c r="S154" s="7">
        <v>250.316</v>
      </c>
      <c r="T154" s="7">
        <v>0</v>
      </c>
      <c r="U154" s="7">
        <v>0</v>
      </c>
      <c r="V154" s="7">
        <v>0</v>
      </c>
      <c r="W154" s="7">
        <v>84.870999999999995</v>
      </c>
      <c r="X154" s="7">
        <v>0</v>
      </c>
      <c r="Y154" s="7">
        <v>1727.972</v>
      </c>
      <c r="Z154" s="7">
        <v>0</v>
      </c>
      <c r="AA154" s="7">
        <v>0</v>
      </c>
      <c r="AB154" s="7">
        <v>0</v>
      </c>
      <c r="AC154" s="7">
        <v>151.892</v>
      </c>
      <c r="AD154" s="7">
        <v>0</v>
      </c>
      <c r="AE154" s="7">
        <v>4245.1000000000004</v>
      </c>
      <c r="AF154" s="7">
        <v>2305.6689999999999</v>
      </c>
      <c r="AG154" s="7">
        <v>0</v>
      </c>
      <c r="AH154" s="7">
        <v>15879.036</v>
      </c>
      <c r="AI154" s="7">
        <v>4152.143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111.09699999999999</v>
      </c>
      <c r="AP154" s="7">
        <v>0</v>
      </c>
      <c r="AQ154" s="7">
        <v>813.28499999999997</v>
      </c>
      <c r="AR154" s="7">
        <v>0</v>
      </c>
      <c r="AS154" s="7">
        <v>2.4169999999999998</v>
      </c>
      <c r="AT154" s="7">
        <v>0</v>
      </c>
      <c r="AU154" s="7">
        <v>16.928000000000001</v>
      </c>
      <c r="AV154" s="7">
        <v>0</v>
      </c>
      <c r="AW154" s="7">
        <v>0</v>
      </c>
      <c r="AX154" s="7">
        <v>0</v>
      </c>
      <c r="AY154" s="7">
        <v>40.664999999999999</v>
      </c>
      <c r="AZ154" s="7">
        <v>717.84</v>
      </c>
      <c r="BA154" s="7">
        <v>0</v>
      </c>
      <c r="BB154" s="7">
        <v>39.963999999999999</v>
      </c>
      <c r="BC154" s="7">
        <v>0</v>
      </c>
      <c r="BD154" s="7">
        <v>893.60900000000004</v>
      </c>
      <c r="BE154" s="7">
        <v>9.484</v>
      </c>
      <c r="BF154" s="7">
        <v>9.484</v>
      </c>
      <c r="BG154" s="7">
        <v>272.47000000000003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60.048000000000002</v>
      </c>
      <c r="F155" s="7">
        <v>13.916</v>
      </c>
      <c r="G155" s="7">
        <v>0</v>
      </c>
      <c r="H155" s="7">
        <v>0</v>
      </c>
      <c r="I155" s="7">
        <v>0.36699999999999999</v>
      </c>
      <c r="J155" s="7">
        <v>0</v>
      </c>
      <c r="K155" s="7">
        <v>0</v>
      </c>
      <c r="L155" s="7">
        <v>157.01400000000001</v>
      </c>
      <c r="M155" s="7">
        <v>5.5960000000000001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4.319</v>
      </c>
      <c r="T155" s="7">
        <v>0</v>
      </c>
      <c r="U155" s="7">
        <v>0</v>
      </c>
      <c r="V155" s="7">
        <v>0</v>
      </c>
      <c r="W155" s="7">
        <v>1.2749999999999999</v>
      </c>
      <c r="X155" s="7">
        <v>0</v>
      </c>
      <c r="Y155" s="7">
        <v>30.635999999999999</v>
      </c>
      <c r="Z155" s="7">
        <v>0</v>
      </c>
      <c r="AA155" s="7">
        <v>0</v>
      </c>
      <c r="AB155" s="7">
        <v>0</v>
      </c>
      <c r="AC155" s="7">
        <v>2.57</v>
      </c>
      <c r="AD155" s="7">
        <v>0</v>
      </c>
      <c r="AE155" s="7">
        <v>76.122</v>
      </c>
      <c r="AF155" s="7">
        <v>42.8</v>
      </c>
      <c r="AG155" s="7">
        <v>0</v>
      </c>
      <c r="AH155" s="7">
        <v>264.13</v>
      </c>
      <c r="AI155" s="7">
        <v>67.558999999999997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2.2469999999999999</v>
      </c>
      <c r="AP155" s="7">
        <v>0</v>
      </c>
      <c r="AQ155" s="7">
        <v>15.081</v>
      </c>
      <c r="AR155" s="7">
        <v>0</v>
      </c>
      <c r="AS155" s="7">
        <v>4.5999999999999999E-2</v>
      </c>
      <c r="AT155" s="7">
        <v>0</v>
      </c>
      <c r="AU155" s="7">
        <v>0.30299999999999999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0.77900000000000003</v>
      </c>
      <c r="BC155" s="7">
        <v>0</v>
      </c>
      <c r="BD155" s="7">
        <v>0</v>
      </c>
      <c r="BE155" s="7">
        <v>0.20499999999999999</v>
      </c>
      <c r="BF155" s="7">
        <v>0.20499999999999999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-2.8000000000000001E-2</v>
      </c>
      <c r="F158" s="7">
        <v>-6.0000000000000001E-3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-6.6000000000000003E-2</v>
      </c>
      <c r="M158" s="7">
        <v>-4.0000000000000001E-3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-2E-3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-1.2E-2</v>
      </c>
      <c r="Z158" s="7">
        <v>0</v>
      </c>
      <c r="AA158" s="7">
        <v>0</v>
      </c>
      <c r="AB158" s="7">
        <v>0</v>
      </c>
      <c r="AC158" s="7">
        <v>-1E-3</v>
      </c>
      <c r="AD158" s="7">
        <v>0</v>
      </c>
      <c r="AE158" s="7">
        <v>-0.03</v>
      </c>
      <c r="AF158" s="7">
        <v>-1.6E-2</v>
      </c>
      <c r="AG158" s="7">
        <v>0</v>
      </c>
      <c r="AH158" s="7">
        <v>-0.114</v>
      </c>
      <c r="AI158" s="7">
        <v>-0.03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-6.0000000000000001E-3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-5.0000000000000001E-3</v>
      </c>
      <c r="BA158" s="7">
        <v>0</v>
      </c>
      <c r="BB158" s="7">
        <v>0</v>
      </c>
      <c r="BC158" s="7">
        <v>0</v>
      </c>
      <c r="BD158" s="7">
        <v>-6.0000000000000001E-3</v>
      </c>
      <c r="BE158" s="7">
        <v>0</v>
      </c>
      <c r="BF158" s="7">
        <v>0</v>
      </c>
      <c r="BG158" s="7">
        <v>-2E-3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-160.636</v>
      </c>
      <c r="F159" s="7">
        <v>-37.228000000000002</v>
      </c>
      <c r="G159" s="7">
        <v>0</v>
      </c>
      <c r="H159" s="7">
        <v>0</v>
      </c>
      <c r="I159" s="7">
        <v>-0.98299999999999998</v>
      </c>
      <c r="J159" s="7">
        <v>0</v>
      </c>
      <c r="K159" s="7">
        <v>0</v>
      </c>
      <c r="L159" s="7">
        <v>-420.036</v>
      </c>
      <c r="M159" s="7">
        <v>-14.97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-11.553000000000001</v>
      </c>
      <c r="T159" s="7">
        <v>0</v>
      </c>
      <c r="U159" s="7">
        <v>0</v>
      </c>
      <c r="V159" s="7">
        <v>0</v>
      </c>
      <c r="W159" s="7">
        <v>-3.4119999999999999</v>
      </c>
      <c r="X159" s="7">
        <v>0</v>
      </c>
      <c r="Y159" s="7">
        <v>-81.956999999999994</v>
      </c>
      <c r="Z159" s="7">
        <v>0</v>
      </c>
      <c r="AA159" s="7">
        <v>0</v>
      </c>
      <c r="AB159" s="7">
        <v>0</v>
      </c>
      <c r="AC159" s="7">
        <v>-6.8760000000000003</v>
      </c>
      <c r="AD159" s="7">
        <v>0</v>
      </c>
      <c r="AE159" s="7">
        <v>-203.63900000000001</v>
      </c>
      <c r="AF159" s="7">
        <v>-114.497</v>
      </c>
      <c r="AG159" s="7">
        <v>0</v>
      </c>
      <c r="AH159" s="7">
        <v>-706.58900000000006</v>
      </c>
      <c r="AI159" s="7">
        <v>-180.73099999999999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-6.01</v>
      </c>
      <c r="AP159" s="7">
        <v>0</v>
      </c>
      <c r="AQ159" s="7">
        <v>-40.344999999999999</v>
      </c>
      <c r="AR159" s="7">
        <v>0</v>
      </c>
      <c r="AS159" s="7">
        <v>-0.122</v>
      </c>
      <c r="AT159" s="7">
        <v>0</v>
      </c>
      <c r="AU159" s="7">
        <v>-0.81100000000000005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-2.085</v>
      </c>
      <c r="BC159" s="7">
        <v>0</v>
      </c>
      <c r="BD159" s="7">
        <v>0</v>
      </c>
      <c r="BE159" s="7">
        <v>-0.54800000000000004</v>
      </c>
      <c r="BF159" s="7">
        <v>-0.54800000000000004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2720.7179999999998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15.228999999999999</v>
      </c>
      <c r="F164" s="7">
        <v>3.3660000000000001</v>
      </c>
      <c r="G164" s="7">
        <v>3.2829999999999999</v>
      </c>
      <c r="H164" s="7">
        <v>0</v>
      </c>
      <c r="I164" s="7">
        <v>0.65900000000000003</v>
      </c>
      <c r="J164" s="7">
        <v>2.5859999999999999</v>
      </c>
      <c r="K164" s="7">
        <v>0</v>
      </c>
      <c r="L164" s="7">
        <v>13.493</v>
      </c>
      <c r="M164" s="7">
        <v>11.326000000000001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0.96799999999999997</v>
      </c>
      <c r="T164" s="7">
        <v>0</v>
      </c>
      <c r="U164" s="7">
        <v>0</v>
      </c>
      <c r="V164" s="7">
        <v>0.40200000000000002</v>
      </c>
      <c r="W164" s="7">
        <v>0.94299999999999995</v>
      </c>
      <c r="X164" s="7">
        <v>0</v>
      </c>
      <c r="Y164" s="7">
        <v>4.8010000000000002</v>
      </c>
      <c r="Z164" s="7">
        <v>0</v>
      </c>
      <c r="AA164" s="7">
        <v>3.0870000000000002</v>
      </c>
      <c r="AB164" s="7">
        <v>0</v>
      </c>
      <c r="AC164" s="7">
        <v>0.52500000000000002</v>
      </c>
      <c r="AD164" s="7">
        <v>0</v>
      </c>
      <c r="AE164" s="7">
        <v>10.061</v>
      </c>
      <c r="AF164" s="7">
        <v>0</v>
      </c>
      <c r="AG164" s="7">
        <v>0</v>
      </c>
      <c r="AH164" s="7">
        <v>38.826000000000001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0.193</v>
      </c>
      <c r="AP164" s="7">
        <v>0</v>
      </c>
      <c r="AQ164" s="7">
        <v>0</v>
      </c>
      <c r="AR164" s="7">
        <v>0</v>
      </c>
      <c r="AS164" s="7">
        <v>1E-3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7.1999999999999995E-2</v>
      </c>
      <c r="BC164" s="7">
        <v>0</v>
      </c>
      <c r="BD164" s="7">
        <v>0</v>
      </c>
      <c r="BE164" s="7">
        <v>3.1E-2</v>
      </c>
      <c r="BF164" s="7">
        <v>3.1E-2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1337.086</v>
      </c>
      <c r="F166" s="7">
        <v>120.497</v>
      </c>
      <c r="G166" s="7">
        <v>169.81299999999999</v>
      </c>
      <c r="H166" s="7">
        <v>0</v>
      </c>
      <c r="I166" s="7">
        <v>29.861999999999998</v>
      </c>
      <c r="J166" s="7">
        <v>103.63</v>
      </c>
      <c r="K166" s="7">
        <v>0</v>
      </c>
      <c r="L166" s="7">
        <v>965.92</v>
      </c>
      <c r="M166" s="7">
        <v>462.33699999999999</v>
      </c>
      <c r="N166" s="7">
        <v>0</v>
      </c>
      <c r="O166" s="7">
        <v>0</v>
      </c>
      <c r="P166" s="7">
        <v>5.444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16.094999999999999</v>
      </c>
      <c r="W166" s="7">
        <v>48.252000000000002</v>
      </c>
      <c r="X166" s="7">
        <v>0</v>
      </c>
      <c r="Y166" s="7">
        <v>378.99299999999999</v>
      </c>
      <c r="Z166" s="7">
        <v>0</v>
      </c>
      <c r="AA166" s="7">
        <v>133.65100000000001</v>
      </c>
      <c r="AB166" s="7">
        <v>0</v>
      </c>
      <c r="AC166" s="7">
        <v>20.818999999999999</v>
      </c>
      <c r="AD166" s="7">
        <v>0</v>
      </c>
      <c r="AE166" s="7">
        <v>1221.3219999999999</v>
      </c>
      <c r="AF166" s="7">
        <v>0</v>
      </c>
      <c r="AG166" s="7">
        <v>0</v>
      </c>
      <c r="AH166" s="7">
        <v>2802.5230000000001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-37.344999999999999</v>
      </c>
      <c r="F169" s="7">
        <v>-8.3439999999999994</v>
      </c>
      <c r="G169" s="7">
        <v>-6.2489999999999997</v>
      </c>
      <c r="H169" s="7">
        <v>0</v>
      </c>
      <c r="I169" s="7">
        <v>-1.3049999999999999</v>
      </c>
      <c r="J169" s="7">
        <v>-4.923</v>
      </c>
      <c r="K169" s="7">
        <v>0</v>
      </c>
      <c r="L169" s="7">
        <v>-47.536999999999999</v>
      </c>
      <c r="M169" s="7">
        <v>-22.335999999999999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-2.4430000000000001</v>
      </c>
      <c r="T169" s="7">
        <v>0</v>
      </c>
      <c r="U169" s="7">
        <v>0</v>
      </c>
      <c r="V169" s="7">
        <v>-0.76600000000000001</v>
      </c>
      <c r="W169" s="7">
        <v>-1.9710000000000001</v>
      </c>
      <c r="X169" s="7">
        <v>0</v>
      </c>
      <c r="Y169" s="7">
        <v>-13.401999999999999</v>
      </c>
      <c r="Z169" s="7">
        <v>0</v>
      </c>
      <c r="AA169" s="7">
        <v>-5.875</v>
      </c>
      <c r="AB169" s="7">
        <v>0</v>
      </c>
      <c r="AC169" s="7">
        <v>-1.357</v>
      </c>
      <c r="AD169" s="7">
        <v>0</v>
      </c>
      <c r="AE169" s="7">
        <v>-29.745000000000001</v>
      </c>
      <c r="AF169" s="7">
        <v>-5.9580000000000002</v>
      </c>
      <c r="AG169" s="7">
        <v>0</v>
      </c>
      <c r="AH169" s="7">
        <v>-110.666</v>
      </c>
      <c r="AI169" s="7">
        <v>-9.4049999999999994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-0.67900000000000005</v>
      </c>
      <c r="AP169" s="7">
        <v>0</v>
      </c>
      <c r="AQ169" s="7">
        <v>-2.0990000000000002</v>
      </c>
      <c r="AR169" s="7">
        <v>0</v>
      </c>
      <c r="AS169" s="7">
        <v>-8.9999999999999993E-3</v>
      </c>
      <c r="AT169" s="7">
        <v>0</v>
      </c>
      <c r="AU169" s="7">
        <v>-4.2000000000000003E-2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-0.245</v>
      </c>
      <c r="BC169" s="7">
        <v>0</v>
      </c>
      <c r="BD169" s="7">
        <v>0</v>
      </c>
      <c r="BE169" s="7">
        <v>-8.6999999999999994E-2</v>
      </c>
      <c r="BF169" s="7">
        <v>-8.6999999999999994E-2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5830.4530000000004</v>
      </c>
      <c r="F172" s="7">
        <v>792.55700000000002</v>
      </c>
      <c r="G172" s="7">
        <v>0</v>
      </c>
      <c r="H172" s="7">
        <v>0</v>
      </c>
      <c r="I172" s="7">
        <v>29.393999999999998</v>
      </c>
      <c r="J172" s="7">
        <v>0</v>
      </c>
      <c r="K172" s="7">
        <v>0</v>
      </c>
      <c r="L172" s="7">
        <v>13779.67</v>
      </c>
      <c r="M172" s="7">
        <v>1614.3779999999999</v>
      </c>
      <c r="N172" s="7">
        <v>0</v>
      </c>
      <c r="O172" s="7">
        <v>0</v>
      </c>
      <c r="P172" s="7">
        <v>9.7000000000000003E-2</v>
      </c>
      <c r="Q172" s="7">
        <v>0</v>
      </c>
      <c r="R172" s="7">
        <v>0</v>
      </c>
      <c r="S172" s="7">
        <v>251.70599999999999</v>
      </c>
      <c r="T172" s="7">
        <v>0</v>
      </c>
      <c r="U172" s="7">
        <v>0</v>
      </c>
      <c r="V172" s="7">
        <v>0</v>
      </c>
      <c r="W172" s="7">
        <v>82.021000000000001</v>
      </c>
      <c r="X172" s="7">
        <v>0</v>
      </c>
      <c r="Y172" s="7">
        <v>2061.9299999999998</v>
      </c>
      <c r="Z172" s="7">
        <v>0</v>
      </c>
      <c r="AA172" s="7">
        <v>0</v>
      </c>
      <c r="AB172" s="7">
        <v>0</v>
      </c>
      <c r="AC172" s="7">
        <v>151.43100000000001</v>
      </c>
      <c r="AD172" s="7">
        <v>0</v>
      </c>
      <c r="AE172" s="7">
        <v>4263.4790000000003</v>
      </c>
      <c r="AF172" s="7">
        <v>2365.5259999999998</v>
      </c>
      <c r="AG172" s="7">
        <v>0</v>
      </c>
      <c r="AH172" s="7">
        <v>20540.222000000002</v>
      </c>
      <c r="AI172" s="7">
        <v>4087.556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116.121</v>
      </c>
      <c r="AP172" s="7">
        <v>0</v>
      </c>
      <c r="AQ172" s="7">
        <v>828.65099999999995</v>
      </c>
      <c r="AR172" s="7">
        <v>0</v>
      </c>
      <c r="AS172" s="7">
        <v>2.4660000000000002</v>
      </c>
      <c r="AT172" s="7">
        <v>0</v>
      </c>
      <c r="AU172" s="7">
        <v>16.995000000000001</v>
      </c>
      <c r="AV172" s="7">
        <v>0</v>
      </c>
      <c r="AW172" s="7">
        <v>0</v>
      </c>
      <c r="AX172" s="7">
        <v>0</v>
      </c>
      <c r="AY172" s="7">
        <v>27.82</v>
      </c>
      <c r="AZ172" s="7">
        <v>491.05700000000002</v>
      </c>
      <c r="BA172" s="7">
        <v>0</v>
      </c>
      <c r="BB172" s="7">
        <v>41.255000000000003</v>
      </c>
      <c r="BC172" s="7">
        <v>0</v>
      </c>
      <c r="BD172" s="7">
        <v>611.29399999999998</v>
      </c>
      <c r="BE172" s="7">
        <v>10.147</v>
      </c>
      <c r="BF172" s="7">
        <v>10.147</v>
      </c>
      <c r="BG172" s="7">
        <v>186.392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7.0000000000000001E-3</v>
      </c>
      <c r="F176" s="7">
        <v>0.3</v>
      </c>
      <c r="G176" s="7">
        <v>0</v>
      </c>
      <c r="H176" s="7">
        <v>0</v>
      </c>
      <c r="I176" s="7">
        <v>0.02</v>
      </c>
      <c r="J176" s="7">
        <v>0</v>
      </c>
      <c r="K176" s="7">
        <v>0</v>
      </c>
      <c r="L176" s="7">
        <v>3.7999999999999999E-2</v>
      </c>
      <c r="M176" s="7">
        <v>0.435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8.6999999999999994E-2</v>
      </c>
      <c r="T176" s="7">
        <v>0</v>
      </c>
      <c r="U176" s="7">
        <v>0</v>
      </c>
      <c r="V176" s="7">
        <v>0</v>
      </c>
      <c r="W176" s="7">
        <v>3.1E-2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4.2000000000000003E-2</v>
      </c>
      <c r="AD176" s="7">
        <v>0</v>
      </c>
      <c r="AE176" s="7">
        <v>2E-3</v>
      </c>
      <c r="AF176" s="7">
        <v>0.623</v>
      </c>
      <c r="AG176" s="7">
        <v>0</v>
      </c>
      <c r="AH176" s="7">
        <v>10.06</v>
      </c>
      <c r="AI176" s="7">
        <v>1.06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7.6999999999999999E-2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-6210.3389999999999</v>
      </c>
      <c r="F177" s="7">
        <v>-617.50300000000004</v>
      </c>
      <c r="G177" s="7">
        <v>0</v>
      </c>
      <c r="H177" s="7">
        <v>0</v>
      </c>
      <c r="I177" s="7">
        <v>-22.452000000000002</v>
      </c>
      <c r="J177" s="7">
        <v>0</v>
      </c>
      <c r="K177" s="7">
        <v>0</v>
      </c>
      <c r="L177" s="7">
        <v>-14632.629000000001</v>
      </c>
      <c r="M177" s="7">
        <v>-2159.4119999999998</v>
      </c>
      <c r="N177" s="7">
        <v>0</v>
      </c>
      <c r="O177" s="7">
        <v>0</v>
      </c>
      <c r="P177" s="7">
        <v>-6.9000000000000006E-2</v>
      </c>
      <c r="Q177" s="7">
        <v>0</v>
      </c>
      <c r="R177" s="7">
        <v>0</v>
      </c>
      <c r="S177" s="7">
        <v>-195.54599999999999</v>
      </c>
      <c r="T177" s="7">
        <v>0</v>
      </c>
      <c r="U177" s="7">
        <v>0</v>
      </c>
      <c r="V177" s="7">
        <v>0</v>
      </c>
      <c r="W177" s="7">
        <v>-63.22</v>
      </c>
      <c r="X177" s="7">
        <v>0</v>
      </c>
      <c r="Y177" s="7">
        <v>-1876.74</v>
      </c>
      <c r="Z177" s="7">
        <v>0</v>
      </c>
      <c r="AA177" s="7">
        <v>0</v>
      </c>
      <c r="AB177" s="7">
        <v>0</v>
      </c>
      <c r="AC177" s="7">
        <v>-117.345</v>
      </c>
      <c r="AD177" s="7">
        <v>0</v>
      </c>
      <c r="AE177" s="7">
        <v>-3297.8760000000002</v>
      </c>
      <c r="AF177" s="7">
        <v>-1843.3710000000001</v>
      </c>
      <c r="AG177" s="7">
        <v>0</v>
      </c>
      <c r="AH177" s="7">
        <v>-19871.522000000001</v>
      </c>
      <c r="AI177" s="7">
        <v>-3158.4479999999999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-90.540999999999997</v>
      </c>
      <c r="AP177" s="7">
        <v>0</v>
      </c>
      <c r="AQ177" s="7">
        <v>-643.55600000000004</v>
      </c>
      <c r="AR177" s="7">
        <v>0</v>
      </c>
      <c r="AS177" s="7">
        <v>-1.9139999999999999</v>
      </c>
      <c r="AT177" s="7">
        <v>0</v>
      </c>
      <c r="AU177" s="7">
        <v>-13.141</v>
      </c>
      <c r="AV177" s="7">
        <v>0</v>
      </c>
      <c r="AW177" s="7">
        <v>0</v>
      </c>
      <c r="AX177" s="7">
        <v>0</v>
      </c>
      <c r="AY177" s="7">
        <v>-19.46</v>
      </c>
      <c r="AZ177" s="7">
        <v>-343.49599999999998</v>
      </c>
      <c r="BA177" s="7">
        <v>0</v>
      </c>
      <c r="BB177" s="7">
        <v>-32.088000000000001</v>
      </c>
      <c r="BC177" s="7">
        <v>0</v>
      </c>
      <c r="BD177" s="7">
        <v>-427.60300000000001</v>
      </c>
      <c r="BE177" s="7">
        <v>-7.9470000000000001</v>
      </c>
      <c r="BF177" s="7">
        <v>-7.9470000000000001</v>
      </c>
      <c r="BG177" s="7">
        <v>-130.381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-64.248999999999995</v>
      </c>
      <c r="F181" s="7">
        <v>-4.8310000000000004</v>
      </c>
      <c r="G181" s="7">
        <v>-11.847</v>
      </c>
      <c r="H181" s="7">
        <v>0</v>
      </c>
      <c r="I181" s="7">
        <v>-1.655</v>
      </c>
      <c r="J181" s="7">
        <v>-8.0730000000000004</v>
      </c>
      <c r="K181" s="7">
        <v>0</v>
      </c>
      <c r="L181" s="7">
        <v>-17.085999999999999</v>
      </c>
      <c r="M181" s="7">
        <v>-19.600999999999999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-1.4770000000000001</v>
      </c>
      <c r="T181" s="7">
        <v>0</v>
      </c>
      <c r="U181" s="7">
        <v>0</v>
      </c>
      <c r="V181" s="7">
        <v>-0.94599999999999995</v>
      </c>
      <c r="W181" s="7">
        <v>-1.6339999999999999</v>
      </c>
      <c r="X181" s="7">
        <v>0</v>
      </c>
      <c r="Y181" s="7">
        <v>-10.903</v>
      </c>
      <c r="Z181" s="7">
        <v>0</v>
      </c>
      <c r="AA181" s="7">
        <v>-17.751000000000001</v>
      </c>
      <c r="AB181" s="7">
        <v>0</v>
      </c>
      <c r="AC181" s="7">
        <v>-0.67300000000000004</v>
      </c>
      <c r="AD181" s="7">
        <v>-0.35699999999999998</v>
      </c>
      <c r="AE181" s="7">
        <v>-25.635000000000002</v>
      </c>
      <c r="AF181" s="7">
        <v>-0.28699999999999998</v>
      </c>
      <c r="AG181" s="7">
        <v>-1.2490000000000001</v>
      </c>
      <c r="AH181" s="7">
        <v>-71.984999999999999</v>
      </c>
      <c r="AI181" s="7">
        <v>-0.48899999999999999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-0.60399999999999998</v>
      </c>
      <c r="AP181" s="7">
        <v>0</v>
      </c>
      <c r="AQ181" s="7">
        <v>-3.5999999999999997E-2</v>
      </c>
      <c r="AR181" s="7">
        <v>0</v>
      </c>
      <c r="AS181" s="7">
        <v>-4.1000000000000002E-2</v>
      </c>
      <c r="AT181" s="7">
        <v>0</v>
      </c>
      <c r="AU181" s="7">
        <v>-0.80900000000000005</v>
      </c>
      <c r="AV181" s="7">
        <v>0</v>
      </c>
      <c r="AW181" s="7">
        <v>0</v>
      </c>
      <c r="AX181" s="7">
        <v>0</v>
      </c>
      <c r="AY181" s="7">
        <v>-0.40899999999999997</v>
      </c>
      <c r="AZ181" s="7">
        <v>0</v>
      </c>
      <c r="BA181" s="7">
        <v>0</v>
      </c>
      <c r="BB181" s="7">
        <v>-0.22900000000000001</v>
      </c>
      <c r="BC181" s="7">
        <v>-0.254</v>
      </c>
      <c r="BD181" s="7">
        <v>0</v>
      </c>
      <c r="BE181" s="7">
        <v>-4.8000000000000001E-2</v>
      </c>
      <c r="BF181" s="7">
        <v>-4.8000000000000001E-2</v>
      </c>
      <c r="BG181" s="7">
        <v>0</v>
      </c>
      <c r="BH181" s="7">
        <v>0</v>
      </c>
      <c r="BI181" s="7">
        <v>-0.109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11.4</v>
      </c>
      <c r="F182" s="7">
        <v>2.2320000000000002</v>
      </c>
      <c r="G182" s="7">
        <v>0</v>
      </c>
      <c r="H182" s="7">
        <v>0</v>
      </c>
      <c r="I182" s="7">
        <v>9.1999999999999998E-2</v>
      </c>
      <c r="J182" s="7">
        <v>0</v>
      </c>
      <c r="K182" s="7">
        <v>0</v>
      </c>
      <c r="L182" s="7">
        <v>26.297999999999998</v>
      </c>
      <c r="M182" s="7">
        <v>1.7450000000000001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0.71799999999999997</v>
      </c>
      <c r="T182" s="7">
        <v>0</v>
      </c>
      <c r="U182" s="7">
        <v>0</v>
      </c>
      <c r="V182" s="7">
        <v>0</v>
      </c>
      <c r="W182" s="7">
        <v>0.24299999999999999</v>
      </c>
      <c r="X182" s="7">
        <v>0</v>
      </c>
      <c r="Y182" s="7">
        <v>4.9539999999999997</v>
      </c>
      <c r="Z182" s="7">
        <v>0</v>
      </c>
      <c r="AA182" s="7">
        <v>0</v>
      </c>
      <c r="AB182" s="7">
        <v>0</v>
      </c>
      <c r="AC182" s="7">
        <v>0.435</v>
      </c>
      <c r="AD182" s="7">
        <v>0</v>
      </c>
      <c r="AE182" s="7">
        <v>12.170999999999999</v>
      </c>
      <c r="AF182" s="7">
        <v>6.6109999999999998</v>
      </c>
      <c r="AG182" s="7">
        <v>0</v>
      </c>
      <c r="AH182" s="7">
        <v>45.527000000000001</v>
      </c>
      <c r="AI182" s="7">
        <v>11.904999999999999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0.31900000000000001</v>
      </c>
      <c r="AP182" s="7">
        <v>0</v>
      </c>
      <c r="AQ182" s="7">
        <v>2.3319999999999999</v>
      </c>
      <c r="AR182" s="7">
        <v>0</v>
      </c>
      <c r="AS182" s="7">
        <v>7.0000000000000001E-3</v>
      </c>
      <c r="AT182" s="7">
        <v>0</v>
      </c>
      <c r="AU182" s="7">
        <v>4.9000000000000002E-2</v>
      </c>
      <c r="AV182" s="7">
        <v>0</v>
      </c>
      <c r="AW182" s="7">
        <v>0</v>
      </c>
      <c r="AX182" s="7">
        <v>0</v>
      </c>
      <c r="AY182" s="7">
        <v>0.11700000000000001</v>
      </c>
      <c r="AZ182" s="7">
        <v>2.0579999999999998</v>
      </c>
      <c r="BA182" s="7">
        <v>0</v>
      </c>
      <c r="BB182" s="7">
        <v>0.115</v>
      </c>
      <c r="BC182" s="7">
        <v>0</v>
      </c>
      <c r="BD182" s="7">
        <v>2.5619999999999998</v>
      </c>
      <c r="BE182" s="7">
        <v>2.7E-2</v>
      </c>
      <c r="BF182" s="7">
        <v>2.7E-2</v>
      </c>
      <c r="BG182" s="7">
        <v>0.78100000000000003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31.1</v>
      </c>
      <c r="F194" s="7">
        <v>2.7759999999999998</v>
      </c>
      <c r="G194" s="7">
        <v>8.2479999999999993</v>
      </c>
      <c r="H194" s="7">
        <v>0</v>
      </c>
      <c r="I194" s="7">
        <v>0.71</v>
      </c>
      <c r="J194" s="7">
        <v>6.1159999999999997</v>
      </c>
      <c r="K194" s="7">
        <v>0</v>
      </c>
      <c r="L194" s="7">
        <v>11.026999999999999</v>
      </c>
      <c r="M194" s="7">
        <v>19.478999999999999</v>
      </c>
      <c r="N194" s="7">
        <v>0</v>
      </c>
      <c r="O194" s="7">
        <v>0</v>
      </c>
      <c r="P194" s="7">
        <v>1E-3</v>
      </c>
      <c r="Q194" s="7">
        <v>0</v>
      </c>
      <c r="R194" s="7">
        <v>0</v>
      </c>
      <c r="S194" s="7">
        <v>1.03</v>
      </c>
      <c r="T194" s="7">
        <v>0</v>
      </c>
      <c r="U194" s="7">
        <v>0</v>
      </c>
      <c r="V194" s="7">
        <v>0.76</v>
      </c>
      <c r="W194" s="7">
        <v>1.9039999999999999</v>
      </c>
      <c r="X194" s="7">
        <v>0</v>
      </c>
      <c r="Y194" s="7">
        <v>4.8440000000000003</v>
      </c>
      <c r="Z194" s="7">
        <v>0</v>
      </c>
      <c r="AA194" s="7">
        <v>8.9329999999999998</v>
      </c>
      <c r="AB194" s="7">
        <v>0</v>
      </c>
      <c r="AC194" s="7">
        <v>0.55200000000000005</v>
      </c>
      <c r="AD194" s="7">
        <v>0</v>
      </c>
      <c r="AE194" s="7">
        <v>13.821999999999999</v>
      </c>
      <c r="AF194" s="7">
        <v>0</v>
      </c>
      <c r="AG194" s="7">
        <v>0</v>
      </c>
      <c r="AH194" s="7">
        <v>38.344999999999999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0.45200000000000001</v>
      </c>
      <c r="AP194" s="7">
        <v>0</v>
      </c>
      <c r="AQ194" s="7">
        <v>0</v>
      </c>
      <c r="AR194" s="7">
        <v>0</v>
      </c>
      <c r="AS194" s="7">
        <v>4.0000000000000001E-3</v>
      </c>
      <c r="AT194" s="7">
        <v>0</v>
      </c>
      <c r="AU194" s="7">
        <v>0.22600000000000001</v>
      </c>
      <c r="AV194" s="7">
        <v>0</v>
      </c>
      <c r="AW194" s="7">
        <v>0</v>
      </c>
      <c r="AX194" s="7">
        <v>0</v>
      </c>
      <c r="AY194" s="7">
        <v>0.33900000000000002</v>
      </c>
      <c r="AZ194" s="7">
        <v>0</v>
      </c>
      <c r="BA194" s="7">
        <v>0</v>
      </c>
      <c r="BB194" s="7">
        <v>0.16800000000000001</v>
      </c>
      <c r="BC194" s="7">
        <v>0.27400000000000002</v>
      </c>
      <c r="BD194" s="7">
        <v>0</v>
      </c>
      <c r="BE194" s="7">
        <v>4.2999999999999997E-2</v>
      </c>
      <c r="BF194" s="7">
        <v>4.2999999999999997E-2</v>
      </c>
      <c r="BG194" s="7">
        <v>0</v>
      </c>
      <c r="BH194" s="7">
        <v>0</v>
      </c>
      <c r="BI194" s="7">
        <v>0.125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29.876999999999999</v>
      </c>
      <c r="R195" s="7">
        <v>88.893000000000001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145.512</v>
      </c>
      <c r="F196" s="7">
        <v>0</v>
      </c>
      <c r="G196" s="7">
        <v>35.432000000000002</v>
      </c>
      <c r="H196" s="7">
        <v>0</v>
      </c>
      <c r="I196" s="7">
        <v>0</v>
      </c>
      <c r="J196" s="7">
        <v>61.631999999999998</v>
      </c>
      <c r="K196" s="7">
        <v>0</v>
      </c>
      <c r="L196" s="7">
        <v>523.37400000000002</v>
      </c>
      <c r="M196" s="7">
        <v>75.89</v>
      </c>
      <c r="N196" s="7">
        <v>0</v>
      </c>
      <c r="O196" s="7">
        <v>0</v>
      </c>
      <c r="P196" s="7">
        <v>0</v>
      </c>
      <c r="Q196" s="7">
        <v>23.85</v>
      </c>
      <c r="R196" s="7">
        <v>70.960999999999999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448.65600000000001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1302.9880000000001</v>
      </c>
      <c r="F214" s="7">
        <v>115.548</v>
      </c>
      <c r="G214" s="7">
        <v>173.59299999999999</v>
      </c>
      <c r="H214" s="7">
        <v>0.86799999999999999</v>
      </c>
      <c r="I214" s="7">
        <v>28.635999999999999</v>
      </c>
      <c r="J214" s="7">
        <v>102.40900000000001</v>
      </c>
      <c r="K214" s="7">
        <v>0</v>
      </c>
      <c r="L214" s="7">
        <v>950.053</v>
      </c>
      <c r="M214" s="7">
        <v>461.86500000000001</v>
      </c>
      <c r="N214" s="7">
        <v>0</v>
      </c>
      <c r="O214" s="7">
        <v>0</v>
      </c>
      <c r="P214" s="7">
        <v>5.22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15.433999999999999</v>
      </c>
      <c r="W214" s="7">
        <v>46.27</v>
      </c>
      <c r="X214" s="7">
        <v>0</v>
      </c>
      <c r="Y214" s="7">
        <v>363.42500000000001</v>
      </c>
      <c r="Z214" s="7">
        <v>0</v>
      </c>
      <c r="AA214" s="7">
        <v>128.161</v>
      </c>
      <c r="AB214" s="7">
        <v>0</v>
      </c>
      <c r="AC214" s="7">
        <v>19.963999999999999</v>
      </c>
      <c r="AD214" s="7">
        <v>0</v>
      </c>
      <c r="AE214" s="7">
        <v>1171.155</v>
      </c>
      <c r="AF214" s="7">
        <v>0</v>
      </c>
      <c r="AG214" s="7">
        <v>0</v>
      </c>
      <c r="AH214" s="7">
        <v>2717.3470000000002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-1E-3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58724.678999999996</v>
      </c>
      <c r="F221" s="7">
        <v>11497.302</v>
      </c>
      <c r="G221" s="7">
        <v>0</v>
      </c>
      <c r="H221" s="7">
        <v>0</v>
      </c>
      <c r="I221" s="7">
        <v>476.11700000000002</v>
      </c>
      <c r="J221" s="7">
        <v>0</v>
      </c>
      <c r="K221" s="7">
        <v>0</v>
      </c>
      <c r="L221" s="7">
        <v>135469.98199999999</v>
      </c>
      <c r="M221" s="7">
        <v>8990.9050000000007</v>
      </c>
      <c r="N221" s="7">
        <v>0</v>
      </c>
      <c r="O221" s="7">
        <v>0</v>
      </c>
      <c r="P221" s="7">
        <v>2.0939999999999999</v>
      </c>
      <c r="Q221" s="7">
        <v>0</v>
      </c>
      <c r="R221" s="7">
        <v>0</v>
      </c>
      <c r="S221" s="7">
        <v>3697.0120000000002</v>
      </c>
      <c r="T221" s="7">
        <v>0</v>
      </c>
      <c r="U221" s="7">
        <v>0</v>
      </c>
      <c r="V221" s="7">
        <v>0</v>
      </c>
      <c r="W221" s="7">
        <v>1253.4770000000001</v>
      </c>
      <c r="X221" s="7">
        <v>0</v>
      </c>
      <c r="Y221" s="7">
        <v>25521.096000000001</v>
      </c>
      <c r="Z221" s="7">
        <v>0</v>
      </c>
      <c r="AA221" s="7">
        <v>0</v>
      </c>
      <c r="AB221" s="7">
        <v>0</v>
      </c>
      <c r="AC221" s="7">
        <v>2243.3429999999998</v>
      </c>
      <c r="AD221" s="7">
        <v>0</v>
      </c>
      <c r="AE221" s="7">
        <v>62697.519</v>
      </c>
      <c r="AF221" s="7">
        <v>34053.26</v>
      </c>
      <c r="AG221" s="7">
        <v>0</v>
      </c>
      <c r="AH221" s="7">
        <v>234523.51800000001</v>
      </c>
      <c r="AI221" s="7">
        <v>61324.633999999998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1640.8510000000001</v>
      </c>
      <c r="AP221" s="7">
        <v>0</v>
      </c>
      <c r="AQ221" s="7">
        <v>12011.75</v>
      </c>
      <c r="AR221" s="7">
        <v>0</v>
      </c>
      <c r="AS221" s="7">
        <v>35.643999999999998</v>
      </c>
      <c r="AT221" s="7">
        <v>0</v>
      </c>
      <c r="AU221" s="7">
        <v>250.08699999999999</v>
      </c>
      <c r="AV221" s="7">
        <v>0</v>
      </c>
      <c r="AW221" s="7">
        <v>0</v>
      </c>
      <c r="AX221" s="7">
        <v>0</v>
      </c>
      <c r="AY221" s="7">
        <v>600.64300000000003</v>
      </c>
      <c r="AZ221" s="7">
        <v>10602.061</v>
      </c>
      <c r="BA221" s="7">
        <v>0</v>
      </c>
      <c r="BB221" s="7">
        <v>590.23400000000004</v>
      </c>
      <c r="BC221" s="7">
        <v>0</v>
      </c>
      <c r="BD221" s="7">
        <v>13198.022000000001</v>
      </c>
      <c r="BE221" s="7">
        <v>140.13200000000001</v>
      </c>
      <c r="BF221" s="7">
        <v>140.13200000000001</v>
      </c>
      <c r="BG221" s="7">
        <v>4024.2539999999999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169.916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2967.1950000000002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4789.7709999999997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497.947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390.697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3.7999999999999999E-2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4.3999999999999997E-2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3548.7869999999998</v>
      </c>
      <c r="F278" s="7">
        <v>2473.7919999999999</v>
      </c>
      <c r="G278" s="7">
        <v>173.02099999999999</v>
      </c>
      <c r="H278" s="7">
        <v>0.113</v>
      </c>
      <c r="I278" s="7">
        <v>218.91900000000001</v>
      </c>
      <c r="J278" s="7">
        <v>1837.461</v>
      </c>
      <c r="K278" s="7">
        <v>0</v>
      </c>
      <c r="L278" s="7">
        <v>5302.25</v>
      </c>
      <c r="M278" s="7">
        <v>2030.008</v>
      </c>
      <c r="N278" s="7">
        <v>0</v>
      </c>
      <c r="O278" s="7">
        <v>0</v>
      </c>
      <c r="P278" s="7">
        <v>7.0000000000000001E-3</v>
      </c>
      <c r="Q278" s="7">
        <v>0</v>
      </c>
      <c r="R278" s="7">
        <v>0</v>
      </c>
      <c r="S278" s="7">
        <v>991.39400000000001</v>
      </c>
      <c r="T278" s="7">
        <v>0</v>
      </c>
      <c r="U278" s="7">
        <v>0</v>
      </c>
      <c r="V278" s="7">
        <v>322.35599999999999</v>
      </c>
      <c r="W278" s="7">
        <v>3.2719999999999998</v>
      </c>
      <c r="X278" s="7">
        <v>0</v>
      </c>
      <c r="Y278" s="7">
        <v>143.892</v>
      </c>
      <c r="Z278" s="7">
        <v>0</v>
      </c>
      <c r="AA278" s="7">
        <v>5348.6080000000002</v>
      </c>
      <c r="AB278" s="7">
        <v>0</v>
      </c>
      <c r="AC278" s="7">
        <v>411.99799999999999</v>
      </c>
      <c r="AD278" s="7">
        <v>0</v>
      </c>
      <c r="AE278" s="7">
        <v>185.64099999999999</v>
      </c>
      <c r="AF278" s="7">
        <v>45.347999999999999</v>
      </c>
      <c r="AG278" s="7">
        <v>0</v>
      </c>
      <c r="AH278" s="7">
        <v>8606.3449999999993</v>
      </c>
      <c r="AI278" s="7">
        <v>3.4000000000000002E-2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658.48</v>
      </c>
      <c r="AP278" s="7">
        <v>0</v>
      </c>
      <c r="AQ278" s="7">
        <v>6.68</v>
      </c>
      <c r="AR278" s="7">
        <v>0</v>
      </c>
      <c r="AS278" s="7">
        <v>3.456</v>
      </c>
      <c r="AT278" s="7">
        <v>0</v>
      </c>
      <c r="AU278" s="7">
        <v>0.47099999999999997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221.13399999999999</v>
      </c>
      <c r="BC278" s="7">
        <v>0</v>
      </c>
      <c r="BD278" s="7">
        <v>0</v>
      </c>
      <c r="BE278" s="7">
        <v>53.149000000000001</v>
      </c>
      <c r="BF278" s="7">
        <v>53.149000000000001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144670.897</v>
      </c>
      <c r="F280" s="7">
        <v>0</v>
      </c>
      <c r="G280" s="7">
        <v>12509.878000000001</v>
      </c>
      <c r="H280" s="7">
        <v>83.968000000000004</v>
      </c>
      <c r="I280" s="7">
        <v>0</v>
      </c>
      <c r="J280" s="7">
        <v>31694.699000000001</v>
      </c>
      <c r="K280" s="7">
        <v>16465.778999999999</v>
      </c>
      <c r="L280" s="7">
        <v>121477.80899999999</v>
      </c>
      <c r="M280" s="7">
        <v>174897.65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2954.828</v>
      </c>
      <c r="V280" s="7">
        <v>5381.4669999999996</v>
      </c>
      <c r="W280" s="7">
        <v>9188.06</v>
      </c>
      <c r="X280" s="7">
        <v>0</v>
      </c>
      <c r="Y280" s="7">
        <v>27971.937999999998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76061.036999999997</v>
      </c>
      <c r="AF280" s="7">
        <v>8849.0280000000002</v>
      </c>
      <c r="AG280" s="7">
        <v>9566.018</v>
      </c>
      <c r="AH280" s="7">
        <v>503621.109</v>
      </c>
      <c r="AI280" s="7">
        <v>95116.332999999999</v>
      </c>
      <c r="AJ280" s="7">
        <v>15.423999999999999</v>
      </c>
      <c r="AK280" s="7">
        <v>418.53300000000002</v>
      </c>
      <c r="AL280" s="7">
        <v>114.77800000000001</v>
      </c>
      <c r="AM280" s="7">
        <v>692.79100000000005</v>
      </c>
      <c r="AN280" s="7">
        <v>116.303</v>
      </c>
      <c r="AO280" s="7">
        <v>0</v>
      </c>
      <c r="AP280" s="7">
        <v>0</v>
      </c>
      <c r="AQ280" s="7">
        <v>9033.4879999999994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15350.927</v>
      </c>
      <c r="F282" s="7">
        <v>1383.414</v>
      </c>
      <c r="G282" s="7">
        <v>1949.6030000000001</v>
      </c>
      <c r="H282" s="7">
        <v>0</v>
      </c>
      <c r="I282" s="7">
        <v>342.84399999999999</v>
      </c>
      <c r="J282" s="7">
        <v>1189.76</v>
      </c>
      <c r="K282" s="7">
        <v>0</v>
      </c>
      <c r="L282" s="7">
        <v>11089.615</v>
      </c>
      <c r="M282" s="7">
        <v>5308.0339999999997</v>
      </c>
      <c r="N282" s="7">
        <v>0</v>
      </c>
      <c r="O282" s="7">
        <v>0</v>
      </c>
      <c r="P282" s="7">
        <v>62.502000000000002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184.78800000000001</v>
      </c>
      <c r="W282" s="7">
        <v>553.97799999999995</v>
      </c>
      <c r="X282" s="7">
        <v>0</v>
      </c>
      <c r="Y282" s="7">
        <v>4351.1729999999998</v>
      </c>
      <c r="Z282" s="7">
        <v>0</v>
      </c>
      <c r="AA282" s="7">
        <v>1534.431</v>
      </c>
      <c r="AB282" s="7">
        <v>0</v>
      </c>
      <c r="AC282" s="7">
        <v>239.02500000000001</v>
      </c>
      <c r="AD282" s="7">
        <v>0</v>
      </c>
      <c r="AE282" s="7">
        <v>14021.852999999999</v>
      </c>
      <c r="AF282" s="7">
        <v>0</v>
      </c>
      <c r="AG282" s="7">
        <v>0</v>
      </c>
      <c r="AH282" s="7">
        <v>32175.448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81116.044999999998</v>
      </c>
      <c r="F286" s="7">
        <v>7620.6869999999999</v>
      </c>
      <c r="G286" s="7">
        <v>11711.374</v>
      </c>
      <c r="H286" s="7">
        <v>0</v>
      </c>
      <c r="I286" s="7">
        <v>1944.546</v>
      </c>
      <c r="J286" s="7">
        <v>6771.5320000000002</v>
      </c>
      <c r="K286" s="7">
        <v>0</v>
      </c>
      <c r="L286" s="7">
        <v>70079.232000000004</v>
      </c>
      <c r="M286" s="7">
        <v>31745.485000000001</v>
      </c>
      <c r="N286" s="7">
        <v>0</v>
      </c>
      <c r="O286" s="7">
        <v>0</v>
      </c>
      <c r="P286" s="7">
        <v>378.24299999999999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881.03700000000003</v>
      </c>
      <c r="W286" s="7">
        <v>2641.2629999999999</v>
      </c>
      <c r="X286" s="7">
        <v>0</v>
      </c>
      <c r="Y286" s="7">
        <v>21356.464</v>
      </c>
      <c r="Z286" s="7">
        <v>0</v>
      </c>
      <c r="AA286" s="7">
        <v>7315.8879999999999</v>
      </c>
      <c r="AB286" s="7">
        <v>0</v>
      </c>
      <c r="AC286" s="7">
        <v>1139.6289999999999</v>
      </c>
      <c r="AD286" s="7">
        <v>0</v>
      </c>
      <c r="AE286" s="7">
        <v>69286.357999999993</v>
      </c>
      <c r="AF286" s="7">
        <v>0</v>
      </c>
      <c r="AG286" s="7">
        <v>0</v>
      </c>
      <c r="AH286" s="7">
        <v>182629.495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202589.50099999999</v>
      </c>
      <c r="F287" s="7">
        <v>19280.774000000001</v>
      </c>
      <c r="G287" s="7">
        <v>29080.830999999998</v>
      </c>
      <c r="H287" s="7">
        <v>9264.2240000000002</v>
      </c>
      <c r="I287" s="7">
        <v>5119.3950000000004</v>
      </c>
      <c r="J287" s="7">
        <v>17183.687000000002</v>
      </c>
      <c r="K287" s="7">
        <v>0</v>
      </c>
      <c r="L287" s="7">
        <v>152617.81899999999</v>
      </c>
      <c r="M287" s="7">
        <v>78014.649000000005</v>
      </c>
      <c r="N287" s="7">
        <v>0</v>
      </c>
      <c r="O287" s="7">
        <v>0</v>
      </c>
      <c r="P287" s="7">
        <v>933.37199999999996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2246.5639999999999</v>
      </c>
      <c r="W287" s="7">
        <v>6821.7330000000002</v>
      </c>
      <c r="X287" s="7">
        <v>0</v>
      </c>
      <c r="Y287" s="7">
        <v>53246.398000000001</v>
      </c>
      <c r="Z287" s="7">
        <v>0</v>
      </c>
      <c r="AA287" s="7">
        <v>18930.059000000001</v>
      </c>
      <c r="AB287" s="7">
        <v>0</v>
      </c>
      <c r="AC287" s="7">
        <v>2905.95</v>
      </c>
      <c r="AD287" s="7">
        <v>0</v>
      </c>
      <c r="AE287" s="7">
        <v>171492.258</v>
      </c>
      <c r="AF287" s="7">
        <v>0</v>
      </c>
      <c r="AG287" s="7">
        <v>0</v>
      </c>
      <c r="AH287" s="7">
        <v>423292.88299999997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-2E-3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2158.7739999999999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6160.3090000000002</v>
      </c>
      <c r="M288" s="7">
        <v>295.59699999999998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2446.7919999999999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5014.924</v>
      </c>
      <c r="AF288" s="7">
        <v>0</v>
      </c>
      <c r="AG288" s="7">
        <v>0</v>
      </c>
      <c r="AH288" s="7">
        <v>12374.089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32749.329000000002</v>
      </c>
      <c r="F289" s="7">
        <v>2678.15</v>
      </c>
      <c r="G289" s="7">
        <v>3774.2359999999999</v>
      </c>
      <c r="H289" s="7">
        <v>0</v>
      </c>
      <c r="I289" s="7">
        <v>663.71199999999999</v>
      </c>
      <c r="J289" s="7">
        <v>2303.2559999999999</v>
      </c>
      <c r="K289" s="7">
        <v>0</v>
      </c>
      <c r="L289" s="7">
        <v>27639.941999999999</v>
      </c>
      <c r="M289" s="7">
        <v>11382.78</v>
      </c>
      <c r="N289" s="7">
        <v>0</v>
      </c>
      <c r="O289" s="7">
        <v>0</v>
      </c>
      <c r="P289" s="7">
        <v>120.998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357.73200000000003</v>
      </c>
      <c r="W289" s="7">
        <v>1072.4449999999999</v>
      </c>
      <c r="X289" s="7">
        <v>0</v>
      </c>
      <c r="Y289" s="7">
        <v>10557.51</v>
      </c>
      <c r="Z289" s="7">
        <v>0</v>
      </c>
      <c r="AA289" s="7">
        <v>2970.5050000000001</v>
      </c>
      <c r="AB289" s="7">
        <v>0</v>
      </c>
      <c r="AC289" s="7">
        <v>462.72899999999998</v>
      </c>
      <c r="AD289" s="7">
        <v>0</v>
      </c>
      <c r="AE289" s="7">
        <v>31405.455999999998</v>
      </c>
      <c r="AF289" s="7">
        <v>0</v>
      </c>
      <c r="AG289" s="7">
        <v>0</v>
      </c>
      <c r="AH289" s="7">
        <v>72245.804999999993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61446.567999999999</v>
      </c>
      <c r="F290" s="7">
        <v>824.48299999999995</v>
      </c>
      <c r="G290" s="7">
        <v>1161.9190000000001</v>
      </c>
      <c r="H290" s="7">
        <v>8831.9359999999997</v>
      </c>
      <c r="I290" s="7">
        <v>204.327</v>
      </c>
      <c r="J290" s="7">
        <v>709.07</v>
      </c>
      <c r="K290" s="7">
        <v>0</v>
      </c>
      <c r="L290" s="7">
        <v>49584.652000000002</v>
      </c>
      <c r="M290" s="7">
        <v>10668.829</v>
      </c>
      <c r="N290" s="7">
        <v>0</v>
      </c>
      <c r="O290" s="7">
        <v>0</v>
      </c>
      <c r="P290" s="7">
        <v>37.25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110.13</v>
      </c>
      <c r="W290" s="7">
        <v>330.15800000000002</v>
      </c>
      <c r="X290" s="7">
        <v>0</v>
      </c>
      <c r="Y290" s="7">
        <v>19097.234</v>
      </c>
      <c r="Z290" s="7">
        <v>0</v>
      </c>
      <c r="AA290" s="7">
        <v>1572.421</v>
      </c>
      <c r="AB290" s="7">
        <v>0</v>
      </c>
      <c r="AC290" s="7">
        <v>142.45400000000001</v>
      </c>
      <c r="AD290" s="7">
        <v>0</v>
      </c>
      <c r="AE290" s="7">
        <v>49885.462</v>
      </c>
      <c r="AF290" s="7">
        <v>0</v>
      </c>
      <c r="AG290" s="7">
        <v>0</v>
      </c>
      <c r="AH290" s="7">
        <v>126557.624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220492.16699999999</v>
      </c>
      <c r="F293" s="7">
        <v>15372.611000000001</v>
      </c>
      <c r="G293" s="7">
        <v>19576.036</v>
      </c>
      <c r="H293" s="7">
        <v>0</v>
      </c>
      <c r="I293" s="7">
        <v>3034.1930000000002</v>
      </c>
      <c r="J293" s="7">
        <v>12598.124</v>
      </c>
      <c r="K293" s="7">
        <v>0</v>
      </c>
      <c r="L293" s="7">
        <v>138981.21400000001</v>
      </c>
      <c r="M293" s="7">
        <v>54784.252999999997</v>
      </c>
      <c r="N293" s="7">
        <v>0</v>
      </c>
      <c r="O293" s="7">
        <v>0</v>
      </c>
      <c r="P293" s="7">
        <v>501.14499999999998</v>
      </c>
      <c r="Q293" s="7">
        <v>0</v>
      </c>
      <c r="R293" s="7">
        <v>38.299999999999997</v>
      </c>
      <c r="S293" s="7">
        <v>0</v>
      </c>
      <c r="T293" s="7">
        <v>0</v>
      </c>
      <c r="U293" s="7">
        <v>0</v>
      </c>
      <c r="V293" s="7">
        <v>2804.8359999999998</v>
      </c>
      <c r="W293" s="7">
        <v>8311.6239999999998</v>
      </c>
      <c r="X293" s="7">
        <v>0</v>
      </c>
      <c r="Y293" s="7">
        <v>67738.572</v>
      </c>
      <c r="Z293" s="7">
        <v>0</v>
      </c>
      <c r="AA293" s="7">
        <v>25810.822</v>
      </c>
      <c r="AB293" s="7">
        <v>0</v>
      </c>
      <c r="AC293" s="7">
        <v>4298.24</v>
      </c>
      <c r="AD293" s="7">
        <v>0</v>
      </c>
      <c r="AE293" s="7">
        <v>200664.34400000001</v>
      </c>
      <c r="AF293" s="7">
        <v>0</v>
      </c>
      <c r="AG293" s="7">
        <v>0</v>
      </c>
      <c r="AH293" s="7">
        <v>476178.28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26821.506000000001</v>
      </c>
      <c r="F294" s="7">
        <v>1149.1769999999999</v>
      </c>
      <c r="G294" s="7">
        <v>1485.9010000000001</v>
      </c>
      <c r="H294" s="7">
        <v>0</v>
      </c>
      <c r="I294" s="7">
        <v>235.17599999999999</v>
      </c>
      <c r="J294" s="7">
        <v>948.47900000000004</v>
      </c>
      <c r="K294" s="7">
        <v>0</v>
      </c>
      <c r="L294" s="7">
        <v>30111.016</v>
      </c>
      <c r="M294" s="7">
        <v>7782.4620000000004</v>
      </c>
      <c r="N294" s="7">
        <v>0</v>
      </c>
      <c r="O294" s="7">
        <v>0</v>
      </c>
      <c r="P294" s="7">
        <v>39.545999999999999</v>
      </c>
      <c r="Q294" s="7">
        <v>0</v>
      </c>
      <c r="R294" s="7">
        <v>2.4500000000000002</v>
      </c>
      <c r="S294" s="7">
        <v>0</v>
      </c>
      <c r="T294" s="7">
        <v>0</v>
      </c>
      <c r="U294" s="7">
        <v>0</v>
      </c>
      <c r="V294" s="7">
        <v>201.57900000000001</v>
      </c>
      <c r="W294" s="7">
        <v>598.10799999999995</v>
      </c>
      <c r="X294" s="7">
        <v>0</v>
      </c>
      <c r="Y294" s="7">
        <v>4925.3810000000003</v>
      </c>
      <c r="Z294" s="7">
        <v>0</v>
      </c>
      <c r="AA294" s="7">
        <v>1835.1020000000001</v>
      </c>
      <c r="AB294" s="7">
        <v>0</v>
      </c>
      <c r="AC294" s="7">
        <v>303.62099999999998</v>
      </c>
      <c r="AD294" s="7">
        <v>0</v>
      </c>
      <c r="AE294" s="7">
        <v>17260.539000000001</v>
      </c>
      <c r="AF294" s="7">
        <v>0</v>
      </c>
      <c r="AG294" s="7">
        <v>0</v>
      </c>
      <c r="AH294" s="7">
        <v>48118.196000000004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-25389.332999999999</v>
      </c>
      <c r="F312" s="7">
        <v>-5884.0379999999996</v>
      </c>
      <c r="G312" s="7">
        <v>0</v>
      </c>
      <c r="H312" s="7">
        <v>0</v>
      </c>
      <c r="I312" s="7">
        <v>-155.29900000000001</v>
      </c>
      <c r="J312" s="7">
        <v>0</v>
      </c>
      <c r="K312" s="7">
        <v>0</v>
      </c>
      <c r="L312" s="7">
        <v>-66388.673999999999</v>
      </c>
      <c r="M312" s="7">
        <v>-2366.0639999999999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-1826.0319999999999</v>
      </c>
      <c r="T312" s="7">
        <v>0</v>
      </c>
      <c r="U312" s="7">
        <v>0</v>
      </c>
      <c r="V312" s="7">
        <v>0</v>
      </c>
      <c r="W312" s="7">
        <v>-539.26400000000001</v>
      </c>
      <c r="X312" s="7">
        <v>0</v>
      </c>
      <c r="Y312" s="7">
        <v>-12953.74</v>
      </c>
      <c r="Z312" s="7">
        <v>0</v>
      </c>
      <c r="AA312" s="7">
        <v>0</v>
      </c>
      <c r="AB312" s="7">
        <v>0</v>
      </c>
      <c r="AC312" s="7">
        <v>-1086.8409999999999</v>
      </c>
      <c r="AD312" s="7">
        <v>0</v>
      </c>
      <c r="AE312" s="7">
        <v>-32186.082999999999</v>
      </c>
      <c r="AF312" s="7">
        <v>-18096.798999999999</v>
      </c>
      <c r="AG312" s="7">
        <v>0</v>
      </c>
      <c r="AH312" s="7">
        <v>-111679.81</v>
      </c>
      <c r="AI312" s="7">
        <v>-28565.356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-949.92499999999995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-34923.589999999997</v>
      </c>
      <c r="F322" s="7">
        <v>-8050.4290000000001</v>
      </c>
      <c r="G322" s="7">
        <v>-868.44399999999996</v>
      </c>
      <c r="H322" s="7">
        <v>0</v>
      </c>
      <c r="I322" s="7">
        <v>-363.29899999999998</v>
      </c>
      <c r="J322" s="7">
        <v>-684.10900000000004</v>
      </c>
      <c r="K322" s="7">
        <v>0</v>
      </c>
      <c r="L322" s="7">
        <v>-84354.697</v>
      </c>
      <c r="M322" s="7">
        <v>-5874.9750000000004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-2477.9360000000001</v>
      </c>
      <c r="T322" s="7">
        <v>0</v>
      </c>
      <c r="U322" s="7">
        <v>0</v>
      </c>
      <c r="V322" s="7">
        <v>-106.393</v>
      </c>
      <c r="W322" s="7">
        <v>-905.50599999999997</v>
      </c>
      <c r="X322" s="7">
        <v>0</v>
      </c>
      <c r="Y322" s="7">
        <v>-17032.704000000002</v>
      </c>
      <c r="Z322" s="7">
        <v>0</v>
      </c>
      <c r="AA322" s="7">
        <v>-816.47500000000002</v>
      </c>
      <c r="AB322" s="7">
        <v>0</v>
      </c>
      <c r="AC322" s="7">
        <v>-1461.3779999999999</v>
      </c>
      <c r="AD322" s="7">
        <v>0</v>
      </c>
      <c r="AE322" s="7">
        <v>-41827.144</v>
      </c>
      <c r="AF322" s="7">
        <v>-22021.292000000001</v>
      </c>
      <c r="AG322" s="7">
        <v>0</v>
      </c>
      <c r="AH322" s="7">
        <v>-146168.65900000001</v>
      </c>
      <c r="AI322" s="7">
        <v>-34760.072999999997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-1206.867</v>
      </c>
      <c r="AP322" s="7">
        <v>0</v>
      </c>
      <c r="AQ322" s="7">
        <v>-14136.236999999999</v>
      </c>
      <c r="AR322" s="7">
        <v>0</v>
      </c>
      <c r="AS322" s="7">
        <v>-43.093000000000004</v>
      </c>
      <c r="AT322" s="7">
        <v>0</v>
      </c>
      <c r="AU322" s="7">
        <v>-284.11900000000003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-749.36099999999999</v>
      </c>
      <c r="BC322" s="7">
        <v>0</v>
      </c>
      <c r="BD322" s="7">
        <v>0</v>
      </c>
      <c r="BE322" s="7">
        <v>-200.03399999999999</v>
      </c>
      <c r="BF322" s="7">
        <v>-200.03399999999999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-5589.2129999999997</v>
      </c>
      <c r="F324" s="7">
        <v>-1295.3130000000001</v>
      </c>
      <c r="G324" s="7">
        <v>0</v>
      </c>
      <c r="H324" s="7">
        <v>0</v>
      </c>
      <c r="I324" s="7">
        <v>-34.188000000000002</v>
      </c>
      <c r="J324" s="7">
        <v>0</v>
      </c>
      <c r="K324" s="7">
        <v>0</v>
      </c>
      <c r="L324" s="7">
        <v>-14614.816000000001</v>
      </c>
      <c r="M324" s="7">
        <v>-520.86599999999999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-401.983</v>
      </c>
      <c r="T324" s="7">
        <v>0</v>
      </c>
      <c r="U324" s="7">
        <v>0</v>
      </c>
      <c r="V324" s="7">
        <v>0</v>
      </c>
      <c r="W324" s="7">
        <v>-118.714</v>
      </c>
      <c r="X324" s="7">
        <v>0</v>
      </c>
      <c r="Y324" s="7">
        <v>-2851.6390000000001</v>
      </c>
      <c r="Z324" s="7">
        <v>0</v>
      </c>
      <c r="AA324" s="7">
        <v>0</v>
      </c>
      <c r="AB324" s="7">
        <v>0</v>
      </c>
      <c r="AC324" s="7">
        <v>-239.25700000000001</v>
      </c>
      <c r="AD324" s="7">
        <v>0</v>
      </c>
      <c r="AE324" s="7">
        <v>-7085.451</v>
      </c>
      <c r="AF324" s="7">
        <v>-3983.8330000000001</v>
      </c>
      <c r="AG324" s="7">
        <v>0</v>
      </c>
      <c r="AH324" s="7">
        <v>-24585.216</v>
      </c>
      <c r="AI324" s="7">
        <v>-6288.3829999999998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-209.11699999999999</v>
      </c>
      <c r="AP324" s="7">
        <v>0</v>
      </c>
      <c r="AQ324" s="7">
        <v>-1403.7660000000001</v>
      </c>
      <c r="AR324" s="7">
        <v>0</v>
      </c>
      <c r="AS324" s="7">
        <v>-4.2460000000000004</v>
      </c>
      <c r="AT324" s="7">
        <v>0</v>
      </c>
      <c r="AU324" s="7">
        <v>-28.213999999999999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-72.533000000000001</v>
      </c>
      <c r="BC324" s="7">
        <v>0</v>
      </c>
      <c r="BD324" s="7">
        <v>0</v>
      </c>
      <c r="BE324" s="7">
        <v>-19.061</v>
      </c>
      <c r="BF324" s="7">
        <v>-19.061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64.596000000000004</v>
      </c>
      <c r="F325" s="7">
        <v>0</v>
      </c>
      <c r="G325" s="7">
        <v>0</v>
      </c>
      <c r="H325" s="7">
        <v>0</v>
      </c>
      <c r="I325" s="7">
        <v>91.108999999999995</v>
      </c>
      <c r="J325" s="7">
        <v>0</v>
      </c>
      <c r="K325" s="7">
        <v>0</v>
      </c>
      <c r="L325" s="7">
        <v>14686.08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44863.442000000003</v>
      </c>
      <c r="F335" s="7">
        <v>7686.7169999999996</v>
      </c>
      <c r="G335" s="7">
        <v>2031.4280000000001</v>
      </c>
      <c r="H335" s="7">
        <v>2042.0070000000001</v>
      </c>
      <c r="I335" s="7">
        <v>424.60700000000003</v>
      </c>
      <c r="J335" s="7">
        <v>1386.28</v>
      </c>
      <c r="K335" s="7">
        <v>33032.536</v>
      </c>
      <c r="L335" s="7">
        <v>78779.116999999998</v>
      </c>
      <c r="M335" s="7">
        <v>7702.317</v>
      </c>
      <c r="N335" s="7">
        <v>0</v>
      </c>
      <c r="O335" s="7">
        <v>0.65500000000000003</v>
      </c>
      <c r="P335" s="7">
        <v>182.851</v>
      </c>
      <c r="Q335" s="7">
        <v>10.385999999999999</v>
      </c>
      <c r="R335" s="7">
        <v>38.378999999999998</v>
      </c>
      <c r="S335" s="7">
        <v>2130.5360000000001</v>
      </c>
      <c r="T335" s="7">
        <v>0</v>
      </c>
      <c r="U335" s="7">
        <v>25881.565999999999</v>
      </c>
      <c r="V335" s="7">
        <v>283.75799999999998</v>
      </c>
      <c r="W335" s="7">
        <v>1219.1220000000001</v>
      </c>
      <c r="X335" s="7">
        <v>46.091999999999999</v>
      </c>
      <c r="Y335" s="7">
        <v>18376.957999999999</v>
      </c>
      <c r="Z335" s="7">
        <v>0</v>
      </c>
      <c r="AA335" s="7">
        <v>3179.902</v>
      </c>
      <c r="AB335" s="7">
        <v>38.033000000000001</v>
      </c>
      <c r="AC335" s="7">
        <v>1469.0909999999999</v>
      </c>
      <c r="AD335" s="7">
        <v>14.413</v>
      </c>
      <c r="AE335" s="7">
        <v>45583.057999999997</v>
      </c>
      <c r="AF335" s="7">
        <v>18731.214</v>
      </c>
      <c r="AG335" s="7">
        <v>50.468000000000004</v>
      </c>
      <c r="AH335" s="7">
        <v>148888.31400000001</v>
      </c>
      <c r="AI335" s="7">
        <v>29527.839</v>
      </c>
      <c r="AJ335" s="7">
        <v>3.0000000000000001E-3</v>
      </c>
      <c r="AK335" s="7">
        <v>4.7610000000000001</v>
      </c>
      <c r="AL335" s="7">
        <v>11.957000000000001</v>
      </c>
      <c r="AM335" s="7">
        <v>5913.9970000000003</v>
      </c>
      <c r="AN335" s="7">
        <v>10.462</v>
      </c>
      <c r="AO335" s="7">
        <v>1049.5540000000001</v>
      </c>
      <c r="AP335" s="7">
        <v>32.090000000000003</v>
      </c>
      <c r="AQ335" s="7">
        <v>6528.7</v>
      </c>
      <c r="AR335" s="7">
        <v>12.972</v>
      </c>
      <c r="AS335" s="7">
        <v>22.893999999999998</v>
      </c>
      <c r="AT335" s="7">
        <v>0</v>
      </c>
      <c r="AU335" s="7">
        <v>229.14400000000001</v>
      </c>
      <c r="AV335" s="7">
        <v>35.009</v>
      </c>
      <c r="AW335" s="7">
        <v>48.328000000000003</v>
      </c>
      <c r="AX335" s="7">
        <v>562.71799999999996</v>
      </c>
      <c r="AY335" s="7">
        <v>80.578000000000003</v>
      </c>
      <c r="AZ335" s="7">
        <v>360.52699999999999</v>
      </c>
      <c r="BA335" s="7">
        <v>35.668999999999997</v>
      </c>
      <c r="BB335" s="7">
        <v>366.04399999999998</v>
      </c>
      <c r="BC335" s="7">
        <v>41.52</v>
      </c>
      <c r="BD335" s="7">
        <v>448.80399999999997</v>
      </c>
      <c r="BE335" s="7">
        <v>94.841999999999999</v>
      </c>
      <c r="BF335" s="7">
        <v>94.841999999999999</v>
      </c>
      <c r="BG335" s="7">
        <v>136.846</v>
      </c>
      <c r="BH335" s="7">
        <v>0.35199999999999998</v>
      </c>
      <c r="BI335" s="7">
        <v>18.603000000000002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-15910.939</v>
      </c>
      <c r="F336" s="7">
        <v>-2486.3919999999998</v>
      </c>
      <c r="G336" s="7">
        <v>-1480.9390000000001</v>
      </c>
      <c r="H336" s="7">
        <v>-11810.831</v>
      </c>
      <c r="I336" s="7">
        <v>-416.49099999999999</v>
      </c>
      <c r="J336" s="7">
        <v>-1209.8499999999999</v>
      </c>
      <c r="K336" s="7">
        <v>-134.20699999999999</v>
      </c>
      <c r="L336" s="7">
        <v>-24190.819</v>
      </c>
      <c r="M336" s="7">
        <v>-6153.7179999999998</v>
      </c>
      <c r="N336" s="7">
        <v>-5.8689999999999998</v>
      </c>
      <c r="O336" s="7">
        <v>-11.602</v>
      </c>
      <c r="P336" s="7">
        <v>-89.852000000000004</v>
      </c>
      <c r="Q336" s="7">
        <v>-5.5030000000000001</v>
      </c>
      <c r="R336" s="7">
        <v>-144.934</v>
      </c>
      <c r="S336" s="7">
        <v>-67.808000000000007</v>
      </c>
      <c r="T336" s="7">
        <v>-0.82799999999999996</v>
      </c>
      <c r="U336" s="7">
        <v>-95.158000000000001</v>
      </c>
      <c r="V336" s="7">
        <v>-124.404</v>
      </c>
      <c r="W336" s="7">
        <v>-331.17</v>
      </c>
      <c r="X336" s="7">
        <v>-105.06699999999999</v>
      </c>
      <c r="Y336" s="7">
        <v>-3095.7849999999999</v>
      </c>
      <c r="Z336" s="7">
        <v>-63.011000000000003</v>
      </c>
      <c r="AA336" s="7">
        <v>-1944.3710000000001</v>
      </c>
      <c r="AB336" s="7">
        <v>-21.521999999999998</v>
      </c>
      <c r="AC336" s="7">
        <v>-113.35299999999999</v>
      </c>
      <c r="AD336" s="7">
        <v>-0.501</v>
      </c>
      <c r="AE336" s="7">
        <v>-9369.0229999999992</v>
      </c>
      <c r="AF336" s="7">
        <v>-801.43200000000002</v>
      </c>
      <c r="AG336" s="7">
        <v>-135.68799999999999</v>
      </c>
      <c r="AH336" s="7">
        <v>-40441.160000000003</v>
      </c>
      <c r="AI336" s="7">
        <v>-1816.4349999999999</v>
      </c>
      <c r="AJ336" s="7">
        <v>-312.18099999999998</v>
      </c>
      <c r="AK336" s="7">
        <v>-4620.1310000000003</v>
      </c>
      <c r="AL336" s="7">
        <v>-2518.826</v>
      </c>
      <c r="AM336" s="7">
        <v>-25.446000000000002</v>
      </c>
      <c r="AN336" s="7">
        <v>-1762.549</v>
      </c>
      <c r="AO336" s="7">
        <v>-63.497</v>
      </c>
      <c r="AP336" s="7">
        <v>-29.876999999999999</v>
      </c>
      <c r="AQ336" s="7">
        <v>-285.46100000000001</v>
      </c>
      <c r="AR336" s="7">
        <v>-13.523999999999999</v>
      </c>
      <c r="AS336" s="7">
        <v>-4.0019999999999998</v>
      </c>
      <c r="AT336" s="7">
        <v>0</v>
      </c>
      <c r="AU336" s="7">
        <v>-27.722999999999999</v>
      </c>
      <c r="AV336" s="7">
        <v>-0.214</v>
      </c>
      <c r="AW336" s="7">
        <v>-47.414999999999999</v>
      </c>
      <c r="AX336" s="7">
        <v>-171.84</v>
      </c>
      <c r="AY336" s="7">
        <v>-19.178999999999998</v>
      </c>
      <c r="AZ336" s="7">
        <v>-70.159000000000006</v>
      </c>
      <c r="BA336" s="7">
        <v>-1568.8219999999999</v>
      </c>
      <c r="BB336" s="7">
        <v>-28.227</v>
      </c>
      <c r="BC336" s="7">
        <v>-27.853999999999999</v>
      </c>
      <c r="BD336" s="7">
        <v>-73.778000000000006</v>
      </c>
      <c r="BE336" s="7">
        <v>-6.0030000000000001</v>
      </c>
      <c r="BF336" s="7">
        <v>-6.0030000000000001</v>
      </c>
      <c r="BG336" s="7">
        <v>-28.472999999999999</v>
      </c>
      <c r="BH336" s="7">
        <v>-280.49299999999999</v>
      </c>
      <c r="BI336" s="7">
        <v>-12.802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-770.88099999999997</v>
      </c>
      <c r="F337" s="7">
        <v>-2.9239999999999999</v>
      </c>
      <c r="G337" s="7">
        <v>-198.31800000000001</v>
      </c>
      <c r="H337" s="7">
        <v>-17.294</v>
      </c>
      <c r="I337" s="7">
        <v>-1437.5540000000001</v>
      </c>
      <c r="J337" s="7">
        <v>-36.228999999999999</v>
      </c>
      <c r="K337" s="7">
        <v>-19.23</v>
      </c>
      <c r="L337" s="7">
        <v>-911.39099999999996</v>
      </c>
      <c r="M337" s="7">
        <v>-76.072000000000003</v>
      </c>
      <c r="N337" s="7">
        <v>-3.87</v>
      </c>
      <c r="O337" s="7">
        <v>-28.689</v>
      </c>
      <c r="P337" s="7">
        <v>-8.0009999999999994</v>
      </c>
      <c r="Q337" s="7">
        <v>0</v>
      </c>
      <c r="R337" s="7">
        <v>0</v>
      </c>
      <c r="S337" s="7">
        <v>0</v>
      </c>
      <c r="T337" s="7">
        <v>0</v>
      </c>
      <c r="U337" s="7">
        <v>-4.9039999999999999</v>
      </c>
      <c r="V337" s="7">
        <v>-20.908999999999999</v>
      </c>
      <c r="W337" s="7">
        <v>-50.954000000000001</v>
      </c>
      <c r="X337" s="7">
        <v>-6.7569999999999997</v>
      </c>
      <c r="Y337" s="7">
        <v>-225.20400000000001</v>
      </c>
      <c r="Z337" s="7">
        <v>-5.9720000000000004</v>
      </c>
      <c r="AA337" s="7">
        <v>-71.686000000000007</v>
      </c>
      <c r="AB337" s="7">
        <v>-29.155000000000001</v>
      </c>
      <c r="AC337" s="7">
        <v>-18.597999999999999</v>
      </c>
      <c r="AD337" s="7">
        <v>-5.4939999999999998</v>
      </c>
      <c r="AE337" s="7">
        <v>-382.11700000000002</v>
      </c>
      <c r="AF337" s="7">
        <v>-86.168999999999997</v>
      </c>
      <c r="AG337" s="7">
        <v>-2.4790000000000001</v>
      </c>
      <c r="AH337" s="7">
        <v>-1885.432</v>
      </c>
      <c r="AI337" s="7">
        <v>-172.863</v>
      </c>
      <c r="AJ337" s="7">
        <v>-7.6289999999999996</v>
      </c>
      <c r="AK337" s="7">
        <v>-675.16800000000001</v>
      </c>
      <c r="AL337" s="7">
        <v>-428.76499999999999</v>
      </c>
      <c r="AM337" s="7">
        <v>-27.536999999999999</v>
      </c>
      <c r="AN337" s="7">
        <v>-686.46100000000001</v>
      </c>
      <c r="AO337" s="7">
        <v>-1.7210000000000001</v>
      </c>
      <c r="AP337" s="7">
        <v>0</v>
      </c>
      <c r="AQ337" s="7">
        <v>-77.671999999999997</v>
      </c>
      <c r="AR337" s="7">
        <v>-2.4140000000000001</v>
      </c>
      <c r="AS337" s="7">
        <v>0</v>
      </c>
      <c r="AT337" s="7">
        <v>0</v>
      </c>
      <c r="AU337" s="7">
        <v>0</v>
      </c>
      <c r="AV337" s="7">
        <v>-11.888999999999999</v>
      </c>
      <c r="AW337" s="7">
        <v>-54.991999999999997</v>
      </c>
      <c r="AX337" s="7">
        <v>-6.2969999999999997</v>
      </c>
      <c r="AY337" s="7">
        <v>-0.25600000000000001</v>
      </c>
      <c r="AZ337" s="7">
        <v>-0.216</v>
      </c>
      <c r="BA337" s="7">
        <v>-6.5000000000000002E-2</v>
      </c>
      <c r="BB337" s="7">
        <v>-2.0680000000000001</v>
      </c>
      <c r="BC337" s="7">
        <v>0</v>
      </c>
      <c r="BD337" s="7">
        <v>-5.4640000000000004</v>
      </c>
      <c r="BE337" s="7">
        <v>0</v>
      </c>
      <c r="BF337" s="7">
        <v>0</v>
      </c>
      <c r="BG337" s="7">
        <v>-4.1470000000000002</v>
      </c>
      <c r="BH337" s="7">
        <v>-109.06699999999999</v>
      </c>
      <c r="BI337" s="7">
        <v>-1.139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8678650.4309999999</v>
      </c>
      <c r="F340">
        <v>972491.17099999997</v>
      </c>
      <c r="G340">
        <v>990579.02300000004</v>
      </c>
      <c r="H340">
        <v>1121970.601</v>
      </c>
      <c r="I340">
        <v>135417.19899999999</v>
      </c>
      <c r="J340">
        <v>707235.56499999994</v>
      </c>
      <c r="K340">
        <v>284563.31599999999</v>
      </c>
      <c r="L340">
        <v>9151763.25</v>
      </c>
      <c r="M340">
        <v>2997173.74</v>
      </c>
      <c r="N340">
        <v>14855.691999999999</v>
      </c>
      <c r="O340">
        <v>11805.763000000001</v>
      </c>
      <c r="P340">
        <v>19489.196</v>
      </c>
      <c r="Q340">
        <v>12577.252</v>
      </c>
      <c r="R340">
        <v>18725.864000000001</v>
      </c>
      <c r="S340">
        <v>302831.42499999999</v>
      </c>
      <c r="T340">
        <v>988.476</v>
      </c>
      <c r="U340">
        <v>216092.68299999999</v>
      </c>
      <c r="V340">
        <v>107759.288</v>
      </c>
      <c r="W340">
        <v>233830.58100000001</v>
      </c>
      <c r="X340">
        <v>211332.79500000001</v>
      </c>
      <c r="Y340">
        <v>2119722.824</v>
      </c>
      <c r="Z340">
        <v>125846.97900000001</v>
      </c>
      <c r="AA340">
        <v>1431963.1540000001</v>
      </c>
      <c r="AB340">
        <v>343270.34600000002</v>
      </c>
      <c r="AC340">
        <v>171395.489</v>
      </c>
      <c r="AD340">
        <v>58680.038</v>
      </c>
      <c r="AE340">
        <v>5639361.426</v>
      </c>
      <c r="AF340">
        <v>1327730.7830000001</v>
      </c>
      <c r="AG340">
        <v>269552.576</v>
      </c>
      <c r="AH340">
        <v>19010562.931000002</v>
      </c>
      <c r="AI340">
        <v>2334251.9</v>
      </c>
      <c r="AJ340">
        <v>650575.27599999995</v>
      </c>
      <c r="AK340">
        <v>10727236.441</v>
      </c>
      <c r="AL340">
        <v>5944435.2139999997</v>
      </c>
      <c r="AM340">
        <v>49460.940999999999</v>
      </c>
      <c r="AN340">
        <v>3851360.176</v>
      </c>
      <c r="AO340">
        <v>129010.212</v>
      </c>
      <c r="AP340">
        <v>64751.357000000004</v>
      </c>
      <c r="AQ340">
        <v>464390.49800000002</v>
      </c>
      <c r="AR340">
        <v>25914.397000000001</v>
      </c>
      <c r="AS340">
        <v>3602.0279999999998</v>
      </c>
      <c r="AT340">
        <v>0</v>
      </c>
      <c r="AU340">
        <v>79160.008000000002</v>
      </c>
      <c r="AV340">
        <v>69819.713000000003</v>
      </c>
      <c r="AW340">
        <v>98338.978000000003</v>
      </c>
      <c r="AX340">
        <v>223988.342</v>
      </c>
      <c r="AY340">
        <v>44455.169000000002</v>
      </c>
      <c r="AZ340">
        <v>186661.67499999999</v>
      </c>
      <c r="BA340">
        <v>162434.367</v>
      </c>
      <c r="BB340">
        <v>46324.321000000004</v>
      </c>
      <c r="BC340">
        <v>26850.784</v>
      </c>
      <c r="BD340">
        <v>210104.58600000001</v>
      </c>
      <c r="BE340">
        <v>11271.887000000001</v>
      </c>
      <c r="BF340">
        <v>11271.887000000001</v>
      </c>
      <c r="BG340">
        <v>64184.103999999999</v>
      </c>
      <c r="BH340">
        <v>418552.28600000002</v>
      </c>
      <c r="BI340">
        <v>11620.161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I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>
        <f t="shared" si="1"/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6">
        <f t="shared" ref="E344:AW344" si="2">SUMIF($D$6:$D$338,$D$344,E6:E338)</f>
        <v>801952.03500000003</v>
      </c>
      <c r="F344" s="16">
        <f t="shared" si="2"/>
        <v>134884.88199999998</v>
      </c>
      <c r="G344" s="16">
        <f t="shared" si="2"/>
        <v>32600.62</v>
      </c>
      <c r="H344" s="16">
        <f t="shared" si="2"/>
        <v>37485.639999999992</v>
      </c>
      <c r="I344" s="16">
        <f t="shared" si="2"/>
        <v>10051.115999999998</v>
      </c>
      <c r="J344" s="16">
        <f t="shared" si="2"/>
        <v>41552.856</v>
      </c>
      <c r="K344" s="16">
        <f t="shared" si="2"/>
        <v>11208.576000000001</v>
      </c>
      <c r="L344" s="16">
        <f t="shared" si="2"/>
        <v>1469598.1190000002</v>
      </c>
      <c r="M344" s="16">
        <f t="shared" si="2"/>
        <v>123947.198</v>
      </c>
      <c r="N344" s="16">
        <f>SUMIF($D$6:$D$338,$D$344,N6:N338)</f>
        <v>191.58699999999999</v>
      </c>
      <c r="O344" s="16">
        <f t="shared" si="2"/>
        <v>9209.594000000001</v>
      </c>
      <c r="P344" s="16">
        <f t="shared" si="2"/>
        <v>578.42200000000003</v>
      </c>
      <c r="Q344" s="16">
        <f t="shared" si="2"/>
        <v>5652.4210000000003</v>
      </c>
      <c r="R344" s="16">
        <f t="shared" si="2"/>
        <v>2637.58</v>
      </c>
      <c r="S344" s="16">
        <f t="shared" si="2"/>
        <v>40733.421999999999</v>
      </c>
      <c r="T344" s="16">
        <f t="shared" si="2"/>
        <v>5.5640000000000001</v>
      </c>
      <c r="U344" s="16">
        <f t="shared" si="2"/>
        <v>11840.727999999999</v>
      </c>
      <c r="V344" s="16">
        <f t="shared" si="2"/>
        <v>4589.4139999999998</v>
      </c>
      <c r="W344" s="16">
        <f t="shared" si="2"/>
        <v>17583.694</v>
      </c>
      <c r="X344" s="16">
        <f t="shared" si="2"/>
        <v>32745.704000000002</v>
      </c>
      <c r="Y344" s="16">
        <f t="shared" si="2"/>
        <v>289672.56400000001</v>
      </c>
      <c r="Z344" s="16">
        <f t="shared" si="2"/>
        <v>72106.716</v>
      </c>
      <c r="AA344" s="16">
        <f t="shared" si="2"/>
        <v>145005.77900000001</v>
      </c>
      <c r="AB344" s="16">
        <f t="shared" si="2"/>
        <v>274482.49699999997</v>
      </c>
      <c r="AC344" s="16">
        <f t="shared" si="2"/>
        <v>25421.315000000002</v>
      </c>
      <c r="AD344" s="16">
        <f t="shared" si="2"/>
        <v>17371.387000000002</v>
      </c>
      <c r="AE344" s="16">
        <f t="shared" si="2"/>
        <v>859376.73400000005</v>
      </c>
      <c r="AF344" s="16">
        <f t="shared" si="2"/>
        <v>363655.95299999998</v>
      </c>
      <c r="AG344" s="16">
        <f t="shared" si="2"/>
        <v>90112.004000000001</v>
      </c>
      <c r="AH344" s="16">
        <f t="shared" si="2"/>
        <v>2483714.787</v>
      </c>
      <c r="AI344" s="16">
        <f t="shared" si="2"/>
        <v>577431.96600000001</v>
      </c>
      <c r="AJ344" s="16">
        <f t="shared" si="2"/>
        <v>370200.75799999997</v>
      </c>
      <c r="AK344" s="16">
        <f t="shared" si="2"/>
        <v>8130830.5009999992</v>
      </c>
      <c r="AL344" s="16">
        <f t="shared" si="2"/>
        <v>4507215.4950000001</v>
      </c>
      <c r="AM344" s="16">
        <f>SUMIF($D$6:$D$338,$D$344,AM6:AM338)</f>
        <v>2801.4189999999999</v>
      </c>
      <c r="AN344" s="16">
        <f>SUMIF($D$6:$D$338,$D$344,AN6:AN338)</f>
        <v>2919285.7579999999</v>
      </c>
      <c r="AO344" s="16">
        <f>SUMIF($D$6:$D$338,$D$344,AO6:AO338)</f>
        <v>21705.098000000002</v>
      </c>
      <c r="AP344" s="16">
        <f t="shared" si="2"/>
        <v>6666.9950000000008</v>
      </c>
      <c r="AQ344" s="16">
        <f t="shared" si="2"/>
        <v>127967.198</v>
      </c>
      <c r="AR344" s="16">
        <f t="shared" si="2"/>
        <v>2518.7660000000001</v>
      </c>
      <c r="AS344" s="16">
        <f t="shared" si="2"/>
        <v>554.80600000000004</v>
      </c>
      <c r="AT344" s="16">
        <f t="shared" si="2"/>
        <v>0</v>
      </c>
      <c r="AU344" s="16">
        <f t="shared" si="2"/>
        <v>11701.822999999999</v>
      </c>
      <c r="AV344" s="16">
        <f t="shared" si="2"/>
        <v>6755.1139999999996</v>
      </c>
      <c r="AW344" s="16">
        <f t="shared" si="2"/>
        <v>10861.198</v>
      </c>
      <c r="AX344" s="16">
        <f>SUMIF($D$6:$D$338,$D$344,AX6:AX338)</f>
        <v>37120.853999999999</v>
      </c>
      <c r="AY344" s="16">
        <f t="shared" ref="AY344:BI344" si="3">SUMIF($D$6:$D$338,$D$344,AY6:AY338)</f>
        <v>2187.8879999999999</v>
      </c>
      <c r="AZ344" s="16">
        <f t="shared" si="3"/>
        <v>14686.648999999999</v>
      </c>
      <c r="BA344" s="16">
        <f t="shared" si="3"/>
        <v>25484.141</v>
      </c>
      <c r="BB344" s="16">
        <f t="shared" si="3"/>
        <v>7967.8680000000004</v>
      </c>
      <c r="BC344" s="16">
        <f t="shared" si="3"/>
        <v>2140.7350000000001</v>
      </c>
      <c r="BD344" s="16">
        <f t="shared" si="3"/>
        <v>11651.588000000002</v>
      </c>
      <c r="BE344" s="16">
        <f t="shared" si="3"/>
        <v>1953.71</v>
      </c>
      <c r="BF344" s="16">
        <f t="shared" si="3"/>
        <v>1953.71</v>
      </c>
      <c r="BG344" s="16">
        <f t="shared" si="3"/>
        <v>3711.913</v>
      </c>
      <c r="BH344" s="16">
        <f t="shared" si="3"/>
        <v>247757.64199999999</v>
      </c>
      <c r="BI344" s="16">
        <f t="shared" si="3"/>
        <v>581.42899999999997</v>
      </c>
      <c r="BJ344" s="21"/>
    </row>
    <row r="345" spans="1:62" x14ac:dyDescent="0.25">
      <c r="A345" t="s">
        <v>609</v>
      </c>
      <c r="D345">
        <v>2</v>
      </c>
      <c r="E345" s="16">
        <f t="shared" ref="E345:AW345" si="4">SUMIF($D$6:$D$338,$D$345,E6:E338)</f>
        <v>1973754.68</v>
      </c>
      <c r="F345" s="16">
        <f t="shared" si="4"/>
        <v>172248.921</v>
      </c>
      <c r="G345" s="16">
        <f t="shared" si="4"/>
        <v>347778.05100000004</v>
      </c>
      <c r="H345" s="16">
        <f t="shared" si="4"/>
        <v>0</v>
      </c>
      <c r="I345" s="16">
        <f t="shared" si="4"/>
        <v>49794.546000000002</v>
      </c>
      <c r="J345" s="16">
        <f t="shared" si="4"/>
        <v>239028.88600000003</v>
      </c>
      <c r="K345" s="16">
        <f t="shared" si="4"/>
        <v>180538.21400000001</v>
      </c>
      <c r="L345" s="16">
        <f t="shared" si="4"/>
        <v>821553.07900000003</v>
      </c>
      <c r="M345" s="16">
        <f t="shared" si="4"/>
        <v>611064.473</v>
      </c>
      <c r="N345" s="16">
        <f>SUMIF($D$6:$D$338,$D$345,N6:N338)</f>
        <v>11476.316000000001</v>
      </c>
      <c r="O345" s="16">
        <f t="shared" si="4"/>
        <v>167.399</v>
      </c>
      <c r="P345" s="16">
        <f t="shared" si="4"/>
        <v>15254.406000000001</v>
      </c>
      <c r="Q345" s="16">
        <f t="shared" si="4"/>
        <v>1889.8720000000001</v>
      </c>
      <c r="R345" s="16">
        <f t="shared" si="4"/>
        <v>3752.13</v>
      </c>
      <c r="S345" s="16">
        <f t="shared" si="4"/>
        <v>52512.598000000005</v>
      </c>
      <c r="T345" s="16">
        <f t="shared" si="4"/>
        <v>983.74</v>
      </c>
      <c r="U345" s="16">
        <f t="shared" si="4"/>
        <v>141454.83100000001</v>
      </c>
      <c r="V345" s="16">
        <f t="shared" si="4"/>
        <v>28385.911000000004</v>
      </c>
      <c r="W345" s="16">
        <f t="shared" si="4"/>
        <v>52204.343000000008</v>
      </c>
      <c r="X345" s="16">
        <f t="shared" si="4"/>
        <v>2452.0070000000001</v>
      </c>
      <c r="Y345" s="16">
        <f t="shared" si="4"/>
        <v>380965.59299999999</v>
      </c>
      <c r="Z345" s="16">
        <f t="shared" si="4"/>
        <v>95.418999999999997</v>
      </c>
      <c r="AA345" s="16">
        <f t="shared" si="4"/>
        <v>508610.94700000004</v>
      </c>
      <c r="AB345" s="16">
        <f t="shared" si="4"/>
        <v>3294.94</v>
      </c>
      <c r="AC345" s="16">
        <f t="shared" si="4"/>
        <v>25382.751000000004</v>
      </c>
      <c r="AD345" s="16">
        <f t="shared" si="4"/>
        <v>10128.810000000001</v>
      </c>
      <c r="AE345" s="16">
        <f t="shared" si="4"/>
        <v>896979.20799999998</v>
      </c>
      <c r="AF345" s="16">
        <f t="shared" si="4"/>
        <v>73803.097999999998</v>
      </c>
      <c r="AG345" s="16">
        <f t="shared" si="4"/>
        <v>36265.032999999996</v>
      </c>
      <c r="AH345" s="16">
        <f t="shared" si="4"/>
        <v>2537874.2500000005</v>
      </c>
      <c r="AI345" s="16">
        <f t="shared" si="4"/>
        <v>116985.17</v>
      </c>
      <c r="AJ345" s="16">
        <f t="shared" si="4"/>
        <v>501.32799999999997</v>
      </c>
      <c r="AK345" s="16">
        <f t="shared" si="4"/>
        <v>831212.48300000001</v>
      </c>
      <c r="AL345" s="16">
        <f t="shared" si="4"/>
        <v>460150.63699999999</v>
      </c>
      <c r="AM345" s="16">
        <f>SUMIF($D$6:$D$338,$D$345,AM6:AM338)</f>
        <v>32322.748999999996</v>
      </c>
      <c r="AN345" s="16">
        <f>SUMIF($D$6:$D$338,$D$345,AN6:AN338)</f>
        <v>298577.15600000002</v>
      </c>
      <c r="AO345" s="16">
        <f>SUMIF($D$6:$D$338,$D$345,AO6:AO338)</f>
        <v>21632.174999999999</v>
      </c>
      <c r="AP345" s="16">
        <f t="shared" si="4"/>
        <v>0</v>
      </c>
      <c r="AQ345" s="16">
        <f t="shared" si="4"/>
        <v>26006.486999999997</v>
      </c>
      <c r="AR345" s="16">
        <f t="shared" si="4"/>
        <v>0</v>
      </c>
      <c r="AS345" s="16">
        <f t="shared" si="4"/>
        <v>1214.6099999999997</v>
      </c>
      <c r="AT345" s="16">
        <f t="shared" si="4"/>
        <v>0</v>
      </c>
      <c r="AU345" s="16">
        <f t="shared" si="4"/>
        <v>29715.896000000001</v>
      </c>
      <c r="AV345" s="16">
        <f t="shared" si="4"/>
        <v>0</v>
      </c>
      <c r="AW345" s="16">
        <f t="shared" si="4"/>
        <v>0</v>
      </c>
      <c r="AX345" s="16">
        <f>SUMIF($D$6:$D$338,$D$345,AX6:AX338)</f>
        <v>2559.4740000000002</v>
      </c>
      <c r="AY345" s="16">
        <f t="shared" ref="AY345:BI345" si="5">SUMIF($D$6:$D$338,$D$345,AY6:AY338)</f>
        <v>11384.805</v>
      </c>
      <c r="AZ345" s="16">
        <f t="shared" si="5"/>
        <v>684.33799999999997</v>
      </c>
      <c r="BA345" s="16">
        <f t="shared" si="5"/>
        <v>1900.88</v>
      </c>
      <c r="BB345" s="16">
        <f t="shared" si="5"/>
        <v>8070.52</v>
      </c>
      <c r="BC345" s="16">
        <f t="shared" si="5"/>
        <v>7049.48</v>
      </c>
      <c r="BD345" s="16">
        <f t="shared" si="5"/>
        <v>851.90099999999995</v>
      </c>
      <c r="BE345" s="16">
        <f t="shared" si="5"/>
        <v>1850.5940000000001</v>
      </c>
      <c r="BF345" s="16">
        <f t="shared" si="5"/>
        <v>1850.5940000000001</v>
      </c>
      <c r="BG345" s="16">
        <f t="shared" si="5"/>
        <v>259.75599999999997</v>
      </c>
      <c r="BH345" s="16">
        <f t="shared" si="5"/>
        <v>27699.598000000002</v>
      </c>
      <c r="BI345" s="16">
        <f t="shared" si="5"/>
        <v>3013.6709999999998</v>
      </c>
      <c r="BJ345" s="21"/>
    </row>
    <row r="346" spans="1:62" x14ac:dyDescent="0.25">
      <c r="A346" t="s">
        <v>610</v>
      </c>
      <c r="D346">
        <v>3</v>
      </c>
      <c r="E346" s="16">
        <f t="shared" ref="E346:AW346" si="6">SUMIF($D$6:$D$338,$D$346,E6:E338)</f>
        <v>1890347.2770000002</v>
      </c>
      <c r="F346" s="16">
        <f t="shared" si="6"/>
        <v>267203.07</v>
      </c>
      <c r="G346" s="16">
        <f t="shared" si="6"/>
        <v>454460.91199999995</v>
      </c>
      <c r="H346" s="16">
        <f t="shared" si="6"/>
        <v>48994.971000000012</v>
      </c>
      <c r="I346" s="16">
        <f t="shared" si="6"/>
        <v>44728.47600000001</v>
      </c>
      <c r="J346" s="16">
        <f t="shared" si="6"/>
        <v>304841.13900000002</v>
      </c>
      <c r="K346" s="16">
        <f t="shared" si="6"/>
        <v>43471.648000000001</v>
      </c>
      <c r="L346" s="16">
        <f t="shared" si="6"/>
        <v>881739.51899999997</v>
      </c>
      <c r="M346" s="16">
        <f t="shared" si="6"/>
        <v>1106064.166</v>
      </c>
      <c r="N346" s="16">
        <f>SUMIF($D$6:$D$338,$D$346,N6:N338)</f>
        <v>3197.5280000000002</v>
      </c>
      <c r="O346" s="16">
        <f t="shared" si="6"/>
        <v>0</v>
      </c>
      <c r="P346" s="16">
        <f t="shared" si="6"/>
        <v>49.499000000000009</v>
      </c>
      <c r="Q346" s="16">
        <f t="shared" si="6"/>
        <v>3931.605</v>
      </c>
      <c r="R346" s="16">
        <f t="shared" si="6"/>
        <v>11334.690999999999</v>
      </c>
      <c r="S346" s="16">
        <f t="shared" si="6"/>
        <v>110648.97800000002</v>
      </c>
      <c r="T346" s="16">
        <f t="shared" si="6"/>
        <v>0</v>
      </c>
      <c r="U346" s="16">
        <f t="shared" si="6"/>
        <v>34060.792000000001</v>
      </c>
      <c r="V346" s="16">
        <f t="shared" si="6"/>
        <v>55313.661000000015</v>
      </c>
      <c r="W346" s="16">
        <f t="shared" si="6"/>
        <v>87792.096000000005</v>
      </c>
      <c r="X346" s="16">
        <f t="shared" si="6"/>
        <v>0</v>
      </c>
      <c r="Y346" s="16">
        <f t="shared" si="6"/>
        <v>305557.88600000006</v>
      </c>
      <c r="Z346" s="16">
        <f t="shared" si="6"/>
        <v>11103.391</v>
      </c>
      <c r="AA346" s="16">
        <f t="shared" si="6"/>
        <v>619322.70999999985</v>
      </c>
      <c r="AB346" s="16">
        <f t="shared" si="6"/>
        <v>0</v>
      </c>
      <c r="AC346" s="16">
        <f t="shared" si="6"/>
        <v>48633.121000000006</v>
      </c>
      <c r="AD346" s="16">
        <f t="shared" si="6"/>
        <v>13552.576000000001</v>
      </c>
      <c r="AE346" s="16">
        <f t="shared" si="6"/>
        <v>572352.35</v>
      </c>
      <c r="AF346" s="16">
        <f t="shared" si="6"/>
        <v>13371.08</v>
      </c>
      <c r="AG346" s="16">
        <f t="shared" si="6"/>
        <v>54088.682999999997</v>
      </c>
      <c r="AH346" s="16">
        <f t="shared" si="6"/>
        <v>2176389.5189999999</v>
      </c>
      <c r="AI346" s="16">
        <f t="shared" si="6"/>
        <v>22962.842999999997</v>
      </c>
      <c r="AJ346" s="16">
        <f t="shared" si="6"/>
        <v>56346.58</v>
      </c>
      <c r="AK346" s="16">
        <f t="shared" si="6"/>
        <v>0</v>
      </c>
      <c r="AL346" s="16">
        <f t="shared" si="6"/>
        <v>0</v>
      </c>
      <c r="AM346" s="16">
        <f>SUMIF($D$6:$D$338,$D$346,AM6:AM338)</f>
        <v>7782.9680000000008</v>
      </c>
      <c r="AN346" s="16">
        <f>SUMIF($D$6:$D$338,$D$346,AN6:AN338)</f>
        <v>0</v>
      </c>
      <c r="AO346" s="16">
        <f>SUMIF($D$6:$D$338,$D$346,AO6:AO338)</f>
        <v>41362.205999999991</v>
      </c>
      <c r="AP346" s="16">
        <f t="shared" si="6"/>
        <v>0</v>
      </c>
      <c r="AQ346" s="16">
        <f t="shared" si="6"/>
        <v>4584.7849999999999</v>
      </c>
      <c r="AR346" s="16">
        <f t="shared" si="6"/>
        <v>0</v>
      </c>
      <c r="AS346" s="16">
        <f t="shared" si="6"/>
        <v>817.90100000000007</v>
      </c>
      <c r="AT346" s="16">
        <f t="shared" si="6"/>
        <v>0</v>
      </c>
      <c r="AU346" s="16">
        <f t="shared" si="6"/>
        <v>25745.096000000005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I346" si="7">SUMIF($D$6:$D$338,$D$346,AY6:AY338)</f>
        <v>20796.16</v>
      </c>
      <c r="AZ346" s="16">
        <f t="shared" si="7"/>
        <v>3965.1369999999997</v>
      </c>
      <c r="BA346" s="16">
        <f t="shared" si="7"/>
        <v>0</v>
      </c>
      <c r="BB346" s="16">
        <f t="shared" si="7"/>
        <v>14613.133000000003</v>
      </c>
      <c r="BC346" s="16">
        <f t="shared" si="7"/>
        <v>16587.449999999997</v>
      </c>
      <c r="BD346" s="16">
        <f t="shared" si="7"/>
        <v>4936.018</v>
      </c>
      <c r="BE346" s="16">
        <f t="shared" si="7"/>
        <v>3580.2910000000006</v>
      </c>
      <c r="BF346" s="16">
        <f t="shared" si="7"/>
        <v>3580.2910000000006</v>
      </c>
      <c r="BG346" s="16">
        <f t="shared" si="7"/>
        <v>1505.0590000000002</v>
      </c>
      <c r="BH346" s="16">
        <f t="shared" si="7"/>
        <v>37884.881999999998</v>
      </c>
      <c r="BI346" s="16">
        <f t="shared" si="7"/>
        <v>7541.5669999999991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1328710.325</v>
      </c>
      <c r="F347" s="16">
        <f t="shared" si="8"/>
        <v>284121.12499999994</v>
      </c>
      <c r="G347" s="16">
        <f t="shared" si="8"/>
        <v>304.24</v>
      </c>
      <c r="H347" s="16">
        <f t="shared" si="8"/>
        <v>28773.705999999998</v>
      </c>
      <c r="I347" s="16">
        <f t="shared" si="8"/>
        <v>10045.84</v>
      </c>
      <c r="J347" s="16">
        <f t="shared" si="8"/>
        <v>197.06699999999998</v>
      </c>
      <c r="K347" s="16">
        <f t="shared" si="8"/>
        <v>0</v>
      </c>
      <c r="L347" s="16">
        <f t="shared" si="8"/>
        <v>3212977.798</v>
      </c>
      <c r="M347" s="16">
        <f t="shared" si="8"/>
        <v>185285.136</v>
      </c>
      <c r="N347" s="16">
        <f>SUMIF($D$6:$D$338,$D$347,N6:N338)</f>
        <v>0</v>
      </c>
      <c r="O347" s="16">
        <f t="shared" si="8"/>
        <v>2075.1109999999999</v>
      </c>
      <c r="P347" s="16">
        <f t="shared" si="8"/>
        <v>28.390000000000004</v>
      </c>
      <c r="Q347" s="16">
        <f t="shared" si="8"/>
        <v>812.40499999999997</v>
      </c>
      <c r="R347" s="16">
        <f t="shared" si="8"/>
        <v>99.64</v>
      </c>
      <c r="S347" s="16">
        <f t="shared" si="8"/>
        <v>88119.676000000007</v>
      </c>
      <c r="T347" s="16">
        <f t="shared" si="8"/>
        <v>0</v>
      </c>
      <c r="U347" s="16">
        <f t="shared" si="8"/>
        <v>0</v>
      </c>
      <c r="V347" s="16">
        <f t="shared" si="8"/>
        <v>38.308</v>
      </c>
      <c r="W347" s="16">
        <f t="shared" si="8"/>
        <v>28299.423999999999</v>
      </c>
      <c r="X347" s="16">
        <f t="shared" si="8"/>
        <v>175992.91800000001</v>
      </c>
      <c r="Y347" s="16">
        <f t="shared" si="8"/>
        <v>608476.03999999992</v>
      </c>
      <c r="Z347" s="16">
        <f t="shared" si="8"/>
        <v>43189.506000000001</v>
      </c>
      <c r="AA347" s="16">
        <f t="shared" si="8"/>
        <v>468.61699999999996</v>
      </c>
      <c r="AB347" s="16">
        <f t="shared" si="8"/>
        <v>53224.144</v>
      </c>
      <c r="AC347" s="16">
        <f t="shared" si="8"/>
        <v>52910.887999999999</v>
      </c>
      <c r="AD347" s="16">
        <f t="shared" si="8"/>
        <v>17294.867999999999</v>
      </c>
      <c r="AE347" s="16">
        <f t="shared" si="8"/>
        <v>1524444.0580000002</v>
      </c>
      <c r="AF347" s="16">
        <f t="shared" si="8"/>
        <v>834951.37600000005</v>
      </c>
      <c r="AG347" s="16">
        <f t="shared" si="8"/>
        <v>77005.964000000007</v>
      </c>
      <c r="AH347" s="16">
        <f t="shared" si="8"/>
        <v>5579318.3029999994</v>
      </c>
      <c r="AI347" s="16">
        <f t="shared" si="8"/>
        <v>1421365.6670000001</v>
      </c>
      <c r="AJ347" s="16">
        <f t="shared" si="8"/>
        <v>226812.49400000001</v>
      </c>
      <c r="AK347" s="16">
        <f t="shared" si="8"/>
        <v>1205281.94</v>
      </c>
      <c r="AL347" s="16">
        <f t="shared" si="8"/>
        <v>667231.61900000006</v>
      </c>
      <c r="AM347" s="16">
        <f>SUMIF($D$6:$D$338,$D$347,AM6:AM338)</f>
        <v>0</v>
      </c>
      <c r="AN347" s="16">
        <f>SUMIF($D$6:$D$338,$D$347,AN6:AN338)</f>
        <v>432945.43900000001</v>
      </c>
      <c r="AO347" s="16">
        <f>SUMIF($D$6:$D$338,$D$347,AO6:AO338)</f>
        <v>41517.584000000017</v>
      </c>
      <c r="AP347" s="16">
        <f t="shared" si="8"/>
        <v>58082.148999999998</v>
      </c>
      <c r="AQ347" s="16">
        <f t="shared" si="8"/>
        <v>292868.304</v>
      </c>
      <c r="AR347" s="16">
        <f t="shared" si="8"/>
        <v>23398.597000000002</v>
      </c>
      <c r="AS347" s="16">
        <f t="shared" si="8"/>
        <v>874.91899999999998</v>
      </c>
      <c r="AT347" s="16">
        <f t="shared" si="8"/>
        <v>0</v>
      </c>
      <c r="AU347" s="16">
        <f t="shared" si="8"/>
        <v>10248.864000000003</v>
      </c>
      <c r="AV347" s="16">
        <f t="shared" si="8"/>
        <v>63041.692999999999</v>
      </c>
      <c r="AW347" s="16">
        <f t="shared" si="8"/>
        <v>87531.858999999997</v>
      </c>
      <c r="AX347" s="16">
        <f>SUMIF($D$6:$D$338,$D$347,AX6:AX338)</f>
        <v>183706.42300000001</v>
      </c>
      <c r="AY347" s="16">
        <f t="shared" ref="AY347:BI347" si="9">SUMIF($D$6:$D$338,$D$347,AY6:AY338)</f>
        <v>8155.009</v>
      </c>
      <c r="AZ347" s="16">
        <f t="shared" si="9"/>
        <v>156326.68799999997</v>
      </c>
      <c r="BA347" s="16">
        <f t="shared" si="9"/>
        <v>136435.818</v>
      </c>
      <c r="BB347" s="16">
        <f t="shared" si="9"/>
        <v>14686.627000000002</v>
      </c>
      <c r="BC347" s="16">
        <f t="shared" si="9"/>
        <v>11.395000000000001</v>
      </c>
      <c r="BD347" s="16">
        <f t="shared" si="9"/>
        <v>178867.14299999998</v>
      </c>
      <c r="BE347" s="16">
        <f t="shared" si="9"/>
        <v>3656.3610000000003</v>
      </c>
      <c r="BF347" s="16">
        <f t="shared" si="9"/>
        <v>3656.3610000000003</v>
      </c>
      <c r="BG347" s="16">
        <f t="shared" si="9"/>
        <v>54538.992999999988</v>
      </c>
      <c r="BH347" s="16">
        <f t="shared" si="9"/>
        <v>106289.93100000001</v>
      </c>
      <c r="BI347" s="16">
        <f t="shared" si="9"/>
        <v>5.1340000000000003</v>
      </c>
      <c r="BJ347" s="21"/>
    </row>
    <row r="348" spans="1:62" x14ac:dyDescent="0.25">
      <c r="A348" t="s">
        <v>612</v>
      </c>
      <c r="D348">
        <v>5</v>
      </c>
      <c r="E348" s="16">
        <f t="shared" ref="E348:AW348" si="10">SUMIF($D$6:$D$338,$D$348,E6:E338)</f>
        <v>721493.5780000001</v>
      </c>
      <c r="F348" s="16">
        <f t="shared" si="10"/>
        <v>33079.516000000011</v>
      </c>
      <c r="G348" s="16">
        <f t="shared" si="10"/>
        <v>80381.334000000003</v>
      </c>
      <c r="H348" s="16">
        <f t="shared" si="10"/>
        <v>979580.76100000006</v>
      </c>
      <c r="I348" s="16">
        <f t="shared" si="10"/>
        <v>10991.406999999997</v>
      </c>
      <c r="J348" s="16">
        <f t="shared" si="10"/>
        <v>72714.498000000007</v>
      </c>
      <c r="K348" s="16">
        <f t="shared" si="10"/>
        <v>16465.778999999999</v>
      </c>
      <c r="L348" s="16">
        <f t="shared" si="10"/>
        <v>442383.42099999991</v>
      </c>
      <c r="M348" s="16">
        <f t="shared" si="10"/>
        <v>366117.83400000003</v>
      </c>
      <c r="N348" s="16">
        <f>SUMIF($D$6:$D$338,$D$348,N6:N338)</f>
        <v>0</v>
      </c>
      <c r="O348" s="16">
        <f t="shared" si="10"/>
        <v>0</v>
      </c>
      <c r="P348" s="16">
        <f t="shared" si="10"/>
        <v>2073.056</v>
      </c>
      <c r="Q348" s="16">
        <f t="shared" si="10"/>
        <v>0</v>
      </c>
      <c r="R348" s="16">
        <f t="shared" si="10"/>
        <v>40.75</v>
      </c>
      <c r="S348" s="16">
        <f t="shared" si="10"/>
        <v>-4705.951</v>
      </c>
      <c r="T348" s="16">
        <f t="shared" si="10"/>
        <v>0</v>
      </c>
      <c r="U348" s="16">
        <f t="shared" si="10"/>
        <v>2954.828</v>
      </c>
      <c r="V348" s="16">
        <f t="shared" si="10"/>
        <v>12061.739999999998</v>
      </c>
      <c r="W348" s="16">
        <f t="shared" si="10"/>
        <v>27953.884999999998</v>
      </c>
      <c r="X348" s="16">
        <f t="shared" si="10"/>
        <v>0</v>
      </c>
      <c r="Y348" s="16">
        <f t="shared" si="10"/>
        <v>178853.37900000002</v>
      </c>
      <c r="Z348" s="16">
        <f t="shared" si="10"/>
        <v>0</v>
      </c>
      <c r="AA348" s="16">
        <f t="shared" si="10"/>
        <v>59152.753000000004</v>
      </c>
      <c r="AB348" s="16">
        <f t="shared" si="10"/>
        <v>0</v>
      </c>
      <c r="AC348" s="16">
        <f t="shared" si="10"/>
        <v>6704.1719999999978</v>
      </c>
      <c r="AD348" s="16">
        <f t="shared" si="10"/>
        <v>0</v>
      </c>
      <c r="AE348" s="16">
        <f t="shared" si="10"/>
        <v>553993.55300000007</v>
      </c>
      <c r="AF348" s="16">
        <f t="shared" si="10"/>
        <v>-35252.896000000001</v>
      </c>
      <c r="AG348" s="16">
        <f t="shared" si="10"/>
        <v>9566.018</v>
      </c>
      <c r="AH348" s="16">
        <f t="shared" si="10"/>
        <v>1594759.2439999999</v>
      </c>
      <c r="AI348" s="16">
        <f t="shared" si="10"/>
        <v>25502.521000000001</v>
      </c>
      <c r="AJ348" s="16">
        <f t="shared" si="10"/>
        <v>15.423999999999999</v>
      </c>
      <c r="AK348" s="16">
        <f t="shared" si="10"/>
        <v>418.53300000000002</v>
      </c>
      <c r="AL348" s="16">
        <f t="shared" si="10"/>
        <v>114.77800000000001</v>
      </c>
      <c r="AM348" s="16">
        <f>SUMIF($D$6:$D$338,$D$348,AM6:AM338)</f>
        <v>692.79100000000005</v>
      </c>
      <c r="AN348" s="16">
        <f>SUMIF($D$6:$D$338,$D$348,AN6:AN338)</f>
        <v>116.303</v>
      </c>
      <c r="AO348" s="16">
        <f>SUMIF($D$6:$D$338,$D$348,AO6:AO338)</f>
        <v>-2365.9090000000001</v>
      </c>
      <c r="AP348" s="16">
        <f t="shared" si="10"/>
        <v>0</v>
      </c>
      <c r="AQ348" s="16">
        <f t="shared" si="10"/>
        <v>-6506.5149999999994</v>
      </c>
      <c r="AR348" s="16">
        <f t="shared" si="10"/>
        <v>0</v>
      </c>
      <c r="AS348" s="16">
        <f t="shared" si="10"/>
        <v>-47.339000000000006</v>
      </c>
      <c r="AT348" s="16">
        <f t="shared" si="10"/>
        <v>0</v>
      </c>
      <c r="AU348" s="16">
        <f t="shared" si="10"/>
        <v>-312.33500000000004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I348" si="11">SUMIF($D$6:$D$338,$D$348,AY6:AY338)</f>
        <v>0</v>
      </c>
      <c r="AZ348" s="16">
        <f t="shared" si="11"/>
        <v>0</v>
      </c>
      <c r="BA348" s="16">
        <f t="shared" si="11"/>
        <v>0</v>
      </c>
      <c r="BB348" s="16">
        <f t="shared" si="11"/>
        <v>-821.89400000000001</v>
      </c>
      <c r="BC348" s="16">
        <f t="shared" si="11"/>
        <v>0</v>
      </c>
      <c r="BD348" s="16">
        <f t="shared" si="11"/>
        <v>0</v>
      </c>
      <c r="BE348" s="16">
        <f t="shared" si="11"/>
        <v>-219.095</v>
      </c>
      <c r="BF348" s="16">
        <f t="shared" si="11"/>
        <v>-219.095</v>
      </c>
      <c r="BG348" s="16">
        <f t="shared" si="11"/>
        <v>0</v>
      </c>
      <c r="BH348" s="16">
        <f t="shared" si="11"/>
        <v>0</v>
      </c>
      <c r="BI348" s="16">
        <f t="shared" si="11"/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1962392.5359999998</v>
      </c>
      <c r="F349" s="16">
        <f t="shared" si="12"/>
        <v>80953.657000000036</v>
      </c>
      <c r="G349" s="16">
        <f t="shared" si="12"/>
        <v>75053.865999999995</v>
      </c>
      <c r="H349" s="16">
        <f t="shared" si="12"/>
        <v>27135.522999999986</v>
      </c>
      <c r="I349" s="16">
        <f t="shared" si="12"/>
        <v>9805.8139999999985</v>
      </c>
      <c r="J349" s="16">
        <f t="shared" si="12"/>
        <v>48901.119000000006</v>
      </c>
      <c r="K349" s="16">
        <f t="shared" si="12"/>
        <v>32879.098999999995</v>
      </c>
      <c r="L349" s="16">
        <f t="shared" si="12"/>
        <v>2323511.3139999993</v>
      </c>
      <c r="M349" s="16">
        <f t="shared" si="12"/>
        <v>604694.93299999996</v>
      </c>
      <c r="N349" s="16">
        <f>SUMIF($D$6:$D$338,$D$349,N6:N338)+SUMIF($D$6:$D$338,$B$349,N6:N338)</f>
        <v>-9.7390000000000008</v>
      </c>
      <c r="O349" s="16">
        <f t="shared" si="12"/>
        <v>353.65899999999993</v>
      </c>
      <c r="P349" s="16">
        <f t="shared" si="12"/>
        <v>1505.4230000000002</v>
      </c>
      <c r="Q349" s="16">
        <f t="shared" si="12"/>
        <v>290.94900000000001</v>
      </c>
      <c r="R349" s="16">
        <f t="shared" si="12"/>
        <v>861.07300000000021</v>
      </c>
      <c r="S349" s="16">
        <f t="shared" si="12"/>
        <v>15522.702000000003</v>
      </c>
      <c r="T349" s="16">
        <f t="shared" si="12"/>
        <v>-0.82799999999999996</v>
      </c>
      <c r="U349" s="16">
        <f t="shared" si="12"/>
        <v>25781.504000000001</v>
      </c>
      <c r="V349" s="16">
        <f t="shared" si="12"/>
        <v>7370.2540000000008</v>
      </c>
      <c r="W349" s="16">
        <f t="shared" si="12"/>
        <v>19997.138999999996</v>
      </c>
      <c r="X349" s="16">
        <f t="shared" si="12"/>
        <v>142.166</v>
      </c>
      <c r="Y349" s="16">
        <f t="shared" si="12"/>
        <v>356197.36200000002</v>
      </c>
      <c r="Z349" s="16">
        <f t="shared" si="12"/>
        <v>-648.05299999999966</v>
      </c>
      <c r="AA349" s="16">
        <f t="shared" si="12"/>
        <v>99402.347999999998</v>
      </c>
      <c r="AB349" s="16">
        <f t="shared" si="12"/>
        <v>12268.764999999998</v>
      </c>
      <c r="AC349" s="16">
        <f t="shared" si="12"/>
        <v>12343.242</v>
      </c>
      <c r="AD349" s="16">
        <f t="shared" si="12"/>
        <v>332.39700000000028</v>
      </c>
      <c r="AE349" s="16">
        <f t="shared" si="12"/>
        <v>1232215.5229999998</v>
      </c>
      <c r="AF349" s="16">
        <f t="shared" si="12"/>
        <v>77202.171999999991</v>
      </c>
      <c r="AG349" s="16">
        <f t="shared" si="12"/>
        <v>2514.8740000000003</v>
      </c>
      <c r="AH349" s="16">
        <f t="shared" si="12"/>
        <v>4638506.8279999988</v>
      </c>
      <c r="AI349" s="16">
        <f t="shared" si="12"/>
        <v>170003.73300000001</v>
      </c>
      <c r="AJ349" s="16">
        <f t="shared" si="12"/>
        <v>-3301.3080000000182</v>
      </c>
      <c r="AK349" s="16">
        <f t="shared" si="12"/>
        <v>559492.98400000005</v>
      </c>
      <c r="AL349" s="16">
        <f t="shared" si="12"/>
        <v>309722.685</v>
      </c>
      <c r="AM349" s="16">
        <f>SUMIF($D$6:$D$338,$D$349,AM6:AM338)+SUMIF($D$6:$D$338,$B$349,AM6:AM338)</f>
        <v>5861.0140000000001</v>
      </c>
      <c r="AN349" s="16">
        <f>SUMIF($D$6:$D$338,$D$349,AN6:AN338)+SUMIF($D$6:$D$338,$B$349,AN6:AN338)</f>
        <v>200435.52000000002</v>
      </c>
      <c r="AO349" s="16">
        <f>SUMIF($D$6:$D$338,$D$349,AO6:AO338)+SUMIF($D$6:$D$338,$B$349,AO6:AO338)</f>
        <v>5159.058</v>
      </c>
      <c r="AP349" s="16">
        <f t="shared" si="12"/>
        <v>2.2130000000000045</v>
      </c>
      <c r="AQ349" s="16">
        <f t="shared" si="12"/>
        <v>19470.239000000001</v>
      </c>
      <c r="AR349" s="16">
        <f t="shared" si="12"/>
        <v>-2.9659999999999997</v>
      </c>
      <c r="AS349" s="16">
        <f t="shared" si="12"/>
        <v>187.131</v>
      </c>
      <c r="AT349" s="16">
        <f t="shared" si="12"/>
        <v>0</v>
      </c>
      <c r="AU349" s="16">
        <f t="shared" si="12"/>
        <v>2060.6640000000007</v>
      </c>
      <c r="AV349" s="16">
        <f t="shared" si="12"/>
        <v>22.906000000000002</v>
      </c>
      <c r="AW349" s="16">
        <f t="shared" si="12"/>
        <v>-54.078999999999994</v>
      </c>
      <c r="AX349" s="16">
        <f>SUMIF($D$6:$D$338,$D$349,AX6:AX338)+SUMIF($D$6:$D$338,$B$349,AX6:AX338)</f>
        <v>601.59099999999989</v>
      </c>
      <c r="AY349" s="16">
        <f t="shared" ref="AY349:BI349" si="13">SUMIF($D$6:$D$338,$D$349,AY6:AY338)+SUMIF($D$6:$D$338,$B$349,AY6:AY338)</f>
        <v>1931.3069999999996</v>
      </c>
      <c r="AZ349" s="16">
        <f t="shared" si="13"/>
        <v>10998.862999999999</v>
      </c>
      <c r="BA349" s="16">
        <f t="shared" si="13"/>
        <v>-1386.472</v>
      </c>
      <c r="BB349" s="16">
        <f t="shared" si="13"/>
        <v>1808.067</v>
      </c>
      <c r="BC349" s="16">
        <f t="shared" si="13"/>
        <v>1061.7239999999999</v>
      </c>
      <c r="BD349" s="16">
        <f t="shared" si="13"/>
        <v>13797.936000000002</v>
      </c>
      <c r="BE349" s="16">
        <f t="shared" si="13"/>
        <v>450.02600000000007</v>
      </c>
      <c r="BF349" s="16">
        <f t="shared" si="13"/>
        <v>450.02600000000007</v>
      </c>
      <c r="BG349" s="16">
        <f t="shared" si="13"/>
        <v>4168.3829999999998</v>
      </c>
      <c r="BH349" s="16">
        <f t="shared" si="13"/>
        <v>-1079.7670000000085</v>
      </c>
      <c r="BI349" s="16">
        <f t="shared" si="13"/>
        <v>478.36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E351">
        <f t="shared" ref="E351:M351" si="14">SUM(E344:E350)</f>
        <v>8678650.4309999999</v>
      </c>
      <c r="F351">
        <f t="shared" si="14"/>
        <v>972491.17099999997</v>
      </c>
      <c r="G351">
        <f t="shared" si="14"/>
        <v>990579.02300000004</v>
      </c>
      <c r="H351">
        <f t="shared" si="14"/>
        <v>1121970.601</v>
      </c>
      <c r="I351">
        <f t="shared" si="14"/>
        <v>135417.19899999999</v>
      </c>
      <c r="J351">
        <f t="shared" si="14"/>
        <v>707235.56500000018</v>
      </c>
      <c r="K351">
        <f t="shared" si="14"/>
        <v>284563.31600000005</v>
      </c>
      <c r="L351" s="17">
        <f t="shared" si="14"/>
        <v>9151763.25</v>
      </c>
      <c r="M351">
        <f t="shared" si="14"/>
        <v>2997173.74</v>
      </c>
      <c r="N351">
        <f>SUM(N344:N350)</f>
        <v>14855.692000000001</v>
      </c>
      <c r="O351">
        <f t="shared" ref="O351:AL351" si="15">SUM(O344:O350)</f>
        <v>11805.762999999999</v>
      </c>
      <c r="P351">
        <f t="shared" si="15"/>
        <v>19489.196</v>
      </c>
      <c r="Q351">
        <f t="shared" si="15"/>
        <v>12577.252000000002</v>
      </c>
      <c r="R351">
        <f t="shared" si="15"/>
        <v>18725.863999999998</v>
      </c>
      <c r="S351">
        <f t="shared" si="15"/>
        <v>302831.42499999999</v>
      </c>
      <c r="T351">
        <f t="shared" si="15"/>
        <v>988.476</v>
      </c>
      <c r="U351">
        <f t="shared" si="15"/>
        <v>216092.68300000002</v>
      </c>
      <c r="V351">
        <f t="shared" si="15"/>
        <v>107759.28800000002</v>
      </c>
      <c r="W351">
        <f t="shared" si="15"/>
        <v>233830.58100000003</v>
      </c>
      <c r="X351">
        <f t="shared" si="15"/>
        <v>211332.79500000001</v>
      </c>
      <c r="Y351">
        <f t="shared" si="15"/>
        <v>2119722.824</v>
      </c>
      <c r="Z351">
        <f t="shared" si="15"/>
        <v>125846.97900000001</v>
      </c>
      <c r="AA351">
        <f t="shared" si="15"/>
        <v>1431963.1539999999</v>
      </c>
      <c r="AB351">
        <f t="shared" si="15"/>
        <v>343270.34600000002</v>
      </c>
      <c r="AC351">
        <f t="shared" si="15"/>
        <v>171395.489</v>
      </c>
      <c r="AD351">
        <f t="shared" si="15"/>
        <v>58680.038</v>
      </c>
      <c r="AE351">
        <f t="shared" si="15"/>
        <v>5639361.426</v>
      </c>
      <c r="AF351">
        <f t="shared" si="15"/>
        <v>1327730.7830000001</v>
      </c>
      <c r="AG351">
        <f t="shared" si="15"/>
        <v>269552.576</v>
      </c>
      <c r="AH351">
        <f t="shared" si="15"/>
        <v>19010562.930999998</v>
      </c>
      <c r="AI351">
        <f t="shared" si="15"/>
        <v>2334251.9000000004</v>
      </c>
      <c r="AJ351">
        <f t="shared" si="15"/>
        <v>650575.27599999995</v>
      </c>
      <c r="AK351">
        <f t="shared" si="15"/>
        <v>10727236.440999998</v>
      </c>
      <c r="AL351">
        <f t="shared" si="15"/>
        <v>5944435.2139999997</v>
      </c>
      <c r="AM351">
        <f>SUM(AM344:AM350)</f>
        <v>49460.940999999999</v>
      </c>
      <c r="AN351">
        <f>SUM(AN344:AN350)</f>
        <v>3851360.176</v>
      </c>
      <c r="AO351">
        <f>SUM(AO344:AO350)</f>
        <v>129010.21200000001</v>
      </c>
      <c r="AP351">
        <f>SUM(AP344:AP350)</f>
        <v>64751.357000000004</v>
      </c>
      <c r="AQ351">
        <f t="shared" ref="AQ351:AW351" si="16">SUM(AQ344:AQ350)</f>
        <v>464390.49799999996</v>
      </c>
      <c r="AR351">
        <f t="shared" si="16"/>
        <v>25914.397000000001</v>
      </c>
      <c r="AS351">
        <f t="shared" si="16"/>
        <v>3602.0279999999998</v>
      </c>
      <c r="AT351">
        <f t="shared" si="16"/>
        <v>0</v>
      </c>
      <c r="AU351">
        <f t="shared" si="16"/>
        <v>79160.008000000002</v>
      </c>
      <c r="AV351">
        <f t="shared" si="16"/>
        <v>69819.713000000003</v>
      </c>
      <c r="AW351">
        <f t="shared" si="16"/>
        <v>98338.978000000003</v>
      </c>
      <c r="AX351">
        <f>SUM(AX344:AX350)</f>
        <v>223988.342</v>
      </c>
      <c r="AY351">
        <f t="shared" ref="AY351:BI351" si="17">SUM(AY344:AY350)</f>
        <v>44455.169000000002</v>
      </c>
      <c r="AZ351">
        <f t="shared" si="17"/>
        <v>186661.67499999999</v>
      </c>
      <c r="BA351">
        <f t="shared" si="17"/>
        <v>162434.367</v>
      </c>
      <c r="BB351">
        <f t="shared" si="17"/>
        <v>46324.321000000011</v>
      </c>
      <c r="BC351">
        <f t="shared" si="17"/>
        <v>26850.783999999996</v>
      </c>
      <c r="BD351">
        <f t="shared" si="17"/>
        <v>210104.58600000001</v>
      </c>
      <c r="BE351">
        <f t="shared" si="17"/>
        <v>11271.887000000002</v>
      </c>
      <c r="BF351">
        <f t="shared" si="17"/>
        <v>11271.887000000002</v>
      </c>
      <c r="BG351">
        <f t="shared" si="17"/>
        <v>64184.103999999992</v>
      </c>
      <c r="BH351">
        <f t="shared" si="17"/>
        <v>418552.28599999996</v>
      </c>
      <c r="BI351">
        <f t="shared" si="17"/>
        <v>11620.161</v>
      </c>
      <c r="BJ351" s="21"/>
    </row>
    <row r="352" spans="1:6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21"/>
    </row>
    <row r="353" spans="1:62" x14ac:dyDescent="0.25">
      <c r="A353" s="8"/>
      <c r="B353" s="8"/>
      <c r="C353" s="8"/>
      <c r="D353" s="8"/>
      <c r="E353" s="8">
        <f t="shared" ref="E353:AJ353" si="18">E351-E339</f>
        <v>8678650.4309999999</v>
      </c>
      <c r="F353" s="8">
        <f t="shared" si="18"/>
        <v>972491.17099999997</v>
      </c>
      <c r="G353" s="8">
        <f t="shared" si="18"/>
        <v>990579.02300000004</v>
      </c>
      <c r="H353" s="8">
        <f t="shared" si="18"/>
        <v>1121970.601</v>
      </c>
      <c r="I353" s="8">
        <f t="shared" si="18"/>
        <v>135417.19899999999</v>
      </c>
      <c r="J353" s="8">
        <f t="shared" si="18"/>
        <v>707235.56500000018</v>
      </c>
      <c r="K353" s="8">
        <f t="shared" si="18"/>
        <v>284563.31600000005</v>
      </c>
      <c r="L353" s="18">
        <f t="shared" si="18"/>
        <v>9151763.25</v>
      </c>
      <c r="M353" s="8">
        <f t="shared" si="18"/>
        <v>2997173.74</v>
      </c>
      <c r="N353" s="8">
        <f>N351-N339</f>
        <v>14855.692000000001</v>
      </c>
      <c r="O353" s="8">
        <f t="shared" si="18"/>
        <v>11805.762999999999</v>
      </c>
      <c r="P353" s="8">
        <f t="shared" si="18"/>
        <v>19489.196</v>
      </c>
      <c r="Q353" s="8">
        <f t="shared" si="18"/>
        <v>12577.252000000002</v>
      </c>
      <c r="R353" s="8">
        <f t="shared" si="18"/>
        <v>18725.863999999998</v>
      </c>
      <c r="S353" s="8">
        <f t="shared" si="18"/>
        <v>302831.42499999999</v>
      </c>
      <c r="T353" s="8">
        <f t="shared" si="18"/>
        <v>988.476</v>
      </c>
      <c r="U353" s="8">
        <f t="shared" si="18"/>
        <v>216092.68300000002</v>
      </c>
      <c r="V353" s="8">
        <f t="shared" si="18"/>
        <v>107759.28800000002</v>
      </c>
      <c r="W353" s="8">
        <f t="shared" si="18"/>
        <v>233830.58100000003</v>
      </c>
      <c r="X353" s="8">
        <f t="shared" si="18"/>
        <v>211332.79500000001</v>
      </c>
      <c r="Y353" s="8">
        <f t="shared" si="18"/>
        <v>2119722.824</v>
      </c>
      <c r="Z353" s="8">
        <f t="shared" si="18"/>
        <v>125846.97900000001</v>
      </c>
      <c r="AA353" s="8">
        <f t="shared" si="18"/>
        <v>1431963.1539999999</v>
      </c>
      <c r="AB353" s="8">
        <f t="shared" si="18"/>
        <v>343270.34600000002</v>
      </c>
      <c r="AC353" s="8">
        <f t="shared" si="18"/>
        <v>171395.489</v>
      </c>
      <c r="AD353" s="8">
        <f t="shared" si="18"/>
        <v>58680.038</v>
      </c>
      <c r="AE353" s="8">
        <f t="shared" si="18"/>
        <v>5639361.426</v>
      </c>
      <c r="AF353" s="8">
        <f t="shared" si="18"/>
        <v>1327730.7830000001</v>
      </c>
      <c r="AG353" s="8">
        <f t="shared" si="18"/>
        <v>269552.576</v>
      </c>
      <c r="AH353" s="8">
        <f t="shared" si="18"/>
        <v>19010562.930999998</v>
      </c>
      <c r="AI353" s="8">
        <f t="shared" si="18"/>
        <v>2334251.9000000004</v>
      </c>
      <c r="AJ353" s="8">
        <f t="shared" si="18"/>
        <v>650575.27599999995</v>
      </c>
      <c r="AK353" s="8">
        <f>AK351-AK339</f>
        <v>10727236.440999998</v>
      </c>
      <c r="AL353" s="8">
        <f>AL351-AL339</f>
        <v>5944435.2139999997</v>
      </c>
      <c r="AM353" s="8">
        <f>AM351-AM339</f>
        <v>49460.940999999999</v>
      </c>
      <c r="AN353" s="8">
        <f>AN351-AN339</f>
        <v>3851360.176</v>
      </c>
      <c r="AO353" s="8">
        <f>AO351-AO339</f>
        <v>129010.21200000001</v>
      </c>
      <c r="AP353" s="8">
        <f t="shared" ref="AP353:AW353" si="19">AP351-AP339</f>
        <v>64751.357000000004</v>
      </c>
      <c r="AQ353" s="8">
        <f t="shared" si="19"/>
        <v>464390.49799999996</v>
      </c>
      <c r="AR353" s="8">
        <f t="shared" si="19"/>
        <v>25914.397000000001</v>
      </c>
      <c r="AS353" s="8">
        <f t="shared" si="19"/>
        <v>3602.0279999999998</v>
      </c>
      <c r="AT353" s="8">
        <f t="shared" si="19"/>
        <v>0</v>
      </c>
      <c r="AU353" s="8">
        <f t="shared" si="19"/>
        <v>79160.008000000002</v>
      </c>
      <c r="AV353" s="8">
        <f t="shared" si="19"/>
        <v>69819.713000000003</v>
      </c>
      <c r="AW353" s="8">
        <f t="shared" si="19"/>
        <v>98338.978000000003</v>
      </c>
      <c r="AX353" s="8">
        <f>AX351-AX339</f>
        <v>223988.342</v>
      </c>
      <c r="AY353" s="8">
        <f t="shared" ref="AY353:BI353" si="20">AY351-AY339</f>
        <v>44455.169000000002</v>
      </c>
      <c r="AZ353" s="8">
        <f t="shared" si="20"/>
        <v>186661.67499999999</v>
      </c>
      <c r="BA353" s="8">
        <f t="shared" si="20"/>
        <v>162434.367</v>
      </c>
      <c r="BB353" s="8">
        <f t="shared" si="20"/>
        <v>46324.321000000011</v>
      </c>
      <c r="BC353" s="8">
        <f t="shared" si="20"/>
        <v>26850.783999999996</v>
      </c>
      <c r="BD353" s="8">
        <f t="shared" si="20"/>
        <v>210104.58600000001</v>
      </c>
      <c r="BE353" s="8">
        <f t="shared" si="20"/>
        <v>11271.887000000002</v>
      </c>
      <c r="BF353" s="8">
        <f t="shared" si="20"/>
        <v>11271.887000000002</v>
      </c>
      <c r="BG353" s="8">
        <f t="shared" si="20"/>
        <v>64184.103999999992</v>
      </c>
      <c r="BH353" s="8">
        <f t="shared" si="20"/>
        <v>418552.28599999996</v>
      </c>
      <c r="BI353" s="8">
        <f t="shared" si="20"/>
        <v>11620.161</v>
      </c>
      <c r="BJ353" s="21"/>
    </row>
    <row r="354" spans="1:62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I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15214</v>
      </c>
      <c r="BG354" s="19">
        <f t="shared" si="25"/>
        <v>15233</v>
      </c>
      <c r="BH354" s="19">
        <f t="shared" si="25"/>
        <v>15234</v>
      </c>
      <c r="BI354" s="19">
        <f t="shared" si="25"/>
        <v>15215</v>
      </c>
      <c r="BJ354" s="21"/>
    </row>
    <row r="355" spans="1:62" x14ac:dyDescent="0.25">
      <c r="A355" t="s">
        <v>608</v>
      </c>
      <c r="E355" s="20">
        <f t="shared" ref="E355:AL355" si="26">E344/E351</f>
        <v>9.2405154623516145E-2</v>
      </c>
      <c r="F355" s="20">
        <f t="shared" si="26"/>
        <v>0.13870036666893296</v>
      </c>
      <c r="G355" s="20">
        <f t="shared" si="26"/>
        <v>3.2910670671450308E-2</v>
      </c>
      <c r="H355" s="20">
        <f t="shared" si="26"/>
        <v>3.3410536752557916E-2</v>
      </c>
      <c r="I355" s="20">
        <f t="shared" si="26"/>
        <v>7.4223334068518124E-2</v>
      </c>
      <c r="J355" s="20">
        <f t="shared" si="26"/>
        <v>5.875391178892423E-2</v>
      </c>
      <c r="K355" s="20">
        <f t="shared" si="26"/>
        <v>3.9388689159076284E-2</v>
      </c>
      <c r="L355" s="20">
        <f t="shared" si="26"/>
        <v>0.16058087156046133</v>
      </c>
      <c r="M355" s="20">
        <f t="shared" si="26"/>
        <v>4.135469237095344E-2</v>
      </c>
      <c r="N355" s="20">
        <f>N344/N351</f>
        <v>1.2896538242715316E-2</v>
      </c>
      <c r="O355" s="20">
        <f t="shared" si="26"/>
        <v>0.78009307827033303</v>
      </c>
      <c r="P355" s="20">
        <f t="shared" si="26"/>
        <v>2.9679110415842706E-2</v>
      </c>
      <c r="Q355" s="20">
        <f t="shared" si="26"/>
        <v>0.4494162158792715</v>
      </c>
      <c r="R355" s="20">
        <f t="shared" si="26"/>
        <v>0.14085224585631939</v>
      </c>
      <c r="S355" s="20">
        <f t="shared" si="26"/>
        <v>0.13450857023837604</v>
      </c>
      <c r="T355" s="20">
        <f t="shared" si="26"/>
        <v>5.6288670640460671E-3</v>
      </c>
      <c r="U355" s="20">
        <f t="shared" si="26"/>
        <v>5.4794673450373137E-2</v>
      </c>
      <c r="V355" s="20">
        <f t="shared" si="26"/>
        <v>4.2589498178569989E-2</v>
      </c>
      <c r="W355" s="20">
        <f t="shared" si="26"/>
        <v>7.5198436084799342E-2</v>
      </c>
      <c r="X355" s="20">
        <f t="shared" si="26"/>
        <v>0.15494852088621644</v>
      </c>
      <c r="Y355" s="20">
        <f t="shared" si="26"/>
        <v>0.1366558687391857</v>
      </c>
      <c r="Z355" s="20">
        <f t="shared" si="26"/>
        <v>0.57297137025434675</v>
      </c>
      <c r="AA355" s="20">
        <f t="shared" si="26"/>
        <v>0.10126362441306225</v>
      </c>
      <c r="AB355" s="20">
        <f t="shared" si="26"/>
        <v>0.7996102785994802</v>
      </c>
      <c r="AC355" s="20">
        <f t="shared" si="26"/>
        <v>0.14831962701188711</v>
      </c>
      <c r="AD355" s="20">
        <f t="shared" si="26"/>
        <v>0.29603571490529712</v>
      </c>
      <c r="AE355" s="20">
        <f t="shared" si="26"/>
        <v>0.15238901518847253</v>
      </c>
      <c r="AF355" s="20">
        <f t="shared" si="26"/>
        <v>0.27389283856048097</v>
      </c>
      <c r="AG355" s="20">
        <f t="shared" si="26"/>
        <v>0.33430214371240141</v>
      </c>
      <c r="AH355" s="20">
        <f t="shared" si="26"/>
        <v>0.13064919729177904</v>
      </c>
      <c r="AI355" s="20">
        <f t="shared" si="26"/>
        <v>0.2473734587085481</v>
      </c>
      <c r="AJ355" s="20">
        <f t="shared" si="26"/>
        <v>0.569036008063731</v>
      </c>
      <c r="AK355" s="20">
        <f t="shared" si="26"/>
        <v>0.75796133941110744</v>
      </c>
      <c r="AL355" s="20">
        <f t="shared" si="26"/>
        <v>0.75822434474260225</v>
      </c>
      <c r="AM355" s="20">
        <f>AM344/AM351</f>
        <v>5.6639015420268689E-2</v>
      </c>
      <c r="AN355" s="20">
        <f>AN344/AN351</f>
        <v>0.7579882494999346</v>
      </c>
      <c r="AO355" s="20">
        <f>AO344/AO351</f>
        <v>0.168243255037826</v>
      </c>
      <c r="AP355" s="20">
        <f>AP344/AP351</f>
        <v>0.10296301589478658</v>
      </c>
      <c r="AQ355" s="20">
        <f t="shared" ref="AQ355:AW355" si="27">AQ344/AQ351</f>
        <v>0.27555946676583382</v>
      </c>
      <c r="AR355" s="20">
        <f t="shared" si="27"/>
        <v>9.7195624501700731E-2</v>
      </c>
      <c r="AS355" s="20">
        <f t="shared" si="27"/>
        <v>0.1540260097922615</v>
      </c>
      <c r="AT355" s="20" t="e">
        <f t="shared" si="27"/>
        <v>#DIV/0!</v>
      </c>
      <c r="AU355" s="20">
        <f t="shared" si="27"/>
        <v>0.14782493453007228</v>
      </c>
      <c r="AV355" s="20">
        <f t="shared" si="27"/>
        <v>9.6750813054760035E-2</v>
      </c>
      <c r="AW355" s="20">
        <f t="shared" si="27"/>
        <v>0.11044652101224807</v>
      </c>
      <c r="AX355" s="20">
        <f>AX344/AX351</f>
        <v>0.16572672340241706</v>
      </c>
      <c r="AY355" s="20">
        <f t="shared" ref="AY355:BI355" si="28">AY344/AY351</f>
        <v>4.9215604151679186E-2</v>
      </c>
      <c r="AZ355" s="20">
        <f t="shared" si="28"/>
        <v>7.8680580788745194E-2</v>
      </c>
      <c r="BA355" s="20">
        <f t="shared" si="28"/>
        <v>0.15688884975923845</v>
      </c>
      <c r="BB355" s="20">
        <f t="shared" si="28"/>
        <v>0.1720018303128501</v>
      </c>
      <c r="BC355" s="20">
        <f t="shared" si="28"/>
        <v>7.9727094747028632E-2</v>
      </c>
      <c r="BD355" s="20">
        <f t="shared" si="28"/>
        <v>5.5456133641937737E-2</v>
      </c>
      <c r="BE355" s="20">
        <f t="shared" si="28"/>
        <v>0.1733259036397366</v>
      </c>
      <c r="BF355" s="20">
        <f t="shared" si="28"/>
        <v>0.1733259036397366</v>
      </c>
      <c r="BG355" s="20">
        <f t="shared" si="28"/>
        <v>5.7832278845865018E-2</v>
      </c>
      <c r="BH355" s="20">
        <f t="shared" si="28"/>
        <v>0.59193952652309734</v>
      </c>
      <c r="BI355" s="20">
        <f t="shared" si="28"/>
        <v>5.0036225831982875E-2</v>
      </c>
      <c r="BJ355" s="21"/>
    </row>
    <row r="356" spans="1:62" x14ac:dyDescent="0.25">
      <c r="A356" t="s">
        <v>609</v>
      </c>
      <c r="E356" s="20">
        <f t="shared" ref="E356:AL356" si="29">E345/E351</f>
        <v>0.22742645249885626</v>
      </c>
      <c r="F356" s="20">
        <f t="shared" si="29"/>
        <v>0.17712132113536691</v>
      </c>
      <c r="G356" s="20">
        <f t="shared" si="29"/>
        <v>0.35108562055629156</v>
      </c>
      <c r="H356" s="20">
        <f t="shared" si="29"/>
        <v>0</v>
      </c>
      <c r="I356" s="20">
        <f t="shared" si="29"/>
        <v>0.36771212495688976</v>
      </c>
      <c r="J356" s="20">
        <f t="shared" si="29"/>
        <v>0.33797633748806166</v>
      </c>
      <c r="K356" s="20">
        <f t="shared" si="29"/>
        <v>0.63443952136121429</v>
      </c>
      <c r="L356" s="20">
        <f t="shared" si="29"/>
        <v>8.9769922643049144E-2</v>
      </c>
      <c r="M356" s="20">
        <f t="shared" si="29"/>
        <v>0.20388023051343027</v>
      </c>
      <c r="N356" s="20">
        <f>N345/N351</f>
        <v>0.77251978568214796</v>
      </c>
      <c r="O356" s="20">
        <f t="shared" si="29"/>
        <v>1.4179430842377575E-2</v>
      </c>
      <c r="P356" s="20">
        <f t="shared" si="29"/>
        <v>0.78271089274283046</v>
      </c>
      <c r="Q356" s="20">
        <f t="shared" si="29"/>
        <v>0.15026112222288301</v>
      </c>
      <c r="R356" s="20">
        <f t="shared" si="29"/>
        <v>0.20037152891850546</v>
      </c>
      <c r="S356" s="20">
        <f t="shared" si="29"/>
        <v>0.1734053789166696</v>
      </c>
      <c r="T356" s="20">
        <f t="shared" si="29"/>
        <v>0.99520878605044538</v>
      </c>
      <c r="U356" s="20">
        <f t="shared" si="29"/>
        <v>0.65460259475791682</v>
      </c>
      <c r="V356" s="20">
        <f t="shared" si="29"/>
        <v>0.26341962281710696</v>
      </c>
      <c r="W356" s="20">
        <f t="shared" si="29"/>
        <v>0.22325712392597613</v>
      </c>
      <c r="X356" s="20">
        <f t="shared" si="29"/>
        <v>1.1602586337818511E-2</v>
      </c>
      <c r="Y356" s="20">
        <f t="shared" si="29"/>
        <v>0.17972424917381558</v>
      </c>
      <c r="Z356" s="20">
        <f t="shared" si="29"/>
        <v>7.5821446615734808E-4</v>
      </c>
      <c r="AA356" s="20">
        <f t="shared" si="29"/>
        <v>0.35518438137131014</v>
      </c>
      <c r="AB356" s="20">
        <f t="shared" si="29"/>
        <v>9.5986735772393226E-3</v>
      </c>
      <c r="AC356" s="20">
        <f t="shared" si="29"/>
        <v>0.14809462692451611</v>
      </c>
      <c r="AD356" s="20">
        <f t="shared" si="29"/>
        <v>0.17261082891595947</v>
      </c>
      <c r="AE356" s="20">
        <f t="shared" si="29"/>
        <v>0.15905687545836683</v>
      </c>
      <c r="AF356" s="20">
        <f t="shared" si="29"/>
        <v>5.558589056227372E-2</v>
      </c>
      <c r="AG356" s="20">
        <f t="shared" si="29"/>
        <v>0.1345378832513921</v>
      </c>
      <c r="AH356" s="20">
        <f t="shared" si="29"/>
        <v>0.13349811150839511</v>
      </c>
      <c r="AI356" s="20">
        <f t="shared" si="29"/>
        <v>5.0116771887387127E-2</v>
      </c>
      <c r="AJ356" s="20">
        <f t="shared" si="29"/>
        <v>7.7059184155040038E-4</v>
      </c>
      <c r="AK356" s="20">
        <f t="shared" si="29"/>
        <v>7.7486171538371909E-2</v>
      </c>
      <c r="AL356" s="20">
        <f t="shared" si="29"/>
        <v>7.7408638572808247E-2</v>
      </c>
      <c r="AM356" s="20">
        <f>AM345/AM351</f>
        <v>0.65350048637368219</v>
      </c>
      <c r="AN356" s="20">
        <f>AN345/AN351</f>
        <v>7.752511901135678E-2</v>
      </c>
      <c r="AO356" s="20">
        <f>AO345/AO351</f>
        <v>0.16767800521093629</v>
      </c>
      <c r="AP356" s="20">
        <f>AP345/AP351</f>
        <v>0</v>
      </c>
      <c r="AQ356" s="20">
        <f t="shared" ref="AQ356:AW356" si="30">AQ345/AQ351</f>
        <v>5.6001333171119272E-2</v>
      </c>
      <c r="AR356" s="20">
        <f t="shared" si="30"/>
        <v>0</v>
      </c>
      <c r="AS356" s="20">
        <f t="shared" si="30"/>
        <v>0.33720170970353358</v>
      </c>
      <c r="AT356" s="20" t="e">
        <f t="shared" si="30"/>
        <v>#DIV/0!</v>
      </c>
      <c r="AU356" s="20">
        <f t="shared" si="30"/>
        <v>0.37539026019300048</v>
      </c>
      <c r="AV356" s="20">
        <f t="shared" si="30"/>
        <v>0</v>
      </c>
      <c r="AW356" s="20">
        <f t="shared" si="30"/>
        <v>0</v>
      </c>
      <c r="AX356" s="20">
        <f>AX345/AX351</f>
        <v>1.14268179189433E-2</v>
      </c>
      <c r="AY356" s="20">
        <f t="shared" ref="AY356:BI356" si="31">AY345/AY351</f>
        <v>0.25609631581875214</v>
      </c>
      <c r="AZ356" s="20">
        <f t="shared" si="31"/>
        <v>3.6661944665395295E-3</v>
      </c>
      <c r="BA356" s="20">
        <f t="shared" si="31"/>
        <v>1.1702449642322305E-2</v>
      </c>
      <c r="BB356" s="20">
        <f t="shared" si="31"/>
        <v>0.17421777212881326</v>
      </c>
      <c r="BC356" s="20">
        <f t="shared" si="31"/>
        <v>0.26254279949516562</v>
      </c>
      <c r="BD356" s="20">
        <f t="shared" si="31"/>
        <v>4.0546520959804273E-3</v>
      </c>
      <c r="BE356" s="20">
        <f t="shared" si="31"/>
        <v>0.16417783464294838</v>
      </c>
      <c r="BF356" s="20">
        <f t="shared" si="31"/>
        <v>0.16417783464294838</v>
      </c>
      <c r="BG356" s="20">
        <f t="shared" si="31"/>
        <v>4.0470456672574255E-3</v>
      </c>
      <c r="BH356" s="20">
        <f t="shared" si="31"/>
        <v>6.6179540589105759E-2</v>
      </c>
      <c r="BI356" s="20">
        <f t="shared" si="31"/>
        <v>0.25934847202203137</v>
      </c>
      <c r="BJ356" s="21"/>
    </row>
    <row r="357" spans="1:62" x14ac:dyDescent="0.25">
      <c r="A357" t="s">
        <v>610</v>
      </c>
      <c r="E357" s="20">
        <f t="shared" ref="E357:AL357" si="32">E346/E351</f>
        <v>0.21781581042228756</v>
      </c>
      <c r="F357" s="20">
        <f t="shared" si="32"/>
        <v>0.27476143534057856</v>
      </c>
      <c r="G357" s="20">
        <f t="shared" si="32"/>
        <v>0.45878309700487158</v>
      </c>
      <c r="H357" s="20">
        <f t="shared" si="32"/>
        <v>4.3668676306073739E-2</v>
      </c>
      <c r="I357" s="20">
        <f t="shared" si="32"/>
        <v>0.33030129356020732</v>
      </c>
      <c r="J357" s="20">
        <f t="shared" si="32"/>
        <v>0.43103197023187029</v>
      </c>
      <c r="K357" s="20">
        <f t="shared" si="32"/>
        <v>0.15276617032393588</v>
      </c>
      <c r="L357" s="20">
        <f t="shared" si="32"/>
        <v>9.6346408327378882E-2</v>
      </c>
      <c r="M357" s="20">
        <f t="shared" si="32"/>
        <v>0.36903571896369275</v>
      </c>
      <c r="N357" s="20">
        <f>N346/N351</f>
        <v>0.21523924970980821</v>
      </c>
      <c r="O357" s="20">
        <f t="shared" si="32"/>
        <v>0</v>
      </c>
      <c r="P357" s="20">
        <f t="shared" si="32"/>
        <v>2.5398174455221246E-3</v>
      </c>
      <c r="Q357" s="20">
        <f t="shared" si="32"/>
        <v>0.31259650359235858</v>
      </c>
      <c r="R357" s="20">
        <f t="shared" si="32"/>
        <v>0.6052960226561509</v>
      </c>
      <c r="S357" s="20">
        <f t="shared" si="32"/>
        <v>0.36538142631663811</v>
      </c>
      <c r="T357" s="20">
        <f t="shared" si="32"/>
        <v>0</v>
      </c>
      <c r="U357" s="20">
        <f t="shared" si="32"/>
        <v>0.15762121848429267</v>
      </c>
      <c r="V357" s="20">
        <f t="shared" si="32"/>
        <v>0.5133075953508528</v>
      </c>
      <c r="W357" s="20">
        <f t="shared" si="32"/>
        <v>0.37545172930139531</v>
      </c>
      <c r="X357" s="20">
        <f t="shared" si="32"/>
        <v>0</v>
      </c>
      <c r="Y357" s="20">
        <f t="shared" si="32"/>
        <v>0.1441499249526409</v>
      </c>
      <c r="Z357" s="20">
        <f t="shared" si="32"/>
        <v>8.8229301078415229E-2</v>
      </c>
      <c r="AA357" s="20">
        <f t="shared" si="32"/>
        <v>0.43249905437161823</v>
      </c>
      <c r="AB357" s="20">
        <f t="shared" si="32"/>
        <v>0</v>
      </c>
      <c r="AC357" s="20">
        <f t="shared" si="32"/>
        <v>0.28374796375183481</v>
      </c>
      <c r="AD357" s="20">
        <f t="shared" si="32"/>
        <v>0.23095717831675572</v>
      </c>
      <c r="AE357" s="20">
        <f t="shared" si="32"/>
        <v>0.10149240432812082</v>
      </c>
      <c r="AF357" s="20">
        <f t="shared" si="32"/>
        <v>1.0070625891333273E-2</v>
      </c>
      <c r="AG357" s="20">
        <f t="shared" si="32"/>
        <v>0.20066097606130834</v>
      </c>
      <c r="AH357" s="20">
        <f t="shared" si="32"/>
        <v>0.11448317058781157</v>
      </c>
      <c r="AI357" s="20">
        <f t="shared" si="32"/>
        <v>9.8373457466180043E-3</v>
      </c>
      <c r="AJ357" s="20">
        <f t="shared" si="32"/>
        <v>8.6610392492074972E-2</v>
      </c>
      <c r="AK357" s="20">
        <f t="shared" si="32"/>
        <v>0</v>
      </c>
      <c r="AL357" s="20">
        <f t="shared" si="32"/>
        <v>0</v>
      </c>
      <c r="AM357" s="20">
        <f>AM346/AM351</f>
        <v>0.15735584165291155</v>
      </c>
      <c r="AN357" s="20">
        <f>AN346/AN351</f>
        <v>0</v>
      </c>
      <c r="AO357" s="20">
        <f>AO346/AO351</f>
        <v>0.32061187528317514</v>
      </c>
      <c r="AP357" s="20">
        <f>AP346/AP351</f>
        <v>0</v>
      </c>
      <c r="AQ357" s="20">
        <f t="shared" ref="AQ357:AW357" si="33">AQ346/AQ351</f>
        <v>9.8726933900357278E-3</v>
      </c>
      <c r="AR357" s="20">
        <f t="shared" si="33"/>
        <v>0</v>
      </c>
      <c r="AS357" s="20">
        <f t="shared" si="33"/>
        <v>0.22706680792042708</v>
      </c>
      <c r="AT357" s="20" t="e">
        <f t="shared" si="33"/>
        <v>#DIV/0!</v>
      </c>
      <c r="AU357" s="20">
        <f t="shared" si="33"/>
        <v>0.32522856743521306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I357" si="34">AY346/AY351</f>
        <v>0.46780071851712002</v>
      </c>
      <c r="AZ357" s="20">
        <f t="shared" si="34"/>
        <v>2.1242373400967286E-2</v>
      </c>
      <c r="BA357" s="20">
        <f t="shared" si="34"/>
        <v>0</v>
      </c>
      <c r="BB357" s="20">
        <f t="shared" si="34"/>
        <v>0.3154527186701776</v>
      </c>
      <c r="BC357" s="20">
        <f t="shared" si="34"/>
        <v>0.61776408465391552</v>
      </c>
      <c r="BD357" s="20">
        <f t="shared" si="34"/>
        <v>2.3493147360429342E-2</v>
      </c>
      <c r="BE357" s="20">
        <f t="shared" si="34"/>
        <v>0.31763013593021289</v>
      </c>
      <c r="BF357" s="20">
        <f t="shared" si="34"/>
        <v>0.31763013593021289</v>
      </c>
      <c r="BG357" s="20">
        <f t="shared" si="34"/>
        <v>2.3449092628916351E-2</v>
      </c>
      <c r="BH357" s="20">
        <f t="shared" si="34"/>
        <v>9.0514096487338269E-2</v>
      </c>
      <c r="BI357" s="20">
        <f t="shared" si="34"/>
        <v>0.64900710067614376</v>
      </c>
      <c r="BJ357" s="21"/>
    </row>
    <row r="358" spans="1:62" x14ac:dyDescent="0.25">
      <c r="A358" t="s">
        <v>611</v>
      </c>
      <c r="E358" s="20">
        <f t="shared" ref="E358:AL358" si="35">E347/E351</f>
        <v>0.15310103057658228</v>
      </c>
      <c r="F358" s="20">
        <f t="shared" si="35"/>
        <v>0.29215805086213986</v>
      </c>
      <c r="G358" s="20">
        <f t="shared" si="35"/>
        <v>3.0713349761697911E-4</v>
      </c>
      <c r="H358" s="20">
        <f t="shared" si="35"/>
        <v>2.5645686236657458E-2</v>
      </c>
      <c r="I358" s="20">
        <f t="shared" si="35"/>
        <v>7.4184372990907896E-2</v>
      </c>
      <c r="J358" s="20">
        <f t="shared" si="35"/>
        <v>2.786440752594221E-4</v>
      </c>
      <c r="K358" s="20">
        <f t="shared" si="35"/>
        <v>0</v>
      </c>
      <c r="L358" s="20">
        <f t="shared" si="35"/>
        <v>0.35107746018233155</v>
      </c>
      <c r="M358" s="20">
        <f t="shared" si="35"/>
        <v>6.1819951752279792E-2</v>
      </c>
      <c r="N358" s="20">
        <f>N347/N351</f>
        <v>0</v>
      </c>
      <c r="O358" s="20">
        <f t="shared" si="35"/>
        <v>0.17577101962829511</v>
      </c>
      <c r="P358" s="20">
        <f t="shared" si="35"/>
        <v>1.4567045249070307E-3</v>
      </c>
      <c r="Q358" s="20">
        <f t="shared" si="35"/>
        <v>6.4593203666428872E-2</v>
      </c>
      <c r="R358" s="20">
        <f t="shared" si="35"/>
        <v>5.3209827861614295E-3</v>
      </c>
      <c r="S358" s="20">
        <f t="shared" si="35"/>
        <v>0.29098590412141018</v>
      </c>
      <c r="T358" s="20">
        <f t="shared" si="35"/>
        <v>0</v>
      </c>
      <c r="U358" s="20">
        <f t="shared" si="35"/>
        <v>0</v>
      </c>
      <c r="V358" s="20">
        <f t="shared" si="35"/>
        <v>3.5549603854101181E-4</v>
      </c>
      <c r="W358" s="20">
        <f t="shared" si="35"/>
        <v>0.12102533329462152</v>
      </c>
      <c r="X358" s="20">
        <f t="shared" si="35"/>
        <v>0.83277618128317465</v>
      </c>
      <c r="Y358" s="20">
        <f t="shared" si="35"/>
        <v>0.28705453048421764</v>
      </c>
      <c r="Z358" s="20">
        <f t="shared" si="35"/>
        <v>0.3431906458398179</v>
      </c>
      <c r="AA358" s="20">
        <f t="shared" si="35"/>
        <v>3.2725492879546536E-4</v>
      </c>
      <c r="AB358" s="20">
        <f t="shared" si="35"/>
        <v>0.15505022388388887</v>
      </c>
      <c r="AC358" s="20">
        <f t="shared" si="35"/>
        <v>0.30870642108906376</v>
      </c>
      <c r="AD358" s="20">
        <f t="shared" si="35"/>
        <v>0.29473171097810125</v>
      </c>
      <c r="AE358" s="20">
        <f t="shared" si="35"/>
        <v>0.27032210614691682</v>
      </c>
      <c r="AF358" s="20">
        <f t="shared" si="35"/>
        <v>0.62885592974912596</v>
      </c>
      <c r="AG358" s="20">
        <f t="shared" si="35"/>
        <v>0.28568068294031074</v>
      </c>
      <c r="AH358" s="20">
        <f t="shared" si="35"/>
        <v>0.29348517049444967</v>
      </c>
      <c r="AI358" s="20">
        <f t="shared" si="35"/>
        <v>0.60891700120282644</v>
      </c>
      <c r="AJ358" s="20">
        <f t="shared" si="35"/>
        <v>0.34863374365305577</v>
      </c>
      <c r="AK358" s="20">
        <f t="shared" si="35"/>
        <v>0.11235717107841085</v>
      </c>
      <c r="AL358" s="20">
        <f t="shared" si="35"/>
        <v>0.11224474571252348</v>
      </c>
      <c r="AM358" s="20">
        <f>AM347/AM351</f>
        <v>0</v>
      </c>
      <c r="AN358" s="20">
        <f>AN347/AN351</f>
        <v>0.11241364588488179</v>
      </c>
      <c r="AO358" s="20">
        <f>AO347/AO351</f>
        <v>0.32181626056083074</v>
      </c>
      <c r="AP358" s="20">
        <f>AP347/AP351</f>
        <v>0.8970028072152989</v>
      </c>
      <c r="AQ358" s="20">
        <f t="shared" ref="AQ358:AW358" si="36">AQ347/AQ351</f>
        <v>0.63065093980454356</v>
      </c>
      <c r="AR358" s="20">
        <f t="shared" si="36"/>
        <v>0.90291882925155464</v>
      </c>
      <c r="AS358" s="20">
        <f t="shared" si="36"/>
        <v>0.24289622401602654</v>
      </c>
      <c r="AT358" s="20" t="e">
        <f t="shared" si="36"/>
        <v>#DIV/0!</v>
      </c>
      <c r="AU358" s="20">
        <f t="shared" si="36"/>
        <v>0.129470224409275</v>
      </c>
      <c r="AV358" s="20">
        <f t="shared" si="36"/>
        <v>0.90292111341105052</v>
      </c>
      <c r="AW358" s="20">
        <f t="shared" si="36"/>
        <v>0.89010340335243254</v>
      </c>
      <c r="AX358" s="20">
        <f>AX347/AX351</f>
        <v>0.82016064478927209</v>
      </c>
      <c r="AY358" s="20">
        <f t="shared" ref="AY358:BI358" si="37">AY347/AY351</f>
        <v>0.18344343714000952</v>
      </c>
      <c r="AZ358" s="20">
        <f t="shared" si="37"/>
        <v>0.83748679529421333</v>
      </c>
      <c r="BA358" s="20">
        <f t="shared" si="37"/>
        <v>0.8399442834655797</v>
      </c>
      <c r="BB358" s="20">
        <f t="shared" si="37"/>
        <v>0.31703922870234835</v>
      </c>
      <c r="BC358" s="20">
        <f t="shared" si="37"/>
        <v>4.2438239419750288E-4</v>
      </c>
      <c r="BD358" s="20">
        <f t="shared" si="37"/>
        <v>0.85132431616699678</v>
      </c>
      <c r="BE358" s="20">
        <f t="shared" si="37"/>
        <v>0.3243787841379176</v>
      </c>
      <c r="BF358" s="20">
        <f t="shared" si="37"/>
        <v>0.3243787841379176</v>
      </c>
      <c r="BG358" s="20">
        <f t="shared" si="37"/>
        <v>0.84972741848978672</v>
      </c>
      <c r="BH358" s="20">
        <f t="shared" si="37"/>
        <v>0.25394660250404183</v>
      </c>
      <c r="BI358" s="20">
        <f t="shared" si="37"/>
        <v>4.4181831904050215E-4</v>
      </c>
      <c r="BJ358" s="21"/>
    </row>
    <row r="359" spans="1:62" x14ac:dyDescent="0.25">
      <c r="A359" t="s">
        <v>612</v>
      </c>
      <c r="E359" s="20">
        <f t="shared" ref="E359:AL359" si="38">E348/E351</f>
        <v>8.3134305700669389E-2</v>
      </c>
      <c r="F359" s="20">
        <f t="shared" si="38"/>
        <v>3.4015235291015314E-2</v>
      </c>
      <c r="G359" s="20">
        <f t="shared" si="38"/>
        <v>8.1145806779314364E-2</v>
      </c>
      <c r="H359" s="20">
        <f t="shared" si="38"/>
        <v>0.87308950887564307</v>
      </c>
      <c r="I359" s="20">
        <f t="shared" si="38"/>
        <v>8.116699415707157E-2</v>
      </c>
      <c r="J359" s="20">
        <f t="shared" si="38"/>
        <v>0.10281510376249248</v>
      </c>
      <c r="K359" s="20">
        <f t="shared" si="38"/>
        <v>5.7863322762235436E-2</v>
      </c>
      <c r="L359" s="20">
        <f t="shared" si="38"/>
        <v>4.8338599777480028E-2</v>
      </c>
      <c r="M359" s="20">
        <f t="shared" si="38"/>
        <v>0.12215435799193944</v>
      </c>
      <c r="N359" s="20">
        <f>N348/N351</f>
        <v>0</v>
      </c>
      <c r="O359" s="20">
        <f t="shared" si="38"/>
        <v>0</v>
      </c>
      <c r="P359" s="20">
        <f t="shared" si="38"/>
        <v>0.1063694982594459</v>
      </c>
      <c r="Q359" s="20">
        <f t="shared" si="38"/>
        <v>0</v>
      </c>
      <c r="R359" s="20">
        <f t="shared" si="38"/>
        <v>2.1761345698121061E-3</v>
      </c>
      <c r="S359" s="20">
        <f t="shared" si="38"/>
        <v>-1.5539837056210398E-2</v>
      </c>
      <c r="T359" s="20">
        <f t="shared" si="38"/>
        <v>0</v>
      </c>
      <c r="U359" s="20">
        <f t="shared" si="38"/>
        <v>1.3673891956813733E-2</v>
      </c>
      <c r="V359" s="20">
        <f t="shared" si="38"/>
        <v>0.11193225404384628</v>
      </c>
      <c r="W359" s="20">
        <f t="shared" si="38"/>
        <v>0.11954760100433567</v>
      </c>
      <c r="X359" s="20">
        <f t="shared" si="38"/>
        <v>0</v>
      </c>
      <c r="Y359" s="20">
        <f t="shared" si="38"/>
        <v>8.4375832998059952E-2</v>
      </c>
      <c r="Z359" s="20">
        <f t="shared" si="38"/>
        <v>0</v>
      </c>
      <c r="AA359" s="20">
        <f t="shared" si="38"/>
        <v>4.1308851303027319E-2</v>
      </c>
      <c r="AB359" s="20">
        <f t="shared" si="38"/>
        <v>0</v>
      </c>
      <c r="AC359" s="20">
        <f t="shared" si="38"/>
        <v>3.9115218487459712E-2</v>
      </c>
      <c r="AD359" s="20">
        <f t="shared" si="38"/>
        <v>0</v>
      </c>
      <c r="AE359" s="20">
        <f t="shared" si="38"/>
        <v>9.8236929884621321E-2</v>
      </c>
      <c r="AF359" s="20">
        <f t="shared" si="38"/>
        <v>-2.6551237985419217E-2</v>
      </c>
      <c r="AG359" s="20">
        <f t="shared" si="38"/>
        <v>3.5488505218366009E-2</v>
      </c>
      <c r="AH359" s="20">
        <f t="shared" si="38"/>
        <v>8.3888060011072588E-2</v>
      </c>
      <c r="AI359" s="20">
        <f t="shared" si="38"/>
        <v>1.0925350858662681E-2</v>
      </c>
      <c r="AJ359" s="20">
        <f t="shared" si="38"/>
        <v>2.3708248021401909E-5</v>
      </c>
      <c r="AK359" s="20">
        <f t="shared" si="38"/>
        <v>3.9015920111572015E-5</v>
      </c>
      <c r="AL359" s="20">
        <f t="shared" si="38"/>
        <v>1.9308478580047657E-5</v>
      </c>
      <c r="AM359" s="20">
        <f>AM348/AM351</f>
        <v>1.4006830157153705E-2</v>
      </c>
      <c r="AN359" s="20">
        <f>AN348/AN351</f>
        <v>3.0197902736999169E-5</v>
      </c>
      <c r="AO359" s="20">
        <f>AO348/AO351</f>
        <v>-1.8338928084235689E-2</v>
      </c>
      <c r="AP359" s="20">
        <f>AP348/AP351</f>
        <v>0</v>
      </c>
      <c r="AQ359" s="20">
        <f t="shared" ref="AQ359:AW359" si="39">AQ348/AQ351</f>
        <v>-1.4010870222413551E-2</v>
      </c>
      <c r="AR359" s="20">
        <f t="shared" si="39"/>
        <v>0</v>
      </c>
      <c r="AS359" s="20">
        <f t="shared" si="39"/>
        <v>-1.3142318716012204E-2</v>
      </c>
      <c r="AT359" s="20" t="e">
        <f t="shared" si="39"/>
        <v>#DIV/0!</v>
      </c>
      <c r="AU359" s="20">
        <f t="shared" si="39"/>
        <v>-3.9456160742176788E-3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I359" si="40">AY348/AY351</f>
        <v>0</v>
      </c>
      <c r="AZ359" s="20">
        <f t="shared" si="40"/>
        <v>0</v>
      </c>
      <c r="BA359" s="20">
        <f t="shared" si="40"/>
        <v>0</v>
      </c>
      <c r="BB359" s="20">
        <f t="shared" si="40"/>
        <v>-1.7742170468078741E-2</v>
      </c>
      <c r="BC359" s="20">
        <f t="shared" si="40"/>
        <v>0</v>
      </c>
      <c r="BD359" s="20">
        <f t="shared" si="40"/>
        <v>0</v>
      </c>
      <c r="BE359" s="20">
        <f t="shared" si="40"/>
        <v>-1.9437295636480383E-2</v>
      </c>
      <c r="BF359" s="20">
        <f t="shared" si="40"/>
        <v>-1.9437295636480383E-2</v>
      </c>
      <c r="BG359" s="20">
        <f t="shared" si="40"/>
        <v>0</v>
      </c>
      <c r="BH359" s="20">
        <f t="shared" si="40"/>
        <v>0</v>
      </c>
      <c r="BI359" s="20">
        <f t="shared" si="40"/>
        <v>0</v>
      </c>
      <c r="BJ359" s="21"/>
    </row>
    <row r="360" spans="1:62" x14ac:dyDescent="0.25">
      <c r="A360" t="s">
        <v>613</v>
      </c>
      <c r="E360" s="20">
        <f t="shared" ref="E360:M360" si="41">E349/E351</f>
        <v>0.2261172461780884</v>
      </c>
      <c r="F360" s="20">
        <f t="shared" si="41"/>
        <v>8.3243590701966422E-2</v>
      </c>
      <c r="G360" s="20">
        <f t="shared" si="41"/>
        <v>7.576767149045513E-2</v>
      </c>
      <c r="H360" s="20">
        <f t="shared" si="41"/>
        <v>2.4185591829067887E-2</v>
      </c>
      <c r="I360" s="20">
        <f t="shared" si="41"/>
        <v>7.2411880266405437E-2</v>
      </c>
      <c r="J360" s="20">
        <f t="shared" si="41"/>
        <v>6.9144032653391793E-2</v>
      </c>
      <c r="K360" s="20">
        <f t="shared" si="41"/>
        <v>0.11554229639353791</v>
      </c>
      <c r="L360" s="20">
        <f t="shared" si="41"/>
        <v>0.25388673750929902</v>
      </c>
      <c r="M360" s="20">
        <f t="shared" si="41"/>
        <v>0.20175504840770422</v>
      </c>
      <c r="N360" s="20">
        <f>N349/N351</f>
        <v>-6.5557363467147814E-4</v>
      </c>
      <c r="O360" s="20">
        <f t="shared" ref="O360:AL360" si="42">O349/O351</f>
        <v>2.9956471258994439E-2</v>
      </c>
      <c r="P360" s="20">
        <f t="shared" si="42"/>
        <v>7.7243976611451812E-2</v>
      </c>
      <c r="Q360" s="20">
        <f t="shared" si="42"/>
        <v>2.3132954639057877E-2</v>
      </c>
      <c r="R360" s="20">
        <f t="shared" si="42"/>
        <v>4.5983085213050799E-2</v>
      </c>
      <c r="S360" s="20">
        <f t="shared" si="42"/>
        <v>5.1258557463116659E-2</v>
      </c>
      <c r="T360" s="20">
        <f t="shared" si="42"/>
        <v>-8.3765311449139884E-4</v>
      </c>
      <c r="U360" s="20">
        <f t="shared" si="42"/>
        <v>0.11930762135060352</v>
      </c>
      <c r="V360" s="20">
        <f t="shared" si="42"/>
        <v>6.8395533571082981E-2</v>
      </c>
      <c r="W360" s="20">
        <f t="shared" si="42"/>
        <v>8.5519776388871871E-2</v>
      </c>
      <c r="X360" s="20">
        <f t="shared" si="42"/>
        <v>6.7271149279031679E-4</v>
      </c>
      <c r="Y360" s="20">
        <f t="shared" si="42"/>
        <v>0.16803959365208024</v>
      </c>
      <c r="Z360" s="20">
        <f t="shared" si="42"/>
        <v>-5.1495316387372286E-3</v>
      </c>
      <c r="AA360" s="20">
        <f t="shared" si="42"/>
        <v>6.9416833612186646E-2</v>
      </c>
      <c r="AB360" s="20">
        <f t="shared" si="42"/>
        <v>3.5740823939391479E-2</v>
      </c>
      <c r="AC360" s="20">
        <f t="shared" si="42"/>
        <v>7.20161427352385E-2</v>
      </c>
      <c r="AD360" s="20">
        <f t="shared" si="42"/>
        <v>5.6645668838864807E-3</v>
      </c>
      <c r="AE360" s="20">
        <f t="shared" si="42"/>
        <v>0.21850266899350171</v>
      </c>
      <c r="AF360" s="20">
        <f t="shared" si="42"/>
        <v>5.8145953222205282E-2</v>
      </c>
      <c r="AG360" s="20">
        <f t="shared" si="42"/>
        <v>9.3298088162214413E-3</v>
      </c>
      <c r="AH360" s="20">
        <f t="shared" si="42"/>
        <v>0.24399629010649201</v>
      </c>
      <c r="AI360" s="20">
        <f t="shared" si="42"/>
        <v>7.2830071595957571E-2</v>
      </c>
      <c r="AJ360" s="20">
        <f t="shared" si="42"/>
        <v>-5.074444298433527E-3</v>
      </c>
      <c r="AK360" s="20">
        <f t="shared" si="42"/>
        <v>5.2156302051998386E-2</v>
      </c>
      <c r="AL360" s="20">
        <f t="shared" si="42"/>
        <v>5.2102962493486102E-2</v>
      </c>
      <c r="AM360" s="20">
        <f>AM349/AM351</f>
        <v>0.11849782639598386</v>
      </c>
      <c r="AN360" s="20">
        <f>AN349/AN351</f>
        <v>5.2042787701089846E-2</v>
      </c>
      <c r="AO360" s="20">
        <f>AO349/AO351</f>
        <v>3.9989531991467459E-2</v>
      </c>
      <c r="AP360" s="20">
        <f>AP349/AP351</f>
        <v>3.4176889914446183E-5</v>
      </c>
      <c r="AQ360" s="20">
        <f t="shared" ref="AQ360:AW360" si="43">AQ349/AQ351</f>
        <v>4.1926437090881223E-2</v>
      </c>
      <c r="AR360" s="20">
        <f t="shared" si="43"/>
        <v>-1.1445375325538154E-4</v>
      </c>
      <c r="AS360" s="20">
        <f t="shared" si="43"/>
        <v>5.1951567283763482E-2</v>
      </c>
      <c r="AT360" s="20" t="e">
        <f t="shared" si="43"/>
        <v>#DIV/0!</v>
      </c>
      <c r="AU360" s="20">
        <f t="shared" si="43"/>
        <v>2.6031629506656957E-2</v>
      </c>
      <c r="AV360" s="20">
        <f t="shared" si="43"/>
        <v>3.2807353418940583E-4</v>
      </c>
      <c r="AW360" s="20">
        <f t="shared" si="43"/>
        <v>-5.4992436468070667E-4</v>
      </c>
      <c r="AX360" s="20">
        <f>AX349/AX351</f>
        <v>2.6858138893675093E-3</v>
      </c>
      <c r="AY360" s="20">
        <f t="shared" ref="AY360:BI360" si="44">AY349/AY351</f>
        <v>4.3443924372439109E-2</v>
      </c>
      <c r="AZ360" s="20">
        <f t="shared" si="44"/>
        <v>5.8924056049534539E-2</v>
      </c>
      <c r="BA360" s="20">
        <f t="shared" si="44"/>
        <v>-8.5355828671404253E-3</v>
      </c>
      <c r="BB360" s="20">
        <f t="shared" si="44"/>
        <v>3.903062065388934E-2</v>
      </c>
      <c r="BC360" s="20">
        <f t="shared" si="44"/>
        <v>3.9541638709692802E-2</v>
      </c>
      <c r="BD360" s="20">
        <f t="shared" si="44"/>
        <v>6.567175073465556E-2</v>
      </c>
      <c r="BE360" s="20">
        <f t="shared" si="44"/>
        <v>3.9924637285664769E-2</v>
      </c>
      <c r="BF360" s="20">
        <f t="shared" si="44"/>
        <v>3.9924637285664769E-2</v>
      </c>
      <c r="BG360" s="20">
        <f t="shared" si="44"/>
        <v>6.4944164368174406E-2</v>
      </c>
      <c r="BH360" s="20">
        <f t="shared" si="44"/>
        <v>-2.5797661035830742E-3</v>
      </c>
      <c r="BI360" s="20">
        <f t="shared" si="44"/>
        <v>4.1166383150801442E-2</v>
      </c>
      <c r="BJ360" s="21"/>
    </row>
    <row r="361" spans="1:62" x14ac:dyDescent="0.25">
      <c r="A361" s="21" t="s">
        <v>694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A2:BI2"/>
    <mergeCell ref="BJ2:BJ361"/>
    <mergeCell ref="A361:BI361"/>
  </mergeCells>
  <conditionalFormatting sqref="A18:A34">
    <cfRule type="cellIs" dxfId="3" priority="17" stopIfTrue="1" operator="lessThan">
      <formula>0</formula>
    </cfRule>
  </conditionalFormatting>
  <conditionalFormatting sqref="B24:B34">
    <cfRule type="cellIs" dxfId="2" priority="26" stopIfTrue="1" operator="lessThan">
      <formula>0</formula>
    </cfRule>
  </conditionalFormatting>
  <conditionalFormatting sqref="C17:D25">
    <cfRule type="cellIs" dxfId="1" priority="18" stopIfTrue="1" operator="lessThan">
      <formula>0</formula>
    </cfRule>
  </conditionalFormatting>
  <conditionalFormatting sqref="E16:BI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2</Value>
      <Value>3</Value>
      <Value>4</Value>
      <Value>9</Value>
      <Value>5</Value>
      <Value>11</Value>
      <Value>12</Value>
      <Value>6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3D3759F1-94E4-4A7D-BEA9-D11F18F72263}"/>
</file>

<file path=customXml/itemProps2.xml><?xml version="1.0" encoding="utf-8"?>
<ds:datastoreItem xmlns:ds="http://schemas.openxmlformats.org/officeDocument/2006/customXml" ds:itemID="{68683F05-B080-4F69-AD00-E99987CBAD03}"/>
</file>

<file path=customXml/itemProps3.xml><?xml version="1.0" encoding="utf-8"?>
<ds:datastoreItem xmlns:ds="http://schemas.openxmlformats.org/officeDocument/2006/customXml" ds:itemID="{1F8B663D-2FE9-48BF-A9B7-551F8615C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5/2025</dc:title>
  <dc:creator>פרידמן אמיר</dc:creator>
  <cp:lastModifiedBy>Tami Berman</cp:lastModifiedBy>
  <dcterms:created xsi:type="dcterms:W3CDTF">2025-06-16T12:46:15Z</dcterms:created>
  <dcterms:modified xsi:type="dcterms:W3CDTF">2025-06-17T21:11:35Z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