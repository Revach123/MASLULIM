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SUS Vivobook\Downloads\"/>
    </mc:Choice>
  </mc:AlternateContent>
  <xr:revisionPtr revIDLastSave="0" documentId="8_{A13F1A22-512F-471F-AA73-B870D3A6B2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גיליון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355" i="1" l="1"/>
  <c r="BH355" i="1"/>
  <c r="BG355" i="1"/>
  <c r="BF355" i="1"/>
  <c r="BE355" i="1"/>
  <c r="BD355" i="1"/>
  <c r="BC355" i="1"/>
  <c r="BB355" i="1"/>
  <c r="BA355" i="1"/>
  <c r="AZ355" i="1"/>
  <c r="AY355" i="1"/>
  <c r="AX355" i="1"/>
  <c r="AW355" i="1"/>
  <c r="AV355" i="1"/>
  <c r="AU355" i="1"/>
  <c r="AT355" i="1"/>
  <c r="AS355" i="1"/>
  <c r="AR355" i="1"/>
  <c r="AQ355" i="1"/>
  <c r="AP355" i="1"/>
  <c r="AO355" i="1"/>
  <c r="AN355" i="1"/>
  <c r="AM355" i="1"/>
  <c r="AL355" i="1"/>
  <c r="AK355" i="1"/>
  <c r="AJ355" i="1"/>
  <c r="AI355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BI350" i="1"/>
  <c r="BH350" i="1"/>
  <c r="BG350" i="1"/>
  <c r="BF350" i="1"/>
  <c r="BE350" i="1"/>
  <c r="BD350" i="1"/>
  <c r="BC350" i="1"/>
  <c r="BB350" i="1"/>
  <c r="BA350" i="1"/>
  <c r="AZ350" i="1"/>
  <c r="AY350" i="1"/>
  <c r="AX350" i="1"/>
  <c r="AW350" i="1"/>
  <c r="AV350" i="1"/>
  <c r="AU350" i="1"/>
  <c r="AT350" i="1"/>
  <c r="AS350" i="1"/>
  <c r="AR350" i="1"/>
  <c r="AQ350" i="1"/>
  <c r="AP350" i="1"/>
  <c r="AO350" i="1"/>
  <c r="AN350" i="1"/>
  <c r="AM350" i="1"/>
  <c r="AL350" i="1"/>
  <c r="AK350" i="1"/>
  <c r="AJ350" i="1"/>
  <c r="AI350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BI349" i="1"/>
  <c r="BH349" i="1"/>
  <c r="BG349" i="1"/>
  <c r="BF349" i="1"/>
  <c r="BE349" i="1"/>
  <c r="BD349" i="1"/>
  <c r="BC349" i="1"/>
  <c r="BB349" i="1"/>
  <c r="BA349" i="1"/>
  <c r="AZ349" i="1"/>
  <c r="AY349" i="1"/>
  <c r="AX349" i="1"/>
  <c r="AW349" i="1"/>
  <c r="AV349" i="1"/>
  <c r="AU349" i="1"/>
  <c r="AT349" i="1"/>
  <c r="AS349" i="1"/>
  <c r="AR349" i="1"/>
  <c r="AQ349" i="1"/>
  <c r="AP349" i="1"/>
  <c r="AO349" i="1"/>
  <c r="AN349" i="1"/>
  <c r="AM349" i="1"/>
  <c r="AL349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BI348" i="1"/>
  <c r="BH348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BI347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BI346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BI343" i="1"/>
  <c r="BH343" i="1"/>
  <c r="BG343" i="1"/>
  <c r="BF343" i="1"/>
  <c r="BE343" i="1"/>
  <c r="BD343" i="1"/>
  <c r="BC343" i="1"/>
  <c r="BB343" i="1"/>
  <c r="BA343" i="1"/>
  <c r="AZ343" i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E352" i="1" l="1"/>
  <c r="E354" i="1" s="1"/>
  <c r="M352" i="1"/>
  <c r="M354" i="1" s="1"/>
  <c r="AG352" i="1"/>
  <c r="AG354" i="1" s="1"/>
  <c r="H352" i="1"/>
  <c r="H354" i="1" s="1"/>
  <c r="L352" i="1"/>
  <c r="L354" i="1" s="1"/>
  <c r="P352" i="1"/>
  <c r="P354" i="1" s="1"/>
  <c r="T352" i="1"/>
  <c r="T354" i="1" s="1"/>
  <c r="X352" i="1"/>
  <c r="X354" i="1" s="1"/>
  <c r="AB356" i="1"/>
  <c r="AB352" i="1"/>
  <c r="AB354" i="1" s="1"/>
  <c r="AF352" i="1"/>
  <c r="AF354" i="1" s="1"/>
  <c r="AJ352" i="1"/>
  <c r="AJ354" i="1" s="1"/>
  <c r="AN352" i="1"/>
  <c r="AN354" i="1" s="1"/>
  <c r="AR352" i="1"/>
  <c r="AR354" i="1" s="1"/>
  <c r="AV352" i="1"/>
  <c r="AV354" i="1" s="1"/>
  <c r="AZ352" i="1"/>
  <c r="AZ354" i="1" s="1"/>
  <c r="BD352" i="1"/>
  <c r="BD354" i="1" s="1"/>
  <c r="BH352" i="1"/>
  <c r="BH354" i="1" s="1"/>
  <c r="E359" i="1"/>
  <c r="M359" i="1"/>
  <c r="AB360" i="1"/>
  <c r="AF360" i="1"/>
  <c r="BD360" i="1"/>
  <c r="M360" i="1"/>
  <c r="AG360" i="1"/>
  <c r="I352" i="1"/>
  <c r="I354" i="1" s="1"/>
  <c r="U352" i="1"/>
  <c r="U354" i="1" s="1"/>
  <c r="AC352" i="1"/>
  <c r="AC354" i="1" s="1"/>
  <c r="AO352" i="1"/>
  <c r="AO354" i="1" s="1"/>
  <c r="AW352" i="1"/>
  <c r="AW360" i="1" s="1"/>
  <c r="BE352" i="1"/>
  <c r="BE354" i="1" s="1"/>
  <c r="BH357" i="1"/>
  <c r="F352" i="1"/>
  <c r="F354" i="1" s="1"/>
  <c r="J352" i="1"/>
  <c r="J354" i="1" s="1"/>
  <c r="N352" i="1"/>
  <c r="N354" i="1" s="1"/>
  <c r="R352" i="1"/>
  <c r="R354" i="1" s="1"/>
  <c r="V352" i="1"/>
  <c r="V354" i="1" s="1"/>
  <c r="Z352" i="1"/>
  <c r="Z354" i="1" s="1"/>
  <c r="AD352" i="1"/>
  <c r="AD354" i="1" s="1"/>
  <c r="AH352" i="1"/>
  <c r="AH354" i="1" s="1"/>
  <c r="AL352" i="1"/>
  <c r="AL354" i="1" s="1"/>
  <c r="AP352" i="1"/>
  <c r="AP354" i="1" s="1"/>
  <c r="AT352" i="1"/>
  <c r="AT354" i="1" s="1"/>
  <c r="AX352" i="1"/>
  <c r="AX354" i="1" s="1"/>
  <c r="BB352" i="1"/>
  <c r="BB354" i="1" s="1"/>
  <c r="BF352" i="1"/>
  <c r="BF354" i="1" s="1"/>
  <c r="E357" i="1"/>
  <c r="M357" i="1"/>
  <c r="AG357" i="1"/>
  <c r="AB358" i="1"/>
  <c r="AF358" i="1"/>
  <c r="BB360" i="1"/>
  <c r="E361" i="1"/>
  <c r="M361" i="1"/>
  <c r="Q352" i="1"/>
  <c r="Q354" i="1" s="1"/>
  <c r="Y352" i="1"/>
  <c r="Y354" i="1" s="1"/>
  <c r="AK352" i="1"/>
  <c r="AK354" i="1" s="1"/>
  <c r="AS352" i="1"/>
  <c r="AS354" i="1" s="1"/>
  <c r="BA352" i="1"/>
  <c r="BA354" i="1" s="1"/>
  <c r="BI352" i="1"/>
  <c r="BI354" i="1" s="1"/>
  <c r="AB357" i="1"/>
  <c r="G352" i="1"/>
  <c r="G354" i="1" s="1"/>
  <c r="K352" i="1"/>
  <c r="K354" i="1" s="1"/>
  <c r="O352" i="1"/>
  <c r="O354" i="1" s="1"/>
  <c r="S352" i="1"/>
  <c r="S354" i="1" s="1"/>
  <c r="W352" i="1"/>
  <c r="W354" i="1" s="1"/>
  <c r="AA352" i="1"/>
  <c r="AA354" i="1" s="1"/>
  <c r="AE352" i="1"/>
  <c r="AE354" i="1" s="1"/>
  <c r="AI352" i="1"/>
  <c r="AI354" i="1" s="1"/>
  <c r="AM352" i="1"/>
  <c r="AM354" i="1" s="1"/>
  <c r="AQ352" i="1"/>
  <c r="AQ354" i="1" s="1"/>
  <c r="AU352" i="1"/>
  <c r="AU354" i="1" s="1"/>
  <c r="AY352" i="1"/>
  <c r="AY354" i="1" s="1"/>
  <c r="BC352" i="1"/>
  <c r="BC354" i="1" s="1"/>
  <c r="BG352" i="1"/>
  <c r="BG354" i="1" s="1"/>
  <c r="M358" i="1"/>
  <c r="AG358" i="1"/>
  <c r="AB359" i="1"/>
  <c r="AF359" i="1"/>
  <c r="AZ359" i="1"/>
  <c r="BD359" i="1"/>
  <c r="BH359" i="1"/>
  <c r="AB361" i="1"/>
  <c r="AJ361" i="1"/>
  <c r="BD361" i="1"/>
  <c r="BH361" i="1"/>
  <c r="J361" i="1"/>
  <c r="G361" i="1"/>
  <c r="AZ360" i="1" l="1"/>
  <c r="AG359" i="1"/>
  <c r="AZ361" i="1"/>
  <c r="AF361" i="1"/>
  <c r="BB361" i="1"/>
  <c r="R357" i="1"/>
  <c r="BD357" i="1"/>
  <c r="AG361" i="1"/>
  <c r="AZ358" i="1"/>
  <c r="BB357" i="1"/>
  <c r="N357" i="1"/>
  <c r="W361" i="1"/>
  <c r="AH357" i="1"/>
  <c r="O361" i="1"/>
  <c r="X359" i="1"/>
  <c r="P359" i="1"/>
  <c r="Z357" i="1"/>
  <c r="AR358" i="1"/>
  <c r="AR360" i="1"/>
  <c r="BH360" i="1"/>
  <c r="BA358" i="1"/>
  <c r="AN358" i="1"/>
  <c r="AN360" i="1"/>
  <c r="AV356" i="1"/>
  <c r="BG361" i="1"/>
  <c r="AD357" i="1"/>
  <c r="AV358" i="1"/>
  <c r="AS358" i="1"/>
  <c r="AJ357" i="1"/>
  <c r="AJ360" i="1"/>
  <c r="T361" i="1"/>
  <c r="E360" i="1"/>
  <c r="AM360" i="1"/>
  <c r="X360" i="1"/>
  <c r="AR359" i="1"/>
  <c r="AU361" i="1"/>
  <c r="AR361" i="1"/>
  <c r="T360" i="1"/>
  <c r="BD356" i="1"/>
  <c r="X361" i="1"/>
  <c r="BC361" i="1"/>
  <c r="AV359" i="1"/>
  <c r="AV357" i="1"/>
  <c r="AR356" i="1"/>
  <c r="AY361" i="1"/>
  <c r="AV361" i="1"/>
  <c r="AY360" i="1"/>
  <c r="AD360" i="1"/>
  <c r="BH356" i="1"/>
  <c r="AH361" i="1"/>
  <c r="AN359" i="1"/>
  <c r="G356" i="1"/>
  <c r="F360" i="1"/>
  <c r="AM361" i="1"/>
  <c r="Z361" i="1"/>
  <c r="AN361" i="1"/>
  <c r="AI360" i="1"/>
  <c r="E358" i="1"/>
  <c r="J357" i="1"/>
  <c r="BH358" i="1"/>
  <c r="X358" i="1"/>
  <c r="AI361" i="1"/>
  <c r="R361" i="1"/>
  <c r="G360" i="1"/>
  <c r="BF357" i="1"/>
  <c r="AR357" i="1"/>
  <c r="BD358" i="1"/>
  <c r="P358" i="1"/>
  <c r="J356" i="1"/>
  <c r="AV360" i="1"/>
  <c r="P360" i="1"/>
  <c r="AH360" i="1"/>
  <c r="AZ356" i="1"/>
  <c r="AP357" i="1"/>
  <c r="BG360" i="1"/>
  <c r="AA360" i="1"/>
  <c r="AO358" i="1"/>
  <c r="W356" i="1"/>
  <c r="AO361" i="1"/>
  <c r="AJ356" i="1"/>
  <c r="BF361" i="1"/>
  <c r="W360" i="1"/>
  <c r="AJ359" i="1"/>
  <c r="R360" i="1"/>
  <c r="AJ358" i="1"/>
  <c r="BF356" i="1"/>
  <c r="AF356" i="1"/>
  <c r="AF357" i="1"/>
  <c r="P357" i="1"/>
  <c r="Y358" i="1"/>
  <c r="Y361" i="1"/>
  <c r="AP361" i="1"/>
  <c r="AA361" i="1"/>
  <c r="BC360" i="1"/>
  <c r="M356" i="1"/>
  <c r="BF360" i="1"/>
  <c r="AN356" i="1"/>
  <c r="AD361" i="1"/>
  <c r="N361" i="1"/>
  <c r="BC356" i="1"/>
  <c r="Y356" i="1"/>
  <c r="BE361" i="1"/>
  <c r="V360" i="1"/>
  <c r="AI359" i="1"/>
  <c r="U357" i="1"/>
  <c r="AP356" i="1"/>
  <c r="AH356" i="1"/>
  <c r="Z356" i="1"/>
  <c r="R356" i="1"/>
  <c r="R359" i="1"/>
  <c r="S360" i="1"/>
  <c r="U358" i="1"/>
  <c r="AL357" i="1"/>
  <c r="V357" i="1"/>
  <c r="F357" i="1"/>
  <c r="AM356" i="1"/>
  <c r="AL360" i="1"/>
  <c r="G359" i="1"/>
  <c r="BE357" i="1"/>
  <c r="O358" i="1"/>
  <c r="N358" i="1"/>
  <c r="E356" i="1"/>
  <c r="S361" i="1"/>
  <c r="AL361" i="1"/>
  <c r="V361" i="1"/>
  <c r="F361" i="1"/>
  <c r="BE358" i="1"/>
  <c r="AK358" i="1"/>
  <c r="Q358" i="1"/>
  <c r="Q356" i="1"/>
  <c r="N360" i="1"/>
  <c r="AS357" i="1"/>
  <c r="AL356" i="1"/>
  <c r="AD356" i="1"/>
  <c r="V356" i="1"/>
  <c r="N356" i="1"/>
  <c r="F356" i="1"/>
  <c r="AQ357" i="1"/>
  <c r="AE361" i="1"/>
  <c r="AU360" i="1"/>
  <c r="AE360" i="1"/>
  <c r="O360" i="1"/>
  <c r="AE356" i="1"/>
  <c r="U361" i="1"/>
  <c r="AP360" i="1"/>
  <c r="Z360" i="1"/>
  <c r="J360" i="1"/>
  <c r="S359" i="1"/>
  <c r="AO357" i="1"/>
  <c r="U356" i="1"/>
  <c r="P361" i="1"/>
  <c r="F359" i="1"/>
  <c r="Q359" i="1"/>
  <c r="AD358" i="1"/>
  <c r="AA357" i="1"/>
  <c r="K361" i="1"/>
  <c r="AQ360" i="1"/>
  <c r="K360" i="1"/>
  <c r="I358" i="1"/>
  <c r="AX357" i="1"/>
  <c r="BI357" i="1"/>
  <c r="I357" i="1"/>
  <c r="AX359" i="1"/>
  <c r="AU358" i="1"/>
  <c r="K357" i="1"/>
  <c r="BI361" i="1"/>
  <c r="AQ361" i="1"/>
  <c r="AX361" i="1"/>
  <c r="BI358" i="1"/>
  <c r="AU356" i="1"/>
  <c r="O356" i="1"/>
  <c r="L357" i="1"/>
  <c r="I361" i="1"/>
  <c r="AX360" i="1"/>
  <c r="AY359" i="1"/>
  <c r="AC357" i="1"/>
  <c r="AX356" i="1"/>
  <c r="I356" i="1"/>
  <c r="U360" i="1"/>
  <c r="AH359" i="1"/>
  <c r="AE358" i="1"/>
  <c r="BG357" i="1"/>
  <c r="BA360" i="1"/>
  <c r="T359" i="1"/>
  <c r="H359" i="1"/>
  <c r="AW358" i="1"/>
  <c r="BA356" i="1"/>
  <c r="AK356" i="1"/>
  <c r="AK361" i="1"/>
  <c r="AU359" i="1"/>
  <c r="AE359" i="1"/>
  <c r="O359" i="1"/>
  <c r="L358" i="1"/>
  <c r="Y357" i="1"/>
  <c r="H357" i="1"/>
  <c r="AW356" i="1"/>
  <c r="AC356" i="1"/>
  <c r="H361" i="1"/>
  <c r="Q360" i="1"/>
  <c r="AD359" i="1"/>
  <c r="N359" i="1"/>
  <c r="BG358" i="1"/>
  <c r="AQ358" i="1"/>
  <c r="AA358" i="1"/>
  <c r="K358" i="1"/>
  <c r="BI359" i="1"/>
  <c r="AS359" i="1"/>
  <c r="AC359" i="1"/>
  <c r="BF358" i="1"/>
  <c r="AP358" i="1"/>
  <c r="Z358" i="1"/>
  <c r="J358" i="1"/>
  <c r="BC357" i="1"/>
  <c r="AM357" i="1"/>
  <c r="W357" i="1"/>
  <c r="X356" i="1"/>
  <c r="P356" i="1"/>
  <c r="G358" i="1"/>
  <c r="X357" i="1"/>
  <c r="AW354" i="1"/>
  <c r="AW361" i="1"/>
  <c r="H360" i="1"/>
  <c r="AC358" i="1"/>
  <c r="BG356" i="1"/>
  <c r="AY356" i="1"/>
  <c r="AQ356" i="1"/>
  <c r="AI356" i="1"/>
  <c r="AA356" i="1"/>
  <c r="S356" i="1"/>
  <c r="K356" i="1"/>
  <c r="BA361" i="1"/>
  <c r="Q361" i="1"/>
  <c r="BG359" i="1"/>
  <c r="AQ359" i="1"/>
  <c r="AA359" i="1"/>
  <c r="K359" i="1"/>
  <c r="BA357" i="1"/>
  <c r="AK357" i="1"/>
  <c r="BB356" i="1"/>
  <c r="BI360" i="1"/>
  <c r="AS360" i="1"/>
  <c r="AC360" i="1"/>
  <c r="BF359" i="1"/>
  <c r="AP359" i="1"/>
  <c r="Z359" i="1"/>
  <c r="J359" i="1"/>
  <c r="BC358" i="1"/>
  <c r="AM358" i="1"/>
  <c r="W358" i="1"/>
  <c r="L360" i="1"/>
  <c r="BE359" i="1"/>
  <c r="AO359" i="1"/>
  <c r="Y359" i="1"/>
  <c r="I359" i="1"/>
  <c r="BB358" i="1"/>
  <c r="AL358" i="1"/>
  <c r="V358" i="1"/>
  <c r="AY357" i="1"/>
  <c r="AI357" i="1"/>
  <c r="S357" i="1"/>
  <c r="G357" i="1"/>
  <c r="AZ357" i="1"/>
  <c r="AK360" i="1"/>
  <c r="AW359" i="1"/>
  <c r="L359" i="1"/>
  <c r="T357" i="1"/>
  <c r="BI356" i="1"/>
  <c r="AS356" i="1"/>
  <c r="AS361" i="1"/>
  <c r="AC361" i="1"/>
  <c r="BC359" i="1"/>
  <c r="AM359" i="1"/>
  <c r="W359" i="1"/>
  <c r="T358" i="1"/>
  <c r="H358" i="1"/>
  <c r="AW357" i="1"/>
  <c r="Q357" i="1"/>
  <c r="BE356" i="1"/>
  <c r="AO356" i="1"/>
  <c r="L361" i="1"/>
  <c r="BE360" i="1"/>
  <c r="AO360" i="1"/>
  <c r="Y360" i="1"/>
  <c r="I360" i="1"/>
  <c r="BB359" i="1"/>
  <c r="AL359" i="1"/>
  <c r="V359" i="1"/>
  <c r="AY358" i="1"/>
  <c r="AI358" i="1"/>
  <c r="S358" i="1"/>
  <c r="BA359" i="1"/>
  <c r="AK359" i="1"/>
  <c r="U359" i="1"/>
  <c r="AX358" i="1"/>
  <c r="AH358" i="1"/>
  <c r="R358" i="1"/>
  <c r="F358" i="1"/>
  <c r="AU357" i="1"/>
  <c r="AE357" i="1"/>
  <c r="O357" i="1"/>
  <c r="T356" i="1"/>
  <c r="L356" i="1"/>
  <c r="H356" i="1"/>
  <c r="AN357" i="1"/>
  <c r="AG356" i="1"/>
</calcChain>
</file>

<file path=xl/sharedStrings.xml><?xml version="1.0" encoding="utf-8"?>
<sst xmlns="http://schemas.openxmlformats.org/spreadsheetml/2006/main" count="765" uniqueCount="697">
  <si>
    <t>אישור</t>
  </si>
  <si>
    <t>מזומן בש"ח</t>
  </si>
  <si>
    <t>DA12</t>
  </si>
  <si>
    <t>מזומן מט"ח</t>
  </si>
  <si>
    <t>DT11</t>
  </si>
  <si>
    <t>פרי / פחק</t>
  </si>
  <si>
    <t>DA10</t>
  </si>
  <si>
    <t>פקמ לתקופה של עד שלושה חודשים</t>
  </si>
  <si>
    <t>DT420</t>
  </si>
  <si>
    <t>פקדון צמוד מדד לתקופה של עד שלושה חודשים</t>
  </si>
  <si>
    <t>DT421</t>
  </si>
  <si>
    <t>פקדון צמוד מט"ח לתקופה של עד שלושה חודשים</t>
  </si>
  <si>
    <t>DT422</t>
  </si>
  <si>
    <t>פקדון במט"ח לתקופה של עד שלושה חודשים</t>
  </si>
  <si>
    <t>DT423</t>
  </si>
  <si>
    <t>DT191</t>
  </si>
  <si>
    <t>פקדון לתקופה של עד שלושה חודשים בחול</t>
  </si>
  <si>
    <t>DT424</t>
  </si>
  <si>
    <t>ממשלתי צמוד</t>
  </si>
  <si>
    <t>DT13</t>
  </si>
  <si>
    <t>ממשלתי צמוד מט"ח</t>
  </si>
  <si>
    <t>DT14</t>
  </si>
  <si>
    <t>ממשלתי לא צמוד קבוע</t>
  </si>
  <si>
    <t>DT15</t>
  </si>
  <si>
    <t>ממשלתי לא צמוד משתנה</t>
  </si>
  <si>
    <t>DT16</t>
  </si>
  <si>
    <t>מק"מ</t>
  </si>
  <si>
    <t>DA9</t>
  </si>
  <si>
    <t>אג"ח מיועדות</t>
  </si>
  <si>
    <t>DT7</t>
  </si>
  <si>
    <t>פקדונות חשכל</t>
  </si>
  <si>
    <t>DA8</t>
  </si>
  <si>
    <t>ממשלתי בחו"ל</t>
  </si>
  <si>
    <t>DT17</t>
  </si>
  <si>
    <t>ממשלתי זר בחו"ל</t>
  </si>
  <si>
    <t>DT26</t>
  </si>
  <si>
    <t>ממשלתי לא סחיר בחו"ל</t>
  </si>
  <si>
    <t>DT425</t>
  </si>
  <si>
    <t>ממשלתי זר לא סחיר בחו"ל</t>
  </si>
  <si>
    <t>DT426</t>
  </si>
  <si>
    <t>תעודות חוב צמוד מדד בדרוג AA- ומעלה</t>
  </si>
  <si>
    <t>DT427</t>
  </si>
  <si>
    <t>תעודות חוב צמוד מט"ח בדרוג AA- ומעלה</t>
  </si>
  <si>
    <t>DT560</t>
  </si>
  <si>
    <t>תעודות חוב לא צמוד בדרוג AA- ומעלה</t>
  </si>
  <si>
    <t>DT561</t>
  </si>
  <si>
    <t>תעודות חוב צמוד מדד בדרוג -A+:BBB</t>
  </si>
  <si>
    <t>DT428</t>
  </si>
  <si>
    <t>תעודות חוב צמוד מט"ח בדרוג -A+:BBB</t>
  </si>
  <si>
    <t>DT562</t>
  </si>
  <si>
    <t>תעודות חוב לא צמוד בדרוג -A+:BBB</t>
  </si>
  <si>
    <t>DT563</t>
  </si>
  <si>
    <t>תעודות חוב צמוד מדד בדרוג בדרוג נמוך</t>
  </si>
  <si>
    <t>DT429</t>
  </si>
  <si>
    <t>תעודות חוב צמוד מט"ח בדרוג בדרוג נמוך</t>
  </si>
  <si>
    <t>DT564</t>
  </si>
  <si>
    <t>תעודות חוב לא צמוד בדרוג בדרוג נמוך</t>
  </si>
  <si>
    <t>DT565</t>
  </si>
  <si>
    <t>תעודות חוב ל"ס צמוד מדד -AA ומעלה</t>
  </si>
  <si>
    <t>DT430</t>
  </si>
  <si>
    <t>תעודות חוב ל"ס צמוד מט"ח -AA ומעלה</t>
  </si>
  <si>
    <t>DT566</t>
  </si>
  <si>
    <t>תעודות חוב ל"ס לא צמוד -AA ומעלה</t>
  </si>
  <si>
    <t>DT567</t>
  </si>
  <si>
    <t>תעודות חוב ל"ס צמוד מדד -A+:BBB</t>
  </si>
  <si>
    <t>DT431</t>
  </si>
  <si>
    <t>תעודות חוב ל"ס צמוד מט"ח -A+:BBB</t>
  </si>
  <si>
    <t>DT568</t>
  </si>
  <si>
    <t>תעודות חוב ל"ס לא צמוד -A+:BBB</t>
  </si>
  <si>
    <t>DT569</t>
  </si>
  <si>
    <t>תעודות חוב ל"ס צמוד מדד דרוג נמוך עם בטוחה מספקת</t>
  </si>
  <si>
    <t>DT547</t>
  </si>
  <si>
    <t>תעודות חוב ל"ס צמוד מט"ח דרוג נמוך עם בטוחה מספקת</t>
  </si>
  <si>
    <t>DT570</t>
  </si>
  <si>
    <t>תעודות חוב ל"ס לא צמוד דרוג נמוך עם בטוחה מספקת</t>
  </si>
  <si>
    <t>DT571</t>
  </si>
  <si>
    <t>תעודות חוב ל"ס צמוד מדד דרוג נמוך</t>
  </si>
  <si>
    <t>DT432</t>
  </si>
  <si>
    <t>תעודות חוב ל"ס צמוד מט"ח דרוג נמוך</t>
  </si>
  <si>
    <t>DT572</t>
  </si>
  <si>
    <t>תעודות חוב ל"ס לא צמוד דרוג נמוך</t>
  </si>
  <si>
    <t>DT573</t>
  </si>
  <si>
    <t>תעודות חוב סחירות בחו"ל בדירוג A- ומעלה חברות ישראליות</t>
  </si>
  <si>
    <t>DT601</t>
  </si>
  <si>
    <t>תעודות חוב סחירות בחו"ל בדירוג +BBB:-BBB חברות ישראליות</t>
  </si>
  <si>
    <t>DT602</t>
  </si>
  <si>
    <t>תעודות חוב סחירות בחו"ל בדירוג נמוך חברות ישראליות</t>
  </si>
  <si>
    <t>DT603</t>
  </si>
  <si>
    <t>תעודות חוב סחירות בחו"ל בדירוג A- ומעלה חברות זרות</t>
  </si>
  <si>
    <t>DT604</t>
  </si>
  <si>
    <t>תעודות חוב סחירות בחו"ל בדירוג +BBB:-BBB חברות זרות</t>
  </si>
  <si>
    <t>DT605</t>
  </si>
  <si>
    <t>תעודות חוב סחירות בחו"ל בדירוג נמוך חברות זרות</t>
  </si>
  <si>
    <t>DT606</t>
  </si>
  <si>
    <t>תעודות חוב לא סחירות בחו"ל בדירוג A- ומעלה חברות ישראליות</t>
  </si>
  <si>
    <t>DT607</t>
  </si>
  <si>
    <t>תעודות חוב לא סחירות בחו"ל בדירוג +BBB:-BBB חברות ישראליות</t>
  </si>
  <si>
    <t>DT608</t>
  </si>
  <si>
    <t>תעודות חוב לא סחירות בחו"ל בדירוג נמוך עם בטוחה מספקת חברות ישראליות</t>
  </si>
  <si>
    <t>DT609</t>
  </si>
  <si>
    <t>תעודות חוב לא סחירות בחו"ל בדירוג נמוך חברות ישראליות</t>
  </si>
  <si>
    <t>DT610</t>
  </si>
  <si>
    <t>תעודות חוב לא סחירות בחו"ל בדירוג A- ומעלה חברות זרות</t>
  </si>
  <si>
    <t>DT611</t>
  </si>
  <si>
    <t>תעודות חוב לא סחירות בחו"ל בדירוג +BBB:-BBB חברות זרות</t>
  </si>
  <si>
    <t>DT612</t>
  </si>
  <si>
    <t>תעודות חוב לא סחירות בחו"ל בדירוג נמוך עם בטוחה מספקת חברות זרות</t>
  </si>
  <si>
    <t>DT613</t>
  </si>
  <si>
    <t>תעודות חוב לא סחירות בחו"ל בדירוג נמוך חברות זרות</t>
  </si>
  <si>
    <t>DT614</t>
  </si>
  <si>
    <t>אג"ח קונצרני צמוד מדד בדרוג AA- ומעלה</t>
  </si>
  <si>
    <t>DT301</t>
  </si>
  <si>
    <t>אג"ח קונצרני צמוד מט"ח בדרוג AA- ומעלה</t>
  </si>
  <si>
    <t>DT302</t>
  </si>
  <si>
    <t>אג"ח קונצרני לא צמוד בדרוג AA- ומעלה</t>
  </si>
  <si>
    <t>DT303</t>
  </si>
  <si>
    <t>אג"ח קונצרני אחרות בדרוג AA- ומעלה</t>
  </si>
  <si>
    <t>DT615</t>
  </si>
  <si>
    <t>אג"ח קונצרני צמוד מדד בדרוג -A+:BBB</t>
  </si>
  <si>
    <t>DT307</t>
  </si>
  <si>
    <t>אג"ח קונצרני צמוד מט"ח בדרוג -A+:BBB</t>
  </si>
  <si>
    <t>DT308</t>
  </si>
  <si>
    <t>אג"ח קונצרני לא צמוד בדרוג -A+:BBB</t>
  </si>
  <si>
    <t>DT309</t>
  </si>
  <si>
    <t>אג"ח קונצרני אחרות בדרוג -A+:BBB</t>
  </si>
  <si>
    <t>DT616</t>
  </si>
  <si>
    <t>אג"ח קונצרני צמוד מדד בדרוג בדרוג נמוך</t>
  </si>
  <si>
    <t>DT313</t>
  </si>
  <si>
    <t>אג"ח קונצרני צמוד מט"ח בדרוג בדרוג נמוך</t>
  </si>
  <si>
    <t>DT314</t>
  </si>
  <si>
    <t>אג"ח קונצרני לא צמוד בדרוג בדרוג נמוך</t>
  </si>
  <si>
    <t>DT315</t>
  </si>
  <si>
    <t>אג"ח קונצרני אחרות בדרוג בדרוג נמוך</t>
  </si>
  <si>
    <t>DT617</t>
  </si>
  <si>
    <t>אג"ח קונצרני ל"ס צמוד מדד -AA ומעלה</t>
  </si>
  <si>
    <t>DT319</t>
  </si>
  <si>
    <t>אג"ח קונצרני ל"ס צמוד מט"ח -AA ומעלה</t>
  </si>
  <si>
    <t>DT320</t>
  </si>
  <si>
    <t>אג"ח קונצרני ל"ס לא צמוד -AA ומעלה</t>
  </si>
  <si>
    <t>DT321</t>
  </si>
  <si>
    <t>אג"ח קונצרני ל"ס אחרות -AA ומעלה</t>
  </si>
  <si>
    <t>DT618</t>
  </si>
  <si>
    <t>אג"ח קונצרני ל"ס צמוד מדד -A+:BBB</t>
  </si>
  <si>
    <t>DT325</t>
  </si>
  <si>
    <t>אג"ח קונצרני ל"ס צמוד מט"ח -A+:BBB</t>
  </si>
  <si>
    <t>DT326</t>
  </si>
  <si>
    <t>אג"ח קונצרני ל"ס לא צמוד -A+:BBB</t>
  </si>
  <si>
    <t>DT327</t>
  </si>
  <si>
    <t>אג"ח קונצרני ל"ס אחרות -A+:BBB</t>
  </si>
  <si>
    <t>DT619</t>
  </si>
  <si>
    <t>אג"ח קונצרני ל"ס צמוד מדד דרוג נמוך עם בטוחה מספקת</t>
  </si>
  <si>
    <t>DT553</t>
  </si>
  <si>
    <t>אג"ח קונצרני ל"ס צמוד מט"ח דרוג נמוך עם בטוחה מספקת</t>
  </si>
  <si>
    <t>DT554</t>
  </si>
  <si>
    <t>אג"ח קונצרני ל"ס לא צמוד דרוג נמוך עם בטוחה מספקת</t>
  </si>
  <si>
    <t>DT555</t>
  </si>
  <si>
    <t>אג"ח קונצרני ל"ס אחרות דרוג נמוך עם בטוחה מספקת</t>
  </si>
  <si>
    <t>DT620</t>
  </si>
  <si>
    <t>אג"ח קונצרני ל"ס צמוד מדד דרוג נמוך</t>
  </si>
  <si>
    <t>DT337</t>
  </si>
  <si>
    <t>אג"ח קונצרני ל"ס צמוד מט"ח דרוג נמוך</t>
  </si>
  <si>
    <t>DT338</t>
  </si>
  <si>
    <t>אג"ח קונצרני ל"ס לא צמוד דרוג נמוך</t>
  </si>
  <si>
    <t>DT339</t>
  </si>
  <si>
    <t>אג"ח קונצרני ל"ס אחרות דרוג נמוך</t>
  </si>
  <si>
    <t>DT621</t>
  </si>
  <si>
    <t>אג"ח ישראליות סחירות בחו"ל בדירוג A- ומעלה</t>
  </si>
  <si>
    <t>DT454</t>
  </si>
  <si>
    <t>אג"ח ישראליות סחירות בחו"ל בדירוג +BBB:-BBB</t>
  </si>
  <si>
    <t>DT455</t>
  </si>
  <si>
    <t>אג"ח ישראליות סחירות בחו"ל בדירוג נמוך</t>
  </si>
  <si>
    <t>DT456</t>
  </si>
  <si>
    <t>אג"ח זרות סחירות בחו"ל בדירוג A- ומעלה</t>
  </si>
  <si>
    <t>DT457</t>
  </si>
  <si>
    <t>אג"ח זרות סחירות בחו"ל בדירוג +BBB:-BBB</t>
  </si>
  <si>
    <t>DT458</t>
  </si>
  <si>
    <t>אג"ח זרות סחירות בחו"ל בדירוג נמוך</t>
  </si>
  <si>
    <t>DT459</t>
  </si>
  <si>
    <t>אג"ח ישראליות לא סחירות בחו"ל בדירוג A- ומעלה</t>
  </si>
  <si>
    <t>DT460</t>
  </si>
  <si>
    <t>אג"ח ישראליות לא סחירות בחו"ל בדירוג +BBB:-BBB</t>
  </si>
  <si>
    <t>DT461</t>
  </si>
  <si>
    <t>אג"ח ישראליות לא סחירות בחו"ל בדירוג נמוך עם בטוחה מספקת</t>
  </si>
  <si>
    <t>DT558</t>
  </si>
  <si>
    <t>אג"ח ישראליות לא סחירות בחו"ל בדירוג נמוך</t>
  </si>
  <si>
    <t>DT462</t>
  </si>
  <si>
    <t>אג"ח זרות לא סחירות בחו"ל בדירוג A- ומעלה</t>
  </si>
  <si>
    <t>DT463</t>
  </si>
  <si>
    <t>אג"ח זרות לא סחירות בחו"ל בדירוג +BBB:-BBB</t>
  </si>
  <si>
    <t>DT464</t>
  </si>
  <si>
    <t>אג"ח זרות לא סחירות בחו"ל בדירוג נמוך עם בטוחה מספקת</t>
  </si>
  <si>
    <t>DT559</t>
  </si>
  <si>
    <t>אג"ח זרות לא סחירות בחו"ל בדירוג נמוך</t>
  </si>
  <si>
    <t>DT465</t>
  </si>
  <si>
    <t>מניות במדד ת"א 25</t>
  </si>
  <si>
    <t>DT402</t>
  </si>
  <si>
    <t>מניות במדד ת"א 75</t>
  </si>
  <si>
    <t>DT403</t>
  </si>
  <si>
    <t>מניות היתר</t>
  </si>
  <si>
    <t>DT404</t>
  </si>
  <si>
    <t>מניות זרות הנסחרות בארץ</t>
  </si>
  <si>
    <t>DT405</t>
  </si>
  <si>
    <t>אופציות call 1 (long)</t>
  </si>
  <si>
    <t>DT172</t>
  </si>
  <si>
    <t>אופציות call 1 (short)</t>
  </si>
  <si>
    <t>DT205</t>
  </si>
  <si>
    <t>מניות לא סחירות בארץ</t>
  </si>
  <si>
    <t>DC9</t>
  </si>
  <si>
    <t>מניות ישראליות בחו"ל</t>
  </si>
  <si>
    <t>DT28</t>
  </si>
  <si>
    <t>מניות של תאגיד תושב חוץ החזקה עד 10%</t>
  </si>
  <si>
    <t>DT30</t>
  </si>
  <si>
    <t>מניות של תאגיד תושב חוץ החזקה של 10% ומעלה</t>
  </si>
  <si>
    <t>DT81</t>
  </si>
  <si>
    <t>מניות ל"ס של חברות ישראליות</t>
  </si>
  <si>
    <t>DT622</t>
  </si>
  <si>
    <t>מניות ל"ס של חברות זרות</t>
  </si>
  <si>
    <t>DT83</t>
  </si>
  <si>
    <t>השקעה בתעודות סל שמחקות מדדי מניות בארץ</t>
  </si>
  <si>
    <t>DT360</t>
  </si>
  <si>
    <t>השקעה בתעודות סל שמחקות מדדי מניות בחול</t>
  </si>
  <si>
    <t>DT361</t>
  </si>
  <si>
    <t>השקעה בתעודות סל שמחקות מדדי אג"ח בארץ</t>
  </si>
  <si>
    <t>DT362</t>
  </si>
  <si>
    <t>השקעה בתעודות סל שמחקות מדדי אג"ח בחול</t>
  </si>
  <si>
    <t>DT363</t>
  </si>
  <si>
    <t>השקעה בתעודות סל בחסר או תעודות פיקדון בחסר בארץ</t>
  </si>
  <si>
    <t>DT406</t>
  </si>
  <si>
    <t>השקעה בתעודות סל אחרות</t>
  </si>
  <si>
    <t>DT623</t>
  </si>
  <si>
    <t>השקעה בתעודות שנסחרות בחו"ל סל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</si>
  <si>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</si>
  <si>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</si>
  <si>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</si>
  <si>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</si>
  <si>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</si>
  <si>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DT624</t>
  </si>
  <si>
    <t>תעודות השתתפות בקרן נאמנות</t>
  </si>
  <si>
    <t>DB10</t>
  </si>
  <si>
    <t>תעודות השתתפות בקרן נאמנות - אג"ח קונצרני</t>
  </si>
  <si>
    <t>DT701</t>
  </si>
  <si>
    <t>תעודות השתתפות בקרן נאמנות - אג"ח ממשלתי</t>
  </si>
  <si>
    <t>DT702</t>
  </si>
  <si>
    <t>תעודות השתתפות בקרן נאמנות - מניות</t>
  </si>
  <si>
    <t>DT703</t>
  </si>
  <si>
    <t>תעודות השתתפות בקרן נאמנות - אחר</t>
  </si>
  <si>
    <t>DT704</t>
  </si>
  <si>
    <t>קרנות הון סיכון</t>
  </si>
  <si>
    <t>DT53</t>
  </si>
  <si>
    <t>קרנות נדלן</t>
  </si>
  <si>
    <t>DT225</t>
  </si>
  <si>
    <t>קרנות גידור</t>
  </si>
  <si>
    <t>DT466</t>
  </si>
  <si>
    <t>קרנות השקעה אחרות</t>
  </si>
  <si>
    <t>DT52</t>
  </si>
  <si>
    <t>קרנות הון סיכון בחו"ל</t>
  </si>
  <si>
    <t>DT89</t>
  </si>
  <si>
    <t>קרנות נדלן בחו"ל</t>
  </si>
  <si>
    <t>DT226</t>
  </si>
  <si>
    <t>קרנות גידור בחו"ל</t>
  </si>
  <si>
    <t>DT467</t>
  </si>
  <si>
    <t>קרנות השקעה אחרות בחו"ל</t>
  </si>
  <si>
    <t>DT88</t>
  </si>
  <si>
    <t>כתבי אופציה סחירים בישראל מסוג warrent</t>
  </si>
  <si>
    <t>DB5</t>
  </si>
  <si>
    <t>כתבי אופציה לא סחירים בישראל מסוג warrent</t>
  </si>
  <si>
    <t>DT439</t>
  </si>
  <si>
    <t>כתבי אופציה סחירים בחו"ל מסוג warrent</t>
  </si>
  <si>
    <t>DT211</t>
  </si>
  <si>
    <t>כתבי אופציה לא סחירים בחו"ל מסוג warrent</t>
  </si>
  <si>
    <t>DT440</t>
  </si>
  <si>
    <t>חוזים עתידיים סחירים בארץ</t>
  </si>
  <si>
    <t>DT749</t>
  </si>
  <si>
    <t>חוזים עתידיים על מדדים כולל מניות</t>
  </si>
  <si>
    <t>DT441</t>
  </si>
  <si>
    <t>חוזים עתידיים על שקל/מטח</t>
  </si>
  <si>
    <t>DT442</t>
  </si>
  <si>
    <t>חוזים עתידיים על מטח/מטח</t>
  </si>
  <si>
    <t>DT443</t>
  </si>
  <si>
    <t>חוזים עתידיים על ריבית</t>
  </si>
  <si>
    <t>DT444</t>
  </si>
  <si>
    <t>חוזים עתידיים אחרים</t>
  </si>
  <si>
    <t>DT445</t>
  </si>
  <si>
    <t>חוזים עתידיים סחירים בחו"ל</t>
  </si>
  <si>
    <t>DT212</t>
  </si>
  <si>
    <t>חוזים עתידיים על מדדים כולל מניות בחו"ל</t>
  </si>
  <si>
    <t>DT446</t>
  </si>
  <si>
    <t>חוזים עתידיים על מטח בחו"ל</t>
  </si>
  <si>
    <t>DT447</t>
  </si>
  <si>
    <t>חוזים עתידיים על ריבית בחו"ל</t>
  </si>
  <si>
    <t>DT448</t>
  </si>
  <si>
    <t>חוזים עתידיים אחרים בחו"ל</t>
  </si>
  <si>
    <t>DT449</t>
  </si>
  <si>
    <t>אופציות על מדדים כולל מניות</t>
  </si>
  <si>
    <t>DT468</t>
  </si>
  <si>
    <t>אופציות על מטבעות</t>
  </si>
  <si>
    <t>DT175</t>
  </si>
  <si>
    <t>אופציות על ריבית</t>
  </si>
  <si>
    <t>DT176</t>
  </si>
  <si>
    <t>אופציות על על מדד/נכס אחר</t>
  </si>
  <si>
    <t>DT177</t>
  </si>
  <si>
    <t>אופציות על מדדים כולל מניות (short)</t>
  </si>
  <si>
    <t>DT469</t>
  </si>
  <si>
    <t>אופציות על מטבעות (short)</t>
  </si>
  <si>
    <t>DT208</t>
  </si>
  <si>
    <t>אופציות על ריבית (short)</t>
  </si>
  <si>
    <t>DT209</t>
  </si>
  <si>
    <t>אופציות על על מדד/נכס אחר (short)</t>
  </si>
  <si>
    <t>DT210</t>
  </si>
  <si>
    <t>DT470</t>
  </si>
  <si>
    <t>אופציות על  ש"ח/מט"ח</t>
  </si>
  <si>
    <t>DT345</t>
  </si>
  <si>
    <t>אופציות על מט"ח/מט"ח</t>
  </si>
  <si>
    <t>DT625</t>
  </si>
  <si>
    <t>DT471</t>
  </si>
  <si>
    <t>DT346</t>
  </si>
  <si>
    <t>DT472</t>
  </si>
  <si>
    <t>אופציות על  ש"ח/מט"ח (short)</t>
  </si>
  <si>
    <t>DT347</t>
  </si>
  <si>
    <t>אופציות על מט"ח/מט"ח (short)</t>
  </si>
  <si>
    <t>DT626</t>
  </si>
  <si>
    <t>DT473</t>
  </si>
  <si>
    <t>DT348</t>
  </si>
  <si>
    <t>אופציות על מדדים כולל מניות בחול</t>
  </si>
  <si>
    <t>DT213</t>
  </si>
  <si>
    <t>אופציות על מטבעות בחול</t>
  </si>
  <si>
    <t>DT214</t>
  </si>
  <si>
    <t>אופציות על ריבית בחול</t>
  </si>
  <si>
    <t>DT215</t>
  </si>
  <si>
    <t>אופציות על סחורות בחול</t>
  </si>
  <si>
    <t>DT216</t>
  </si>
  <si>
    <t>אופציות על על מדד/נכס אחר בחול</t>
  </si>
  <si>
    <t>DT474</t>
  </si>
  <si>
    <t>אופציות על מדדים כולל מניות בחול (short)</t>
  </si>
  <si>
    <t>DT217</t>
  </si>
  <si>
    <t>אופציות על מטבעות בחול (short)</t>
  </si>
  <si>
    <t>DT218</t>
  </si>
  <si>
    <t>אופציות על ריבית בחול (short)</t>
  </si>
  <si>
    <t>DT219</t>
  </si>
  <si>
    <t>אופציות על סחורות בחול (short)</t>
  </si>
  <si>
    <t>DT220</t>
  </si>
  <si>
    <t>אופציות על על מדד/נכס אחר בחול (short)</t>
  </si>
  <si>
    <t>DT475</t>
  </si>
  <si>
    <t>DT476</t>
  </si>
  <si>
    <t>DT477</t>
  </si>
  <si>
    <t>DT478</t>
  </si>
  <si>
    <t>DT479</t>
  </si>
  <si>
    <t>DT480</t>
  </si>
  <si>
    <t>DT481</t>
  </si>
  <si>
    <t>DT482</t>
  </si>
  <si>
    <t>DT483</t>
  </si>
  <si>
    <t>DT484</t>
  </si>
  <si>
    <t>DT485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</si>
  <si>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</si>
  <si>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</si>
  <si>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</si>
  <si>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</si>
  <si>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</si>
  <si>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</si>
  <si>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</si>
  <si>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</si>
  <si>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</si>
  <si>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</si>
  <si>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</si>
  <si>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</si>
  <si>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</si>
  <si>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</si>
  <si>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</si>
  <si>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</si>
  <si>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</si>
  <si>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</si>
  <si>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</si>
  <si>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</si>
  <si>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</si>
  <si>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</si>
  <si>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</si>
  <si>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</si>
  <si>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 בישראל עם נכס בסיס אשראי</t>
  </si>
  <si>
    <t>DT717</t>
  </si>
  <si>
    <t>פיקדונות מובנים בישראל עם נכס בסיס מניות</t>
  </si>
  <si>
    <t>DT718</t>
  </si>
  <si>
    <t>פיקדונות מובנים בישראל עם נכס בסיס ריבית</t>
  </si>
  <si>
    <t>DT719</t>
  </si>
  <si>
    <t>פיקדונות מובנים בישראל עם נכס בסיס מטבע</t>
  </si>
  <si>
    <t>DT720</t>
  </si>
  <si>
    <t>פיקדונות מובנים בישראל עם נכס בסיס מדד</t>
  </si>
  <si>
    <t>DT721</t>
  </si>
  <si>
    <t>פיקדונות מובנים בישראל עם נכס בסיס אחר</t>
  </si>
  <si>
    <t>DT722</t>
  </si>
  <si>
    <t>שכבת חוב (Tranch) בדירוג  AA- ומעלה בישראל</t>
  </si>
  <si>
    <t>DT723</t>
  </si>
  <si>
    <t>שכבת חוב (Tranch) בדירוג  BBB- ועד A+ ומעלה בישראל</t>
  </si>
  <si>
    <t>DT724</t>
  </si>
  <si>
    <t>שכבת חוב (Tranch) בדירוג  נמוך בישראל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</si>
  <si>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</si>
  <si>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</si>
  <si>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</si>
  <si>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</si>
  <si>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</si>
  <si>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</si>
  <si>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</si>
  <si>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</si>
  <si>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</si>
  <si>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</si>
  <si>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</si>
  <si>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</si>
  <si>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</si>
  <si>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</si>
  <si>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</si>
  <si>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</si>
  <si>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</si>
  <si>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</si>
  <si>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</si>
  <si>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</si>
  <si>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</si>
  <si>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DT658</t>
  </si>
  <si>
    <t>DT659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</si>
  <si>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</si>
  <si>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</si>
  <si>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</si>
  <si>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</si>
  <si>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</si>
  <si>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</si>
  <si>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</si>
  <si>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</si>
  <si>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</si>
  <si>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</si>
  <si>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</si>
  <si>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</si>
  <si>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</si>
  <si>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</si>
  <si>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</si>
  <si>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</si>
  <si>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</si>
  <si>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</si>
  <si>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</si>
  <si>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</si>
  <si>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</si>
  <si>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</si>
  <si>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</si>
  <si>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</si>
  <si>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</si>
  <si>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</si>
  <si>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פיקדונות מובנים בחו"ל עם נכס בסיס אשראי</t>
  </si>
  <si>
    <t>DT739</t>
  </si>
  <si>
    <t>פיקדונות מובנים בחו"ל עם נכס בסיס מניות</t>
  </si>
  <si>
    <t>DT740</t>
  </si>
  <si>
    <t>פיקדונות מובנים בחו"ל עם נכס בסיס ריבית</t>
  </si>
  <si>
    <t>DT741</t>
  </si>
  <si>
    <t>פיקדונות מובנים בחו"ל עם נכס בסיס מטבע</t>
  </si>
  <si>
    <t>DT742</t>
  </si>
  <si>
    <t>פיקדונות מובנים בחו"ל עם נכס בסיס מדד</t>
  </si>
  <si>
    <t>DT743</t>
  </si>
  <si>
    <t>פיקדונות מובנים בחו"ל עם נכס בסיס אחר</t>
  </si>
  <si>
    <t>DT744</t>
  </si>
  <si>
    <t>שכבת חוב (Tranch) בדירוג  AA- ומעלה בחו"ל</t>
  </si>
  <si>
    <t>DT745</t>
  </si>
  <si>
    <t>שכבת חוב (Tranch) בדירוג  BBB- ועד A+ ומעלה בחו"ל</t>
  </si>
  <si>
    <t>DT746</t>
  </si>
  <si>
    <t>שכבת חוב (Tranch) בדירוג  BB+ ומעלה בחו"ל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</si>
  <si>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</si>
  <si>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</si>
  <si>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</si>
  <si>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</si>
  <si>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</si>
  <si>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</si>
  <si>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</si>
  <si>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</si>
  <si>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</si>
  <si>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</si>
  <si>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</si>
  <si>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</si>
  <si>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</si>
  <si>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</si>
  <si>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</si>
  <si>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</si>
  <si>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</si>
  <si>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</si>
  <si>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</si>
  <si>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</si>
  <si>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</si>
  <si>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</si>
  <si>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</si>
  <si>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</si>
  <si>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</si>
  <si>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הלוואה לעמיתים</t>
  </si>
  <si>
    <t>DC1</t>
  </si>
  <si>
    <t>תיקי משכנתאות בדירוג BBB- ומעלה</t>
  </si>
  <si>
    <t>DT502</t>
  </si>
  <si>
    <t>תיקי משכנתאות בדירוג נמוך</t>
  </si>
  <si>
    <t>DT503</t>
  </si>
  <si>
    <t>הלוואה עם ערבות בנקאית בדירוג AA- ומעלה</t>
  </si>
  <si>
    <t>DT450</t>
  </si>
  <si>
    <t>הלוואה עם ערבות בנקאית בדירוג -A+:BBB</t>
  </si>
  <si>
    <t>DT504</t>
  </si>
  <si>
    <t>הלוואה עם ערבות בנקאית ללא דרוג</t>
  </si>
  <si>
    <t>DT505</t>
  </si>
  <si>
    <t>הלוואה בבטחונות אחרים והלוואות עם ערבות מדינה בדירוג AA- ומעלה</t>
  </si>
  <si>
    <t>DT451</t>
  </si>
  <si>
    <t>הלוואה בבטחונות אחרים והלוואות עם ערבות מדינה בדירוג -A+:BBB</t>
  </si>
  <si>
    <t>DT506</t>
  </si>
  <si>
    <t>הלוואות בבטחונות אחרים והלוואות עם ערבות מדינה לא מדורגת עם בטוחה מספקת</t>
  </si>
  <si>
    <t>DT627</t>
  </si>
  <si>
    <t>הלוואות בבטחונות אחרים והלוואות עם ערבות מדינה לא מדורגת</t>
  </si>
  <si>
    <t>DT507</t>
  </si>
  <si>
    <t>הלוואות לא מובטחות</t>
  </si>
  <si>
    <t>DT577</t>
  </si>
  <si>
    <t>תיקי משכנתאות בחו"ל</t>
  </si>
  <si>
    <t>DT508</t>
  </si>
  <si>
    <t>הלוואות בחו"ל בערבות בנקאית</t>
  </si>
  <si>
    <t>DT509</t>
  </si>
  <si>
    <t>הלוואות בחול מובטוחת בביטונות אחרים</t>
  </si>
  <si>
    <t>DT511</t>
  </si>
  <si>
    <t>הלוואות בחול לא מובטחות</t>
  </si>
  <si>
    <t>DT452</t>
  </si>
  <si>
    <t>פקדונות צמודי מדד בדירוג -AA ומעלה לתקופה של שלושה חודשים ועד שנה</t>
  </si>
  <si>
    <t>DT512</t>
  </si>
  <si>
    <t>פקדונות לא צמודים בדירוג -AA ומעלה לתקופה של שלושה חודשים ועד שנה</t>
  </si>
  <si>
    <t>DT513</t>
  </si>
  <si>
    <t>פקדונות נקובים במט"ח בדירוג -AA ומעלה לתקופה של שלושה חודשים ועד שנה</t>
  </si>
  <si>
    <t>DT514</t>
  </si>
  <si>
    <t>פקדונות צמודי מט"ח בדירוג -AA ומעלה לתקופה של שלושה חודשים ועד שנה</t>
  </si>
  <si>
    <t>DT515</t>
  </si>
  <si>
    <t>פקדונות צמודי מדד בדירוג -AA ומעלה לתקופה של למעלה משנה</t>
  </si>
  <si>
    <t>DT516</t>
  </si>
  <si>
    <t>פקדונות לא צמודים בדירוג -AA ומעלה לתקופה של למעלה משנה</t>
  </si>
  <si>
    <t>DT517</t>
  </si>
  <si>
    <t>פקדונות נקובים במט"ח בדירוג -AA ומעלה לתקופה של למעלה משנה</t>
  </si>
  <si>
    <t>DT518</t>
  </si>
  <si>
    <t>פקדונות צמודי מט"ח בדירוג -AA ומעלה לתקופה של למעלה משנה</t>
  </si>
  <si>
    <t>DT519</t>
  </si>
  <si>
    <t>פקדונות אחרים בדירוג -AA ומעלה</t>
  </si>
  <si>
    <t>DT628</t>
  </si>
  <si>
    <t>פקדונות צמודי מדד בדירוג -A+:BBB לתקופה של שלושה חודשים ועד שנה</t>
  </si>
  <si>
    <t>DT520</t>
  </si>
  <si>
    <t>פקדונות לא צמודים בדירוג -A+:BBB לתקופה של שלושה חודשים ועד שנה</t>
  </si>
  <si>
    <t>DT521</t>
  </si>
  <si>
    <t>פקדונות נקובים במט"ח בדירוג -A+:BBB לתקופה של שלושה חודשים ועד שנה</t>
  </si>
  <si>
    <t>DT522</t>
  </si>
  <si>
    <t>פקדונות צמודי מט"ח בדירוג A+:BBB- לתקופה של שלושה חודשים ועד שנה</t>
  </si>
  <si>
    <t>DT523</t>
  </si>
  <si>
    <t>פקדונות צמודי מדד בדירוג -A+:BBB לתקופה של למעלה משנה</t>
  </si>
  <si>
    <t>DT524</t>
  </si>
  <si>
    <t>פקדונות לא צמודים בדירוג -A+:BBB לתקופה של למעלה משנה</t>
  </si>
  <si>
    <t>DT525</t>
  </si>
  <si>
    <t>פקדונות נקובים במט"ח בדירוג -A+:BBB לתקופה של למעלה משנה</t>
  </si>
  <si>
    <t>DT526</t>
  </si>
  <si>
    <t>פקדונות צמודי מט"ח בדירוג -A+:BBB לתקופה של למעלה משנה</t>
  </si>
  <si>
    <t>DT527</t>
  </si>
  <si>
    <t>פקדונות אחרים בדירוג -A+:BBB</t>
  </si>
  <si>
    <t>DT629</t>
  </si>
  <si>
    <t>פקדונות צמודי מדד בדירוג נמוך לתקופה של שלושה חודשים ועד שנה</t>
  </si>
  <si>
    <t>DT530</t>
  </si>
  <si>
    <t>פקדונות לא צמודים בדירוג נמוך לתקופה של שלושה חודשים ועד שנה</t>
  </si>
  <si>
    <t>DT531</t>
  </si>
  <si>
    <t>פקדונות נקובים במט"ח בדירוג נמוך לתקופה של שלושה חודשים ועד שנה</t>
  </si>
  <si>
    <t>DT532</t>
  </si>
  <si>
    <t>פקדונות צמודי מט"ח בדירוג נמוך לתקופה של שלושה חודשים ועד שנה</t>
  </si>
  <si>
    <t>DT533</t>
  </si>
  <si>
    <t>פקדונות צמודי מדד בדירוג נמוך לתקופה של למעלה משנה</t>
  </si>
  <si>
    <t>DT534</t>
  </si>
  <si>
    <t>פקדונות לא צמודים בדירוג נמוך לתקופה של למעלה משנה</t>
  </si>
  <si>
    <t>DT535</t>
  </si>
  <si>
    <t>פקדונות נקובים במט"ח בדירוג נמוך לתקופה של למעלה משנה</t>
  </si>
  <si>
    <t>DT536</t>
  </si>
  <si>
    <t>פקדונות צמודי מט"ח בדירוג נמוך לתקופה של למעלה משנה</t>
  </si>
  <si>
    <t>DT537</t>
  </si>
  <si>
    <t>פקדונות אחרים בדירוג נמוך</t>
  </si>
  <si>
    <t>DT630</t>
  </si>
  <si>
    <t>פקדונות נקובים במט"ח בדירוג -A ומעלה</t>
  </si>
  <si>
    <t>DT631</t>
  </si>
  <si>
    <t>פקדונות נקובים במט"ח בדירוג +BBB:-BBB</t>
  </si>
  <si>
    <t>DT632</t>
  </si>
  <si>
    <t>פקדונות נקובים במט"ח בדירוג נמוך</t>
  </si>
  <si>
    <t>DT633</t>
  </si>
  <si>
    <t>מקרקעין מניבים</t>
  </si>
  <si>
    <t>DT111</t>
  </si>
  <si>
    <t>מקרקעין לא מניבים</t>
  </si>
  <si>
    <t>DT112</t>
  </si>
  <si>
    <t>מקרקעין מניבים בחו"ל</t>
  </si>
  <si>
    <t>DT113</t>
  </si>
  <si>
    <t>מקרקעין לא מניבים בחו"ל</t>
  </si>
  <si>
    <t>DT114</t>
  </si>
  <si>
    <t>התחייבות בגין מכירה בחסר</t>
  </si>
  <si>
    <t>DT116</t>
  </si>
  <si>
    <t>נ"ע סחירים אחרים ישראלים בחו"ל</t>
  </si>
  <si>
    <t>DT29</t>
  </si>
  <si>
    <t>נ"ע סחירים אחרים זרים בחו"ל</t>
  </si>
  <si>
    <t>DT31</t>
  </si>
  <si>
    <t>התחייבות בגין מכירה בחסר בחול</t>
  </si>
  <si>
    <t>DT117</t>
  </si>
  <si>
    <t>בניני משרדים שבשימוש הקופה</t>
  </si>
  <si>
    <t>DT115</t>
  </si>
  <si>
    <t>רכוש קבוע שאינו בנייני משרדים בשימוש הקופה</t>
  </si>
  <si>
    <t>DT62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</si>
  <si>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</si>
  <si>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</si>
  <si>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</si>
  <si>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</si>
  <si>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</si>
  <si>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</si>
  <si>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</si>
  <si>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</si>
  <si>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</si>
  <si>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</si>
  <si>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סה"כ נכסי הקופה</t>
  </si>
  <si>
    <t>DE1</t>
  </si>
  <si>
    <t>בדיקה</t>
  </si>
  <si>
    <t>מזומנים ושווי מזומנים</t>
  </si>
  <si>
    <t>ממשלתי סחיר</t>
  </si>
  <si>
    <t>אג"ח סחיר</t>
  </si>
  <si>
    <t>מניות ואחרים</t>
  </si>
  <si>
    <t>פיקדונות והלוואות</t>
  </si>
  <si>
    <t>השקעות אחרות</t>
  </si>
  <si>
    <t>הפניקס גמל לבני 60 ומעלה</t>
  </si>
  <si>
    <t>הפניקס מרכזית לפיצויים</t>
  </si>
  <si>
    <t>הפניקס גמל אג"ח ללא מניות</t>
  </si>
  <si>
    <t>הפניקס גמולה מבטיחת תשואה</t>
  </si>
  <si>
    <t>הפניקס מרכזית לפיצויים עד 15% מניות</t>
  </si>
  <si>
    <t>הפניקס השתלמות אג"ח ללא מניות</t>
  </si>
  <si>
    <t>הפניקס השתלמות שקלי טווח קצר</t>
  </si>
  <si>
    <t>הפניקס גמל לבני 50 ומטה</t>
  </si>
  <si>
    <t>הפניקס השתלמות  אג"ח עד 15% מניות</t>
  </si>
  <si>
    <t>הפניקס מרכזית לפיצויים שקלי</t>
  </si>
  <si>
    <t>הפניקס קסם מרכזית לפיצויים מחקה מדדי מניות</t>
  </si>
  <si>
    <t>הפניקס מרכזית לפיצויים צמוד מדד</t>
  </si>
  <si>
    <t>הפניקס קסם מרכזית לפיצויים מחקה מדדים</t>
  </si>
  <si>
    <t>הפניקס קסם מרכזית לפיצויים מחקה מדדי אג"ח</t>
  </si>
  <si>
    <t>הפניקס גמל מסלולית לפיצויים רבת מסלולים</t>
  </si>
  <si>
    <t>הפניקס מרכזית לפיצויים שיקלי קצר</t>
  </si>
  <si>
    <t>הפניקס גמל שקלי טווח קצר</t>
  </si>
  <si>
    <t>הפניקס גמל להשקעה אג"ח ללא מניות</t>
  </si>
  <si>
    <t>הפניקס גמל להשקעה אג"ח עד 15% מניות</t>
  </si>
  <si>
    <t>הפניקס גמל להשקעה מניות פאסיבי</t>
  </si>
  <si>
    <t>הפניקס גמל להשקעה כללי</t>
  </si>
  <si>
    <t>הפניקס גמל להשקעה כללי פאסיבי</t>
  </si>
  <si>
    <t>הפניקס חיסכון לכל ילד - סיכון מועט</t>
  </si>
  <si>
    <t>הפניקס חיסכון לכל ילד -  סיכון מוגבר</t>
  </si>
  <si>
    <t>הפניקס חיסכון לכל ילד -  סיכון בינוני</t>
  </si>
  <si>
    <t>הפניקס חיסכון לכל ילד - הלכה</t>
  </si>
  <si>
    <t>הפניקס  גמל מסלול לבני 50 עד 60</t>
  </si>
  <si>
    <t>הפניקס גמל מסלול מניות</t>
  </si>
  <si>
    <t>הפניקס השתלמות הלכה</t>
  </si>
  <si>
    <t>הפניקס השתלמות כללי</t>
  </si>
  <si>
    <t>הפניקס  השתלמות מניות</t>
  </si>
  <si>
    <t>הפניקס השתלמות פאסיבי-כללי</t>
  </si>
  <si>
    <t>הפניקס השתלמות מחקה מדד s&amp;p 500</t>
  </si>
  <si>
    <t>הפניקס גמל מחקה מדד s&amp;p 500</t>
  </si>
  <si>
    <t>הפניקס גמל להשקעה שקלי טווח קצר</t>
  </si>
  <si>
    <t>הפניקס גמל להשקעה מחקה מדד s&amp;p 500</t>
  </si>
  <si>
    <t>הפניקס גמל מסלול משולב סחיר</t>
  </si>
  <si>
    <t>הפניקס  גמל שריעה</t>
  </si>
  <si>
    <t>הפניקס גמל להשקעה מניות</t>
  </si>
  <si>
    <t>הפניקס להשקעה שריעה</t>
  </si>
  <si>
    <t>הפניקס קופה לתשלום דמי מחלה</t>
  </si>
  <si>
    <t>הפניקס קופה מרכזית להשתתפות בפנסיה תקציבית</t>
  </si>
  <si>
    <t>הפניקס מרכזית לפיצויים רב מסלולית -סנונית</t>
  </si>
  <si>
    <t>הפניקס חיסכון לכל ילד מסלול שריעה</t>
  </si>
  <si>
    <t>הפניקס השתלמות שריעה</t>
  </si>
  <si>
    <t>הפניקס השתלמות פאסיבי מדדי מניות</t>
  </si>
  <si>
    <t>513026484-00000000000102-0401-000</t>
  </si>
  <si>
    <t>513026484-00000000000801-0242-000</t>
  </si>
  <si>
    <t>513026484-00000000000102-0385-000</t>
  </si>
  <si>
    <t>513026484-00000000000123-0528-000</t>
  </si>
  <si>
    <t>513026484-00000000000801-0384-000</t>
  </si>
  <si>
    <t>513026484-00000000000399-0716-000</t>
  </si>
  <si>
    <t>513026484-00000000000399-0715-000</t>
  </si>
  <si>
    <t>513026484-00000000000102-9916-000</t>
  </si>
  <si>
    <t>513026484-00000000000399-1100-000</t>
  </si>
  <si>
    <t>513026484-00000000000801-0801-000</t>
  </si>
  <si>
    <t>513026484-00000000000801-0804-000</t>
  </si>
  <si>
    <t>513026484-00000000000801-0806-000</t>
  </si>
  <si>
    <t>513026484-00000000000801-8765-000</t>
  </si>
  <si>
    <t>513026484-00000000000801-8766-000</t>
  </si>
  <si>
    <t>513026484-00000000009417-9418-000</t>
  </si>
  <si>
    <t>513026484-00000000000801-9475-000</t>
  </si>
  <si>
    <t>513026484-00000000000102-9906-000</t>
  </si>
  <si>
    <t>513026484-00000000007904-7905-000</t>
  </si>
  <si>
    <t>513026484-00000000007904-7906-000</t>
  </si>
  <si>
    <t>513026484-00000000007904-7907-000</t>
  </si>
  <si>
    <t>513026484-00000000007904-7908-000</t>
  </si>
  <si>
    <t>513026484-00000000007904-7909-000</t>
  </si>
  <si>
    <t>513026484-00000000011309-11310-000</t>
  </si>
  <si>
    <t>513026484-00000000011309-11311-000</t>
  </si>
  <si>
    <t>513026484-00000000011309-11312-000</t>
  </si>
  <si>
    <t>513026484-00000000011309-11335-000</t>
  </si>
  <si>
    <t>513026484-00000000000102-0009529</t>
  </si>
  <si>
    <t>513026484-00000000000102-0000961</t>
  </si>
  <si>
    <t>513026484-00000000000399-0009528</t>
  </si>
  <si>
    <t>513026484-00000000000399-0000964</t>
  </si>
  <si>
    <t>513026484-00000000000399-0000968</t>
  </si>
  <si>
    <t>513026484-00000000000399-8629-000</t>
  </si>
  <si>
    <t>513026484-00000000000399-8630-000</t>
  </si>
  <si>
    <t>513026484-00000000000102-8626-000</t>
  </si>
  <si>
    <t>סיום מידע טבלה צד שמאל</t>
  </si>
  <si>
    <t xml:space="preserve">סיום מידע טבלה </t>
  </si>
  <si>
    <t xml:space="preserve">תחילת מידע טבלה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</si>
</sst>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mm/yyyy"/>
    <numFmt numFmtId="165" formatCode="[$-10409]#,##0;\(#,##0\)"/>
    <numFmt numFmtId="166" formatCode="_ * #,##0.000_ ;_ * \-#,##0.000_ ;_ * &quot;-&quot;??_ ;_ @_ "/>
    <numFmt numFmtId="167" formatCode="0.00000"/>
    <numFmt numFmtId="168" formatCode="_ * #,##0.0000_ ;_ * \-#,##0.0000_ ;_ * &quot;-&quot;??_ ;_ @_ 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indexed="10"/>
      <name val="Arial"/>
      <family val="2"/>
    </font>
    <font>
      <b/>
      <sz val="12"/>
      <color indexed="12"/>
      <name val="David"/>
      <family val="2"/>
      <charset val="177"/>
    </font>
    <font>
      <b/>
      <u/>
      <sz val="12"/>
      <color indexed="12"/>
      <name val="David"/>
      <family val="2"/>
      <charset val="177"/>
    </font>
    <font>
      <b/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10"/>
      <color indexed="12"/>
      <name val="Arial"/>
      <family val="2"/>
    </font>
    <font>
      <sz val="11"/>
      <color indexed="8"/>
      <name val="Arial"/>
      <family val="2"/>
      <charset val="177"/>
    </font>
    <font>
      <sz val="11"/>
      <color theme="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2">
    <xf numFmtId="0" fontId="0" fillId="0" borderId="0" xfId="0"/>
    <xf numFmtId="0" fontId="0" fillId="2" borderId="0" xfId="0" applyFill="1" applyAlignment="1">
      <alignment horizontal="right"/>
    </xf>
    <xf numFmtId="164" fontId="2" fillId="0" borderId="0" xfId="0" applyNumberFormat="1" applyFont="1"/>
    <xf numFmtId="164" fontId="2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3" fontId="0" fillId="0" borderId="0" xfId="1" applyFont="1"/>
    <xf numFmtId="0" fontId="5" fillId="3" borderId="1" xfId="0" applyFont="1" applyFill="1" applyBorder="1"/>
    <xf numFmtId="1" fontId="5" fillId="0" borderId="2" xfId="1" applyNumberFormat="1" applyFont="1" applyBorder="1" applyAlignment="1" applyProtection="1">
      <alignment horizontal="center"/>
      <protection locked="0"/>
    </xf>
    <xf numFmtId="0" fontId="0" fillId="3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3" borderId="1" xfId="0" applyFill="1" applyBorder="1"/>
    <xf numFmtId="165" fontId="0" fillId="3" borderId="1" xfId="3" applyNumberFormat="1" applyFont="1" applyFill="1" applyBorder="1" applyAlignment="1">
      <alignment horizontal="right" readingOrder="2"/>
    </xf>
    <xf numFmtId="0" fontId="7" fillId="0" borderId="0" xfId="0" applyFont="1"/>
    <xf numFmtId="166" fontId="0" fillId="0" borderId="0" xfId="0" applyNumberFormat="1"/>
    <xf numFmtId="167" fontId="0" fillId="0" borderId="0" xfId="0" applyNumberFormat="1"/>
    <xf numFmtId="168" fontId="0" fillId="0" borderId="0" xfId="1" applyNumberFormat="1" applyFont="1"/>
    <xf numFmtId="0" fontId="8" fillId="0" borderId="0" xfId="0" applyFont="1"/>
    <xf numFmtId="10" fontId="9" fillId="0" borderId="0" xfId="2" applyNumberFormat="1" applyFont="1"/>
    <xf numFmtId="0" fontId="10" fillId="0" borderId="0" xfId="0" applyFont="1" applyAlignment="1">
      <alignment horizontal="center"/>
    </xf>
  </cellXfs>
  <cellStyles count="4">
    <cellStyle name="Comma" xfId="1" builtinId="3"/>
    <cellStyle name="Normal" xfId="0" builtinId="0"/>
    <cellStyle name="Normal_מסלולים 1.4.19" xfId="3" xr:uid="{00000000-0005-0000-0000-000002000000}"/>
    <cellStyle name="Percent" xfId="2" builtinId="5"/>
  </cellStyles>
  <dxfs count="4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3</xdr:row>
      <xdr:rowOff>0</xdr:rowOff>
    </xdr:from>
    <xdr:to>
      <xdr:col>3</xdr:col>
      <xdr:colOff>257175</xdr:colOff>
      <xdr:row>6</xdr:row>
      <xdr:rowOff>31623</xdr:rowOff>
    </xdr:to>
    <xdr:sp macro="[1]!Module1.מאקרו1" textlink="">
      <xdr:nvSpPr>
        <xdr:cNvPr id="2" name="הסבר מלבני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278076250" y="0"/>
          <a:ext cx="914400" cy="612648"/>
        </a:xfrm>
        <a:prstGeom prst="wedgeRect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r>
            <a:rPr lang="he-IL" sz="1200" b="1">
              <a:solidFill>
                <a:srgbClr val="FF0000"/>
              </a:solidFill>
            </a:rPr>
            <a:t>אוצר לאתר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426721</xdr:colOff>
      <xdr:row>2</xdr:row>
      <xdr:rowOff>34086</xdr:rowOff>
    </xdr:to>
    <xdr:pic>
      <xdr:nvPicPr>
        <xdr:cNvPr id="4" name="תמונה 3" descr="קוֹבֶץ זֶה הוּנְגַּש עַל יְדֵי חברת אֵיְי טוּ זִי - סֶמֶל  הַנגישוּת ">
          <a:extLst>
            <a:ext uri="{FF2B5EF4-FFF2-40B4-BE49-F238E27FC236}">
              <a16:creationId xmlns:a16="http://schemas.microsoft.com/office/drawing/2014/main" id="{0A3D4A0F-A2D8-4465-AA4F-DC4AEA919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5426339" y="0"/>
          <a:ext cx="426721" cy="3846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EMEL\QPRO\KOPEL\&#1502;&#1511;&#1512;&#1493;\&#1488;&#1493;&#1510;&#1512;%20&#1500;&#1488;&#1514;&#1512;%20&#1502;&#1511;&#1512;&#1493;%20&#1513;&#1512;&#1493;&#1503;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גיליון254"/>
      <sheetName val="גיליון256"/>
      <sheetName val="גיליון258"/>
      <sheetName val="גיליון260"/>
      <sheetName val="גיליון262"/>
      <sheetName val="גיליון264"/>
      <sheetName val="אוצר לאתר דש"/>
      <sheetName val="אוצר לאתר כולם חוץ מדש"/>
      <sheetName val="אוצר לאתר מור"/>
      <sheetName val="אוצר לאתר חני חנמ חנא"/>
      <sheetName val="אוצר לאתר מור (2)"/>
      <sheetName val="אוצר לאתר מקרו שרון"/>
    </sheetNames>
    <definedNames>
      <definedName name="Module1.מאקרו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J362"/>
  <sheetViews>
    <sheetView rightToLeft="1" tabSelected="1" workbookViewId="0">
      <selection activeCell="C1" sqref="C1"/>
    </sheetView>
  </sheetViews>
  <sheetFormatPr defaultRowHeight="13.8" x14ac:dyDescent="0.25"/>
  <cols>
    <col min="6" max="6" width="18.5" customWidth="1"/>
  </cols>
  <sheetData>
    <row r="3" spans="1:62" x14ac:dyDescent="0.25">
      <c r="A3" s="21" t="s">
        <v>696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 t="s">
        <v>694</v>
      </c>
    </row>
    <row r="4" spans="1:62" ht="15.6" x14ac:dyDescent="0.3">
      <c r="A4" s="1"/>
      <c r="B4" s="2"/>
      <c r="C4" s="2"/>
      <c r="D4" s="2"/>
      <c r="E4">
        <v>6</v>
      </c>
      <c r="F4">
        <v>10</v>
      </c>
      <c r="G4">
        <v>30</v>
      </c>
      <c r="H4">
        <v>50</v>
      </c>
      <c r="I4">
        <v>93</v>
      </c>
      <c r="J4">
        <v>99</v>
      </c>
      <c r="K4">
        <v>102</v>
      </c>
      <c r="L4">
        <v>122</v>
      </c>
      <c r="M4">
        <v>142</v>
      </c>
      <c r="N4">
        <v>164</v>
      </c>
      <c r="O4">
        <v>167</v>
      </c>
      <c r="P4">
        <v>169</v>
      </c>
      <c r="Q4">
        <v>425</v>
      </c>
      <c r="R4">
        <v>426</v>
      </c>
      <c r="S4">
        <v>499</v>
      </c>
      <c r="T4">
        <v>519</v>
      </c>
      <c r="U4">
        <v>526</v>
      </c>
      <c r="V4">
        <v>570</v>
      </c>
      <c r="W4">
        <v>571</v>
      </c>
      <c r="X4">
        <v>572</v>
      </c>
      <c r="Y4">
        <v>573</v>
      </c>
      <c r="Z4">
        <v>574</v>
      </c>
      <c r="AA4">
        <v>628</v>
      </c>
      <c r="AB4">
        <v>629</v>
      </c>
      <c r="AC4">
        <v>631</v>
      </c>
      <c r="AD4">
        <v>632</v>
      </c>
      <c r="AE4">
        <v>658</v>
      </c>
      <c r="AF4">
        <v>660</v>
      </c>
      <c r="AG4">
        <v>662</v>
      </c>
      <c r="AH4">
        <v>664</v>
      </c>
      <c r="AI4">
        <v>666</v>
      </c>
      <c r="AJ4">
        <v>726</v>
      </c>
      <c r="AK4">
        <v>737</v>
      </c>
      <c r="AL4">
        <v>827</v>
      </c>
      <c r="AM4">
        <v>575</v>
      </c>
      <c r="AN4">
        <v>576</v>
      </c>
      <c r="AO4">
        <v>359</v>
      </c>
      <c r="AP4" s="9">
        <v>828</v>
      </c>
      <c r="AQ4" s="9">
        <v>844</v>
      </c>
      <c r="AR4" s="9">
        <v>839</v>
      </c>
      <c r="AS4" s="9">
        <v>857</v>
      </c>
      <c r="AT4" s="9">
        <v>851</v>
      </c>
      <c r="AU4" s="9">
        <v>849</v>
      </c>
      <c r="AV4" s="9">
        <v>846</v>
      </c>
      <c r="AW4" s="9">
        <v>834</v>
      </c>
      <c r="AX4" s="9">
        <v>506</v>
      </c>
      <c r="AY4" s="9">
        <v>521</v>
      </c>
      <c r="AZ4" s="9">
        <v>522</v>
      </c>
      <c r="BA4" s="9">
        <v>528</v>
      </c>
      <c r="BB4" s="9">
        <v>548</v>
      </c>
      <c r="BC4" s="9">
        <v>551</v>
      </c>
      <c r="BD4" s="9">
        <v>555</v>
      </c>
      <c r="BE4" s="9">
        <v>558</v>
      </c>
      <c r="BF4" s="9">
        <v>558</v>
      </c>
      <c r="BG4" s="9">
        <v>578</v>
      </c>
      <c r="BH4" s="9">
        <v>580</v>
      </c>
      <c r="BI4" s="9">
        <v>577</v>
      </c>
      <c r="BJ4" s="21"/>
    </row>
    <row r="5" spans="1:62" x14ac:dyDescent="0.25">
      <c r="E5" s="10">
        <v>401</v>
      </c>
      <c r="F5" s="10">
        <v>242</v>
      </c>
      <c r="G5" s="10">
        <v>385</v>
      </c>
      <c r="H5" s="10">
        <v>528</v>
      </c>
      <c r="I5" s="10">
        <v>384</v>
      </c>
      <c r="J5" s="10">
        <v>716</v>
      </c>
      <c r="K5" s="10">
        <v>715</v>
      </c>
      <c r="L5" s="10">
        <v>9916</v>
      </c>
      <c r="M5" s="10">
        <v>1100</v>
      </c>
      <c r="N5" s="10">
        <v>801</v>
      </c>
      <c r="O5" s="10">
        <v>804</v>
      </c>
      <c r="P5" s="10">
        <v>806</v>
      </c>
      <c r="Q5" s="10">
        <v>8765</v>
      </c>
      <c r="R5" s="10">
        <v>8766</v>
      </c>
      <c r="S5" s="10">
        <v>9418</v>
      </c>
      <c r="T5" s="10">
        <v>9475</v>
      </c>
      <c r="U5" s="10">
        <v>9906</v>
      </c>
      <c r="V5" s="10">
        <v>7905</v>
      </c>
      <c r="W5" s="10">
        <v>7906</v>
      </c>
      <c r="X5" s="10">
        <v>7907</v>
      </c>
      <c r="Y5" s="10">
        <v>7908</v>
      </c>
      <c r="Z5" s="10">
        <v>7909</v>
      </c>
      <c r="AA5" s="10">
        <v>11310</v>
      </c>
      <c r="AB5" s="10">
        <v>11311</v>
      </c>
      <c r="AC5" s="10">
        <v>11312</v>
      </c>
      <c r="AD5" s="10">
        <v>11335</v>
      </c>
      <c r="AE5" s="10">
        <v>9529</v>
      </c>
      <c r="AF5" s="10">
        <v>961</v>
      </c>
      <c r="AG5" s="10">
        <v>9528</v>
      </c>
      <c r="AH5" s="10">
        <v>964</v>
      </c>
      <c r="AI5" s="10">
        <v>968</v>
      </c>
      <c r="AJ5" s="10">
        <v>8629</v>
      </c>
      <c r="AK5" s="10">
        <v>13264</v>
      </c>
      <c r="AL5" s="10">
        <v>13263</v>
      </c>
      <c r="AM5" s="10">
        <v>13209</v>
      </c>
      <c r="AN5" s="10">
        <v>13250</v>
      </c>
      <c r="AO5" s="10">
        <v>14281</v>
      </c>
      <c r="AP5" s="11">
        <v>2049</v>
      </c>
      <c r="AQ5" s="12">
        <v>7975</v>
      </c>
      <c r="AR5" s="12">
        <v>8004</v>
      </c>
      <c r="AS5" s="11">
        <v>1008</v>
      </c>
      <c r="AT5" s="11">
        <v>9484</v>
      </c>
      <c r="AU5" s="11">
        <v>682</v>
      </c>
      <c r="AV5" s="11">
        <v>11352</v>
      </c>
      <c r="AW5" s="11">
        <v>2058</v>
      </c>
      <c r="AX5" s="11">
        <v>15007</v>
      </c>
      <c r="AY5" s="11">
        <v>15208</v>
      </c>
      <c r="AZ5" s="11">
        <v>15209</v>
      </c>
      <c r="BA5" s="11">
        <v>15210</v>
      </c>
      <c r="BB5" s="11">
        <v>15211</v>
      </c>
      <c r="BC5" s="11">
        <v>15212</v>
      </c>
      <c r="BD5" s="11">
        <v>15232</v>
      </c>
      <c r="BE5" s="11">
        <v>15214</v>
      </c>
      <c r="BF5" s="11">
        <v>15214</v>
      </c>
      <c r="BG5" s="11">
        <v>15233</v>
      </c>
      <c r="BH5" s="11">
        <v>15234</v>
      </c>
      <c r="BI5" s="11">
        <v>15215</v>
      </c>
      <c r="BJ5" s="21"/>
    </row>
    <row r="6" spans="1:62" ht="15.6" x14ac:dyDescent="0.3">
      <c r="A6" s="3">
        <v>45717</v>
      </c>
      <c r="B6" s="2"/>
      <c r="C6" s="2"/>
      <c r="D6" s="2"/>
      <c r="E6" t="s">
        <v>614</v>
      </c>
      <c r="F6" t="s">
        <v>615</v>
      </c>
      <c r="G6" t="s">
        <v>616</v>
      </c>
      <c r="H6" t="s">
        <v>617</v>
      </c>
      <c r="I6" t="s">
        <v>618</v>
      </c>
      <c r="J6" t="s">
        <v>619</v>
      </c>
      <c r="K6" t="s">
        <v>620</v>
      </c>
      <c r="L6" t="s">
        <v>621</v>
      </c>
      <c r="M6" t="s">
        <v>622</v>
      </c>
      <c r="N6" t="s">
        <v>623</v>
      </c>
      <c r="O6" t="s">
        <v>624</v>
      </c>
      <c r="P6" t="s">
        <v>625</v>
      </c>
      <c r="Q6" t="s">
        <v>626</v>
      </c>
      <c r="R6" t="s">
        <v>627</v>
      </c>
      <c r="S6" t="s">
        <v>628</v>
      </c>
      <c r="T6" t="s">
        <v>629</v>
      </c>
      <c r="U6" t="s">
        <v>630</v>
      </c>
      <c r="V6" t="s">
        <v>631</v>
      </c>
      <c r="W6" t="s">
        <v>632</v>
      </c>
      <c r="X6" t="s">
        <v>633</v>
      </c>
      <c r="Y6" t="s">
        <v>634</v>
      </c>
      <c r="Z6" t="s">
        <v>635</v>
      </c>
      <c r="AA6" t="s">
        <v>636</v>
      </c>
      <c r="AB6" t="s">
        <v>637</v>
      </c>
      <c r="AC6" t="s">
        <v>638</v>
      </c>
      <c r="AD6" t="s">
        <v>639</v>
      </c>
      <c r="AE6" t="s">
        <v>640</v>
      </c>
      <c r="AF6" t="s">
        <v>641</v>
      </c>
      <c r="AG6" t="s">
        <v>642</v>
      </c>
      <c r="AH6" t="s">
        <v>643</v>
      </c>
      <c r="AI6" t="s">
        <v>644</v>
      </c>
      <c r="AJ6" t="s">
        <v>645</v>
      </c>
      <c r="AK6" t="s">
        <v>646</v>
      </c>
      <c r="AL6" t="s">
        <v>647</v>
      </c>
      <c r="AM6" t="s">
        <v>648</v>
      </c>
      <c r="AN6" t="s">
        <v>649</v>
      </c>
      <c r="AO6" t="s">
        <v>650</v>
      </c>
      <c r="AP6" s="13" t="s">
        <v>651</v>
      </c>
      <c r="AQ6" s="14" t="s">
        <v>652</v>
      </c>
      <c r="AR6" s="13" t="s">
        <v>653</v>
      </c>
      <c r="AS6" s="13" t="s">
        <v>654</v>
      </c>
      <c r="AT6" s="13" t="s">
        <v>655</v>
      </c>
      <c r="AU6" s="13" t="s">
        <v>656</v>
      </c>
      <c r="AV6" s="13" t="s">
        <v>657</v>
      </c>
      <c r="AW6" s="13" t="s">
        <v>658</v>
      </c>
      <c r="AX6" s="13" t="s">
        <v>659</v>
      </c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21"/>
    </row>
    <row r="7" spans="1:62" ht="15.6" x14ac:dyDescent="0.3">
      <c r="A7" s="4"/>
      <c r="B7" s="5"/>
      <c r="C7" s="5"/>
      <c r="D7" s="6" t="s">
        <v>0</v>
      </c>
      <c r="E7" s="15" t="s">
        <v>660</v>
      </c>
      <c r="F7" s="15" t="s">
        <v>661</v>
      </c>
      <c r="G7" s="15" t="s">
        <v>662</v>
      </c>
      <c r="H7" s="15" t="s">
        <v>663</v>
      </c>
      <c r="I7" s="15" t="s">
        <v>664</v>
      </c>
      <c r="J7" s="15" t="s">
        <v>665</v>
      </c>
      <c r="K7" s="15" t="s">
        <v>666</v>
      </c>
      <c r="L7" s="15" t="s">
        <v>667</v>
      </c>
      <c r="M7" s="15" t="s">
        <v>668</v>
      </c>
      <c r="N7" s="15" t="s">
        <v>669</v>
      </c>
      <c r="O7" s="15" t="s">
        <v>670</v>
      </c>
      <c r="P7" s="15" t="s">
        <v>671</v>
      </c>
      <c r="Q7" s="15" t="s">
        <v>672</v>
      </c>
      <c r="R7" s="15" t="s">
        <v>673</v>
      </c>
      <c r="S7" s="15" t="s">
        <v>674</v>
      </c>
      <c r="T7" s="15" t="s">
        <v>675</v>
      </c>
      <c r="U7" s="15" t="s">
        <v>676</v>
      </c>
      <c r="V7" s="15" t="s">
        <v>677</v>
      </c>
      <c r="W7" s="15" t="s">
        <v>678</v>
      </c>
      <c r="X7" s="15" t="s">
        <v>679</v>
      </c>
      <c r="Y7" s="15" t="s">
        <v>680</v>
      </c>
      <c r="Z7" s="15" t="s">
        <v>681</v>
      </c>
      <c r="AA7" s="15" t="s">
        <v>682</v>
      </c>
      <c r="AB7" s="15" t="s">
        <v>683</v>
      </c>
      <c r="AC7" s="15" t="s">
        <v>684</v>
      </c>
      <c r="AD7" s="15" t="s">
        <v>685</v>
      </c>
      <c r="AE7" s="15" t="s">
        <v>686</v>
      </c>
      <c r="AF7" s="15" t="s">
        <v>687</v>
      </c>
      <c r="AG7" s="15" t="s">
        <v>688</v>
      </c>
      <c r="AH7" s="15" t="s">
        <v>689</v>
      </c>
      <c r="AI7" s="15" t="s">
        <v>690</v>
      </c>
      <c r="AJ7" s="15" t="s">
        <v>691</v>
      </c>
      <c r="AK7" s="15" t="s">
        <v>692</v>
      </c>
      <c r="AL7" s="15" t="s">
        <v>693</v>
      </c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21"/>
    </row>
    <row r="8" spans="1:62" ht="15.6" x14ac:dyDescent="0.3">
      <c r="A8" s="5" t="s">
        <v>1</v>
      </c>
      <c r="B8" s="5" t="s">
        <v>2</v>
      </c>
      <c r="C8" s="7">
        <v>1</v>
      </c>
      <c r="D8" s="7">
        <v>1</v>
      </c>
      <c r="E8" s="7">
        <v>123093.25599999999</v>
      </c>
      <c r="F8" s="7">
        <v>14600.944</v>
      </c>
      <c r="G8" s="7">
        <v>20383.866000000002</v>
      </c>
      <c r="H8" s="7">
        <v>15.263</v>
      </c>
      <c r="I8" s="7">
        <v>2535.692</v>
      </c>
      <c r="J8" s="7">
        <v>13395.172</v>
      </c>
      <c r="K8" s="7">
        <v>18668.677</v>
      </c>
      <c r="L8" s="7">
        <v>104184.32000000001</v>
      </c>
      <c r="M8" s="7">
        <v>46290.184000000001</v>
      </c>
      <c r="N8" s="7">
        <v>3.028</v>
      </c>
      <c r="O8" s="7">
        <v>1680.8050000000001</v>
      </c>
      <c r="P8" s="7">
        <v>84.367999999999995</v>
      </c>
      <c r="Q8" s="7">
        <v>1075.7739999999999</v>
      </c>
      <c r="R8" s="7">
        <v>542.43899999999996</v>
      </c>
      <c r="S8" s="7">
        <v>4299.4989999999998</v>
      </c>
      <c r="T8" s="7">
        <v>2.169</v>
      </c>
      <c r="U8" s="7">
        <v>13735.23</v>
      </c>
      <c r="V8" s="7">
        <v>1816.6890000000001</v>
      </c>
      <c r="W8" s="7">
        <v>4431.8450000000003</v>
      </c>
      <c r="X8" s="7">
        <v>14176.582</v>
      </c>
      <c r="Y8" s="7">
        <v>30067.123</v>
      </c>
      <c r="Z8" s="7">
        <v>15553.550999999999</v>
      </c>
      <c r="AA8" s="7">
        <v>25196.608</v>
      </c>
      <c r="AB8" s="7">
        <v>38927.08</v>
      </c>
      <c r="AC8" s="7">
        <v>2809.9459999999999</v>
      </c>
      <c r="AD8" s="7">
        <v>4366.5630000000001</v>
      </c>
      <c r="AE8" s="7">
        <v>86717.941999999995</v>
      </c>
      <c r="AF8" s="7">
        <v>13831.764999999999</v>
      </c>
      <c r="AG8" s="7">
        <v>20675.48</v>
      </c>
      <c r="AH8" s="7">
        <v>225572.42600000001</v>
      </c>
      <c r="AI8" s="7">
        <v>22063.465</v>
      </c>
      <c r="AJ8" s="7">
        <v>76553.019</v>
      </c>
      <c r="AK8" s="7">
        <v>97912.644</v>
      </c>
      <c r="AL8" s="7">
        <v>55036.976999999999</v>
      </c>
      <c r="AM8" s="7">
        <v>3103.4690000000001</v>
      </c>
      <c r="AN8" s="7">
        <v>35077.447</v>
      </c>
      <c r="AO8" s="7">
        <v>1692.789</v>
      </c>
      <c r="AP8" s="7">
        <v>2201.2669999999998</v>
      </c>
      <c r="AQ8" s="7">
        <v>11030.254000000001</v>
      </c>
      <c r="AR8" s="7">
        <v>700.70699999999999</v>
      </c>
      <c r="AS8" s="7">
        <v>65.150999999999996</v>
      </c>
      <c r="AT8" s="7">
        <v>0</v>
      </c>
      <c r="AU8" s="7">
        <v>5763.433</v>
      </c>
      <c r="AV8" s="7">
        <v>2532.136</v>
      </c>
      <c r="AW8" s="7">
        <v>2583.587</v>
      </c>
      <c r="AX8" s="7">
        <v>13461.474</v>
      </c>
      <c r="AY8" s="7">
        <v>1569.731</v>
      </c>
      <c r="AZ8" s="7">
        <v>13858.003000000001</v>
      </c>
      <c r="BA8" s="7">
        <v>14144.017</v>
      </c>
      <c r="BB8" s="7">
        <v>1662.404</v>
      </c>
      <c r="BC8" s="7">
        <v>942.43600000000004</v>
      </c>
      <c r="BD8" s="7">
        <v>9607.4069999999992</v>
      </c>
      <c r="BE8" s="7">
        <v>253.54</v>
      </c>
      <c r="BF8" s="7">
        <v>253.54</v>
      </c>
      <c r="BG8" s="7">
        <v>1693.2329999999999</v>
      </c>
      <c r="BH8" s="7">
        <v>61012.303999999996</v>
      </c>
      <c r="BI8" s="7">
        <v>633.84</v>
      </c>
      <c r="BJ8" s="21"/>
    </row>
    <row r="9" spans="1:62" ht="15.6" x14ac:dyDescent="0.3">
      <c r="A9" s="5" t="s">
        <v>3</v>
      </c>
      <c r="B9" s="5" t="s">
        <v>4</v>
      </c>
      <c r="C9" s="7">
        <v>1</v>
      </c>
      <c r="D9" s="7">
        <v>1</v>
      </c>
      <c r="E9" s="7">
        <v>85833.653999999995</v>
      </c>
      <c r="F9" s="7">
        <v>20140.005000000001</v>
      </c>
      <c r="G9" s="7">
        <v>6523.268</v>
      </c>
      <c r="H9" s="7">
        <v>3.7679999999999998</v>
      </c>
      <c r="I9" s="7">
        <v>3644.8009999999999</v>
      </c>
      <c r="J9" s="7">
        <v>4423.0349999999999</v>
      </c>
      <c r="K9" s="7">
        <v>0</v>
      </c>
      <c r="L9" s="7">
        <v>178285.027</v>
      </c>
      <c r="M9" s="7">
        <v>18801.078000000001</v>
      </c>
      <c r="N9" s="7">
        <v>0</v>
      </c>
      <c r="O9" s="7">
        <v>244.04499999999999</v>
      </c>
      <c r="P9" s="7">
        <v>353.726</v>
      </c>
      <c r="Q9" s="7">
        <v>109.133</v>
      </c>
      <c r="R9" s="7">
        <v>211.09200000000001</v>
      </c>
      <c r="S9" s="7">
        <v>4653.0469999999996</v>
      </c>
      <c r="T9" s="7">
        <v>0</v>
      </c>
      <c r="U9" s="7">
        <v>0</v>
      </c>
      <c r="V9" s="7">
        <v>623.52099999999996</v>
      </c>
      <c r="W9" s="7">
        <v>2792.002</v>
      </c>
      <c r="X9" s="7">
        <v>514.19899999999996</v>
      </c>
      <c r="Y9" s="7">
        <v>31945.918000000001</v>
      </c>
      <c r="Z9" s="7">
        <v>3587.9589999999998</v>
      </c>
      <c r="AA9" s="7">
        <v>7359.5510000000004</v>
      </c>
      <c r="AB9" s="7">
        <v>5340.1639999999998</v>
      </c>
      <c r="AC9" s="7">
        <v>3047.0639999999999</v>
      </c>
      <c r="AD9" s="7">
        <v>564.39</v>
      </c>
      <c r="AE9" s="7">
        <v>83165.717999999993</v>
      </c>
      <c r="AF9" s="7">
        <v>32552.12</v>
      </c>
      <c r="AG9" s="7">
        <v>3000.5610000000001</v>
      </c>
      <c r="AH9" s="7">
        <v>276113.83</v>
      </c>
      <c r="AI9" s="7">
        <v>52976.097999999998</v>
      </c>
      <c r="AJ9" s="7">
        <v>17550.984</v>
      </c>
      <c r="AK9" s="7">
        <v>-31014.129000000001</v>
      </c>
      <c r="AL9" s="7">
        <v>-19234.138999999999</v>
      </c>
      <c r="AM9" s="7">
        <v>0</v>
      </c>
      <c r="AN9" s="7">
        <v>-12554.152</v>
      </c>
      <c r="AO9" s="7">
        <v>1983.3130000000001</v>
      </c>
      <c r="AP9" s="7">
        <v>4278.5630000000001</v>
      </c>
      <c r="AQ9" s="7">
        <v>11825.616</v>
      </c>
      <c r="AR9" s="7">
        <v>1860.41</v>
      </c>
      <c r="AS9" s="7">
        <v>168.72</v>
      </c>
      <c r="AT9" s="7">
        <v>0</v>
      </c>
      <c r="AU9" s="7">
        <v>2846.3490000000002</v>
      </c>
      <c r="AV9" s="7">
        <v>4281.9399999999996</v>
      </c>
      <c r="AW9" s="7">
        <v>6155.6909999999998</v>
      </c>
      <c r="AX9" s="7">
        <v>433.81099999999998</v>
      </c>
      <c r="AY9" s="7">
        <v>256.024</v>
      </c>
      <c r="AZ9" s="7">
        <v>511.41399999999999</v>
      </c>
      <c r="BA9" s="7">
        <v>296.13499999999999</v>
      </c>
      <c r="BB9" s="7">
        <v>629.94000000000005</v>
      </c>
      <c r="BC9" s="7">
        <v>220.732</v>
      </c>
      <c r="BD9" s="7">
        <v>618.40700000000004</v>
      </c>
      <c r="BE9" s="7">
        <v>166.47200000000001</v>
      </c>
      <c r="BF9" s="7">
        <v>166.47200000000001</v>
      </c>
      <c r="BG9" s="7">
        <v>203.185</v>
      </c>
      <c r="BH9" s="7">
        <v>12976.425999999999</v>
      </c>
      <c r="BI9" s="7">
        <v>33.69</v>
      </c>
      <c r="BJ9" s="21"/>
    </row>
    <row r="10" spans="1:62" ht="15.6" x14ac:dyDescent="0.3">
      <c r="A10" s="5" t="s">
        <v>5</v>
      </c>
      <c r="B10" s="5" t="s">
        <v>6</v>
      </c>
      <c r="C10" s="7">
        <v>1</v>
      </c>
      <c r="D10" s="7">
        <v>1</v>
      </c>
      <c r="E10" s="7">
        <v>110074.572</v>
      </c>
      <c r="F10" s="7">
        <v>10449.963</v>
      </c>
      <c r="G10" s="7">
        <v>5882.0820000000003</v>
      </c>
      <c r="H10" s="7">
        <v>2286.5070000000001</v>
      </c>
      <c r="I10" s="7">
        <v>867.97699999999998</v>
      </c>
      <c r="J10" s="7">
        <v>9062.0300000000007</v>
      </c>
      <c r="K10" s="7">
        <v>1953.7380000000001</v>
      </c>
      <c r="L10" s="7">
        <v>109655.152</v>
      </c>
      <c r="M10" s="7">
        <v>9965.5830000000005</v>
      </c>
      <c r="N10" s="7">
        <v>479.85500000000002</v>
      </c>
      <c r="O10" s="7">
        <v>634.86699999999996</v>
      </c>
      <c r="P10" s="7">
        <v>201.90600000000001</v>
      </c>
      <c r="Q10" s="7">
        <v>247.22</v>
      </c>
      <c r="R10" s="7">
        <v>450.66</v>
      </c>
      <c r="S10" s="7">
        <v>2611.2269999999999</v>
      </c>
      <c r="T10" s="7">
        <v>43.872</v>
      </c>
      <c r="U10" s="7">
        <v>2778.991</v>
      </c>
      <c r="V10" s="7">
        <v>2327.2600000000002</v>
      </c>
      <c r="W10" s="7">
        <v>2550.0720000000001</v>
      </c>
      <c r="X10" s="7">
        <v>4158.1890000000003</v>
      </c>
      <c r="Y10" s="7">
        <v>23914.241999999998</v>
      </c>
      <c r="Z10" s="7">
        <v>7922.7030000000004</v>
      </c>
      <c r="AA10" s="7">
        <v>45753.940999999999</v>
      </c>
      <c r="AB10" s="7">
        <v>15680.38</v>
      </c>
      <c r="AC10" s="7">
        <v>1974.692</v>
      </c>
      <c r="AD10" s="7">
        <v>2551.1080000000002</v>
      </c>
      <c r="AE10" s="7">
        <v>90359.360000000001</v>
      </c>
      <c r="AF10" s="7">
        <v>28839.184000000001</v>
      </c>
      <c r="AG10" s="7">
        <v>12988.802</v>
      </c>
      <c r="AH10" s="7">
        <v>220340.86199999999</v>
      </c>
      <c r="AI10" s="7">
        <v>45335.644</v>
      </c>
      <c r="AJ10" s="7">
        <v>39561.86</v>
      </c>
      <c r="AK10" s="7">
        <v>130918.374</v>
      </c>
      <c r="AL10" s="7">
        <v>78977.692999999999</v>
      </c>
      <c r="AM10" s="7">
        <v>841.91200000000003</v>
      </c>
      <c r="AN10" s="7">
        <v>47914.565999999999</v>
      </c>
      <c r="AO10" s="7">
        <v>2260.9450000000002</v>
      </c>
      <c r="AP10" s="7">
        <v>0</v>
      </c>
      <c r="AQ10" s="7">
        <v>4506.6809999999996</v>
      </c>
      <c r="AR10" s="7">
        <v>0</v>
      </c>
      <c r="AS10" s="7">
        <v>15.491</v>
      </c>
      <c r="AT10" s="7">
        <v>0</v>
      </c>
      <c r="AU10" s="7">
        <v>118.167</v>
      </c>
      <c r="AV10" s="7">
        <v>0</v>
      </c>
      <c r="AW10" s="7">
        <v>0</v>
      </c>
      <c r="AX10" s="7">
        <v>9435.6830000000009</v>
      </c>
      <c r="AY10" s="7">
        <v>82.724999999999994</v>
      </c>
      <c r="AZ10" s="7">
        <v>667.09500000000003</v>
      </c>
      <c r="BA10" s="7">
        <v>0</v>
      </c>
      <c r="BB10" s="7">
        <v>333.935</v>
      </c>
      <c r="BC10" s="7">
        <v>35.348999999999997</v>
      </c>
      <c r="BD10" s="7">
        <v>804.80499999999995</v>
      </c>
      <c r="BE10" s="7">
        <v>78.989999999999995</v>
      </c>
      <c r="BF10" s="7">
        <v>78.989999999999995</v>
      </c>
      <c r="BG10" s="7">
        <v>264.221</v>
      </c>
      <c r="BH10" s="7">
        <v>21562.344000000001</v>
      </c>
      <c r="BI10" s="7">
        <v>15.073</v>
      </c>
      <c r="BJ10" s="21"/>
    </row>
    <row r="11" spans="1:62" ht="15.6" x14ac:dyDescent="0.3">
      <c r="A11" s="5" t="s">
        <v>7</v>
      </c>
      <c r="B11" s="5" t="s">
        <v>8</v>
      </c>
      <c r="C11" s="7">
        <v>1</v>
      </c>
      <c r="D11" s="7">
        <v>1</v>
      </c>
      <c r="E11" s="7">
        <v>407027.71100000001</v>
      </c>
      <c r="F11" s="7">
        <v>84519.455000000002</v>
      </c>
      <c r="G11" s="7">
        <v>0</v>
      </c>
      <c r="H11" s="7">
        <v>0</v>
      </c>
      <c r="I11" s="7">
        <v>2036.15</v>
      </c>
      <c r="J11" s="7">
        <v>0</v>
      </c>
      <c r="K11" s="7">
        <v>0</v>
      </c>
      <c r="L11" s="7">
        <v>993452.28099999996</v>
      </c>
      <c r="M11" s="7">
        <v>36316.055</v>
      </c>
      <c r="N11" s="7">
        <v>0</v>
      </c>
      <c r="O11" s="7">
        <v>6933.6480000000001</v>
      </c>
      <c r="P11" s="7">
        <v>0</v>
      </c>
      <c r="Q11" s="7">
        <v>4186.326</v>
      </c>
      <c r="R11" s="7">
        <v>604.87599999999998</v>
      </c>
      <c r="S11" s="7">
        <v>26229.478999999999</v>
      </c>
      <c r="T11" s="7">
        <v>0</v>
      </c>
      <c r="U11" s="7">
        <v>0</v>
      </c>
      <c r="V11" s="7">
        <v>0</v>
      </c>
      <c r="W11" s="7">
        <v>7290.2020000000002</v>
      </c>
      <c r="X11" s="7">
        <v>14102.324000000001</v>
      </c>
      <c r="Y11" s="7">
        <v>185796.54</v>
      </c>
      <c r="Z11" s="7">
        <v>43085.525000000001</v>
      </c>
      <c r="AA11" s="7">
        <v>553.875</v>
      </c>
      <c r="AB11" s="7">
        <v>200125.81400000001</v>
      </c>
      <c r="AC11" s="7">
        <v>15552.253000000001</v>
      </c>
      <c r="AD11" s="7">
        <v>9639.2029999999995</v>
      </c>
      <c r="AE11" s="7">
        <v>526711.93900000001</v>
      </c>
      <c r="AF11" s="7">
        <v>240462.70800000001</v>
      </c>
      <c r="AG11" s="7">
        <v>50498.286999999997</v>
      </c>
      <c r="AH11" s="7">
        <v>1611217.3060000001</v>
      </c>
      <c r="AI11" s="7">
        <v>391730.31900000002</v>
      </c>
      <c r="AJ11" s="7">
        <v>217564.33199999999</v>
      </c>
      <c r="AK11" s="7">
        <v>7165244.3059999999</v>
      </c>
      <c r="AL11" s="7">
        <v>4027505.4920000001</v>
      </c>
      <c r="AM11" s="7">
        <v>0</v>
      </c>
      <c r="AN11" s="7">
        <v>2567042.7519999999</v>
      </c>
      <c r="AO11" s="7">
        <v>11620.248</v>
      </c>
      <c r="AP11" s="7">
        <v>0</v>
      </c>
      <c r="AQ11" s="7">
        <v>85448.258000000002</v>
      </c>
      <c r="AR11" s="7">
        <v>0</v>
      </c>
      <c r="AS11" s="7">
        <v>277.07499999999999</v>
      </c>
      <c r="AT11" s="7">
        <v>0</v>
      </c>
      <c r="AU11" s="7">
        <v>1928.087</v>
      </c>
      <c r="AV11" s="7">
        <v>0</v>
      </c>
      <c r="AW11" s="7">
        <v>0</v>
      </c>
      <c r="AX11" s="7">
        <v>13393.798000000001</v>
      </c>
      <c r="AY11" s="7">
        <v>0</v>
      </c>
      <c r="AZ11" s="7">
        <v>0</v>
      </c>
      <c r="BA11" s="7">
        <v>9121.4809999999998</v>
      </c>
      <c r="BB11" s="7">
        <v>3958.848</v>
      </c>
      <c r="BC11" s="7">
        <v>0</v>
      </c>
      <c r="BD11" s="7">
        <v>0</v>
      </c>
      <c r="BE11" s="7">
        <v>958.35</v>
      </c>
      <c r="BF11" s="7">
        <v>958.35</v>
      </c>
      <c r="BG11" s="7">
        <v>0</v>
      </c>
      <c r="BH11" s="7">
        <v>152652.196</v>
      </c>
      <c r="BI11" s="7">
        <v>0</v>
      </c>
      <c r="BJ11" s="21"/>
    </row>
    <row r="12" spans="1:62" ht="15.6" x14ac:dyDescent="0.3">
      <c r="A12" s="5" t="s">
        <v>9</v>
      </c>
      <c r="B12" s="5" t="s">
        <v>10</v>
      </c>
      <c r="C12" s="7">
        <v>1</v>
      </c>
      <c r="D12" s="7">
        <v>1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21"/>
    </row>
    <row r="13" spans="1:62" ht="15.6" x14ac:dyDescent="0.3">
      <c r="A13" s="5" t="s">
        <v>11</v>
      </c>
      <c r="B13" s="5" t="s">
        <v>12</v>
      </c>
      <c r="C13" s="7">
        <v>1</v>
      </c>
      <c r="D13" s="7">
        <v>1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21"/>
    </row>
    <row r="14" spans="1:62" ht="15.6" x14ac:dyDescent="0.3">
      <c r="A14" s="5" t="s">
        <v>13</v>
      </c>
      <c r="B14" s="5" t="s">
        <v>14</v>
      </c>
      <c r="C14" s="7">
        <v>1</v>
      </c>
      <c r="D14" s="7">
        <v>1</v>
      </c>
      <c r="E14" s="7">
        <v>62303.832000000002</v>
      </c>
      <c r="F14" s="7">
        <v>10952.016</v>
      </c>
      <c r="G14" s="7">
        <v>3261.0239999999999</v>
      </c>
      <c r="H14" s="7">
        <v>0.27100000000000002</v>
      </c>
      <c r="I14" s="7">
        <v>759.93</v>
      </c>
      <c r="J14" s="7">
        <v>2867.46</v>
      </c>
      <c r="K14" s="7">
        <v>0</v>
      </c>
      <c r="L14" s="7">
        <v>105537.205</v>
      </c>
      <c r="M14" s="7">
        <v>15881.374</v>
      </c>
      <c r="N14" s="7">
        <v>0</v>
      </c>
      <c r="O14" s="7">
        <v>405.38099999999997</v>
      </c>
      <c r="P14" s="7">
        <v>56.198999999999998</v>
      </c>
      <c r="Q14" s="7">
        <v>165.65100000000001</v>
      </c>
      <c r="R14" s="7">
        <v>4.2809999999999997</v>
      </c>
      <c r="S14" s="7">
        <v>3581.7750000000001</v>
      </c>
      <c r="T14" s="7">
        <v>0</v>
      </c>
      <c r="U14" s="7">
        <v>0</v>
      </c>
      <c r="V14" s="7">
        <v>410.76900000000001</v>
      </c>
      <c r="W14" s="7">
        <v>1411.5229999999999</v>
      </c>
      <c r="X14" s="7">
        <v>2.5000000000000001E-2</v>
      </c>
      <c r="Y14" s="7">
        <v>23448.342000000001</v>
      </c>
      <c r="Z14" s="7">
        <v>1732.348</v>
      </c>
      <c r="AA14" s="7">
        <v>6426.0129999999999</v>
      </c>
      <c r="AB14" s="7">
        <v>9141.6849999999995</v>
      </c>
      <c r="AC14" s="7">
        <v>2022.779</v>
      </c>
      <c r="AD14" s="7">
        <v>397.21199999999999</v>
      </c>
      <c r="AE14" s="7">
        <v>57334.748</v>
      </c>
      <c r="AF14" s="7">
        <v>21095.076000000001</v>
      </c>
      <c r="AG14" s="7">
        <v>2698.4009999999998</v>
      </c>
      <c r="AH14" s="7">
        <v>198876.16</v>
      </c>
      <c r="AI14" s="7">
        <v>34852.654999999999</v>
      </c>
      <c r="AJ14" s="7">
        <v>8951.8610000000008</v>
      </c>
      <c r="AK14" s="7">
        <v>556252.995</v>
      </c>
      <c r="AL14" s="7">
        <v>312663.72700000001</v>
      </c>
      <c r="AM14" s="7">
        <v>0</v>
      </c>
      <c r="AN14" s="7">
        <v>199284.93100000001</v>
      </c>
      <c r="AO14" s="7">
        <v>1424.779</v>
      </c>
      <c r="AP14" s="7">
        <v>0</v>
      </c>
      <c r="AQ14" s="7">
        <v>7466.692</v>
      </c>
      <c r="AR14" s="7">
        <v>0</v>
      </c>
      <c r="AS14" s="7">
        <v>28.23</v>
      </c>
      <c r="AT14" s="7">
        <v>0</v>
      </c>
      <c r="AU14" s="7">
        <v>208.358</v>
      </c>
      <c r="AV14" s="7">
        <v>0</v>
      </c>
      <c r="AW14" s="7">
        <v>0</v>
      </c>
      <c r="AX14" s="7">
        <v>0</v>
      </c>
      <c r="AY14" s="7">
        <v>30.782</v>
      </c>
      <c r="AZ14" s="7">
        <v>46.991999999999997</v>
      </c>
      <c r="BA14" s="7">
        <v>0</v>
      </c>
      <c r="BB14" s="7">
        <v>483.613</v>
      </c>
      <c r="BC14" s="7">
        <v>21.707999999999998</v>
      </c>
      <c r="BD14" s="7">
        <v>56.692999999999998</v>
      </c>
      <c r="BE14" s="7">
        <v>117.258</v>
      </c>
      <c r="BF14" s="7">
        <v>117.258</v>
      </c>
      <c r="BG14" s="7">
        <v>18.611999999999998</v>
      </c>
      <c r="BH14" s="7">
        <v>6420.6390000000001</v>
      </c>
      <c r="BI14" s="7">
        <v>8.859</v>
      </c>
      <c r="BJ14" s="21"/>
    </row>
    <row r="15" spans="1:62" ht="15.6" x14ac:dyDescent="0.3">
      <c r="A15" s="5" t="s">
        <v>3</v>
      </c>
      <c r="B15" s="5" t="s">
        <v>15</v>
      </c>
      <c r="C15" s="7">
        <v>1</v>
      </c>
      <c r="D15" s="7">
        <v>1</v>
      </c>
      <c r="E15" s="7">
        <v>33.947000000000003</v>
      </c>
      <c r="F15" s="7">
        <v>4.6970000000000001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151.33199999999999</v>
      </c>
      <c r="M15" s="7">
        <v>11.231999999999999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10.368</v>
      </c>
      <c r="AF15" s="7">
        <v>1.5429999999999999</v>
      </c>
      <c r="AG15" s="7">
        <v>0</v>
      </c>
      <c r="AH15" s="7">
        <v>97.171000000000006</v>
      </c>
      <c r="AI15" s="7">
        <v>1.046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21"/>
    </row>
    <row r="16" spans="1:62" ht="15.6" x14ac:dyDescent="0.3">
      <c r="A16" s="5" t="s">
        <v>16</v>
      </c>
      <c r="B16" s="5" t="s">
        <v>17</v>
      </c>
      <c r="C16" s="7">
        <v>1</v>
      </c>
      <c r="D16" s="7">
        <v>1</v>
      </c>
      <c r="E16" s="7">
        <v>4123.1850000000004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3653.0810000000001</v>
      </c>
      <c r="M16" s="7">
        <v>-489.05399999999997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7387.491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21"/>
    </row>
    <row r="17" spans="1:62" ht="15.6" x14ac:dyDescent="0.3">
      <c r="A17" s="5" t="s">
        <v>18</v>
      </c>
      <c r="B17" s="5" t="s">
        <v>19</v>
      </c>
      <c r="C17" s="7">
        <v>2</v>
      </c>
      <c r="D17" s="7">
        <v>2</v>
      </c>
      <c r="E17" s="7">
        <v>1342180.679</v>
      </c>
      <c r="F17" s="7">
        <v>98036.649000000005</v>
      </c>
      <c r="G17" s="7">
        <v>247492.826</v>
      </c>
      <c r="H17" s="7">
        <v>0</v>
      </c>
      <c r="I17" s="7">
        <v>35913.428</v>
      </c>
      <c r="J17" s="7">
        <v>168655.587</v>
      </c>
      <c r="K17" s="7">
        <v>0</v>
      </c>
      <c r="L17" s="7">
        <v>363171.15399999998</v>
      </c>
      <c r="M17" s="7">
        <v>425142.07799999998</v>
      </c>
      <c r="N17" s="7">
        <v>0</v>
      </c>
      <c r="O17" s="7">
        <v>0</v>
      </c>
      <c r="P17" s="7">
        <v>15322.294</v>
      </c>
      <c r="Q17" s="7">
        <v>703.67</v>
      </c>
      <c r="R17" s="7">
        <v>1550.095</v>
      </c>
      <c r="S17" s="7">
        <v>30021.563999999998</v>
      </c>
      <c r="T17" s="7">
        <v>0</v>
      </c>
      <c r="U17" s="7">
        <v>0</v>
      </c>
      <c r="V17" s="7">
        <v>21360.691999999999</v>
      </c>
      <c r="W17" s="7">
        <v>33520.711000000003</v>
      </c>
      <c r="X17" s="7">
        <v>0</v>
      </c>
      <c r="Y17" s="7">
        <v>221736.033</v>
      </c>
      <c r="Z17" s="7">
        <v>0</v>
      </c>
      <c r="AA17" s="7">
        <v>392861.97700000001</v>
      </c>
      <c r="AB17" s="7">
        <v>0</v>
      </c>
      <c r="AC17" s="7">
        <v>13466.937</v>
      </c>
      <c r="AD17" s="7">
        <v>7311.7659999999996</v>
      </c>
      <c r="AE17" s="7">
        <v>503994.603</v>
      </c>
      <c r="AF17" s="7">
        <v>0</v>
      </c>
      <c r="AG17" s="7">
        <v>24625.929</v>
      </c>
      <c r="AH17" s="7">
        <v>1406703.9639999999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10598.715</v>
      </c>
      <c r="AP17" s="7">
        <v>0</v>
      </c>
      <c r="AQ17" s="7">
        <v>0</v>
      </c>
      <c r="AR17" s="7">
        <v>0</v>
      </c>
      <c r="AS17" s="7">
        <v>851.24900000000002</v>
      </c>
      <c r="AT17" s="7">
        <v>0</v>
      </c>
      <c r="AU17" s="7">
        <v>20098.420999999998</v>
      </c>
      <c r="AV17" s="7">
        <v>0</v>
      </c>
      <c r="AW17" s="7">
        <v>0</v>
      </c>
      <c r="AX17" s="7">
        <v>0</v>
      </c>
      <c r="AY17" s="7">
        <v>7200.2020000000002</v>
      </c>
      <c r="AZ17" s="7">
        <v>0</v>
      </c>
      <c r="BA17" s="7">
        <v>0</v>
      </c>
      <c r="BB17" s="7">
        <v>4044.0210000000002</v>
      </c>
      <c r="BC17" s="7">
        <v>4542.7950000000001</v>
      </c>
      <c r="BD17" s="7">
        <v>0</v>
      </c>
      <c r="BE17" s="7">
        <v>1211.1959999999999</v>
      </c>
      <c r="BF17" s="7">
        <v>1211.1959999999999</v>
      </c>
      <c r="BG17" s="7">
        <v>0</v>
      </c>
      <c r="BH17" s="7">
        <v>0</v>
      </c>
      <c r="BI17" s="7">
        <v>1763.403</v>
      </c>
      <c r="BJ17" s="21"/>
    </row>
    <row r="18" spans="1:62" ht="15.6" x14ac:dyDescent="0.3">
      <c r="A18" s="5" t="s">
        <v>20</v>
      </c>
      <c r="B18" s="5" t="s">
        <v>21</v>
      </c>
      <c r="C18" s="7">
        <v>2</v>
      </c>
      <c r="D18" s="7">
        <v>2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21"/>
    </row>
    <row r="19" spans="1:62" ht="15.6" x14ac:dyDescent="0.3">
      <c r="A19" s="5" t="s">
        <v>22</v>
      </c>
      <c r="B19" s="5" t="s">
        <v>23</v>
      </c>
      <c r="C19" s="7">
        <v>2</v>
      </c>
      <c r="D19" s="7">
        <v>2</v>
      </c>
      <c r="E19" s="7">
        <v>492478.86300000001</v>
      </c>
      <c r="F19" s="7">
        <v>43130.752</v>
      </c>
      <c r="G19" s="7">
        <v>82791.294999999998</v>
      </c>
      <c r="H19" s="7">
        <v>0</v>
      </c>
      <c r="I19" s="7">
        <v>12262.752</v>
      </c>
      <c r="J19" s="7">
        <v>56418.663</v>
      </c>
      <c r="K19" s="7">
        <v>117653.87</v>
      </c>
      <c r="L19" s="7">
        <v>238513.041</v>
      </c>
      <c r="M19" s="7">
        <v>146659.46</v>
      </c>
      <c r="N19" s="7">
        <v>11387.733</v>
      </c>
      <c r="O19" s="7">
        <v>0</v>
      </c>
      <c r="P19" s="7">
        <v>0</v>
      </c>
      <c r="Q19" s="7">
        <v>1103.115</v>
      </c>
      <c r="R19" s="7">
        <v>2430.02</v>
      </c>
      <c r="S19" s="7">
        <v>13250.307000000001</v>
      </c>
      <c r="T19" s="7">
        <v>448.44299999999998</v>
      </c>
      <c r="U19" s="7">
        <v>86575.769</v>
      </c>
      <c r="V19" s="7">
        <v>7145.5780000000004</v>
      </c>
      <c r="W19" s="7">
        <v>12104.835999999999</v>
      </c>
      <c r="X19" s="7">
        <v>0</v>
      </c>
      <c r="Y19" s="7">
        <v>96286.978000000003</v>
      </c>
      <c r="Z19" s="7">
        <v>0</v>
      </c>
      <c r="AA19" s="7">
        <v>131420.18100000001</v>
      </c>
      <c r="AB19" s="7">
        <v>0</v>
      </c>
      <c r="AC19" s="7">
        <v>6406.78</v>
      </c>
      <c r="AD19" s="7">
        <v>2445.9319999999998</v>
      </c>
      <c r="AE19" s="7">
        <v>222744.83900000001</v>
      </c>
      <c r="AF19" s="7">
        <v>29405.19</v>
      </c>
      <c r="AG19" s="7">
        <v>8237.8649999999998</v>
      </c>
      <c r="AH19" s="7">
        <v>667285.96200000006</v>
      </c>
      <c r="AI19" s="7">
        <v>47903.080999999998</v>
      </c>
      <c r="AJ19" s="7">
        <v>0</v>
      </c>
      <c r="AK19" s="7">
        <v>0</v>
      </c>
      <c r="AL19" s="7">
        <v>0</v>
      </c>
      <c r="AM19" s="7">
        <v>19561.451000000001</v>
      </c>
      <c r="AN19" s="7">
        <v>0</v>
      </c>
      <c r="AO19" s="7">
        <v>4966.4740000000002</v>
      </c>
      <c r="AP19" s="7">
        <v>0</v>
      </c>
      <c r="AQ19" s="7">
        <v>10449.114</v>
      </c>
      <c r="AR19" s="7">
        <v>0</v>
      </c>
      <c r="AS19" s="7">
        <v>318.642</v>
      </c>
      <c r="AT19" s="7">
        <v>0</v>
      </c>
      <c r="AU19" s="7">
        <v>9370.9240000000009</v>
      </c>
      <c r="AV19" s="7">
        <v>0</v>
      </c>
      <c r="AW19" s="7">
        <v>0</v>
      </c>
      <c r="AX19" s="7">
        <v>0</v>
      </c>
      <c r="AY19" s="7">
        <v>2408.6109999999999</v>
      </c>
      <c r="AZ19" s="7">
        <v>0</v>
      </c>
      <c r="BA19" s="7">
        <v>0</v>
      </c>
      <c r="BB19" s="7">
        <v>1836.9169999999999</v>
      </c>
      <c r="BC19" s="7">
        <v>1519.6559999999999</v>
      </c>
      <c r="BD19" s="7">
        <v>0</v>
      </c>
      <c r="BE19" s="7">
        <v>522.36199999999997</v>
      </c>
      <c r="BF19" s="7">
        <v>522.36199999999997</v>
      </c>
      <c r="BG19" s="7">
        <v>0</v>
      </c>
      <c r="BH19" s="7">
        <v>0</v>
      </c>
      <c r="BI19" s="7">
        <v>589.89400000000001</v>
      </c>
      <c r="BJ19" s="21"/>
    </row>
    <row r="20" spans="1:62" ht="15.6" x14ac:dyDescent="0.3">
      <c r="A20" s="5" t="s">
        <v>24</v>
      </c>
      <c r="B20" s="5" t="s">
        <v>25</v>
      </c>
      <c r="C20" s="7">
        <v>2</v>
      </c>
      <c r="D20" s="7">
        <v>2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7.032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21"/>
    </row>
    <row r="21" spans="1:62" ht="15.6" x14ac:dyDescent="0.3">
      <c r="A21" s="5" t="s">
        <v>26</v>
      </c>
      <c r="B21" s="5" t="s">
        <v>27</v>
      </c>
      <c r="C21" s="7">
        <v>2</v>
      </c>
      <c r="D21" s="7">
        <v>2</v>
      </c>
      <c r="E21" s="7">
        <v>28503.73</v>
      </c>
      <c r="F21" s="7">
        <v>6519.3450000000003</v>
      </c>
      <c r="G21" s="7">
        <v>0</v>
      </c>
      <c r="H21" s="7">
        <v>0</v>
      </c>
      <c r="I21" s="7">
        <v>177.32499999999999</v>
      </c>
      <c r="J21" s="7">
        <v>0</v>
      </c>
      <c r="K21" s="7">
        <v>79089.072</v>
      </c>
      <c r="L21" s="7">
        <v>74550.615000000005</v>
      </c>
      <c r="M21" s="7">
        <v>3396.7359999999999</v>
      </c>
      <c r="N21" s="7">
        <v>0</v>
      </c>
      <c r="O21" s="7">
        <v>0</v>
      </c>
      <c r="P21" s="7">
        <v>0.26</v>
      </c>
      <c r="Q21" s="7">
        <v>0</v>
      </c>
      <c r="R21" s="7">
        <v>0</v>
      </c>
      <c r="S21" s="7">
        <v>2039.2270000000001</v>
      </c>
      <c r="T21" s="7">
        <v>489.209</v>
      </c>
      <c r="U21" s="7">
        <v>58197.807000000001</v>
      </c>
      <c r="V21" s="7">
        <v>0</v>
      </c>
      <c r="W21" s="7">
        <v>583.19100000000003</v>
      </c>
      <c r="X21" s="7">
        <v>0</v>
      </c>
      <c r="Y21" s="7">
        <v>13972.915000000001</v>
      </c>
      <c r="Z21" s="7">
        <v>0</v>
      </c>
      <c r="AA21" s="7">
        <v>0</v>
      </c>
      <c r="AB21" s="7">
        <v>0</v>
      </c>
      <c r="AC21" s="7">
        <v>1214.107</v>
      </c>
      <c r="AD21" s="7">
        <v>0</v>
      </c>
      <c r="AE21" s="7">
        <v>34003.947999999997</v>
      </c>
      <c r="AF21" s="7">
        <v>18413.366000000002</v>
      </c>
      <c r="AG21" s="7">
        <v>0</v>
      </c>
      <c r="AH21" s="7">
        <v>126131.799</v>
      </c>
      <c r="AI21" s="7">
        <v>30925.829000000002</v>
      </c>
      <c r="AJ21" s="7">
        <v>0</v>
      </c>
      <c r="AK21" s="7">
        <v>0</v>
      </c>
      <c r="AL21" s="7">
        <v>0</v>
      </c>
      <c r="AM21" s="7">
        <v>13149.563</v>
      </c>
      <c r="AN21" s="7">
        <v>0</v>
      </c>
      <c r="AO21" s="7">
        <v>878.279</v>
      </c>
      <c r="AP21" s="7">
        <v>0</v>
      </c>
      <c r="AQ21" s="7">
        <v>6544.2150000000001</v>
      </c>
      <c r="AR21" s="7">
        <v>0</v>
      </c>
      <c r="AS21" s="7">
        <v>21.117000000000001</v>
      </c>
      <c r="AT21" s="7">
        <v>0</v>
      </c>
      <c r="AU21" s="7">
        <v>141.97200000000001</v>
      </c>
      <c r="AV21" s="7">
        <v>0</v>
      </c>
      <c r="AW21" s="7">
        <v>0</v>
      </c>
      <c r="AX21" s="7">
        <v>0</v>
      </c>
      <c r="AY21" s="7">
        <v>61.76</v>
      </c>
      <c r="AZ21" s="7">
        <v>1081.9480000000001</v>
      </c>
      <c r="BA21" s="7">
        <v>0</v>
      </c>
      <c r="BB21" s="7">
        <v>302.16500000000002</v>
      </c>
      <c r="BC21" s="7">
        <v>0</v>
      </c>
      <c r="BD21" s="7">
        <v>1305.297</v>
      </c>
      <c r="BE21" s="7">
        <v>71.537000000000006</v>
      </c>
      <c r="BF21" s="7">
        <v>71.537000000000006</v>
      </c>
      <c r="BG21" s="7">
        <v>428.53500000000003</v>
      </c>
      <c r="BH21" s="7">
        <v>0</v>
      </c>
      <c r="BI21" s="7">
        <v>0</v>
      </c>
      <c r="BJ21" s="21"/>
    </row>
    <row r="22" spans="1:62" ht="15.6" x14ac:dyDescent="0.3">
      <c r="A22" s="5" t="s">
        <v>28</v>
      </c>
      <c r="B22" s="5" t="s">
        <v>29</v>
      </c>
      <c r="C22" s="7">
        <v>6</v>
      </c>
      <c r="D22" s="7">
        <v>6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21"/>
    </row>
    <row r="23" spans="1:62" ht="15.6" x14ac:dyDescent="0.3">
      <c r="A23" s="5" t="s">
        <v>30</v>
      </c>
      <c r="B23" s="5" t="s">
        <v>31</v>
      </c>
      <c r="C23" s="7">
        <v>5</v>
      </c>
      <c r="D23" s="7">
        <v>5</v>
      </c>
      <c r="E23" s="7">
        <v>0</v>
      </c>
      <c r="F23" s="7">
        <v>0</v>
      </c>
      <c r="G23" s="7">
        <v>0</v>
      </c>
      <c r="H23" s="7">
        <v>959041.51800000004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21"/>
    </row>
    <row r="24" spans="1:62" ht="15.6" x14ac:dyDescent="0.3">
      <c r="A24" s="5" t="s">
        <v>32</v>
      </c>
      <c r="B24" s="5" t="s">
        <v>33</v>
      </c>
      <c r="C24" s="7">
        <v>2</v>
      </c>
      <c r="D24" s="7">
        <v>2</v>
      </c>
      <c r="E24" s="7">
        <v>7222.1719999999996</v>
      </c>
      <c r="F24" s="7">
        <v>0</v>
      </c>
      <c r="G24" s="7">
        <v>1820.7380000000001</v>
      </c>
      <c r="H24" s="7">
        <v>0</v>
      </c>
      <c r="I24" s="7">
        <v>0</v>
      </c>
      <c r="J24" s="7">
        <v>1397.0029999999999</v>
      </c>
      <c r="K24" s="7">
        <v>0</v>
      </c>
      <c r="L24" s="7">
        <v>4442.6009999999997</v>
      </c>
      <c r="M24" s="7">
        <v>2466.8319999999999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827.60799999999995</v>
      </c>
      <c r="AF24" s="7">
        <v>0</v>
      </c>
      <c r="AG24" s="7">
        <v>0</v>
      </c>
      <c r="AH24" s="7">
        <v>4177.7659999999996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21"/>
    </row>
    <row r="25" spans="1:62" ht="15.6" x14ac:dyDescent="0.3">
      <c r="A25" s="5" t="s">
        <v>34</v>
      </c>
      <c r="B25" s="5" t="s">
        <v>35</v>
      </c>
      <c r="C25" s="7">
        <v>2</v>
      </c>
      <c r="D25" s="7">
        <v>2</v>
      </c>
      <c r="E25" s="7">
        <v>33443.646999999997</v>
      </c>
      <c r="F25" s="7">
        <v>7565.9650000000001</v>
      </c>
      <c r="G25" s="7">
        <v>4952.3090000000002</v>
      </c>
      <c r="H25" s="7">
        <v>0</v>
      </c>
      <c r="I25" s="7">
        <v>1054.027</v>
      </c>
      <c r="J25" s="7">
        <v>3901.1370000000002</v>
      </c>
      <c r="K25" s="7">
        <v>0</v>
      </c>
      <c r="L25" s="7">
        <v>48529.205999999998</v>
      </c>
      <c r="M25" s="7">
        <v>18983.756000000001</v>
      </c>
      <c r="N25" s="7">
        <v>0</v>
      </c>
      <c r="O25" s="7">
        <v>176.79900000000001</v>
      </c>
      <c r="P25" s="7">
        <v>0</v>
      </c>
      <c r="Q25" s="7">
        <v>62.39</v>
      </c>
      <c r="R25" s="7">
        <v>0</v>
      </c>
      <c r="S25" s="7">
        <v>2231.6260000000002</v>
      </c>
      <c r="T25" s="7">
        <v>0</v>
      </c>
      <c r="U25" s="7">
        <v>0</v>
      </c>
      <c r="V25" s="7">
        <v>638.72400000000005</v>
      </c>
      <c r="W25" s="7">
        <v>1636.2760000000001</v>
      </c>
      <c r="X25" s="7">
        <v>2835.9960000000001</v>
      </c>
      <c r="Y25" s="7">
        <v>12565.191999999999</v>
      </c>
      <c r="Z25" s="7">
        <v>89.55</v>
      </c>
      <c r="AA25" s="7">
        <v>4655.9549999999999</v>
      </c>
      <c r="AB25" s="7">
        <v>3357.01</v>
      </c>
      <c r="AC25" s="7">
        <v>1249.681</v>
      </c>
      <c r="AD25" s="7">
        <v>232.85300000000001</v>
      </c>
      <c r="AE25" s="7">
        <v>26696.592000000001</v>
      </c>
      <c r="AF25" s="7">
        <v>7080.2460000000001</v>
      </c>
      <c r="AG25" s="7">
        <v>1580.6210000000001</v>
      </c>
      <c r="AH25" s="7">
        <v>105798.015</v>
      </c>
      <c r="AI25" s="7">
        <v>11534.209000000001</v>
      </c>
      <c r="AJ25" s="7">
        <v>465.10399999999998</v>
      </c>
      <c r="AK25" s="7">
        <v>939665.40599999996</v>
      </c>
      <c r="AL25" s="7">
        <v>528175.652</v>
      </c>
      <c r="AM25" s="7">
        <v>0</v>
      </c>
      <c r="AN25" s="7">
        <v>336647.45600000001</v>
      </c>
      <c r="AO25" s="7">
        <v>592.29899999999998</v>
      </c>
      <c r="AP25" s="7">
        <v>0</v>
      </c>
      <c r="AQ25" s="7">
        <v>2515.9609999999998</v>
      </c>
      <c r="AR25" s="7">
        <v>0</v>
      </c>
      <c r="AS25" s="7">
        <v>10.045999999999999</v>
      </c>
      <c r="AT25" s="7">
        <v>0</v>
      </c>
      <c r="AU25" s="7">
        <v>1219.732</v>
      </c>
      <c r="AV25" s="7">
        <v>0</v>
      </c>
      <c r="AW25" s="7">
        <v>0</v>
      </c>
      <c r="AX25" s="7">
        <v>2693.51</v>
      </c>
      <c r="AY25" s="7">
        <v>0</v>
      </c>
      <c r="AZ25" s="7">
        <v>0</v>
      </c>
      <c r="BA25" s="7">
        <v>1834.3420000000001</v>
      </c>
      <c r="BB25" s="7">
        <v>209.875</v>
      </c>
      <c r="BC25" s="7">
        <v>0</v>
      </c>
      <c r="BD25" s="7">
        <v>0</v>
      </c>
      <c r="BE25" s="7">
        <v>74.051000000000002</v>
      </c>
      <c r="BF25" s="7">
        <v>74.051000000000002</v>
      </c>
      <c r="BG25" s="7">
        <v>0</v>
      </c>
      <c r="BH25" s="7">
        <v>35239.421999999999</v>
      </c>
      <c r="BI25" s="7">
        <v>0</v>
      </c>
      <c r="BJ25" s="21"/>
    </row>
    <row r="26" spans="1:62" ht="15.6" x14ac:dyDescent="0.3">
      <c r="A26" s="5" t="s">
        <v>36</v>
      </c>
      <c r="B26" s="5" t="s">
        <v>37</v>
      </c>
      <c r="C26" s="7">
        <v>6</v>
      </c>
      <c r="D26" s="7">
        <v>6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21"/>
    </row>
    <row r="27" spans="1:62" ht="15.6" x14ac:dyDescent="0.3">
      <c r="A27" s="5" t="s">
        <v>38</v>
      </c>
      <c r="B27" s="5" t="s">
        <v>39</v>
      </c>
      <c r="C27" s="7">
        <v>6</v>
      </c>
      <c r="D27" s="7">
        <v>6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21"/>
    </row>
    <row r="28" spans="1:62" ht="15.6" x14ac:dyDescent="0.3">
      <c r="A28" s="5" t="s">
        <v>40</v>
      </c>
      <c r="B28" s="5" t="s">
        <v>41</v>
      </c>
      <c r="C28" s="7">
        <v>6</v>
      </c>
      <c r="D28" s="7">
        <v>6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21"/>
    </row>
    <row r="29" spans="1:62" ht="15.6" x14ac:dyDescent="0.3">
      <c r="A29" s="5" t="s">
        <v>42</v>
      </c>
      <c r="B29" s="5" t="s">
        <v>43</v>
      </c>
      <c r="C29" s="7">
        <v>6</v>
      </c>
      <c r="D29" s="7">
        <v>6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21"/>
    </row>
    <row r="30" spans="1:62" ht="15.6" x14ac:dyDescent="0.3">
      <c r="A30" s="5" t="s">
        <v>44</v>
      </c>
      <c r="B30" s="5" t="s">
        <v>45</v>
      </c>
      <c r="C30" s="7">
        <v>6</v>
      </c>
      <c r="D30" s="7">
        <v>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21"/>
    </row>
    <row r="31" spans="1:62" ht="15.6" x14ac:dyDescent="0.3">
      <c r="A31" s="5" t="s">
        <v>46</v>
      </c>
      <c r="B31" s="5" t="s">
        <v>47</v>
      </c>
      <c r="C31" s="7">
        <v>6</v>
      </c>
      <c r="D31" s="7">
        <v>6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21"/>
    </row>
    <row r="32" spans="1:62" ht="15.6" x14ac:dyDescent="0.3">
      <c r="A32" s="5" t="s">
        <v>48</v>
      </c>
      <c r="B32" s="5" t="s">
        <v>49</v>
      </c>
      <c r="C32" s="7">
        <v>6</v>
      </c>
      <c r="D32" s="7">
        <v>6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21"/>
    </row>
    <row r="33" spans="1:62" ht="15.6" x14ac:dyDescent="0.3">
      <c r="A33" s="5" t="s">
        <v>50</v>
      </c>
      <c r="B33" s="5" t="s">
        <v>51</v>
      </c>
      <c r="C33" s="7">
        <v>6</v>
      </c>
      <c r="D33" s="7">
        <v>6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21"/>
    </row>
    <row r="34" spans="1:62" ht="15.6" x14ac:dyDescent="0.3">
      <c r="A34" s="5" t="s">
        <v>52</v>
      </c>
      <c r="B34" s="5" t="s">
        <v>53</v>
      </c>
      <c r="C34" s="7">
        <v>6</v>
      </c>
      <c r="D34" s="7">
        <v>6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21"/>
    </row>
    <row r="35" spans="1:62" ht="15.6" x14ac:dyDescent="0.3">
      <c r="A35" s="5" t="s">
        <v>54</v>
      </c>
      <c r="B35" s="5" t="s">
        <v>55</v>
      </c>
      <c r="C35" s="7">
        <v>6</v>
      </c>
      <c r="D35" s="7">
        <v>6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21"/>
    </row>
    <row r="36" spans="1:62" ht="15.6" x14ac:dyDescent="0.3">
      <c r="A36" s="5" t="s">
        <v>56</v>
      </c>
      <c r="B36" s="5" t="s">
        <v>57</v>
      </c>
      <c r="C36" s="7">
        <v>6</v>
      </c>
      <c r="D36" s="7">
        <v>6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21"/>
    </row>
    <row r="37" spans="1:62" ht="15.6" x14ac:dyDescent="0.3">
      <c r="A37" s="5" t="s">
        <v>58</v>
      </c>
      <c r="B37" s="5" t="s">
        <v>59</v>
      </c>
      <c r="C37" s="7">
        <v>6</v>
      </c>
      <c r="D37" s="7">
        <v>6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21"/>
    </row>
    <row r="38" spans="1:62" ht="15.6" x14ac:dyDescent="0.3">
      <c r="A38" s="5" t="s">
        <v>60</v>
      </c>
      <c r="B38" s="5" t="s">
        <v>61</v>
      </c>
      <c r="C38" s="7">
        <v>6</v>
      </c>
      <c r="D38" s="7">
        <v>6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21"/>
    </row>
    <row r="39" spans="1:62" ht="15.6" x14ac:dyDescent="0.3">
      <c r="A39" s="5" t="s">
        <v>62</v>
      </c>
      <c r="B39" s="5" t="s">
        <v>63</v>
      </c>
      <c r="C39" s="7">
        <v>6</v>
      </c>
      <c r="D39" s="7">
        <v>6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21"/>
    </row>
    <row r="40" spans="1:62" ht="15.6" x14ac:dyDescent="0.3">
      <c r="A40" s="5" t="s">
        <v>64</v>
      </c>
      <c r="B40" s="5" t="s">
        <v>65</v>
      </c>
      <c r="C40" s="7">
        <v>6</v>
      </c>
      <c r="D40" s="7">
        <v>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21"/>
    </row>
    <row r="41" spans="1:62" ht="15.6" x14ac:dyDescent="0.3">
      <c r="A41" s="5" t="s">
        <v>66</v>
      </c>
      <c r="B41" s="5" t="s">
        <v>67</v>
      </c>
      <c r="C41" s="7">
        <v>6</v>
      </c>
      <c r="D41" s="7">
        <v>6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21"/>
    </row>
    <row r="42" spans="1:62" ht="15.6" x14ac:dyDescent="0.3">
      <c r="A42" s="5" t="s">
        <v>68</v>
      </c>
      <c r="B42" s="5" t="s">
        <v>69</v>
      </c>
      <c r="C42" s="7">
        <v>6</v>
      </c>
      <c r="D42" s="7">
        <v>6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21"/>
    </row>
    <row r="43" spans="1:62" ht="15.6" x14ac:dyDescent="0.3">
      <c r="A43" s="5" t="s">
        <v>70</v>
      </c>
      <c r="B43" s="5" t="s">
        <v>71</v>
      </c>
      <c r="C43" s="7">
        <v>6</v>
      </c>
      <c r="D43" s="7">
        <v>6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21"/>
    </row>
    <row r="44" spans="1:62" ht="15.6" x14ac:dyDescent="0.3">
      <c r="A44" s="5" t="s">
        <v>72</v>
      </c>
      <c r="B44" s="5" t="s">
        <v>73</v>
      </c>
      <c r="C44" s="7">
        <v>6</v>
      </c>
      <c r="D44" s="7">
        <v>6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21"/>
    </row>
    <row r="45" spans="1:62" ht="15.6" x14ac:dyDescent="0.3">
      <c r="A45" s="5" t="s">
        <v>74</v>
      </c>
      <c r="B45" s="5" t="s">
        <v>75</v>
      </c>
      <c r="C45" s="7">
        <v>6</v>
      </c>
      <c r="D45" s="7">
        <v>6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21"/>
    </row>
    <row r="46" spans="1:62" ht="15.6" x14ac:dyDescent="0.3">
      <c r="A46" s="5" t="s">
        <v>76</v>
      </c>
      <c r="B46" s="5" t="s">
        <v>77</v>
      </c>
      <c r="C46" s="7">
        <v>6</v>
      </c>
      <c r="D46" s="7">
        <v>6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21"/>
    </row>
    <row r="47" spans="1:62" ht="15.6" x14ac:dyDescent="0.3">
      <c r="A47" s="5" t="s">
        <v>78</v>
      </c>
      <c r="B47" s="5" t="s">
        <v>79</v>
      </c>
      <c r="C47" s="7">
        <v>6</v>
      </c>
      <c r="D47" s="7">
        <v>6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21"/>
    </row>
    <row r="48" spans="1:62" ht="15.6" x14ac:dyDescent="0.3">
      <c r="A48" s="5" t="s">
        <v>80</v>
      </c>
      <c r="B48" s="5" t="s">
        <v>81</v>
      </c>
      <c r="C48" s="7">
        <v>6</v>
      </c>
      <c r="D48" s="7">
        <v>6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21"/>
    </row>
    <row r="49" spans="1:62" ht="15.6" x14ac:dyDescent="0.3">
      <c r="A49" s="5" t="s">
        <v>82</v>
      </c>
      <c r="B49" s="5" t="s">
        <v>83</v>
      </c>
      <c r="C49" s="7">
        <v>6</v>
      </c>
      <c r="D49" s="7">
        <v>6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21"/>
    </row>
    <row r="50" spans="1:62" ht="15.6" x14ac:dyDescent="0.3">
      <c r="A50" s="5" t="s">
        <v>84</v>
      </c>
      <c r="B50" s="5" t="s">
        <v>85</v>
      </c>
      <c r="C50" s="7">
        <v>6</v>
      </c>
      <c r="D50" s="7">
        <v>6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21"/>
    </row>
    <row r="51" spans="1:62" ht="15.6" x14ac:dyDescent="0.3">
      <c r="A51" s="5" t="s">
        <v>86</v>
      </c>
      <c r="B51" s="5" t="s">
        <v>87</v>
      </c>
      <c r="C51" s="7">
        <v>6</v>
      </c>
      <c r="D51" s="7">
        <v>6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21"/>
    </row>
    <row r="52" spans="1:62" ht="15.6" x14ac:dyDescent="0.3">
      <c r="A52" s="5" t="s">
        <v>88</v>
      </c>
      <c r="B52" s="5" t="s">
        <v>89</v>
      </c>
      <c r="C52" s="7">
        <v>6</v>
      </c>
      <c r="D52" s="7">
        <v>6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21"/>
    </row>
    <row r="53" spans="1:62" ht="15.6" x14ac:dyDescent="0.3">
      <c r="A53" s="5" t="s">
        <v>90</v>
      </c>
      <c r="B53" s="5" t="s">
        <v>91</v>
      </c>
      <c r="C53" s="7">
        <v>6</v>
      </c>
      <c r="D53" s="7">
        <v>6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21"/>
    </row>
    <row r="54" spans="1:62" ht="15.6" x14ac:dyDescent="0.3">
      <c r="A54" s="5" t="s">
        <v>92</v>
      </c>
      <c r="B54" s="5" t="s">
        <v>93</v>
      </c>
      <c r="C54" s="7">
        <v>6</v>
      </c>
      <c r="D54" s="7">
        <v>6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21"/>
    </row>
    <row r="55" spans="1:62" ht="15.6" x14ac:dyDescent="0.3">
      <c r="A55" s="5" t="s">
        <v>94</v>
      </c>
      <c r="B55" s="5" t="s">
        <v>95</v>
      </c>
      <c r="C55" s="7">
        <v>6</v>
      </c>
      <c r="D55" s="7">
        <v>6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21"/>
    </row>
    <row r="56" spans="1:62" ht="15.6" x14ac:dyDescent="0.3">
      <c r="A56" s="5" t="s">
        <v>96</v>
      </c>
      <c r="B56" s="5" t="s">
        <v>97</v>
      </c>
      <c r="C56" s="7">
        <v>6</v>
      </c>
      <c r="D56" s="7">
        <v>6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21"/>
    </row>
    <row r="57" spans="1:62" ht="15.6" x14ac:dyDescent="0.3">
      <c r="A57" s="5" t="s">
        <v>98</v>
      </c>
      <c r="B57" s="5" t="s">
        <v>99</v>
      </c>
      <c r="C57" s="7">
        <v>6</v>
      </c>
      <c r="D57" s="7">
        <v>6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21"/>
    </row>
    <row r="58" spans="1:62" ht="15.6" x14ac:dyDescent="0.3">
      <c r="A58" s="5" t="s">
        <v>100</v>
      </c>
      <c r="B58" s="5" t="s">
        <v>101</v>
      </c>
      <c r="C58" s="7">
        <v>6</v>
      </c>
      <c r="D58" s="7">
        <v>6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21"/>
    </row>
    <row r="59" spans="1:62" ht="15.6" x14ac:dyDescent="0.3">
      <c r="A59" s="5" t="s">
        <v>102</v>
      </c>
      <c r="B59" s="5" t="s">
        <v>103</v>
      </c>
      <c r="C59" s="7">
        <v>6</v>
      </c>
      <c r="D59" s="7">
        <v>6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21"/>
    </row>
    <row r="60" spans="1:62" ht="15.6" x14ac:dyDescent="0.3">
      <c r="A60" s="5" t="s">
        <v>104</v>
      </c>
      <c r="B60" s="5" t="s">
        <v>105</v>
      </c>
      <c r="C60" s="7">
        <v>6</v>
      </c>
      <c r="D60" s="7">
        <v>6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21"/>
    </row>
    <row r="61" spans="1:62" ht="15.6" x14ac:dyDescent="0.3">
      <c r="A61" s="5" t="s">
        <v>106</v>
      </c>
      <c r="B61" s="5" t="s">
        <v>107</v>
      </c>
      <c r="C61" s="7">
        <v>6</v>
      </c>
      <c r="D61" s="7">
        <v>6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21"/>
    </row>
    <row r="62" spans="1:62" ht="15.6" x14ac:dyDescent="0.3">
      <c r="A62" s="5" t="s">
        <v>108</v>
      </c>
      <c r="B62" s="5" t="s">
        <v>109</v>
      </c>
      <c r="C62" s="7">
        <v>6</v>
      </c>
      <c r="D62" s="7">
        <v>6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21"/>
    </row>
    <row r="63" spans="1:62" ht="15.6" x14ac:dyDescent="0.3">
      <c r="A63" s="5" t="s">
        <v>110</v>
      </c>
      <c r="B63" s="5" t="s">
        <v>111</v>
      </c>
      <c r="C63" s="7">
        <v>3</v>
      </c>
      <c r="D63" s="7">
        <v>3</v>
      </c>
      <c r="E63" s="7">
        <v>956187.25100000005</v>
      </c>
      <c r="F63" s="7">
        <v>103067.77099999999</v>
      </c>
      <c r="G63" s="7">
        <v>236015.16800000001</v>
      </c>
      <c r="H63" s="7">
        <v>13455.851000000001</v>
      </c>
      <c r="I63" s="7">
        <v>22355.084999999999</v>
      </c>
      <c r="J63" s="7">
        <v>161596.87</v>
      </c>
      <c r="K63" s="7">
        <v>0</v>
      </c>
      <c r="L63" s="7">
        <v>362602.19699999999</v>
      </c>
      <c r="M63" s="7">
        <v>576798.09600000002</v>
      </c>
      <c r="N63" s="7">
        <v>0</v>
      </c>
      <c r="O63" s="7">
        <v>0</v>
      </c>
      <c r="P63" s="7">
        <v>32.299999999999997</v>
      </c>
      <c r="Q63" s="7">
        <v>1498.616</v>
      </c>
      <c r="R63" s="7">
        <v>4783.2039999999997</v>
      </c>
      <c r="S63" s="7">
        <v>41428.417000000001</v>
      </c>
      <c r="T63" s="7">
        <v>0</v>
      </c>
      <c r="U63" s="7">
        <v>0</v>
      </c>
      <c r="V63" s="7">
        <v>21253.958999999999</v>
      </c>
      <c r="W63" s="7">
        <v>51367.805999999997</v>
      </c>
      <c r="X63" s="7">
        <v>0</v>
      </c>
      <c r="Y63" s="7">
        <v>144358.25399999999</v>
      </c>
      <c r="Z63" s="7">
        <v>0</v>
      </c>
      <c r="AA63" s="7">
        <v>278059.51299999998</v>
      </c>
      <c r="AB63" s="7">
        <v>0</v>
      </c>
      <c r="AC63" s="7">
        <v>18427.439999999999</v>
      </c>
      <c r="AD63" s="7">
        <v>219.21</v>
      </c>
      <c r="AE63" s="7">
        <v>308160.62</v>
      </c>
      <c r="AF63" s="7">
        <v>0</v>
      </c>
      <c r="AG63" s="7">
        <v>449.048</v>
      </c>
      <c r="AH63" s="7">
        <v>1046119.655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13457.608</v>
      </c>
      <c r="AP63" s="7">
        <v>0</v>
      </c>
      <c r="AQ63" s="7">
        <v>0</v>
      </c>
      <c r="AR63" s="7">
        <v>0</v>
      </c>
      <c r="AS63" s="7">
        <v>265.68299999999999</v>
      </c>
      <c r="AT63" s="7">
        <v>0</v>
      </c>
      <c r="AU63" s="7">
        <v>10198.402</v>
      </c>
      <c r="AV63" s="7">
        <v>0</v>
      </c>
      <c r="AW63" s="7">
        <v>0</v>
      </c>
      <c r="AX63" s="7">
        <v>0</v>
      </c>
      <c r="AY63" s="7">
        <v>9286.7890000000007</v>
      </c>
      <c r="AZ63" s="7">
        <v>0</v>
      </c>
      <c r="BA63" s="7">
        <v>0</v>
      </c>
      <c r="BB63" s="7">
        <v>4721.7179999999998</v>
      </c>
      <c r="BC63" s="7">
        <v>7455.97</v>
      </c>
      <c r="BD63" s="7">
        <v>0</v>
      </c>
      <c r="BE63" s="7">
        <v>1114.385</v>
      </c>
      <c r="BF63" s="7">
        <v>1114.385</v>
      </c>
      <c r="BG63" s="7">
        <v>0</v>
      </c>
      <c r="BH63" s="7">
        <v>0</v>
      </c>
      <c r="BI63" s="7">
        <v>3137.317</v>
      </c>
      <c r="BJ63" s="21"/>
    </row>
    <row r="64" spans="1:62" ht="15.6" x14ac:dyDescent="0.3">
      <c r="A64" s="5" t="s">
        <v>112</v>
      </c>
      <c r="B64" s="5" t="s">
        <v>113</v>
      </c>
      <c r="C64" s="7">
        <v>3</v>
      </c>
      <c r="D64" s="7">
        <v>3</v>
      </c>
      <c r="E64" s="7">
        <v>6542.1559999999999</v>
      </c>
      <c r="F64" s="7">
        <v>890.29399999999998</v>
      </c>
      <c r="G64" s="7">
        <v>1431.3240000000001</v>
      </c>
      <c r="H64" s="7">
        <v>0</v>
      </c>
      <c r="I64" s="7">
        <v>158.489</v>
      </c>
      <c r="J64" s="7">
        <v>829.40700000000004</v>
      </c>
      <c r="K64" s="7">
        <v>0</v>
      </c>
      <c r="L64" s="7">
        <v>2595.4699999999998</v>
      </c>
      <c r="M64" s="7">
        <v>3715.6579999999999</v>
      </c>
      <c r="N64" s="7">
        <v>0</v>
      </c>
      <c r="O64" s="7">
        <v>0</v>
      </c>
      <c r="P64" s="7">
        <v>0.126</v>
      </c>
      <c r="Q64" s="7">
        <v>134.804</v>
      </c>
      <c r="R64" s="7">
        <v>430.26100000000002</v>
      </c>
      <c r="S64" s="7">
        <v>385.52499999999998</v>
      </c>
      <c r="T64" s="7">
        <v>0</v>
      </c>
      <c r="U64" s="7">
        <v>0</v>
      </c>
      <c r="V64" s="7">
        <v>160.036</v>
      </c>
      <c r="W64" s="7">
        <v>276.62900000000002</v>
      </c>
      <c r="X64" s="7">
        <v>0</v>
      </c>
      <c r="Y64" s="7">
        <v>1001.203</v>
      </c>
      <c r="Z64" s="7">
        <v>0</v>
      </c>
      <c r="AA64" s="7">
        <v>1938.116</v>
      </c>
      <c r="AB64" s="7">
        <v>0</v>
      </c>
      <c r="AC64" s="7">
        <v>144.78700000000001</v>
      </c>
      <c r="AD64" s="7">
        <v>0</v>
      </c>
      <c r="AE64" s="7">
        <v>1127.865</v>
      </c>
      <c r="AF64" s="7">
        <v>0</v>
      </c>
      <c r="AG64" s="7">
        <v>0</v>
      </c>
      <c r="AH64" s="7">
        <v>6321.05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96.164000000000001</v>
      </c>
      <c r="AP64" s="7">
        <v>0</v>
      </c>
      <c r="AQ64" s="7">
        <v>0</v>
      </c>
      <c r="AR64" s="7">
        <v>0</v>
      </c>
      <c r="AS64" s="7">
        <v>3.3380000000000001</v>
      </c>
      <c r="AT64" s="7">
        <v>0</v>
      </c>
      <c r="AU64" s="7">
        <v>97.054000000000002</v>
      </c>
      <c r="AV64" s="7">
        <v>0</v>
      </c>
      <c r="AW64" s="7">
        <v>0</v>
      </c>
      <c r="AX64" s="7">
        <v>0</v>
      </c>
      <c r="AY64" s="7">
        <v>66.245000000000005</v>
      </c>
      <c r="AZ64" s="7">
        <v>0</v>
      </c>
      <c r="BA64" s="7">
        <v>0</v>
      </c>
      <c r="BB64" s="7">
        <v>33.710999999999999</v>
      </c>
      <c r="BC64" s="7">
        <v>53.904000000000003</v>
      </c>
      <c r="BD64" s="7">
        <v>0</v>
      </c>
      <c r="BE64" s="7">
        <v>7.7309999999999999</v>
      </c>
      <c r="BF64" s="7">
        <v>7.7309999999999999</v>
      </c>
      <c r="BG64" s="7">
        <v>0</v>
      </c>
      <c r="BH64" s="7">
        <v>0</v>
      </c>
      <c r="BI64" s="7">
        <v>22.276</v>
      </c>
      <c r="BJ64" s="21"/>
    </row>
    <row r="65" spans="1:62" ht="15.6" x14ac:dyDescent="0.3">
      <c r="A65" s="5" t="s">
        <v>114</v>
      </c>
      <c r="B65" s="5" t="s">
        <v>115</v>
      </c>
      <c r="C65" s="7">
        <v>3</v>
      </c>
      <c r="D65" s="7">
        <v>3</v>
      </c>
      <c r="E65" s="7">
        <v>144772.614</v>
      </c>
      <c r="F65" s="7">
        <v>18977.902999999998</v>
      </c>
      <c r="G65" s="7">
        <v>32371.519</v>
      </c>
      <c r="H65" s="7">
        <v>206.71199999999999</v>
      </c>
      <c r="I65" s="7">
        <v>3485.5520000000001</v>
      </c>
      <c r="J65" s="7">
        <v>19416.975999999999</v>
      </c>
      <c r="K65" s="7">
        <v>21884.904999999999</v>
      </c>
      <c r="L65" s="7">
        <v>57040.41</v>
      </c>
      <c r="M65" s="7">
        <v>83086.551999999996</v>
      </c>
      <c r="N65" s="7">
        <v>977.74</v>
      </c>
      <c r="O65" s="7">
        <v>0</v>
      </c>
      <c r="P65" s="7">
        <v>3.7570000000000001</v>
      </c>
      <c r="Q65" s="7">
        <v>547.13599999999997</v>
      </c>
      <c r="R65" s="7">
        <v>1746.319</v>
      </c>
      <c r="S65" s="7">
        <v>8127.3459999999995</v>
      </c>
      <c r="T65" s="7">
        <v>0</v>
      </c>
      <c r="U65" s="7">
        <v>16104.039000000001</v>
      </c>
      <c r="V65" s="7">
        <v>3482.9850000000001</v>
      </c>
      <c r="W65" s="7">
        <v>6410.43</v>
      </c>
      <c r="X65" s="7">
        <v>0</v>
      </c>
      <c r="Y65" s="7">
        <v>22122.401999999998</v>
      </c>
      <c r="Z65" s="7">
        <v>0</v>
      </c>
      <c r="AA65" s="7">
        <v>42722.014000000003</v>
      </c>
      <c r="AB65" s="7">
        <v>0</v>
      </c>
      <c r="AC65" s="7">
        <v>3130.5410000000002</v>
      </c>
      <c r="AD65" s="7">
        <v>0</v>
      </c>
      <c r="AE65" s="7">
        <v>28863.899000000001</v>
      </c>
      <c r="AF65" s="7">
        <v>0</v>
      </c>
      <c r="AG65" s="7">
        <v>0</v>
      </c>
      <c r="AH65" s="7">
        <v>143387.16500000001</v>
      </c>
      <c r="AI65" s="7">
        <v>0</v>
      </c>
      <c r="AJ65" s="7">
        <v>0</v>
      </c>
      <c r="AK65" s="7">
        <v>0</v>
      </c>
      <c r="AL65" s="7">
        <v>0</v>
      </c>
      <c r="AM65" s="7">
        <v>3638.6439999999998</v>
      </c>
      <c r="AN65" s="7">
        <v>0</v>
      </c>
      <c r="AO65" s="7">
        <v>2110.0500000000002</v>
      </c>
      <c r="AP65" s="7">
        <v>0</v>
      </c>
      <c r="AQ65" s="7">
        <v>0</v>
      </c>
      <c r="AR65" s="7">
        <v>0</v>
      </c>
      <c r="AS65" s="7">
        <v>67.908000000000001</v>
      </c>
      <c r="AT65" s="7">
        <v>0</v>
      </c>
      <c r="AU65" s="7">
        <v>2184.9899999999998</v>
      </c>
      <c r="AV65" s="7">
        <v>0</v>
      </c>
      <c r="AW65" s="7">
        <v>0</v>
      </c>
      <c r="AX65" s="7">
        <v>0</v>
      </c>
      <c r="AY65" s="7">
        <v>1453.979</v>
      </c>
      <c r="AZ65" s="7">
        <v>0</v>
      </c>
      <c r="BA65" s="7">
        <v>0</v>
      </c>
      <c r="BB65" s="7">
        <v>739.80600000000004</v>
      </c>
      <c r="BC65" s="7">
        <v>1180.441</v>
      </c>
      <c r="BD65" s="7">
        <v>0</v>
      </c>
      <c r="BE65" s="7">
        <v>170.50399999999999</v>
      </c>
      <c r="BF65" s="7">
        <v>170.50399999999999</v>
      </c>
      <c r="BG65" s="7">
        <v>0</v>
      </c>
      <c r="BH65" s="7">
        <v>0</v>
      </c>
      <c r="BI65" s="7">
        <v>489.31700000000001</v>
      </c>
      <c r="BJ65" s="21"/>
    </row>
    <row r="66" spans="1:62" ht="15.6" x14ac:dyDescent="0.3">
      <c r="A66" s="5" t="s">
        <v>116</v>
      </c>
      <c r="B66" s="5" t="s">
        <v>117</v>
      </c>
      <c r="C66" s="7">
        <v>3</v>
      </c>
      <c r="D66" s="7">
        <v>3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21"/>
    </row>
    <row r="67" spans="1:62" ht="15.6" x14ac:dyDescent="0.3">
      <c r="A67" s="5" t="s">
        <v>118</v>
      </c>
      <c r="B67" s="5" t="s">
        <v>119</v>
      </c>
      <c r="C67" s="7">
        <v>3</v>
      </c>
      <c r="D67" s="7">
        <v>3</v>
      </c>
      <c r="E67" s="7">
        <v>182647.995</v>
      </c>
      <c r="F67" s="7">
        <v>25313.506000000001</v>
      </c>
      <c r="G67" s="7">
        <v>39834.358999999997</v>
      </c>
      <c r="H67" s="7">
        <v>10731.422</v>
      </c>
      <c r="I67" s="7">
        <v>4399.4709999999995</v>
      </c>
      <c r="J67" s="7">
        <v>22875.535</v>
      </c>
      <c r="K67" s="7">
        <v>0</v>
      </c>
      <c r="L67" s="7">
        <v>75891.241999999998</v>
      </c>
      <c r="M67" s="7">
        <v>103427.113</v>
      </c>
      <c r="N67" s="7">
        <v>0</v>
      </c>
      <c r="O67" s="7">
        <v>0</v>
      </c>
      <c r="P67" s="7">
        <v>3.26</v>
      </c>
      <c r="Q67" s="7">
        <v>513.55799999999999</v>
      </c>
      <c r="R67" s="7">
        <v>1639.1479999999999</v>
      </c>
      <c r="S67" s="7">
        <v>10900.536</v>
      </c>
      <c r="T67" s="7">
        <v>0</v>
      </c>
      <c r="U67" s="7">
        <v>0</v>
      </c>
      <c r="V67" s="7">
        <v>4462.6719999999996</v>
      </c>
      <c r="W67" s="7">
        <v>7489.2960000000003</v>
      </c>
      <c r="X67" s="7">
        <v>0</v>
      </c>
      <c r="Y67" s="7">
        <v>27894.528999999999</v>
      </c>
      <c r="Z67" s="7">
        <v>0</v>
      </c>
      <c r="AA67" s="7">
        <v>53825.612999999998</v>
      </c>
      <c r="AB67" s="7">
        <v>0</v>
      </c>
      <c r="AC67" s="7">
        <v>4049.752</v>
      </c>
      <c r="AD67" s="7">
        <v>0</v>
      </c>
      <c r="AE67" s="7">
        <v>29946.053</v>
      </c>
      <c r="AF67" s="7">
        <v>0</v>
      </c>
      <c r="AG67" s="7">
        <v>0</v>
      </c>
      <c r="AH67" s="7">
        <v>176285.64499999999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2671.0459999999998</v>
      </c>
      <c r="AP67" s="7">
        <v>0</v>
      </c>
      <c r="AQ67" s="7">
        <v>0</v>
      </c>
      <c r="AR67" s="7">
        <v>0</v>
      </c>
      <c r="AS67" s="7">
        <v>95.814999999999998</v>
      </c>
      <c r="AT67" s="7">
        <v>0</v>
      </c>
      <c r="AU67" s="7">
        <v>2830.4</v>
      </c>
      <c r="AV67" s="7">
        <v>0</v>
      </c>
      <c r="AW67" s="7">
        <v>0</v>
      </c>
      <c r="AX67" s="7">
        <v>0</v>
      </c>
      <c r="AY67" s="7">
        <v>1839.751</v>
      </c>
      <c r="AZ67" s="7">
        <v>0</v>
      </c>
      <c r="BA67" s="7">
        <v>0</v>
      </c>
      <c r="BB67" s="7">
        <v>936.3</v>
      </c>
      <c r="BC67" s="7">
        <v>1498.5619999999999</v>
      </c>
      <c r="BD67" s="7">
        <v>0</v>
      </c>
      <c r="BE67" s="7">
        <v>214.25</v>
      </c>
      <c r="BF67" s="7">
        <v>214.25</v>
      </c>
      <c r="BG67" s="7">
        <v>0</v>
      </c>
      <c r="BH67" s="7">
        <v>0</v>
      </c>
      <c r="BI67" s="7">
        <v>618.43899999999996</v>
      </c>
      <c r="BJ67" s="21"/>
    </row>
    <row r="68" spans="1:62" ht="15.6" x14ac:dyDescent="0.3">
      <c r="A68" s="5" t="s">
        <v>120</v>
      </c>
      <c r="B68" s="5" t="s">
        <v>121</v>
      </c>
      <c r="C68" s="7">
        <v>3</v>
      </c>
      <c r="D68" s="7">
        <v>3</v>
      </c>
      <c r="E68" s="7">
        <v>26522.975999999999</v>
      </c>
      <c r="F68" s="7">
        <v>3670.241</v>
      </c>
      <c r="G68" s="7">
        <v>5742.5209999999997</v>
      </c>
      <c r="H68" s="7">
        <v>0</v>
      </c>
      <c r="I68" s="7">
        <v>644.36099999999999</v>
      </c>
      <c r="J68" s="7">
        <v>3271.7660000000001</v>
      </c>
      <c r="K68" s="7">
        <v>0</v>
      </c>
      <c r="L68" s="7">
        <v>10560.123</v>
      </c>
      <c r="M68" s="7">
        <v>14988.05</v>
      </c>
      <c r="N68" s="7">
        <v>0</v>
      </c>
      <c r="O68" s="7">
        <v>0</v>
      </c>
      <c r="P68" s="7">
        <v>0.47699999999999998</v>
      </c>
      <c r="Q68" s="7">
        <v>85.531999999999996</v>
      </c>
      <c r="R68" s="7">
        <v>272.99599999999998</v>
      </c>
      <c r="S68" s="7">
        <v>1596.529</v>
      </c>
      <c r="T68" s="7">
        <v>0</v>
      </c>
      <c r="U68" s="7">
        <v>0</v>
      </c>
      <c r="V68" s="7">
        <v>653.61800000000005</v>
      </c>
      <c r="W68" s="7">
        <v>1096.9079999999999</v>
      </c>
      <c r="X68" s="7">
        <v>0</v>
      </c>
      <c r="Y68" s="7">
        <v>4063.4839999999999</v>
      </c>
      <c r="Z68" s="7">
        <v>0</v>
      </c>
      <c r="AA68" s="7">
        <v>7869.1580000000004</v>
      </c>
      <c r="AB68" s="7">
        <v>0</v>
      </c>
      <c r="AC68" s="7">
        <v>593.14</v>
      </c>
      <c r="AD68" s="7">
        <v>0</v>
      </c>
      <c r="AE68" s="7">
        <v>4250.2709999999997</v>
      </c>
      <c r="AF68" s="7">
        <v>0</v>
      </c>
      <c r="AG68" s="7">
        <v>0</v>
      </c>
      <c r="AH68" s="7">
        <v>25351.669000000002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391.21</v>
      </c>
      <c r="AP68" s="7">
        <v>0</v>
      </c>
      <c r="AQ68" s="7">
        <v>0</v>
      </c>
      <c r="AR68" s="7">
        <v>0</v>
      </c>
      <c r="AS68" s="7">
        <v>14.032999999999999</v>
      </c>
      <c r="AT68" s="7">
        <v>0</v>
      </c>
      <c r="AU68" s="7">
        <v>421.49200000000002</v>
      </c>
      <c r="AV68" s="7">
        <v>0</v>
      </c>
      <c r="AW68" s="7">
        <v>0</v>
      </c>
      <c r="AX68" s="7">
        <v>0</v>
      </c>
      <c r="AY68" s="7">
        <v>269.45600000000002</v>
      </c>
      <c r="AZ68" s="7">
        <v>0</v>
      </c>
      <c r="BA68" s="7">
        <v>0</v>
      </c>
      <c r="BB68" s="7">
        <v>137.13399999999999</v>
      </c>
      <c r="BC68" s="7">
        <v>219.48400000000001</v>
      </c>
      <c r="BD68" s="7">
        <v>0</v>
      </c>
      <c r="BE68" s="7">
        <v>31.38</v>
      </c>
      <c r="BF68" s="7">
        <v>31.38</v>
      </c>
      <c r="BG68" s="7">
        <v>0</v>
      </c>
      <c r="BH68" s="7">
        <v>0</v>
      </c>
      <c r="BI68" s="7">
        <v>90.578999999999994</v>
      </c>
      <c r="BJ68" s="21"/>
    </row>
    <row r="69" spans="1:62" ht="15.6" x14ac:dyDescent="0.3">
      <c r="A69" s="5" t="s">
        <v>122</v>
      </c>
      <c r="B69" s="5" t="s">
        <v>123</v>
      </c>
      <c r="C69" s="7">
        <v>3</v>
      </c>
      <c r="D69" s="7">
        <v>3</v>
      </c>
      <c r="E69" s="7">
        <v>174809.864</v>
      </c>
      <c r="F69" s="7">
        <v>24149.688999999998</v>
      </c>
      <c r="G69" s="7">
        <v>37773.517</v>
      </c>
      <c r="H69" s="7">
        <v>0</v>
      </c>
      <c r="I69" s="7">
        <v>4245.4669999999996</v>
      </c>
      <c r="J69" s="7">
        <v>21525.803</v>
      </c>
      <c r="K69" s="7">
        <v>7624.7740000000003</v>
      </c>
      <c r="L69" s="7">
        <v>69882.270999999993</v>
      </c>
      <c r="M69" s="7">
        <v>98602.096999999994</v>
      </c>
      <c r="N69" s="7">
        <v>0</v>
      </c>
      <c r="O69" s="7">
        <v>0</v>
      </c>
      <c r="P69" s="7">
        <v>6.7039999999999997</v>
      </c>
      <c r="Q69" s="7">
        <v>833.76400000000001</v>
      </c>
      <c r="R69" s="7">
        <v>2661.1640000000002</v>
      </c>
      <c r="S69" s="7">
        <v>10471.075999999999</v>
      </c>
      <c r="T69" s="7">
        <v>0</v>
      </c>
      <c r="U69" s="7">
        <v>5610.701</v>
      </c>
      <c r="V69" s="7">
        <v>4296.8770000000004</v>
      </c>
      <c r="W69" s="7">
        <v>7224.741</v>
      </c>
      <c r="X69" s="7">
        <v>0</v>
      </c>
      <c r="Y69" s="7">
        <v>26892.237000000001</v>
      </c>
      <c r="Z69" s="7">
        <v>0</v>
      </c>
      <c r="AA69" s="7">
        <v>51696.315999999999</v>
      </c>
      <c r="AB69" s="7">
        <v>0</v>
      </c>
      <c r="AC69" s="7">
        <v>3903.1579999999999</v>
      </c>
      <c r="AD69" s="7">
        <v>0</v>
      </c>
      <c r="AE69" s="7">
        <v>28648.919000000002</v>
      </c>
      <c r="AF69" s="7">
        <v>0</v>
      </c>
      <c r="AG69" s="7">
        <v>0</v>
      </c>
      <c r="AH69" s="7">
        <v>168103.89</v>
      </c>
      <c r="AI69" s="7">
        <v>0</v>
      </c>
      <c r="AJ69" s="7">
        <v>0</v>
      </c>
      <c r="AK69" s="7">
        <v>0</v>
      </c>
      <c r="AL69" s="7">
        <v>0</v>
      </c>
      <c r="AM69" s="7">
        <v>1267.7159999999999</v>
      </c>
      <c r="AN69" s="7">
        <v>0</v>
      </c>
      <c r="AO69" s="7">
        <v>2565.8119999999999</v>
      </c>
      <c r="AP69" s="7">
        <v>0</v>
      </c>
      <c r="AQ69" s="7">
        <v>0</v>
      </c>
      <c r="AR69" s="7">
        <v>0</v>
      </c>
      <c r="AS69" s="7">
        <v>92.04</v>
      </c>
      <c r="AT69" s="7">
        <v>0</v>
      </c>
      <c r="AU69" s="7">
        <v>2732.0880000000002</v>
      </c>
      <c r="AV69" s="7">
        <v>0</v>
      </c>
      <c r="AW69" s="7">
        <v>0</v>
      </c>
      <c r="AX69" s="7">
        <v>0</v>
      </c>
      <c r="AY69" s="7">
        <v>1767.268</v>
      </c>
      <c r="AZ69" s="7">
        <v>0</v>
      </c>
      <c r="BA69" s="7">
        <v>0</v>
      </c>
      <c r="BB69" s="7">
        <v>899.41200000000003</v>
      </c>
      <c r="BC69" s="7">
        <v>1439.521</v>
      </c>
      <c r="BD69" s="7">
        <v>0</v>
      </c>
      <c r="BE69" s="7">
        <v>205.809</v>
      </c>
      <c r="BF69" s="7">
        <v>205.809</v>
      </c>
      <c r="BG69" s="7">
        <v>0</v>
      </c>
      <c r="BH69" s="7">
        <v>0</v>
      </c>
      <c r="BI69" s="7">
        <v>594.07399999999996</v>
      </c>
      <c r="BJ69" s="21"/>
    </row>
    <row r="70" spans="1:62" ht="15.6" x14ac:dyDescent="0.3">
      <c r="A70" s="5" t="s">
        <v>124</v>
      </c>
      <c r="B70" s="5" t="s">
        <v>125</v>
      </c>
      <c r="C70" s="7">
        <v>3</v>
      </c>
      <c r="D70" s="7">
        <v>3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21"/>
    </row>
    <row r="71" spans="1:62" ht="15.6" x14ac:dyDescent="0.3">
      <c r="A71" s="5" t="s">
        <v>126</v>
      </c>
      <c r="B71" s="5" t="s">
        <v>127</v>
      </c>
      <c r="C71" s="7">
        <v>3</v>
      </c>
      <c r="D71" s="7">
        <v>3</v>
      </c>
      <c r="E71" s="7">
        <v>41249.478000000003</v>
      </c>
      <c r="F71" s="7">
        <v>5708.0889999999999</v>
      </c>
      <c r="G71" s="7">
        <v>8930.973</v>
      </c>
      <c r="H71" s="7">
        <v>19431.821</v>
      </c>
      <c r="I71" s="7">
        <v>1002.134</v>
      </c>
      <c r="J71" s="7">
        <v>5088.3670000000002</v>
      </c>
      <c r="K71" s="7">
        <v>0</v>
      </c>
      <c r="L71" s="7">
        <v>16423.48</v>
      </c>
      <c r="M71" s="7">
        <v>23309.95</v>
      </c>
      <c r="N71" s="7">
        <v>0</v>
      </c>
      <c r="O71" s="7">
        <v>0</v>
      </c>
      <c r="P71" s="7">
        <v>0.74199999999999999</v>
      </c>
      <c r="Q71" s="7">
        <v>0</v>
      </c>
      <c r="R71" s="7">
        <v>0</v>
      </c>
      <c r="S71" s="7">
        <v>2482.9789999999998</v>
      </c>
      <c r="T71" s="7">
        <v>0</v>
      </c>
      <c r="U71" s="7">
        <v>0</v>
      </c>
      <c r="V71" s="7">
        <v>1016.53</v>
      </c>
      <c r="W71" s="7">
        <v>1705.95</v>
      </c>
      <c r="X71" s="7">
        <v>0</v>
      </c>
      <c r="Y71" s="7">
        <v>6319.6750000000002</v>
      </c>
      <c r="Z71" s="7">
        <v>0</v>
      </c>
      <c r="AA71" s="7">
        <v>12238.396000000001</v>
      </c>
      <c r="AB71" s="7">
        <v>0</v>
      </c>
      <c r="AC71" s="7">
        <v>922.47299999999996</v>
      </c>
      <c r="AD71" s="7">
        <v>0</v>
      </c>
      <c r="AE71" s="7">
        <v>6610.174</v>
      </c>
      <c r="AF71" s="7">
        <v>0</v>
      </c>
      <c r="AG71" s="7">
        <v>0</v>
      </c>
      <c r="AH71" s="7">
        <v>39427.82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608.42399999999998</v>
      </c>
      <c r="AP71" s="7">
        <v>0</v>
      </c>
      <c r="AQ71" s="7">
        <v>0</v>
      </c>
      <c r="AR71" s="7">
        <v>0</v>
      </c>
      <c r="AS71" s="7">
        <v>21.824999999999999</v>
      </c>
      <c r="AT71" s="7">
        <v>0</v>
      </c>
      <c r="AU71" s="7">
        <v>627.21199999999999</v>
      </c>
      <c r="AV71" s="7">
        <v>0</v>
      </c>
      <c r="AW71" s="7">
        <v>0</v>
      </c>
      <c r="AX71" s="7">
        <v>0</v>
      </c>
      <c r="AY71" s="7">
        <v>419.06799999999998</v>
      </c>
      <c r="AZ71" s="7">
        <v>0</v>
      </c>
      <c r="BA71" s="7">
        <v>0</v>
      </c>
      <c r="BB71" s="7">
        <v>213.27500000000001</v>
      </c>
      <c r="BC71" s="7">
        <v>341.35</v>
      </c>
      <c r="BD71" s="7">
        <v>0</v>
      </c>
      <c r="BE71" s="7">
        <v>48.802999999999997</v>
      </c>
      <c r="BF71" s="7">
        <v>48.802999999999997</v>
      </c>
      <c r="BG71" s="7">
        <v>0</v>
      </c>
      <c r="BH71" s="7">
        <v>0</v>
      </c>
      <c r="BI71" s="7">
        <v>140.87100000000001</v>
      </c>
      <c r="BJ71" s="21"/>
    </row>
    <row r="72" spans="1:62" ht="15.6" x14ac:dyDescent="0.3">
      <c r="A72" s="5" t="s">
        <v>128</v>
      </c>
      <c r="B72" s="5" t="s">
        <v>129</v>
      </c>
      <c r="C72" s="7">
        <v>3</v>
      </c>
      <c r="D72" s="7">
        <v>3</v>
      </c>
      <c r="E72" s="7">
        <v>15913.688</v>
      </c>
      <c r="F72" s="7">
        <v>2202.1309999999999</v>
      </c>
      <c r="G72" s="7">
        <v>3445.491</v>
      </c>
      <c r="H72" s="7">
        <v>2629.5</v>
      </c>
      <c r="I72" s="7">
        <v>386.61399999999998</v>
      </c>
      <c r="J72" s="7">
        <v>1963.048</v>
      </c>
      <c r="K72" s="7">
        <v>0</v>
      </c>
      <c r="L72" s="7">
        <v>6336.0349999999999</v>
      </c>
      <c r="M72" s="7">
        <v>8992.7749999999996</v>
      </c>
      <c r="N72" s="7">
        <v>0</v>
      </c>
      <c r="O72" s="7">
        <v>0</v>
      </c>
      <c r="P72" s="7">
        <v>0.28599999999999998</v>
      </c>
      <c r="Q72" s="7">
        <v>0</v>
      </c>
      <c r="R72" s="7">
        <v>0</v>
      </c>
      <c r="S72" s="7">
        <v>957.91200000000003</v>
      </c>
      <c r="T72" s="7">
        <v>0</v>
      </c>
      <c r="U72" s="7">
        <v>0</v>
      </c>
      <c r="V72" s="7">
        <v>392.16800000000001</v>
      </c>
      <c r="W72" s="7">
        <v>658.14099999999996</v>
      </c>
      <c r="X72" s="7">
        <v>0</v>
      </c>
      <c r="Y72" s="7">
        <v>2438.0749999999998</v>
      </c>
      <c r="Z72" s="7">
        <v>0</v>
      </c>
      <c r="AA72" s="7">
        <v>4721.4660000000003</v>
      </c>
      <c r="AB72" s="7">
        <v>0</v>
      </c>
      <c r="AC72" s="7">
        <v>355.88200000000001</v>
      </c>
      <c r="AD72" s="7">
        <v>0</v>
      </c>
      <c r="AE72" s="7">
        <v>2550.1469999999999</v>
      </c>
      <c r="AF72" s="7">
        <v>0</v>
      </c>
      <c r="AG72" s="7">
        <v>0</v>
      </c>
      <c r="AH72" s="7">
        <v>15210.909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234.72499999999999</v>
      </c>
      <c r="AP72" s="7">
        <v>0</v>
      </c>
      <c r="AQ72" s="7">
        <v>0</v>
      </c>
      <c r="AR72" s="7">
        <v>0</v>
      </c>
      <c r="AS72" s="7">
        <v>8.42</v>
      </c>
      <c r="AT72" s="7">
        <v>0</v>
      </c>
      <c r="AU72" s="7">
        <v>241.97300000000001</v>
      </c>
      <c r="AV72" s="7">
        <v>0</v>
      </c>
      <c r="AW72" s="7">
        <v>0</v>
      </c>
      <c r="AX72" s="7">
        <v>0</v>
      </c>
      <c r="AY72" s="7">
        <v>161.673</v>
      </c>
      <c r="AZ72" s="7">
        <v>0</v>
      </c>
      <c r="BA72" s="7">
        <v>0</v>
      </c>
      <c r="BB72" s="7">
        <v>82.28</v>
      </c>
      <c r="BC72" s="7">
        <v>131.69</v>
      </c>
      <c r="BD72" s="7">
        <v>0</v>
      </c>
      <c r="BE72" s="7">
        <v>18.827999999999999</v>
      </c>
      <c r="BF72" s="7">
        <v>18.827999999999999</v>
      </c>
      <c r="BG72" s="7">
        <v>0</v>
      </c>
      <c r="BH72" s="7">
        <v>0</v>
      </c>
      <c r="BI72" s="7">
        <v>54.347000000000001</v>
      </c>
      <c r="BJ72" s="21"/>
    </row>
    <row r="73" spans="1:62" ht="15.6" x14ac:dyDescent="0.3">
      <c r="A73" s="5" t="s">
        <v>130</v>
      </c>
      <c r="B73" s="5" t="s">
        <v>131</v>
      </c>
      <c r="C73" s="7">
        <v>3</v>
      </c>
      <c r="D73" s="7">
        <v>3</v>
      </c>
      <c r="E73" s="7">
        <v>61736.184999999998</v>
      </c>
      <c r="F73" s="7">
        <v>8515.7510000000002</v>
      </c>
      <c r="G73" s="7">
        <v>13316.133</v>
      </c>
      <c r="H73" s="7">
        <v>11562.945</v>
      </c>
      <c r="I73" s="7">
        <v>1498.873</v>
      </c>
      <c r="J73" s="7">
        <v>7589.8710000000001</v>
      </c>
      <c r="K73" s="7">
        <v>0</v>
      </c>
      <c r="L73" s="7">
        <v>24770.309000000001</v>
      </c>
      <c r="M73" s="7">
        <v>34763.874000000003</v>
      </c>
      <c r="N73" s="7">
        <v>0</v>
      </c>
      <c r="O73" s="7">
        <v>0</v>
      </c>
      <c r="P73" s="7">
        <v>3.5110000000000001</v>
      </c>
      <c r="Q73" s="7">
        <v>8.0380000000000003</v>
      </c>
      <c r="R73" s="7">
        <v>25.655999999999999</v>
      </c>
      <c r="S73" s="7">
        <v>3681.4430000000002</v>
      </c>
      <c r="T73" s="7">
        <v>0</v>
      </c>
      <c r="U73" s="7">
        <v>0</v>
      </c>
      <c r="V73" s="7">
        <v>1513.944</v>
      </c>
      <c r="W73" s="7">
        <v>2549.944</v>
      </c>
      <c r="X73" s="7">
        <v>0</v>
      </c>
      <c r="Y73" s="7">
        <v>9532.7630000000008</v>
      </c>
      <c r="Z73" s="7">
        <v>0</v>
      </c>
      <c r="AA73" s="7">
        <v>18203.042000000001</v>
      </c>
      <c r="AB73" s="7">
        <v>0</v>
      </c>
      <c r="AC73" s="7">
        <v>1376.4670000000001</v>
      </c>
      <c r="AD73" s="7">
        <v>0</v>
      </c>
      <c r="AE73" s="7">
        <v>10322.093000000001</v>
      </c>
      <c r="AF73" s="7">
        <v>7.6429999999999998</v>
      </c>
      <c r="AG73" s="7">
        <v>0</v>
      </c>
      <c r="AH73" s="7">
        <v>59669.955999999998</v>
      </c>
      <c r="AI73" s="7">
        <v>26.524999999999999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902.09400000000005</v>
      </c>
      <c r="AP73" s="7">
        <v>0</v>
      </c>
      <c r="AQ73" s="7">
        <v>0</v>
      </c>
      <c r="AR73" s="7">
        <v>0</v>
      </c>
      <c r="AS73" s="7">
        <v>32.36</v>
      </c>
      <c r="AT73" s="7">
        <v>0</v>
      </c>
      <c r="AU73" s="7">
        <v>929.95</v>
      </c>
      <c r="AV73" s="7">
        <v>0</v>
      </c>
      <c r="AW73" s="7">
        <v>0</v>
      </c>
      <c r="AX73" s="7">
        <v>0</v>
      </c>
      <c r="AY73" s="7">
        <v>621.34</v>
      </c>
      <c r="AZ73" s="7">
        <v>0</v>
      </c>
      <c r="BA73" s="7">
        <v>0</v>
      </c>
      <c r="BB73" s="7">
        <v>316.21699999999998</v>
      </c>
      <c r="BC73" s="7">
        <v>506.11</v>
      </c>
      <c r="BD73" s="7">
        <v>0</v>
      </c>
      <c r="BE73" s="7">
        <v>72.358999999999995</v>
      </c>
      <c r="BF73" s="7">
        <v>72.358999999999995</v>
      </c>
      <c r="BG73" s="7">
        <v>0</v>
      </c>
      <c r="BH73" s="7">
        <v>0</v>
      </c>
      <c r="BI73" s="7">
        <v>208.86600000000001</v>
      </c>
      <c r="BJ73" s="21"/>
    </row>
    <row r="74" spans="1:62" ht="15.6" x14ac:dyDescent="0.3">
      <c r="A74" s="5" t="s">
        <v>132</v>
      </c>
      <c r="B74" s="5" t="s">
        <v>133</v>
      </c>
      <c r="C74" s="7">
        <v>3</v>
      </c>
      <c r="D74" s="7">
        <v>3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21"/>
    </row>
    <row r="75" spans="1:62" ht="15.6" x14ac:dyDescent="0.3">
      <c r="A75" s="5" t="s">
        <v>134</v>
      </c>
      <c r="B75" s="5" t="s">
        <v>135</v>
      </c>
      <c r="C75" s="7">
        <v>6</v>
      </c>
      <c r="D75" s="7">
        <v>6</v>
      </c>
      <c r="E75" s="7">
        <v>45124.815999999999</v>
      </c>
      <c r="F75" s="7">
        <v>4360.5550000000003</v>
      </c>
      <c r="G75" s="7">
        <v>11385.126</v>
      </c>
      <c r="H75" s="7">
        <v>1827.6089999999999</v>
      </c>
      <c r="I75" s="7">
        <v>944.82799999999997</v>
      </c>
      <c r="J75" s="7">
        <v>8550.5390000000007</v>
      </c>
      <c r="K75" s="7">
        <v>0</v>
      </c>
      <c r="L75" s="7">
        <v>20994.378000000001</v>
      </c>
      <c r="M75" s="7">
        <v>25443.805</v>
      </c>
      <c r="N75" s="7">
        <v>0</v>
      </c>
      <c r="O75" s="7">
        <v>0</v>
      </c>
      <c r="P75" s="7">
        <v>39.06</v>
      </c>
      <c r="Q75" s="7">
        <v>0</v>
      </c>
      <c r="R75" s="7">
        <v>127.657</v>
      </c>
      <c r="S75" s="7">
        <v>1136.54</v>
      </c>
      <c r="T75" s="7">
        <v>0</v>
      </c>
      <c r="U75" s="7">
        <v>0</v>
      </c>
      <c r="V75" s="7">
        <v>786.06</v>
      </c>
      <c r="W75" s="7">
        <v>2249.5050000000001</v>
      </c>
      <c r="X75" s="7">
        <v>0</v>
      </c>
      <c r="Y75" s="7">
        <v>7388.25</v>
      </c>
      <c r="Z75" s="7">
        <v>0</v>
      </c>
      <c r="AA75" s="7">
        <v>10199.514999999999</v>
      </c>
      <c r="AB75" s="7">
        <v>0</v>
      </c>
      <c r="AC75" s="7">
        <v>711.048</v>
      </c>
      <c r="AD75" s="7">
        <v>0</v>
      </c>
      <c r="AE75" s="7">
        <v>26286.223999999998</v>
      </c>
      <c r="AF75" s="7">
        <v>0</v>
      </c>
      <c r="AG75" s="7">
        <v>0</v>
      </c>
      <c r="AH75" s="7">
        <v>62651.830999999998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443.98599999999999</v>
      </c>
      <c r="AP75" s="7">
        <v>0</v>
      </c>
      <c r="AQ75" s="7">
        <v>0</v>
      </c>
      <c r="AR75" s="7">
        <v>0</v>
      </c>
      <c r="AS75" s="7">
        <v>5.0609999999999999</v>
      </c>
      <c r="AT75" s="7">
        <v>0</v>
      </c>
      <c r="AU75" s="7">
        <v>254.76300000000001</v>
      </c>
      <c r="AV75" s="7">
        <v>0</v>
      </c>
      <c r="AW75" s="7">
        <v>0</v>
      </c>
      <c r="AX75" s="7">
        <v>0</v>
      </c>
      <c r="AY75" s="7">
        <v>306.68400000000003</v>
      </c>
      <c r="AZ75" s="7">
        <v>0</v>
      </c>
      <c r="BA75" s="7">
        <v>0</v>
      </c>
      <c r="BB75" s="7">
        <v>155.85</v>
      </c>
      <c r="BC75" s="7">
        <v>244.374</v>
      </c>
      <c r="BD75" s="7">
        <v>0</v>
      </c>
      <c r="BE75" s="7">
        <v>37.360999999999997</v>
      </c>
      <c r="BF75" s="7">
        <v>37.360999999999997</v>
      </c>
      <c r="BG75" s="7">
        <v>0</v>
      </c>
      <c r="BH75" s="7">
        <v>0</v>
      </c>
      <c r="BI75" s="7">
        <v>103.87</v>
      </c>
      <c r="BJ75" s="21"/>
    </row>
    <row r="76" spans="1:62" ht="15.6" x14ac:dyDescent="0.3">
      <c r="A76" s="5" t="s">
        <v>136</v>
      </c>
      <c r="B76" s="5" t="s">
        <v>137</v>
      </c>
      <c r="C76" s="7">
        <v>6</v>
      </c>
      <c r="D76" s="7">
        <v>6</v>
      </c>
      <c r="E76" s="7">
        <v>1050.07</v>
      </c>
      <c r="F76" s="7">
        <v>95.638000000000005</v>
      </c>
      <c r="G76" s="7">
        <v>135.51599999999999</v>
      </c>
      <c r="H76" s="7">
        <v>0</v>
      </c>
      <c r="I76" s="7">
        <v>23.738</v>
      </c>
      <c r="J76" s="7">
        <v>82.826999999999998</v>
      </c>
      <c r="K76" s="7">
        <v>0</v>
      </c>
      <c r="L76" s="7">
        <v>764.09799999999996</v>
      </c>
      <c r="M76" s="7">
        <v>369.358</v>
      </c>
      <c r="N76" s="7">
        <v>0</v>
      </c>
      <c r="O76" s="7">
        <v>0</v>
      </c>
      <c r="P76" s="7">
        <v>4.3879999999999999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12.313000000000001</v>
      </c>
      <c r="W76" s="7">
        <v>37.470999999999997</v>
      </c>
      <c r="X76" s="7">
        <v>0</v>
      </c>
      <c r="Y76" s="7">
        <v>296.33300000000003</v>
      </c>
      <c r="Z76" s="7">
        <v>0</v>
      </c>
      <c r="AA76" s="7">
        <v>104.723</v>
      </c>
      <c r="AB76" s="7">
        <v>0</v>
      </c>
      <c r="AC76" s="7">
        <v>15.916</v>
      </c>
      <c r="AD76" s="7">
        <v>0</v>
      </c>
      <c r="AE76" s="7">
        <v>949.25099999999998</v>
      </c>
      <c r="AF76" s="7">
        <v>0</v>
      </c>
      <c r="AG76" s="7">
        <v>0</v>
      </c>
      <c r="AH76" s="7">
        <v>2205.6320000000001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21"/>
    </row>
    <row r="77" spans="1:62" ht="15.6" x14ac:dyDescent="0.3">
      <c r="A77" s="5" t="s">
        <v>138</v>
      </c>
      <c r="B77" s="5" t="s">
        <v>139</v>
      </c>
      <c r="C77" s="7">
        <v>6</v>
      </c>
      <c r="D77" s="7">
        <v>6</v>
      </c>
      <c r="E77" s="7">
        <v>5904.92</v>
      </c>
      <c r="F77" s="7">
        <v>1325.644</v>
      </c>
      <c r="G77" s="7">
        <v>182.501</v>
      </c>
      <c r="H77" s="7">
        <v>0</v>
      </c>
      <c r="I77" s="7">
        <v>31.968</v>
      </c>
      <c r="J77" s="7">
        <v>904.78499999999997</v>
      </c>
      <c r="K77" s="7">
        <v>0</v>
      </c>
      <c r="L77" s="7">
        <v>19086.18</v>
      </c>
      <c r="M77" s="7">
        <v>1848.8420000000001</v>
      </c>
      <c r="N77" s="7">
        <v>0</v>
      </c>
      <c r="O77" s="7">
        <v>0</v>
      </c>
      <c r="P77" s="7">
        <v>5.9089999999999998</v>
      </c>
      <c r="Q77" s="7">
        <v>0</v>
      </c>
      <c r="R77" s="7">
        <v>326.32</v>
      </c>
      <c r="S77" s="7">
        <v>0</v>
      </c>
      <c r="T77" s="7">
        <v>0</v>
      </c>
      <c r="U77" s="7">
        <v>0</v>
      </c>
      <c r="V77" s="7">
        <v>16.582999999999998</v>
      </c>
      <c r="W77" s="7">
        <v>50.462000000000003</v>
      </c>
      <c r="X77" s="7">
        <v>0</v>
      </c>
      <c r="Y77" s="7">
        <v>399.07499999999999</v>
      </c>
      <c r="Z77" s="7">
        <v>0</v>
      </c>
      <c r="AA77" s="7">
        <v>141.03200000000001</v>
      </c>
      <c r="AB77" s="7">
        <v>0</v>
      </c>
      <c r="AC77" s="7">
        <v>21.434000000000001</v>
      </c>
      <c r="AD77" s="7">
        <v>0</v>
      </c>
      <c r="AE77" s="7">
        <v>3328.8150000000001</v>
      </c>
      <c r="AF77" s="7">
        <v>0</v>
      </c>
      <c r="AG77" s="7">
        <v>0</v>
      </c>
      <c r="AH77" s="7">
        <v>14822.513999999999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21"/>
    </row>
    <row r="78" spans="1:62" ht="15.6" x14ac:dyDescent="0.3">
      <c r="A78" s="5" t="s">
        <v>140</v>
      </c>
      <c r="B78" s="5" t="s">
        <v>141</v>
      </c>
      <c r="C78" s="7">
        <v>6</v>
      </c>
      <c r="D78" s="7">
        <v>6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21"/>
    </row>
    <row r="79" spans="1:62" ht="15.6" x14ac:dyDescent="0.3">
      <c r="A79" s="5" t="s">
        <v>142</v>
      </c>
      <c r="B79" s="5" t="s">
        <v>143</v>
      </c>
      <c r="C79" s="7">
        <v>6</v>
      </c>
      <c r="D79" s="7">
        <v>6</v>
      </c>
      <c r="E79" s="7">
        <v>9101.2729999999992</v>
      </c>
      <c r="F79" s="7">
        <v>1157.0509999999999</v>
      </c>
      <c r="G79" s="7">
        <v>1781.2380000000001</v>
      </c>
      <c r="H79" s="7">
        <v>5866.23</v>
      </c>
      <c r="I79" s="7">
        <v>217.45599999999999</v>
      </c>
      <c r="J79" s="7">
        <v>1026.4290000000001</v>
      </c>
      <c r="K79" s="7">
        <v>0</v>
      </c>
      <c r="L79" s="7">
        <v>4336.8649999999998</v>
      </c>
      <c r="M79" s="7">
        <v>4681.3289999999997</v>
      </c>
      <c r="N79" s="7">
        <v>0</v>
      </c>
      <c r="O79" s="7">
        <v>0</v>
      </c>
      <c r="P79" s="7">
        <v>9.1690000000000005</v>
      </c>
      <c r="Q79" s="7">
        <v>0</v>
      </c>
      <c r="R79" s="7">
        <v>0</v>
      </c>
      <c r="S79" s="7">
        <v>417.56099999999998</v>
      </c>
      <c r="T79" s="7">
        <v>0</v>
      </c>
      <c r="U79" s="7">
        <v>0</v>
      </c>
      <c r="V79" s="7">
        <v>196.32900000000001</v>
      </c>
      <c r="W79" s="7">
        <v>364.12200000000001</v>
      </c>
      <c r="X79" s="7">
        <v>0</v>
      </c>
      <c r="Y79" s="7">
        <v>1673.569</v>
      </c>
      <c r="Z79" s="7">
        <v>0</v>
      </c>
      <c r="AA79" s="7">
        <v>2273.9749999999999</v>
      </c>
      <c r="AB79" s="7">
        <v>0</v>
      </c>
      <c r="AC79" s="7">
        <v>187.93700000000001</v>
      </c>
      <c r="AD79" s="7">
        <v>0</v>
      </c>
      <c r="AE79" s="7">
        <v>3068.2020000000002</v>
      </c>
      <c r="AF79" s="7">
        <v>0</v>
      </c>
      <c r="AG79" s="7">
        <v>0</v>
      </c>
      <c r="AH79" s="7">
        <v>11176.743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102.318</v>
      </c>
      <c r="AP79" s="7">
        <v>0</v>
      </c>
      <c r="AQ79" s="7">
        <v>0</v>
      </c>
      <c r="AR79" s="7">
        <v>0</v>
      </c>
      <c r="AS79" s="7">
        <v>3.67</v>
      </c>
      <c r="AT79" s="7">
        <v>0</v>
      </c>
      <c r="AU79" s="7">
        <v>105.47799999999999</v>
      </c>
      <c r="AV79" s="7">
        <v>0</v>
      </c>
      <c r="AW79" s="7">
        <v>0</v>
      </c>
      <c r="AX79" s="7">
        <v>0</v>
      </c>
      <c r="AY79" s="7">
        <v>70.474000000000004</v>
      </c>
      <c r="AZ79" s="7">
        <v>0</v>
      </c>
      <c r="BA79" s="7">
        <v>0</v>
      </c>
      <c r="BB79" s="7">
        <v>35.866</v>
      </c>
      <c r="BC79" s="7">
        <v>57.405000000000001</v>
      </c>
      <c r="BD79" s="7">
        <v>0</v>
      </c>
      <c r="BE79" s="7">
        <v>8.2070000000000007</v>
      </c>
      <c r="BF79" s="7">
        <v>8.2070000000000007</v>
      </c>
      <c r="BG79" s="7">
        <v>0</v>
      </c>
      <c r="BH79" s="7">
        <v>0</v>
      </c>
      <c r="BI79" s="7">
        <v>23.69</v>
      </c>
      <c r="BJ79" s="21"/>
    </row>
    <row r="80" spans="1:62" ht="15.6" x14ac:dyDescent="0.3">
      <c r="A80" s="5" t="s">
        <v>144</v>
      </c>
      <c r="B80" s="5" t="s">
        <v>145</v>
      </c>
      <c r="C80" s="7">
        <v>6</v>
      </c>
      <c r="D80" s="7">
        <v>6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21"/>
    </row>
    <row r="81" spans="1:62" ht="15.6" x14ac:dyDescent="0.3">
      <c r="A81" s="5" t="s">
        <v>146</v>
      </c>
      <c r="B81" s="5" t="s">
        <v>147</v>
      </c>
      <c r="C81" s="7">
        <v>6</v>
      </c>
      <c r="D81" s="7">
        <v>6</v>
      </c>
      <c r="E81" s="7">
        <v>8578.7870000000003</v>
      </c>
      <c r="F81" s="7">
        <v>1153.741</v>
      </c>
      <c r="G81" s="7">
        <v>1749.9159999999999</v>
      </c>
      <c r="H81" s="7">
        <v>0</v>
      </c>
      <c r="I81" s="7">
        <v>153.245</v>
      </c>
      <c r="J81" s="7">
        <v>1240.0419999999999</v>
      </c>
      <c r="K81" s="7">
        <v>0</v>
      </c>
      <c r="L81" s="7">
        <v>10178.972</v>
      </c>
      <c r="M81" s="7">
        <v>3428.848</v>
      </c>
      <c r="N81" s="7">
        <v>0</v>
      </c>
      <c r="O81" s="7">
        <v>0</v>
      </c>
      <c r="P81" s="7">
        <v>18.687999999999999</v>
      </c>
      <c r="Q81" s="7">
        <v>0</v>
      </c>
      <c r="R81" s="7">
        <v>116.03</v>
      </c>
      <c r="S81" s="7">
        <v>129.72399999999999</v>
      </c>
      <c r="T81" s="7">
        <v>0</v>
      </c>
      <c r="U81" s="7">
        <v>0</v>
      </c>
      <c r="V81" s="7">
        <v>105.44199999999999</v>
      </c>
      <c r="W81" s="7">
        <v>248.38200000000001</v>
      </c>
      <c r="X81" s="7">
        <v>0</v>
      </c>
      <c r="Y81" s="7">
        <v>1769.8309999999999</v>
      </c>
      <c r="Z81" s="7">
        <v>0</v>
      </c>
      <c r="AA81" s="7">
        <v>1173.2909999999999</v>
      </c>
      <c r="AB81" s="7">
        <v>0</v>
      </c>
      <c r="AC81" s="7">
        <v>115.84</v>
      </c>
      <c r="AD81" s="7">
        <v>0</v>
      </c>
      <c r="AE81" s="7">
        <v>5533.1360000000004</v>
      </c>
      <c r="AF81" s="7">
        <v>0</v>
      </c>
      <c r="AG81" s="7">
        <v>0</v>
      </c>
      <c r="AH81" s="7">
        <v>16228.755999999999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31.786999999999999</v>
      </c>
      <c r="AP81" s="7">
        <v>0</v>
      </c>
      <c r="AQ81" s="7">
        <v>0</v>
      </c>
      <c r="AR81" s="7">
        <v>0</v>
      </c>
      <c r="AS81" s="7">
        <v>1.1399999999999999</v>
      </c>
      <c r="AT81" s="7">
        <v>0</v>
      </c>
      <c r="AU81" s="7">
        <v>32.768999999999998</v>
      </c>
      <c r="AV81" s="7">
        <v>0</v>
      </c>
      <c r="AW81" s="7">
        <v>0</v>
      </c>
      <c r="AX81" s="7">
        <v>0</v>
      </c>
      <c r="AY81" s="7">
        <v>21.893999999999998</v>
      </c>
      <c r="AZ81" s="7">
        <v>0</v>
      </c>
      <c r="BA81" s="7">
        <v>0</v>
      </c>
      <c r="BB81" s="7">
        <v>11.143000000000001</v>
      </c>
      <c r="BC81" s="7">
        <v>17.834</v>
      </c>
      <c r="BD81" s="7">
        <v>0</v>
      </c>
      <c r="BE81" s="7">
        <v>2.5499999999999998</v>
      </c>
      <c r="BF81" s="7">
        <v>2.5499999999999998</v>
      </c>
      <c r="BG81" s="7">
        <v>0</v>
      </c>
      <c r="BH81" s="7">
        <v>0</v>
      </c>
      <c r="BI81" s="7">
        <v>7.36</v>
      </c>
      <c r="BJ81" s="21"/>
    </row>
    <row r="82" spans="1:62" ht="15.6" x14ac:dyDescent="0.3">
      <c r="A82" s="5" t="s">
        <v>148</v>
      </c>
      <c r="B82" s="5" t="s">
        <v>149</v>
      </c>
      <c r="C82" s="7">
        <v>6</v>
      </c>
      <c r="D82" s="7">
        <v>6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21"/>
    </row>
    <row r="83" spans="1:62" ht="15.6" x14ac:dyDescent="0.3">
      <c r="A83" s="5" t="s">
        <v>150</v>
      </c>
      <c r="B83" s="5" t="s">
        <v>151</v>
      </c>
      <c r="C83" s="7">
        <v>6</v>
      </c>
      <c r="D83" s="7">
        <v>6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21"/>
    </row>
    <row r="84" spans="1:62" ht="15.6" x14ac:dyDescent="0.3">
      <c r="A84" s="5" t="s">
        <v>152</v>
      </c>
      <c r="B84" s="5" t="s">
        <v>153</v>
      </c>
      <c r="C84" s="7">
        <v>6</v>
      </c>
      <c r="D84" s="7">
        <v>6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21"/>
    </row>
    <row r="85" spans="1:62" ht="15.6" x14ac:dyDescent="0.3">
      <c r="A85" s="5" t="s">
        <v>154</v>
      </c>
      <c r="B85" s="5" t="s">
        <v>155</v>
      </c>
      <c r="C85" s="7">
        <v>6</v>
      </c>
      <c r="D85" s="7">
        <v>6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21"/>
    </row>
    <row r="86" spans="1:62" ht="15.6" x14ac:dyDescent="0.3">
      <c r="A86" s="5" t="s">
        <v>156</v>
      </c>
      <c r="B86" s="5" t="s">
        <v>157</v>
      </c>
      <c r="C86" s="7">
        <v>6</v>
      </c>
      <c r="D86" s="7">
        <v>6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21"/>
    </row>
    <row r="87" spans="1:62" ht="15.6" x14ac:dyDescent="0.3">
      <c r="A87" s="5" t="s">
        <v>158</v>
      </c>
      <c r="B87" s="5" t="s">
        <v>159</v>
      </c>
      <c r="C87" s="7">
        <v>6</v>
      </c>
      <c r="D87" s="7">
        <v>6</v>
      </c>
      <c r="E87" s="7">
        <v>15689.082</v>
      </c>
      <c r="F87" s="7">
        <v>2171.5909999999999</v>
      </c>
      <c r="G87" s="7">
        <v>3397.029</v>
      </c>
      <c r="H87" s="7">
        <v>2379.5700000000002</v>
      </c>
      <c r="I87" s="7">
        <v>381.19099999999997</v>
      </c>
      <c r="J87" s="7">
        <v>1935.405</v>
      </c>
      <c r="K87" s="7">
        <v>0</v>
      </c>
      <c r="L87" s="7">
        <v>6263.0969999999998</v>
      </c>
      <c r="M87" s="7">
        <v>8867.3919999999998</v>
      </c>
      <c r="N87" s="7">
        <v>0</v>
      </c>
      <c r="O87" s="7">
        <v>0</v>
      </c>
      <c r="P87" s="7">
        <v>0.30499999999999999</v>
      </c>
      <c r="Q87" s="7">
        <v>0</v>
      </c>
      <c r="R87" s="7">
        <v>0</v>
      </c>
      <c r="S87" s="7">
        <v>944.14</v>
      </c>
      <c r="T87" s="7">
        <v>0</v>
      </c>
      <c r="U87" s="7">
        <v>0</v>
      </c>
      <c r="V87" s="7">
        <v>386.54</v>
      </c>
      <c r="W87" s="7">
        <v>648.72</v>
      </c>
      <c r="X87" s="7">
        <v>0</v>
      </c>
      <c r="Y87" s="7">
        <v>2403.1379999999999</v>
      </c>
      <c r="Z87" s="7">
        <v>0</v>
      </c>
      <c r="AA87" s="7">
        <v>4653.6909999999998</v>
      </c>
      <c r="AB87" s="7">
        <v>0</v>
      </c>
      <c r="AC87" s="7">
        <v>350.779</v>
      </c>
      <c r="AD87" s="7">
        <v>0</v>
      </c>
      <c r="AE87" s="7">
        <v>2513.759</v>
      </c>
      <c r="AF87" s="7">
        <v>0</v>
      </c>
      <c r="AG87" s="7">
        <v>0</v>
      </c>
      <c r="AH87" s="7">
        <v>15018.86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231.35</v>
      </c>
      <c r="AP87" s="7">
        <v>0</v>
      </c>
      <c r="AQ87" s="7">
        <v>0</v>
      </c>
      <c r="AR87" s="7">
        <v>0</v>
      </c>
      <c r="AS87" s="7">
        <v>8.2989999999999995</v>
      </c>
      <c r="AT87" s="7">
        <v>0</v>
      </c>
      <c r="AU87" s="7">
        <v>238.494</v>
      </c>
      <c r="AV87" s="7">
        <v>0</v>
      </c>
      <c r="AW87" s="7">
        <v>0</v>
      </c>
      <c r="AX87" s="7">
        <v>0</v>
      </c>
      <c r="AY87" s="7">
        <v>159.34800000000001</v>
      </c>
      <c r="AZ87" s="7">
        <v>0</v>
      </c>
      <c r="BA87" s="7">
        <v>0</v>
      </c>
      <c r="BB87" s="7">
        <v>81.096999999999994</v>
      </c>
      <c r="BC87" s="7">
        <v>129.797</v>
      </c>
      <c r="BD87" s="7">
        <v>0</v>
      </c>
      <c r="BE87" s="7">
        <v>18.556999999999999</v>
      </c>
      <c r="BF87" s="7">
        <v>18.556999999999999</v>
      </c>
      <c r="BG87" s="7">
        <v>0</v>
      </c>
      <c r="BH87" s="7">
        <v>0</v>
      </c>
      <c r="BI87" s="7">
        <v>53.566000000000003</v>
      </c>
      <c r="BJ87" s="21"/>
    </row>
    <row r="88" spans="1:62" ht="15.6" x14ac:dyDescent="0.3">
      <c r="A88" s="5" t="s">
        <v>160</v>
      </c>
      <c r="B88" s="5" t="s">
        <v>161</v>
      </c>
      <c r="C88" s="7">
        <v>6</v>
      </c>
      <c r="D88" s="7">
        <v>6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21"/>
    </row>
    <row r="89" spans="1:62" ht="15.6" x14ac:dyDescent="0.3">
      <c r="A89" s="5" t="s">
        <v>162</v>
      </c>
      <c r="B89" s="5" t="s">
        <v>163</v>
      </c>
      <c r="C89" s="7">
        <v>6</v>
      </c>
      <c r="D89" s="7">
        <v>6</v>
      </c>
      <c r="E89" s="7">
        <v>33182.396999999997</v>
      </c>
      <c r="F89" s="7">
        <v>5011.7889999999998</v>
      </c>
      <c r="G89" s="7">
        <v>6740.1229999999996</v>
      </c>
      <c r="H89" s="7">
        <v>6350.7280000000001</v>
      </c>
      <c r="I89" s="7">
        <v>937.27800000000002</v>
      </c>
      <c r="J89" s="7">
        <v>4073.5349999999999</v>
      </c>
      <c r="K89" s="7">
        <v>0</v>
      </c>
      <c r="L89" s="7">
        <v>23490.838</v>
      </c>
      <c r="M89" s="7">
        <v>17639.024000000001</v>
      </c>
      <c r="N89" s="7">
        <v>0</v>
      </c>
      <c r="O89" s="7">
        <v>0</v>
      </c>
      <c r="P89" s="7">
        <v>68.948999999999998</v>
      </c>
      <c r="Q89" s="7">
        <v>0</v>
      </c>
      <c r="R89" s="7">
        <v>111.181</v>
      </c>
      <c r="S89" s="7">
        <v>1772.2729999999999</v>
      </c>
      <c r="T89" s="7">
        <v>0</v>
      </c>
      <c r="U89" s="7">
        <v>0</v>
      </c>
      <c r="V89" s="7">
        <v>725.56799999999998</v>
      </c>
      <c r="W89" s="7">
        <v>1217.654</v>
      </c>
      <c r="X89" s="7">
        <v>0</v>
      </c>
      <c r="Y89" s="7">
        <v>4621.8909999999996</v>
      </c>
      <c r="Z89" s="7">
        <v>0</v>
      </c>
      <c r="AA89" s="7">
        <v>8735.3860000000004</v>
      </c>
      <c r="AB89" s="7">
        <v>0</v>
      </c>
      <c r="AC89" s="7">
        <v>658.43299999999999</v>
      </c>
      <c r="AD89" s="7">
        <v>0</v>
      </c>
      <c r="AE89" s="7">
        <v>5851.3890000000001</v>
      </c>
      <c r="AF89" s="7">
        <v>0</v>
      </c>
      <c r="AG89" s="7">
        <v>0</v>
      </c>
      <c r="AH89" s="7">
        <v>39957.402999999998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434.274</v>
      </c>
      <c r="AP89" s="7">
        <v>0</v>
      </c>
      <c r="AQ89" s="7">
        <v>0</v>
      </c>
      <c r="AR89" s="7">
        <v>0</v>
      </c>
      <c r="AS89" s="7">
        <v>15.577999999999999</v>
      </c>
      <c r="AT89" s="7">
        <v>0</v>
      </c>
      <c r="AU89" s="7">
        <v>447.68400000000003</v>
      </c>
      <c r="AV89" s="7">
        <v>0</v>
      </c>
      <c r="AW89" s="7">
        <v>0</v>
      </c>
      <c r="AX89" s="7">
        <v>0</v>
      </c>
      <c r="AY89" s="7">
        <v>299.11700000000002</v>
      </c>
      <c r="AZ89" s="7">
        <v>0</v>
      </c>
      <c r="BA89" s="7">
        <v>0</v>
      </c>
      <c r="BB89" s="7">
        <v>152.22900000000001</v>
      </c>
      <c r="BC89" s="7">
        <v>243.64500000000001</v>
      </c>
      <c r="BD89" s="7">
        <v>0</v>
      </c>
      <c r="BE89" s="7">
        <v>34.834000000000003</v>
      </c>
      <c r="BF89" s="7">
        <v>34.834000000000003</v>
      </c>
      <c r="BG89" s="7">
        <v>0</v>
      </c>
      <c r="BH89" s="7">
        <v>0</v>
      </c>
      <c r="BI89" s="7">
        <v>100.54900000000001</v>
      </c>
      <c r="BJ89" s="21"/>
    </row>
    <row r="90" spans="1:62" ht="15.6" x14ac:dyDescent="0.3">
      <c r="A90" s="5" t="s">
        <v>164</v>
      </c>
      <c r="B90" s="5" t="s">
        <v>165</v>
      </c>
      <c r="C90" s="7">
        <v>6</v>
      </c>
      <c r="D90" s="7">
        <v>6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21"/>
    </row>
    <row r="91" spans="1:62" ht="15.6" x14ac:dyDescent="0.3">
      <c r="A91" s="5" t="s">
        <v>166</v>
      </c>
      <c r="B91" s="5" t="s">
        <v>167</v>
      </c>
      <c r="C91" s="7">
        <v>3</v>
      </c>
      <c r="D91" s="7">
        <v>3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21"/>
    </row>
    <row r="92" spans="1:62" ht="15.6" x14ac:dyDescent="0.3">
      <c r="A92" s="5" t="s">
        <v>168</v>
      </c>
      <c r="B92" s="5" t="s">
        <v>169</v>
      </c>
      <c r="C92" s="7">
        <v>3</v>
      </c>
      <c r="D92" s="7">
        <v>3</v>
      </c>
      <c r="E92" s="7">
        <v>66575.584000000003</v>
      </c>
      <c r="F92" s="7">
        <v>9117.5020000000004</v>
      </c>
      <c r="G92" s="7">
        <v>15539.879000000001</v>
      </c>
      <c r="H92" s="7">
        <v>0</v>
      </c>
      <c r="I92" s="7">
        <v>1553.9079999999999</v>
      </c>
      <c r="J92" s="7">
        <v>9658.4230000000007</v>
      </c>
      <c r="K92" s="7">
        <v>0</v>
      </c>
      <c r="L92" s="7">
        <v>26558.037</v>
      </c>
      <c r="M92" s="7">
        <v>38220.35</v>
      </c>
      <c r="N92" s="7">
        <v>0</v>
      </c>
      <c r="O92" s="7">
        <v>0</v>
      </c>
      <c r="P92" s="7">
        <v>1.151</v>
      </c>
      <c r="Q92" s="7">
        <v>0</v>
      </c>
      <c r="R92" s="7">
        <v>153.774</v>
      </c>
      <c r="S92" s="7">
        <v>3850.1060000000002</v>
      </c>
      <c r="T92" s="7">
        <v>0</v>
      </c>
      <c r="U92" s="7">
        <v>0</v>
      </c>
      <c r="V92" s="7">
        <v>1576.231</v>
      </c>
      <c r="W92" s="7">
        <v>2645.2449999999999</v>
      </c>
      <c r="X92" s="7">
        <v>0</v>
      </c>
      <c r="Y92" s="7">
        <v>9799.2839999999997</v>
      </c>
      <c r="Z92" s="7">
        <v>0</v>
      </c>
      <c r="AA92" s="7">
        <v>18976.850999999999</v>
      </c>
      <c r="AB92" s="7">
        <v>0</v>
      </c>
      <c r="AC92" s="7">
        <v>1430.386</v>
      </c>
      <c r="AD92" s="7">
        <v>0</v>
      </c>
      <c r="AE92" s="7">
        <v>15042.362999999999</v>
      </c>
      <c r="AF92" s="7">
        <v>0</v>
      </c>
      <c r="AG92" s="7">
        <v>0</v>
      </c>
      <c r="AH92" s="7">
        <v>66262.567999999999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943.423</v>
      </c>
      <c r="AP92" s="7">
        <v>0</v>
      </c>
      <c r="AQ92" s="7">
        <v>0</v>
      </c>
      <c r="AR92" s="7">
        <v>0</v>
      </c>
      <c r="AS92" s="7">
        <v>33.841999999999999</v>
      </c>
      <c r="AT92" s="7">
        <v>0</v>
      </c>
      <c r="AU92" s="7">
        <v>972.55399999999997</v>
      </c>
      <c r="AV92" s="7">
        <v>0</v>
      </c>
      <c r="AW92" s="7">
        <v>0</v>
      </c>
      <c r="AX92" s="7">
        <v>0</v>
      </c>
      <c r="AY92" s="7">
        <v>649.80600000000004</v>
      </c>
      <c r="AZ92" s="7">
        <v>0</v>
      </c>
      <c r="BA92" s="7">
        <v>0</v>
      </c>
      <c r="BB92" s="7">
        <v>330.70499999999998</v>
      </c>
      <c r="BC92" s="7">
        <v>529.29700000000003</v>
      </c>
      <c r="BD92" s="7">
        <v>0</v>
      </c>
      <c r="BE92" s="7">
        <v>75.674000000000007</v>
      </c>
      <c r="BF92" s="7">
        <v>75.674000000000007</v>
      </c>
      <c r="BG92" s="7">
        <v>0</v>
      </c>
      <c r="BH92" s="7">
        <v>0</v>
      </c>
      <c r="BI92" s="7">
        <v>218.435</v>
      </c>
      <c r="BJ92" s="21"/>
    </row>
    <row r="93" spans="1:62" ht="15.6" x14ac:dyDescent="0.3">
      <c r="A93" s="5" t="s">
        <v>170</v>
      </c>
      <c r="B93" s="5" t="s">
        <v>171</v>
      </c>
      <c r="C93" s="7">
        <v>3</v>
      </c>
      <c r="D93" s="7">
        <v>3</v>
      </c>
      <c r="E93" s="7">
        <v>83472.963000000003</v>
      </c>
      <c r="F93" s="7">
        <v>11550.960999999999</v>
      </c>
      <c r="G93" s="7">
        <v>18072.829000000002</v>
      </c>
      <c r="H93" s="7">
        <v>0</v>
      </c>
      <c r="I93" s="7">
        <v>2027.93</v>
      </c>
      <c r="J93" s="7">
        <v>10296.883</v>
      </c>
      <c r="K93" s="7">
        <v>0</v>
      </c>
      <c r="L93" s="7">
        <v>33234.76</v>
      </c>
      <c r="M93" s="7">
        <v>47170.309000000001</v>
      </c>
      <c r="N93" s="7">
        <v>0</v>
      </c>
      <c r="O93" s="7">
        <v>0</v>
      </c>
      <c r="P93" s="7">
        <v>1.5029999999999999</v>
      </c>
      <c r="Q93" s="7">
        <v>0</v>
      </c>
      <c r="R93" s="7">
        <v>0</v>
      </c>
      <c r="S93" s="7">
        <v>5024.5879999999997</v>
      </c>
      <c r="T93" s="7">
        <v>0</v>
      </c>
      <c r="U93" s="7">
        <v>0</v>
      </c>
      <c r="V93" s="7">
        <v>2057.0630000000001</v>
      </c>
      <c r="W93" s="7">
        <v>3452.181</v>
      </c>
      <c r="X93" s="7">
        <v>0</v>
      </c>
      <c r="Y93" s="7">
        <v>12788.573</v>
      </c>
      <c r="Z93" s="7">
        <v>0</v>
      </c>
      <c r="AA93" s="7">
        <v>24765.772000000001</v>
      </c>
      <c r="AB93" s="7">
        <v>0</v>
      </c>
      <c r="AC93" s="7">
        <v>1866.7280000000001</v>
      </c>
      <c r="AD93" s="7">
        <v>0</v>
      </c>
      <c r="AE93" s="7">
        <v>13376.43</v>
      </c>
      <c r="AF93" s="7">
        <v>0</v>
      </c>
      <c r="AG93" s="7">
        <v>0</v>
      </c>
      <c r="AH93" s="7">
        <v>79786.631999999998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1231.2149999999999</v>
      </c>
      <c r="AP93" s="7">
        <v>0</v>
      </c>
      <c r="AQ93" s="7">
        <v>0</v>
      </c>
      <c r="AR93" s="7">
        <v>0</v>
      </c>
      <c r="AS93" s="7">
        <v>44.165999999999997</v>
      </c>
      <c r="AT93" s="7">
        <v>0</v>
      </c>
      <c r="AU93" s="7">
        <v>1269.2339999999999</v>
      </c>
      <c r="AV93" s="7">
        <v>0</v>
      </c>
      <c r="AW93" s="7">
        <v>0</v>
      </c>
      <c r="AX93" s="7">
        <v>0</v>
      </c>
      <c r="AY93" s="7">
        <v>848.03099999999995</v>
      </c>
      <c r="AZ93" s="7">
        <v>0</v>
      </c>
      <c r="BA93" s="7">
        <v>0</v>
      </c>
      <c r="BB93" s="7">
        <v>431.58699999999999</v>
      </c>
      <c r="BC93" s="7">
        <v>690.76</v>
      </c>
      <c r="BD93" s="7">
        <v>0</v>
      </c>
      <c r="BE93" s="7">
        <v>98.757999999999996</v>
      </c>
      <c r="BF93" s="7">
        <v>98.757999999999996</v>
      </c>
      <c r="BG93" s="7">
        <v>0</v>
      </c>
      <c r="BH93" s="7">
        <v>0</v>
      </c>
      <c r="BI93" s="7">
        <v>285.06900000000002</v>
      </c>
      <c r="BJ93" s="21"/>
    </row>
    <row r="94" spans="1:62" ht="15.6" x14ac:dyDescent="0.3">
      <c r="A94" s="5" t="s">
        <v>172</v>
      </c>
      <c r="B94" s="5" t="s">
        <v>173</v>
      </c>
      <c r="C94" s="7">
        <v>3</v>
      </c>
      <c r="D94" s="7">
        <v>3</v>
      </c>
      <c r="E94" s="7">
        <v>6636.0770000000002</v>
      </c>
      <c r="F94" s="7">
        <v>2451.0329999999999</v>
      </c>
      <c r="G94" s="7">
        <v>6056.2839999999997</v>
      </c>
      <c r="H94" s="7">
        <v>0</v>
      </c>
      <c r="I94" s="7">
        <v>306.38200000000001</v>
      </c>
      <c r="J94" s="7">
        <v>2075.694</v>
      </c>
      <c r="K94" s="7">
        <v>0</v>
      </c>
      <c r="L94" s="7">
        <v>17855.037</v>
      </c>
      <c r="M94" s="7">
        <v>5919.4009999999998</v>
      </c>
      <c r="N94" s="7">
        <v>0</v>
      </c>
      <c r="O94" s="7">
        <v>0</v>
      </c>
      <c r="P94" s="7">
        <v>0.21299999999999999</v>
      </c>
      <c r="Q94" s="7">
        <v>0</v>
      </c>
      <c r="R94" s="7">
        <v>0</v>
      </c>
      <c r="S94" s="7">
        <v>984.322</v>
      </c>
      <c r="T94" s="7">
        <v>0</v>
      </c>
      <c r="U94" s="7">
        <v>0</v>
      </c>
      <c r="V94" s="7">
        <v>319.2</v>
      </c>
      <c r="W94" s="7">
        <v>340.10899999999998</v>
      </c>
      <c r="X94" s="7">
        <v>0</v>
      </c>
      <c r="Y94" s="7">
        <v>4309.7979999999998</v>
      </c>
      <c r="Z94" s="7">
        <v>0</v>
      </c>
      <c r="AA94" s="7">
        <v>3699.3029999999999</v>
      </c>
      <c r="AB94" s="7">
        <v>0</v>
      </c>
      <c r="AC94" s="7">
        <v>1010.022</v>
      </c>
      <c r="AD94" s="7">
        <v>0</v>
      </c>
      <c r="AE94" s="7">
        <v>15129.913</v>
      </c>
      <c r="AF94" s="7">
        <v>1205.556</v>
      </c>
      <c r="AG94" s="7">
        <v>0</v>
      </c>
      <c r="AH94" s="7">
        <v>23443.521000000001</v>
      </c>
      <c r="AI94" s="7">
        <v>2248.79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628.02599999999995</v>
      </c>
      <c r="AP94" s="7">
        <v>0</v>
      </c>
      <c r="AQ94" s="7">
        <v>428.71199999999999</v>
      </c>
      <c r="AR94" s="7">
        <v>0</v>
      </c>
      <c r="AS94" s="7">
        <v>3.9590000000000001</v>
      </c>
      <c r="AT94" s="7">
        <v>0</v>
      </c>
      <c r="AU94" s="7">
        <v>310.51299999999998</v>
      </c>
      <c r="AV94" s="7">
        <v>0</v>
      </c>
      <c r="AW94" s="7">
        <v>0</v>
      </c>
      <c r="AX94" s="7">
        <v>0</v>
      </c>
      <c r="AY94" s="7">
        <v>47.923999999999999</v>
      </c>
      <c r="AZ94" s="7">
        <v>331.68700000000001</v>
      </c>
      <c r="BA94" s="7">
        <v>0</v>
      </c>
      <c r="BB94" s="7">
        <v>214.81700000000001</v>
      </c>
      <c r="BC94" s="7">
        <v>23.053999999999998</v>
      </c>
      <c r="BD94" s="7">
        <v>400.15800000000002</v>
      </c>
      <c r="BE94" s="7">
        <v>49.765999999999998</v>
      </c>
      <c r="BF94" s="7">
        <v>49.765999999999998</v>
      </c>
      <c r="BG94" s="7">
        <v>131.374</v>
      </c>
      <c r="BH94" s="7">
        <v>0</v>
      </c>
      <c r="BI94" s="7">
        <v>9.8249999999999993</v>
      </c>
      <c r="BJ94" s="21"/>
    </row>
    <row r="95" spans="1:62" ht="15.6" x14ac:dyDescent="0.3">
      <c r="A95" s="5" t="s">
        <v>174</v>
      </c>
      <c r="B95" s="5" t="s">
        <v>175</v>
      </c>
      <c r="C95" s="7">
        <v>3</v>
      </c>
      <c r="D95" s="7">
        <v>3</v>
      </c>
      <c r="E95" s="7">
        <v>19835.313999999998</v>
      </c>
      <c r="F95" s="7">
        <v>14404.499</v>
      </c>
      <c r="G95" s="7">
        <v>22001.166000000001</v>
      </c>
      <c r="H95" s="7">
        <v>1.222</v>
      </c>
      <c r="I95" s="7">
        <v>1492.088</v>
      </c>
      <c r="J95" s="7">
        <v>10660.868</v>
      </c>
      <c r="K95" s="7">
        <v>0</v>
      </c>
      <c r="L95" s="7">
        <v>73200.881999999998</v>
      </c>
      <c r="M95" s="7">
        <v>24607.809000000001</v>
      </c>
      <c r="N95" s="7">
        <v>0</v>
      </c>
      <c r="O95" s="7">
        <v>0</v>
      </c>
      <c r="P95" s="7">
        <v>0.20899999999999999</v>
      </c>
      <c r="Q95" s="7">
        <v>0</v>
      </c>
      <c r="R95" s="7">
        <v>0</v>
      </c>
      <c r="S95" s="7">
        <v>5874.3919999999998</v>
      </c>
      <c r="T95" s="7">
        <v>0</v>
      </c>
      <c r="U95" s="7">
        <v>0</v>
      </c>
      <c r="V95" s="7">
        <v>1496.9690000000001</v>
      </c>
      <c r="W95" s="7">
        <v>558.33900000000006</v>
      </c>
      <c r="X95" s="7">
        <v>0</v>
      </c>
      <c r="Y95" s="7">
        <v>14579.779</v>
      </c>
      <c r="Z95" s="7">
        <v>0</v>
      </c>
      <c r="AA95" s="7">
        <v>24996.524000000001</v>
      </c>
      <c r="AB95" s="7">
        <v>0</v>
      </c>
      <c r="AC95" s="7">
        <v>4822.326</v>
      </c>
      <c r="AD95" s="7">
        <v>0</v>
      </c>
      <c r="AE95" s="7">
        <v>53111.296000000002</v>
      </c>
      <c r="AF95" s="7">
        <v>3004.29</v>
      </c>
      <c r="AG95" s="7">
        <v>0</v>
      </c>
      <c r="AH95" s="7">
        <v>87800.467999999993</v>
      </c>
      <c r="AI95" s="7">
        <v>5392.1490000000003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3744.0810000000001</v>
      </c>
      <c r="AP95" s="7">
        <v>0</v>
      </c>
      <c r="AQ95" s="7">
        <v>1044.691</v>
      </c>
      <c r="AR95" s="7">
        <v>0</v>
      </c>
      <c r="AS95" s="7">
        <v>21.032</v>
      </c>
      <c r="AT95" s="7">
        <v>0</v>
      </c>
      <c r="AU95" s="7">
        <v>24.038</v>
      </c>
      <c r="AV95" s="7">
        <v>0</v>
      </c>
      <c r="AW95" s="7">
        <v>0</v>
      </c>
      <c r="AX95" s="7">
        <v>0</v>
      </c>
      <c r="AY95" s="7">
        <v>45.398000000000003</v>
      </c>
      <c r="AZ95" s="7">
        <v>795.30799999999999</v>
      </c>
      <c r="BA95" s="7">
        <v>0</v>
      </c>
      <c r="BB95" s="7">
        <v>1262.5</v>
      </c>
      <c r="BC95" s="7">
        <v>0</v>
      </c>
      <c r="BD95" s="7">
        <v>959.48500000000001</v>
      </c>
      <c r="BE95" s="7">
        <v>294.149</v>
      </c>
      <c r="BF95" s="7">
        <v>294.149</v>
      </c>
      <c r="BG95" s="7">
        <v>315.00299999999999</v>
      </c>
      <c r="BH95" s="7">
        <v>0.85799999999999998</v>
      </c>
      <c r="BI95" s="7">
        <v>0</v>
      </c>
      <c r="BJ95" s="21"/>
    </row>
    <row r="96" spans="1:62" ht="15.6" x14ac:dyDescent="0.3">
      <c r="A96" s="5" t="s">
        <v>176</v>
      </c>
      <c r="B96" s="5" t="s">
        <v>177</v>
      </c>
      <c r="C96" s="7">
        <v>3</v>
      </c>
      <c r="D96" s="7">
        <v>3</v>
      </c>
      <c r="E96" s="7">
        <v>54056.919000000002</v>
      </c>
      <c r="F96" s="7">
        <v>30407.120999999999</v>
      </c>
      <c r="G96" s="7">
        <v>2807.9189999999999</v>
      </c>
      <c r="H96" s="7">
        <v>3480.681</v>
      </c>
      <c r="I96" s="7">
        <v>2550.7620000000002</v>
      </c>
      <c r="J96" s="7">
        <v>20375.507000000001</v>
      </c>
      <c r="K96" s="7">
        <v>0</v>
      </c>
      <c r="L96" s="7">
        <v>95785.925000000003</v>
      </c>
      <c r="M96" s="7">
        <v>27627.097000000002</v>
      </c>
      <c r="N96" s="7">
        <v>0</v>
      </c>
      <c r="O96" s="7">
        <v>0</v>
      </c>
      <c r="P96" s="7">
        <v>0.628</v>
      </c>
      <c r="Q96" s="7">
        <v>0</v>
      </c>
      <c r="R96" s="7">
        <v>0</v>
      </c>
      <c r="S96" s="7">
        <v>11954.736999999999</v>
      </c>
      <c r="T96" s="7">
        <v>0</v>
      </c>
      <c r="U96" s="7">
        <v>0</v>
      </c>
      <c r="V96" s="7">
        <v>1992.93</v>
      </c>
      <c r="W96" s="7">
        <v>358.97500000000002</v>
      </c>
      <c r="X96" s="7">
        <v>0</v>
      </c>
      <c r="Y96" s="7">
        <v>8591.4369999999999</v>
      </c>
      <c r="Z96" s="7">
        <v>0</v>
      </c>
      <c r="AA96" s="7">
        <v>59054.811000000002</v>
      </c>
      <c r="AB96" s="7">
        <v>0</v>
      </c>
      <c r="AC96" s="7">
        <v>5248.86</v>
      </c>
      <c r="AD96" s="7">
        <v>0</v>
      </c>
      <c r="AE96" s="7">
        <v>17659.793000000001</v>
      </c>
      <c r="AF96" s="7">
        <v>8797.9760000000006</v>
      </c>
      <c r="AG96" s="7">
        <v>0</v>
      </c>
      <c r="AH96" s="7">
        <v>157686.28099999999</v>
      </c>
      <c r="AI96" s="7">
        <v>15485.508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6702.4589999999998</v>
      </c>
      <c r="AP96" s="7">
        <v>0</v>
      </c>
      <c r="AQ96" s="7">
        <v>3025.2469999999998</v>
      </c>
      <c r="AR96" s="7">
        <v>0</v>
      </c>
      <c r="AS96" s="7">
        <v>47.585999999999999</v>
      </c>
      <c r="AT96" s="7">
        <v>0</v>
      </c>
      <c r="AU96" s="7">
        <v>70.799000000000007</v>
      </c>
      <c r="AV96" s="7">
        <v>0</v>
      </c>
      <c r="AW96" s="7">
        <v>0</v>
      </c>
      <c r="AX96" s="7">
        <v>0</v>
      </c>
      <c r="AY96" s="7">
        <v>130.376</v>
      </c>
      <c r="AZ96" s="7">
        <v>2283.9960000000001</v>
      </c>
      <c r="BA96" s="7">
        <v>0</v>
      </c>
      <c r="BB96" s="7">
        <v>2231.7379999999998</v>
      </c>
      <c r="BC96" s="7">
        <v>0</v>
      </c>
      <c r="BD96" s="7">
        <v>2755.4850000000001</v>
      </c>
      <c r="BE96" s="7">
        <v>522.56500000000005</v>
      </c>
      <c r="BF96" s="7">
        <v>522.56500000000005</v>
      </c>
      <c r="BG96" s="7">
        <v>904.63800000000003</v>
      </c>
      <c r="BH96" s="7">
        <v>3.7469999999999999</v>
      </c>
      <c r="BI96" s="7">
        <v>0</v>
      </c>
      <c r="BJ96" s="21"/>
    </row>
    <row r="97" spans="1:62" ht="15.6" x14ac:dyDescent="0.3">
      <c r="A97" s="5" t="s">
        <v>178</v>
      </c>
      <c r="B97" s="5" t="s">
        <v>179</v>
      </c>
      <c r="C97" s="7">
        <v>6</v>
      </c>
      <c r="D97" s="7">
        <v>6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21"/>
    </row>
    <row r="98" spans="1:62" ht="15.6" x14ac:dyDescent="0.3">
      <c r="A98" s="5" t="s">
        <v>180</v>
      </c>
      <c r="B98" s="5" t="s">
        <v>181</v>
      </c>
      <c r="C98" s="7">
        <v>6</v>
      </c>
      <c r="D98" s="7">
        <v>6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21"/>
    </row>
    <row r="99" spans="1:62" ht="15.6" x14ac:dyDescent="0.3">
      <c r="A99" s="5" t="s">
        <v>182</v>
      </c>
      <c r="B99" s="5" t="s">
        <v>183</v>
      </c>
      <c r="C99" s="7">
        <v>6</v>
      </c>
      <c r="D99" s="7">
        <v>6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21"/>
    </row>
    <row r="100" spans="1:62" ht="15.6" x14ac:dyDescent="0.3">
      <c r="A100" s="5" t="s">
        <v>184</v>
      </c>
      <c r="B100" s="5" t="s">
        <v>185</v>
      </c>
      <c r="C100" s="7">
        <v>6</v>
      </c>
      <c r="D100" s="7">
        <v>6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21"/>
    </row>
    <row r="101" spans="1:62" ht="15.6" x14ac:dyDescent="0.3">
      <c r="A101" s="5" t="s">
        <v>186</v>
      </c>
      <c r="B101" s="5" t="s">
        <v>187</v>
      </c>
      <c r="C101" s="7">
        <v>6</v>
      </c>
      <c r="D101" s="7">
        <v>6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21"/>
    </row>
    <row r="102" spans="1:62" ht="15.6" x14ac:dyDescent="0.3">
      <c r="A102" s="5" t="s">
        <v>188</v>
      </c>
      <c r="B102" s="5" t="s">
        <v>189</v>
      </c>
      <c r="C102" s="7">
        <v>6</v>
      </c>
      <c r="D102" s="7">
        <v>6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21"/>
    </row>
    <row r="103" spans="1:62" ht="15.6" x14ac:dyDescent="0.3">
      <c r="A103" s="5" t="s">
        <v>190</v>
      </c>
      <c r="B103" s="5" t="s">
        <v>191</v>
      </c>
      <c r="C103" s="7">
        <v>6</v>
      </c>
      <c r="D103" s="7">
        <v>6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21"/>
    </row>
    <row r="104" spans="1:62" ht="15.6" x14ac:dyDescent="0.3">
      <c r="A104" s="5" t="s">
        <v>192</v>
      </c>
      <c r="B104" s="5" t="s">
        <v>193</v>
      </c>
      <c r="C104" s="7">
        <v>6</v>
      </c>
      <c r="D104" s="7">
        <v>6</v>
      </c>
      <c r="E104" s="7">
        <v>0.59799999999999998</v>
      </c>
      <c r="F104" s="7">
        <v>0.41699999999999998</v>
      </c>
      <c r="G104" s="7">
        <v>2.9000000000000001E-2</v>
      </c>
      <c r="H104" s="7">
        <v>1888.873</v>
      </c>
      <c r="I104" s="7">
        <v>3.6999999999999998E-2</v>
      </c>
      <c r="J104" s="7">
        <v>0.31</v>
      </c>
      <c r="K104" s="7">
        <v>0</v>
      </c>
      <c r="L104" s="7">
        <v>0.89300000000000002</v>
      </c>
      <c r="M104" s="7">
        <v>0.34200000000000003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0.16700000000000001</v>
      </c>
      <c r="T104" s="7">
        <v>0</v>
      </c>
      <c r="U104" s="7">
        <v>0</v>
      </c>
      <c r="V104" s="7">
        <v>0.03</v>
      </c>
      <c r="W104" s="7">
        <v>0</v>
      </c>
      <c r="X104" s="7">
        <v>0</v>
      </c>
      <c r="Y104" s="7">
        <v>2.4E-2</v>
      </c>
      <c r="Z104" s="7">
        <v>0</v>
      </c>
      <c r="AA104" s="7">
        <v>0.90100000000000002</v>
      </c>
      <c r="AB104" s="7">
        <v>0</v>
      </c>
      <c r="AC104" s="7">
        <v>6.9000000000000006E-2</v>
      </c>
      <c r="AD104" s="7">
        <v>0</v>
      </c>
      <c r="AE104" s="7">
        <v>2E-3</v>
      </c>
      <c r="AF104" s="7">
        <v>8.0000000000000002E-3</v>
      </c>
      <c r="AG104" s="7">
        <v>0</v>
      </c>
      <c r="AH104" s="7">
        <v>1.45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9.6000000000000002E-2</v>
      </c>
      <c r="AP104" s="7">
        <v>0</v>
      </c>
      <c r="AQ104" s="7">
        <v>1E-3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3.2000000000000001E-2</v>
      </c>
      <c r="BC104" s="7">
        <v>0</v>
      </c>
      <c r="BD104" s="7">
        <v>0</v>
      </c>
      <c r="BE104" s="7">
        <v>7.0000000000000001E-3</v>
      </c>
      <c r="BF104" s="7">
        <v>7.0000000000000001E-3</v>
      </c>
      <c r="BG104" s="7">
        <v>0</v>
      </c>
      <c r="BH104" s="7">
        <v>0</v>
      </c>
      <c r="BI104" s="7">
        <v>0</v>
      </c>
      <c r="BJ104" s="21"/>
    </row>
    <row r="105" spans="1:62" ht="15.6" x14ac:dyDescent="0.3">
      <c r="A105" s="5" t="s">
        <v>194</v>
      </c>
      <c r="B105" s="5" t="s">
        <v>195</v>
      </c>
      <c r="C105" s="7">
        <v>4</v>
      </c>
      <c r="D105" s="7">
        <v>4</v>
      </c>
      <c r="E105" s="7">
        <v>334883.83399999997</v>
      </c>
      <c r="F105" s="7">
        <v>70666.312000000005</v>
      </c>
      <c r="G105" s="7">
        <v>0</v>
      </c>
      <c r="H105" s="7">
        <v>2034.7929999999999</v>
      </c>
      <c r="I105" s="7">
        <v>2552.8359999999998</v>
      </c>
      <c r="J105" s="7">
        <v>0</v>
      </c>
      <c r="K105" s="7">
        <v>0</v>
      </c>
      <c r="L105" s="7">
        <v>802008.05099999998</v>
      </c>
      <c r="M105" s="7">
        <v>56452.25</v>
      </c>
      <c r="N105" s="7">
        <v>0</v>
      </c>
      <c r="O105" s="7">
        <v>88.926000000000002</v>
      </c>
      <c r="P105" s="7">
        <v>12.147</v>
      </c>
      <c r="Q105" s="7">
        <v>104.65600000000001</v>
      </c>
      <c r="R105" s="7">
        <v>0</v>
      </c>
      <c r="S105" s="7">
        <v>21449.904999999999</v>
      </c>
      <c r="T105" s="7">
        <v>0</v>
      </c>
      <c r="U105" s="7">
        <v>0</v>
      </c>
      <c r="V105" s="7">
        <v>0</v>
      </c>
      <c r="W105" s="7">
        <v>6727.5159999999996</v>
      </c>
      <c r="X105" s="7">
        <v>0</v>
      </c>
      <c r="Y105" s="7">
        <v>143899.231</v>
      </c>
      <c r="Z105" s="7">
        <v>0</v>
      </c>
      <c r="AA105" s="7">
        <v>0</v>
      </c>
      <c r="AB105" s="7">
        <v>5128.5739999999996</v>
      </c>
      <c r="AC105" s="7">
        <v>12951.048000000001</v>
      </c>
      <c r="AD105" s="7">
        <v>0</v>
      </c>
      <c r="AE105" s="7">
        <v>346402.59100000001</v>
      </c>
      <c r="AF105" s="7">
        <v>183506.448</v>
      </c>
      <c r="AG105" s="7">
        <v>0</v>
      </c>
      <c r="AH105" s="7">
        <v>1371802.281</v>
      </c>
      <c r="AI105" s="7">
        <v>342304.69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8329.4429999999993</v>
      </c>
      <c r="AP105" s="7">
        <v>0</v>
      </c>
      <c r="AQ105" s="7">
        <v>65257.307999999997</v>
      </c>
      <c r="AR105" s="7">
        <v>0</v>
      </c>
      <c r="AS105" s="7">
        <v>206.803</v>
      </c>
      <c r="AT105" s="7">
        <v>0</v>
      </c>
      <c r="AU105" s="7">
        <v>1451.1610000000001</v>
      </c>
      <c r="AV105" s="7">
        <v>0</v>
      </c>
      <c r="AW105" s="7">
        <v>0</v>
      </c>
      <c r="AX105" s="7">
        <v>0</v>
      </c>
      <c r="AY105" s="7">
        <v>2882.002</v>
      </c>
      <c r="AZ105" s="7">
        <v>50488.572999999997</v>
      </c>
      <c r="BA105" s="7">
        <v>0</v>
      </c>
      <c r="BB105" s="7">
        <v>2975.2869999999998</v>
      </c>
      <c r="BC105" s="7">
        <v>0</v>
      </c>
      <c r="BD105" s="7">
        <v>60911.027000000002</v>
      </c>
      <c r="BE105" s="7">
        <v>645.12099999999998</v>
      </c>
      <c r="BF105" s="7">
        <v>645.12099999999998</v>
      </c>
      <c r="BG105" s="7">
        <v>19997.357</v>
      </c>
      <c r="BH105" s="7">
        <v>0</v>
      </c>
      <c r="BI105" s="7">
        <v>0</v>
      </c>
      <c r="BJ105" s="21"/>
    </row>
    <row r="106" spans="1:62" ht="15.6" x14ac:dyDescent="0.3">
      <c r="A106" s="5" t="s">
        <v>196</v>
      </c>
      <c r="B106" s="5" t="s">
        <v>197</v>
      </c>
      <c r="C106" s="7">
        <v>4</v>
      </c>
      <c r="D106" s="7">
        <v>4</v>
      </c>
      <c r="E106" s="7">
        <v>166300.54699999999</v>
      </c>
      <c r="F106" s="7">
        <v>33509.211000000003</v>
      </c>
      <c r="G106" s="7">
        <v>0</v>
      </c>
      <c r="H106" s="7">
        <v>2996.8739999999998</v>
      </c>
      <c r="I106" s="7">
        <v>1282.3800000000001</v>
      </c>
      <c r="J106" s="7">
        <v>0</v>
      </c>
      <c r="K106" s="7">
        <v>0</v>
      </c>
      <c r="L106" s="7">
        <v>396868.59899999999</v>
      </c>
      <c r="M106" s="7">
        <v>28357.957999999999</v>
      </c>
      <c r="N106" s="7">
        <v>0</v>
      </c>
      <c r="O106" s="7">
        <v>10.268000000000001</v>
      </c>
      <c r="P106" s="7">
        <v>6.1020000000000003</v>
      </c>
      <c r="Q106" s="7">
        <v>12.084</v>
      </c>
      <c r="R106" s="7">
        <v>0</v>
      </c>
      <c r="S106" s="7">
        <v>10775.044</v>
      </c>
      <c r="T106" s="7">
        <v>0</v>
      </c>
      <c r="U106" s="7">
        <v>0</v>
      </c>
      <c r="V106" s="7">
        <v>0</v>
      </c>
      <c r="W106" s="7">
        <v>3379.4690000000001</v>
      </c>
      <c r="X106" s="7">
        <v>0</v>
      </c>
      <c r="Y106" s="7">
        <v>72285.661999999997</v>
      </c>
      <c r="Z106" s="7">
        <v>0</v>
      </c>
      <c r="AA106" s="7">
        <v>0</v>
      </c>
      <c r="AB106" s="7">
        <v>592.15899999999999</v>
      </c>
      <c r="AC106" s="7">
        <v>6505.7690000000002</v>
      </c>
      <c r="AD106" s="7">
        <v>0</v>
      </c>
      <c r="AE106" s="7">
        <v>172469.25099999999</v>
      </c>
      <c r="AF106" s="7">
        <v>92181.764999999999</v>
      </c>
      <c r="AG106" s="7">
        <v>0</v>
      </c>
      <c r="AH106" s="7">
        <v>683525.41200000001</v>
      </c>
      <c r="AI106" s="7">
        <v>171951.72700000001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4184.1729999999998</v>
      </c>
      <c r="AP106" s="7">
        <v>0</v>
      </c>
      <c r="AQ106" s="7">
        <v>32781.048999999999</v>
      </c>
      <c r="AR106" s="7">
        <v>0</v>
      </c>
      <c r="AS106" s="7">
        <v>103.884</v>
      </c>
      <c r="AT106" s="7">
        <v>0</v>
      </c>
      <c r="AU106" s="7">
        <v>728.96799999999996</v>
      </c>
      <c r="AV106" s="7">
        <v>0</v>
      </c>
      <c r="AW106" s="7">
        <v>0</v>
      </c>
      <c r="AX106" s="7">
        <v>0</v>
      </c>
      <c r="AY106" s="7">
        <v>1447.731</v>
      </c>
      <c r="AZ106" s="7">
        <v>25362.191999999999</v>
      </c>
      <c r="BA106" s="7">
        <v>0</v>
      </c>
      <c r="BB106" s="7">
        <v>1494.5920000000001</v>
      </c>
      <c r="BC106" s="7">
        <v>0</v>
      </c>
      <c r="BD106" s="7">
        <v>30597.758000000002</v>
      </c>
      <c r="BE106" s="7">
        <v>324.06700000000001</v>
      </c>
      <c r="BF106" s="7">
        <v>324.06700000000001</v>
      </c>
      <c r="BG106" s="7">
        <v>10045.378000000001</v>
      </c>
      <c r="BH106" s="7">
        <v>0</v>
      </c>
      <c r="BI106" s="7">
        <v>0</v>
      </c>
      <c r="BJ106" s="21"/>
    </row>
    <row r="107" spans="1:62" ht="15.6" x14ac:dyDescent="0.3">
      <c r="A107" s="5" t="s">
        <v>198</v>
      </c>
      <c r="B107" s="5" t="s">
        <v>199</v>
      </c>
      <c r="C107" s="7">
        <v>4</v>
      </c>
      <c r="D107" s="7">
        <v>4</v>
      </c>
      <c r="E107" s="7">
        <v>69185.733999999997</v>
      </c>
      <c r="F107" s="7">
        <v>14047.022000000001</v>
      </c>
      <c r="G107" s="7">
        <v>125.33499999999999</v>
      </c>
      <c r="H107" s="7">
        <v>4.1479999999999997</v>
      </c>
      <c r="I107" s="7">
        <v>647.76300000000003</v>
      </c>
      <c r="J107" s="7">
        <v>71.409000000000006</v>
      </c>
      <c r="K107" s="7">
        <v>0</v>
      </c>
      <c r="L107" s="7">
        <v>159708.766</v>
      </c>
      <c r="M107" s="7">
        <v>15333.316999999999</v>
      </c>
      <c r="N107" s="7">
        <v>0</v>
      </c>
      <c r="O107" s="7">
        <v>103.096</v>
      </c>
      <c r="P107" s="7">
        <v>2.27</v>
      </c>
      <c r="Q107" s="7">
        <v>121.33199999999999</v>
      </c>
      <c r="R107" s="7">
        <v>0</v>
      </c>
      <c r="S107" s="7">
        <v>4024.6350000000002</v>
      </c>
      <c r="T107" s="7">
        <v>0</v>
      </c>
      <c r="U107" s="7">
        <v>0</v>
      </c>
      <c r="V107" s="7">
        <v>14.266</v>
      </c>
      <c r="W107" s="7">
        <v>1275.2929999999999</v>
      </c>
      <c r="X107" s="7">
        <v>0</v>
      </c>
      <c r="Y107" s="7">
        <v>26854.666000000001</v>
      </c>
      <c r="Z107" s="7">
        <v>0</v>
      </c>
      <c r="AA107" s="7">
        <v>171.751</v>
      </c>
      <c r="AB107" s="7">
        <v>5945.77</v>
      </c>
      <c r="AC107" s="7">
        <v>2421.9059999999999</v>
      </c>
      <c r="AD107" s="7">
        <v>0</v>
      </c>
      <c r="AE107" s="7">
        <v>68402.387000000002</v>
      </c>
      <c r="AF107" s="7">
        <v>34135.862999999998</v>
      </c>
      <c r="AG107" s="7">
        <v>0</v>
      </c>
      <c r="AH107" s="7">
        <v>267328.777</v>
      </c>
      <c r="AI107" s="7">
        <v>63679.913999999997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1557.857</v>
      </c>
      <c r="AP107" s="7">
        <v>0</v>
      </c>
      <c r="AQ107" s="7">
        <v>12138.186</v>
      </c>
      <c r="AR107" s="7">
        <v>0</v>
      </c>
      <c r="AS107" s="7">
        <v>38.773000000000003</v>
      </c>
      <c r="AT107" s="7">
        <v>0</v>
      </c>
      <c r="AU107" s="7">
        <v>278.72500000000002</v>
      </c>
      <c r="AV107" s="7">
        <v>0</v>
      </c>
      <c r="AW107" s="7">
        <v>0</v>
      </c>
      <c r="AX107" s="7">
        <v>0</v>
      </c>
      <c r="AY107" s="7">
        <v>541.94799999999998</v>
      </c>
      <c r="AZ107" s="7">
        <v>9391.1270000000004</v>
      </c>
      <c r="BA107" s="7">
        <v>0</v>
      </c>
      <c r="BB107" s="7">
        <v>556.41099999999994</v>
      </c>
      <c r="BC107" s="7">
        <v>4.79</v>
      </c>
      <c r="BD107" s="7">
        <v>11329.755999999999</v>
      </c>
      <c r="BE107" s="7">
        <v>120.681</v>
      </c>
      <c r="BF107" s="7">
        <v>120.681</v>
      </c>
      <c r="BG107" s="7">
        <v>3719.6080000000002</v>
      </c>
      <c r="BH107" s="7">
        <v>0</v>
      </c>
      <c r="BI107" s="7">
        <v>1.9770000000000001</v>
      </c>
      <c r="BJ107" s="21"/>
    </row>
    <row r="108" spans="1:62" ht="15.6" x14ac:dyDescent="0.3">
      <c r="A108" s="5" t="s">
        <v>200</v>
      </c>
      <c r="B108" s="5" t="s">
        <v>201</v>
      </c>
      <c r="C108" s="7">
        <v>4</v>
      </c>
      <c r="D108" s="7">
        <v>4</v>
      </c>
      <c r="E108" s="7">
        <v>401.71300000000002</v>
      </c>
      <c r="F108" s="7">
        <v>70.977000000000004</v>
      </c>
      <c r="G108" s="7">
        <v>1.849</v>
      </c>
      <c r="H108" s="7">
        <v>0</v>
      </c>
      <c r="I108" s="7">
        <v>2.8780000000000001</v>
      </c>
      <c r="J108" s="7">
        <v>1.0529999999999999</v>
      </c>
      <c r="K108" s="7">
        <v>0</v>
      </c>
      <c r="L108" s="7">
        <v>881.77499999999998</v>
      </c>
      <c r="M108" s="7">
        <v>63.892000000000003</v>
      </c>
      <c r="N108" s="7">
        <v>0</v>
      </c>
      <c r="O108" s="7">
        <v>2.29</v>
      </c>
      <c r="P108" s="7">
        <v>1.2999999999999999E-2</v>
      </c>
      <c r="Q108" s="7">
        <v>2.6949999999999998</v>
      </c>
      <c r="R108" s="7">
        <v>0</v>
      </c>
      <c r="S108" s="7">
        <v>22.957000000000001</v>
      </c>
      <c r="T108" s="7">
        <v>0</v>
      </c>
      <c r="U108" s="7">
        <v>0</v>
      </c>
      <c r="V108" s="7">
        <v>0.21</v>
      </c>
      <c r="W108" s="7">
        <v>7.3920000000000003</v>
      </c>
      <c r="X108" s="7">
        <v>0</v>
      </c>
      <c r="Y108" s="7">
        <v>151.87</v>
      </c>
      <c r="Z108" s="7">
        <v>0</v>
      </c>
      <c r="AA108" s="7">
        <v>2.5339999999999998</v>
      </c>
      <c r="AB108" s="7">
        <v>132.04900000000001</v>
      </c>
      <c r="AC108" s="7">
        <v>13.742000000000001</v>
      </c>
      <c r="AD108" s="7">
        <v>0</v>
      </c>
      <c r="AE108" s="7">
        <v>462.19900000000001</v>
      </c>
      <c r="AF108" s="7">
        <v>192.00200000000001</v>
      </c>
      <c r="AG108" s="7">
        <v>0</v>
      </c>
      <c r="AH108" s="7">
        <v>1431.854</v>
      </c>
      <c r="AI108" s="7">
        <v>358.15199999999999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8.8409999999999993</v>
      </c>
      <c r="AP108" s="7">
        <v>0</v>
      </c>
      <c r="AQ108" s="7">
        <v>68.278999999999996</v>
      </c>
      <c r="AR108" s="7">
        <v>0</v>
      </c>
      <c r="AS108" s="7">
        <v>0.221</v>
      </c>
      <c r="AT108" s="7">
        <v>0</v>
      </c>
      <c r="AU108" s="7">
        <v>1.6479999999999999</v>
      </c>
      <c r="AV108" s="7">
        <v>0</v>
      </c>
      <c r="AW108" s="7">
        <v>0</v>
      </c>
      <c r="AX108" s="7">
        <v>0</v>
      </c>
      <c r="AY108" s="7">
        <v>3.1019999999999999</v>
      </c>
      <c r="AZ108" s="7">
        <v>52.826000000000001</v>
      </c>
      <c r="BA108" s="7">
        <v>0</v>
      </c>
      <c r="BB108" s="7">
        <v>3.157</v>
      </c>
      <c r="BC108" s="7">
        <v>7.0999999999999994E-2</v>
      </c>
      <c r="BD108" s="7">
        <v>63.731000000000002</v>
      </c>
      <c r="BE108" s="7">
        <v>0.68500000000000005</v>
      </c>
      <c r="BF108" s="7">
        <v>0.68500000000000005</v>
      </c>
      <c r="BG108" s="7">
        <v>20.922999999999998</v>
      </c>
      <c r="BH108" s="7">
        <v>0</v>
      </c>
      <c r="BI108" s="7">
        <v>2.9000000000000001E-2</v>
      </c>
      <c r="BJ108" s="21"/>
    </row>
    <row r="109" spans="1:62" ht="15.6" x14ac:dyDescent="0.3">
      <c r="A109" s="5" t="s">
        <v>202</v>
      </c>
      <c r="B109" s="5" t="s">
        <v>203</v>
      </c>
      <c r="C109" s="7">
        <v>4</v>
      </c>
      <c r="D109" s="7">
        <v>4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21"/>
    </row>
    <row r="110" spans="1:62" ht="15.6" x14ac:dyDescent="0.3">
      <c r="A110" s="5" t="s">
        <v>204</v>
      </c>
      <c r="B110" s="5" t="s">
        <v>205</v>
      </c>
      <c r="C110" s="7">
        <v>4</v>
      </c>
      <c r="D110" s="7">
        <v>4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21"/>
    </row>
    <row r="111" spans="1:62" ht="15.6" x14ac:dyDescent="0.3">
      <c r="A111" s="5" t="s">
        <v>206</v>
      </c>
      <c r="B111" s="5" t="s">
        <v>207</v>
      </c>
      <c r="C111" s="7">
        <v>6</v>
      </c>
      <c r="D111" s="7">
        <v>6</v>
      </c>
      <c r="E111" s="7">
        <v>92212.312999999995</v>
      </c>
      <c r="F111" s="7">
        <v>572.58900000000006</v>
      </c>
      <c r="G111" s="7">
        <v>0</v>
      </c>
      <c r="H111" s="7">
        <v>10147.971</v>
      </c>
      <c r="I111" s="7">
        <v>4.5999999999999999E-2</v>
      </c>
      <c r="J111" s="7">
        <v>0</v>
      </c>
      <c r="K111" s="7">
        <v>0</v>
      </c>
      <c r="L111" s="7">
        <v>139001.40700000001</v>
      </c>
      <c r="M111" s="7">
        <v>22488.993999999999</v>
      </c>
      <c r="N111" s="7">
        <v>0</v>
      </c>
      <c r="O111" s="7">
        <v>0</v>
      </c>
      <c r="P111" s="7">
        <v>0</v>
      </c>
      <c r="Q111" s="7">
        <v>0</v>
      </c>
      <c r="R111" s="7">
        <v>3.0000000000000001E-3</v>
      </c>
      <c r="S111" s="7">
        <v>0.38900000000000001</v>
      </c>
      <c r="T111" s="7">
        <v>0</v>
      </c>
      <c r="U111" s="7">
        <v>0</v>
      </c>
      <c r="V111" s="7">
        <v>0</v>
      </c>
      <c r="W111" s="7">
        <v>0.122</v>
      </c>
      <c r="X111" s="7">
        <v>0</v>
      </c>
      <c r="Y111" s="7">
        <v>33246.927000000003</v>
      </c>
      <c r="Z111" s="7">
        <v>0</v>
      </c>
      <c r="AA111" s="7">
        <v>0</v>
      </c>
      <c r="AB111" s="7">
        <v>0</v>
      </c>
      <c r="AC111" s="7">
        <v>0.23499999999999999</v>
      </c>
      <c r="AD111" s="7">
        <v>0</v>
      </c>
      <c r="AE111" s="7">
        <v>107098.069</v>
      </c>
      <c r="AF111" s="7">
        <v>4205.1660000000002</v>
      </c>
      <c r="AG111" s="7">
        <v>0</v>
      </c>
      <c r="AH111" s="7">
        <v>330996.72200000001</v>
      </c>
      <c r="AI111" s="7">
        <v>5778.5029999999997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0.151</v>
      </c>
      <c r="AP111" s="7">
        <v>0</v>
      </c>
      <c r="AQ111" s="7">
        <v>1.1850000000000001</v>
      </c>
      <c r="AR111" s="7">
        <v>0</v>
      </c>
      <c r="AS111" s="7">
        <v>0.01</v>
      </c>
      <c r="AT111" s="7">
        <v>0</v>
      </c>
      <c r="AU111" s="7">
        <v>2.5999999999999999E-2</v>
      </c>
      <c r="AV111" s="7">
        <v>0</v>
      </c>
      <c r="AW111" s="7">
        <v>0</v>
      </c>
      <c r="AX111" s="7">
        <v>0</v>
      </c>
      <c r="AY111" s="7">
        <v>5.1999999999999998E-2</v>
      </c>
      <c r="AZ111" s="7">
        <v>0.91700000000000004</v>
      </c>
      <c r="BA111" s="7">
        <v>0</v>
      </c>
      <c r="BB111" s="7">
        <v>5.3999999999999999E-2</v>
      </c>
      <c r="BC111" s="7">
        <v>0</v>
      </c>
      <c r="BD111" s="7">
        <v>1.1060000000000001</v>
      </c>
      <c r="BE111" s="7">
        <v>1.2E-2</v>
      </c>
      <c r="BF111" s="7">
        <v>1.2E-2</v>
      </c>
      <c r="BG111" s="7">
        <v>0.36299999999999999</v>
      </c>
      <c r="BH111" s="7">
        <v>0</v>
      </c>
      <c r="BI111" s="7">
        <v>0</v>
      </c>
      <c r="BJ111" s="21"/>
    </row>
    <row r="112" spans="1:62" ht="15.6" x14ac:dyDescent="0.3">
      <c r="A112" s="5" t="s">
        <v>208</v>
      </c>
      <c r="B112" s="5" t="s">
        <v>209</v>
      </c>
      <c r="C112" s="7">
        <v>4</v>
      </c>
      <c r="D112" s="7">
        <v>4</v>
      </c>
      <c r="E112" s="7">
        <v>75334.721000000005</v>
      </c>
      <c r="F112" s="7">
        <v>15261.784</v>
      </c>
      <c r="G112" s="7">
        <v>0</v>
      </c>
      <c r="H112" s="7">
        <v>0</v>
      </c>
      <c r="I112" s="7">
        <v>577.79200000000003</v>
      </c>
      <c r="J112" s="7">
        <v>0</v>
      </c>
      <c r="K112" s="7">
        <v>0</v>
      </c>
      <c r="L112" s="7">
        <v>180808.66</v>
      </c>
      <c r="M112" s="7">
        <v>12743.227999999999</v>
      </c>
      <c r="N112" s="7">
        <v>0</v>
      </c>
      <c r="O112" s="7">
        <v>0</v>
      </c>
      <c r="P112" s="7">
        <v>2.7050000000000001</v>
      </c>
      <c r="Q112" s="7">
        <v>0</v>
      </c>
      <c r="R112" s="7">
        <v>0</v>
      </c>
      <c r="S112" s="7">
        <v>4896.9309999999996</v>
      </c>
      <c r="T112" s="7">
        <v>0</v>
      </c>
      <c r="U112" s="7">
        <v>0</v>
      </c>
      <c r="V112" s="7">
        <v>0</v>
      </c>
      <c r="W112" s="7">
        <v>1531.5440000000001</v>
      </c>
      <c r="X112" s="7">
        <v>0</v>
      </c>
      <c r="Y112" s="7">
        <v>32893.321000000004</v>
      </c>
      <c r="Z112" s="7">
        <v>0</v>
      </c>
      <c r="AA112" s="7">
        <v>0</v>
      </c>
      <c r="AB112" s="7">
        <v>12.827999999999999</v>
      </c>
      <c r="AC112" s="7">
        <v>2955.3620000000001</v>
      </c>
      <c r="AD112" s="7">
        <v>0</v>
      </c>
      <c r="AE112" s="7">
        <v>78374.023000000001</v>
      </c>
      <c r="AF112" s="7">
        <v>42000.063999999998</v>
      </c>
      <c r="AG112" s="7">
        <v>0</v>
      </c>
      <c r="AH112" s="7">
        <v>311582.94300000003</v>
      </c>
      <c r="AI112" s="7">
        <v>78054.991999999998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1908.204</v>
      </c>
      <c r="AP112" s="7">
        <v>0</v>
      </c>
      <c r="AQ112" s="7">
        <v>14936.907999999999</v>
      </c>
      <c r="AR112" s="7">
        <v>0</v>
      </c>
      <c r="AS112" s="7">
        <v>47.323999999999998</v>
      </c>
      <c r="AT112" s="7">
        <v>0</v>
      </c>
      <c r="AU112" s="7">
        <v>475.89400000000001</v>
      </c>
      <c r="AV112" s="7">
        <v>0</v>
      </c>
      <c r="AW112" s="7">
        <v>0</v>
      </c>
      <c r="AX112" s="7">
        <v>0</v>
      </c>
      <c r="AY112" s="7">
        <v>641.68100000000004</v>
      </c>
      <c r="AZ112" s="7">
        <v>11241.342000000001</v>
      </c>
      <c r="BA112" s="7">
        <v>0</v>
      </c>
      <c r="BB112" s="7">
        <v>680.72699999999998</v>
      </c>
      <c r="BC112" s="7">
        <v>0</v>
      </c>
      <c r="BD112" s="7">
        <v>13561.914000000001</v>
      </c>
      <c r="BE112" s="7">
        <v>148.06100000000001</v>
      </c>
      <c r="BF112" s="7">
        <v>148.06100000000001</v>
      </c>
      <c r="BG112" s="7">
        <v>4452.4350000000004</v>
      </c>
      <c r="BH112" s="7">
        <v>0</v>
      </c>
      <c r="BI112" s="7">
        <v>0</v>
      </c>
      <c r="BJ112" s="21"/>
    </row>
    <row r="113" spans="1:62" ht="15.6" x14ac:dyDescent="0.3">
      <c r="A113" s="5" t="s">
        <v>210</v>
      </c>
      <c r="B113" s="5" t="s">
        <v>211</v>
      </c>
      <c r="C113" s="7">
        <v>4</v>
      </c>
      <c r="D113" s="7">
        <v>4</v>
      </c>
      <c r="E113" s="7">
        <v>202752.361</v>
      </c>
      <c r="F113" s="7">
        <v>50743.389000000003</v>
      </c>
      <c r="G113" s="7">
        <v>1.738</v>
      </c>
      <c r="H113" s="7">
        <v>5.0000000000000001E-3</v>
      </c>
      <c r="I113" s="7">
        <v>1403.6120000000001</v>
      </c>
      <c r="J113" s="7">
        <v>18.454999999999998</v>
      </c>
      <c r="K113" s="7">
        <v>0</v>
      </c>
      <c r="L113" s="7">
        <v>541115.33100000001</v>
      </c>
      <c r="M113" s="7">
        <v>26258.219000000001</v>
      </c>
      <c r="N113" s="7">
        <v>0</v>
      </c>
      <c r="O113" s="7">
        <v>0</v>
      </c>
      <c r="P113" s="7">
        <v>0.55800000000000005</v>
      </c>
      <c r="Q113" s="7">
        <v>0</v>
      </c>
      <c r="R113" s="7">
        <v>0</v>
      </c>
      <c r="S113" s="7">
        <v>15722.714</v>
      </c>
      <c r="T113" s="7">
        <v>0</v>
      </c>
      <c r="U113" s="7">
        <v>0</v>
      </c>
      <c r="V113" s="7">
        <v>1.7869999999999999</v>
      </c>
      <c r="W113" s="7">
        <v>4471.8549999999996</v>
      </c>
      <c r="X113" s="7">
        <v>78546.502999999997</v>
      </c>
      <c r="Y113" s="7">
        <v>101924.664</v>
      </c>
      <c r="Z113" s="7">
        <v>0</v>
      </c>
      <c r="AA113" s="7">
        <v>53.720999999999997</v>
      </c>
      <c r="AB113" s="7">
        <v>0</v>
      </c>
      <c r="AC113" s="7">
        <v>9233.866</v>
      </c>
      <c r="AD113" s="7">
        <v>0</v>
      </c>
      <c r="AE113" s="7">
        <v>249137.587</v>
      </c>
      <c r="AF113" s="7">
        <v>141627.06099999999</v>
      </c>
      <c r="AG113" s="7">
        <v>0</v>
      </c>
      <c r="AH113" s="7">
        <v>1012259.566</v>
      </c>
      <c r="AI113" s="7">
        <v>233165.45199999999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6513.1750000000002</v>
      </c>
      <c r="AP113" s="7">
        <v>54408.016000000003</v>
      </c>
      <c r="AQ113" s="7">
        <v>48836.697</v>
      </c>
      <c r="AR113" s="7">
        <v>23307.170999999998</v>
      </c>
      <c r="AS113" s="7">
        <v>155.57300000000001</v>
      </c>
      <c r="AT113" s="7">
        <v>0</v>
      </c>
      <c r="AU113" s="7">
        <v>1037.03</v>
      </c>
      <c r="AV113" s="7">
        <v>61130.504999999997</v>
      </c>
      <c r="AW113" s="7">
        <v>78170.150999999998</v>
      </c>
      <c r="AX113" s="7">
        <v>74600.229000000007</v>
      </c>
      <c r="AY113" s="7">
        <v>132.25200000000001</v>
      </c>
      <c r="AZ113" s="7">
        <v>2316.8890000000001</v>
      </c>
      <c r="BA113" s="7">
        <v>50804.472000000002</v>
      </c>
      <c r="BB113" s="7">
        <v>2225.1840000000002</v>
      </c>
      <c r="BC113" s="7">
        <v>0</v>
      </c>
      <c r="BD113" s="7">
        <v>2795.17</v>
      </c>
      <c r="BE113" s="7">
        <v>535.21199999999999</v>
      </c>
      <c r="BF113" s="7">
        <v>535.21199999999999</v>
      </c>
      <c r="BG113" s="7">
        <v>917.66800000000001</v>
      </c>
      <c r="BH113" s="7">
        <v>4.0000000000000001E-3</v>
      </c>
      <c r="BI113" s="7">
        <v>0</v>
      </c>
      <c r="BJ113" s="21"/>
    </row>
    <row r="114" spans="1:62" ht="15.6" x14ac:dyDescent="0.3">
      <c r="A114" s="5" t="s">
        <v>212</v>
      </c>
      <c r="B114" s="5" t="s">
        <v>213</v>
      </c>
      <c r="C114" s="7">
        <v>4</v>
      </c>
      <c r="D114" s="7">
        <v>4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21"/>
    </row>
    <row r="115" spans="1:62" ht="15.6" x14ac:dyDescent="0.3">
      <c r="A115" s="5" t="s">
        <v>214</v>
      </c>
      <c r="B115" s="5" t="s">
        <v>215</v>
      </c>
      <c r="C115" s="7">
        <v>6</v>
      </c>
      <c r="D115" s="7">
        <v>6</v>
      </c>
      <c r="E115" s="7">
        <v>1172.096</v>
      </c>
      <c r="F115" s="7">
        <v>43.128999999999998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2521.0549999999998</v>
      </c>
      <c r="M115" s="7">
        <v>160.58799999999999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818.73599999999999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1349.366</v>
      </c>
      <c r="AF115" s="7">
        <v>24.917000000000002</v>
      </c>
      <c r="AG115" s="7">
        <v>0</v>
      </c>
      <c r="AH115" s="7">
        <v>11022.217000000001</v>
      </c>
      <c r="AI115" s="7">
        <v>1658.7650000000001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21"/>
    </row>
    <row r="116" spans="1:62" ht="15.6" x14ac:dyDescent="0.3">
      <c r="A116" s="5" t="s">
        <v>216</v>
      </c>
      <c r="B116" s="5" t="s">
        <v>217</v>
      </c>
      <c r="C116" s="7">
        <v>6</v>
      </c>
      <c r="D116" s="7">
        <v>6</v>
      </c>
      <c r="E116" s="7">
        <v>94299.682000000001</v>
      </c>
      <c r="F116" s="7">
        <v>946.04200000000003</v>
      </c>
      <c r="G116" s="7">
        <v>0</v>
      </c>
      <c r="H116" s="7">
        <v>0</v>
      </c>
      <c r="I116" s="7">
        <v>88.691000000000003</v>
      </c>
      <c r="J116" s="7">
        <v>0</v>
      </c>
      <c r="K116" s="7">
        <v>0</v>
      </c>
      <c r="L116" s="7">
        <v>189552.258</v>
      </c>
      <c r="M116" s="7">
        <v>42378.286999999997</v>
      </c>
      <c r="N116" s="7">
        <v>0</v>
      </c>
      <c r="O116" s="7">
        <v>0</v>
      </c>
      <c r="P116" s="7">
        <v>29.564</v>
      </c>
      <c r="Q116" s="7">
        <v>0</v>
      </c>
      <c r="R116" s="7">
        <v>29.564</v>
      </c>
      <c r="S116" s="7">
        <v>0</v>
      </c>
      <c r="T116" s="7">
        <v>0</v>
      </c>
      <c r="U116" s="7">
        <v>0</v>
      </c>
      <c r="V116" s="7">
        <v>0</v>
      </c>
      <c r="W116" s="7">
        <v>295.63799999999998</v>
      </c>
      <c r="X116" s="7">
        <v>0</v>
      </c>
      <c r="Y116" s="7">
        <v>21651.571</v>
      </c>
      <c r="Z116" s="7">
        <v>0</v>
      </c>
      <c r="AA116" s="7">
        <v>2778.9969999999998</v>
      </c>
      <c r="AB116" s="7">
        <v>0</v>
      </c>
      <c r="AC116" s="7">
        <v>236.51</v>
      </c>
      <c r="AD116" s="7">
        <v>0</v>
      </c>
      <c r="AE116" s="7">
        <v>61294.252</v>
      </c>
      <c r="AF116" s="7">
        <v>8.0000000000000002E-3</v>
      </c>
      <c r="AG116" s="7">
        <v>0</v>
      </c>
      <c r="AH116" s="7">
        <v>295445.61099999998</v>
      </c>
      <c r="AI116" s="7">
        <v>1.2E-2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21"/>
    </row>
    <row r="117" spans="1:62" ht="15.6" x14ac:dyDescent="0.3">
      <c r="A117" s="5" t="s">
        <v>218</v>
      </c>
      <c r="B117" s="5" t="s">
        <v>219</v>
      </c>
      <c r="C117" s="7">
        <v>4</v>
      </c>
      <c r="D117" s="7">
        <v>4</v>
      </c>
      <c r="E117" s="7">
        <v>35527.423999999999</v>
      </c>
      <c r="F117" s="7">
        <v>7167.8310000000001</v>
      </c>
      <c r="G117" s="7">
        <v>0</v>
      </c>
      <c r="H117" s="7">
        <v>19733.113000000001</v>
      </c>
      <c r="I117" s="7">
        <v>274.30900000000003</v>
      </c>
      <c r="J117" s="7">
        <v>0</v>
      </c>
      <c r="K117" s="7">
        <v>0</v>
      </c>
      <c r="L117" s="7">
        <v>84842.576000000001</v>
      </c>
      <c r="M117" s="7">
        <v>6065.9449999999997</v>
      </c>
      <c r="N117" s="7">
        <v>0</v>
      </c>
      <c r="O117" s="7">
        <v>0</v>
      </c>
      <c r="P117" s="7">
        <v>1.3049999999999999</v>
      </c>
      <c r="Q117" s="7">
        <v>0</v>
      </c>
      <c r="R117" s="7">
        <v>0</v>
      </c>
      <c r="S117" s="7">
        <v>2304.85</v>
      </c>
      <c r="T117" s="7">
        <v>0</v>
      </c>
      <c r="U117" s="7">
        <v>0</v>
      </c>
      <c r="V117" s="7">
        <v>0</v>
      </c>
      <c r="W117" s="7">
        <v>722.89</v>
      </c>
      <c r="X117" s="7">
        <v>0</v>
      </c>
      <c r="Y117" s="7">
        <v>15462.357</v>
      </c>
      <c r="Z117" s="7">
        <v>0</v>
      </c>
      <c r="AA117" s="7">
        <v>0</v>
      </c>
      <c r="AB117" s="7">
        <v>0</v>
      </c>
      <c r="AC117" s="7">
        <v>1391.625</v>
      </c>
      <c r="AD117" s="7">
        <v>9038.0110000000004</v>
      </c>
      <c r="AE117" s="7">
        <v>36793.877999999997</v>
      </c>
      <c r="AF117" s="7">
        <v>19718.258000000002</v>
      </c>
      <c r="AG117" s="7">
        <v>41840.510999999999</v>
      </c>
      <c r="AH117" s="7">
        <v>146210.378</v>
      </c>
      <c r="AI117" s="7">
        <v>36781.553999999996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895.02099999999996</v>
      </c>
      <c r="AP117" s="7">
        <v>0</v>
      </c>
      <c r="AQ117" s="7">
        <v>7012.0720000000001</v>
      </c>
      <c r="AR117" s="7">
        <v>0</v>
      </c>
      <c r="AS117" s="7">
        <v>22.222000000000001</v>
      </c>
      <c r="AT117" s="7">
        <v>0</v>
      </c>
      <c r="AU117" s="7">
        <v>2369.1770000000001</v>
      </c>
      <c r="AV117" s="7">
        <v>0</v>
      </c>
      <c r="AW117" s="7">
        <v>0</v>
      </c>
      <c r="AX117" s="7">
        <v>0</v>
      </c>
      <c r="AY117" s="7">
        <v>309.67899999999997</v>
      </c>
      <c r="AZ117" s="7">
        <v>14441.188</v>
      </c>
      <c r="BA117" s="7">
        <v>0</v>
      </c>
      <c r="BB117" s="7">
        <v>319.70299999999997</v>
      </c>
      <c r="BC117" s="7">
        <v>0</v>
      </c>
      <c r="BD117" s="7">
        <v>6545.0529999999999</v>
      </c>
      <c r="BE117" s="7">
        <v>69.319999999999993</v>
      </c>
      <c r="BF117" s="7">
        <v>69.319999999999993</v>
      </c>
      <c r="BG117" s="7">
        <v>2148.7689999999998</v>
      </c>
      <c r="BH117" s="7">
        <v>0</v>
      </c>
      <c r="BI117" s="7">
        <v>0</v>
      </c>
      <c r="BJ117" s="21"/>
    </row>
    <row r="118" spans="1:62" ht="15.6" x14ac:dyDescent="0.3">
      <c r="A118" s="5" t="s">
        <v>220</v>
      </c>
      <c r="B118" s="5" t="s">
        <v>221</v>
      </c>
      <c r="C118" s="7">
        <v>4</v>
      </c>
      <c r="D118" s="7">
        <v>4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337.96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596121.24699999997</v>
      </c>
      <c r="AL118" s="7">
        <v>335073.23599999998</v>
      </c>
      <c r="AM118" s="7">
        <v>0</v>
      </c>
      <c r="AN118" s="7">
        <v>213568.255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1549.7639999999999</v>
      </c>
      <c r="AV118" s="7">
        <v>0</v>
      </c>
      <c r="AW118" s="7">
        <v>0</v>
      </c>
      <c r="AX118" s="7">
        <v>320.98</v>
      </c>
      <c r="AY118" s="7">
        <v>0</v>
      </c>
      <c r="AZ118" s="7">
        <v>0</v>
      </c>
      <c r="BA118" s="7">
        <v>218.595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21"/>
    </row>
    <row r="119" spans="1:62" ht="15.6" x14ac:dyDescent="0.3">
      <c r="A119" s="5" t="s">
        <v>222</v>
      </c>
      <c r="B119" s="5" t="s">
        <v>223</v>
      </c>
      <c r="C119" s="7">
        <v>4</v>
      </c>
      <c r="D119" s="7">
        <v>3</v>
      </c>
      <c r="E119" s="7">
        <v>30486.11</v>
      </c>
      <c r="F119" s="7">
        <v>4218.116</v>
      </c>
      <c r="G119" s="7">
        <v>6600.317</v>
      </c>
      <c r="H119" s="7">
        <v>0</v>
      </c>
      <c r="I119" s="7">
        <v>740.66399999999999</v>
      </c>
      <c r="J119" s="7">
        <v>3760.6610000000001</v>
      </c>
      <c r="K119" s="7">
        <v>12394.275</v>
      </c>
      <c r="L119" s="7">
        <v>12136.986000000001</v>
      </c>
      <c r="M119" s="7">
        <v>17225.544000000002</v>
      </c>
      <c r="N119" s="7">
        <v>2189.442</v>
      </c>
      <c r="O119" s="7">
        <v>0</v>
      </c>
      <c r="P119" s="7">
        <v>0.54900000000000004</v>
      </c>
      <c r="Q119" s="7">
        <v>0</v>
      </c>
      <c r="R119" s="7">
        <v>0</v>
      </c>
      <c r="S119" s="7">
        <v>1834.7729999999999</v>
      </c>
      <c r="T119" s="7">
        <v>0</v>
      </c>
      <c r="U119" s="7">
        <v>9120.3449999999993</v>
      </c>
      <c r="V119" s="7">
        <v>751.21100000000001</v>
      </c>
      <c r="W119" s="7">
        <v>1260.675</v>
      </c>
      <c r="X119" s="7">
        <v>0</v>
      </c>
      <c r="Y119" s="7">
        <v>4670.76</v>
      </c>
      <c r="Z119" s="7">
        <v>0</v>
      </c>
      <c r="AA119" s="7">
        <v>9044.9560000000001</v>
      </c>
      <c r="AB119" s="7">
        <v>0</v>
      </c>
      <c r="AC119" s="7">
        <v>681.66700000000003</v>
      </c>
      <c r="AD119" s="7">
        <v>11129.735000000001</v>
      </c>
      <c r="AE119" s="7">
        <v>4887.1440000000002</v>
      </c>
      <c r="AF119" s="7">
        <v>0</v>
      </c>
      <c r="AG119" s="7">
        <v>46206.991999999998</v>
      </c>
      <c r="AH119" s="7">
        <v>29198.024000000001</v>
      </c>
      <c r="AI119" s="7">
        <v>0</v>
      </c>
      <c r="AJ119" s="7">
        <v>0</v>
      </c>
      <c r="AK119" s="7">
        <v>0</v>
      </c>
      <c r="AL119" s="7">
        <v>0</v>
      </c>
      <c r="AM119" s="7">
        <v>2060.7060000000001</v>
      </c>
      <c r="AN119" s="7">
        <v>0</v>
      </c>
      <c r="AO119" s="7">
        <v>449.60899999999998</v>
      </c>
      <c r="AP119" s="7">
        <v>0</v>
      </c>
      <c r="AQ119" s="7">
        <v>0</v>
      </c>
      <c r="AR119" s="7">
        <v>0</v>
      </c>
      <c r="AS119" s="7">
        <v>59.728000000000002</v>
      </c>
      <c r="AT119" s="7">
        <v>0</v>
      </c>
      <c r="AU119" s="7">
        <v>2618.3910000000001</v>
      </c>
      <c r="AV119" s="7">
        <v>0</v>
      </c>
      <c r="AW119" s="7">
        <v>0</v>
      </c>
      <c r="AX119" s="7">
        <v>0</v>
      </c>
      <c r="AY119" s="7">
        <v>309.67899999999997</v>
      </c>
      <c r="AZ119" s="7">
        <v>0</v>
      </c>
      <c r="BA119" s="7">
        <v>0</v>
      </c>
      <c r="BB119" s="7">
        <v>157.607</v>
      </c>
      <c r="BC119" s="7">
        <v>252.24</v>
      </c>
      <c r="BD119" s="7">
        <v>0</v>
      </c>
      <c r="BE119" s="7">
        <v>36.066000000000003</v>
      </c>
      <c r="BF119" s="7">
        <v>36.066000000000003</v>
      </c>
      <c r="BG119" s="7">
        <v>0</v>
      </c>
      <c r="BH119" s="7">
        <v>0</v>
      </c>
      <c r="BI119" s="7">
        <v>104.096</v>
      </c>
      <c r="BJ119" s="21"/>
    </row>
    <row r="120" spans="1:62" ht="15.6" x14ac:dyDescent="0.3">
      <c r="A120" s="5" t="s">
        <v>224</v>
      </c>
      <c r="B120" s="5" t="s">
        <v>225</v>
      </c>
      <c r="C120" s="7">
        <v>4</v>
      </c>
      <c r="D120" s="7">
        <v>3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21"/>
    </row>
    <row r="121" spans="1:62" ht="15.6" x14ac:dyDescent="0.3">
      <c r="A121" s="5" t="s">
        <v>226</v>
      </c>
      <c r="B121" s="5" t="s">
        <v>227</v>
      </c>
      <c r="C121" s="7">
        <v>4</v>
      </c>
      <c r="D121" s="7">
        <v>4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21"/>
    </row>
    <row r="122" spans="1:62" ht="15.6" x14ac:dyDescent="0.3">
      <c r="A122" s="5" t="s">
        <v>228</v>
      </c>
      <c r="B122" s="5" t="s">
        <v>229</v>
      </c>
      <c r="C122" s="7">
        <v>4</v>
      </c>
      <c r="D122" s="7">
        <v>6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21"/>
    </row>
    <row r="123" spans="1:62" ht="15.6" x14ac:dyDescent="0.3">
      <c r="A123" s="5" t="s">
        <v>230</v>
      </c>
      <c r="B123" s="5" t="s">
        <v>231</v>
      </c>
      <c r="C123" s="7">
        <v>4</v>
      </c>
      <c r="D123" s="7">
        <v>4</v>
      </c>
      <c r="E123" s="7">
        <v>298334.80200000003</v>
      </c>
      <c r="F123" s="7">
        <v>70990.835000000006</v>
      </c>
      <c r="G123" s="7">
        <v>0</v>
      </c>
      <c r="H123" s="7">
        <v>0</v>
      </c>
      <c r="I123" s="7">
        <v>1714.412</v>
      </c>
      <c r="J123" s="7">
        <v>0</v>
      </c>
      <c r="K123" s="7">
        <v>0</v>
      </c>
      <c r="L123" s="7">
        <v>802732.15500000003</v>
      </c>
      <c r="M123" s="7">
        <v>30600.457999999999</v>
      </c>
      <c r="N123" s="7">
        <v>0</v>
      </c>
      <c r="O123" s="7">
        <v>1572.8710000000001</v>
      </c>
      <c r="P123" s="7">
        <v>0</v>
      </c>
      <c r="Q123" s="7">
        <v>535.28800000000001</v>
      </c>
      <c r="R123" s="7">
        <v>0</v>
      </c>
      <c r="S123" s="7">
        <v>22029.168000000001</v>
      </c>
      <c r="T123" s="7">
        <v>0</v>
      </c>
      <c r="U123" s="7">
        <v>0</v>
      </c>
      <c r="V123" s="7">
        <v>0</v>
      </c>
      <c r="W123" s="7">
        <v>6124.9030000000002</v>
      </c>
      <c r="X123" s="7">
        <v>86820.775999999998</v>
      </c>
      <c r="Y123" s="7">
        <v>151673.924</v>
      </c>
      <c r="Z123" s="7">
        <v>44459.684000000001</v>
      </c>
      <c r="AA123" s="7">
        <v>0</v>
      </c>
      <c r="AB123" s="7">
        <v>37104.370999999999</v>
      </c>
      <c r="AC123" s="7">
        <v>13058.762000000001</v>
      </c>
      <c r="AD123" s="7">
        <v>6886.4690000000001</v>
      </c>
      <c r="AE123" s="7">
        <v>383775.359</v>
      </c>
      <c r="AF123" s="7">
        <v>201899.81700000001</v>
      </c>
      <c r="AG123" s="7">
        <v>28451.873</v>
      </c>
      <c r="AH123" s="7">
        <v>1348802.8910000001</v>
      </c>
      <c r="AI123" s="7">
        <v>328922.74699999997</v>
      </c>
      <c r="AJ123" s="7">
        <v>244372.27</v>
      </c>
      <c r="AK123" s="7">
        <v>1510368.6569999999</v>
      </c>
      <c r="AL123" s="7">
        <v>848961.723</v>
      </c>
      <c r="AM123" s="7">
        <v>0</v>
      </c>
      <c r="AN123" s="7">
        <v>541109.38399999996</v>
      </c>
      <c r="AO123" s="7">
        <v>9747.1370000000006</v>
      </c>
      <c r="AP123" s="7">
        <v>0</v>
      </c>
      <c r="AQ123" s="7">
        <v>71699.127999999997</v>
      </c>
      <c r="AR123" s="7">
        <v>0</v>
      </c>
      <c r="AS123" s="7">
        <v>232.411</v>
      </c>
      <c r="AT123" s="7">
        <v>0</v>
      </c>
      <c r="AU123" s="7">
        <v>1544.4079999999999</v>
      </c>
      <c r="AV123" s="7">
        <v>0</v>
      </c>
      <c r="AW123" s="7">
        <v>0</v>
      </c>
      <c r="AX123" s="7">
        <v>82458.729000000007</v>
      </c>
      <c r="AY123" s="7">
        <v>0</v>
      </c>
      <c r="AZ123" s="7">
        <v>0</v>
      </c>
      <c r="BA123" s="7">
        <v>56156.258999999998</v>
      </c>
      <c r="BB123" s="7">
        <v>3320.7049999999999</v>
      </c>
      <c r="BC123" s="7">
        <v>0</v>
      </c>
      <c r="BD123" s="7">
        <v>0</v>
      </c>
      <c r="BE123" s="7">
        <v>803.86900000000003</v>
      </c>
      <c r="BF123" s="7">
        <v>803.86900000000003</v>
      </c>
      <c r="BG123" s="7">
        <v>0</v>
      </c>
      <c r="BH123" s="7">
        <v>107855.72900000001</v>
      </c>
      <c r="BI123" s="7">
        <v>0</v>
      </c>
      <c r="BJ123" s="21"/>
    </row>
    <row r="124" spans="1:62" ht="15.6" x14ac:dyDescent="0.3">
      <c r="A124" s="5" t="s">
        <v>232</v>
      </c>
      <c r="B124" s="5" t="s">
        <v>233</v>
      </c>
      <c r="C124" s="7">
        <v>4</v>
      </c>
      <c r="D124" s="7">
        <v>3</v>
      </c>
      <c r="E124" s="7">
        <v>1175.06</v>
      </c>
      <c r="F124" s="7">
        <v>906.05</v>
      </c>
      <c r="G124" s="7">
        <v>643.43899999999996</v>
      </c>
      <c r="H124" s="7">
        <v>0.14000000000000001</v>
      </c>
      <c r="I124" s="7">
        <v>87.619</v>
      </c>
      <c r="J124" s="7">
        <v>693.42100000000005</v>
      </c>
      <c r="K124" s="7">
        <v>0</v>
      </c>
      <c r="L124" s="7">
        <v>2826.9850000000001</v>
      </c>
      <c r="M124" s="7">
        <v>992.36599999999999</v>
      </c>
      <c r="N124" s="7">
        <v>0</v>
      </c>
      <c r="O124" s="7">
        <v>0</v>
      </c>
      <c r="P124" s="7">
        <v>2E-3</v>
      </c>
      <c r="Q124" s="7">
        <v>281.17700000000002</v>
      </c>
      <c r="R124" s="7">
        <v>386.21699999999998</v>
      </c>
      <c r="S124" s="7">
        <v>368.19799999999998</v>
      </c>
      <c r="T124" s="7">
        <v>0</v>
      </c>
      <c r="U124" s="7">
        <v>0</v>
      </c>
      <c r="V124" s="7">
        <v>79.944000000000003</v>
      </c>
      <c r="W124" s="7">
        <v>13.167999999999999</v>
      </c>
      <c r="X124" s="7">
        <v>0</v>
      </c>
      <c r="Y124" s="7">
        <v>370.34500000000003</v>
      </c>
      <c r="Z124" s="7">
        <v>11915.998</v>
      </c>
      <c r="AA124" s="7">
        <v>1852.2660000000001</v>
      </c>
      <c r="AB124" s="7">
        <v>0</v>
      </c>
      <c r="AC124" s="7">
        <v>216.82400000000001</v>
      </c>
      <c r="AD124" s="7">
        <v>2086.3200000000002</v>
      </c>
      <c r="AE124" s="7">
        <v>1316.8430000000001</v>
      </c>
      <c r="AF124" s="7">
        <v>12.997999999999999</v>
      </c>
      <c r="AG124" s="7">
        <v>6667.991</v>
      </c>
      <c r="AH124" s="7">
        <v>3700.3290000000002</v>
      </c>
      <c r="AI124" s="7">
        <v>0.01</v>
      </c>
      <c r="AJ124" s="7">
        <v>58047.461000000003</v>
      </c>
      <c r="AK124" s="7">
        <v>0</v>
      </c>
      <c r="AL124" s="7">
        <v>0</v>
      </c>
      <c r="AM124" s="7">
        <v>0</v>
      </c>
      <c r="AN124" s="7">
        <v>0</v>
      </c>
      <c r="AO124" s="7">
        <v>223.36500000000001</v>
      </c>
      <c r="AP124" s="7">
        <v>0</v>
      </c>
      <c r="AQ124" s="7">
        <v>1.915</v>
      </c>
      <c r="AR124" s="7">
        <v>0</v>
      </c>
      <c r="AS124" s="7">
        <v>1.242</v>
      </c>
      <c r="AT124" s="7">
        <v>0</v>
      </c>
      <c r="AU124" s="7">
        <v>46.790999999999997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74.528999999999996</v>
      </c>
      <c r="BC124" s="7">
        <v>0</v>
      </c>
      <c r="BD124" s="7">
        <v>0</v>
      </c>
      <c r="BE124" s="7">
        <v>17.48</v>
      </c>
      <c r="BF124" s="7">
        <v>17.48</v>
      </c>
      <c r="BG124" s="7">
        <v>0</v>
      </c>
      <c r="BH124" s="7">
        <v>40188.686999999998</v>
      </c>
      <c r="BI124" s="7">
        <v>0</v>
      </c>
      <c r="BJ124" s="21"/>
    </row>
    <row r="125" spans="1:62" ht="15.6" x14ac:dyDescent="0.3">
      <c r="A125" s="5" t="s">
        <v>234</v>
      </c>
      <c r="B125" s="5" t="s">
        <v>235</v>
      </c>
      <c r="C125" s="7">
        <v>4</v>
      </c>
      <c r="D125" s="7">
        <v>4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21"/>
    </row>
    <row r="126" spans="1:62" ht="15.6" x14ac:dyDescent="0.3">
      <c r="A126" s="5" t="s">
        <v>228</v>
      </c>
      <c r="B126" s="5" t="s">
        <v>236</v>
      </c>
      <c r="C126" s="7">
        <v>4</v>
      </c>
      <c r="D126" s="7">
        <v>6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21"/>
    </row>
    <row r="127" spans="1:62" ht="15.6" x14ac:dyDescent="0.3">
      <c r="A127" s="5" t="s">
        <v>237</v>
      </c>
      <c r="B127" s="5" t="s">
        <v>238</v>
      </c>
      <c r="C127" s="7">
        <v>4</v>
      </c>
      <c r="D127" s="7">
        <v>4</v>
      </c>
      <c r="E127" s="7">
        <v>28.084</v>
      </c>
      <c r="F127" s="7">
        <v>3.2669999999999999</v>
      </c>
      <c r="G127" s="7">
        <v>6.694</v>
      </c>
      <c r="H127" s="7">
        <v>0</v>
      </c>
      <c r="I127" s="7">
        <v>0.66400000000000003</v>
      </c>
      <c r="J127" s="7">
        <v>4.3890000000000002</v>
      </c>
      <c r="K127" s="7">
        <v>0</v>
      </c>
      <c r="L127" s="7">
        <v>10.798</v>
      </c>
      <c r="M127" s="7">
        <v>16.641999999999999</v>
      </c>
      <c r="N127" s="7">
        <v>0</v>
      </c>
      <c r="O127" s="7">
        <v>0</v>
      </c>
      <c r="P127" s="7">
        <v>0</v>
      </c>
      <c r="Q127" s="7">
        <v>0</v>
      </c>
      <c r="R127" s="7">
        <v>103.36199999999999</v>
      </c>
      <c r="S127" s="7">
        <v>1.349</v>
      </c>
      <c r="T127" s="7">
        <v>0</v>
      </c>
      <c r="U127" s="7">
        <v>0</v>
      </c>
      <c r="V127" s="7">
        <v>0.64300000000000002</v>
      </c>
      <c r="W127" s="7">
        <v>1.4119999999999999</v>
      </c>
      <c r="X127" s="7">
        <v>0</v>
      </c>
      <c r="Y127" s="7">
        <v>4.2569999999999997</v>
      </c>
      <c r="Z127" s="7">
        <v>0</v>
      </c>
      <c r="AA127" s="7">
        <v>8.2129999999999992</v>
      </c>
      <c r="AB127" s="7">
        <v>0</v>
      </c>
      <c r="AC127" s="7">
        <v>0.56499999999999995</v>
      </c>
      <c r="AD127" s="7">
        <v>0</v>
      </c>
      <c r="AE127" s="7">
        <v>7.7809999999999997</v>
      </c>
      <c r="AF127" s="7">
        <v>0</v>
      </c>
      <c r="AG127" s="7">
        <v>0</v>
      </c>
      <c r="AH127" s="7">
        <v>29.641999999999999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0.40100000000000002</v>
      </c>
      <c r="AP127" s="7">
        <v>0</v>
      </c>
      <c r="AQ127" s="7">
        <v>0</v>
      </c>
      <c r="AR127" s="7">
        <v>0</v>
      </c>
      <c r="AS127" s="7">
        <v>0.01</v>
      </c>
      <c r="AT127" s="7">
        <v>0</v>
      </c>
      <c r="AU127" s="7">
        <v>0.32700000000000001</v>
      </c>
      <c r="AV127" s="7">
        <v>0</v>
      </c>
      <c r="AW127" s="7">
        <v>0</v>
      </c>
      <c r="AX127" s="7">
        <v>0</v>
      </c>
      <c r="AY127" s="7">
        <v>0.27600000000000002</v>
      </c>
      <c r="AZ127" s="7">
        <v>0</v>
      </c>
      <c r="BA127" s="7">
        <v>0</v>
      </c>
      <c r="BB127" s="7">
        <v>0.14099999999999999</v>
      </c>
      <c r="BC127" s="7">
        <v>0.223</v>
      </c>
      <c r="BD127" s="7">
        <v>0</v>
      </c>
      <c r="BE127" s="7">
        <v>3.3000000000000002E-2</v>
      </c>
      <c r="BF127" s="7">
        <v>3.3000000000000002E-2</v>
      </c>
      <c r="BG127" s="7">
        <v>0</v>
      </c>
      <c r="BH127" s="7">
        <v>0</v>
      </c>
      <c r="BI127" s="7">
        <v>9.2999999999999999E-2</v>
      </c>
      <c r="BJ127" s="21"/>
    </row>
    <row r="128" spans="1:62" ht="15.6" x14ac:dyDescent="0.3">
      <c r="A128" s="5" t="s">
        <v>239</v>
      </c>
      <c r="B128" s="5" t="s">
        <v>240</v>
      </c>
      <c r="C128" s="7">
        <v>4</v>
      </c>
      <c r="D128" s="7">
        <v>3</v>
      </c>
      <c r="E128" s="7">
        <v>2795.1129999999998</v>
      </c>
      <c r="F128" s="7">
        <v>1947.059</v>
      </c>
      <c r="G128" s="7">
        <v>137.32</v>
      </c>
      <c r="H128" s="7">
        <v>0.38400000000000001</v>
      </c>
      <c r="I128" s="7">
        <v>172.28299999999999</v>
      </c>
      <c r="J128" s="7">
        <v>1447.239</v>
      </c>
      <c r="K128" s="7">
        <v>0</v>
      </c>
      <c r="L128" s="7">
        <v>4173.4309999999996</v>
      </c>
      <c r="M128" s="7">
        <v>1599.171</v>
      </c>
      <c r="N128" s="7">
        <v>0</v>
      </c>
      <c r="O128" s="7">
        <v>0</v>
      </c>
      <c r="P128" s="7">
        <v>5.0000000000000001E-3</v>
      </c>
      <c r="Q128" s="7">
        <v>0</v>
      </c>
      <c r="R128" s="7">
        <v>0.10100000000000001</v>
      </c>
      <c r="S128" s="7">
        <v>780.2</v>
      </c>
      <c r="T128" s="7">
        <v>0</v>
      </c>
      <c r="U128" s="7">
        <v>0</v>
      </c>
      <c r="V128" s="7">
        <v>140.041</v>
      </c>
      <c r="W128" s="7">
        <v>2.5750000000000002</v>
      </c>
      <c r="X128" s="7">
        <v>0</v>
      </c>
      <c r="Y128" s="7">
        <v>113.34</v>
      </c>
      <c r="Z128" s="7">
        <v>0</v>
      </c>
      <c r="AA128" s="7">
        <v>4209.2089999999998</v>
      </c>
      <c r="AB128" s="7">
        <v>0</v>
      </c>
      <c r="AC128" s="7">
        <v>324.23099999999999</v>
      </c>
      <c r="AD128" s="7">
        <v>0</v>
      </c>
      <c r="AE128" s="7">
        <v>14.952999999999999</v>
      </c>
      <c r="AF128" s="7">
        <v>35.688000000000002</v>
      </c>
      <c r="AG128" s="7">
        <v>0</v>
      </c>
      <c r="AH128" s="7">
        <v>6777.2359999999999</v>
      </c>
      <c r="AI128" s="7">
        <v>2.7E-2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447.99400000000003</v>
      </c>
      <c r="AP128" s="7">
        <v>0</v>
      </c>
      <c r="AQ128" s="7">
        <v>5.2569999999999997</v>
      </c>
      <c r="AR128" s="7">
        <v>0</v>
      </c>
      <c r="AS128" s="7">
        <v>2.72</v>
      </c>
      <c r="AT128" s="7">
        <v>0</v>
      </c>
      <c r="AU128" s="7">
        <v>0.371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148.46799999999999</v>
      </c>
      <c r="BC128" s="7">
        <v>0</v>
      </c>
      <c r="BD128" s="7">
        <v>0</v>
      </c>
      <c r="BE128" s="7">
        <v>34.935000000000002</v>
      </c>
      <c r="BF128" s="7">
        <v>34.935000000000002</v>
      </c>
      <c r="BG128" s="7">
        <v>0</v>
      </c>
      <c r="BH128" s="7">
        <v>0.26900000000000002</v>
      </c>
      <c r="BI128" s="7">
        <v>0</v>
      </c>
      <c r="BJ128" s="21"/>
    </row>
    <row r="129" spans="1:62" ht="15.6" x14ac:dyDescent="0.3">
      <c r="A129" s="5" t="s">
        <v>241</v>
      </c>
      <c r="B129" s="5" t="s">
        <v>242</v>
      </c>
      <c r="C129" s="7">
        <v>2</v>
      </c>
      <c r="D129" s="7">
        <v>2</v>
      </c>
      <c r="E129" s="7">
        <v>55554.326999999997</v>
      </c>
      <c r="F129" s="7">
        <v>12279.136</v>
      </c>
      <c r="G129" s="7">
        <v>11976.727999999999</v>
      </c>
      <c r="H129" s="7">
        <v>0</v>
      </c>
      <c r="I129" s="7">
        <v>2404.0790000000002</v>
      </c>
      <c r="J129" s="7">
        <v>9434.5609999999997</v>
      </c>
      <c r="K129" s="7">
        <v>0</v>
      </c>
      <c r="L129" s="7">
        <v>49218.716</v>
      </c>
      <c r="M129" s="7">
        <v>43324.548999999999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3529.2330000000002</v>
      </c>
      <c r="T129" s="7">
        <v>0</v>
      </c>
      <c r="U129" s="7">
        <v>0</v>
      </c>
      <c r="V129" s="7">
        <v>1544.701</v>
      </c>
      <c r="W129" s="7">
        <v>3438.0680000000002</v>
      </c>
      <c r="X129" s="7">
        <v>0</v>
      </c>
      <c r="Y129" s="7">
        <v>17511.852999999999</v>
      </c>
      <c r="Z129" s="7">
        <v>0</v>
      </c>
      <c r="AA129" s="7">
        <v>11260.019</v>
      </c>
      <c r="AB129" s="7">
        <v>0</v>
      </c>
      <c r="AC129" s="7">
        <v>1914.79</v>
      </c>
      <c r="AD129" s="7">
        <v>0</v>
      </c>
      <c r="AE129" s="7">
        <v>32922.991999999998</v>
      </c>
      <c r="AF129" s="7">
        <v>0</v>
      </c>
      <c r="AG129" s="7">
        <v>0</v>
      </c>
      <c r="AH129" s="7">
        <v>141631.50200000001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604.96400000000006</v>
      </c>
      <c r="AP129" s="7">
        <v>0</v>
      </c>
      <c r="AQ129" s="7">
        <v>0</v>
      </c>
      <c r="AR129" s="7">
        <v>0</v>
      </c>
      <c r="AS129" s="7">
        <v>4.5629999999999997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225.66399999999999</v>
      </c>
      <c r="BC129" s="7">
        <v>0</v>
      </c>
      <c r="BD129" s="7">
        <v>0</v>
      </c>
      <c r="BE129" s="7">
        <v>110.845</v>
      </c>
      <c r="BF129" s="7">
        <v>110.845</v>
      </c>
      <c r="BG129" s="7">
        <v>0</v>
      </c>
      <c r="BH129" s="7">
        <v>0</v>
      </c>
      <c r="BI129" s="7">
        <v>0</v>
      </c>
      <c r="BJ129" s="21"/>
    </row>
    <row r="130" spans="1:62" ht="15.6" x14ac:dyDescent="0.3">
      <c r="A130" s="5" t="s">
        <v>243</v>
      </c>
      <c r="B130" s="5" t="s">
        <v>244</v>
      </c>
      <c r="C130" s="7">
        <v>4</v>
      </c>
      <c r="D130" s="7">
        <v>4</v>
      </c>
      <c r="E130" s="7">
        <v>32818.741000000002</v>
      </c>
      <c r="F130" s="7">
        <v>7798.9620000000004</v>
      </c>
      <c r="G130" s="7">
        <v>0</v>
      </c>
      <c r="H130" s="7">
        <v>0</v>
      </c>
      <c r="I130" s="7">
        <v>187.88399999999999</v>
      </c>
      <c r="J130" s="7">
        <v>0</v>
      </c>
      <c r="K130" s="7">
        <v>0</v>
      </c>
      <c r="L130" s="7">
        <v>88304.846000000005</v>
      </c>
      <c r="M130" s="7">
        <v>3350.9949999999999</v>
      </c>
      <c r="N130" s="7">
        <v>0</v>
      </c>
      <c r="O130" s="7">
        <v>1.9970000000000001</v>
      </c>
      <c r="P130" s="7">
        <v>0</v>
      </c>
      <c r="Q130" s="7">
        <v>0.68200000000000005</v>
      </c>
      <c r="R130" s="7">
        <v>0</v>
      </c>
      <c r="S130" s="7">
        <v>2420.319</v>
      </c>
      <c r="T130" s="7">
        <v>0</v>
      </c>
      <c r="U130" s="7">
        <v>0</v>
      </c>
      <c r="V130" s="7">
        <v>0</v>
      </c>
      <c r="W130" s="7">
        <v>672.73599999999999</v>
      </c>
      <c r="X130" s="7">
        <v>0</v>
      </c>
      <c r="Y130" s="7">
        <v>16685.146000000001</v>
      </c>
      <c r="Z130" s="7">
        <v>31.693000000000001</v>
      </c>
      <c r="AA130" s="7">
        <v>0</v>
      </c>
      <c r="AB130" s="7">
        <v>47.319000000000003</v>
      </c>
      <c r="AC130" s="7">
        <v>1435.123</v>
      </c>
      <c r="AD130" s="7">
        <v>3.2000000000000001E-2</v>
      </c>
      <c r="AE130" s="7">
        <v>40875.487999999998</v>
      </c>
      <c r="AF130" s="7">
        <v>22188.582999999999</v>
      </c>
      <c r="AG130" s="7">
        <v>0.98699999999999999</v>
      </c>
      <c r="AH130" s="7">
        <v>148025.86499999999</v>
      </c>
      <c r="AI130" s="7">
        <v>36146.767999999996</v>
      </c>
      <c r="AJ130" s="7">
        <v>164.33699999999999</v>
      </c>
      <c r="AK130" s="7">
        <v>0</v>
      </c>
      <c r="AL130" s="7">
        <v>0</v>
      </c>
      <c r="AM130" s="7">
        <v>0</v>
      </c>
      <c r="AN130" s="7">
        <v>0</v>
      </c>
      <c r="AO130" s="7">
        <v>1072.25</v>
      </c>
      <c r="AP130" s="7">
        <v>0</v>
      </c>
      <c r="AQ130" s="7">
        <v>7884.7359999999999</v>
      </c>
      <c r="AR130" s="7">
        <v>0</v>
      </c>
      <c r="AS130" s="7">
        <v>25.617999999999999</v>
      </c>
      <c r="AT130" s="7">
        <v>0</v>
      </c>
      <c r="AU130" s="7">
        <v>169.64699999999999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365.28699999999998</v>
      </c>
      <c r="BC130" s="7">
        <v>0</v>
      </c>
      <c r="BD130" s="7">
        <v>0</v>
      </c>
      <c r="BE130" s="7">
        <v>88.43</v>
      </c>
      <c r="BF130" s="7">
        <v>88.43</v>
      </c>
      <c r="BG130" s="7">
        <v>0</v>
      </c>
      <c r="BH130" s="7">
        <v>97.71</v>
      </c>
      <c r="BI130" s="7">
        <v>0</v>
      </c>
      <c r="BJ130" s="21"/>
    </row>
    <row r="131" spans="1:62" ht="15.6" x14ac:dyDescent="0.3">
      <c r="A131" s="5" t="s">
        <v>245</v>
      </c>
      <c r="B131" s="5" t="s">
        <v>246</v>
      </c>
      <c r="C131" s="7">
        <v>4</v>
      </c>
      <c r="D131" s="7">
        <v>6</v>
      </c>
      <c r="E131" s="7">
        <v>1811.88</v>
      </c>
      <c r="F131" s="7">
        <v>621.76700000000005</v>
      </c>
      <c r="G131" s="7">
        <v>20.289000000000001</v>
      </c>
      <c r="H131" s="7">
        <v>5.7000000000000002E-2</v>
      </c>
      <c r="I131" s="7">
        <v>33.664000000000001</v>
      </c>
      <c r="J131" s="7">
        <v>215.46299999999999</v>
      </c>
      <c r="K131" s="7">
        <v>0</v>
      </c>
      <c r="L131" s="7">
        <v>4377.2690000000002</v>
      </c>
      <c r="M131" s="7">
        <v>380.55399999999997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219.18600000000001</v>
      </c>
      <c r="T131" s="7">
        <v>0</v>
      </c>
      <c r="U131" s="7">
        <v>0</v>
      </c>
      <c r="V131" s="7">
        <v>20.866</v>
      </c>
      <c r="W131" s="7">
        <v>28.991</v>
      </c>
      <c r="X131" s="7">
        <v>0</v>
      </c>
      <c r="Y131" s="7">
        <v>726.47900000000004</v>
      </c>
      <c r="Z131" s="7">
        <v>0</v>
      </c>
      <c r="AA131" s="7">
        <v>627.18399999999997</v>
      </c>
      <c r="AB131" s="7">
        <v>0</v>
      </c>
      <c r="AC131" s="7">
        <v>109.342</v>
      </c>
      <c r="AD131" s="7">
        <v>0</v>
      </c>
      <c r="AE131" s="7">
        <v>1739.32</v>
      </c>
      <c r="AF131" s="7">
        <v>948.97400000000005</v>
      </c>
      <c r="AG131" s="7">
        <v>0</v>
      </c>
      <c r="AH131" s="7">
        <v>7304.59</v>
      </c>
      <c r="AI131" s="7">
        <v>1537.29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112.355</v>
      </c>
      <c r="AP131" s="7">
        <v>0</v>
      </c>
      <c r="AQ131" s="7">
        <v>336.11599999999999</v>
      </c>
      <c r="AR131" s="7">
        <v>0</v>
      </c>
      <c r="AS131" s="7">
        <v>1.4930000000000001</v>
      </c>
      <c r="AT131" s="7">
        <v>0</v>
      </c>
      <c r="AU131" s="7">
        <v>7.2930000000000001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37.655000000000001</v>
      </c>
      <c r="BC131" s="7">
        <v>0</v>
      </c>
      <c r="BD131" s="7">
        <v>0</v>
      </c>
      <c r="BE131" s="7">
        <v>8.9689999999999994</v>
      </c>
      <c r="BF131" s="7">
        <v>8.9689999999999994</v>
      </c>
      <c r="BG131" s="7">
        <v>0</v>
      </c>
      <c r="BH131" s="7">
        <v>0.04</v>
      </c>
      <c r="BI131" s="7">
        <v>0</v>
      </c>
      <c r="BJ131" s="21"/>
    </row>
    <row r="132" spans="1:62" ht="15.6" x14ac:dyDescent="0.3">
      <c r="A132" s="5" t="s">
        <v>247</v>
      </c>
      <c r="B132" s="5" t="s">
        <v>248</v>
      </c>
      <c r="C132" s="7">
        <v>6</v>
      </c>
      <c r="D132" s="7">
        <v>6</v>
      </c>
      <c r="E132" s="7">
        <v>47285.237999999998</v>
      </c>
      <c r="F132" s="7">
        <v>403.78800000000001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76234.498000000007</v>
      </c>
      <c r="M132" s="7">
        <v>11614.178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5312.7049999999999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26009.982</v>
      </c>
      <c r="AF132" s="7">
        <v>83.188000000000002</v>
      </c>
      <c r="AG132" s="7">
        <v>0</v>
      </c>
      <c r="AH132" s="7">
        <v>119454.382</v>
      </c>
      <c r="AI132" s="7">
        <v>53.085000000000001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21"/>
    </row>
    <row r="133" spans="1:62" ht="15.6" x14ac:dyDescent="0.3">
      <c r="A133" s="5" t="s">
        <v>249</v>
      </c>
      <c r="B133" s="5" t="s">
        <v>250</v>
      </c>
      <c r="C133" s="7">
        <v>6</v>
      </c>
      <c r="D133" s="7">
        <v>6</v>
      </c>
      <c r="E133" s="7">
        <v>76945.092000000004</v>
      </c>
      <c r="F133" s="7">
        <v>5953.9719999999998</v>
      </c>
      <c r="G133" s="7">
        <v>8312.4030000000002</v>
      </c>
      <c r="H133" s="7">
        <v>0</v>
      </c>
      <c r="I133" s="7">
        <v>1428.482</v>
      </c>
      <c r="J133" s="7">
        <v>5122.8909999999996</v>
      </c>
      <c r="K133" s="7">
        <v>0</v>
      </c>
      <c r="L133" s="7">
        <v>68959.838000000003</v>
      </c>
      <c r="M133" s="7">
        <v>23377.036</v>
      </c>
      <c r="N133" s="7">
        <v>0</v>
      </c>
      <c r="O133" s="7">
        <v>0</v>
      </c>
      <c r="P133" s="7">
        <v>261.26400000000001</v>
      </c>
      <c r="Q133" s="7">
        <v>0</v>
      </c>
      <c r="R133" s="7">
        <v>2.5129999999999999</v>
      </c>
      <c r="S133" s="7">
        <v>0</v>
      </c>
      <c r="T133" s="7">
        <v>0</v>
      </c>
      <c r="U133" s="7">
        <v>0</v>
      </c>
      <c r="V133" s="7">
        <v>815.84400000000005</v>
      </c>
      <c r="W133" s="7">
        <v>2475.069</v>
      </c>
      <c r="X133" s="7">
        <v>0</v>
      </c>
      <c r="Y133" s="7">
        <v>19660.128000000001</v>
      </c>
      <c r="Z133" s="7">
        <v>0</v>
      </c>
      <c r="AA133" s="7">
        <v>7078.8630000000003</v>
      </c>
      <c r="AB133" s="7">
        <v>0</v>
      </c>
      <c r="AC133" s="7">
        <v>1096.5450000000001</v>
      </c>
      <c r="AD133" s="7">
        <v>0</v>
      </c>
      <c r="AE133" s="7">
        <v>63133.311000000002</v>
      </c>
      <c r="AF133" s="7">
        <v>0</v>
      </c>
      <c r="AG133" s="7">
        <v>0</v>
      </c>
      <c r="AH133" s="7">
        <v>152946.33499999999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21"/>
    </row>
    <row r="134" spans="1:62" ht="15.6" x14ac:dyDescent="0.3">
      <c r="A134" s="5" t="s">
        <v>251</v>
      </c>
      <c r="B134" s="5" t="s">
        <v>252</v>
      </c>
      <c r="C134" s="7">
        <v>6</v>
      </c>
      <c r="D134" s="7">
        <v>6</v>
      </c>
      <c r="E134" s="7">
        <v>12884.880999999999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61430.078999999998</v>
      </c>
      <c r="M134" s="7">
        <v>2023.0070000000001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234.53100000000001</v>
      </c>
      <c r="AB134" s="7">
        <v>0</v>
      </c>
      <c r="AC134" s="7">
        <v>0</v>
      </c>
      <c r="AD134" s="7">
        <v>0</v>
      </c>
      <c r="AE134" s="7">
        <v>12970.941000000001</v>
      </c>
      <c r="AF134" s="7">
        <v>0</v>
      </c>
      <c r="AG134" s="7">
        <v>0</v>
      </c>
      <c r="AH134" s="7">
        <v>82120.592999999993</v>
      </c>
      <c r="AI134" s="7">
        <v>14648.098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21"/>
    </row>
    <row r="135" spans="1:62" ht="15.6" x14ac:dyDescent="0.3">
      <c r="A135" s="5" t="s">
        <v>253</v>
      </c>
      <c r="B135" s="5" t="s">
        <v>254</v>
      </c>
      <c r="C135" s="7">
        <v>6</v>
      </c>
      <c r="D135" s="7">
        <v>6</v>
      </c>
      <c r="E135" s="7">
        <v>200396.51699999999</v>
      </c>
      <c r="F135" s="7">
        <v>12154.092000000001</v>
      </c>
      <c r="G135" s="7">
        <v>8626.5020000000004</v>
      </c>
      <c r="H135" s="7">
        <v>4817.6450000000004</v>
      </c>
      <c r="I135" s="7">
        <v>1286.865</v>
      </c>
      <c r="J135" s="7">
        <v>5959.9179999999997</v>
      </c>
      <c r="K135" s="7">
        <v>0</v>
      </c>
      <c r="L135" s="7">
        <v>287857.375</v>
      </c>
      <c r="M135" s="7">
        <v>61056.057000000001</v>
      </c>
      <c r="N135" s="7">
        <v>0</v>
      </c>
      <c r="O135" s="7">
        <v>0</v>
      </c>
      <c r="P135" s="7">
        <v>203.77699999999999</v>
      </c>
      <c r="Q135" s="7">
        <v>0</v>
      </c>
      <c r="R135" s="7">
        <v>102.833</v>
      </c>
      <c r="S135" s="7">
        <v>3198.9749999999999</v>
      </c>
      <c r="T135" s="7">
        <v>0</v>
      </c>
      <c r="U135" s="7">
        <v>0</v>
      </c>
      <c r="V135" s="7">
        <v>1025.309</v>
      </c>
      <c r="W135" s="7">
        <v>3078.3890000000001</v>
      </c>
      <c r="X135" s="7">
        <v>0</v>
      </c>
      <c r="Y135" s="7">
        <v>32291.438999999998</v>
      </c>
      <c r="Z135" s="7">
        <v>0</v>
      </c>
      <c r="AA135" s="7">
        <v>9489.2759999999998</v>
      </c>
      <c r="AB135" s="7">
        <v>0</v>
      </c>
      <c r="AC135" s="7">
        <v>1555.6659999999999</v>
      </c>
      <c r="AD135" s="7">
        <v>0</v>
      </c>
      <c r="AE135" s="7">
        <v>114470.705</v>
      </c>
      <c r="AF135" s="7">
        <v>775.12900000000002</v>
      </c>
      <c r="AG135" s="7">
        <v>0</v>
      </c>
      <c r="AH135" s="7">
        <v>464519.22499999998</v>
      </c>
      <c r="AI135" s="7">
        <v>1520.5160000000001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86.876000000000005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21"/>
    </row>
    <row r="136" spans="1:62" ht="15.6" x14ac:dyDescent="0.3">
      <c r="A136" s="5" t="s">
        <v>255</v>
      </c>
      <c r="B136" s="5" t="s">
        <v>256</v>
      </c>
      <c r="C136" s="7">
        <v>6</v>
      </c>
      <c r="D136" s="7">
        <v>6</v>
      </c>
      <c r="E136" s="7">
        <v>7270.7280000000001</v>
      </c>
      <c r="F136" s="7">
        <v>32.529000000000003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8438.6630000000005</v>
      </c>
      <c r="M136" s="7">
        <v>704.03399999999999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672.02499999999998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3378.3679999999999</v>
      </c>
      <c r="AF136" s="7">
        <v>373.19799999999998</v>
      </c>
      <c r="AG136" s="7">
        <v>0</v>
      </c>
      <c r="AH136" s="7">
        <v>14453.903</v>
      </c>
      <c r="AI136" s="7">
        <v>1232.046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21"/>
    </row>
    <row r="137" spans="1:62" ht="15.6" x14ac:dyDescent="0.3">
      <c r="A137" s="5" t="s">
        <v>257</v>
      </c>
      <c r="B137" s="5" t="s">
        <v>258</v>
      </c>
      <c r="C137" s="7">
        <v>6</v>
      </c>
      <c r="D137" s="7">
        <v>6</v>
      </c>
      <c r="E137" s="7">
        <v>80845.024999999994</v>
      </c>
      <c r="F137" s="7">
        <v>1854.7070000000001</v>
      </c>
      <c r="G137" s="7">
        <v>0</v>
      </c>
      <c r="H137" s="7">
        <v>0</v>
      </c>
      <c r="I137" s="7">
        <v>0</v>
      </c>
      <c r="J137" s="7">
        <v>0</v>
      </c>
      <c r="K137" s="7">
        <v>0</v>
      </c>
      <c r="L137" s="7">
        <v>89340.812000000005</v>
      </c>
      <c r="M137" s="7">
        <v>24919.685000000001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10934.874</v>
      </c>
      <c r="Z137" s="7">
        <v>0</v>
      </c>
      <c r="AA137" s="7">
        <v>918.24800000000005</v>
      </c>
      <c r="AB137" s="7">
        <v>0</v>
      </c>
      <c r="AC137" s="7">
        <v>0</v>
      </c>
      <c r="AD137" s="7">
        <v>0</v>
      </c>
      <c r="AE137" s="7">
        <v>37516.319000000003</v>
      </c>
      <c r="AF137" s="7">
        <v>1533.2739999999999</v>
      </c>
      <c r="AG137" s="7">
        <v>0</v>
      </c>
      <c r="AH137" s="7">
        <v>174170.783</v>
      </c>
      <c r="AI137" s="7">
        <v>2021.5650000000001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21"/>
    </row>
    <row r="138" spans="1:62" ht="15.6" x14ac:dyDescent="0.3">
      <c r="A138" s="5" t="s">
        <v>259</v>
      </c>
      <c r="B138" s="5" t="s">
        <v>260</v>
      </c>
      <c r="C138" s="7">
        <v>6</v>
      </c>
      <c r="D138" s="7">
        <v>6</v>
      </c>
      <c r="E138" s="7">
        <v>26711.998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51615.7</v>
      </c>
      <c r="M138" s="7">
        <v>4462.32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9498.0310000000009</v>
      </c>
      <c r="AF138" s="7">
        <v>0</v>
      </c>
      <c r="AG138" s="7">
        <v>0</v>
      </c>
      <c r="AH138" s="7">
        <v>94527.498999999996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21"/>
    </row>
    <row r="139" spans="1:62" ht="15.6" x14ac:dyDescent="0.3">
      <c r="A139" s="5" t="s">
        <v>261</v>
      </c>
      <c r="B139" s="5" t="s">
        <v>262</v>
      </c>
      <c r="C139" s="7">
        <v>6</v>
      </c>
      <c r="D139" s="7">
        <v>6</v>
      </c>
      <c r="E139" s="7">
        <v>1078326.17</v>
      </c>
      <c r="F139" s="7">
        <v>20478.486000000001</v>
      </c>
      <c r="G139" s="7">
        <v>24552.736000000001</v>
      </c>
      <c r="H139" s="7">
        <v>2085.2649999999999</v>
      </c>
      <c r="I139" s="7">
        <v>4645.5159999999996</v>
      </c>
      <c r="J139" s="7">
        <v>14395.933999999999</v>
      </c>
      <c r="K139" s="7">
        <v>0</v>
      </c>
      <c r="L139" s="7">
        <v>1046366.461</v>
      </c>
      <c r="M139" s="7">
        <v>322397.25</v>
      </c>
      <c r="N139" s="7">
        <v>0</v>
      </c>
      <c r="O139" s="7">
        <v>0</v>
      </c>
      <c r="P139" s="7">
        <v>790.29499999999996</v>
      </c>
      <c r="Q139" s="7">
        <v>0</v>
      </c>
      <c r="R139" s="7">
        <v>3.2829999999999999</v>
      </c>
      <c r="S139" s="7">
        <v>0</v>
      </c>
      <c r="T139" s="7">
        <v>0</v>
      </c>
      <c r="U139" s="7">
        <v>0</v>
      </c>
      <c r="V139" s="7">
        <v>1729.579</v>
      </c>
      <c r="W139" s="7">
        <v>5359.7259999999997</v>
      </c>
      <c r="X139" s="7">
        <v>0</v>
      </c>
      <c r="Y139" s="7">
        <v>158884.69099999999</v>
      </c>
      <c r="Z139" s="7">
        <v>0</v>
      </c>
      <c r="AA139" s="7">
        <v>39480.519</v>
      </c>
      <c r="AB139" s="7">
        <v>0</v>
      </c>
      <c r="AC139" s="7">
        <v>2290.4879999999998</v>
      </c>
      <c r="AD139" s="7">
        <v>0</v>
      </c>
      <c r="AE139" s="7">
        <v>602344.80500000005</v>
      </c>
      <c r="AF139" s="7">
        <v>12863.269</v>
      </c>
      <c r="AG139" s="7">
        <v>0</v>
      </c>
      <c r="AH139" s="7">
        <v>2280014.7710000002</v>
      </c>
      <c r="AI139" s="7">
        <v>37580.423999999999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118.822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21"/>
    </row>
    <row r="140" spans="1:62" ht="15.6" x14ac:dyDescent="0.3">
      <c r="A140" s="5" t="s">
        <v>263</v>
      </c>
      <c r="B140" s="5" t="s">
        <v>264</v>
      </c>
      <c r="C140" s="7">
        <v>4</v>
      </c>
      <c r="D140" s="7">
        <v>4</v>
      </c>
      <c r="E140" s="7">
        <v>799.64700000000005</v>
      </c>
      <c r="F140" s="7">
        <v>132.797</v>
      </c>
      <c r="G140" s="7">
        <v>97.489000000000004</v>
      </c>
      <c r="H140" s="7">
        <v>0</v>
      </c>
      <c r="I140" s="7">
        <v>13.637</v>
      </c>
      <c r="J140" s="7">
        <v>55.542999999999999</v>
      </c>
      <c r="K140" s="7">
        <v>0</v>
      </c>
      <c r="L140" s="7">
        <v>1013.617</v>
      </c>
      <c r="M140" s="7">
        <v>314.09899999999999</v>
      </c>
      <c r="N140" s="7">
        <v>0</v>
      </c>
      <c r="O140" s="7">
        <v>0</v>
      </c>
      <c r="P140" s="7">
        <v>2.1000000000000001E-2</v>
      </c>
      <c r="Q140" s="7">
        <v>0</v>
      </c>
      <c r="R140" s="7">
        <v>0</v>
      </c>
      <c r="S140" s="7">
        <v>49.77</v>
      </c>
      <c r="T140" s="7">
        <v>0</v>
      </c>
      <c r="U140" s="7">
        <v>0</v>
      </c>
      <c r="V140" s="7">
        <v>11.096</v>
      </c>
      <c r="W140" s="7">
        <v>25.731000000000002</v>
      </c>
      <c r="X140" s="7">
        <v>0</v>
      </c>
      <c r="Y140" s="7">
        <v>221.041</v>
      </c>
      <c r="Z140" s="7">
        <v>0</v>
      </c>
      <c r="AA140" s="7">
        <v>133.59200000000001</v>
      </c>
      <c r="AB140" s="7">
        <v>0</v>
      </c>
      <c r="AC140" s="7">
        <v>23.754999999999999</v>
      </c>
      <c r="AD140" s="7">
        <v>0</v>
      </c>
      <c r="AE140" s="7">
        <v>433.98599999999999</v>
      </c>
      <c r="AF140" s="7">
        <v>194.279</v>
      </c>
      <c r="AG140" s="7">
        <v>0</v>
      </c>
      <c r="AH140" s="7">
        <v>1868.2180000000001</v>
      </c>
      <c r="AI140" s="7">
        <v>362.99200000000002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15.443</v>
      </c>
      <c r="AP140" s="7">
        <v>0</v>
      </c>
      <c r="AQ140" s="7">
        <v>68.956999999999994</v>
      </c>
      <c r="AR140" s="7">
        <v>0</v>
      </c>
      <c r="AS140" s="7">
        <v>0.45700000000000002</v>
      </c>
      <c r="AT140" s="7">
        <v>0</v>
      </c>
      <c r="AU140" s="7">
        <v>8.3800000000000008</v>
      </c>
      <c r="AV140" s="7">
        <v>0</v>
      </c>
      <c r="AW140" s="7">
        <v>0</v>
      </c>
      <c r="AX140" s="7">
        <v>0</v>
      </c>
      <c r="AY140" s="7">
        <v>7.62</v>
      </c>
      <c r="AZ140" s="7">
        <v>53.350999999999999</v>
      </c>
      <c r="BA140" s="7">
        <v>0</v>
      </c>
      <c r="BB140" s="7">
        <v>5.4720000000000004</v>
      </c>
      <c r="BC140" s="7">
        <v>3.726</v>
      </c>
      <c r="BD140" s="7">
        <v>64.364000000000004</v>
      </c>
      <c r="BE140" s="7">
        <v>1.214</v>
      </c>
      <c r="BF140" s="7">
        <v>1.214</v>
      </c>
      <c r="BG140" s="7">
        <v>21.131</v>
      </c>
      <c r="BH140" s="7">
        <v>0</v>
      </c>
      <c r="BI140" s="7">
        <v>1.538</v>
      </c>
      <c r="BJ140" s="21"/>
    </row>
    <row r="141" spans="1:62" ht="15.6" x14ac:dyDescent="0.3">
      <c r="A141" s="5" t="s">
        <v>265</v>
      </c>
      <c r="B141" s="5" t="s">
        <v>266</v>
      </c>
      <c r="C141" s="7">
        <v>6</v>
      </c>
      <c r="D141" s="7">
        <v>6</v>
      </c>
      <c r="E141" s="7">
        <v>2441.0810000000001</v>
      </c>
      <c r="F141" s="7">
        <v>28.157</v>
      </c>
      <c r="G141" s="7">
        <v>0</v>
      </c>
      <c r="H141" s="7">
        <v>1.0999999999999999E-2</v>
      </c>
      <c r="I141" s="7">
        <v>1.0780000000000001</v>
      </c>
      <c r="J141" s="7">
        <v>0</v>
      </c>
      <c r="K141" s="7">
        <v>0</v>
      </c>
      <c r="L141" s="7">
        <v>4087.4340000000002</v>
      </c>
      <c r="M141" s="7">
        <v>838.90200000000004</v>
      </c>
      <c r="N141" s="7">
        <v>0</v>
      </c>
      <c r="O141" s="7">
        <v>0</v>
      </c>
      <c r="P141" s="7">
        <v>5.0000000000000001E-3</v>
      </c>
      <c r="Q141" s="7">
        <v>0</v>
      </c>
      <c r="R141" s="7">
        <v>0</v>
      </c>
      <c r="S141" s="7">
        <v>9.0540000000000003</v>
      </c>
      <c r="T141" s="7">
        <v>0</v>
      </c>
      <c r="U141" s="7">
        <v>0</v>
      </c>
      <c r="V141" s="7">
        <v>0</v>
      </c>
      <c r="W141" s="7">
        <v>2.84</v>
      </c>
      <c r="X141" s="7">
        <v>0</v>
      </c>
      <c r="Y141" s="7">
        <v>532.35</v>
      </c>
      <c r="Z141" s="7">
        <v>0</v>
      </c>
      <c r="AA141" s="7">
        <v>0</v>
      </c>
      <c r="AB141" s="7">
        <v>0</v>
      </c>
      <c r="AC141" s="7">
        <v>5.4669999999999996</v>
      </c>
      <c r="AD141" s="7">
        <v>0</v>
      </c>
      <c r="AE141" s="7">
        <v>2300.3939999999998</v>
      </c>
      <c r="AF141" s="7">
        <v>77.465000000000003</v>
      </c>
      <c r="AG141" s="7">
        <v>0</v>
      </c>
      <c r="AH141" s="7">
        <v>9386.6239999999998</v>
      </c>
      <c r="AI141" s="7">
        <v>144.49700000000001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3.516</v>
      </c>
      <c r="AP141" s="7">
        <v>0</v>
      </c>
      <c r="AQ141" s="7">
        <v>27.545000000000002</v>
      </c>
      <c r="AR141" s="7">
        <v>0</v>
      </c>
      <c r="AS141" s="7">
        <v>8.6999999999999994E-2</v>
      </c>
      <c r="AT141" s="7">
        <v>0</v>
      </c>
      <c r="AU141" s="7">
        <v>0.61199999999999999</v>
      </c>
      <c r="AV141" s="7">
        <v>0</v>
      </c>
      <c r="AW141" s="7">
        <v>0</v>
      </c>
      <c r="AX141" s="7">
        <v>0</v>
      </c>
      <c r="AY141" s="7">
        <v>1.216</v>
      </c>
      <c r="AZ141" s="7">
        <v>21.311</v>
      </c>
      <c r="BA141" s="7">
        <v>0</v>
      </c>
      <c r="BB141" s="7">
        <v>1.256</v>
      </c>
      <c r="BC141" s="7">
        <v>0</v>
      </c>
      <c r="BD141" s="7">
        <v>25.710999999999999</v>
      </c>
      <c r="BE141" s="7">
        <v>0.27200000000000002</v>
      </c>
      <c r="BF141" s="7">
        <v>0.27200000000000002</v>
      </c>
      <c r="BG141" s="7">
        <v>8.4410000000000007</v>
      </c>
      <c r="BH141" s="7">
        <v>0</v>
      </c>
      <c r="BI141" s="7">
        <v>0</v>
      </c>
      <c r="BJ141" s="21"/>
    </row>
    <row r="142" spans="1:62" ht="15.6" x14ac:dyDescent="0.3">
      <c r="A142" s="5" t="s">
        <v>267</v>
      </c>
      <c r="B142" s="5" t="s">
        <v>268</v>
      </c>
      <c r="C142" s="7">
        <v>4</v>
      </c>
      <c r="D142" s="7">
        <v>4</v>
      </c>
      <c r="E142" s="7">
        <v>9.4610000000000003</v>
      </c>
      <c r="F142" s="7">
        <v>2.1269999999999998</v>
      </c>
      <c r="G142" s="7">
        <v>0</v>
      </c>
      <c r="H142" s="7">
        <v>0</v>
      </c>
      <c r="I142" s="7">
        <v>6.0999999999999999E-2</v>
      </c>
      <c r="J142" s="7">
        <v>0</v>
      </c>
      <c r="K142" s="7">
        <v>0</v>
      </c>
      <c r="L142" s="7">
        <v>24.428999999999998</v>
      </c>
      <c r="M142" s="7">
        <v>1.1990000000000001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0.66800000000000004</v>
      </c>
      <c r="T142" s="7">
        <v>0</v>
      </c>
      <c r="U142" s="7">
        <v>0</v>
      </c>
      <c r="V142" s="7">
        <v>0</v>
      </c>
      <c r="W142" s="7">
        <v>0.193</v>
      </c>
      <c r="X142" s="7">
        <v>0</v>
      </c>
      <c r="Y142" s="7">
        <v>4.5620000000000003</v>
      </c>
      <c r="Z142" s="7">
        <v>0</v>
      </c>
      <c r="AA142" s="7">
        <v>0</v>
      </c>
      <c r="AB142" s="7">
        <v>0</v>
      </c>
      <c r="AC142" s="7">
        <v>0.39800000000000002</v>
      </c>
      <c r="AD142" s="7">
        <v>0</v>
      </c>
      <c r="AE142" s="7">
        <v>11.069000000000001</v>
      </c>
      <c r="AF142" s="7">
        <v>5.9859999999999998</v>
      </c>
      <c r="AG142" s="7">
        <v>0</v>
      </c>
      <c r="AH142" s="7">
        <v>41.332000000000001</v>
      </c>
      <c r="AI142" s="7">
        <v>10.196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0.28399999999999997</v>
      </c>
      <c r="AP142" s="7">
        <v>0</v>
      </c>
      <c r="AQ142" s="7">
        <v>2.1280000000000001</v>
      </c>
      <c r="AR142" s="7">
        <v>0</v>
      </c>
      <c r="AS142" s="7">
        <v>7.0000000000000001E-3</v>
      </c>
      <c r="AT142" s="7">
        <v>0</v>
      </c>
      <c r="AU142" s="7">
        <v>4.5999999999999999E-2</v>
      </c>
      <c r="AV142" s="7">
        <v>0</v>
      </c>
      <c r="AW142" s="7">
        <v>0</v>
      </c>
      <c r="AX142" s="7">
        <v>0</v>
      </c>
      <c r="AY142" s="7">
        <v>0.03</v>
      </c>
      <c r="AZ142" s="7">
        <v>0.51800000000000002</v>
      </c>
      <c r="BA142" s="7">
        <v>0</v>
      </c>
      <c r="BB142" s="7">
        <v>9.8000000000000004E-2</v>
      </c>
      <c r="BC142" s="7">
        <v>0</v>
      </c>
      <c r="BD142" s="7">
        <v>0.625</v>
      </c>
      <c r="BE142" s="7">
        <v>2.3E-2</v>
      </c>
      <c r="BF142" s="7">
        <v>2.3E-2</v>
      </c>
      <c r="BG142" s="7">
        <v>0.20499999999999999</v>
      </c>
      <c r="BH142" s="7">
        <v>0</v>
      </c>
      <c r="BI142" s="7">
        <v>0</v>
      </c>
      <c r="BJ142" s="21"/>
    </row>
    <row r="143" spans="1:62" ht="15.6" x14ac:dyDescent="0.3">
      <c r="A143" s="5" t="s">
        <v>269</v>
      </c>
      <c r="B143" s="5" t="s">
        <v>270</v>
      </c>
      <c r="C143" s="7">
        <v>6</v>
      </c>
      <c r="D143" s="7">
        <v>6</v>
      </c>
      <c r="E143" s="7">
        <v>1826.463</v>
      </c>
      <c r="F143" s="7">
        <v>13.433</v>
      </c>
      <c r="G143" s="7">
        <v>19.033999999999999</v>
      </c>
      <c r="H143" s="7">
        <v>0</v>
      </c>
      <c r="I143" s="7">
        <v>3.3340000000000001</v>
      </c>
      <c r="J143" s="7">
        <v>11.634</v>
      </c>
      <c r="K143" s="7">
        <v>0</v>
      </c>
      <c r="L143" s="7">
        <v>2755.8440000000001</v>
      </c>
      <c r="M143" s="7">
        <v>605.23099999999999</v>
      </c>
      <c r="N143" s="7">
        <v>0</v>
      </c>
      <c r="O143" s="7">
        <v>0</v>
      </c>
      <c r="P143" s="7">
        <v>0.61599999999999999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1.73</v>
      </c>
      <c r="W143" s="7">
        <v>5.2629999999999999</v>
      </c>
      <c r="X143" s="7">
        <v>0</v>
      </c>
      <c r="Y143" s="7">
        <v>547.67899999999997</v>
      </c>
      <c r="Z143" s="7">
        <v>0</v>
      </c>
      <c r="AA143" s="7">
        <v>14.709</v>
      </c>
      <c r="AB143" s="7">
        <v>0</v>
      </c>
      <c r="AC143" s="7">
        <v>2.2349999999999999</v>
      </c>
      <c r="AD143" s="7">
        <v>0</v>
      </c>
      <c r="AE143" s="7">
        <v>2143.3670000000002</v>
      </c>
      <c r="AF143" s="7">
        <v>0</v>
      </c>
      <c r="AG143" s="7">
        <v>0</v>
      </c>
      <c r="AH143" s="7">
        <v>5810.2070000000003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21"/>
    </row>
    <row r="144" spans="1:62" ht="15.6" x14ac:dyDescent="0.3">
      <c r="A144" s="5" t="s">
        <v>271</v>
      </c>
      <c r="B144" s="5" t="s">
        <v>272</v>
      </c>
      <c r="C144" s="7">
        <v>4</v>
      </c>
      <c r="D144" s="7">
        <v>4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7">
        <v>0</v>
      </c>
      <c r="BI144" s="7">
        <v>0</v>
      </c>
      <c r="BJ144" s="21"/>
    </row>
    <row r="145" spans="1:62" ht="15.6" x14ac:dyDescent="0.3">
      <c r="A145" s="5" t="s">
        <v>273</v>
      </c>
      <c r="B145" s="5" t="s">
        <v>274</v>
      </c>
      <c r="C145" s="7">
        <v>6</v>
      </c>
      <c r="D145" s="7">
        <v>6</v>
      </c>
      <c r="E145" s="7">
        <v>-1184.5999999999999</v>
      </c>
      <c r="F145" s="7">
        <v>9.9459999999999997</v>
      </c>
      <c r="G145" s="7">
        <v>0</v>
      </c>
      <c r="H145" s="7">
        <v>0</v>
      </c>
      <c r="I145" s="7">
        <v>0.38100000000000001</v>
      </c>
      <c r="J145" s="7">
        <v>0</v>
      </c>
      <c r="K145" s="7">
        <v>0</v>
      </c>
      <c r="L145" s="7">
        <v>-1246.9359999999999</v>
      </c>
      <c r="M145" s="7">
        <v>8.4169999999999998</v>
      </c>
      <c r="N145" s="7">
        <v>0</v>
      </c>
      <c r="O145" s="7">
        <v>-59.813000000000002</v>
      </c>
      <c r="P145" s="7">
        <v>2E-3</v>
      </c>
      <c r="Q145" s="7">
        <v>-70.394000000000005</v>
      </c>
      <c r="R145" s="7">
        <v>0</v>
      </c>
      <c r="S145" s="7">
        <v>3.198</v>
      </c>
      <c r="T145" s="7">
        <v>0</v>
      </c>
      <c r="U145" s="7">
        <v>0</v>
      </c>
      <c r="V145" s="7">
        <v>0</v>
      </c>
      <c r="W145" s="7">
        <v>1.0029999999999999</v>
      </c>
      <c r="X145" s="7">
        <v>0</v>
      </c>
      <c r="Y145" s="7">
        <v>21.454999999999998</v>
      </c>
      <c r="Z145" s="7">
        <v>0</v>
      </c>
      <c r="AA145" s="7">
        <v>0</v>
      </c>
      <c r="AB145" s="7">
        <v>-3449.5810000000001</v>
      </c>
      <c r="AC145" s="7">
        <v>1.931</v>
      </c>
      <c r="AD145" s="7">
        <v>0</v>
      </c>
      <c r="AE145" s="7">
        <v>-2628.1320000000001</v>
      </c>
      <c r="AF145" s="7">
        <v>27.361000000000001</v>
      </c>
      <c r="AG145" s="7">
        <v>0</v>
      </c>
      <c r="AH145" s="7">
        <v>202.881</v>
      </c>
      <c r="AI145" s="7">
        <v>51.037999999999997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1.242</v>
      </c>
      <c r="AP145" s="7">
        <v>0</v>
      </c>
      <c r="AQ145" s="7">
        <v>9.73</v>
      </c>
      <c r="AR145" s="7">
        <v>0</v>
      </c>
      <c r="AS145" s="7">
        <v>3.1E-2</v>
      </c>
      <c r="AT145" s="7">
        <v>0</v>
      </c>
      <c r="AU145" s="7">
        <v>0.216</v>
      </c>
      <c r="AV145" s="7">
        <v>0</v>
      </c>
      <c r="AW145" s="7">
        <v>0</v>
      </c>
      <c r="AX145" s="7">
        <v>0</v>
      </c>
      <c r="AY145" s="7">
        <v>0.43</v>
      </c>
      <c r="AZ145" s="7">
        <v>7.5279999999999996</v>
      </c>
      <c r="BA145" s="7">
        <v>0</v>
      </c>
      <c r="BB145" s="7">
        <v>0.44400000000000001</v>
      </c>
      <c r="BC145" s="7">
        <v>0</v>
      </c>
      <c r="BD145" s="7">
        <v>9.0820000000000007</v>
      </c>
      <c r="BE145" s="7">
        <v>9.6000000000000002E-2</v>
      </c>
      <c r="BF145" s="7">
        <v>9.6000000000000002E-2</v>
      </c>
      <c r="BG145" s="7">
        <v>2.9820000000000002</v>
      </c>
      <c r="BH145" s="7">
        <v>0</v>
      </c>
      <c r="BI145" s="7">
        <v>0</v>
      </c>
      <c r="BJ145" s="21"/>
    </row>
    <row r="146" spans="1:62" ht="15.6" x14ac:dyDescent="0.3">
      <c r="A146" s="5" t="s">
        <v>275</v>
      </c>
      <c r="B146" s="5" t="s">
        <v>276</v>
      </c>
      <c r="C146" s="7">
        <v>6</v>
      </c>
      <c r="D146" s="7">
        <v>6</v>
      </c>
      <c r="E146" s="7">
        <v>-20709.581999999999</v>
      </c>
      <c r="F146" s="7">
        <v>-1064.048</v>
      </c>
      <c r="G146" s="7">
        <v>-608.40200000000004</v>
      </c>
      <c r="H146" s="7">
        <v>-0.127</v>
      </c>
      <c r="I146" s="7">
        <v>-110.60899999999999</v>
      </c>
      <c r="J146" s="7">
        <v>-273.93599999999998</v>
      </c>
      <c r="K146" s="7">
        <v>0</v>
      </c>
      <c r="L146" s="7">
        <v>-30587.454000000002</v>
      </c>
      <c r="M146" s="7">
        <v>-2712.9490000000001</v>
      </c>
      <c r="N146" s="7">
        <v>0</v>
      </c>
      <c r="O146" s="7">
        <v>41.256</v>
      </c>
      <c r="P146" s="7">
        <v>6.7489999999999997</v>
      </c>
      <c r="Q146" s="7">
        <v>43.462000000000003</v>
      </c>
      <c r="R146" s="7">
        <v>71.924999999999997</v>
      </c>
      <c r="S146" s="7">
        <v>-696.55799999999999</v>
      </c>
      <c r="T146" s="7">
        <v>0</v>
      </c>
      <c r="U146" s="7">
        <v>0</v>
      </c>
      <c r="V146" s="7">
        <v>-49.695999999999998</v>
      </c>
      <c r="W146" s="7">
        <v>-23.594999999999999</v>
      </c>
      <c r="X146" s="7">
        <v>885.00199999999995</v>
      </c>
      <c r="Y146" s="7">
        <v>-3288.7829999999999</v>
      </c>
      <c r="Z146" s="7">
        <v>1940.635</v>
      </c>
      <c r="AA146" s="7">
        <v>-1765.3710000000001</v>
      </c>
      <c r="AB146" s="7">
        <v>976.43899999999996</v>
      </c>
      <c r="AC146" s="7">
        <v>-350.46899999999999</v>
      </c>
      <c r="AD146" s="7">
        <v>206.072</v>
      </c>
      <c r="AE146" s="7">
        <v>-13523.005999999999</v>
      </c>
      <c r="AF146" s="7">
        <v>-1491.646</v>
      </c>
      <c r="AG146" s="7">
        <v>658.79499999999996</v>
      </c>
      <c r="AH146" s="7">
        <v>-62172.108999999997</v>
      </c>
      <c r="AI146" s="7">
        <v>-1292.769</v>
      </c>
      <c r="AJ146" s="7">
        <v>9668.1119999999992</v>
      </c>
      <c r="AK146" s="7">
        <v>235151.53</v>
      </c>
      <c r="AL146" s="7">
        <v>132176.10399999999</v>
      </c>
      <c r="AM146" s="7">
        <v>0</v>
      </c>
      <c r="AN146" s="7">
        <v>84246.12</v>
      </c>
      <c r="AO146" s="7">
        <v>-355.15199999999999</v>
      </c>
      <c r="AP146" s="7">
        <v>0</v>
      </c>
      <c r="AQ146" s="7">
        <v>-432.08600000000001</v>
      </c>
      <c r="AR146" s="7">
        <v>0</v>
      </c>
      <c r="AS146" s="7">
        <v>-0.20799999999999999</v>
      </c>
      <c r="AT146" s="7">
        <v>0</v>
      </c>
      <c r="AU146" s="7">
        <v>-20.977</v>
      </c>
      <c r="AV146" s="7">
        <v>0</v>
      </c>
      <c r="AW146" s="7">
        <v>0</v>
      </c>
      <c r="AX146" s="7">
        <v>840.53800000000001</v>
      </c>
      <c r="AY146" s="7">
        <v>27.603999999999999</v>
      </c>
      <c r="AZ146" s="7">
        <v>30.241</v>
      </c>
      <c r="BA146" s="7">
        <v>581.34</v>
      </c>
      <c r="BB146" s="7">
        <v>-108.017</v>
      </c>
      <c r="BC146" s="7">
        <v>12.3</v>
      </c>
      <c r="BD146" s="7">
        <v>1.387</v>
      </c>
      <c r="BE146" s="7">
        <v>-26.962</v>
      </c>
      <c r="BF146" s="7">
        <v>-26.962</v>
      </c>
      <c r="BG146" s="7">
        <v>6.9939999999999998</v>
      </c>
      <c r="BH146" s="7">
        <v>6340.6559999999999</v>
      </c>
      <c r="BI146" s="7">
        <v>10.472</v>
      </c>
      <c r="BJ146" s="21"/>
    </row>
    <row r="147" spans="1:62" ht="15.6" x14ac:dyDescent="0.3">
      <c r="A147" s="5" t="s">
        <v>277</v>
      </c>
      <c r="B147" s="5" t="s">
        <v>278</v>
      </c>
      <c r="C147" s="7">
        <v>6</v>
      </c>
      <c r="D147" s="7">
        <v>6</v>
      </c>
      <c r="E147" s="7">
        <v>-18241.308000000001</v>
      </c>
      <c r="F147" s="7">
        <v>-3895.7959999999998</v>
      </c>
      <c r="G147" s="7">
        <v>-354.637</v>
      </c>
      <c r="H147" s="7">
        <v>-0.40400000000000003</v>
      </c>
      <c r="I147" s="7">
        <v>-387.19799999999998</v>
      </c>
      <c r="J147" s="7">
        <v>-1524.732</v>
      </c>
      <c r="K147" s="7">
        <v>0</v>
      </c>
      <c r="L147" s="7">
        <v>-32462.679</v>
      </c>
      <c r="M147" s="7">
        <v>-5012.9070000000002</v>
      </c>
      <c r="N147" s="7">
        <v>0</v>
      </c>
      <c r="O147" s="7">
        <v>0</v>
      </c>
      <c r="P147" s="7">
        <v>-15.503</v>
      </c>
      <c r="Q147" s="7">
        <v>0</v>
      </c>
      <c r="R147" s="7">
        <v>-0.13400000000000001</v>
      </c>
      <c r="S147" s="7">
        <v>-1432.223</v>
      </c>
      <c r="T147" s="7">
        <v>0</v>
      </c>
      <c r="U147" s="7">
        <v>0</v>
      </c>
      <c r="V147" s="7">
        <v>-191.55799999999999</v>
      </c>
      <c r="W147" s="7">
        <v>-321.911</v>
      </c>
      <c r="X147" s="7">
        <v>0</v>
      </c>
      <c r="Y147" s="7">
        <v>-5244.4459999999999</v>
      </c>
      <c r="Z147" s="7">
        <v>0</v>
      </c>
      <c r="AA147" s="7">
        <v>-4624.732</v>
      </c>
      <c r="AB147" s="7">
        <v>0</v>
      </c>
      <c r="AC147" s="7">
        <v>-686.76199999999994</v>
      </c>
      <c r="AD147" s="7">
        <v>-3.0000000000000001E-3</v>
      </c>
      <c r="AE147" s="7">
        <v>-14694.147000000001</v>
      </c>
      <c r="AF147" s="7">
        <v>-4740.88</v>
      </c>
      <c r="AG147" s="7">
        <v>-1.0999999999999999E-2</v>
      </c>
      <c r="AH147" s="7">
        <v>-53552.330999999998</v>
      </c>
      <c r="AI147" s="7">
        <v>-7621.8540000000003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-674.70600000000002</v>
      </c>
      <c r="AP147" s="7">
        <v>0</v>
      </c>
      <c r="AQ147" s="7">
        <v>-1695.393</v>
      </c>
      <c r="AR147" s="7">
        <v>0</v>
      </c>
      <c r="AS147" s="7">
        <v>-8.5690000000000008</v>
      </c>
      <c r="AT147" s="7">
        <v>0</v>
      </c>
      <c r="AU147" s="7">
        <v>-39.176000000000002</v>
      </c>
      <c r="AV147" s="7">
        <v>0</v>
      </c>
      <c r="AW147" s="7">
        <v>0</v>
      </c>
      <c r="AX147" s="7">
        <v>0</v>
      </c>
      <c r="AY147" s="7">
        <v>-6.8860000000000001</v>
      </c>
      <c r="AZ147" s="7">
        <v>-27.102</v>
      </c>
      <c r="BA147" s="7">
        <v>0</v>
      </c>
      <c r="BB147" s="7">
        <v>-229.851</v>
      </c>
      <c r="BC147" s="7">
        <v>2.2000000000000002</v>
      </c>
      <c r="BD147" s="7">
        <v>-31.024000000000001</v>
      </c>
      <c r="BE147" s="7">
        <v>-53.819000000000003</v>
      </c>
      <c r="BF147" s="7">
        <v>-53.819000000000003</v>
      </c>
      <c r="BG147" s="7">
        <v>-10.454000000000001</v>
      </c>
      <c r="BH147" s="7">
        <v>-0.28399999999999997</v>
      </c>
      <c r="BI147" s="7">
        <v>0.94699999999999995</v>
      </c>
      <c r="BJ147" s="21"/>
    </row>
    <row r="148" spans="1:62" ht="15.6" x14ac:dyDescent="0.3">
      <c r="A148" s="5" t="s">
        <v>279</v>
      </c>
      <c r="B148" s="5" t="s">
        <v>280</v>
      </c>
      <c r="C148" s="7">
        <v>6</v>
      </c>
      <c r="D148" s="7">
        <v>6</v>
      </c>
      <c r="E148" s="7">
        <v>-862.72900000000004</v>
      </c>
      <c r="F148" s="7">
        <v>-146.90899999999999</v>
      </c>
      <c r="G148" s="7">
        <v>-46.786000000000001</v>
      </c>
      <c r="H148" s="7">
        <v>3.0000000000000001E-3</v>
      </c>
      <c r="I148" s="7">
        <v>-9.7040000000000006</v>
      </c>
      <c r="J148" s="7">
        <v>-25.745999999999999</v>
      </c>
      <c r="K148" s="7">
        <v>0</v>
      </c>
      <c r="L148" s="7">
        <v>-1688.4359999999999</v>
      </c>
      <c r="M148" s="7">
        <v>-103.432</v>
      </c>
      <c r="N148" s="7">
        <v>0</v>
      </c>
      <c r="O148" s="7">
        <v>0</v>
      </c>
      <c r="P148" s="7">
        <v>0.40600000000000003</v>
      </c>
      <c r="Q148" s="7">
        <v>0</v>
      </c>
      <c r="R148" s="7">
        <v>0</v>
      </c>
      <c r="S148" s="7">
        <v>-45.207000000000001</v>
      </c>
      <c r="T148" s="7">
        <v>0</v>
      </c>
      <c r="U148" s="7">
        <v>0</v>
      </c>
      <c r="V148" s="7">
        <v>-2.4780000000000002</v>
      </c>
      <c r="W148" s="7">
        <v>-16.475000000000001</v>
      </c>
      <c r="X148" s="7">
        <v>0</v>
      </c>
      <c r="Y148" s="7">
        <v>-352.70100000000002</v>
      </c>
      <c r="Z148" s="7">
        <v>0</v>
      </c>
      <c r="AA148" s="7">
        <v>-61.262999999999998</v>
      </c>
      <c r="AB148" s="7">
        <v>0</v>
      </c>
      <c r="AC148" s="7">
        <v>-26.221</v>
      </c>
      <c r="AD148" s="7">
        <v>-2.4289999999999998</v>
      </c>
      <c r="AE148" s="7">
        <v>-853.86099999999999</v>
      </c>
      <c r="AF148" s="7">
        <v>-428.87900000000002</v>
      </c>
      <c r="AG148" s="7">
        <v>-8.1809999999999992</v>
      </c>
      <c r="AH148" s="7">
        <v>-2982.4740000000002</v>
      </c>
      <c r="AI148" s="7">
        <v>-699.08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-19.625</v>
      </c>
      <c r="AP148" s="7">
        <v>0</v>
      </c>
      <c r="AQ148" s="7">
        <v>-152.45400000000001</v>
      </c>
      <c r="AR148" s="7">
        <v>0</v>
      </c>
      <c r="AS148" s="7">
        <v>-0.70499999999999996</v>
      </c>
      <c r="AT148" s="7">
        <v>0</v>
      </c>
      <c r="AU148" s="7">
        <v>-7.3559999999999999</v>
      </c>
      <c r="AV148" s="7">
        <v>0</v>
      </c>
      <c r="AW148" s="7">
        <v>0</v>
      </c>
      <c r="AX148" s="7">
        <v>0</v>
      </c>
      <c r="AY148" s="7">
        <v>-1.36</v>
      </c>
      <c r="AZ148" s="7">
        <v>0</v>
      </c>
      <c r="BA148" s="7">
        <v>0</v>
      </c>
      <c r="BB148" s="7">
        <v>-6.8440000000000003</v>
      </c>
      <c r="BC148" s="7">
        <v>-0.66800000000000004</v>
      </c>
      <c r="BD148" s="7">
        <v>0</v>
      </c>
      <c r="BE148" s="7">
        <v>-1.748</v>
      </c>
      <c r="BF148" s="7">
        <v>-1.748</v>
      </c>
      <c r="BG148" s="7">
        <v>0</v>
      </c>
      <c r="BH148" s="7">
        <v>2E-3</v>
      </c>
      <c r="BI148" s="7">
        <v>-0.23899999999999999</v>
      </c>
      <c r="BJ148" s="21"/>
    </row>
    <row r="149" spans="1:62" ht="15.6" x14ac:dyDescent="0.3">
      <c r="A149" s="5" t="s">
        <v>281</v>
      </c>
      <c r="B149" s="5" t="s">
        <v>282</v>
      </c>
      <c r="C149" s="7">
        <v>6</v>
      </c>
      <c r="D149" s="7">
        <v>6</v>
      </c>
      <c r="E149" s="7">
        <v>-1505.2239999999999</v>
      </c>
      <c r="F149" s="7">
        <v>-1178.19</v>
      </c>
      <c r="G149" s="7">
        <v>-1044.9010000000001</v>
      </c>
      <c r="H149" s="7">
        <v>-0.17499999999999999</v>
      </c>
      <c r="I149" s="7">
        <v>-115.295</v>
      </c>
      <c r="J149" s="7">
        <v>-983.89300000000003</v>
      </c>
      <c r="K149" s="7">
        <v>0</v>
      </c>
      <c r="L149" s="7">
        <v>-3879.5479999999998</v>
      </c>
      <c r="M149" s="7">
        <v>-1410.626</v>
      </c>
      <c r="N149" s="7">
        <v>0</v>
      </c>
      <c r="O149" s="7">
        <v>0</v>
      </c>
      <c r="P149" s="7">
        <v>-3.0000000000000001E-3</v>
      </c>
      <c r="Q149" s="7">
        <v>-391.08</v>
      </c>
      <c r="R149" s="7">
        <v>-537.17100000000005</v>
      </c>
      <c r="S149" s="7">
        <v>-479.72</v>
      </c>
      <c r="T149" s="7">
        <v>0</v>
      </c>
      <c r="U149" s="7">
        <v>0</v>
      </c>
      <c r="V149" s="7">
        <v>-106.65300000000001</v>
      </c>
      <c r="W149" s="7">
        <v>-19.308</v>
      </c>
      <c r="X149" s="7">
        <v>0</v>
      </c>
      <c r="Y149" s="7">
        <v>-539.59</v>
      </c>
      <c r="Z149" s="7">
        <v>-16573.422999999999</v>
      </c>
      <c r="AA149" s="7">
        <v>-2389.1210000000001</v>
      </c>
      <c r="AB149" s="7">
        <v>0</v>
      </c>
      <c r="AC149" s="7">
        <v>-293.988</v>
      </c>
      <c r="AD149" s="7">
        <v>-2119.5709999999999</v>
      </c>
      <c r="AE149" s="7">
        <v>-1998.421</v>
      </c>
      <c r="AF149" s="7">
        <v>-16.242999999999999</v>
      </c>
      <c r="AG149" s="7">
        <v>-6429.8280000000004</v>
      </c>
      <c r="AH149" s="7">
        <v>-4911.8630000000003</v>
      </c>
      <c r="AI149" s="7">
        <v>-1.2E-2</v>
      </c>
      <c r="AJ149" s="7">
        <v>-80735.581999999995</v>
      </c>
      <c r="AK149" s="7">
        <v>0</v>
      </c>
      <c r="AL149" s="7">
        <v>0</v>
      </c>
      <c r="AM149" s="7">
        <v>0</v>
      </c>
      <c r="AN149" s="7">
        <v>0</v>
      </c>
      <c r="AO149" s="7">
        <v>-293.17</v>
      </c>
      <c r="AP149" s="7">
        <v>0</v>
      </c>
      <c r="AQ149" s="7">
        <v>-2.3929999999999998</v>
      </c>
      <c r="AR149" s="7">
        <v>0</v>
      </c>
      <c r="AS149" s="7">
        <v>-1.61</v>
      </c>
      <c r="AT149" s="7">
        <v>0</v>
      </c>
      <c r="AU149" s="7">
        <v>-0.16900000000000001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-97.906000000000006</v>
      </c>
      <c r="BC149" s="7">
        <v>0</v>
      </c>
      <c r="BD149" s="7">
        <v>0</v>
      </c>
      <c r="BE149" s="7">
        <v>-22.954000000000001</v>
      </c>
      <c r="BF149" s="7">
        <v>-22.954000000000001</v>
      </c>
      <c r="BG149" s="7">
        <v>0</v>
      </c>
      <c r="BH149" s="7">
        <v>-55896.607000000004</v>
      </c>
      <c r="BI149" s="7">
        <v>0</v>
      </c>
      <c r="BJ149" s="21"/>
    </row>
    <row r="150" spans="1:62" ht="15.6" x14ac:dyDescent="0.3">
      <c r="A150" s="5" t="s">
        <v>283</v>
      </c>
      <c r="B150" s="5" t="s">
        <v>284</v>
      </c>
      <c r="C150" s="7">
        <v>4</v>
      </c>
      <c r="D150" s="7">
        <v>4</v>
      </c>
      <c r="E150" s="7">
        <v>-5582.8940000000002</v>
      </c>
      <c r="F150" s="7">
        <v>-1007.67</v>
      </c>
      <c r="G150" s="7">
        <v>0</v>
      </c>
      <c r="H150" s="7">
        <v>0</v>
      </c>
      <c r="I150" s="7">
        <v>-24.555</v>
      </c>
      <c r="J150" s="7">
        <v>0</v>
      </c>
      <c r="K150" s="7">
        <v>0</v>
      </c>
      <c r="L150" s="7">
        <v>-12754.734</v>
      </c>
      <c r="M150" s="7">
        <v>-1554.3489999999999</v>
      </c>
      <c r="N150" s="7">
        <v>0</v>
      </c>
      <c r="O150" s="7">
        <v>-23.486999999999998</v>
      </c>
      <c r="P150" s="7">
        <v>0</v>
      </c>
      <c r="Q150" s="7">
        <v>-8.2379999999999995</v>
      </c>
      <c r="R150" s="7">
        <v>0</v>
      </c>
      <c r="S150" s="7">
        <v>-312.58800000000002</v>
      </c>
      <c r="T150" s="7">
        <v>0</v>
      </c>
      <c r="U150" s="7">
        <v>0</v>
      </c>
      <c r="V150" s="7">
        <v>0</v>
      </c>
      <c r="W150" s="7">
        <v>-87.021000000000001</v>
      </c>
      <c r="X150" s="7">
        <v>-198.52799999999999</v>
      </c>
      <c r="Y150" s="7">
        <v>-2142.143</v>
      </c>
      <c r="Z150" s="7">
        <v>-3.573</v>
      </c>
      <c r="AA150" s="7">
        <v>0</v>
      </c>
      <c r="AB150" s="7">
        <v>-445.428</v>
      </c>
      <c r="AC150" s="7">
        <v>-185.142</v>
      </c>
      <c r="AD150" s="7">
        <v>-31.859000000000002</v>
      </c>
      <c r="AE150" s="7">
        <v>-5247.6819999999998</v>
      </c>
      <c r="AF150" s="7">
        <v>-2861.9780000000001</v>
      </c>
      <c r="AG150" s="7">
        <v>-215.65</v>
      </c>
      <c r="AH150" s="7">
        <v>-20898.162</v>
      </c>
      <c r="AI150" s="7">
        <v>-4663.3029999999999</v>
      </c>
      <c r="AJ150" s="7">
        <v>-18.797999999999998</v>
      </c>
      <c r="AK150" s="7">
        <v>-1108.777</v>
      </c>
      <c r="AL150" s="7">
        <v>-623.30399999999997</v>
      </c>
      <c r="AM150" s="7">
        <v>0</v>
      </c>
      <c r="AN150" s="7">
        <v>-397.24299999999999</v>
      </c>
      <c r="AO150" s="7">
        <v>-137.66499999999999</v>
      </c>
      <c r="AP150" s="7">
        <v>0</v>
      </c>
      <c r="AQ150" s="7">
        <v>-1013.931</v>
      </c>
      <c r="AR150" s="7">
        <v>0</v>
      </c>
      <c r="AS150" s="7">
        <v>-3.2789999999999999</v>
      </c>
      <c r="AT150" s="7">
        <v>0</v>
      </c>
      <c r="AU150" s="7">
        <v>-21.800999999999998</v>
      </c>
      <c r="AV150" s="7">
        <v>0</v>
      </c>
      <c r="AW150" s="7">
        <v>0</v>
      </c>
      <c r="AX150" s="7">
        <v>-188.55600000000001</v>
      </c>
      <c r="AY150" s="7">
        <v>0</v>
      </c>
      <c r="AZ150" s="7">
        <v>0</v>
      </c>
      <c r="BA150" s="7">
        <v>-128.40799999999999</v>
      </c>
      <c r="BB150" s="7">
        <v>-46.901000000000003</v>
      </c>
      <c r="BC150" s="7">
        <v>0</v>
      </c>
      <c r="BD150" s="7">
        <v>0</v>
      </c>
      <c r="BE150" s="7">
        <v>-11.358000000000001</v>
      </c>
      <c r="BF150" s="7">
        <v>-11.358000000000001</v>
      </c>
      <c r="BG150" s="7">
        <v>0</v>
      </c>
      <c r="BH150" s="7">
        <v>-99.95</v>
      </c>
      <c r="BI150" s="7">
        <v>0</v>
      </c>
      <c r="BJ150" s="21"/>
    </row>
    <row r="151" spans="1:62" ht="15.6" x14ac:dyDescent="0.3">
      <c r="A151" s="5" t="s">
        <v>285</v>
      </c>
      <c r="B151" s="5" t="s">
        <v>286</v>
      </c>
      <c r="C151" s="7">
        <v>6</v>
      </c>
      <c r="D151" s="7">
        <v>6</v>
      </c>
      <c r="E151" s="7">
        <v>-6289.5780000000004</v>
      </c>
      <c r="F151" s="7">
        <v>-1494.6479999999999</v>
      </c>
      <c r="G151" s="7">
        <v>0</v>
      </c>
      <c r="H151" s="7">
        <v>0</v>
      </c>
      <c r="I151" s="7">
        <v>-36.006999999999998</v>
      </c>
      <c r="J151" s="7">
        <v>0</v>
      </c>
      <c r="K151" s="7">
        <v>0</v>
      </c>
      <c r="L151" s="7">
        <v>-16923.29</v>
      </c>
      <c r="M151" s="7">
        <v>-642.21600000000001</v>
      </c>
      <c r="N151" s="7">
        <v>0</v>
      </c>
      <c r="O151" s="7">
        <v>-364.71600000000001</v>
      </c>
      <c r="P151" s="7">
        <v>0</v>
      </c>
      <c r="Q151" s="7">
        <v>-619.73699999999997</v>
      </c>
      <c r="R151" s="7">
        <v>-676.11900000000003</v>
      </c>
      <c r="S151" s="7">
        <v>-463.84399999999999</v>
      </c>
      <c r="T151" s="7">
        <v>0</v>
      </c>
      <c r="U151" s="7">
        <v>0</v>
      </c>
      <c r="V151" s="7">
        <v>0</v>
      </c>
      <c r="W151" s="7">
        <v>-128.91999999999999</v>
      </c>
      <c r="X151" s="7">
        <v>0</v>
      </c>
      <c r="Y151" s="7">
        <v>-3197.65</v>
      </c>
      <c r="Z151" s="7">
        <v>-22491.117999999999</v>
      </c>
      <c r="AA151" s="7">
        <v>0</v>
      </c>
      <c r="AB151" s="7">
        <v>-7366.4570000000003</v>
      </c>
      <c r="AC151" s="7">
        <v>-275.02699999999999</v>
      </c>
      <c r="AD151" s="7">
        <v>-5855.5950000000003</v>
      </c>
      <c r="AE151" s="7">
        <v>-8652.0020000000004</v>
      </c>
      <c r="AF151" s="7">
        <v>-4252.3599999999997</v>
      </c>
      <c r="AG151" s="7">
        <v>-20848.690999999999</v>
      </c>
      <c r="AH151" s="7">
        <v>-28368.615000000002</v>
      </c>
      <c r="AI151" s="7">
        <v>-6927.3869999999997</v>
      </c>
      <c r="AJ151" s="7">
        <v>-110075.662</v>
      </c>
      <c r="AK151" s="7">
        <v>-628531.66500000004</v>
      </c>
      <c r="AL151" s="7">
        <v>-353290.777</v>
      </c>
      <c r="AM151" s="7">
        <v>0</v>
      </c>
      <c r="AN151" s="7">
        <v>-225179.71299999999</v>
      </c>
      <c r="AO151" s="7">
        <v>-205.49299999999999</v>
      </c>
      <c r="AP151" s="7">
        <v>0</v>
      </c>
      <c r="AQ151" s="7">
        <v>-1511.0730000000001</v>
      </c>
      <c r="AR151" s="7">
        <v>0</v>
      </c>
      <c r="AS151" s="7">
        <v>-4.9000000000000004</v>
      </c>
      <c r="AT151" s="7">
        <v>0</v>
      </c>
      <c r="AU151" s="7">
        <v>-32.558999999999997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-70.007999999999996</v>
      </c>
      <c r="BC151" s="7">
        <v>0</v>
      </c>
      <c r="BD151" s="7">
        <v>0</v>
      </c>
      <c r="BE151" s="7">
        <v>-16.946999999999999</v>
      </c>
      <c r="BF151" s="7">
        <v>-16.946999999999999</v>
      </c>
      <c r="BG151" s="7">
        <v>0</v>
      </c>
      <c r="BH151" s="7">
        <v>-76377.183000000005</v>
      </c>
      <c r="BI151" s="7">
        <v>0</v>
      </c>
      <c r="BJ151" s="21"/>
    </row>
    <row r="152" spans="1:62" ht="15.6" x14ac:dyDescent="0.3">
      <c r="A152" s="5" t="s">
        <v>287</v>
      </c>
      <c r="B152" s="5" t="s">
        <v>288</v>
      </c>
      <c r="C152" s="7">
        <v>6</v>
      </c>
      <c r="D152" s="7">
        <v>6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21"/>
    </row>
    <row r="153" spans="1:62" ht="15.6" x14ac:dyDescent="0.3">
      <c r="A153" s="5" t="s">
        <v>289</v>
      </c>
      <c r="B153" s="5" t="s">
        <v>290</v>
      </c>
      <c r="C153" s="7">
        <v>6</v>
      </c>
      <c r="D153" s="7">
        <v>6</v>
      </c>
      <c r="E153" s="7">
        <v>0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7">
        <v>0</v>
      </c>
      <c r="BH153" s="7">
        <v>0</v>
      </c>
      <c r="BI153" s="7">
        <v>0</v>
      </c>
      <c r="BJ153" s="21"/>
    </row>
    <row r="154" spans="1:62" ht="15.6" x14ac:dyDescent="0.3">
      <c r="A154" s="5" t="s">
        <v>291</v>
      </c>
      <c r="B154" s="5" t="s">
        <v>292</v>
      </c>
      <c r="C154" s="7">
        <v>6</v>
      </c>
      <c r="D154" s="7">
        <v>6</v>
      </c>
      <c r="E154" s="7">
        <v>1523.0029999999999</v>
      </c>
      <c r="F154" s="7">
        <v>1192.1320000000001</v>
      </c>
      <c r="G154" s="7">
        <v>953.94299999999998</v>
      </c>
      <c r="H154" s="7">
        <v>0.17699999999999999</v>
      </c>
      <c r="I154" s="7">
        <v>116.661</v>
      </c>
      <c r="J154" s="7">
        <v>916.14800000000002</v>
      </c>
      <c r="K154" s="7">
        <v>0</v>
      </c>
      <c r="L154" s="7">
        <v>3883.36</v>
      </c>
      <c r="M154" s="7">
        <v>1351.7529999999999</v>
      </c>
      <c r="N154" s="7">
        <v>0</v>
      </c>
      <c r="O154" s="7">
        <v>0</v>
      </c>
      <c r="P154" s="7">
        <v>3.0000000000000001E-3</v>
      </c>
      <c r="Q154" s="7">
        <v>884.86400000000003</v>
      </c>
      <c r="R154" s="7">
        <v>1215.413</v>
      </c>
      <c r="S154" s="7">
        <v>485.39800000000002</v>
      </c>
      <c r="T154" s="7">
        <v>0</v>
      </c>
      <c r="U154" s="7">
        <v>0</v>
      </c>
      <c r="V154" s="7">
        <v>107.919</v>
      </c>
      <c r="W154" s="7">
        <v>19.54</v>
      </c>
      <c r="X154" s="7">
        <v>0</v>
      </c>
      <c r="Y154" s="7">
        <v>546.05899999999997</v>
      </c>
      <c r="Z154" s="7">
        <v>37499.328000000001</v>
      </c>
      <c r="AA154" s="7">
        <v>2417.3649999999998</v>
      </c>
      <c r="AB154" s="7">
        <v>0</v>
      </c>
      <c r="AC154" s="7">
        <v>297.48500000000001</v>
      </c>
      <c r="AD154" s="7">
        <v>7628.1530000000002</v>
      </c>
      <c r="AE154" s="7">
        <v>1975.3820000000001</v>
      </c>
      <c r="AF154" s="7">
        <v>16.434000000000001</v>
      </c>
      <c r="AG154" s="7">
        <v>24847.856</v>
      </c>
      <c r="AH154" s="7">
        <v>4970.1329999999998</v>
      </c>
      <c r="AI154" s="7">
        <v>1.2E-2</v>
      </c>
      <c r="AJ154" s="7">
        <v>182673.79300000001</v>
      </c>
      <c r="AK154" s="7">
        <v>0</v>
      </c>
      <c r="AL154" s="7">
        <v>0</v>
      </c>
      <c r="AM154" s="7">
        <v>0</v>
      </c>
      <c r="AN154" s="7">
        <v>0</v>
      </c>
      <c r="AO154" s="7">
        <v>296.64299999999997</v>
      </c>
      <c r="AP154" s="7">
        <v>0</v>
      </c>
      <c r="AQ154" s="7">
        <v>2.4209999999999998</v>
      </c>
      <c r="AR154" s="7">
        <v>0</v>
      </c>
      <c r="AS154" s="7">
        <v>1.629</v>
      </c>
      <c r="AT154" s="7">
        <v>0</v>
      </c>
      <c r="AU154" s="7">
        <v>0.17100000000000001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99.066000000000003</v>
      </c>
      <c r="BC154" s="7">
        <v>0</v>
      </c>
      <c r="BD154" s="7">
        <v>0</v>
      </c>
      <c r="BE154" s="7">
        <v>23.225999999999999</v>
      </c>
      <c r="BF154" s="7">
        <v>23.225999999999999</v>
      </c>
      <c r="BG154" s="7">
        <v>0</v>
      </c>
      <c r="BH154" s="7">
        <v>126472.524</v>
      </c>
      <c r="BI154" s="7">
        <v>0</v>
      </c>
      <c r="BJ154" s="21"/>
    </row>
    <row r="155" spans="1:62" ht="15.6" x14ac:dyDescent="0.3">
      <c r="A155" s="5" t="s">
        <v>293</v>
      </c>
      <c r="B155" s="5" t="s">
        <v>294</v>
      </c>
      <c r="C155" s="7">
        <v>4</v>
      </c>
      <c r="D155" s="7">
        <v>4</v>
      </c>
      <c r="E155" s="7">
        <v>5240.5990000000002</v>
      </c>
      <c r="F155" s="7">
        <v>1057.318</v>
      </c>
      <c r="G155" s="7">
        <v>0</v>
      </c>
      <c r="H155" s="7">
        <v>0</v>
      </c>
      <c r="I155" s="7">
        <v>40.460999999999999</v>
      </c>
      <c r="J155" s="7">
        <v>0</v>
      </c>
      <c r="K155" s="7">
        <v>0</v>
      </c>
      <c r="L155" s="7">
        <v>12515.004000000001</v>
      </c>
      <c r="M155" s="7">
        <v>894.77700000000004</v>
      </c>
      <c r="N155" s="7">
        <v>0</v>
      </c>
      <c r="O155" s="7">
        <v>0</v>
      </c>
      <c r="P155" s="7">
        <v>0.193</v>
      </c>
      <c r="Q155" s="7">
        <v>0</v>
      </c>
      <c r="R155" s="7">
        <v>0</v>
      </c>
      <c r="S155" s="7">
        <v>339.98500000000001</v>
      </c>
      <c r="T155" s="7">
        <v>0</v>
      </c>
      <c r="U155" s="7">
        <v>0</v>
      </c>
      <c r="V155" s="7">
        <v>0</v>
      </c>
      <c r="W155" s="7">
        <v>106.631</v>
      </c>
      <c r="X155" s="7">
        <v>0</v>
      </c>
      <c r="Y155" s="7">
        <v>2280.828</v>
      </c>
      <c r="Z155" s="7">
        <v>0</v>
      </c>
      <c r="AA155" s="7">
        <v>0</v>
      </c>
      <c r="AB155" s="7">
        <v>0</v>
      </c>
      <c r="AC155" s="7">
        <v>205.27699999999999</v>
      </c>
      <c r="AD155" s="7">
        <v>0</v>
      </c>
      <c r="AE155" s="7">
        <v>5427.4110000000001</v>
      </c>
      <c r="AF155" s="7">
        <v>2908.6080000000002</v>
      </c>
      <c r="AG155" s="7">
        <v>0</v>
      </c>
      <c r="AH155" s="7">
        <v>21567.273000000001</v>
      </c>
      <c r="AI155" s="7">
        <v>5425.5919999999996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132.02199999999999</v>
      </c>
      <c r="AP155" s="7">
        <v>0</v>
      </c>
      <c r="AQ155" s="7">
        <v>1034.3420000000001</v>
      </c>
      <c r="AR155" s="7">
        <v>0</v>
      </c>
      <c r="AS155" s="7">
        <v>3.28</v>
      </c>
      <c r="AT155" s="7">
        <v>0</v>
      </c>
      <c r="AU155" s="7">
        <v>22.984000000000002</v>
      </c>
      <c r="AV155" s="7">
        <v>0</v>
      </c>
      <c r="AW155" s="7">
        <v>0</v>
      </c>
      <c r="AX155" s="7">
        <v>0</v>
      </c>
      <c r="AY155" s="7">
        <v>45.680999999999997</v>
      </c>
      <c r="AZ155" s="7">
        <v>800.25599999999997</v>
      </c>
      <c r="BA155" s="7">
        <v>0</v>
      </c>
      <c r="BB155" s="7">
        <v>47.158000000000001</v>
      </c>
      <c r="BC155" s="7">
        <v>0</v>
      </c>
      <c r="BD155" s="7">
        <v>965.44799999999998</v>
      </c>
      <c r="BE155" s="7">
        <v>10.225</v>
      </c>
      <c r="BF155" s="7">
        <v>10.225</v>
      </c>
      <c r="BG155" s="7">
        <v>316.96100000000001</v>
      </c>
      <c r="BH155" s="7">
        <v>0</v>
      </c>
      <c r="BI155" s="7">
        <v>0</v>
      </c>
      <c r="BJ155" s="21"/>
    </row>
    <row r="156" spans="1:62" ht="15.6" x14ac:dyDescent="0.3">
      <c r="A156" s="5" t="s">
        <v>295</v>
      </c>
      <c r="B156" s="5" t="s">
        <v>296</v>
      </c>
      <c r="C156" s="7">
        <v>4</v>
      </c>
      <c r="D156" s="7">
        <v>4</v>
      </c>
      <c r="E156" s="7">
        <v>387.60199999999998</v>
      </c>
      <c r="F156" s="7">
        <v>92.108999999999995</v>
      </c>
      <c r="G156" s="7">
        <v>0</v>
      </c>
      <c r="H156" s="7">
        <v>0</v>
      </c>
      <c r="I156" s="7">
        <v>2.2189999999999999</v>
      </c>
      <c r="J156" s="7">
        <v>0</v>
      </c>
      <c r="K156" s="7">
        <v>0</v>
      </c>
      <c r="L156" s="7">
        <v>1042.9169999999999</v>
      </c>
      <c r="M156" s="7">
        <v>39.576999999999998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28.585000000000001</v>
      </c>
      <c r="T156" s="7">
        <v>0</v>
      </c>
      <c r="U156" s="7">
        <v>0</v>
      </c>
      <c r="V156" s="7">
        <v>0</v>
      </c>
      <c r="W156" s="7">
        <v>7.9450000000000003</v>
      </c>
      <c r="X156" s="7">
        <v>0</v>
      </c>
      <c r="Y156" s="7">
        <v>197.059</v>
      </c>
      <c r="Z156" s="7">
        <v>0</v>
      </c>
      <c r="AA156" s="7">
        <v>0</v>
      </c>
      <c r="AB156" s="7">
        <v>0</v>
      </c>
      <c r="AC156" s="7">
        <v>16.949000000000002</v>
      </c>
      <c r="AD156" s="7">
        <v>0</v>
      </c>
      <c r="AE156" s="7">
        <v>482.56799999999998</v>
      </c>
      <c r="AF156" s="7">
        <v>262.05700000000002</v>
      </c>
      <c r="AG156" s="7">
        <v>0</v>
      </c>
      <c r="AH156" s="7">
        <v>1748.249</v>
      </c>
      <c r="AI156" s="7">
        <v>426.90800000000002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12.664</v>
      </c>
      <c r="AP156" s="7">
        <v>0</v>
      </c>
      <c r="AQ156" s="7">
        <v>93.122</v>
      </c>
      <c r="AR156" s="7">
        <v>0</v>
      </c>
      <c r="AS156" s="7">
        <v>0.30199999999999999</v>
      </c>
      <c r="AT156" s="7">
        <v>0</v>
      </c>
      <c r="AU156" s="7">
        <v>2.0059999999999998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4.3140000000000001</v>
      </c>
      <c r="BC156" s="7">
        <v>0</v>
      </c>
      <c r="BD156" s="7">
        <v>0</v>
      </c>
      <c r="BE156" s="7">
        <v>1.044</v>
      </c>
      <c r="BF156" s="7">
        <v>1.044</v>
      </c>
      <c r="BG156" s="7">
        <v>0</v>
      </c>
      <c r="BH156" s="7">
        <v>0</v>
      </c>
      <c r="BI156" s="7">
        <v>0</v>
      </c>
      <c r="BJ156" s="21"/>
    </row>
    <row r="157" spans="1:62" ht="15.6" x14ac:dyDescent="0.3">
      <c r="A157" s="5" t="s">
        <v>297</v>
      </c>
      <c r="B157" s="5" t="s">
        <v>298</v>
      </c>
      <c r="C157" s="7">
        <v>4</v>
      </c>
      <c r="D157" s="7">
        <v>4</v>
      </c>
      <c r="E157" s="7">
        <v>0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21"/>
    </row>
    <row r="158" spans="1:62" ht="15.6" x14ac:dyDescent="0.3">
      <c r="A158" s="5" t="s">
        <v>299</v>
      </c>
      <c r="B158" s="5" t="s">
        <v>300</v>
      </c>
      <c r="C158" s="7">
        <v>4</v>
      </c>
      <c r="D158" s="7">
        <v>4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21"/>
    </row>
    <row r="159" spans="1:62" ht="15.6" x14ac:dyDescent="0.3">
      <c r="A159" s="5" t="s">
        <v>301</v>
      </c>
      <c r="B159" s="5" t="s">
        <v>302</v>
      </c>
      <c r="C159" s="7">
        <v>4</v>
      </c>
      <c r="D159" s="7">
        <v>4</v>
      </c>
      <c r="E159" s="7">
        <v>0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s="21"/>
    </row>
    <row r="160" spans="1:62" ht="15.6" x14ac:dyDescent="0.3">
      <c r="A160" s="5" t="s">
        <v>303</v>
      </c>
      <c r="B160" s="5" t="s">
        <v>304</v>
      </c>
      <c r="C160" s="7">
        <v>4</v>
      </c>
      <c r="D160" s="7">
        <v>4</v>
      </c>
      <c r="E160" s="7">
        <v>-100.34699999999999</v>
      </c>
      <c r="F160" s="7">
        <v>-23.846</v>
      </c>
      <c r="G160" s="7">
        <v>0</v>
      </c>
      <c r="H160" s="7">
        <v>0</v>
      </c>
      <c r="I160" s="7">
        <v>-0.57399999999999995</v>
      </c>
      <c r="J160" s="7">
        <v>0</v>
      </c>
      <c r="K160" s="7">
        <v>0</v>
      </c>
      <c r="L160" s="7">
        <v>-270.00200000000001</v>
      </c>
      <c r="M160" s="7">
        <v>-10.246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-7.4</v>
      </c>
      <c r="T160" s="7">
        <v>0</v>
      </c>
      <c r="U160" s="7">
        <v>0</v>
      </c>
      <c r="V160" s="7">
        <v>0</v>
      </c>
      <c r="W160" s="7">
        <v>-2.0569999999999999</v>
      </c>
      <c r="X160" s="7">
        <v>0</v>
      </c>
      <c r="Y160" s="7">
        <v>-51.017000000000003</v>
      </c>
      <c r="Z160" s="7">
        <v>0</v>
      </c>
      <c r="AA160" s="7">
        <v>0</v>
      </c>
      <c r="AB160" s="7">
        <v>0</v>
      </c>
      <c r="AC160" s="7">
        <v>-4.3879999999999999</v>
      </c>
      <c r="AD160" s="7">
        <v>0</v>
      </c>
      <c r="AE160" s="7">
        <v>-124.93300000000001</v>
      </c>
      <c r="AF160" s="7">
        <v>-67.843999999999994</v>
      </c>
      <c r="AG160" s="7">
        <v>0</v>
      </c>
      <c r="AH160" s="7">
        <v>-452.60599999999999</v>
      </c>
      <c r="AI160" s="7">
        <v>-110.523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-3.2789999999999999</v>
      </c>
      <c r="AP160" s="7">
        <v>0</v>
      </c>
      <c r="AQ160" s="7">
        <v>-24.108000000000001</v>
      </c>
      <c r="AR160" s="7">
        <v>0</v>
      </c>
      <c r="AS160" s="7">
        <v>-7.8E-2</v>
      </c>
      <c r="AT160" s="7">
        <v>0</v>
      </c>
      <c r="AU160" s="7">
        <v>-0.51900000000000002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-1.117</v>
      </c>
      <c r="BC160" s="7">
        <v>0</v>
      </c>
      <c r="BD160" s="7">
        <v>0</v>
      </c>
      <c r="BE160" s="7">
        <v>-0.27</v>
      </c>
      <c r="BF160" s="7">
        <v>-0.27</v>
      </c>
      <c r="BG160" s="7">
        <v>0</v>
      </c>
      <c r="BH160" s="7">
        <v>0</v>
      </c>
      <c r="BI160" s="7">
        <v>0</v>
      </c>
      <c r="BJ160" s="21"/>
    </row>
    <row r="161" spans="1:62" ht="15.6" x14ac:dyDescent="0.3">
      <c r="A161" s="5" t="s">
        <v>305</v>
      </c>
      <c r="B161" s="5" t="s">
        <v>306</v>
      </c>
      <c r="C161" s="7">
        <v>4</v>
      </c>
      <c r="D161" s="7">
        <v>4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21"/>
    </row>
    <row r="162" spans="1:62" ht="15.6" x14ac:dyDescent="0.3">
      <c r="A162" s="5" t="s">
        <v>307</v>
      </c>
      <c r="B162" s="5" t="s">
        <v>308</v>
      </c>
      <c r="C162" s="7">
        <v>4</v>
      </c>
      <c r="D162" s="7">
        <v>4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21"/>
    </row>
    <row r="163" spans="1:62" ht="15.6" x14ac:dyDescent="0.3">
      <c r="A163" s="5" t="s">
        <v>293</v>
      </c>
      <c r="B163" s="5" t="s">
        <v>309</v>
      </c>
      <c r="C163" s="7">
        <v>6</v>
      </c>
      <c r="D163" s="7">
        <v>6</v>
      </c>
      <c r="E163" s="7">
        <v>0</v>
      </c>
      <c r="F163" s="7">
        <v>0</v>
      </c>
      <c r="G163" s="7">
        <v>0</v>
      </c>
      <c r="H163" s="7">
        <v>2303.5320000000002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21"/>
    </row>
    <row r="164" spans="1:62" ht="15.6" x14ac:dyDescent="0.3">
      <c r="A164" s="5" t="s">
        <v>310</v>
      </c>
      <c r="B164" s="5" t="s">
        <v>311</v>
      </c>
      <c r="C164" s="7">
        <v>6</v>
      </c>
      <c r="D164" s="7">
        <v>6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21"/>
    </row>
    <row r="165" spans="1:62" ht="15.6" x14ac:dyDescent="0.3">
      <c r="A165" s="5" t="s">
        <v>312</v>
      </c>
      <c r="B165" s="5" t="s">
        <v>313</v>
      </c>
      <c r="C165" s="7">
        <v>6</v>
      </c>
      <c r="D165" s="7">
        <v>6</v>
      </c>
      <c r="E165" s="7">
        <v>260.33</v>
      </c>
      <c r="F165" s="7">
        <v>59.497</v>
      </c>
      <c r="G165" s="7">
        <v>30.731999999999999</v>
      </c>
      <c r="H165" s="7">
        <v>0</v>
      </c>
      <c r="I165" s="7">
        <v>6.843</v>
      </c>
      <c r="J165" s="7">
        <v>24.209</v>
      </c>
      <c r="K165" s="7">
        <v>0</v>
      </c>
      <c r="L165" s="7">
        <v>443.19799999999998</v>
      </c>
      <c r="M165" s="7">
        <v>123.196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17.742000000000001</v>
      </c>
      <c r="T165" s="7">
        <v>0</v>
      </c>
      <c r="U165" s="7">
        <v>0</v>
      </c>
      <c r="V165" s="7">
        <v>3.964</v>
      </c>
      <c r="W165" s="7">
        <v>11.236000000000001</v>
      </c>
      <c r="X165" s="7">
        <v>0</v>
      </c>
      <c r="Y165" s="7">
        <v>104.81399999999999</v>
      </c>
      <c r="Z165" s="7">
        <v>0</v>
      </c>
      <c r="AA165" s="7">
        <v>28.893000000000001</v>
      </c>
      <c r="AB165" s="7">
        <v>0</v>
      </c>
      <c r="AC165" s="7">
        <v>10.063000000000001</v>
      </c>
      <c r="AD165" s="7">
        <v>0</v>
      </c>
      <c r="AE165" s="7">
        <v>231.114</v>
      </c>
      <c r="AF165" s="7">
        <v>79.629000000000005</v>
      </c>
      <c r="AG165" s="7">
        <v>0</v>
      </c>
      <c r="AH165" s="7">
        <v>894.65200000000004</v>
      </c>
      <c r="AI165" s="7">
        <v>129.721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5.4</v>
      </c>
      <c r="AP165" s="7">
        <v>0</v>
      </c>
      <c r="AQ165" s="7">
        <v>28.295999999999999</v>
      </c>
      <c r="AR165" s="7">
        <v>0</v>
      </c>
      <c r="AS165" s="7">
        <v>0.10299999999999999</v>
      </c>
      <c r="AT165" s="7">
        <v>0</v>
      </c>
      <c r="AU165" s="7">
        <v>0.61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1.89</v>
      </c>
      <c r="BC165" s="7">
        <v>0</v>
      </c>
      <c r="BD165" s="7">
        <v>0</v>
      </c>
      <c r="BE165" s="7">
        <v>0.60199999999999998</v>
      </c>
      <c r="BF165" s="7">
        <v>0.60199999999999998</v>
      </c>
      <c r="BG165" s="7">
        <v>0</v>
      </c>
      <c r="BH165" s="7">
        <v>0</v>
      </c>
      <c r="BI165" s="7">
        <v>0</v>
      </c>
      <c r="BJ165" s="21"/>
    </row>
    <row r="166" spans="1:62" ht="15.6" x14ac:dyDescent="0.3">
      <c r="A166" s="5" t="s">
        <v>297</v>
      </c>
      <c r="B166" s="5" t="s">
        <v>314</v>
      </c>
      <c r="C166" s="7">
        <v>6</v>
      </c>
      <c r="D166" s="7">
        <v>6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21"/>
    </row>
    <row r="167" spans="1:62" ht="15.6" x14ac:dyDescent="0.3">
      <c r="A167" s="5" t="s">
        <v>299</v>
      </c>
      <c r="B167" s="5" t="s">
        <v>315</v>
      </c>
      <c r="C167" s="7">
        <v>6</v>
      </c>
      <c r="D167" s="7">
        <v>6</v>
      </c>
      <c r="E167" s="7">
        <v>1335.164</v>
      </c>
      <c r="F167" s="7">
        <v>121.60299999999999</v>
      </c>
      <c r="G167" s="7">
        <v>172.309</v>
      </c>
      <c r="H167" s="7">
        <v>0</v>
      </c>
      <c r="I167" s="7">
        <v>30.181999999999999</v>
      </c>
      <c r="J167" s="7">
        <v>105.315</v>
      </c>
      <c r="K167" s="7">
        <v>0</v>
      </c>
      <c r="L167" s="7">
        <v>971.55100000000004</v>
      </c>
      <c r="M167" s="7">
        <v>469.63900000000001</v>
      </c>
      <c r="N167" s="7">
        <v>0</v>
      </c>
      <c r="O167" s="7">
        <v>0</v>
      </c>
      <c r="P167" s="7">
        <v>5.5789999999999997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15.656000000000001</v>
      </c>
      <c r="W167" s="7">
        <v>47.643999999999998</v>
      </c>
      <c r="X167" s="7">
        <v>0</v>
      </c>
      <c r="Y167" s="7">
        <v>376.78699999999998</v>
      </c>
      <c r="Z167" s="7">
        <v>0</v>
      </c>
      <c r="AA167" s="7">
        <v>133.15600000000001</v>
      </c>
      <c r="AB167" s="7">
        <v>0</v>
      </c>
      <c r="AC167" s="7">
        <v>20.236999999999998</v>
      </c>
      <c r="AD167" s="7">
        <v>0</v>
      </c>
      <c r="AE167" s="7">
        <v>1206.973</v>
      </c>
      <c r="AF167" s="7">
        <v>0</v>
      </c>
      <c r="AG167" s="7">
        <v>0</v>
      </c>
      <c r="AH167" s="7">
        <v>2804.462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21"/>
    </row>
    <row r="168" spans="1:62" ht="15.6" x14ac:dyDescent="0.3">
      <c r="A168" s="5" t="s">
        <v>301</v>
      </c>
      <c r="B168" s="5" t="s">
        <v>316</v>
      </c>
      <c r="C168" s="7">
        <v>6</v>
      </c>
      <c r="D168" s="7">
        <v>6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21"/>
    </row>
    <row r="169" spans="1:62" ht="15.6" x14ac:dyDescent="0.3">
      <c r="A169" s="5" t="s">
        <v>317</v>
      </c>
      <c r="B169" s="5" t="s">
        <v>318</v>
      </c>
      <c r="C169" s="7">
        <v>6</v>
      </c>
      <c r="D169" s="7">
        <v>6</v>
      </c>
      <c r="E169" s="7">
        <v>0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21"/>
    </row>
    <row r="170" spans="1:62" ht="15.6" x14ac:dyDescent="0.3">
      <c r="A170" s="5" t="s">
        <v>319</v>
      </c>
      <c r="B170" s="5" t="s">
        <v>320</v>
      </c>
      <c r="C170" s="7">
        <v>6</v>
      </c>
      <c r="D170" s="7">
        <v>6</v>
      </c>
      <c r="E170" s="7">
        <v>-171.01499999999999</v>
      </c>
      <c r="F170" s="7">
        <v>-39.064</v>
      </c>
      <c r="G170" s="7">
        <v>-20.452999999999999</v>
      </c>
      <c r="H170" s="7">
        <v>0</v>
      </c>
      <c r="I170" s="7">
        <v>-4.5410000000000004</v>
      </c>
      <c r="J170" s="7">
        <v>-16.111999999999998</v>
      </c>
      <c r="K170" s="7">
        <v>0</v>
      </c>
      <c r="L170" s="7">
        <v>-288.93099999999998</v>
      </c>
      <c r="M170" s="7">
        <v>-81.760999999999996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-11.641999999999999</v>
      </c>
      <c r="T170" s="7">
        <v>0</v>
      </c>
      <c r="U170" s="7">
        <v>0</v>
      </c>
      <c r="V170" s="7">
        <v>-2.6379999999999999</v>
      </c>
      <c r="W170" s="7">
        <v>-7.4320000000000004</v>
      </c>
      <c r="X170" s="7">
        <v>0</v>
      </c>
      <c r="Y170" s="7">
        <v>-68.617000000000004</v>
      </c>
      <c r="Z170" s="7">
        <v>0</v>
      </c>
      <c r="AA170" s="7">
        <v>-19.228999999999999</v>
      </c>
      <c r="AB170" s="7">
        <v>0</v>
      </c>
      <c r="AC170" s="7">
        <v>-6.6</v>
      </c>
      <c r="AD170" s="7">
        <v>0</v>
      </c>
      <c r="AE170" s="7">
        <v>-151.023</v>
      </c>
      <c r="AF170" s="7">
        <v>-51.48</v>
      </c>
      <c r="AG170" s="7">
        <v>0</v>
      </c>
      <c r="AH170" s="7">
        <v>-585.30700000000002</v>
      </c>
      <c r="AI170" s="7">
        <v>-83.864999999999995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-3.5209999999999999</v>
      </c>
      <c r="AP170" s="7">
        <v>0</v>
      </c>
      <c r="AQ170" s="7">
        <v>-18.294</v>
      </c>
      <c r="AR170" s="7">
        <v>0</v>
      </c>
      <c r="AS170" s="7">
        <v>-6.7000000000000004E-2</v>
      </c>
      <c r="AT170" s="7">
        <v>0</v>
      </c>
      <c r="AU170" s="7">
        <v>-0.39400000000000002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-1.2330000000000001</v>
      </c>
      <c r="BC170" s="7">
        <v>0</v>
      </c>
      <c r="BD170" s="7">
        <v>0</v>
      </c>
      <c r="BE170" s="7">
        <v>-0.39400000000000002</v>
      </c>
      <c r="BF170" s="7">
        <v>-0.39400000000000002</v>
      </c>
      <c r="BG170" s="7">
        <v>0</v>
      </c>
      <c r="BH170" s="7">
        <v>0</v>
      </c>
      <c r="BI170" s="7">
        <v>0</v>
      </c>
      <c r="BJ170" s="21"/>
    </row>
    <row r="171" spans="1:62" ht="15.6" x14ac:dyDescent="0.3">
      <c r="A171" s="5" t="s">
        <v>305</v>
      </c>
      <c r="B171" s="5" t="s">
        <v>321</v>
      </c>
      <c r="C171" s="7">
        <v>6</v>
      </c>
      <c r="D171" s="7">
        <v>6</v>
      </c>
      <c r="E171" s="7">
        <v>0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21"/>
    </row>
    <row r="172" spans="1:62" ht="15.6" x14ac:dyDescent="0.3">
      <c r="A172" s="5" t="s">
        <v>307</v>
      </c>
      <c r="B172" s="5" t="s">
        <v>322</v>
      </c>
      <c r="C172" s="7">
        <v>6</v>
      </c>
      <c r="D172" s="7">
        <v>6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  <c r="BJ172" s="21"/>
    </row>
    <row r="173" spans="1:62" ht="15.6" x14ac:dyDescent="0.3">
      <c r="A173" s="5" t="s">
        <v>323</v>
      </c>
      <c r="B173" s="5" t="s">
        <v>324</v>
      </c>
      <c r="C173" s="7">
        <v>4</v>
      </c>
      <c r="D173" s="7">
        <v>4</v>
      </c>
      <c r="E173" s="7">
        <v>3915.8490000000002</v>
      </c>
      <c r="F173" s="7">
        <v>858.92700000000002</v>
      </c>
      <c r="G173" s="7">
        <v>0</v>
      </c>
      <c r="H173" s="7">
        <v>0</v>
      </c>
      <c r="I173" s="7">
        <v>27.696000000000002</v>
      </c>
      <c r="J173" s="7">
        <v>0</v>
      </c>
      <c r="K173" s="7">
        <v>0</v>
      </c>
      <c r="L173" s="7">
        <v>9844.8320000000003</v>
      </c>
      <c r="M173" s="7">
        <v>572.048</v>
      </c>
      <c r="N173" s="7">
        <v>0</v>
      </c>
      <c r="O173" s="7">
        <v>0</v>
      </c>
      <c r="P173" s="7">
        <v>8.5000000000000006E-2</v>
      </c>
      <c r="Q173" s="7">
        <v>0</v>
      </c>
      <c r="R173" s="7">
        <v>0</v>
      </c>
      <c r="S173" s="7">
        <v>271.52499999999998</v>
      </c>
      <c r="T173" s="7">
        <v>0</v>
      </c>
      <c r="U173" s="7">
        <v>0</v>
      </c>
      <c r="V173" s="7">
        <v>0</v>
      </c>
      <c r="W173" s="7">
        <v>81</v>
      </c>
      <c r="X173" s="7">
        <v>0</v>
      </c>
      <c r="Y173" s="7">
        <v>1823.338</v>
      </c>
      <c r="Z173" s="7">
        <v>0</v>
      </c>
      <c r="AA173" s="7">
        <v>0</v>
      </c>
      <c r="AB173" s="7">
        <v>0</v>
      </c>
      <c r="AC173" s="7">
        <v>162.27699999999999</v>
      </c>
      <c r="AD173" s="7">
        <v>0</v>
      </c>
      <c r="AE173" s="7">
        <v>4396.1180000000004</v>
      </c>
      <c r="AF173" s="7">
        <v>2392.1990000000001</v>
      </c>
      <c r="AG173" s="7">
        <v>0</v>
      </c>
      <c r="AH173" s="7">
        <v>17109.833999999999</v>
      </c>
      <c r="AI173" s="7">
        <v>4198.585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110.822</v>
      </c>
      <c r="AP173" s="7">
        <v>0</v>
      </c>
      <c r="AQ173" s="7">
        <v>845.351</v>
      </c>
      <c r="AR173" s="7">
        <v>0</v>
      </c>
      <c r="AS173" s="7">
        <v>2.698</v>
      </c>
      <c r="AT173" s="7">
        <v>0</v>
      </c>
      <c r="AU173" s="7">
        <v>18.463999999999999</v>
      </c>
      <c r="AV173" s="7">
        <v>0</v>
      </c>
      <c r="AW173" s="7">
        <v>0</v>
      </c>
      <c r="AX173" s="7">
        <v>0</v>
      </c>
      <c r="AY173" s="7">
        <v>19.939</v>
      </c>
      <c r="AZ173" s="7">
        <v>349.30200000000002</v>
      </c>
      <c r="BA173" s="7">
        <v>0</v>
      </c>
      <c r="BB173" s="7">
        <v>38.707000000000001</v>
      </c>
      <c r="BC173" s="7">
        <v>0</v>
      </c>
      <c r="BD173" s="7">
        <v>421.411</v>
      </c>
      <c r="BE173" s="7">
        <v>8.85</v>
      </c>
      <c r="BF173" s="7">
        <v>8.85</v>
      </c>
      <c r="BG173" s="7">
        <v>138.351</v>
      </c>
      <c r="BH173" s="7">
        <v>0</v>
      </c>
      <c r="BI173" s="7">
        <v>0</v>
      </c>
      <c r="BJ173" s="21"/>
    </row>
    <row r="174" spans="1:62" ht="15.6" x14ac:dyDescent="0.3">
      <c r="A174" s="5" t="s">
        <v>325</v>
      </c>
      <c r="B174" s="5" t="s">
        <v>326</v>
      </c>
      <c r="C174" s="7">
        <v>4</v>
      </c>
      <c r="D174" s="7">
        <v>4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21"/>
    </row>
    <row r="175" spans="1:62" ht="15.6" x14ac:dyDescent="0.3">
      <c r="A175" s="5" t="s">
        <v>327</v>
      </c>
      <c r="B175" s="5" t="s">
        <v>328</v>
      </c>
      <c r="C175" s="7">
        <v>4</v>
      </c>
      <c r="D175" s="7">
        <v>4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21"/>
    </row>
    <row r="176" spans="1:62" ht="15.6" x14ac:dyDescent="0.3">
      <c r="A176" s="5" t="s">
        <v>329</v>
      </c>
      <c r="B176" s="5" t="s">
        <v>330</v>
      </c>
      <c r="C176" s="7">
        <v>4</v>
      </c>
      <c r="D176" s="7">
        <v>4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  <c r="BJ176" s="21"/>
    </row>
    <row r="177" spans="1:62" ht="15.6" x14ac:dyDescent="0.3">
      <c r="A177" s="5" t="s">
        <v>331</v>
      </c>
      <c r="B177" s="5" t="s">
        <v>332</v>
      </c>
      <c r="C177" s="7">
        <v>4</v>
      </c>
      <c r="D177" s="7">
        <v>4</v>
      </c>
      <c r="E177" s="7">
        <v>0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7">
        <v>0</v>
      </c>
      <c r="BJ177" s="21"/>
    </row>
    <row r="178" spans="1:62" ht="15.6" x14ac:dyDescent="0.3">
      <c r="A178" s="5" t="s">
        <v>333</v>
      </c>
      <c r="B178" s="5" t="s">
        <v>334</v>
      </c>
      <c r="C178" s="7">
        <v>4</v>
      </c>
      <c r="D178" s="7">
        <v>4</v>
      </c>
      <c r="E178" s="7">
        <v>-5589.692</v>
      </c>
      <c r="F178" s="7">
        <v>-1237.48</v>
      </c>
      <c r="G178" s="7">
        <v>0</v>
      </c>
      <c r="H178" s="7">
        <v>0</v>
      </c>
      <c r="I178" s="7">
        <v>-37.826000000000001</v>
      </c>
      <c r="J178" s="7">
        <v>0</v>
      </c>
      <c r="K178" s="7">
        <v>0</v>
      </c>
      <c r="L178" s="7">
        <v>-14221.873</v>
      </c>
      <c r="M178" s="7">
        <v>-765.50099999999998</v>
      </c>
      <c r="N178" s="7">
        <v>0</v>
      </c>
      <c r="O178" s="7">
        <v>0</v>
      </c>
      <c r="P178" s="7">
        <v>-0.1</v>
      </c>
      <c r="Q178" s="7">
        <v>0</v>
      </c>
      <c r="R178" s="7">
        <v>0</v>
      </c>
      <c r="S178" s="7">
        <v>-390.03500000000003</v>
      </c>
      <c r="T178" s="7">
        <v>0</v>
      </c>
      <c r="U178" s="7">
        <v>0</v>
      </c>
      <c r="V178" s="7">
        <v>0</v>
      </c>
      <c r="W178" s="7">
        <v>-114.813</v>
      </c>
      <c r="X178" s="7">
        <v>0</v>
      </c>
      <c r="Y178" s="7">
        <v>-2643.7840000000001</v>
      </c>
      <c r="Z178" s="7">
        <v>0</v>
      </c>
      <c r="AA178" s="7">
        <v>0</v>
      </c>
      <c r="AB178" s="7">
        <v>0</v>
      </c>
      <c r="AC178" s="7">
        <v>-232.971</v>
      </c>
      <c r="AD178" s="7">
        <v>0</v>
      </c>
      <c r="AE178" s="7">
        <v>-6392.66</v>
      </c>
      <c r="AF178" s="7">
        <v>-3464.5210000000002</v>
      </c>
      <c r="AG178" s="7">
        <v>0</v>
      </c>
      <c r="AH178" s="7">
        <v>-24352.648000000001</v>
      </c>
      <c r="AI178" s="7">
        <v>-5999.6570000000002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-162.387</v>
      </c>
      <c r="AP178" s="7">
        <v>0</v>
      </c>
      <c r="AQ178" s="7">
        <v>-1228.501</v>
      </c>
      <c r="AR178" s="7">
        <v>0</v>
      </c>
      <c r="AS178" s="7">
        <v>-3.94</v>
      </c>
      <c r="AT178" s="7">
        <v>0</v>
      </c>
      <c r="AU178" s="7">
        <v>-26.8</v>
      </c>
      <c r="AV178" s="7">
        <v>0</v>
      </c>
      <c r="AW178" s="7">
        <v>0</v>
      </c>
      <c r="AX178" s="7">
        <v>0</v>
      </c>
      <c r="AY178" s="7">
        <v>-23.581</v>
      </c>
      <c r="AZ178" s="7">
        <v>-413.12200000000001</v>
      </c>
      <c r="BA178" s="7">
        <v>0</v>
      </c>
      <c r="BB178" s="7">
        <v>-56.448999999999998</v>
      </c>
      <c r="BC178" s="7">
        <v>0</v>
      </c>
      <c r="BD178" s="7">
        <v>-498.404</v>
      </c>
      <c r="BE178" s="7">
        <v>-13.051</v>
      </c>
      <c r="BF178" s="7">
        <v>-13.051</v>
      </c>
      <c r="BG178" s="7">
        <v>-163.62799999999999</v>
      </c>
      <c r="BH178" s="7">
        <v>0</v>
      </c>
      <c r="BI178" s="7">
        <v>0</v>
      </c>
      <c r="BJ178" s="21"/>
    </row>
    <row r="179" spans="1:62" ht="15.6" x14ac:dyDescent="0.3">
      <c r="A179" s="5" t="s">
        <v>335</v>
      </c>
      <c r="B179" s="5" t="s">
        <v>336</v>
      </c>
      <c r="C179" s="7">
        <v>4</v>
      </c>
      <c r="D179" s="7">
        <v>4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21"/>
    </row>
    <row r="180" spans="1:62" ht="15.6" x14ac:dyDescent="0.3">
      <c r="A180" s="5" t="s">
        <v>337</v>
      </c>
      <c r="B180" s="5" t="s">
        <v>338</v>
      </c>
      <c r="C180" s="7">
        <v>4</v>
      </c>
      <c r="D180" s="7">
        <v>4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s="21"/>
    </row>
    <row r="181" spans="1:62" ht="15.6" x14ac:dyDescent="0.3">
      <c r="A181" s="5" t="s">
        <v>339</v>
      </c>
      <c r="B181" s="5" t="s">
        <v>340</v>
      </c>
      <c r="C181" s="7">
        <v>4</v>
      </c>
      <c r="D181" s="7">
        <v>4</v>
      </c>
      <c r="E181" s="7">
        <v>0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  <c r="BJ181" s="21"/>
    </row>
    <row r="182" spans="1:62" ht="15.6" x14ac:dyDescent="0.3">
      <c r="A182" s="5" t="s">
        <v>341</v>
      </c>
      <c r="B182" s="5" t="s">
        <v>342</v>
      </c>
      <c r="C182" s="7">
        <v>4</v>
      </c>
      <c r="D182" s="7">
        <v>4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7">
        <v>0</v>
      </c>
      <c r="BG182" s="7">
        <v>0</v>
      </c>
      <c r="BH182" s="7">
        <v>0</v>
      </c>
      <c r="BI182" s="7">
        <v>0</v>
      </c>
      <c r="BJ182" s="21"/>
    </row>
    <row r="183" spans="1:62" ht="15.6" x14ac:dyDescent="0.3">
      <c r="A183" s="5" t="s">
        <v>323</v>
      </c>
      <c r="B183" s="5" t="s">
        <v>343</v>
      </c>
      <c r="C183" s="7">
        <v>6</v>
      </c>
      <c r="D183" s="7">
        <v>6</v>
      </c>
      <c r="E183" s="7">
        <v>87.963999999999999</v>
      </c>
      <c r="F183" s="7">
        <v>17.747</v>
      </c>
      <c r="G183" s="7">
        <v>0</v>
      </c>
      <c r="H183" s="7">
        <v>0</v>
      </c>
      <c r="I183" s="7">
        <v>0.67900000000000005</v>
      </c>
      <c r="J183" s="7">
        <v>0</v>
      </c>
      <c r="K183" s="7">
        <v>0</v>
      </c>
      <c r="L183" s="7">
        <v>210.065</v>
      </c>
      <c r="M183" s="7">
        <v>15.019</v>
      </c>
      <c r="N183" s="7">
        <v>0</v>
      </c>
      <c r="O183" s="7">
        <v>0</v>
      </c>
      <c r="P183" s="7">
        <v>3.0000000000000001E-3</v>
      </c>
      <c r="Q183" s="7">
        <v>0</v>
      </c>
      <c r="R183" s="7">
        <v>0</v>
      </c>
      <c r="S183" s="7">
        <v>5.7069999999999999</v>
      </c>
      <c r="T183" s="7">
        <v>0</v>
      </c>
      <c r="U183" s="7">
        <v>0</v>
      </c>
      <c r="V183" s="7">
        <v>0</v>
      </c>
      <c r="W183" s="7">
        <v>1.79</v>
      </c>
      <c r="X183" s="7">
        <v>0</v>
      </c>
      <c r="Y183" s="7">
        <v>38.283999999999999</v>
      </c>
      <c r="Z183" s="7">
        <v>0</v>
      </c>
      <c r="AA183" s="7">
        <v>0</v>
      </c>
      <c r="AB183" s="7">
        <v>0</v>
      </c>
      <c r="AC183" s="7">
        <v>3.4460000000000002</v>
      </c>
      <c r="AD183" s="7">
        <v>0</v>
      </c>
      <c r="AE183" s="7">
        <v>91.099000000000004</v>
      </c>
      <c r="AF183" s="7">
        <v>48.820999999999998</v>
      </c>
      <c r="AG183" s="7">
        <v>0</v>
      </c>
      <c r="AH183" s="7">
        <v>362.00799999999998</v>
      </c>
      <c r="AI183" s="7">
        <v>91.069000000000003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2.2160000000000002</v>
      </c>
      <c r="AP183" s="7">
        <v>0</v>
      </c>
      <c r="AQ183" s="7">
        <v>17.361000000000001</v>
      </c>
      <c r="AR183" s="7">
        <v>0</v>
      </c>
      <c r="AS183" s="7">
        <v>5.5E-2</v>
      </c>
      <c r="AT183" s="7">
        <v>0</v>
      </c>
      <c r="AU183" s="7">
        <v>0.38600000000000001</v>
      </c>
      <c r="AV183" s="7">
        <v>0</v>
      </c>
      <c r="AW183" s="7">
        <v>0</v>
      </c>
      <c r="AX183" s="7">
        <v>0</v>
      </c>
      <c r="AY183" s="7">
        <v>0.76700000000000002</v>
      </c>
      <c r="AZ183" s="7">
        <v>13.432</v>
      </c>
      <c r="BA183" s="7">
        <v>0</v>
      </c>
      <c r="BB183" s="7">
        <v>0.79200000000000004</v>
      </c>
      <c r="BC183" s="7">
        <v>0</v>
      </c>
      <c r="BD183" s="7">
        <v>16.204999999999998</v>
      </c>
      <c r="BE183" s="7">
        <v>0.17199999999999999</v>
      </c>
      <c r="BF183" s="7">
        <v>0.17199999999999999</v>
      </c>
      <c r="BG183" s="7">
        <v>5.32</v>
      </c>
      <c r="BH183" s="7">
        <v>0</v>
      </c>
      <c r="BI183" s="7">
        <v>0</v>
      </c>
      <c r="BJ183" s="21"/>
    </row>
    <row r="184" spans="1:62" ht="15.6" x14ac:dyDescent="0.3">
      <c r="A184" s="5" t="s">
        <v>325</v>
      </c>
      <c r="B184" s="5" t="s">
        <v>344</v>
      </c>
      <c r="C184" s="7">
        <v>6</v>
      </c>
      <c r="D184" s="7">
        <v>6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21"/>
    </row>
    <row r="185" spans="1:62" ht="15.6" x14ac:dyDescent="0.3">
      <c r="A185" s="5" t="s">
        <v>327</v>
      </c>
      <c r="B185" s="5" t="s">
        <v>345</v>
      </c>
      <c r="C185" s="7">
        <v>6</v>
      </c>
      <c r="D185" s="7">
        <v>6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21"/>
    </row>
    <row r="186" spans="1:62" ht="15.6" x14ac:dyDescent="0.3">
      <c r="A186" s="5" t="s">
        <v>329</v>
      </c>
      <c r="B186" s="5" t="s">
        <v>346</v>
      </c>
      <c r="C186" s="7">
        <v>6</v>
      </c>
      <c r="D186" s="7">
        <v>6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21"/>
    </row>
    <row r="187" spans="1:62" ht="15.6" x14ac:dyDescent="0.3">
      <c r="A187" s="5" t="s">
        <v>331</v>
      </c>
      <c r="B187" s="5" t="s">
        <v>347</v>
      </c>
      <c r="C187" s="7">
        <v>6</v>
      </c>
      <c r="D187" s="7">
        <v>6</v>
      </c>
      <c r="E187" s="7">
        <v>2260.2260000000001</v>
      </c>
      <c r="F187" s="7">
        <v>205.858</v>
      </c>
      <c r="G187" s="7">
        <v>291.69200000000001</v>
      </c>
      <c r="H187" s="7">
        <v>0</v>
      </c>
      <c r="I187" s="7">
        <v>51.095999999999997</v>
      </c>
      <c r="J187" s="7">
        <v>178.28100000000001</v>
      </c>
      <c r="K187" s="7">
        <v>0</v>
      </c>
      <c r="L187" s="7">
        <v>1644.681</v>
      </c>
      <c r="M187" s="7">
        <v>795.02200000000005</v>
      </c>
      <c r="N187" s="7">
        <v>0</v>
      </c>
      <c r="O187" s="7">
        <v>0</v>
      </c>
      <c r="P187" s="7">
        <v>9.4459999999999997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26.506</v>
      </c>
      <c r="W187" s="7">
        <v>80.655000000000001</v>
      </c>
      <c r="X187" s="7">
        <v>0</v>
      </c>
      <c r="Y187" s="7">
        <v>637.84299999999996</v>
      </c>
      <c r="Z187" s="7">
        <v>0</v>
      </c>
      <c r="AA187" s="7">
        <v>225.41200000000001</v>
      </c>
      <c r="AB187" s="7">
        <v>0</v>
      </c>
      <c r="AC187" s="7">
        <v>34.256</v>
      </c>
      <c r="AD187" s="7">
        <v>0</v>
      </c>
      <c r="AE187" s="7">
        <v>2043.2190000000001</v>
      </c>
      <c r="AF187" s="7">
        <v>0</v>
      </c>
      <c r="AG187" s="7">
        <v>0</v>
      </c>
      <c r="AH187" s="7">
        <v>4747.5129999999999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s="21"/>
    </row>
    <row r="188" spans="1:62" ht="15.6" x14ac:dyDescent="0.3">
      <c r="A188" s="5" t="s">
        <v>333</v>
      </c>
      <c r="B188" s="5" t="s">
        <v>348</v>
      </c>
      <c r="C188" s="7">
        <v>6</v>
      </c>
      <c r="D188" s="7">
        <v>6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s="21"/>
    </row>
    <row r="189" spans="1:62" ht="15.6" x14ac:dyDescent="0.3">
      <c r="A189" s="5" t="s">
        <v>335</v>
      </c>
      <c r="B189" s="5" t="s">
        <v>349</v>
      </c>
      <c r="C189" s="7">
        <v>6</v>
      </c>
      <c r="D189" s="7">
        <v>6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s="21"/>
    </row>
    <row r="190" spans="1:62" ht="15.6" x14ac:dyDescent="0.3">
      <c r="A190" s="5" t="s">
        <v>337</v>
      </c>
      <c r="B190" s="5" t="s">
        <v>350</v>
      </c>
      <c r="C190" s="7">
        <v>6</v>
      </c>
      <c r="D190" s="7">
        <v>6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21"/>
    </row>
    <row r="191" spans="1:62" ht="15.6" x14ac:dyDescent="0.3">
      <c r="A191" s="5" t="s">
        <v>339</v>
      </c>
      <c r="B191" s="5" t="s">
        <v>351</v>
      </c>
      <c r="C191" s="7">
        <v>6</v>
      </c>
      <c r="D191" s="7">
        <v>6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s="21"/>
    </row>
    <row r="192" spans="1:62" ht="15.6" x14ac:dyDescent="0.3">
      <c r="A192" s="5" t="s">
        <v>341</v>
      </c>
      <c r="B192" s="5" t="s">
        <v>352</v>
      </c>
      <c r="C192" s="7">
        <v>6</v>
      </c>
      <c r="D192" s="7">
        <v>6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7">
        <v>0</v>
      </c>
      <c r="BJ192" s="21"/>
    </row>
    <row r="193" spans="1:62" ht="15.6" x14ac:dyDescent="0.3">
      <c r="A193" s="5" t="s">
        <v>353</v>
      </c>
      <c r="B193" s="5" t="s">
        <v>354</v>
      </c>
      <c r="C193" s="7">
        <v>6</v>
      </c>
      <c r="D193" s="7">
        <v>6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0</v>
      </c>
      <c r="BJ193" s="21"/>
    </row>
    <row r="194" spans="1:62" ht="15.6" x14ac:dyDescent="0.3">
      <c r="A194" s="5" t="s">
        <v>355</v>
      </c>
      <c r="B194" s="5" t="s">
        <v>356</v>
      </c>
      <c r="C194" s="7">
        <v>6</v>
      </c>
      <c r="D194" s="7">
        <v>6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7">
        <v>0</v>
      </c>
      <c r="BI194" s="7">
        <v>0</v>
      </c>
      <c r="BJ194" s="21"/>
    </row>
    <row r="195" spans="1:62" ht="15.6" x14ac:dyDescent="0.3">
      <c r="A195" s="5" t="s">
        <v>357</v>
      </c>
      <c r="B195" s="5" t="s">
        <v>358</v>
      </c>
      <c r="C195" s="7">
        <v>6</v>
      </c>
      <c r="D195" s="7">
        <v>6</v>
      </c>
      <c r="E195" s="7">
        <v>31.305</v>
      </c>
      <c r="F195" s="7">
        <v>2.794</v>
      </c>
      <c r="G195" s="7">
        <v>8.3019999999999996</v>
      </c>
      <c r="H195" s="7">
        <v>0</v>
      </c>
      <c r="I195" s="7">
        <v>0.71499999999999997</v>
      </c>
      <c r="J195" s="7">
        <v>6.1559999999999997</v>
      </c>
      <c r="K195" s="7">
        <v>0</v>
      </c>
      <c r="L195" s="7">
        <v>11.512</v>
      </c>
      <c r="M195" s="7">
        <v>19.606999999999999</v>
      </c>
      <c r="N195" s="7">
        <v>0</v>
      </c>
      <c r="O195" s="7">
        <v>0</v>
      </c>
      <c r="P195" s="7">
        <v>1E-3</v>
      </c>
      <c r="Q195" s="7">
        <v>0</v>
      </c>
      <c r="R195" s="7">
        <v>0</v>
      </c>
      <c r="S195" s="7">
        <v>1.036</v>
      </c>
      <c r="T195" s="7">
        <v>0</v>
      </c>
      <c r="U195" s="7">
        <v>0</v>
      </c>
      <c r="V195" s="7">
        <v>0.65</v>
      </c>
      <c r="W195" s="7">
        <v>1.9159999999999999</v>
      </c>
      <c r="X195" s="7">
        <v>0</v>
      </c>
      <c r="Y195" s="7">
        <v>4.6840000000000002</v>
      </c>
      <c r="Z195" s="7">
        <v>0</v>
      </c>
      <c r="AA195" s="7">
        <v>8.9920000000000009</v>
      </c>
      <c r="AB195" s="7">
        <v>0</v>
      </c>
      <c r="AC195" s="7">
        <v>0.54500000000000004</v>
      </c>
      <c r="AD195" s="7">
        <v>0</v>
      </c>
      <c r="AE195" s="7">
        <v>13.162000000000001</v>
      </c>
      <c r="AF195" s="7">
        <v>0</v>
      </c>
      <c r="AG195" s="7">
        <v>0</v>
      </c>
      <c r="AH195" s="7">
        <v>36.871000000000002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0.42799999999999999</v>
      </c>
      <c r="AP195" s="7">
        <v>0</v>
      </c>
      <c r="AQ195" s="7">
        <v>0</v>
      </c>
      <c r="AR195" s="7">
        <v>0</v>
      </c>
      <c r="AS195" s="7">
        <v>4.0000000000000001E-3</v>
      </c>
      <c r="AT195" s="7">
        <v>0</v>
      </c>
      <c r="AU195" s="7">
        <v>0.22800000000000001</v>
      </c>
      <c r="AV195" s="7">
        <v>0</v>
      </c>
      <c r="AW195" s="7">
        <v>0</v>
      </c>
      <c r="AX195" s="7">
        <v>0</v>
      </c>
      <c r="AY195" s="7">
        <v>0.29599999999999999</v>
      </c>
      <c r="AZ195" s="7">
        <v>0</v>
      </c>
      <c r="BA195" s="7">
        <v>0</v>
      </c>
      <c r="BB195" s="7">
        <v>0.15</v>
      </c>
      <c r="BC195" s="7">
        <v>0.23499999999999999</v>
      </c>
      <c r="BD195" s="7">
        <v>0</v>
      </c>
      <c r="BE195" s="7">
        <v>3.5999999999999997E-2</v>
      </c>
      <c r="BF195" s="7">
        <v>3.5999999999999997E-2</v>
      </c>
      <c r="BG195" s="7">
        <v>0</v>
      </c>
      <c r="BH195" s="7">
        <v>0</v>
      </c>
      <c r="BI195" s="7">
        <v>0.1</v>
      </c>
      <c r="BJ195" s="21"/>
    </row>
    <row r="196" spans="1:62" ht="15.6" x14ac:dyDescent="0.3">
      <c r="A196" s="5" t="s">
        <v>359</v>
      </c>
      <c r="B196" s="5" t="s">
        <v>360</v>
      </c>
      <c r="C196" s="7">
        <v>6</v>
      </c>
      <c r="D196" s="7">
        <v>6</v>
      </c>
      <c r="E196" s="7">
        <v>0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34.841000000000001</v>
      </c>
      <c r="R196" s="7">
        <v>111.202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s="21"/>
    </row>
    <row r="197" spans="1:62" ht="15.6" x14ac:dyDescent="0.3">
      <c r="A197" s="5" t="s">
        <v>361</v>
      </c>
      <c r="B197" s="5" t="s">
        <v>362</v>
      </c>
      <c r="C197" s="7">
        <v>6</v>
      </c>
      <c r="D197" s="7">
        <v>6</v>
      </c>
      <c r="E197" s="7">
        <v>143.857</v>
      </c>
      <c r="F197" s="7">
        <v>0</v>
      </c>
      <c r="G197" s="7">
        <v>35.029000000000003</v>
      </c>
      <c r="H197" s="7">
        <v>0</v>
      </c>
      <c r="I197" s="7">
        <v>0</v>
      </c>
      <c r="J197" s="7">
        <v>60.93</v>
      </c>
      <c r="K197" s="7">
        <v>0</v>
      </c>
      <c r="L197" s="7">
        <v>517.42100000000005</v>
      </c>
      <c r="M197" s="7">
        <v>75.027000000000001</v>
      </c>
      <c r="N197" s="7">
        <v>0</v>
      </c>
      <c r="O197" s="7">
        <v>0</v>
      </c>
      <c r="P197" s="7">
        <v>0</v>
      </c>
      <c r="Q197" s="7">
        <v>5.883</v>
      </c>
      <c r="R197" s="7">
        <v>18.777999999999999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443.55200000000002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7">
        <v>0</v>
      </c>
      <c r="BJ197" s="21"/>
    </row>
    <row r="198" spans="1:62" ht="15.6" x14ac:dyDescent="0.3">
      <c r="A198" s="5" t="s">
        <v>363</v>
      </c>
      <c r="B198" s="5" t="s">
        <v>364</v>
      </c>
      <c r="C198" s="7">
        <v>6</v>
      </c>
      <c r="D198" s="7">
        <v>6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s="21"/>
    </row>
    <row r="199" spans="1:62" ht="15.6" x14ac:dyDescent="0.3">
      <c r="A199" s="5" t="s">
        <v>365</v>
      </c>
      <c r="B199" s="5" t="s">
        <v>366</v>
      </c>
      <c r="C199" s="7">
        <v>6</v>
      </c>
      <c r="D199" s="7">
        <v>6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7">
        <v>0</v>
      </c>
      <c r="BJ199" s="21"/>
    </row>
    <row r="200" spans="1:62" ht="15.6" x14ac:dyDescent="0.3">
      <c r="A200" s="5" t="s">
        <v>367</v>
      </c>
      <c r="B200" s="5" t="s">
        <v>368</v>
      </c>
      <c r="C200" s="7">
        <v>6</v>
      </c>
      <c r="D200" s="7">
        <v>6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7">
        <v>0</v>
      </c>
      <c r="BJ200" s="21"/>
    </row>
    <row r="201" spans="1:62" ht="15.6" x14ac:dyDescent="0.3">
      <c r="A201" s="5" t="s">
        <v>369</v>
      </c>
      <c r="B201" s="5" t="s">
        <v>370</v>
      </c>
      <c r="C201" s="7">
        <v>6</v>
      </c>
      <c r="D201" s="7">
        <v>6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7">
        <v>0</v>
      </c>
      <c r="BJ201" s="21"/>
    </row>
    <row r="202" spans="1:62" ht="15.6" x14ac:dyDescent="0.3">
      <c r="A202" s="5" t="s">
        <v>371</v>
      </c>
      <c r="B202" s="5" t="s">
        <v>372</v>
      </c>
      <c r="C202" s="7">
        <v>6</v>
      </c>
      <c r="D202" s="7">
        <v>6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7">
        <v>0</v>
      </c>
      <c r="BJ202" s="21"/>
    </row>
    <row r="203" spans="1:62" ht="15.6" x14ac:dyDescent="0.3">
      <c r="A203" s="5" t="s">
        <v>373</v>
      </c>
      <c r="B203" s="5" t="s">
        <v>374</v>
      </c>
      <c r="C203" s="7">
        <v>3</v>
      </c>
      <c r="D203" s="7">
        <v>6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s="21"/>
    </row>
    <row r="204" spans="1:62" ht="15.6" x14ac:dyDescent="0.3">
      <c r="A204" s="5" t="s">
        <v>375</v>
      </c>
      <c r="B204" s="5" t="s">
        <v>376</v>
      </c>
      <c r="C204" s="7">
        <v>6</v>
      </c>
      <c r="D204" s="7">
        <v>6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0</v>
      </c>
      <c r="BJ204" s="21"/>
    </row>
    <row r="205" spans="1:62" ht="15.6" x14ac:dyDescent="0.3">
      <c r="A205" s="5" t="s">
        <v>377</v>
      </c>
      <c r="B205" s="5" t="s">
        <v>378</v>
      </c>
      <c r="C205" s="7">
        <v>6</v>
      </c>
      <c r="D205" s="7">
        <v>6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  <c r="BJ205" s="21"/>
    </row>
    <row r="206" spans="1:62" ht="15.6" x14ac:dyDescent="0.3">
      <c r="A206" s="5" t="s">
        <v>379</v>
      </c>
      <c r="B206" s="5" t="s">
        <v>380</v>
      </c>
      <c r="C206" s="7">
        <v>6</v>
      </c>
      <c r="D206" s="7">
        <v>6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s="21"/>
    </row>
    <row r="207" spans="1:62" ht="15.6" x14ac:dyDescent="0.3">
      <c r="A207" s="5" t="s">
        <v>381</v>
      </c>
      <c r="B207" s="5" t="s">
        <v>382</v>
      </c>
      <c r="C207" s="7">
        <v>6</v>
      </c>
      <c r="D207" s="7">
        <v>6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s="21"/>
    </row>
    <row r="208" spans="1:62" ht="15.6" x14ac:dyDescent="0.3">
      <c r="A208" s="5" t="s">
        <v>383</v>
      </c>
      <c r="B208" s="5" t="s">
        <v>384</v>
      </c>
      <c r="C208" s="7">
        <v>6</v>
      </c>
      <c r="D208" s="7">
        <v>6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0</v>
      </c>
      <c r="BJ208" s="21"/>
    </row>
    <row r="209" spans="1:62" ht="15.6" x14ac:dyDescent="0.3">
      <c r="A209" s="5" t="s">
        <v>385</v>
      </c>
      <c r="B209" s="5" t="s">
        <v>386</v>
      </c>
      <c r="C209" s="7">
        <v>6</v>
      </c>
      <c r="D209" s="7">
        <v>6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21"/>
    </row>
    <row r="210" spans="1:62" ht="15.6" x14ac:dyDescent="0.3">
      <c r="A210" s="5" t="s">
        <v>387</v>
      </c>
      <c r="B210" s="5" t="s">
        <v>388</v>
      </c>
      <c r="C210" s="7">
        <v>6</v>
      </c>
      <c r="D210" s="7">
        <v>6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0</v>
      </c>
      <c r="BJ210" s="21"/>
    </row>
    <row r="211" spans="1:62" ht="15.6" x14ac:dyDescent="0.3">
      <c r="A211" s="5" t="s">
        <v>389</v>
      </c>
      <c r="B211" s="5" t="s">
        <v>390</v>
      </c>
      <c r="C211" s="7">
        <v>6</v>
      </c>
      <c r="D211" s="7">
        <v>6</v>
      </c>
      <c r="E211" s="7">
        <v>0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7">
        <v>0</v>
      </c>
      <c r="BJ211" s="21"/>
    </row>
    <row r="212" spans="1:62" ht="15.6" x14ac:dyDescent="0.3">
      <c r="A212" s="5" t="s">
        <v>391</v>
      </c>
      <c r="B212" s="5" t="s">
        <v>392</v>
      </c>
      <c r="C212" s="7">
        <v>6</v>
      </c>
      <c r="D212" s="7">
        <v>6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s="21"/>
    </row>
    <row r="213" spans="1:62" ht="15.6" x14ac:dyDescent="0.3">
      <c r="A213" s="5" t="s">
        <v>393</v>
      </c>
      <c r="B213" s="5" t="s">
        <v>394</v>
      </c>
      <c r="C213" s="7">
        <v>6</v>
      </c>
      <c r="D213" s="7">
        <v>6</v>
      </c>
      <c r="E213" s="7">
        <v>0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  <c r="BJ213" s="21"/>
    </row>
    <row r="214" spans="1:62" ht="15.6" x14ac:dyDescent="0.3">
      <c r="A214" s="5" t="s">
        <v>395</v>
      </c>
      <c r="B214" s="5" t="s">
        <v>396</v>
      </c>
      <c r="C214" s="7">
        <v>6</v>
      </c>
      <c r="D214" s="7">
        <v>6</v>
      </c>
      <c r="E214" s="7">
        <v>0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0</v>
      </c>
      <c r="BJ214" s="21"/>
    </row>
    <row r="215" spans="1:62" ht="15.6" x14ac:dyDescent="0.3">
      <c r="A215" s="5" t="s">
        <v>353</v>
      </c>
      <c r="B215" s="5" t="s">
        <v>397</v>
      </c>
      <c r="C215" s="7">
        <v>6</v>
      </c>
      <c r="D215" s="7">
        <v>6</v>
      </c>
      <c r="E215" s="7">
        <v>1300.752</v>
      </c>
      <c r="F215" s="7">
        <v>117.74</v>
      </c>
      <c r="G215" s="7">
        <v>170.96799999999999</v>
      </c>
      <c r="H215" s="7">
        <v>0.33600000000000002</v>
      </c>
      <c r="I215" s="7">
        <v>29.224</v>
      </c>
      <c r="J215" s="7">
        <v>103.136</v>
      </c>
      <c r="K215" s="7">
        <v>0</v>
      </c>
      <c r="L215" s="7">
        <v>949.83699999999999</v>
      </c>
      <c r="M215" s="7">
        <v>461.83600000000001</v>
      </c>
      <c r="N215" s="7">
        <v>0</v>
      </c>
      <c r="O215" s="7">
        <v>0</v>
      </c>
      <c r="P215" s="7">
        <v>5.4020000000000001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15.159000000000001</v>
      </c>
      <c r="W215" s="7">
        <v>46.13</v>
      </c>
      <c r="X215" s="7">
        <v>0</v>
      </c>
      <c r="Y215" s="7">
        <v>364.81799999999998</v>
      </c>
      <c r="Z215" s="7">
        <v>0</v>
      </c>
      <c r="AA215" s="7">
        <v>128.92599999999999</v>
      </c>
      <c r="AB215" s="7">
        <v>0</v>
      </c>
      <c r="AC215" s="7">
        <v>19.594000000000001</v>
      </c>
      <c r="AD215" s="7">
        <v>0</v>
      </c>
      <c r="AE215" s="7">
        <v>1168.6310000000001</v>
      </c>
      <c r="AF215" s="7">
        <v>0</v>
      </c>
      <c r="AG215" s="7">
        <v>0</v>
      </c>
      <c r="AH215" s="7">
        <v>2726.877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7">
        <v>0</v>
      </c>
      <c r="BJ215" s="21"/>
    </row>
    <row r="216" spans="1:62" ht="15.6" x14ac:dyDescent="0.3">
      <c r="A216" s="5" t="s">
        <v>355</v>
      </c>
      <c r="B216" s="5" t="s">
        <v>398</v>
      </c>
      <c r="C216" s="7">
        <v>6</v>
      </c>
      <c r="D216" s="7">
        <v>6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7">
        <v>0</v>
      </c>
      <c r="BJ216" s="21"/>
    </row>
    <row r="217" spans="1:62" ht="15.6" x14ac:dyDescent="0.3">
      <c r="A217" s="5" t="s">
        <v>357</v>
      </c>
      <c r="B217" s="5" t="s">
        <v>399</v>
      </c>
      <c r="C217" s="7">
        <v>6</v>
      </c>
      <c r="D217" s="7">
        <v>6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0</v>
      </c>
      <c r="BJ217" s="21"/>
    </row>
    <row r="218" spans="1:62" ht="15.6" x14ac:dyDescent="0.3">
      <c r="A218" s="5" t="s">
        <v>359</v>
      </c>
      <c r="B218" s="5" t="s">
        <v>400</v>
      </c>
      <c r="C218" s="7">
        <v>6</v>
      </c>
      <c r="D218" s="7">
        <v>6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7">
        <v>0</v>
      </c>
      <c r="BJ218" s="21"/>
    </row>
    <row r="219" spans="1:62" ht="15.6" x14ac:dyDescent="0.3">
      <c r="A219" s="5" t="s">
        <v>361</v>
      </c>
      <c r="B219" s="5" t="s">
        <v>401</v>
      </c>
      <c r="C219" s="7">
        <v>6</v>
      </c>
      <c r="D219" s="7">
        <v>6</v>
      </c>
      <c r="E219" s="7">
        <v>0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7">
        <v>0</v>
      </c>
      <c r="BI219" s="7">
        <v>0</v>
      </c>
      <c r="BJ219" s="21"/>
    </row>
    <row r="220" spans="1:62" ht="15.6" x14ac:dyDescent="0.3">
      <c r="A220" s="5" t="s">
        <v>363</v>
      </c>
      <c r="B220" s="5" t="s">
        <v>402</v>
      </c>
      <c r="C220" s="7">
        <v>6</v>
      </c>
      <c r="D220" s="7">
        <v>6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-2E-3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7">
        <v>0</v>
      </c>
      <c r="BJ220" s="21"/>
    </row>
    <row r="221" spans="1:62" ht="15.6" x14ac:dyDescent="0.3">
      <c r="A221" s="5" t="s">
        <v>365</v>
      </c>
      <c r="B221" s="5" t="s">
        <v>403</v>
      </c>
      <c r="C221" s="7">
        <v>6</v>
      </c>
      <c r="D221" s="7">
        <v>6</v>
      </c>
      <c r="E221" s="7">
        <v>0</v>
      </c>
      <c r="F221" s="7">
        <v>0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7">
        <v>0</v>
      </c>
      <c r="BJ221" s="21"/>
    </row>
    <row r="222" spans="1:62" ht="15.6" x14ac:dyDescent="0.3">
      <c r="A222" s="5" t="s">
        <v>367</v>
      </c>
      <c r="B222" s="5" t="s">
        <v>404</v>
      </c>
      <c r="C222" s="7">
        <v>6</v>
      </c>
      <c r="D222" s="7">
        <v>6</v>
      </c>
      <c r="E222" s="7">
        <v>52622.79</v>
      </c>
      <c r="F222" s="7">
        <v>10616.904</v>
      </c>
      <c r="G222" s="7">
        <v>0</v>
      </c>
      <c r="H222" s="7">
        <v>0</v>
      </c>
      <c r="I222" s="7">
        <v>406.303</v>
      </c>
      <c r="J222" s="7">
        <v>0</v>
      </c>
      <c r="K222" s="7">
        <v>0</v>
      </c>
      <c r="L222" s="7">
        <v>125667.799</v>
      </c>
      <c r="M222" s="7">
        <v>8984.8050000000003</v>
      </c>
      <c r="N222" s="7">
        <v>0</v>
      </c>
      <c r="O222" s="7">
        <v>0</v>
      </c>
      <c r="P222" s="7">
        <v>1.9330000000000001</v>
      </c>
      <c r="Q222" s="7">
        <v>0</v>
      </c>
      <c r="R222" s="7">
        <v>0</v>
      </c>
      <c r="S222" s="7">
        <v>3413.9160000000002</v>
      </c>
      <c r="T222" s="7">
        <v>0</v>
      </c>
      <c r="U222" s="7">
        <v>0</v>
      </c>
      <c r="V222" s="7">
        <v>0</v>
      </c>
      <c r="W222" s="7">
        <v>1070.7349999999999</v>
      </c>
      <c r="X222" s="7">
        <v>0</v>
      </c>
      <c r="Y222" s="7">
        <v>22902.656999999999</v>
      </c>
      <c r="Z222" s="7">
        <v>0</v>
      </c>
      <c r="AA222" s="7">
        <v>0</v>
      </c>
      <c r="AB222" s="7">
        <v>0</v>
      </c>
      <c r="AC222" s="7">
        <v>2061.2579999999998</v>
      </c>
      <c r="AD222" s="7">
        <v>0</v>
      </c>
      <c r="AE222" s="7">
        <v>54498.646999999997</v>
      </c>
      <c r="AF222" s="7">
        <v>29206.446</v>
      </c>
      <c r="AG222" s="7">
        <v>0</v>
      </c>
      <c r="AH222" s="7">
        <v>216565.046</v>
      </c>
      <c r="AI222" s="7">
        <v>54480.394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1325.694</v>
      </c>
      <c r="AP222" s="7">
        <v>0</v>
      </c>
      <c r="AQ222" s="7">
        <v>10386.197</v>
      </c>
      <c r="AR222" s="7">
        <v>0</v>
      </c>
      <c r="AS222" s="7">
        <v>32.914000000000001</v>
      </c>
      <c r="AT222" s="7">
        <v>0</v>
      </c>
      <c r="AU222" s="7">
        <v>230.96299999999999</v>
      </c>
      <c r="AV222" s="7">
        <v>0</v>
      </c>
      <c r="AW222" s="7">
        <v>0</v>
      </c>
      <c r="AX222" s="7">
        <v>0</v>
      </c>
      <c r="AY222" s="7">
        <v>458.69299999999998</v>
      </c>
      <c r="AZ222" s="7">
        <v>8035.64</v>
      </c>
      <c r="BA222" s="7">
        <v>0</v>
      </c>
      <c r="BB222" s="7">
        <v>473.54</v>
      </c>
      <c r="BC222" s="7">
        <v>0</v>
      </c>
      <c r="BD222" s="7">
        <v>9694.4529999999995</v>
      </c>
      <c r="BE222" s="7">
        <v>102.676</v>
      </c>
      <c r="BF222" s="7">
        <v>102.676</v>
      </c>
      <c r="BG222" s="7">
        <v>3182.7310000000002</v>
      </c>
      <c r="BH222" s="7">
        <v>0</v>
      </c>
      <c r="BI222" s="7">
        <v>0</v>
      </c>
      <c r="BJ222" s="21"/>
    </row>
    <row r="223" spans="1:62" ht="15.6" x14ac:dyDescent="0.3">
      <c r="A223" s="5" t="s">
        <v>369</v>
      </c>
      <c r="B223" s="5" t="s">
        <v>405</v>
      </c>
      <c r="C223" s="7">
        <v>6</v>
      </c>
      <c r="D223" s="7">
        <v>6</v>
      </c>
      <c r="E223" s="7">
        <v>0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  <c r="BJ223" s="21"/>
    </row>
    <row r="224" spans="1:62" ht="15.6" x14ac:dyDescent="0.3">
      <c r="A224" s="5" t="s">
        <v>371</v>
      </c>
      <c r="B224" s="5" t="s">
        <v>406</v>
      </c>
      <c r="C224" s="7">
        <v>6</v>
      </c>
      <c r="D224" s="7">
        <v>6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7">
        <v>0</v>
      </c>
      <c r="BJ224" s="21"/>
    </row>
    <row r="225" spans="1:62" ht="15.6" x14ac:dyDescent="0.3">
      <c r="A225" s="5" t="s">
        <v>373</v>
      </c>
      <c r="B225" s="5" t="s">
        <v>407</v>
      </c>
      <c r="C225" s="7">
        <v>6</v>
      </c>
      <c r="D225" s="7">
        <v>6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0</v>
      </c>
      <c r="BJ225" s="21"/>
    </row>
    <row r="226" spans="1:62" ht="15.6" x14ac:dyDescent="0.3">
      <c r="A226" s="5" t="s">
        <v>375</v>
      </c>
      <c r="B226" s="5" t="s">
        <v>408</v>
      </c>
      <c r="C226" s="7">
        <v>6</v>
      </c>
      <c r="D226" s="7">
        <v>6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  <c r="BJ226" s="21"/>
    </row>
    <row r="227" spans="1:62" ht="15.6" x14ac:dyDescent="0.3">
      <c r="A227" s="5" t="s">
        <v>377</v>
      </c>
      <c r="B227" s="5" t="s">
        <v>409</v>
      </c>
      <c r="C227" s="7">
        <v>6</v>
      </c>
      <c r="D227" s="7">
        <v>6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7">
        <v>0</v>
      </c>
      <c r="BJ227" s="21"/>
    </row>
    <row r="228" spans="1:62" ht="15.6" x14ac:dyDescent="0.3">
      <c r="A228" s="5" t="s">
        <v>379</v>
      </c>
      <c r="B228" s="5" t="s">
        <v>410</v>
      </c>
      <c r="C228" s="7">
        <v>6</v>
      </c>
      <c r="D228" s="7">
        <v>6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0</v>
      </c>
      <c r="BJ228" s="21"/>
    </row>
    <row r="229" spans="1:62" ht="15.6" x14ac:dyDescent="0.3">
      <c r="A229" s="5" t="s">
        <v>381</v>
      </c>
      <c r="B229" s="5" t="s">
        <v>411</v>
      </c>
      <c r="C229" s="7">
        <v>6</v>
      </c>
      <c r="D229" s="7">
        <v>6</v>
      </c>
      <c r="E229" s="7">
        <v>0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7">
        <v>0</v>
      </c>
      <c r="BJ229" s="21"/>
    </row>
    <row r="230" spans="1:62" ht="15.6" x14ac:dyDescent="0.3">
      <c r="A230" s="5" t="s">
        <v>383</v>
      </c>
      <c r="B230" s="5" t="s">
        <v>412</v>
      </c>
      <c r="C230" s="7">
        <v>6</v>
      </c>
      <c r="D230" s="7">
        <v>6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7">
        <v>0</v>
      </c>
      <c r="BJ230" s="21"/>
    </row>
    <row r="231" spans="1:62" ht="15.6" x14ac:dyDescent="0.3">
      <c r="A231" s="5" t="s">
        <v>385</v>
      </c>
      <c r="B231" s="5" t="s">
        <v>413</v>
      </c>
      <c r="C231" s="7">
        <v>6</v>
      </c>
      <c r="D231" s="7">
        <v>6</v>
      </c>
      <c r="E231" s="7">
        <v>0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7">
        <v>0</v>
      </c>
      <c r="BJ231" s="21"/>
    </row>
    <row r="232" spans="1:62" ht="15.6" x14ac:dyDescent="0.3">
      <c r="A232" s="5" t="s">
        <v>387</v>
      </c>
      <c r="B232" s="5" t="s">
        <v>414</v>
      </c>
      <c r="C232" s="7">
        <v>6</v>
      </c>
      <c r="D232" s="7">
        <v>6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7">
        <v>0</v>
      </c>
      <c r="BI232" s="7">
        <v>0</v>
      </c>
      <c r="BJ232" s="21"/>
    </row>
    <row r="233" spans="1:62" ht="15.6" x14ac:dyDescent="0.3">
      <c r="A233" s="5" t="s">
        <v>389</v>
      </c>
      <c r="B233" s="5" t="s">
        <v>415</v>
      </c>
      <c r="C233" s="7">
        <v>6</v>
      </c>
      <c r="D233" s="7">
        <v>6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s="21"/>
    </row>
    <row r="234" spans="1:62" ht="15.6" x14ac:dyDescent="0.3">
      <c r="A234" s="5" t="s">
        <v>391</v>
      </c>
      <c r="B234" s="5" t="s">
        <v>416</v>
      </c>
      <c r="C234" s="7">
        <v>6</v>
      </c>
      <c r="D234" s="7">
        <v>6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0</v>
      </c>
      <c r="BJ234" s="21"/>
    </row>
    <row r="235" spans="1:62" ht="15.6" x14ac:dyDescent="0.3">
      <c r="A235" s="5" t="s">
        <v>393</v>
      </c>
      <c r="B235" s="5" t="s">
        <v>417</v>
      </c>
      <c r="C235" s="7">
        <v>6</v>
      </c>
      <c r="D235" s="7">
        <v>6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0</v>
      </c>
      <c r="BJ235" s="21"/>
    </row>
    <row r="236" spans="1:62" ht="15.6" x14ac:dyDescent="0.3">
      <c r="A236" s="5" t="s">
        <v>395</v>
      </c>
      <c r="B236" s="5" t="s">
        <v>418</v>
      </c>
      <c r="C236" s="7">
        <v>6</v>
      </c>
      <c r="D236" s="7">
        <v>6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0</v>
      </c>
      <c r="BJ236" s="21"/>
    </row>
    <row r="237" spans="1:62" ht="15.6" x14ac:dyDescent="0.3">
      <c r="A237" s="5" t="s">
        <v>419</v>
      </c>
      <c r="B237" s="5" t="s">
        <v>420</v>
      </c>
      <c r="C237" s="7">
        <v>6</v>
      </c>
      <c r="D237" s="7">
        <v>6</v>
      </c>
      <c r="E237" s="7">
        <v>0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7">
        <v>0</v>
      </c>
      <c r="BJ237" s="21"/>
    </row>
    <row r="238" spans="1:62" ht="15.6" x14ac:dyDescent="0.3">
      <c r="A238" s="5" t="s">
        <v>421</v>
      </c>
      <c r="B238" s="5" t="s">
        <v>422</v>
      </c>
      <c r="C238" s="7">
        <v>6</v>
      </c>
      <c r="D238" s="7">
        <v>6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  <c r="BJ238" s="21"/>
    </row>
    <row r="239" spans="1:62" ht="15.6" x14ac:dyDescent="0.3">
      <c r="A239" s="5" t="s">
        <v>423</v>
      </c>
      <c r="B239" s="5" t="s">
        <v>424</v>
      </c>
      <c r="C239" s="7">
        <v>6</v>
      </c>
      <c r="D239" s="7">
        <v>6</v>
      </c>
      <c r="E239" s="7">
        <v>0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s="21"/>
    </row>
    <row r="240" spans="1:62" ht="15.6" x14ac:dyDescent="0.3">
      <c r="A240" s="5" t="s">
        <v>425</v>
      </c>
      <c r="B240" s="5" t="s">
        <v>426</v>
      </c>
      <c r="C240" s="7">
        <v>6</v>
      </c>
      <c r="D240" s="7">
        <v>6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7">
        <v>0</v>
      </c>
      <c r="BJ240" s="21"/>
    </row>
    <row r="241" spans="1:62" ht="15.6" x14ac:dyDescent="0.3">
      <c r="A241" s="5" t="s">
        <v>427</v>
      </c>
      <c r="B241" s="5" t="s">
        <v>428</v>
      </c>
      <c r="C241" s="7">
        <v>6</v>
      </c>
      <c r="D241" s="7">
        <v>6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s="21"/>
    </row>
    <row r="242" spans="1:62" ht="15.6" x14ac:dyDescent="0.3">
      <c r="A242" s="5" t="s">
        <v>429</v>
      </c>
      <c r="B242" s="5" t="s">
        <v>430</v>
      </c>
      <c r="C242" s="7">
        <v>6</v>
      </c>
      <c r="D242" s="7">
        <v>6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0</v>
      </c>
      <c r="BJ242" s="21"/>
    </row>
    <row r="243" spans="1:62" ht="15.6" x14ac:dyDescent="0.3">
      <c r="A243" s="5" t="s">
        <v>431</v>
      </c>
      <c r="B243" s="5" t="s">
        <v>432</v>
      </c>
      <c r="C243" s="7">
        <v>6</v>
      </c>
      <c r="D243" s="7">
        <v>6</v>
      </c>
      <c r="E243" s="7">
        <v>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0</v>
      </c>
      <c r="BJ243" s="21"/>
    </row>
    <row r="244" spans="1:62" ht="15.6" x14ac:dyDescent="0.3">
      <c r="A244" s="5" t="s">
        <v>433</v>
      </c>
      <c r="B244" s="5" t="s">
        <v>434</v>
      </c>
      <c r="C244" s="7">
        <v>6</v>
      </c>
      <c r="D244" s="7">
        <v>6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7">
        <v>0</v>
      </c>
      <c r="BJ244" s="21"/>
    </row>
    <row r="245" spans="1:62" ht="15.6" x14ac:dyDescent="0.3">
      <c r="A245" s="5" t="s">
        <v>435</v>
      </c>
      <c r="B245" s="5" t="s">
        <v>436</v>
      </c>
      <c r="C245" s="7">
        <v>6</v>
      </c>
      <c r="D245" s="7">
        <v>6</v>
      </c>
      <c r="E245" s="7">
        <v>0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7">
        <v>0</v>
      </c>
      <c r="BJ245" s="21"/>
    </row>
    <row r="246" spans="1:62" ht="15.6" x14ac:dyDescent="0.3">
      <c r="A246" s="5" t="s">
        <v>437</v>
      </c>
      <c r="B246" s="5" t="s">
        <v>438</v>
      </c>
      <c r="C246" s="7">
        <v>6</v>
      </c>
      <c r="D246" s="7">
        <v>6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7">
        <v>0</v>
      </c>
      <c r="BJ246" s="21"/>
    </row>
    <row r="247" spans="1:62" ht="15.6" x14ac:dyDescent="0.3">
      <c r="A247" s="5" t="s">
        <v>439</v>
      </c>
      <c r="B247" s="5" t="s">
        <v>440</v>
      </c>
      <c r="C247" s="7">
        <v>6</v>
      </c>
      <c r="D247" s="7">
        <v>6</v>
      </c>
      <c r="E247" s="7">
        <v>0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7">
        <v>0</v>
      </c>
      <c r="BJ247" s="21"/>
    </row>
    <row r="248" spans="1:62" ht="15.6" x14ac:dyDescent="0.3">
      <c r="A248" s="5" t="s">
        <v>441</v>
      </c>
      <c r="B248" s="5" t="s">
        <v>442</v>
      </c>
      <c r="C248" s="7">
        <v>6</v>
      </c>
      <c r="D248" s="7">
        <v>6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0</v>
      </c>
      <c r="BJ248" s="21"/>
    </row>
    <row r="249" spans="1:62" ht="15.6" x14ac:dyDescent="0.3">
      <c r="A249" s="5" t="s">
        <v>443</v>
      </c>
      <c r="B249" s="5" t="s">
        <v>444</v>
      </c>
      <c r="C249" s="7">
        <v>6</v>
      </c>
      <c r="D249" s="7">
        <v>6</v>
      </c>
      <c r="E249" s="7">
        <v>0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0</v>
      </c>
      <c r="BJ249" s="21"/>
    </row>
    <row r="250" spans="1:62" ht="15.6" x14ac:dyDescent="0.3">
      <c r="A250" s="5" t="s">
        <v>445</v>
      </c>
      <c r="B250" s="5" t="s">
        <v>446</v>
      </c>
      <c r="C250" s="7">
        <v>6</v>
      </c>
      <c r="D250" s="7">
        <v>6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0</v>
      </c>
      <c r="BJ250" s="21"/>
    </row>
    <row r="251" spans="1:62" ht="15.6" x14ac:dyDescent="0.3">
      <c r="A251" s="5" t="s">
        <v>447</v>
      </c>
      <c r="B251" s="5" t="s">
        <v>448</v>
      </c>
      <c r="C251" s="7">
        <v>6</v>
      </c>
      <c r="D251" s="7">
        <v>6</v>
      </c>
      <c r="E251" s="7">
        <v>0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0</v>
      </c>
      <c r="BJ251" s="21"/>
    </row>
    <row r="252" spans="1:62" ht="15.6" x14ac:dyDescent="0.3">
      <c r="A252" s="5" t="s">
        <v>449</v>
      </c>
      <c r="B252" s="5" t="s">
        <v>450</v>
      </c>
      <c r="C252" s="7">
        <v>6</v>
      </c>
      <c r="D252" s="7">
        <v>6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7">
        <v>0</v>
      </c>
      <c r="BJ252" s="21"/>
    </row>
    <row r="253" spans="1:62" ht="15.6" x14ac:dyDescent="0.3">
      <c r="A253" s="5" t="s">
        <v>451</v>
      </c>
      <c r="B253" s="5" t="s">
        <v>452</v>
      </c>
      <c r="C253" s="7">
        <v>6</v>
      </c>
      <c r="D253" s="7">
        <v>6</v>
      </c>
      <c r="E253" s="7">
        <v>0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7">
        <v>0</v>
      </c>
      <c r="BJ253" s="21"/>
    </row>
    <row r="254" spans="1:62" ht="15.6" x14ac:dyDescent="0.3">
      <c r="A254" s="5" t="s">
        <v>453</v>
      </c>
      <c r="B254" s="5" t="s">
        <v>454</v>
      </c>
      <c r="C254" s="7">
        <v>6</v>
      </c>
      <c r="D254" s="7">
        <v>6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7">
        <v>0</v>
      </c>
      <c r="BJ254" s="21"/>
    </row>
    <row r="255" spans="1:62" ht="15.6" x14ac:dyDescent="0.3">
      <c r="A255" s="5" t="s">
        <v>455</v>
      </c>
      <c r="B255" s="5" t="s">
        <v>456</v>
      </c>
      <c r="C255" s="7">
        <v>6</v>
      </c>
      <c r="D255" s="7">
        <v>6</v>
      </c>
      <c r="E255" s="7">
        <v>0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7">
        <v>0</v>
      </c>
      <c r="BJ255" s="21"/>
    </row>
    <row r="256" spans="1:62" ht="15.6" x14ac:dyDescent="0.3">
      <c r="A256" s="5" t="s">
        <v>457</v>
      </c>
      <c r="B256" s="5" t="s">
        <v>458</v>
      </c>
      <c r="C256" s="7">
        <v>6</v>
      </c>
      <c r="D256" s="7">
        <v>6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2489.5909999999999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0</v>
      </c>
      <c r="BJ256" s="21"/>
    </row>
    <row r="257" spans="1:62" ht="15.6" x14ac:dyDescent="0.3">
      <c r="A257" s="5" t="s">
        <v>459</v>
      </c>
      <c r="B257" s="5" t="s">
        <v>460</v>
      </c>
      <c r="C257" s="7">
        <v>6</v>
      </c>
      <c r="D257" s="7">
        <v>6</v>
      </c>
      <c r="E257" s="7">
        <v>0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4362.3289999999997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s="21"/>
    </row>
    <row r="258" spans="1:62" ht="15.6" x14ac:dyDescent="0.3">
      <c r="A258" s="5" t="s">
        <v>461</v>
      </c>
      <c r="B258" s="5" t="s">
        <v>462</v>
      </c>
      <c r="C258" s="7">
        <v>6</v>
      </c>
      <c r="D258" s="7">
        <v>6</v>
      </c>
      <c r="E258" s="7">
        <v>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527.15499999999997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413.61399999999998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7">
        <v>0</v>
      </c>
      <c r="BJ258" s="21"/>
    </row>
    <row r="259" spans="1:62" ht="15.6" x14ac:dyDescent="0.3">
      <c r="A259" s="5" t="s">
        <v>419</v>
      </c>
      <c r="B259" s="5" t="s">
        <v>463</v>
      </c>
      <c r="C259" s="7">
        <v>6</v>
      </c>
      <c r="D259" s="7">
        <v>6</v>
      </c>
      <c r="E259" s="7">
        <v>0</v>
      </c>
      <c r="F259" s="7">
        <v>0</v>
      </c>
      <c r="G259" s="7">
        <v>0</v>
      </c>
      <c r="H259" s="7">
        <v>0</v>
      </c>
      <c r="I259" s="7">
        <v>7.0000000000000001E-3</v>
      </c>
      <c r="J259" s="7">
        <v>0</v>
      </c>
      <c r="K259" s="7">
        <v>0</v>
      </c>
      <c r="L259" s="7">
        <v>0.04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4.5999999999999999E-2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7">
        <v>0</v>
      </c>
      <c r="BJ259" s="21"/>
    </row>
    <row r="260" spans="1:62" ht="15.6" x14ac:dyDescent="0.3">
      <c r="A260" s="5" t="s">
        <v>421</v>
      </c>
      <c r="B260" s="5" t="s">
        <v>464</v>
      </c>
      <c r="C260" s="7">
        <v>6</v>
      </c>
      <c r="D260" s="7">
        <v>6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7">
        <v>0</v>
      </c>
      <c r="BJ260" s="21"/>
    </row>
    <row r="261" spans="1:62" ht="15.6" x14ac:dyDescent="0.3">
      <c r="A261" s="5" t="s">
        <v>423</v>
      </c>
      <c r="B261" s="5" t="s">
        <v>465</v>
      </c>
      <c r="C261" s="7">
        <v>6</v>
      </c>
      <c r="D261" s="7">
        <v>6</v>
      </c>
      <c r="E261" s="7">
        <v>0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7">
        <v>0</v>
      </c>
      <c r="BJ261" s="21"/>
    </row>
    <row r="262" spans="1:62" ht="15.6" x14ac:dyDescent="0.3">
      <c r="A262" s="5" t="s">
        <v>425</v>
      </c>
      <c r="B262" s="5" t="s">
        <v>466</v>
      </c>
      <c r="C262" s="7">
        <v>6</v>
      </c>
      <c r="D262" s="7">
        <v>6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0</v>
      </c>
      <c r="BJ262" s="21"/>
    </row>
    <row r="263" spans="1:62" ht="15.6" x14ac:dyDescent="0.3">
      <c r="A263" s="5" t="s">
        <v>427</v>
      </c>
      <c r="B263" s="5" t="s">
        <v>467</v>
      </c>
      <c r="C263" s="7">
        <v>6</v>
      </c>
      <c r="D263" s="7">
        <v>6</v>
      </c>
      <c r="E263" s="7">
        <v>0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7">
        <v>0</v>
      </c>
      <c r="BJ263" s="21"/>
    </row>
    <row r="264" spans="1:62" ht="15.6" x14ac:dyDescent="0.3">
      <c r="A264" s="5" t="s">
        <v>429</v>
      </c>
      <c r="B264" s="5" t="s">
        <v>468</v>
      </c>
      <c r="C264" s="7">
        <v>6</v>
      </c>
      <c r="D264" s="7">
        <v>6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7">
        <v>0</v>
      </c>
      <c r="BJ264" s="21"/>
    </row>
    <row r="265" spans="1:62" ht="15.6" x14ac:dyDescent="0.3">
      <c r="A265" s="5" t="s">
        <v>431</v>
      </c>
      <c r="B265" s="5" t="s">
        <v>469</v>
      </c>
      <c r="C265" s="7">
        <v>6</v>
      </c>
      <c r="D265" s="7">
        <v>6</v>
      </c>
      <c r="E265" s="7">
        <v>0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0</v>
      </c>
      <c r="BH265" s="7">
        <v>0</v>
      </c>
      <c r="BI265" s="7">
        <v>0</v>
      </c>
      <c r="BJ265" s="21"/>
    </row>
    <row r="266" spans="1:62" ht="15.6" x14ac:dyDescent="0.3">
      <c r="A266" s="5" t="s">
        <v>433</v>
      </c>
      <c r="B266" s="5" t="s">
        <v>470</v>
      </c>
      <c r="C266" s="7">
        <v>6</v>
      </c>
      <c r="D266" s="7">
        <v>6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7">
        <v>0</v>
      </c>
      <c r="BI266" s="7">
        <v>0</v>
      </c>
      <c r="BJ266" s="21"/>
    </row>
    <row r="267" spans="1:62" ht="15.6" x14ac:dyDescent="0.3">
      <c r="A267" s="5" t="s">
        <v>435</v>
      </c>
      <c r="B267" s="5" t="s">
        <v>471</v>
      </c>
      <c r="C267" s="7">
        <v>6</v>
      </c>
      <c r="D267" s="7">
        <v>6</v>
      </c>
      <c r="E267" s="7">
        <v>0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0</v>
      </c>
      <c r="BJ267" s="21"/>
    </row>
    <row r="268" spans="1:62" ht="15.6" x14ac:dyDescent="0.3">
      <c r="A268" s="5" t="s">
        <v>437</v>
      </c>
      <c r="B268" s="5" t="s">
        <v>472</v>
      </c>
      <c r="C268" s="7">
        <v>6</v>
      </c>
      <c r="D268" s="7">
        <v>6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7">
        <v>0</v>
      </c>
      <c r="BJ268" s="21"/>
    </row>
    <row r="269" spans="1:62" ht="15.6" x14ac:dyDescent="0.3">
      <c r="A269" s="5" t="s">
        <v>439</v>
      </c>
      <c r="B269" s="5" t="s">
        <v>473</v>
      </c>
      <c r="C269" s="7">
        <v>6</v>
      </c>
      <c r="D269" s="7">
        <v>6</v>
      </c>
      <c r="E269" s="7">
        <v>0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0</v>
      </c>
      <c r="BJ269" s="21"/>
    </row>
    <row r="270" spans="1:62" ht="15.6" x14ac:dyDescent="0.3">
      <c r="A270" s="5" t="s">
        <v>441</v>
      </c>
      <c r="B270" s="5" t="s">
        <v>474</v>
      </c>
      <c r="C270" s="7">
        <v>6</v>
      </c>
      <c r="D270" s="7">
        <v>6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7">
        <v>0</v>
      </c>
      <c r="BJ270" s="21"/>
    </row>
    <row r="271" spans="1:62" ht="15.6" x14ac:dyDescent="0.3">
      <c r="A271" s="5" t="s">
        <v>443</v>
      </c>
      <c r="B271" s="5" t="s">
        <v>475</v>
      </c>
      <c r="C271" s="7">
        <v>6</v>
      </c>
      <c r="D271" s="7">
        <v>6</v>
      </c>
      <c r="E271" s="7">
        <v>0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7">
        <v>0</v>
      </c>
      <c r="BJ271" s="21"/>
    </row>
    <row r="272" spans="1:62" ht="15.6" x14ac:dyDescent="0.3">
      <c r="A272" s="5" t="s">
        <v>445</v>
      </c>
      <c r="B272" s="5" t="s">
        <v>476</v>
      </c>
      <c r="C272" s="7">
        <v>6</v>
      </c>
      <c r="D272" s="7">
        <v>6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0</v>
      </c>
      <c r="BJ272" s="21"/>
    </row>
    <row r="273" spans="1:62" ht="15.6" x14ac:dyDescent="0.3">
      <c r="A273" s="5" t="s">
        <v>447</v>
      </c>
      <c r="B273" s="5" t="s">
        <v>477</v>
      </c>
      <c r="C273" s="7">
        <v>6</v>
      </c>
      <c r="D273" s="7">
        <v>6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7">
        <v>0</v>
      </c>
      <c r="BJ273" s="21"/>
    </row>
    <row r="274" spans="1:62" ht="15.6" x14ac:dyDescent="0.3">
      <c r="A274" s="5" t="s">
        <v>449</v>
      </c>
      <c r="B274" s="5" t="s">
        <v>478</v>
      </c>
      <c r="C274" s="7">
        <v>6</v>
      </c>
      <c r="D274" s="7">
        <v>6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7">
        <v>0</v>
      </c>
      <c r="BJ274" s="21"/>
    </row>
    <row r="275" spans="1:62" ht="15.6" x14ac:dyDescent="0.3">
      <c r="A275" s="5" t="s">
        <v>451</v>
      </c>
      <c r="B275" s="5" t="s">
        <v>479</v>
      </c>
      <c r="C275" s="7">
        <v>6</v>
      </c>
      <c r="D275" s="7">
        <v>6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7">
        <v>0</v>
      </c>
      <c r="BJ275" s="21"/>
    </row>
    <row r="276" spans="1:62" ht="15.6" x14ac:dyDescent="0.3">
      <c r="A276" s="5" t="s">
        <v>453</v>
      </c>
      <c r="B276" s="5" t="s">
        <v>480</v>
      </c>
      <c r="C276" s="7">
        <v>6</v>
      </c>
      <c r="D276" s="7">
        <v>6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0</v>
      </c>
      <c r="BJ276" s="21"/>
    </row>
    <row r="277" spans="1:62" ht="15.6" x14ac:dyDescent="0.3">
      <c r="A277" s="5" t="s">
        <v>455</v>
      </c>
      <c r="B277" s="5" t="s">
        <v>481</v>
      </c>
      <c r="C277" s="7">
        <v>6</v>
      </c>
      <c r="D277" s="7">
        <v>6</v>
      </c>
      <c r="E277" s="7">
        <v>0</v>
      </c>
      <c r="F277" s="7">
        <v>0</v>
      </c>
      <c r="G277" s="7">
        <v>0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7">
        <v>0</v>
      </c>
      <c r="BH277" s="7">
        <v>0</v>
      </c>
      <c r="BI277" s="7">
        <v>0</v>
      </c>
      <c r="BJ277" s="21"/>
    </row>
    <row r="278" spans="1:62" ht="15.6" x14ac:dyDescent="0.3">
      <c r="A278" s="5" t="s">
        <v>457</v>
      </c>
      <c r="B278" s="5" t="s">
        <v>482</v>
      </c>
      <c r="C278" s="7">
        <v>6</v>
      </c>
      <c r="D278" s="7">
        <v>6</v>
      </c>
      <c r="E278" s="7">
        <v>0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7">
        <v>0</v>
      </c>
      <c r="BG278" s="7">
        <v>0</v>
      </c>
      <c r="BH278" s="7">
        <v>0</v>
      </c>
      <c r="BI278" s="7">
        <v>0</v>
      </c>
      <c r="BJ278" s="21"/>
    </row>
    <row r="279" spans="1:62" ht="15.6" x14ac:dyDescent="0.3">
      <c r="A279" s="5" t="s">
        <v>459</v>
      </c>
      <c r="B279" s="5" t="s">
        <v>483</v>
      </c>
      <c r="C279" s="7">
        <v>6</v>
      </c>
      <c r="D279" s="7">
        <v>6</v>
      </c>
      <c r="E279" s="7">
        <v>3904.915</v>
      </c>
      <c r="F279" s="7">
        <v>2722.0430000000001</v>
      </c>
      <c r="G279" s="7">
        <v>190.38399999999999</v>
      </c>
      <c r="H279" s="7">
        <v>0.53600000000000003</v>
      </c>
      <c r="I279" s="7">
        <v>240.88800000000001</v>
      </c>
      <c r="J279" s="7">
        <v>2021.854</v>
      </c>
      <c r="K279" s="7">
        <v>0</v>
      </c>
      <c r="L279" s="7">
        <v>5834.3419999999996</v>
      </c>
      <c r="M279" s="7">
        <v>2233.723</v>
      </c>
      <c r="N279" s="7">
        <v>0</v>
      </c>
      <c r="O279" s="7">
        <v>0</v>
      </c>
      <c r="P279" s="7">
        <v>8.0000000000000002E-3</v>
      </c>
      <c r="Q279" s="7">
        <v>0</v>
      </c>
      <c r="R279" s="7">
        <v>0</v>
      </c>
      <c r="S279" s="7">
        <v>1090.883</v>
      </c>
      <c r="T279" s="7">
        <v>0</v>
      </c>
      <c r="U279" s="7">
        <v>0</v>
      </c>
      <c r="V279" s="7">
        <v>195.80600000000001</v>
      </c>
      <c r="W279" s="7">
        <v>3.6</v>
      </c>
      <c r="X279" s="7">
        <v>0</v>
      </c>
      <c r="Y279" s="7">
        <v>158.33099999999999</v>
      </c>
      <c r="Z279" s="7">
        <v>0</v>
      </c>
      <c r="AA279" s="7">
        <v>5885.3530000000001</v>
      </c>
      <c r="AB279" s="7">
        <v>0</v>
      </c>
      <c r="AC279" s="7">
        <v>453.34300000000002</v>
      </c>
      <c r="AD279" s="7">
        <v>0</v>
      </c>
      <c r="AE279" s="7">
        <v>15.069000000000001</v>
      </c>
      <c r="AF279" s="7">
        <v>49.899000000000001</v>
      </c>
      <c r="AG279" s="7">
        <v>0</v>
      </c>
      <c r="AH279" s="7">
        <v>9470.01</v>
      </c>
      <c r="AI279" s="7">
        <v>3.6999999999999998E-2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626.38900000000001</v>
      </c>
      <c r="AP279" s="7">
        <v>0</v>
      </c>
      <c r="AQ279" s="7">
        <v>7.351</v>
      </c>
      <c r="AR279" s="7">
        <v>0</v>
      </c>
      <c r="AS279" s="7">
        <v>3.8029999999999999</v>
      </c>
      <c r="AT279" s="7">
        <v>0</v>
      </c>
      <c r="AU279" s="7">
        <v>0.51700000000000002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207.59</v>
      </c>
      <c r="BC279" s="7">
        <v>0</v>
      </c>
      <c r="BD279" s="7">
        <v>0</v>
      </c>
      <c r="BE279" s="7">
        <v>48.847000000000001</v>
      </c>
      <c r="BF279" s="7">
        <v>48.847000000000001</v>
      </c>
      <c r="BG279" s="7">
        <v>0</v>
      </c>
      <c r="BH279" s="7">
        <v>0.376</v>
      </c>
      <c r="BI279" s="7">
        <v>0</v>
      </c>
      <c r="BJ279" s="21"/>
    </row>
    <row r="280" spans="1:62" ht="15.6" x14ac:dyDescent="0.3">
      <c r="A280" s="5" t="s">
        <v>461</v>
      </c>
      <c r="B280" s="5" t="s">
        <v>484</v>
      </c>
      <c r="C280" s="7">
        <v>6</v>
      </c>
      <c r="D280" s="7">
        <v>6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7">
        <v>0</v>
      </c>
      <c r="BJ280" s="21"/>
    </row>
    <row r="281" spans="1:62" ht="15.6" x14ac:dyDescent="0.3">
      <c r="A281" s="5" t="s">
        <v>485</v>
      </c>
      <c r="B281" s="5" t="s">
        <v>486</v>
      </c>
      <c r="C281" s="7">
        <v>5</v>
      </c>
      <c r="D281" s="7">
        <v>5</v>
      </c>
      <c r="E281" s="7">
        <v>146303.94699999999</v>
      </c>
      <c r="F281" s="7">
        <v>0</v>
      </c>
      <c r="G281" s="7">
        <v>12687.416999999999</v>
      </c>
      <c r="H281" s="7">
        <v>88.971000000000004</v>
      </c>
      <c r="I281" s="7">
        <v>0</v>
      </c>
      <c r="J281" s="7">
        <v>31094.437000000002</v>
      </c>
      <c r="K281" s="7">
        <v>15277.736999999999</v>
      </c>
      <c r="L281" s="7">
        <v>129597.84299999999</v>
      </c>
      <c r="M281" s="7">
        <v>167264.94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2933.8910000000001</v>
      </c>
      <c r="V281" s="7">
        <v>5492.8249999999998</v>
      </c>
      <c r="W281" s="7">
        <v>8043.1540000000005</v>
      </c>
      <c r="X281" s="7">
        <v>0</v>
      </c>
      <c r="Y281" s="7">
        <v>29302.937999999998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77399.721999999994</v>
      </c>
      <c r="AF281" s="7">
        <v>10245.361000000001</v>
      </c>
      <c r="AG281" s="7">
        <v>8587.527</v>
      </c>
      <c r="AH281" s="7">
        <v>533633.86800000002</v>
      </c>
      <c r="AI281" s="7">
        <v>89770.328999999998</v>
      </c>
      <c r="AJ281" s="7">
        <v>17.558</v>
      </c>
      <c r="AK281" s="7">
        <v>427.72300000000001</v>
      </c>
      <c r="AL281" s="7">
        <v>115.27200000000001</v>
      </c>
      <c r="AM281" s="7">
        <v>656.26</v>
      </c>
      <c r="AN281" s="7">
        <v>118.572</v>
      </c>
      <c r="AO281" s="7">
        <v>0</v>
      </c>
      <c r="AP281" s="7">
        <v>0</v>
      </c>
      <c r="AQ281" s="7">
        <v>7875.6090000000004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0</v>
      </c>
      <c r="BJ281" s="21"/>
    </row>
    <row r="282" spans="1:62" ht="15.6" x14ac:dyDescent="0.3">
      <c r="A282" s="5" t="s">
        <v>487</v>
      </c>
      <c r="B282" s="5" t="s">
        <v>488</v>
      </c>
      <c r="C282" s="7">
        <v>5</v>
      </c>
      <c r="D282" s="7">
        <v>5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7">
        <v>0</v>
      </c>
      <c r="BJ282" s="21"/>
    </row>
    <row r="283" spans="1:62" ht="15.6" x14ac:dyDescent="0.3">
      <c r="A283" s="5" t="s">
        <v>489</v>
      </c>
      <c r="B283" s="5" t="s">
        <v>490</v>
      </c>
      <c r="C283" s="7">
        <v>5</v>
      </c>
      <c r="D283" s="7">
        <v>5</v>
      </c>
      <c r="E283" s="7">
        <v>15411.762000000001</v>
      </c>
      <c r="F283" s="7">
        <v>1403.665</v>
      </c>
      <c r="G283" s="7">
        <v>1988.9570000000001</v>
      </c>
      <c r="H283" s="7">
        <v>0</v>
      </c>
      <c r="I283" s="7">
        <v>348.39499999999998</v>
      </c>
      <c r="J283" s="7">
        <v>1215.6500000000001</v>
      </c>
      <c r="K283" s="7">
        <v>0</v>
      </c>
      <c r="L283" s="7">
        <v>11214.585999999999</v>
      </c>
      <c r="M283" s="7">
        <v>5421.027</v>
      </c>
      <c r="N283" s="7">
        <v>0</v>
      </c>
      <c r="O283" s="7">
        <v>0</v>
      </c>
      <c r="P283" s="7">
        <v>64.400999999999996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180.72200000000001</v>
      </c>
      <c r="W283" s="7">
        <v>549.952</v>
      </c>
      <c r="X283" s="7">
        <v>0</v>
      </c>
      <c r="Y283" s="7">
        <v>4349.2449999999999</v>
      </c>
      <c r="Z283" s="7">
        <v>0</v>
      </c>
      <c r="AA283" s="7">
        <v>1537.011</v>
      </c>
      <c r="AB283" s="7">
        <v>0</v>
      </c>
      <c r="AC283" s="7">
        <v>233.59700000000001</v>
      </c>
      <c r="AD283" s="7">
        <v>0</v>
      </c>
      <c r="AE283" s="7">
        <v>13932.058000000001</v>
      </c>
      <c r="AF283" s="7">
        <v>0</v>
      </c>
      <c r="AG283" s="7">
        <v>0</v>
      </c>
      <c r="AH283" s="7">
        <v>32371.826000000001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0</v>
      </c>
      <c r="BJ283" s="21"/>
    </row>
    <row r="284" spans="1:62" ht="15.6" x14ac:dyDescent="0.3">
      <c r="A284" s="5" t="s">
        <v>491</v>
      </c>
      <c r="B284" s="5" t="s">
        <v>492</v>
      </c>
      <c r="C284" s="7">
        <v>5</v>
      </c>
      <c r="D284" s="7">
        <v>5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s="21"/>
    </row>
    <row r="285" spans="1:62" ht="15.6" x14ac:dyDescent="0.3">
      <c r="A285" s="5" t="s">
        <v>493</v>
      </c>
      <c r="B285" s="5" t="s">
        <v>494</v>
      </c>
      <c r="C285" s="7">
        <v>5</v>
      </c>
      <c r="D285" s="7">
        <v>5</v>
      </c>
      <c r="E285" s="7">
        <v>0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0</v>
      </c>
      <c r="BJ285" s="21"/>
    </row>
    <row r="286" spans="1:62" ht="15.6" x14ac:dyDescent="0.3">
      <c r="A286" s="5" t="s">
        <v>495</v>
      </c>
      <c r="B286" s="5" t="s">
        <v>496</v>
      </c>
      <c r="C286" s="7">
        <v>5</v>
      </c>
      <c r="D286" s="7">
        <v>5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7">
        <v>0</v>
      </c>
      <c r="BJ286" s="21"/>
    </row>
    <row r="287" spans="1:62" ht="15.6" x14ac:dyDescent="0.3">
      <c r="A287" s="5" t="s">
        <v>497</v>
      </c>
      <c r="B287" s="5" t="s">
        <v>498</v>
      </c>
      <c r="C287" s="7">
        <v>5</v>
      </c>
      <c r="D287" s="7">
        <v>5</v>
      </c>
      <c r="E287" s="7">
        <v>75901.97</v>
      </c>
      <c r="F287" s="7">
        <v>7215.1719999999996</v>
      </c>
      <c r="G287" s="7">
        <v>11276.342000000001</v>
      </c>
      <c r="H287" s="7">
        <v>0</v>
      </c>
      <c r="I287" s="7">
        <v>1851.51</v>
      </c>
      <c r="J287" s="7">
        <v>6479.6210000000001</v>
      </c>
      <c r="K287" s="7">
        <v>0</v>
      </c>
      <c r="L287" s="7">
        <v>67234.425000000003</v>
      </c>
      <c r="M287" s="7">
        <v>30677.221000000001</v>
      </c>
      <c r="N287" s="7">
        <v>0</v>
      </c>
      <c r="O287" s="7">
        <v>0</v>
      </c>
      <c r="P287" s="7">
        <v>367.32100000000003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784.86099999999999</v>
      </c>
      <c r="W287" s="7">
        <v>2388.39</v>
      </c>
      <c r="X287" s="7">
        <v>0</v>
      </c>
      <c r="Y287" s="7">
        <v>19650.316999999999</v>
      </c>
      <c r="Z287" s="7">
        <v>0</v>
      </c>
      <c r="AA287" s="7">
        <v>6675.1009999999997</v>
      </c>
      <c r="AB287" s="7">
        <v>0</v>
      </c>
      <c r="AC287" s="7">
        <v>1014.489</v>
      </c>
      <c r="AD287" s="7">
        <v>0</v>
      </c>
      <c r="AE287" s="7">
        <v>63539.035000000003</v>
      </c>
      <c r="AF287" s="7">
        <v>0</v>
      </c>
      <c r="AG287" s="7">
        <v>0</v>
      </c>
      <c r="AH287" s="7">
        <v>172230.179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7">
        <v>0</v>
      </c>
      <c r="BI287" s="7">
        <v>0</v>
      </c>
      <c r="BJ287" s="21"/>
    </row>
    <row r="288" spans="1:62" ht="15.6" x14ac:dyDescent="0.3">
      <c r="A288" s="5" t="s">
        <v>499</v>
      </c>
      <c r="B288" s="5" t="s">
        <v>500</v>
      </c>
      <c r="C288" s="7">
        <v>5</v>
      </c>
      <c r="D288" s="7">
        <v>5</v>
      </c>
      <c r="E288" s="7">
        <v>197119.465</v>
      </c>
      <c r="F288" s="7">
        <v>18946.744999999999</v>
      </c>
      <c r="G288" s="7">
        <v>28709.61</v>
      </c>
      <c r="H288" s="7">
        <v>14064.906999999999</v>
      </c>
      <c r="I288" s="7">
        <v>5037.9089999999997</v>
      </c>
      <c r="J288" s="7">
        <v>16987.396000000001</v>
      </c>
      <c r="K288" s="7">
        <v>0</v>
      </c>
      <c r="L288" s="7">
        <v>149528.67600000001</v>
      </c>
      <c r="M288" s="7">
        <v>77089.657999999996</v>
      </c>
      <c r="N288" s="7">
        <v>0</v>
      </c>
      <c r="O288" s="7">
        <v>0</v>
      </c>
      <c r="P288" s="7">
        <v>928.95799999999997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2127.0390000000002</v>
      </c>
      <c r="W288" s="7">
        <v>6558.2269999999999</v>
      </c>
      <c r="X288" s="7">
        <v>0</v>
      </c>
      <c r="Y288" s="7">
        <v>51531.067000000003</v>
      </c>
      <c r="Z288" s="7">
        <v>0</v>
      </c>
      <c r="AA288" s="7">
        <v>18361.294000000002</v>
      </c>
      <c r="AB288" s="7">
        <v>0</v>
      </c>
      <c r="AC288" s="7">
        <v>2749.3530000000001</v>
      </c>
      <c r="AD288" s="7">
        <v>0</v>
      </c>
      <c r="AE288" s="7">
        <v>164982.20300000001</v>
      </c>
      <c r="AF288" s="7">
        <v>0</v>
      </c>
      <c r="AG288" s="7">
        <v>0</v>
      </c>
      <c r="AH288" s="7">
        <v>412717.97200000001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-2E-3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7">
        <v>0</v>
      </c>
      <c r="BJ288" s="21"/>
    </row>
    <row r="289" spans="1:62" ht="15.6" x14ac:dyDescent="0.3">
      <c r="A289" s="5" t="s">
        <v>501</v>
      </c>
      <c r="B289" s="5" t="s">
        <v>502</v>
      </c>
      <c r="C289" s="7">
        <v>5</v>
      </c>
      <c r="D289" s="7">
        <v>5</v>
      </c>
      <c r="E289" s="7">
        <v>2121.19</v>
      </c>
      <c r="F289" s="7">
        <v>0</v>
      </c>
      <c r="G289" s="7">
        <v>0</v>
      </c>
      <c r="H289" s="7">
        <v>0</v>
      </c>
      <c r="I289" s="7">
        <v>0</v>
      </c>
      <c r="J289" s="7">
        <v>0</v>
      </c>
      <c r="K289" s="7">
        <v>0</v>
      </c>
      <c r="L289" s="7">
        <v>6058.0219999999999</v>
      </c>
      <c r="M289" s="7">
        <v>290.99400000000003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2398.6849999999999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4919.3580000000002</v>
      </c>
      <c r="AF289" s="7">
        <v>0</v>
      </c>
      <c r="AG289" s="7">
        <v>0</v>
      </c>
      <c r="AH289" s="7">
        <v>12180.804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7">
        <v>0</v>
      </c>
      <c r="BJ289" s="21"/>
    </row>
    <row r="290" spans="1:62" ht="15.6" x14ac:dyDescent="0.3">
      <c r="A290" s="5" t="s">
        <v>503</v>
      </c>
      <c r="B290" s="5" t="s">
        <v>504</v>
      </c>
      <c r="C290" s="7">
        <v>5</v>
      </c>
      <c r="D290" s="7">
        <v>5</v>
      </c>
      <c r="E290" s="7">
        <v>38140.284</v>
      </c>
      <c r="F290" s="7">
        <v>3203.3420000000001</v>
      </c>
      <c r="G290" s="7">
        <v>4539.0540000000001</v>
      </c>
      <c r="H290" s="7">
        <v>106.34099999999999</v>
      </c>
      <c r="I290" s="7">
        <v>795.08100000000002</v>
      </c>
      <c r="J290" s="7">
        <v>2774.268</v>
      </c>
      <c r="K290" s="7">
        <v>0</v>
      </c>
      <c r="L290" s="7">
        <v>31625.388999999999</v>
      </c>
      <c r="M290" s="7">
        <v>13459.468999999999</v>
      </c>
      <c r="N290" s="7">
        <v>0</v>
      </c>
      <c r="O290" s="7">
        <v>0</v>
      </c>
      <c r="P290" s="7">
        <v>146.97200000000001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412.43099999999998</v>
      </c>
      <c r="W290" s="7">
        <v>1255.059</v>
      </c>
      <c r="X290" s="7">
        <v>0</v>
      </c>
      <c r="Y290" s="7">
        <v>12006.332</v>
      </c>
      <c r="Z290" s="7">
        <v>0</v>
      </c>
      <c r="AA290" s="7">
        <v>3507.6550000000002</v>
      </c>
      <c r="AB290" s="7">
        <v>0</v>
      </c>
      <c r="AC290" s="7">
        <v>533.09699999999998</v>
      </c>
      <c r="AD290" s="7">
        <v>0</v>
      </c>
      <c r="AE290" s="7">
        <v>35948.925999999999</v>
      </c>
      <c r="AF290" s="7">
        <v>0</v>
      </c>
      <c r="AG290" s="7">
        <v>0</v>
      </c>
      <c r="AH290" s="7">
        <v>83595.926999999996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7">
        <v>0</v>
      </c>
      <c r="BJ290" s="21"/>
    </row>
    <row r="291" spans="1:62" ht="15.6" x14ac:dyDescent="0.3">
      <c r="A291" s="5" t="s">
        <v>505</v>
      </c>
      <c r="B291" s="5" t="s">
        <v>506</v>
      </c>
      <c r="C291" s="7">
        <v>5</v>
      </c>
      <c r="D291" s="7">
        <v>5</v>
      </c>
      <c r="E291" s="7">
        <v>64540.553999999996</v>
      </c>
      <c r="F291" s="7">
        <v>849.00900000000001</v>
      </c>
      <c r="G291" s="7">
        <v>1203.0250000000001</v>
      </c>
      <c r="H291" s="7">
        <v>11211.218000000001</v>
      </c>
      <c r="I291" s="7">
        <v>210.727</v>
      </c>
      <c r="J291" s="7">
        <v>735.28800000000001</v>
      </c>
      <c r="K291" s="7">
        <v>0</v>
      </c>
      <c r="L291" s="7">
        <v>50554.413</v>
      </c>
      <c r="M291" s="7">
        <v>10754.637000000001</v>
      </c>
      <c r="N291" s="7">
        <v>0</v>
      </c>
      <c r="O291" s="7">
        <v>0</v>
      </c>
      <c r="P291" s="7">
        <v>38.953000000000003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109.31</v>
      </c>
      <c r="W291" s="7">
        <v>332.63900000000001</v>
      </c>
      <c r="X291" s="7">
        <v>0</v>
      </c>
      <c r="Y291" s="7">
        <v>20361.669999999998</v>
      </c>
      <c r="Z291" s="7">
        <v>0</v>
      </c>
      <c r="AA291" s="7">
        <v>1650.1959999999999</v>
      </c>
      <c r="AB291" s="7">
        <v>0</v>
      </c>
      <c r="AC291" s="7">
        <v>141.291</v>
      </c>
      <c r="AD291" s="7">
        <v>0</v>
      </c>
      <c r="AE291" s="7">
        <v>52141.686000000002</v>
      </c>
      <c r="AF291" s="7">
        <v>0</v>
      </c>
      <c r="AG291" s="7">
        <v>0</v>
      </c>
      <c r="AH291" s="7">
        <v>129287.113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7">
        <v>0</v>
      </c>
      <c r="BJ291" s="21"/>
    </row>
    <row r="292" spans="1:62" ht="15.6" x14ac:dyDescent="0.3">
      <c r="A292" s="5" t="s">
        <v>507</v>
      </c>
      <c r="B292" s="5" t="s">
        <v>508</v>
      </c>
      <c r="C292" s="7">
        <v>5</v>
      </c>
      <c r="D292" s="7">
        <v>5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  <c r="BJ292" s="21"/>
    </row>
    <row r="293" spans="1:62" ht="15.6" x14ac:dyDescent="0.3">
      <c r="A293" s="5" t="s">
        <v>509</v>
      </c>
      <c r="B293" s="5" t="s">
        <v>510</v>
      </c>
      <c r="C293" s="7">
        <v>5</v>
      </c>
      <c r="D293" s="7">
        <v>5</v>
      </c>
      <c r="E293" s="7">
        <v>0</v>
      </c>
      <c r="F293" s="7">
        <v>0</v>
      </c>
      <c r="G293" s="7">
        <v>0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7">
        <v>0</v>
      </c>
      <c r="BJ293" s="21"/>
    </row>
    <row r="294" spans="1:62" ht="15.6" x14ac:dyDescent="0.3">
      <c r="A294" s="5" t="s">
        <v>511</v>
      </c>
      <c r="B294" s="5" t="s">
        <v>512</v>
      </c>
      <c r="C294" s="7">
        <v>5</v>
      </c>
      <c r="D294" s="7">
        <v>5</v>
      </c>
      <c r="E294" s="7">
        <v>219859.82699999999</v>
      </c>
      <c r="F294" s="7">
        <v>15558.492</v>
      </c>
      <c r="G294" s="7">
        <v>20104.386999999999</v>
      </c>
      <c r="H294" s="7">
        <v>0</v>
      </c>
      <c r="I294" s="7">
        <v>3090.873</v>
      </c>
      <c r="J294" s="7">
        <v>12949.754000000001</v>
      </c>
      <c r="K294" s="7">
        <v>0</v>
      </c>
      <c r="L294" s="7">
        <v>139470.79300000001</v>
      </c>
      <c r="M294" s="7">
        <v>56113.807999999997</v>
      </c>
      <c r="N294" s="7">
        <v>0</v>
      </c>
      <c r="O294" s="7">
        <v>0</v>
      </c>
      <c r="P294" s="7">
        <v>527.70600000000002</v>
      </c>
      <c r="Q294" s="7">
        <v>0</v>
      </c>
      <c r="R294" s="7">
        <v>39.277999999999999</v>
      </c>
      <c r="S294" s="7">
        <v>0</v>
      </c>
      <c r="T294" s="7">
        <v>0</v>
      </c>
      <c r="U294" s="7">
        <v>0</v>
      </c>
      <c r="V294" s="7">
        <v>2773.2109999999998</v>
      </c>
      <c r="W294" s="7">
        <v>8320.2379999999994</v>
      </c>
      <c r="X294" s="7">
        <v>0</v>
      </c>
      <c r="Y294" s="7">
        <v>68038.909</v>
      </c>
      <c r="Z294" s="7">
        <v>0</v>
      </c>
      <c r="AA294" s="7">
        <v>25777.865000000002</v>
      </c>
      <c r="AB294" s="7">
        <v>0</v>
      </c>
      <c r="AC294" s="7">
        <v>4241.1459999999997</v>
      </c>
      <c r="AD294" s="7">
        <v>0</v>
      </c>
      <c r="AE294" s="7">
        <v>200845.61</v>
      </c>
      <c r="AF294" s="7">
        <v>0</v>
      </c>
      <c r="AG294" s="7">
        <v>0</v>
      </c>
      <c r="AH294" s="7">
        <v>475573.39799999999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  <c r="BJ294" s="21"/>
    </row>
    <row r="295" spans="1:62" ht="15.6" x14ac:dyDescent="0.3">
      <c r="A295" s="5" t="s">
        <v>513</v>
      </c>
      <c r="B295" s="5" t="s">
        <v>514</v>
      </c>
      <c r="C295" s="7">
        <v>5</v>
      </c>
      <c r="D295" s="7">
        <v>5</v>
      </c>
      <c r="E295" s="7">
        <v>28847.246999999999</v>
      </c>
      <c r="F295" s="7">
        <v>1326.4</v>
      </c>
      <c r="G295" s="7">
        <v>1732.9670000000001</v>
      </c>
      <c r="H295" s="7">
        <v>0</v>
      </c>
      <c r="I295" s="7">
        <v>271.05500000000001</v>
      </c>
      <c r="J295" s="7">
        <v>1109.1389999999999</v>
      </c>
      <c r="K295" s="7">
        <v>0</v>
      </c>
      <c r="L295" s="7">
        <v>31213.805</v>
      </c>
      <c r="M295" s="7">
        <v>8369.098</v>
      </c>
      <c r="N295" s="7">
        <v>0</v>
      </c>
      <c r="O295" s="7">
        <v>0</v>
      </c>
      <c r="P295" s="7">
        <v>46.811</v>
      </c>
      <c r="Q295" s="7">
        <v>0</v>
      </c>
      <c r="R295" s="7">
        <v>2.964</v>
      </c>
      <c r="S295" s="7">
        <v>0</v>
      </c>
      <c r="T295" s="7">
        <v>0</v>
      </c>
      <c r="U295" s="7">
        <v>0</v>
      </c>
      <c r="V295" s="7">
        <v>228.88</v>
      </c>
      <c r="W295" s="7">
        <v>687.53099999999995</v>
      </c>
      <c r="X295" s="7">
        <v>0</v>
      </c>
      <c r="Y295" s="7">
        <v>5539.0029999999997</v>
      </c>
      <c r="Z295" s="7">
        <v>0</v>
      </c>
      <c r="AA295" s="7">
        <v>2112.002</v>
      </c>
      <c r="AB295" s="7">
        <v>0</v>
      </c>
      <c r="AC295" s="7">
        <v>345.387</v>
      </c>
      <c r="AD295" s="7">
        <v>0</v>
      </c>
      <c r="AE295" s="7">
        <v>18902.106</v>
      </c>
      <c r="AF295" s="7">
        <v>0</v>
      </c>
      <c r="AG295" s="7">
        <v>0</v>
      </c>
      <c r="AH295" s="7">
        <v>51904.521999999997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7">
        <v>0</v>
      </c>
      <c r="BJ295" s="21"/>
    </row>
    <row r="296" spans="1:62" ht="15.6" x14ac:dyDescent="0.3">
      <c r="A296" s="5" t="s">
        <v>515</v>
      </c>
      <c r="B296" s="5" t="s">
        <v>516</v>
      </c>
      <c r="C296" s="7">
        <v>5</v>
      </c>
      <c r="D296" s="7">
        <v>5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7">
        <v>0</v>
      </c>
      <c r="BI296" s="7">
        <v>0</v>
      </c>
      <c r="BJ296" s="21"/>
    </row>
    <row r="297" spans="1:62" ht="15.6" x14ac:dyDescent="0.3">
      <c r="A297" s="5" t="s">
        <v>517</v>
      </c>
      <c r="B297" s="5" t="s">
        <v>518</v>
      </c>
      <c r="C297" s="7">
        <v>5</v>
      </c>
      <c r="D297" s="7">
        <v>5</v>
      </c>
      <c r="E297" s="7">
        <v>0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0</v>
      </c>
      <c r="BH297" s="7">
        <v>0</v>
      </c>
      <c r="BI297" s="7">
        <v>0</v>
      </c>
      <c r="BJ297" s="21"/>
    </row>
    <row r="298" spans="1:62" ht="15.6" x14ac:dyDescent="0.3">
      <c r="A298" s="5" t="s">
        <v>519</v>
      </c>
      <c r="B298" s="5" t="s">
        <v>520</v>
      </c>
      <c r="C298" s="7">
        <v>5</v>
      </c>
      <c r="D298" s="7">
        <v>5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0</v>
      </c>
      <c r="BH298" s="7">
        <v>0</v>
      </c>
      <c r="BI298" s="7">
        <v>0</v>
      </c>
      <c r="BJ298" s="21"/>
    </row>
    <row r="299" spans="1:62" ht="15.6" x14ac:dyDescent="0.3">
      <c r="A299" s="5" t="s">
        <v>521</v>
      </c>
      <c r="B299" s="5" t="s">
        <v>522</v>
      </c>
      <c r="C299" s="7">
        <v>5</v>
      </c>
      <c r="D299" s="7">
        <v>5</v>
      </c>
      <c r="E299" s="7">
        <v>0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7">
        <v>0</v>
      </c>
      <c r="BI299" s="7">
        <v>0</v>
      </c>
      <c r="BJ299" s="21"/>
    </row>
    <row r="300" spans="1:62" ht="15.6" x14ac:dyDescent="0.3">
      <c r="A300" s="5" t="s">
        <v>523</v>
      </c>
      <c r="B300" s="5" t="s">
        <v>524</v>
      </c>
      <c r="C300" s="7">
        <v>5</v>
      </c>
      <c r="D300" s="7">
        <v>5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0</v>
      </c>
      <c r="BH300" s="7">
        <v>0</v>
      </c>
      <c r="BI300" s="7">
        <v>0</v>
      </c>
      <c r="BJ300" s="21"/>
    </row>
    <row r="301" spans="1:62" ht="15.6" x14ac:dyDescent="0.3">
      <c r="A301" s="5" t="s">
        <v>525</v>
      </c>
      <c r="B301" s="5" t="s">
        <v>526</v>
      </c>
      <c r="C301" s="7">
        <v>5</v>
      </c>
      <c r="D301" s="7">
        <v>5</v>
      </c>
      <c r="E301" s="7">
        <v>0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7">
        <v>0</v>
      </c>
      <c r="BI301" s="7">
        <v>0</v>
      </c>
      <c r="BJ301" s="21"/>
    </row>
    <row r="302" spans="1:62" ht="15.6" x14ac:dyDescent="0.3">
      <c r="A302" s="5" t="s">
        <v>527</v>
      </c>
      <c r="B302" s="5" t="s">
        <v>528</v>
      </c>
      <c r="C302" s="7">
        <v>5</v>
      </c>
      <c r="D302" s="7">
        <v>5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7">
        <v>0</v>
      </c>
      <c r="BI302" s="7">
        <v>0</v>
      </c>
      <c r="BJ302" s="21"/>
    </row>
    <row r="303" spans="1:62" ht="15.6" x14ac:dyDescent="0.3">
      <c r="A303" s="5" t="s">
        <v>529</v>
      </c>
      <c r="B303" s="5" t="s">
        <v>530</v>
      </c>
      <c r="C303" s="7">
        <v>5</v>
      </c>
      <c r="D303" s="7">
        <v>5</v>
      </c>
      <c r="E303" s="7">
        <v>0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0</v>
      </c>
      <c r="BH303" s="7">
        <v>0</v>
      </c>
      <c r="BI303" s="7">
        <v>0</v>
      </c>
      <c r="BJ303" s="21"/>
    </row>
    <row r="304" spans="1:62" ht="15.6" x14ac:dyDescent="0.3">
      <c r="A304" s="5" t="s">
        <v>531</v>
      </c>
      <c r="B304" s="5" t="s">
        <v>532</v>
      </c>
      <c r="C304" s="7">
        <v>5</v>
      </c>
      <c r="D304" s="7">
        <v>5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</v>
      </c>
      <c r="BH304" s="7">
        <v>0</v>
      </c>
      <c r="BI304" s="7">
        <v>0</v>
      </c>
      <c r="BJ304" s="21"/>
    </row>
    <row r="305" spans="1:62" ht="15.6" x14ac:dyDescent="0.3">
      <c r="A305" s="5" t="s">
        <v>533</v>
      </c>
      <c r="B305" s="5" t="s">
        <v>534</v>
      </c>
      <c r="C305" s="7">
        <v>5</v>
      </c>
      <c r="D305" s="7">
        <v>5</v>
      </c>
      <c r="E305" s="7">
        <v>0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7">
        <v>0</v>
      </c>
      <c r="BJ305" s="21"/>
    </row>
    <row r="306" spans="1:62" ht="15.6" x14ac:dyDescent="0.3">
      <c r="A306" s="5" t="s">
        <v>535</v>
      </c>
      <c r="B306" s="5" t="s">
        <v>536</v>
      </c>
      <c r="C306" s="7">
        <v>5</v>
      </c>
      <c r="D306" s="7">
        <v>5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7">
        <v>0</v>
      </c>
      <c r="BI306" s="7">
        <v>0</v>
      </c>
      <c r="BJ306" s="21"/>
    </row>
    <row r="307" spans="1:62" ht="15.6" x14ac:dyDescent="0.3">
      <c r="A307" s="5" t="s">
        <v>537</v>
      </c>
      <c r="B307" s="5" t="s">
        <v>538</v>
      </c>
      <c r="C307" s="7">
        <v>5</v>
      </c>
      <c r="D307" s="7">
        <v>5</v>
      </c>
      <c r="E307" s="7">
        <v>0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7">
        <v>0</v>
      </c>
      <c r="BI307" s="7">
        <v>0</v>
      </c>
      <c r="BJ307" s="21"/>
    </row>
    <row r="308" spans="1:62" ht="15.6" x14ac:dyDescent="0.3">
      <c r="A308" s="5" t="s">
        <v>539</v>
      </c>
      <c r="B308" s="5" t="s">
        <v>540</v>
      </c>
      <c r="C308" s="7">
        <v>5</v>
      </c>
      <c r="D308" s="7">
        <v>5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7">
        <v>0</v>
      </c>
      <c r="BJ308" s="21"/>
    </row>
    <row r="309" spans="1:62" ht="15.6" x14ac:dyDescent="0.3">
      <c r="A309" s="5" t="s">
        <v>541</v>
      </c>
      <c r="B309" s="5" t="s">
        <v>542</v>
      </c>
      <c r="C309" s="7">
        <v>5</v>
      </c>
      <c r="D309" s="7">
        <v>5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7">
        <v>0</v>
      </c>
      <c r="BI309" s="7">
        <v>0</v>
      </c>
      <c r="BJ309" s="21"/>
    </row>
    <row r="310" spans="1:62" ht="15.6" x14ac:dyDescent="0.3">
      <c r="A310" s="5" t="s">
        <v>543</v>
      </c>
      <c r="B310" s="5" t="s">
        <v>544</v>
      </c>
      <c r="C310" s="7">
        <v>5</v>
      </c>
      <c r="D310" s="7">
        <v>5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7">
        <v>0</v>
      </c>
      <c r="BI310" s="7">
        <v>0</v>
      </c>
      <c r="BJ310" s="21"/>
    </row>
    <row r="311" spans="1:62" ht="15.6" x14ac:dyDescent="0.3">
      <c r="A311" s="5" t="s">
        <v>545</v>
      </c>
      <c r="B311" s="5" t="s">
        <v>546</v>
      </c>
      <c r="C311" s="7">
        <v>5</v>
      </c>
      <c r="D311" s="7">
        <v>5</v>
      </c>
      <c r="E311" s="7">
        <v>0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7">
        <v>0</v>
      </c>
      <c r="BI311" s="7">
        <v>0</v>
      </c>
      <c r="BJ311" s="21"/>
    </row>
    <row r="312" spans="1:62" ht="15.6" x14ac:dyDescent="0.3">
      <c r="A312" s="5" t="s">
        <v>547</v>
      </c>
      <c r="B312" s="5" t="s">
        <v>548</v>
      </c>
      <c r="C312" s="7">
        <v>5</v>
      </c>
      <c r="D312" s="7">
        <v>5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7">
        <v>0</v>
      </c>
      <c r="BI312" s="7">
        <v>0</v>
      </c>
      <c r="BJ312" s="21"/>
    </row>
    <row r="313" spans="1:62" ht="15.6" x14ac:dyDescent="0.3">
      <c r="A313" s="5" t="s">
        <v>549</v>
      </c>
      <c r="B313" s="5" t="s">
        <v>550</v>
      </c>
      <c r="C313" s="7">
        <v>5</v>
      </c>
      <c r="D313" s="7">
        <v>5</v>
      </c>
      <c r="E313" s="7">
        <v>0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7">
        <v>0</v>
      </c>
      <c r="BG313" s="7">
        <v>0</v>
      </c>
      <c r="BH313" s="7">
        <v>0</v>
      </c>
      <c r="BI313" s="7">
        <v>0</v>
      </c>
      <c r="BJ313" s="21"/>
    </row>
    <row r="314" spans="1:62" ht="15.6" x14ac:dyDescent="0.3">
      <c r="A314" s="5" t="s">
        <v>551</v>
      </c>
      <c r="B314" s="5" t="s">
        <v>552</v>
      </c>
      <c r="C314" s="7">
        <v>5</v>
      </c>
      <c r="D314" s="7">
        <v>5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H314" s="7">
        <v>0</v>
      </c>
      <c r="BI314" s="7">
        <v>0</v>
      </c>
      <c r="BJ314" s="21"/>
    </row>
    <row r="315" spans="1:62" ht="15.6" x14ac:dyDescent="0.3">
      <c r="A315" s="5" t="s">
        <v>553</v>
      </c>
      <c r="B315" s="5" t="s">
        <v>554</v>
      </c>
      <c r="C315" s="7">
        <v>5</v>
      </c>
      <c r="D315" s="7">
        <v>5</v>
      </c>
      <c r="E315" s="7">
        <v>0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0</v>
      </c>
      <c r="BH315" s="7">
        <v>0</v>
      </c>
      <c r="BI315" s="7">
        <v>0</v>
      </c>
      <c r="BJ315" s="21"/>
    </row>
    <row r="316" spans="1:62" ht="15.6" x14ac:dyDescent="0.3">
      <c r="A316" s="5" t="s">
        <v>555</v>
      </c>
      <c r="B316" s="5" t="s">
        <v>556</v>
      </c>
      <c r="C316" s="7">
        <v>5</v>
      </c>
      <c r="D316" s="7">
        <v>5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</v>
      </c>
      <c r="BH316" s="7">
        <v>0</v>
      </c>
      <c r="BI316" s="7">
        <v>0</v>
      </c>
      <c r="BJ316" s="21"/>
    </row>
    <row r="317" spans="1:62" ht="15.6" x14ac:dyDescent="0.3">
      <c r="A317" s="5" t="s">
        <v>557</v>
      </c>
      <c r="B317" s="5" t="s">
        <v>558</v>
      </c>
      <c r="C317" s="7">
        <v>5</v>
      </c>
      <c r="D317" s="7">
        <v>5</v>
      </c>
      <c r="E317" s="7">
        <v>0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7">
        <v>0</v>
      </c>
      <c r="BH317" s="7">
        <v>0</v>
      </c>
      <c r="BI317" s="7">
        <v>0</v>
      </c>
      <c r="BJ317" s="21"/>
    </row>
    <row r="318" spans="1:62" ht="15.6" x14ac:dyDescent="0.3">
      <c r="A318" s="5" t="s">
        <v>559</v>
      </c>
      <c r="B318" s="5" t="s">
        <v>560</v>
      </c>
      <c r="C318" s="7">
        <v>5</v>
      </c>
      <c r="D318" s="7">
        <v>5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7">
        <v>0</v>
      </c>
      <c r="BH318" s="7">
        <v>0</v>
      </c>
      <c r="BI318" s="7">
        <v>0</v>
      </c>
      <c r="BJ318" s="21"/>
    </row>
    <row r="319" spans="1:62" ht="15.6" x14ac:dyDescent="0.3">
      <c r="A319" s="5" t="s">
        <v>561</v>
      </c>
      <c r="B319" s="5" t="s">
        <v>562</v>
      </c>
      <c r="C319" s="7">
        <v>5</v>
      </c>
      <c r="D319" s="7">
        <v>5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7">
        <v>0</v>
      </c>
      <c r="BH319" s="7">
        <v>0</v>
      </c>
      <c r="BI319" s="7">
        <v>0</v>
      </c>
      <c r="BJ319" s="21"/>
    </row>
    <row r="320" spans="1:62" ht="15.6" x14ac:dyDescent="0.3">
      <c r="A320" s="5" t="s">
        <v>563</v>
      </c>
      <c r="B320" s="5" t="s">
        <v>564</v>
      </c>
      <c r="C320" s="7">
        <v>5</v>
      </c>
      <c r="D320" s="7">
        <v>5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7">
        <v>0</v>
      </c>
      <c r="BG320" s="7">
        <v>0</v>
      </c>
      <c r="BH320" s="7">
        <v>0</v>
      </c>
      <c r="BI320" s="7">
        <v>0</v>
      </c>
      <c r="BJ320" s="21"/>
    </row>
    <row r="321" spans="1:62" ht="15.6" x14ac:dyDescent="0.3">
      <c r="A321" s="5" t="s">
        <v>565</v>
      </c>
      <c r="B321" s="5" t="s">
        <v>566</v>
      </c>
      <c r="C321" s="7">
        <v>5</v>
      </c>
      <c r="D321" s="7">
        <v>5</v>
      </c>
      <c r="E321" s="7">
        <v>0</v>
      </c>
      <c r="F321" s="7">
        <v>0</v>
      </c>
      <c r="G321" s="7">
        <v>0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F321" s="7">
        <v>0</v>
      </c>
      <c r="BG321" s="7">
        <v>0</v>
      </c>
      <c r="BH321" s="7">
        <v>0</v>
      </c>
      <c r="BI321" s="7">
        <v>0</v>
      </c>
      <c r="BJ321" s="21"/>
    </row>
    <row r="322" spans="1:62" ht="15.6" x14ac:dyDescent="0.3">
      <c r="A322" s="5" t="s">
        <v>567</v>
      </c>
      <c r="B322" s="5" t="s">
        <v>568</v>
      </c>
      <c r="C322" s="7">
        <v>5</v>
      </c>
      <c r="D322" s="7">
        <v>5</v>
      </c>
      <c r="E322" s="7">
        <v>0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F322" s="7">
        <v>0</v>
      </c>
      <c r="BG322" s="7">
        <v>0</v>
      </c>
      <c r="BH322" s="7">
        <v>0</v>
      </c>
      <c r="BI322" s="7">
        <v>0</v>
      </c>
      <c r="BJ322" s="21"/>
    </row>
    <row r="323" spans="1:62" ht="15.6" x14ac:dyDescent="0.3">
      <c r="A323" s="5" t="s">
        <v>569</v>
      </c>
      <c r="B323" s="5" t="s">
        <v>570</v>
      </c>
      <c r="C323" s="7">
        <v>5</v>
      </c>
      <c r="D323" s="7">
        <v>5</v>
      </c>
      <c r="E323" s="7">
        <v>-38628.254000000001</v>
      </c>
      <c r="F323" s="7">
        <v>-9179.5750000000007</v>
      </c>
      <c r="G323" s="7">
        <v>0</v>
      </c>
      <c r="H323" s="7">
        <v>0</v>
      </c>
      <c r="I323" s="7">
        <v>-221.14400000000001</v>
      </c>
      <c r="J323" s="7">
        <v>0</v>
      </c>
      <c r="K323" s="7">
        <v>0</v>
      </c>
      <c r="L323" s="7">
        <v>-103936.573</v>
      </c>
      <c r="M323" s="7">
        <v>-3944.2510000000002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-2848.7579999999998</v>
      </c>
      <c r="T323" s="7">
        <v>0</v>
      </c>
      <c r="U323" s="7">
        <v>0</v>
      </c>
      <c r="V323" s="7">
        <v>0</v>
      </c>
      <c r="W323" s="7">
        <v>-791.78200000000004</v>
      </c>
      <c r="X323" s="7">
        <v>0</v>
      </c>
      <c r="Y323" s="7">
        <v>-19638.784</v>
      </c>
      <c r="Z323" s="7">
        <v>0</v>
      </c>
      <c r="AA323" s="7">
        <v>0</v>
      </c>
      <c r="AB323" s="7">
        <v>0</v>
      </c>
      <c r="AC323" s="7">
        <v>-1689.115</v>
      </c>
      <c r="AD323" s="7">
        <v>0</v>
      </c>
      <c r="AE323" s="7">
        <v>-48092.421999999999</v>
      </c>
      <c r="AF323" s="7">
        <v>-26116.418000000001</v>
      </c>
      <c r="AG323" s="7">
        <v>0</v>
      </c>
      <c r="AH323" s="7">
        <v>-174229.51699999999</v>
      </c>
      <c r="AI323" s="7">
        <v>-42545.444000000003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-1262.0640000000001</v>
      </c>
      <c r="AP323" s="7">
        <v>0</v>
      </c>
      <c r="AQ323" s="7">
        <v>-9280.4509999999991</v>
      </c>
      <c r="AR323" s="7">
        <v>0</v>
      </c>
      <c r="AS323" s="7">
        <v>-30.093</v>
      </c>
      <c r="AT323" s="7">
        <v>0</v>
      </c>
      <c r="AU323" s="7">
        <v>-199.96299999999999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-429.96699999999998</v>
      </c>
      <c r="BC323" s="7">
        <v>0</v>
      </c>
      <c r="BD323" s="7">
        <v>0</v>
      </c>
      <c r="BE323" s="7">
        <v>-104.08499999999999</v>
      </c>
      <c r="BF323" s="7">
        <v>-104.08499999999999</v>
      </c>
      <c r="BG323" s="7">
        <v>0</v>
      </c>
      <c r="BH323" s="7">
        <v>0</v>
      </c>
      <c r="BI323" s="7">
        <v>0</v>
      </c>
      <c r="BJ323" s="21"/>
    </row>
    <row r="324" spans="1:62" ht="15.6" x14ac:dyDescent="0.3">
      <c r="A324" s="5" t="s">
        <v>571</v>
      </c>
      <c r="B324" s="5" t="s">
        <v>572</v>
      </c>
      <c r="C324" s="7">
        <v>5</v>
      </c>
      <c r="D324" s="7">
        <v>5</v>
      </c>
      <c r="E324" s="7">
        <v>0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s="7">
        <v>0</v>
      </c>
      <c r="BC324" s="7">
        <v>0</v>
      </c>
      <c r="BD324" s="7">
        <v>0</v>
      </c>
      <c r="BE324" s="7">
        <v>0</v>
      </c>
      <c r="BF324" s="7">
        <v>0</v>
      </c>
      <c r="BG324" s="7">
        <v>0</v>
      </c>
      <c r="BH324" s="7">
        <v>0</v>
      </c>
      <c r="BI324" s="7">
        <v>0</v>
      </c>
      <c r="BJ324" s="21"/>
    </row>
    <row r="325" spans="1:62" ht="15.6" x14ac:dyDescent="0.3">
      <c r="A325" s="5" t="s">
        <v>573</v>
      </c>
      <c r="B325" s="5" t="s">
        <v>574</v>
      </c>
      <c r="C325" s="7">
        <v>5</v>
      </c>
      <c r="D325" s="7">
        <v>5</v>
      </c>
      <c r="E325" s="7">
        <v>-5583.3320000000003</v>
      </c>
      <c r="F325" s="7">
        <v>-1326.817</v>
      </c>
      <c r="G325" s="7">
        <v>0</v>
      </c>
      <c r="H325" s="7">
        <v>0</v>
      </c>
      <c r="I325" s="7">
        <v>-31.963999999999999</v>
      </c>
      <c r="J325" s="7">
        <v>0</v>
      </c>
      <c r="K325" s="7">
        <v>0</v>
      </c>
      <c r="L325" s="7">
        <v>-15023.002</v>
      </c>
      <c r="M325" s="7">
        <v>-570.10199999999998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-411.76</v>
      </c>
      <c r="T325" s="7">
        <v>0</v>
      </c>
      <c r="U325" s="7">
        <v>0</v>
      </c>
      <c r="V325" s="7">
        <v>0</v>
      </c>
      <c r="W325" s="7">
        <v>-114.444</v>
      </c>
      <c r="X325" s="7">
        <v>0</v>
      </c>
      <c r="Y325" s="7">
        <v>-2838.5920000000001</v>
      </c>
      <c r="Z325" s="7">
        <v>0</v>
      </c>
      <c r="AA325" s="7">
        <v>0</v>
      </c>
      <c r="AB325" s="7">
        <v>0</v>
      </c>
      <c r="AC325" s="7">
        <v>-244.14500000000001</v>
      </c>
      <c r="AD325" s="7">
        <v>0</v>
      </c>
      <c r="AE325" s="7">
        <v>-6951.2830000000004</v>
      </c>
      <c r="AF325" s="7">
        <v>-3774.87</v>
      </c>
      <c r="AG325" s="7">
        <v>0</v>
      </c>
      <c r="AH325" s="7">
        <v>-25183.151000000002</v>
      </c>
      <c r="AI325" s="7">
        <v>-6149.5230000000001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-182.41900000000001</v>
      </c>
      <c r="AP325" s="7">
        <v>0</v>
      </c>
      <c r="AQ325" s="7">
        <v>-1341.3969999999999</v>
      </c>
      <c r="AR325" s="7">
        <v>0</v>
      </c>
      <c r="AS325" s="7">
        <v>-4.3499999999999996</v>
      </c>
      <c r="AT325" s="7">
        <v>0</v>
      </c>
      <c r="AU325" s="7">
        <v>-28.902999999999999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0</v>
      </c>
      <c r="BB325" s="7">
        <v>-62.146999999999998</v>
      </c>
      <c r="BC325" s="7">
        <v>0</v>
      </c>
      <c r="BD325" s="7">
        <v>0</v>
      </c>
      <c r="BE325" s="7">
        <v>-15.045</v>
      </c>
      <c r="BF325" s="7">
        <v>-15.045</v>
      </c>
      <c r="BG325" s="7">
        <v>0</v>
      </c>
      <c r="BH325" s="7">
        <v>0</v>
      </c>
      <c r="BI325" s="7">
        <v>0</v>
      </c>
      <c r="BJ325" s="21"/>
    </row>
    <row r="326" spans="1:62" ht="15.6" x14ac:dyDescent="0.3">
      <c r="A326" s="5" t="s">
        <v>575</v>
      </c>
      <c r="B326" s="5" t="s">
        <v>576</v>
      </c>
      <c r="C326" s="7">
        <v>6</v>
      </c>
      <c r="D326" s="7">
        <v>6</v>
      </c>
      <c r="E326" s="7">
        <v>64.561999999999998</v>
      </c>
      <c r="F326" s="7">
        <v>0</v>
      </c>
      <c r="G326" s="7">
        <v>0</v>
      </c>
      <c r="H326" s="7">
        <v>0</v>
      </c>
      <c r="I326" s="7">
        <v>91.06</v>
      </c>
      <c r="J326" s="7">
        <v>0</v>
      </c>
      <c r="K326" s="7">
        <v>0</v>
      </c>
      <c r="L326" s="7">
        <v>14685.871999999999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7">
        <v>0</v>
      </c>
      <c r="BH326" s="7">
        <v>0</v>
      </c>
      <c r="BI326" s="7">
        <v>0</v>
      </c>
      <c r="BJ326" s="21"/>
    </row>
    <row r="327" spans="1:62" ht="15.6" x14ac:dyDescent="0.3">
      <c r="A327" s="5" t="s">
        <v>577</v>
      </c>
      <c r="B327" s="5" t="s">
        <v>578</v>
      </c>
      <c r="C327" s="7">
        <v>6</v>
      </c>
      <c r="D327" s="7">
        <v>6</v>
      </c>
      <c r="E327" s="7">
        <v>0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7">
        <v>0</v>
      </c>
      <c r="BG327" s="7">
        <v>0</v>
      </c>
      <c r="BH327" s="7">
        <v>0</v>
      </c>
      <c r="BI327" s="7">
        <v>0</v>
      </c>
      <c r="BJ327" s="21"/>
    </row>
    <row r="328" spans="1:62" ht="15.6" x14ac:dyDescent="0.3">
      <c r="A328" s="5" t="s">
        <v>579</v>
      </c>
      <c r="B328" s="5" t="s">
        <v>580</v>
      </c>
      <c r="C328" s="7">
        <v>6</v>
      </c>
      <c r="D328" s="7">
        <v>6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7">
        <v>0</v>
      </c>
      <c r="BH328" s="7">
        <v>0</v>
      </c>
      <c r="BI328" s="7">
        <v>0</v>
      </c>
      <c r="BJ328" s="21"/>
    </row>
    <row r="329" spans="1:62" ht="15.6" x14ac:dyDescent="0.3">
      <c r="A329" s="5" t="s">
        <v>581</v>
      </c>
      <c r="B329" s="5" t="s">
        <v>582</v>
      </c>
      <c r="C329" s="7">
        <v>6</v>
      </c>
      <c r="D329" s="7">
        <v>6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7">
        <v>0</v>
      </c>
      <c r="BH329" s="7">
        <v>0</v>
      </c>
      <c r="BI329" s="7">
        <v>0</v>
      </c>
      <c r="BJ329" s="21"/>
    </row>
    <row r="330" spans="1:62" ht="15.6" x14ac:dyDescent="0.3">
      <c r="A330" s="5" t="s">
        <v>583</v>
      </c>
      <c r="B330" s="5" t="s">
        <v>584</v>
      </c>
      <c r="C330" s="7">
        <v>6</v>
      </c>
      <c r="D330" s="7">
        <v>6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7">
        <v>0</v>
      </c>
      <c r="BH330" s="7">
        <v>0</v>
      </c>
      <c r="BI330" s="7">
        <v>0</v>
      </c>
      <c r="BJ330" s="21"/>
    </row>
    <row r="331" spans="1:62" ht="15.6" x14ac:dyDescent="0.3">
      <c r="A331" s="5" t="s">
        <v>585</v>
      </c>
      <c r="B331" s="5" t="s">
        <v>586</v>
      </c>
      <c r="C331" s="7">
        <v>6</v>
      </c>
      <c r="D331" s="7">
        <v>6</v>
      </c>
      <c r="E331" s="7">
        <v>0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7">
        <v>0</v>
      </c>
      <c r="BG331" s="7">
        <v>0</v>
      </c>
      <c r="BH331" s="7">
        <v>0</v>
      </c>
      <c r="BI331" s="7">
        <v>0</v>
      </c>
      <c r="BJ331" s="21"/>
    </row>
    <row r="332" spans="1:62" ht="15.6" x14ac:dyDescent="0.3">
      <c r="A332" s="5" t="s">
        <v>587</v>
      </c>
      <c r="B332" s="5" t="s">
        <v>588</v>
      </c>
      <c r="C332" s="7">
        <v>6</v>
      </c>
      <c r="D332" s="7">
        <v>6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7">
        <v>0</v>
      </c>
      <c r="BH332" s="7">
        <v>0</v>
      </c>
      <c r="BI332" s="7">
        <v>0</v>
      </c>
      <c r="BJ332" s="21"/>
    </row>
    <row r="333" spans="1:62" ht="15.6" x14ac:dyDescent="0.3">
      <c r="A333" s="5" t="s">
        <v>589</v>
      </c>
      <c r="B333" s="5" t="s">
        <v>590</v>
      </c>
      <c r="C333" s="7">
        <v>6</v>
      </c>
      <c r="D333" s="7">
        <v>6</v>
      </c>
      <c r="E333" s="7">
        <v>0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F333" s="7">
        <v>0</v>
      </c>
      <c r="BG333" s="7">
        <v>0</v>
      </c>
      <c r="BH333" s="7">
        <v>0</v>
      </c>
      <c r="BI333" s="7">
        <v>0</v>
      </c>
      <c r="BJ333" s="21"/>
    </row>
    <row r="334" spans="1:62" ht="15.6" x14ac:dyDescent="0.3">
      <c r="A334" s="5" t="s">
        <v>591</v>
      </c>
      <c r="B334" s="5" t="s">
        <v>592</v>
      </c>
      <c r="C334" s="7">
        <v>6</v>
      </c>
      <c r="D334" s="7">
        <v>6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7">
        <v>0</v>
      </c>
      <c r="AV334" s="7">
        <v>0</v>
      </c>
      <c r="AW334" s="7">
        <v>0</v>
      </c>
      <c r="AX334" s="7">
        <v>0</v>
      </c>
      <c r="AY334" s="7">
        <v>0</v>
      </c>
      <c r="AZ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F334" s="7">
        <v>0</v>
      </c>
      <c r="BG334" s="7">
        <v>0</v>
      </c>
      <c r="BH334" s="7">
        <v>0</v>
      </c>
      <c r="BI334" s="7">
        <v>0</v>
      </c>
      <c r="BJ334" s="21"/>
    </row>
    <row r="335" spans="1:62" ht="15.6" x14ac:dyDescent="0.3">
      <c r="A335" s="5" t="s">
        <v>593</v>
      </c>
      <c r="B335" s="5" t="s">
        <v>594</v>
      </c>
      <c r="C335" s="7">
        <v>6</v>
      </c>
      <c r="D335" s="7">
        <v>6</v>
      </c>
      <c r="E335" s="7">
        <v>0</v>
      </c>
      <c r="F335" s="7">
        <v>0</v>
      </c>
      <c r="G335" s="7">
        <v>0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S335" s="7">
        <v>0</v>
      </c>
      <c r="AT335" s="7">
        <v>0</v>
      </c>
      <c r="AU335" s="7">
        <v>0</v>
      </c>
      <c r="AV335" s="7">
        <v>0</v>
      </c>
      <c r="AW335" s="7">
        <v>0</v>
      </c>
      <c r="AX335" s="7">
        <v>0</v>
      </c>
      <c r="AY335" s="7">
        <v>0</v>
      </c>
      <c r="AZ335" s="7">
        <v>0</v>
      </c>
      <c r="BA335" s="7">
        <v>0</v>
      </c>
      <c r="BB335" s="7">
        <v>0</v>
      </c>
      <c r="BC335" s="7">
        <v>0</v>
      </c>
      <c r="BD335" s="7">
        <v>0</v>
      </c>
      <c r="BE335" s="7">
        <v>0</v>
      </c>
      <c r="BF335" s="7">
        <v>0</v>
      </c>
      <c r="BG335" s="7">
        <v>0</v>
      </c>
      <c r="BH335" s="7">
        <v>0</v>
      </c>
      <c r="BI335" s="7">
        <v>0</v>
      </c>
      <c r="BJ335" s="21"/>
    </row>
    <row r="336" spans="1:62" ht="15.6" x14ac:dyDescent="0.3">
      <c r="A336" s="5" t="s">
        <v>595</v>
      </c>
      <c r="B336" s="5" t="s">
        <v>596</v>
      </c>
      <c r="C336" s="7">
        <v>6</v>
      </c>
      <c r="D336" s="7">
        <v>6</v>
      </c>
      <c r="E336" s="7">
        <v>19364.111000000001</v>
      </c>
      <c r="F336" s="7">
        <v>1897.5129999999999</v>
      </c>
      <c r="G336" s="7">
        <v>1702.9770000000001</v>
      </c>
      <c r="H336" s="7">
        <v>1745.4970000000001</v>
      </c>
      <c r="I336" s="7">
        <v>223.88200000000001</v>
      </c>
      <c r="J336" s="7">
        <v>1235.6099999999999</v>
      </c>
      <c r="K336" s="7">
        <v>0</v>
      </c>
      <c r="L336" s="7">
        <v>16339.214</v>
      </c>
      <c r="M336" s="7">
        <v>4349.607</v>
      </c>
      <c r="N336" s="7">
        <v>0</v>
      </c>
      <c r="O336" s="7">
        <v>0.38700000000000001</v>
      </c>
      <c r="P336" s="7">
        <v>25.597999999999999</v>
      </c>
      <c r="Q336" s="7">
        <v>2.488</v>
      </c>
      <c r="R336" s="7">
        <v>19.324999999999999</v>
      </c>
      <c r="S336" s="7">
        <v>224.22</v>
      </c>
      <c r="T336" s="7">
        <v>0</v>
      </c>
      <c r="U336" s="7">
        <v>0</v>
      </c>
      <c r="V336" s="7">
        <v>226.261</v>
      </c>
      <c r="W336" s="7">
        <v>674.10500000000002</v>
      </c>
      <c r="X336" s="7">
        <v>55.238</v>
      </c>
      <c r="Y336" s="7">
        <v>6313.5709999999999</v>
      </c>
      <c r="Z336" s="7">
        <v>0</v>
      </c>
      <c r="AA336" s="7">
        <v>34783.250999999997</v>
      </c>
      <c r="AB336" s="7">
        <v>126.06</v>
      </c>
      <c r="AC336" s="7">
        <v>435.74599999999998</v>
      </c>
      <c r="AD336" s="7">
        <v>0.33200000000000002</v>
      </c>
      <c r="AE336" s="7">
        <v>16252.766</v>
      </c>
      <c r="AF336" s="7">
        <v>1479.107</v>
      </c>
      <c r="AG336" s="7">
        <v>1.2090000000000001</v>
      </c>
      <c r="AH336" s="7">
        <v>44143.851999999999</v>
      </c>
      <c r="AI336" s="7">
        <v>2263.402</v>
      </c>
      <c r="AJ336" s="7">
        <v>0</v>
      </c>
      <c r="AK336" s="7">
        <v>12.03</v>
      </c>
      <c r="AL336" s="7">
        <v>18.123999999999999</v>
      </c>
      <c r="AM336" s="7">
        <v>0</v>
      </c>
      <c r="AN336" s="7">
        <v>12.54</v>
      </c>
      <c r="AO336" s="7">
        <v>80.599999999999994</v>
      </c>
      <c r="AP336" s="7">
        <v>13.853</v>
      </c>
      <c r="AQ336" s="7">
        <v>449.61900000000003</v>
      </c>
      <c r="AR336" s="7">
        <v>6.0750000000000002</v>
      </c>
      <c r="AS336" s="7">
        <v>2.0550000000000002</v>
      </c>
      <c r="AT336" s="7">
        <v>0</v>
      </c>
      <c r="AU336" s="7">
        <v>54.704999999999998</v>
      </c>
      <c r="AV336" s="7">
        <v>15.683999999999999</v>
      </c>
      <c r="AW336" s="7">
        <v>19.463999999999999</v>
      </c>
      <c r="AX336" s="7">
        <v>95.149000000000001</v>
      </c>
      <c r="AY336" s="7">
        <v>32.396999999999998</v>
      </c>
      <c r="AZ336" s="7">
        <v>216.154</v>
      </c>
      <c r="BA336" s="7">
        <v>34.479999999999997</v>
      </c>
      <c r="BB336" s="7">
        <v>28.268000000000001</v>
      </c>
      <c r="BC336" s="7">
        <v>12.237</v>
      </c>
      <c r="BD336" s="7">
        <v>260.77499999999998</v>
      </c>
      <c r="BE336" s="7">
        <v>6.4450000000000003</v>
      </c>
      <c r="BF336" s="7">
        <v>6.4450000000000003</v>
      </c>
      <c r="BG336" s="7">
        <v>85.614000000000004</v>
      </c>
      <c r="BH336" s="7">
        <v>76.600999999999999</v>
      </c>
      <c r="BI336" s="7">
        <v>5.3129999999999997</v>
      </c>
      <c r="BJ336" s="21"/>
    </row>
    <row r="337" spans="1:62" ht="15.6" x14ac:dyDescent="0.3">
      <c r="A337" s="5" t="s">
        <v>597</v>
      </c>
      <c r="B337" s="5" t="s">
        <v>598</v>
      </c>
      <c r="C337" s="7">
        <v>6</v>
      </c>
      <c r="D337" s="7">
        <v>6</v>
      </c>
      <c r="E337" s="7">
        <v>-11788.057000000001</v>
      </c>
      <c r="F337" s="7">
        <v>-2173.569</v>
      </c>
      <c r="G337" s="7">
        <v>-1294.893</v>
      </c>
      <c r="H337" s="7">
        <v>-8815.3529999999992</v>
      </c>
      <c r="I337" s="7">
        <v>-349.21699999999998</v>
      </c>
      <c r="J337" s="7">
        <v>-1146.0229999999999</v>
      </c>
      <c r="K337" s="7">
        <v>-137.31200000000001</v>
      </c>
      <c r="L337" s="7">
        <v>-22607.731</v>
      </c>
      <c r="M337" s="7">
        <v>-4042.701</v>
      </c>
      <c r="N337" s="7">
        <v>-6.1120000000000001</v>
      </c>
      <c r="O337" s="7">
        <v>-9.7420000000000009</v>
      </c>
      <c r="P337" s="7">
        <v>-77.802000000000007</v>
      </c>
      <c r="Q337" s="7">
        <v>-5.75</v>
      </c>
      <c r="R337" s="7">
        <v>-145.15100000000001</v>
      </c>
      <c r="S337" s="7">
        <v>-57.337000000000003</v>
      </c>
      <c r="T337" s="7">
        <v>-0.86899999999999999</v>
      </c>
      <c r="U337" s="7">
        <v>-91.756</v>
      </c>
      <c r="V337" s="7">
        <v>-78.44</v>
      </c>
      <c r="W337" s="7">
        <v>-197.721</v>
      </c>
      <c r="X337" s="7">
        <v>-111.31</v>
      </c>
      <c r="Y337" s="7">
        <v>-1995.328</v>
      </c>
      <c r="Z337" s="7">
        <v>-69.224000000000004</v>
      </c>
      <c r="AA337" s="7">
        <v>-863.66899999999998</v>
      </c>
      <c r="AB337" s="7">
        <v>-21.588999999999999</v>
      </c>
      <c r="AC337" s="7">
        <v>-54.756999999999998</v>
      </c>
      <c r="AD337" s="7">
        <v>-0.51400000000000001</v>
      </c>
      <c r="AE337" s="7">
        <v>-5944.2269999999999</v>
      </c>
      <c r="AF337" s="7">
        <v>-667.92700000000002</v>
      </c>
      <c r="AG337" s="7">
        <v>-140.989</v>
      </c>
      <c r="AH337" s="7">
        <v>-30683.108</v>
      </c>
      <c r="AI337" s="7">
        <v>-1660.2370000000001</v>
      </c>
      <c r="AJ337" s="7">
        <v>-337.97500000000002</v>
      </c>
      <c r="AK337" s="7">
        <v>-5036.0910000000003</v>
      </c>
      <c r="AL337" s="7">
        <v>-2742.9920000000002</v>
      </c>
      <c r="AM337" s="7">
        <v>-24.373999999999999</v>
      </c>
      <c r="AN337" s="7">
        <v>-1893.1220000000001</v>
      </c>
      <c r="AO337" s="7">
        <v>-54.914000000000001</v>
      </c>
      <c r="AP337" s="7">
        <v>-31.391999999999999</v>
      </c>
      <c r="AQ337" s="7">
        <v>-579.68600000000004</v>
      </c>
      <c r="AR337" s="7">
        <v>-14.984</v>
      </c>
      <c r="AS337" s="7">
        <v>-3.9670000000000001</v>
      </c>
      <c r="AT337" s="7">
        <v>0</v>
      </c>
      <c r="AU337" s="7">
        <v>-28.006</v>
      </c>
      <c r="AV337" s="7">
        <v>-0.224</v>
      </c>
      <c r="AW337" s="7">
        <v>-48.57</v>
      </c>
      <c r="AX337" s="7">
        <v>-174.37299999999999</v>
      </c>
      <c r="AY337" s="7">
        <v>-17.731999999999999</v>
      </c>
      <c r="AZ337" s="7">
        <v>-61.353999999999999</v>
      </c>
      <c r="BA337" s="7">
        <v>-62.165999999999997</v>
      </c>
      <c r="BB337" s="7">
        <v>-22.731000000000002</v>
      </c>
      <c r="BC337" s="7">
        <v>-9.6280000000000001</v>
      </c>
      <c r="BD337" s="7">
        <v>-60.506</v>
      </c>
      <c r="BE337" s="7">
        <v>-4.9889999999999999</v>
      </c>
      <c r="BF337" s="7">
        <v>-4.9889999999999999</v>
      </c>
      <c r="BG337" s="7">
        <v>-24.102</v>
      </c>
      <c r="BH337" s="7">
        <v>-300.92700000000002</v>
      </c>
      <c r="BI337" s="7">
        <v>0</v>
      </c>
      <c r="BJ337" s="21"/>
    </row>
    <row r="338" spans="1:62" ht="15.6" x14ac:dyDescent="0.3">
      <c r="A338" s="5" t="s">
        <v>599</v>
      </c>
      <c r="B338" s="5" t="s">
        <v>600</v>
      </c>
      <c r="C338" s="7">
        <v>6</v>
      </c>
      <c r="D338" s="7">
        <v>6</v>
      </c>
      <c r="E338" s="7">
        <v>-754.18299999999999</v>
      </c>
      <c r="F338" s="7">
        <v>-48.131</v>
      </c>
      <c r="G338" s="7">
        <v>-124.83</v>
      </c>
      <c r="H338" s="7">
        <v>-0.51700000000000002</v>
      </c>
      <c r="I338" s="7">
        <v>-18.385000000000002</v>
      </c>
      <c r="J338" s="7">
        <v>-4.4669999999999996</v>
      </c>
      <c r="K338" s="7">
        <v>-30.030999999999999</v>
      </c>
      <c r="L338" s="7">
        <v>-1296.047</v>
      </c>
      <c r="M338" s="7">
        <v>-95.602999999999994</v>
      </c>
      <c r="N338" s="7">
        <v>0</v>
      </c>
      <c r="O338" s="7">
        <v>0</v>
      </c>
      <c r="P338" s="7">
        <v>0</v>
      </c>
      <c r="Q338" s="7">
        <v>0</v>
      </c>
      <c r="R338" s="7">
        <v>-10.541</v>
      </c>
      <c r="S338" s="7">
        <v>0</v>
      </c>
      <c r="T338" s="7">
        <v>0</v>
      </c>
      <c r="U338" s="7">
        <v>-9.17</v>
      </c>
      <c r="V338" s="7">
        <v>-7.8019999999999996</v>
      </c>
      <c r="W338" s="7">
        <v>-16.754000000000001</v>
      </c>
      <c r="X338" s="7">
        <v>-6.0570000000000004</v>
      </c>
      <c r="Y338" s="7">
        <v>-236.91900000000001</v>
      </c>
      <c r="Z338" s="7">
        <v>-11.500999999999999</v>
      </c>
      <c r="AA338" s="7">
        <v>-210.363</v>
      </c>
      <c r="AB338" s="7">
        <v>-43.673999999999999</v>
      </c>
      <c r="AC338" s="7">
        <v>-20.358000000000001</v>
      </c>
      <c r="AD338" s="7">
        <v>-4.25</v>
      </c>
      <c r="AE338" s="7">
        <v>-257.75400000000002</v>
      </c>
      <c r="AF338" s="7">
        <v>-140.363</v>
      </c>
      <c r="AG338" s="7">
        <v>-31.419</v>
      </c>
      <c r="AH338" s="7">
        <v>-1890.6410000000001</v>
      </c>
      <c r="AI338" s="7">
        <v>-162.18899999999999</v>
      </c>
      <c r="AJ338" s="7">
        <v>-18.355</v>
      </c>
      <c r="AK338" s="7">
        <v>-540.65</v>
      </c>
      <c r="AL338" s="7">
        <v>-595.55399999999997</v>
      </c>
      <c r="AM338" s="7">
        <v>-31.241</v>
      </c>
      <c r="AN338" s="7">
        <v>-848.38199999999995</v>
      </c>
      <c r="AO338" s="7">
        <v>-2.302</v>
      </c>
      <c r="AP338" s="7">
        <v>0</v>
      </c>
      <c r="AQ338" s="7">
        <v>-102.047</v>
      </c>
      <c r="AR338" s="7">
        <v>-7.1550000000000002</v>
      </c>
      <c r="AS338" s="7">
        <v>0</v>
      </c>
      <c r="AT338" s="7">
        <v>0</v>
      </c>
      <c r="AU338" s="7">
        <v>0</v>
      </c>
      <c r="AV338" s="7">
        <v>-6.68</v>
      </c>
      <c r="AW338" s="7">
        <v>-8.3239999999999998</v>
      </c>
      <c r="AX338" s="7">
        <v>-7.8E-2</v>
      </c>
      <c r="AY338" s="7">
        <v>0</v>
      </c>
      <c r="AZ338" s="7">
        <v>-4.9000000000000002E-2</v>
      </c>
      <c r="BA338" s="7">
        <v>0</v>
      </c>
      <c r="BB338" s="7">
        <v>0</v>
      </c>
      <c r="BC338" s="7">
        <v>0</v>
      </c>
      <c r="BD338" s="7">
        <v>0</v>
      </c>
      <c r="BE338" s="7">
        <v>-17.952000000000002</v>
      </c>
      <c r="BF338" s="7">
        <v>-17.952000000000002</v>
      </c>
      <c r="BG338" s="7">
        <v>-3.9380000000000002</v>
      </c>
      <c r="BH338" s="7">
        <v>-20.350999999999999</v>
      </c>
      <c r="BI338" s="7">
        <v>-8.2550000000000008</v>
      </c>
      <c r="BJ338" s="21"/>
    </row>
    <row r="339" spans="1:62" ht="15.6" x14ac:dyDescent="0.3">
      <c r="A339" s="5" t="s">
        <v>601</v>
      </c>
      <c r="B339" s="5" t="s">
        <v>602</v>
      </c>
      <c r="C339" s="7">
        <v>6</v>
      </c>
      <c r="D339" s="7">
        <v>6</v>
      </c>
      <c r="E339" s="7">
        <v>0</v>
      </c>
      <c r="F339" s="7">
        <v>0</v>
      </c>
      <c r="G339" s="7">
        <v>0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S339" s="7">
        <v>0</v>
      </c>
      <c r="AT339" s="7">
        <v>0</v>
      </c>
      <c r="AU339" s="7">
        <v>0</v>
      </c>
      <c r="AV339" s="7">
        <v>0</v>
      </c>
      <c r="AW339" s="7">
        <v>0</v>
      </c>
      <c r="AX339" s="7">
        <v>0</v>
      </c>
      <c r="AY339" s="7">
        <v>0</v>
      </c>
      <c r="AZ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F339" s="7">
        <v>0</v>
      </c>
      <c r="BG339" s="7">
        <v>0</v>
      </c>
      <c r="BH339" s="7">
        <v>0</v>
      </c>
      <c r="BI339" s="7">
        <v>0</v>
      </c>
      <c r="BJ339" s="21"/>
    </row>
    <row r="340" spans="1:62" ht="15.6" x14ac:dyDescent="0.3">
      <c r="A340" s="5" t="s">
        <v>603</v>
      </c>
      <c r="B340" s="5" t="s">
        <v>604</v>
      </c>
      <c r="C340" s="7">
        <v>6</v>
      </c>
      <c r="D340" s="7">
        <v>6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 s="21"/>
    </row>
    <row r="341" spans="1:62" ht="15.6" x14ac:dyDescent="0.3">
      <c r="A341" s="5" t="s">
        <v>605</v>
      </c>
      <c r="B341" s="5" t="s">
        <v>606</v>
      </c>
      <c r="C341" s="5"/>
      <c r="D341" s="5"/>
      <c r="E341">
        <v>8450425.5779999997</v>
      </c>
      <c r="F341">
        <v>949129.48699999996</v>
      </c>
      <c r="G341">
        <v>985243.03399999999</v>
      </c>
      <c r="H341">
        <v>1103685.8389999999</v>
      </c>
      <c r="I341">
        <v>139126.31599999999</v>
      </c>
      <c r="J341">
        <v>690373.83100000001</v>
      </c>
      <c r="K341">
        <v>274379.70500000002</v>
      </c>
      <c r="L341">
        <v>8895590.4440000001</v>
      </c>
      <c r="M341">
        <v>3012779.5210000002</v>
      </c>
      <c r="N341">
        <v>15031.686</v>
      </c>
      <c r="O341">
        <v>11438.878000000001</v>
      </c>
      <c r="P341">
        <v>19614.407999999999</v>
      </c>
      <c r="Q341">
        <v>12208.98</v>
      </c>
      <c r="R341">
        <v>18924.817999999999</v>
      </c>
      <c r="S341">
        <v>293401.505</v>
      </c>
      <c r="T341">
        <v>982.82399999999996</v>
      </c>
      <c r="U341">
        <v>194955.84700000001</v>
      </c>
      <c r="V341">
        <v>99626.441999999995</v>
      </c>
      <c r="W341">
        <v>226620.01300000001</v>
      </c>
      <c r="X341">
        <v>202116.899</v>
      </c>
      <c r="Y341">
        <v>2029693.83</v>
      </c>
      <c r="Z341">
        <v>128670.13499999999</v>
      </c>
      <c r="AA341">
        <v>1424934.8219999999</v>
      </c>
      <c r="AB341">
        <v>311310.973</v>
      </c>
      <c r="AC341">
        <v>164424.402</v>
      </c>
      <c r="AD341">
        <v>56689.14</v>
      </c>
      <c r="AE341">
        <v>5281334.3499999996</v>
      </c>
      <c r="AF341">
        <v>1161920.584</v>
      </c>
      <c r="AG341">
        <v>254343.96599999999</v>
      </c>
      <c r="AH341">
        <v>18424452.829999998</v>
      </c>
      <c r="AI341">
        <v>2097310.5839999998</v>
      </c>
      <c r="AJ341">
        <v>664404.31900000002</v>
      </c>
      <c r="AK341">
        <v>10565843.6</v>
      </c>
      <c r="AL341">
        <v>5942217.2340000002</v>
      </c>
      <c r="AM341">
        <v>44224.106</v>
      </c>
      <c r="AN341">
        <v>3784149.4109999998</v>
      </c>
      <c r="AO341">
        <v>108859.595</v>
      </c>
      <c r="AP341">
        <v>60870.307000000001</v>
      </c>
      <c r="AQ341">
        <v>408710.49300000002</v>
      </c>
      <c r="AR341">
        <v>25852.223999999998</v>
      </c>
      <c r="AS341">
        <v>3516.6060000000002</v>
      </c>
      <c r="AT341">
        <v>0</v>
      </c>
      <c r="AU341">
        <v>78024.467999999993</v>
      </c>
      <c r="AV341">
        <v>67953.361000000004</v>
      </c>
      <c r="AW341">
        <v>86871.998999999996</v>
      </c>
      <c r="AX341">
        <v>197370.894</v>
      </c>
      <c r="AY341">
        <v>36887.972000000002</v>
      </c>
      <c r="AZ341">
        <v>141897.603</v>
      </c>
      <c r="BA341">
        <v>133000.54699999999</v>
      </c>
      <c r="BB341">
        <v>38809.879999999997</v>
      </c>
      <c r="BC341">
        <v>22323.599999999999</v>
      </c>
      <c r="BD341">
        <v>153182.77900000001</v>
      </c>
      <c r="BE341">
        <v>9338.1730000000007</v>
      </c>
      <c r="BF341">
        <v>9338.1730000000007</v>
      </c>
      <c r="BG341">
        <v>48827.91</v>
      </c>
      <c r="BH341">
        <v>438205.23200000002</v>
      </c>
      <c r="BI341">
        <v>9319.2800000000007</v>
      </c>
      <c r="BJ341" s="21"/>
    </row>
    <row r="342" spans="1:62" x14ac:dyDescent="0.25">
      <c r="BJ342" s="21"/>
    </row>
    <row r="343" spans="1:62" ht="15.6" x14ac:dyDescent="0.3">
      <c r="A343" s="5" t="s">
        <v>607</v>
      </c>
      <c r="E343">
        <f t="shared" ref="E343:AW343" si="0">SUM(E8:E340)-E341</f>
        <v>0</v>
      </c>
      <c r="F343">
        <f t="shared" si="0"/>
        <v>0</v>
      </c>
      <c r="G343">
        <f t="shared" si="0"/>
        <v>0</v>
      </c>
      <c r="H343">
        <f t="shared" si="0"/>
        <v>0</v>
      </c>
      <c r="I343">
        <f t="shared" si="0"/>
        <v>0</v>
      </c>
      <c r="J343">
        <f t="shared" si="0"/>
        <v>0</v>
      </c>
      <c r="K343">
        <f t="shared" si="0"/>
        <v>0</v>
      </c>
      <c r="L343">
        <f t="shared" si="0"/>
        <v>0</v>
      </c>
      <c r="M343">
        <f t="shared" si="0"/>
        <v>0</v>
      </c>
      <c r="N343">
        <f t="shared" si="0"/>
        <v>0</v>
      </c>
      <c r="O343">
        <f t="shared" si="0"/>
        <v>0</v>
      </c>
      <c r="P343">
        <f t="shared" si="0"/>
        <v>0</v>
      </c>
      <c r="Q343">
        <f t="shared" si="0"/>
        <v>0</v>
      </c>
      <c r="R343">
        <f t="shared" si="0"/>
        <v>0</v>
      </c>
      <c r="S343">
        <f t="shared" si="0"/>
        <v>0</v>
      </c>
      <c r="T343">
        <f t="shared" si="0"/>
        <v>0</v>
      </c>
      <c r="U343">
        <f t="shared" si="0"/>
        <v>0</v>
      </c>
      <c r="V343">
        <f t="shared" si="0"/>
        <v>0</v>
      </c>
      <c r="W343">
        <f t="shared" si="0"/>
        <v>0</v>
      </c>
      <c r="X343">
        <f t="shared" si="0"/>
        <v>0</v>
      </c>
      <c r="Y343">
        <f t="shared" si="0"/>
        <v>0</v>
      </c>
      <c r="Z343">
        <f t="shared" si="0"/>
        <v>0</v>
      </c>
      <c r="AA343">
        <f t="shared" si="0"/>
        <v>0</v>
      </c>
      <c r="AB343">
        <f t="shared" si="0"/>
        <v>0</v>
      </c>
      <c r="AC343">
        <f t="shared" si="0"/>
        <v>0</v>
      </c>
      <c r="AD343">
        <f t="shared" si="0"/>
        <v>0</v>
      </c>
      <c r="AE343">
        <f t="shared" si="0"/>
        <v>0</v>
      </c>
      <c r="AF343">
        <f t="shared" si="0"/>
        <v>0</v>
      </c>
      <c r="AG343">
        <f t="shared" si="0"/>
        <v>0</v>
      </c>
      <c r="AH343">
        <f t="shared" si="0"/>
        <v>0</v>
      </c>
      <c r="AI343">
        <f t="shared" si="0"/>
        <v>0</v>
      </c>
      <c r="AJ343">
        <f t="shared" si="0"/>
        <v>0</v>
      </c>
      <c r="AK343">
        <f t="shared" si="0"/>
        <v>0</v>
      </c>
      <c r="AL343">
        <f t="shared" si="0"/>
        <v>0</v>
      </c>
      <c r="AM343">
        <f>SUM(AM8:AM340)-AM341</f>
        <v>0</v>
      </c>
      <c r="AN343">
        <f>SUM(AN8:AN340)-AN341</f>
        <v>0</v>
      </c>
      <c r="AO343">
        <f>SUM(AO8:AO340)-AO341</f>
        <v>0</v>
      </c>
      <c r="AP343">
        <f t="shared" si="0"/>
        <v>0</v>
      </c>
      <c r="AQ343">
        <f t="shared" si="0"/>
        <v>0</v>
      </c>
      <c r="AR343">
        <f t="shared" si="0"/>
        <v>0</v>
      </c>
      <c r="AS343">
        <f t="shared" si="0"/>
        <v>0</v>
      </c>
      <c r="AT343">
        <f t="shared" si="0"/>
        <v>0</v>
      </c>
      <c r="AU343">
        <f t="shared" si="0"/>
        <v>0</v>
      </c>
      <c r="AV343">
        <f t="shared" si="0"/>
        <v>0</v>
      </c>
      <c r="AW343">
        <f t="shared" si="0"/>
        <v>0</v>
      </c>
      <c r="AX343">
        <f>SUM(AX8:AX340)-AX341</f>
        <v>0</v>
      </c>
      <c r="AY343">
        <f t="shared" ref="AY343:BI343" si="1">SUM(AY8:AY340)-AY341</f>
        <v>0</v>
      </c>
      <c r="AZ343">
        <f t="shared" si="1"/>
        <v>0</v>
      </c>
      <c r="BA343">
        <f t="shared" si="1"/>
        <v>0</v>
      </c>
      <c r="BB343">
        <f t="shared" si="1"/>
        <v>0</v>
      </c>
      <c r="BC343">
        <f t="shared" si="1"/>
        <v>0</v>
      </c>
      <c r="BD343">
        <f t="shared" si="1"/>
        <v>0</v>
      </c>
      <c r="BE343">
        <f t="shared" si="1"/>
        <v>0</v>
      </c>
      <c r="BF343">
        <f t="shared" si="1"/>
        <v>0</v>
      </c>
      <c r="BG343">
        <f t="shared" si="1"/>
        <v>0</v>
      </c>
      <c r="BH343">
        <f t="shared" si="1"/>
        <v>0</v>
      </c>
      <c r="BI343">
        <f t="shared" si="1"/>
        <v>0</v>
      </c>
      <c r="BJ343" s="21"/>
    </row>
    <row r="344" spans="1:62" x14ac:dyDescent="0.25">
      <c r="BJ344" s="21"/>
    </row>
    <row r="345" spans="1:62" x14ac:dyDescent="0.25">
      <c r="A345" t="s">
        <v>608</v>
      </c>
      <c r="D345">
        <v>1</v>
      </c>
      <c r="E345" s="16">
        <f t="shared" ref="E345:AW345" si="2">SUMIF($D$7:$D$339,$D$345,E7:E339)</f>
        <v>792490.15700000012</v>
      </c>
      <c r="F345" s="16">
        <f t="shared" si="2"/>
        <v>140667.07999999999</v>
      </c>
      <c r="G345" s="16">
        <f t="shared" si="2"/>
        <v>36050.239999999998</v>
      </c>
      <c r="H345" s="16">
        <f t="shared" si="2"/>
        <v>2305.8090000000002</v>
      </c>
      <c r="I345" s="16">
        <f t="shared" si="2"/>
        <v>9844.5500000000011</v>
      </c>
      <c r="J345" s="16">
        <f t="shared" si="2"/>
        <v>29747.697</v>
      </c>
      <c r="K345" s="16">
        <f t="shared" si="2"/>
        <v>20622.415000000001</v>
      </c>
      <c r="L345" s="16">
        <f t="shared" si="2"/>
        <v>1494918.398</v>
      </c>
      <c r="M345" s="16">
        <f t="shared" si="2"/>
        <v>126776.45199999999</v>
      </c>
      <c r="N345" s="16">
        <f>SUMIF($D$7:$D$339,$D$345,N7:N339)</f>
        <v>482.88300000000004</v>
      </c>
      <c r="O345" s="16">
        <f t="shared" si="2"/>
        <v>9898.7459999999992</v>
      </c>
      <c r="P345" s="16">
        <f t="shared" si="2"/>
        <v>696.19899999999996</v>
      </c>
      <c r="Q345" s="16">
        <f t="shared" si="2"/>
        <v>5784.1039999999994</v>
      </c>
      <c r="R345" s="16">
        <f t="shared" si="2"/>
        <v>1813.348</v>
      </c>
      <c r="S345" s="16">
        <f t="shared" si="2"/>
        <v>41375.026999999995</v>
      </c>
      <c r="T345" s="16">
        <f t="shared" si="2"/>
        <v>46.040999999999997</v>
      </c>
      <c r="U345" s="16">
        <f t="shared" si="2"/>
        <v>16514.220999999998</v>
      </c>
      <c r="V345" s="16">
        <f t="shared" si="2"/>
        <v>5178.2390000000005</v>
      </c>
      <c r="W345" s="16">
        <f t="shared" si="2"/>
        <v>18475.644</v>
      </c>
      <c r="X345" s="16">
        <f t="shared" si="2"/>
        <v>32951.319000000003</v>
      </c>
      <c r="Y345" s="16">
        <f t="shared" si="2"/>
        <v>295172.16499999998</v>
      </c>
      <c r="Z345" s="16">
        <f t="shared" si="2"/>
        <v>71882.085999999996</v>
      </c>
      <c r="AA345" s="16">
        <f t="shared" si="2"/>
        <v>85289.988000000012</v>
      </c>
      <c r="AB345" s="16">
        <f t="shared" si="2"/>
        <v>269215.12300000002</v>
      </c>
      <c r="AC345" s="16">
        <f t="shared" si="2"/>
        <v>25406.734</v>
      </c>
      <c r="AD345" s="16">
        <f t="shared" si="2"/>
        <v>17518.475999999999</v>
      </c>
      <c r="AE345" s="16">
        <f t="shared" si="2"/>
        <v>844300.07500000007</v>
      </c>
      <c r="AF345" s="16">
        <f t="shared" si="2"/>
        <v>336782.39600000001</v>
      </c>
      <c r="AG345" s="16">
        <f t="shared" si="2"/>
        <v>89861.531000000003</v>
      </c>
      <c r="AH345" s="16">
        <f t="shared" si="2"/>
        <v>2539605.2460000003</v>
      </c>
      <c r="AI345" s="16">
        <f t="shared" si="2"/>
        <v>546959.22699999996</v>
      </c>
      <c r="AJ345" s="16">
        <f t="shared" si="2"/>
        <v>360182.05599999998</v>
      </c>
      <c r="AK345" s="16">
        <f t="shared" si="2"/>
        <v>7919314.1900000004</v>
      </c>
      <c r="AL345" s="16">
        <f t="shared" si="2"/>
        <v>4454949.75</v>
      </c>
      <c r="AM345" s="16">
        <f>SUMIF($D$7:$D$339,$D$345,AM7:AM339)</f>
        <v>3945.3810000000003</v>
      </c>
      <c r="AN345" s="16">
        <f>SUMIF($D$7:$D$339,$D$345,AN7:AN339)</f>
        <v>2836765.5439999998</v>
      </c>
      <c r="AO345" s="16">
        <f>SUMIF($D$7:$D$339,$D$345,AO7:AO339)</f>
        <v>18982.073999999997</v>
      </c>
      <c r="AP345" s="16">
        <f t="shared" si="2"/>
        <v>6479.83</v>
      </c>
      <c r="AQ345" s="16">
        <f t="shared" si="2"/>
        <v>120277.501</v>
      </c>
      <c r="AR345" s="16">
        <f t="shared" si="2"/>
        <v>2561.1170000000002</v>
      </c>
      <c r="AS345" s="16">
        <f t="shared" si="2"/>
        <v>554.66699999999992</v>
      </c>
      <c r="AT345" s="16">
        <f t="shared" si="2"/>
        <v>0</v>
      </c>
      <c r="AU345" s="16">
        <f t="shared" si="2"/>
        <v>10864.393999999998</v>
      </c>
      <c r="AV345" s="16">
        <f t="shared" si="2"/>
        <v>6814.0759999999991</v>
      </c>
      <c r="AW345" s="16">
        <f t="shared" si="2"/>
        <v>8739.2780000000002</v>
      </c>
      <c r="AX345" s="16">
        <f>SUMIF($D$7:$D$339,$D$345,AX7:AX339)</f>
        <v>36724.766000000003</v>
      </c>
      <c r="AY345" s="16">
        <f t="shared" ref="AY345:BI345" si="3">SUMIF($D$7:$D$339,$D$345,AY7:AY339)</f>
        <v>1939.2619999999999</v>
      </c>
      <c r="AZ345" s="16">
        <f t="shared" si="3"/>
        <v>15083.504000000001</v>
      </c>
      <c r="BA345" s="16">
        <f t="shared" si="3"/>
        <v>23561.633000000002</v>
      </c>
      <c r="BB345" s="16">
        <f t="shared" si="3"/>
        <v>7068.7400000000007</v>
      </c>
      <c r="BC345" s="16">
        <f t="shared" si="3"/>
        <v>1220.2250000000001</v>
      </c>
      <c r="BD345" s="16">
        <f t="shared" si="3"/>
        <v>11087.311999999998</v>
      </c>
      <c r="BE345" s="16">
        <f t="shared" si="3"/>
        <v>1574.6100000000001</v>
      </c>
      <c r="BF345" s="16">
        <f t="shared" si="3"/>
        <v>1574.6100000000001</v>
      </c>
      <c r="BG345" s="16">
        <f t="shared" si="3"/>
        <v>2179.2510000000002</v>
      </c>
      <c r="BH345" s="16">
        <f t="shared" si="3"/>
        <v>254623.90899999999</v>
      </c>
      <c r="BI345" s="16">
        <f t="shared" si="3"/>
        <v>691.46199999999999</v>
      </c>
      <c r="BJ345" s="21"/>
    </row>
    <row r="346" spans="1:62" x14ac:dyDescent="0.25">
      <c r="A346" t="s">
        <v>609</v>
      </c>
      <c r="D346">
        <v>2</v>
      </c>
      <c r="E346" s="16">
        <f t="shared" ref="E346:AW346" si="4">SUMIF($D$7:$D$339,$D$346,E7:E339)</f>
        <v>1959383.4180000001</v>
      </c>
      <c r="F346" s="16">
        <f t="shared" si="4"/>
        <v>167531.84700000001</v>
      </c>
      <c r="G346" s="16">
        <f t="shared" si="4"/>
        <v>349033.89600000001</v>
      </c>
      <c r="H346" s="16">
        <f t="shared" si="4"/>
        <v>0</v>
      </c>
      <c r="I346" s="16">
        <f t="shared" si="4"/>
        <v>51811.610999999997</v>
      </c>
      <c r="J346" s="16">
        <f t="shared" si="4"/>
        <v>239806.95099999997</v>
      </c>
      <c r="K346" s="16">
        <f t="shared" si="4"/>
        <v>196742.94199999998</v>
      </c>
      <c r="L346" s="16">
        <f t="shared" si="4"/>
        <v>778425.33299999998</v>
      </c>
      <c r="M346" s="16">
        <f t="shared" si="4"/>
        <v>639973.41100000008</v>
      </c>
      <c r="N346" s="16">
        <f>SUMIF($D$7:$D$339,$D$346,N7:N339)</f>
        <v>11387.733</v>
      </c>
      <c r="O346" s="16">
        <f t="shared" si="4"/>
        <v>176.79900000000001</v>
      </c>
      <c r="P346" s="16">
        <f t="shared" si="4"/>
        <v>15322.554</v>
      </c>
      <c r="Q346" s="16">
        <f t="shared" si="4"/>
        <v>1869.175</v>
      </c>
      <c r="R346" s="16">
        <f t="shared" si="4"/>
        <v>3980.1149999999998</v>
      </c>
      <c r="S346" s="16">
        <f t="shared" si="4"/>
        <v>51071.957000000002</v>
      </c>
      <c r="T346" s="16">
        <f t="shared" si="4"/>
        <v>937.65200000000004</v>
      </c>
      <c r="U346" s="16">
        <f t="shared" si="4"/>
        <v>144773.576</v>
      </c>
      <c r="V346" s="16">
        <f t="shared" si="4"/>
        <v>30689.695</v>
      </c>
      <c r="W346" s="16">
        <f t="shared" si="4"/>
        <v>51283.082000000002</v>
      </c>
      <c r="X346" s="16">
        <f t="shared" si="4"/>
        <v>2835.9960000000001</v>
      </c>
      <c r="Y346" s="16">
        <f t="shared" si="4"/>
        <v>362072.97099999996</v>
      </c>
      <c r="Z346" s="16">
        <f t="shared" si="4"/>
        <v>89.55</v>
      </c>
      <c r="AA346" s="16">
        <f t="shared" si="4"/>
        <v>540198.13199999998</v>
      </c>
      <c r="AB346" s="16">
        <f t="shared" si="4"/>
        <v>3357.01</v>
      </c>
      <c r="AC346" s="16">
        <f t="shared" si="4"/>
        <v>24252.295000000002</v>
      </c>
      <c r="AD346" s="16">
        <f t="shared" si="4"/>
        <v>9990.5509999999995</v>
      </c>
      <c r="AE346" s="16">
        <f t="shared" si="4"/>
        <v>821190.58199999994</v>
      </c>
      <c r="AF346" s="16">
        <f t="shared" si="4"/>
        <v>54898.801999999996</v>
      </c>
      <c r="AG346" s="16">
        <f t="shared" si="4"/>
        <v>34444.415000000001</v>
      </c>
      <c r="AH346" s="16">
        <f t="shared" si="4"/>
        <v>2451729.0079999999</v>
      </c>
      <c r="AI346" s="16">
        <f t="shared" si="4"/>
        <v>90363.119000000006</v>
      </c>
      <c r="AJ346" s="16">
        <f t="shared" si="4"/>
        <v>465.10399999999998</v>
      </c>
      <c r="AK346" s="16">
        <f t="shared" si="4"/>
        <v>939665.40599999996</v>
      </c>
      <c r="AL346" s="16">
        <f t="shared" si="4"/>
        <v>528175.652</v>
      </c>
      <c r="AM346" s="16">
        <f>SUMIF($D$7:$D$339,$D$346,AM7:AM339)</f>
        <v>32711.014000000003</v>
      </c>
      <c r="AN346" s="16">
        <f>SUMIF($D$7:$D$339,$D$346,AN7:AN339)</f>
        <v>336647.45600000001</v>
      </c>
      <c r="AO346" s="16">
        <f>SUMIF($D$7:$D$339,$D$346,AO7:AO339)</f>
        <v>17640.731</v>
      </c>
      <c r="AP346" s="16">
        <f t="shared" si="4"/>
        <v>0</v>
      </c>
      <c r="AQ346" s="16">
        <f t="shared" si="4"/>
        <v>19509.289999999997</v>
      </c>
      <c r="AR346" s="16">
        <f t="shared" si="4"/>
        <v>0</v>
      </c>
      <c r="AS346" s="16">
        <f t="shared" si="4"/>
        <v>1205.6170000000002</v>
      </c>
      <c r="AT346" s="16">
        <f t="shared" si="4"/>
        <v>0</v>
      </c>
      <c r="AU346" s="16">
        <f t="shared" si="4"/>
        <v>30838.081000000002</v>
      </c>
      <c r="AV346" s="16">
        <f t="shared" si="4"/>
        <v>0</v>
      </c>
      <c r="AW346" s="16">
        <f t="shared" si="4"/>
        <v>0</v>
      </c>
      <c r="AX346" s="16">
        <f>SUMIF($D$7:$D$339,$D$346,AX7:AX339)</f>
        <v>2693.51</v>
      </c>
      <c r="AY346" s="16">
        <f t="shared" ref="AY346:BI346" si="5">SUMIF($D$7:$D$339,$D$346,AY7:AY339)</f>
        <v>9670.5730000000003</v>
      </c>
      <c r="AZ346" s="16">
        <f t="shared" si="5"/>
        <v>1081.9480000000001</v>
      </c>
      <c r="BA346" s="16">
        <f t="shared" si="5"/>
        <v>1834.3420000000001</v>
      </c>
      <c r="BB346" s="16">
        <f t="shared" si="5"/>
        <v>6618.6419999999998</v>
      </c>
      <c r="BC346" s="16">
        <f t="shared" si="5"/>
        <v>6062.451</v>
      </c>
      <c r="BD346" s="16">
        <f t="shared" si="5"/>
        <v>1305.297</v>
      </c>
      <c r="BE346" s="16">
        <f t="shared" si="5"/>
        <v>1989.991</v>
      </c>
      <c r="BF346" s="16">
        <f t="shared" si="5"/>
        <v>1989.991</v>
      </c>
      <c r="BG346" s="16">
        <f t="shared" si="5"/>
        <v>428.53500000000003</v>
      </c>
      <c r="BH346" s="16">
        <f t="shared" si="5"/>
        <v>35239.421999999999</v>
      </c>
      <c r="BI346" s="16">
        <f t="shared" si="5"/>
        <v>2353.297</v>
      </c>
      <c r="BJ346" s="21"/>
    </row>
    <row r="347" spans="1:62" x14ac:dyDescent="0.25">
      <c r="A347" t="s">
        <v>610</v>
      </c>
      <c r="D347">
        <v>3</v>
      </c>
      <c r="E347" s="16">
        <f t="shared" ref="E347:AW347" si="6">SUMIF($D$7:$D$339,$D$347,E7:E339)</f>
        <v>1875415.3470000001</v>
      </c>
      <c r="F347" s="16">
        <f t="shared" si="6"/>
        <v>267497.71599999996</v>
      </c>
      <c r="G347" s="16">
        <f t="shared" si="6"/>
        <v>450720.158</v>
      </c>
      <c r="H347" s="16">
        <f t="shared" si="6"/>
        <v>61500.677999999993</v>
      </c>
      <c r="I347" s="16">
        <f t="shared" si="6"/>
        <v>47107.682000000008</v>
      </c>
      <c r="J347" s="16">
        <f t="shared" si="6"/>
        <v>303126.33900000004</v>
      </c>
      <c r="K347" s="16">
        <f t="shared" si="6"/>
        <v>41903.953999999998</v>
      </c>
      <c r="L347" s="16">
        <f t="shared" si="6"/>
        <v>891873.58</v>
      </c>
      <c r="M347" s="16">
        <f t="shared" si="6"/>
        <v>1111046.2120000001</v>
      </c>
      <c r="N347" s="16">
        <f>SUMIF($D$7:$D$339,$D$347,N7:N339)</f>
        <v>3167.1819999999998</v>
      </c>
      <c r="O347" s="16">
        <f t="shared" si="6"/>
        <v>0</v>
      </c>
      <c r="P347" s="16">
        <f t="shared" si="6"/>
        <v>55.423000000000002</v>
      </c>
      <c r="Q347" s="16">
        <f t="shared" si="6"/>
        <v>3902.6250000000005</v>
      </c>
      <c r="R347" s="16">
        <f t="shared" si="6"/>
        <v>12098.84</v>
      </c>
      <c r="S347" s="16">
        <f t="shared" si="6"/>
        <v>110703.079</v>
      </c>
      <c r="T347" s="16">
        <f t="shared" si="6"/>
        <v>0</v>
      </c>
      <c r="U347" s="16">
        <f t="shared" si="6"/>
        <v>30835.084999999999</v>
      </c>
      <c r="V347" s="16">
        <f t="shared" si="6"/>
        <v>45646.377999999997</v>
      </c>
      <c r="W347" s="16">
        <f t="shared" si="6"/>
        <v>87411.111999999994</v>
      </c>
      <c r="X347" s="16">
        <f t="shared" si="6"/>
        <v>0</v>
      </c>
      <c r="Y347" s="16">
        <f t="shared" si="6"/>
        <v>299845.93799999997</v>
      </c>
      <c r="Z347" s="16">
        <f t="shared" si="6"/>
        <v>11915.998</v>
      </c>
      <c r="AA347" s="16">
        <f t="shared" si="6"/>
        <v>617873.326</v>
      </c>
      <c r="AB347" s="16">
        <f t="shared" si="6"/>
        <v>0</v>
      </c>
      <c r="AC347" s="16">
        <f t="shared" si="6"/>
        <v>48504.684000000001</v>
      </c>
      <c r="AD347" s="16">
        <f t="shared" si="6"/>
        <v>13435.264999999999</v>
      </c>
      <c r="AE347" s="16">
        <f t="shared" si="6"/>
        <v>541018.77599999984</v>
      </c>
      <c r="AF347" s="16">
        <f t="shared" si="6"/>
        <v>13064.151</v>
      </c>
      <c r="AG347" s="16">
        <f t="shared" si="6"/>
        <v>53324.031000000003</v>
      </c>
      <c r="AH347" s="16">
        <f t="shared" si="6"/>
        <v>2134532.818</v>
      </c>
      <c r="AI347" s="16">
        <f t="shared" si="6"/>
        <v>23153.008999999998</v>
      </c>
      <c r="AJ347" s="16">
        <f t="shared" si="6"/>
        <v>58047.461000000003</v>
      </c>
      <c r="AK347" s="16">
        <f t="shared" si="6"/>
        <v>0</v>
      </c>
      <c r="AL347" s="16">
        <f t="shared" si="6"/>
        <v>0</v>
      </c>
      <c r="AM347" s="16">
        <f>SUMIF($D$7:$D$339,$D$347,AM7:AM339)</f>
        <v>6967.0659999999998</v>
      </c>
      <c r="AN347" s="16">
        <f>SUMIF($D$7:$D$339,$D$347,AN7:AN339)</f>
        <v>0</v>
      </c>
      <c r="AO347" s="16">
        <f>SUMIF($D$7:$D$339,$D$347,AO7:AO339)</f>
        <v>37407.304999999993</v>
      </c>
      <c r="AP347" s="16">
        <f t="shared" si="6"/>
        <v>0</v>
      </c>
      <c r="AQ347" s="16">
        <f t="shared" si="6"/>
        <v>4505.8219999999992</v>
      </c>
      <c r="AR347" s="16">
        <f t="shared" si="6"/>
        <v>0</v>
      </c>
      <c r="AS347" s="16">
        <f t="shared" si="6"/>
        <v>815.697</v>
      </c>
      <c r="AT347" s="16">
        <f t="shared" si="6"/>
        <v>0</v>
      </c>
      <c r="AU347" s="16">
        <f t="shared" si="6"/>
        <v>25576.252</v>
      </c>
      <c r="AV347" s="16">
        <f t="shared" si="6"/>
        <v>0</v>
      </c>
      <c r="AW347" s="16">
        <f t="shared" si="6"/>
        <v>0</v>
      </c>
      <c r="AX347" s="16">
        <f>SUMIF($D$7:$D$339,$D$347,AX7:AX339)</f>
        <v>0</v>
      </c>
      <c r="AY347" s="16">
        <f t="shared" ref="AY347:BI347" si="7">SUMIF($D$7:$D$339,$D$347,AY7:AY339)</f>
        <v>17916.782999999999</v>
      </c>
      <c r="AZ347" s="16">
        <f t="shared" si="7"/>
        <v>3410.991</v>
      </c>
      <c r="BA347" s="16">
        <f t="shared" si="7"/>
        <v>0</v>
      </c>
      <c r="BB347" s="16">
        <f t="shared" si="7"/>
        <v>12931.804</v>
      </c>
      <c r="BC347" s="16">
        <f t="shared" si="7"/>
        <v>14322.383000000003</v>
      </c>
      <c r="BD347" s="16">
        <f t="shared" si="7"/>
        <v>4115.1280000000006</v>
      </c>
      <c r="BE347" s="16">
        <f t="shared" si="7"/>
        <v>3013.4419999999996</v>
      </c>
      <c r="BF347" s="16">
        <f t="shared" si="7"/>
        <v>3013.4419999999996</v>
      </c>
      <c r="BG347" s="16">
        <f t="shared" si="7"/>
        <v>1351.0149999999999</v>
      </c>
      <c r="BH347" s="16">
        <f t="shared" si="7"/>
        <v>40193.561000000002</v>
      </c>
      <c r="BI347" s="16">
        <f t="shared" si="7"/>
        <v>5973.5110000000004</v>
      </c>
      <c r="BJ347" s="21"/>
    </row>
    <row r="348" spans="1:62" x14ac:dyDescent="0.25">
      <c r="A348" t="s">
        <v>611</v>
      </c>
      <c r="B348">
        <v>7</v>
      </c>
      <c r="D348">
        <v>4</v>
      </c>
      <c r="E348" s="16">
        <f t="shared" ref="E348:AW348" si="8">SUMIF($D$7:$D$339,$D$348,E7:E339)</f>
        <v>1214648.1859999995</v>
      </c>
      <c r="F348" s="16">
        <f t="shared" si="8"/>
        <v>270133.87200000009</v>
      </c>
      <c r="G348" s="16">
        <f t="shared" si="8"/>
        <v>233.10499999999999</v>
      </c>
      <c r="H348" s="16">
        <f t="shared" si="8"/>
        <v>24768.933000000001</v>
      </c>
      <c r="I348" s="16">
        <f t="shared" si="8"/>
        <v>8665.6489999999994</v>
      </c>
      <c r="J348" s="16">
        <f t="shared" si="8"/>
        <v>150.84899999999999</v>
      </c>
      <c r="K348" s="16">
        <f t="shared" si="8"/>
        <v>0</v>
      </c>
      <c r="L348" s="16">
        <f t="shared" si="8"/>
        <v>3054475.7469999995</v>
      </c>
      <c r="M348" s="16">
        <f t="shared" si="8"/>
        <v>178734.50799999997</v>
      </c>
      <c r="N348" s="16">
        <f>SUMIF($D$7:$D$339,$D$348,N7:N339)</f>
        <v>0</v>
      </c>
      <c r="O348" s="16">
        <f t="shared" si="8"/>
        <v>1755.961</v>
      </c>
      <c r="P348" s="16">
        <f t="shared" si="8"/>
        <v>25.299000000000003</v>
      </c>
      <c r="Q348" s="16">
        <f t="shared" si="8"/>
        <v>768.49900000000002</v>
      </c>
      <c r="R348" s="16">
        <f t="shared" si="8"/>
        <v>103.36199999999999</v>
      </c>
      <c r="S348" s="16">
        <f t="shared" si="8"/>
        <v>83628.382000000012</v>
      </c>
      <c r="T348" s="16">
        <f t="shared" si="8"/>
        <v>0</v>
      </c>
      <c r="U348" s="16">
        <f t="shared" si="8"/>
        <v>0</v>
      </c>
      <c r="V348" s="16">
        <f t="shared" si="8"/>
        <v>28.002000000000002</v>
      </c>
      <c r="W348" s="16">
        <f t="shared" si="8"/>
        <v>24932.619000000002</v>
      </c>
      <c r="X348" s="16">
        <f t="shared" si="8"/>
        <v>165506.71100000001</v>
      </c>
      <c r="Y348" s="16">
        <f t="shared" si="8"/>
        <v>561524.98199999996</v>
      </c>
      <c r="Z348" s="16">
        <f t="shared" si="8"/>
        <v>44487.804000000004</v>
      </c>
      <c r="AA348" s="16">
        <f t="shared" si="8"/>
        <v>369.81100000000004</v>
      </c>
      <c r="AB348" s="16">
        <f t="shared" si="8"/>
        <v>48517.642000000007</v>
      </c>
      <c r="AC348" s="16">
        <f t="shared" si="8"/>
        <v>49953.92300000001</v>
      </c>
      <c r="AD348" s="16">
        <f t="shared" si="8"/>
        <v>15892.652999999998</v>
      </c>
      <c r="AE348" s="16">
        <f t="shared" si="8"/>
        <v>1375686.4210000001</v>
      </c>
      <c r="AF348" s="16">
        <f t="shared" si="8"/>
        <v>736818.64700000011</v>
      </c>
      <c r="AG348" s="16">
        <f t="shared" si="8"/>
        <v>70077.72099999999</v>
      </c>
      <c r="AH348" s="16">
        <f t="shared" si="8"/>
        <v>5287631.0990000013</v>
      </c>
      <c r="AI348" s="16">
        <f t="shared" si="8"/>
        <v>1291016.7859999998</v>
      </c>
      <c r="AJ348" s="16">
        <f t="shared" si="8"/>
        <v>244517.80899999998</v>
      </c>
      <c r="AK348" s="16">
        <f t="shared" si="8"/>
        <v>2105381.1270000003</v>
      </c>
      <c r="AL348" s="16">
        <f t="shared" si="8"/>
        <v>1183411.655</v>
      </c>
      <c r="AM348" s="16">
        <f>SUMIF($D$7:$D$339,$D$348,AM7:AM339)</f>
        <v>0</v>
      </c>
      <c r="AN348" s="16">
        <f>SUMIF($D$7:$D$339,$D$348,AN7:AN339)</f>
        <v>754280.39599999995</v>
      </c>
      <c r="AO348" s="16">
        <f>SUMIF($D$7:$D$339,$D$348,AO7:AO339)</f>
        <v>34184.405999999988</v>
      </c>
      <c r="AP348" s="16">
        <f t="shared" si="8"/>
        <v>54408.016000000003</v>
      </c>
      <c r="AQ348" s="16">
        <f t="shared" si="8"/>
        <v>260391.72299999994</v>
      </c>
      <c r="AR348" s="16">
        <f t="shared" si="8"/>
        <v>23307.170999999998</v>
      </c>
      <c r="AS348" s="16">
        <f t="shared" si="8"/>
        <v>832.28599999999994</v>
      </c>
      <c r="AT348" s="16">
        <f t="shared" si="8"/>
        <v>0</v>
      </c>
      <c r="AU348" s="16">
        <f t="shared" si="8"/>
        <v>9609.509</v>
      </c>
      <c r="AV348" s="16">
        <f t="shared" si="8"/>
        <v>61130.504999999997</v>
      </c>
      <c r="AW348" s="16">
        <f t="shared" si="8"/>
        <v>78170.150999999998</v>
      </c>
      <c r="AX348" s="16">
        <f>SUMIF($D$7:$D$339,$D$348,AX7:AX339)</f>
        <v>157191.38200000001</v>
      </c>
      <c r="AY348" s="16">
        <f t="shared" ref="AY348:BI348" si="9">SUMIF($D$7:$D$339,$D$348,AY7:AY339)</f>
        <v>6008.36</v>
      </c>
      <c r="AZ348" s="16">
        <f t="shared" si="9"/>
        <v>114084.44199999997</v>
      </c>
      <c r="BA348" s="16">
        <f t="shared" si="9"/>
        <v>107050.91800000001</v>
      </c>
      <c r="BB348" s="16">
        <f t="shared" si="9"/>
        <v>11932.475999999999</v>
      </c>
      <c r="BC348" s="16">
        <f t="shared" si="9"/>
        <v>8.8099999999999987</v>
      </c>
      <c r="BD348" s="16">
        <f t="shared" si="9"/>
        <v>126757.853</v>
      </c>
      <c r="BE348" s="16">
        <f t="shared" si="9"/>
        <v>2732.155999999999</v>
      </c>
      <c r="BF348" s="16">
        <f t="shared" si="9"/>
        <v>2732.155999999999</v>
      </c>
      <c r="BG348" s="16">
        <f t="shared" si="9"/>
        <v>41615.15800000001</v>
      </c>
      <c r="BH348" s="16">
        <f t="shared" si="9"/>
        <v>107853.49300000002</v>
      </c>
      <c r="BI348" s="16">
        <f t="shared" si="9"/>
        <v>3.6370000000000005</v>
      </c>
      <c r="BJ348" s="21"/>
    </row>
    <row r="349" spans="1:62" x14ac:dyDescent="0.25">
      <c r="A349" t="s">
        <v>612</v>
      </c>
      <c r="D349">
        <v>5</v>
      </c>
      <c r="E349" s="16">
        <f t="shared" ref="E349:AW349" si="10">SUMIF($D$7:$D$339,$D$349,E7:E339)</f>
        <v>744034.6599999998</v>
      </c>
      <c r="F349" s="16">
        <f t="shared" si="10"/>
        <v>37996.432999999997</v>
      </c>
      <c r="G349" s="16">
        <f t="shared" si="10"/>
        <v>82241.759000000005</v>
      </c>
      <c r="H349" s="16">
        <f t="shared" si="10"/>
        <v>984512.95500000007</v>
      </c>
      <c r="I349" s="16">
        <f t="shared" si="10"/>
        <v>11352.441999999999</v>
      </c>
      <c r="J349" s="16">
        <f t="shared" si="10"/>
        <v>73345.553</v>
      </c>
      <c r="K349" s="16">
        <f t="shared" si="10"/>
        <v>15277.736999999999</v>
      </c>
      <c r="L349" s="16">
        <f t="shared" si="10"/>
        <v>497538.37700000021</v>
      </c>
      <c r="M349" s="16">
        <f t="shared" si="10"/>
        <v>364926.49900000001</v>
      </c>
      <c r="N349" s="16">
        <f>SUMIF($D$7:$D$339,$D$349,N7:N339)</f>
        <v>0</v>
      </c>
      <c r="O349" s="16">
        <f t="shared" si="10"/>
        <v>0</v>
      </c>
      <c r="P349" s="16">
        <f t="shared" si="10"/>
        <v>2121.1220000000003</v>
      </c>
      <c r="Q349" s="16">
        <f t="shared" si="10"/>
        <v>0</v>
      </c>
      <c r="R349" s="16">
        <f t="shared" si="10"/>
        <v>42.241999999999997</v>
      </c>
      <c r="S349" s="16">
        <f t="shared" si="10"/>
        <v>-3260.518</v>
      </c>
      <c r="T349" s="16">
        <f t="shared" si="10"/>
        <v>0</v>
      </c>
      <c r="U349" s="16">
        <f t="shared" si="10"/>
        <v>2933.8910000000001</v>
      </c>
      <c r="V349" s="16">
        <f t="shared" si="10"/>
        <v>12109.278999999999</v>
      </c>
      <c r="W349" s="16">
        <f t="shared" si="10"/>
        <v>27228.964</v>
      </c>
      <c r="X349" s="16">
        <f t="shared" si="10"/>
        <v>0</v>
      </c>
      <c r="Y349" s="16">
        <f t="shared" si="10"/>
        <v>190700.78999999998</v>
      </c>
      <c r="Z349" s="16">
        <f t="shared" si="10"/>
        <v>0</v>
      </c>
      <c r="AA349" s="16">
        <f t="shared" si="10"/>
        <v>59621.124000000003</v>
      </c>
      <c r="AB349" s="16">
        <f t="shared" si="10"/>
        <v>0</v>
      </c>
      <c r="AC349" s="16">
        <f t="shared" si="10"/>
        <v>7325.1</v>
      </c>
      <c r="AD349" s="16">
        <f t="shared" si="10"/>
        <v>0</v>
      </c>
      <c r="AE349" s="16">
        <f t="shared" si="10"/>
        <v>577566.99899999995</v>
      </c>
      <c r="AF349" s="16">
        <f t="shared" si="10"/>
        <v>-19645.927</v>
      </c>
      <c r="AG349" s="16">
        <f t="shared" si="10"/>
        <v>8587.527</v>
      </c>
      <c r="AH349" s="16">
        <f t="shared" si="10"/>
        <v>1704082.9409999996</v>
      </c>
      <c r="AI349" s="16">
        <f t="shared" si="10"/>
        <v>41075.361999999994</v>
      </c>
      <c r="AJ349" s="16">
        <f t="shared" si="10"/>
        <v>17.558</v>
      </c>
      <c r="AK349" s="16">
        <f t="shared" si="10"/>
        <v>427.72300000000001</v>
      </c>
      <c r="AL349" s="16">
        <f t="shared" si="10"/>
        <v>115.27200000000001</v>
      </c>
      <c r="AM349" s="16">
        <f>SUMIF($D$7:$D$339,$D$349,AM7:AM339)</f>
        <v>656.26</v>
      </c>
      <c r="AN349" s="16">
        <f>SUMIF($D$7:$D$339,$D$349,AN7:AN339)</f>
        <v>118.572</v>
      </c>
      <c r="AO349" s="16">
        <f>SUMIF($D$7:$D$339,$D$349,AO7:AO339)</f>
        <v>-1444.4830000000002</v>
      </c>
      <c r="AP349" s="16">
        <f t="shared" si="10"/>
        <v>0</v>
      </c>
      <c r="AQ349" s="16">
        <f t="shared" si="10"/>
        <v>-2746.2389999999987</v>
      </c>
      <c r="AR349" s="16">
        <f t="shared" si="10"/>
        <v>0</v>
      </c>
      <c r="AS349" s="16">
        <f t="shared" si="10"/>
        <v>-34.442999999999998</v>
      </c>
      <c r="AT349" s="16">
        <f t="shared" si="10"/>
        <v>0</v>
      </c>
      <c r="AU349" s="16">
        <f t="shared" si="10"/>
        <v>-228.86799999999999</v>
      </c>
      <c r="AV349" s="16">
        <f t="shared" si="10"/>
        <v>0</v>
      </c>
      <c r="AW349" s="16">
        <f t="shared" si="10"/>
        <v>0</v>
      </c>
      <c r="AX349" s="16">
        <f>SUMIF($D$7:$D$339,$D$349,AX7:AX339)</f>
        <v>0</v>
      </c>
      <c r="AY349" s="16">
        <f t="shared" ref="AY349:BI349" si="11">SUMIF($D$7:$D$339,$D$349,AY7:AY339)</f>
        <v>0</v>
      </c>
      <c r="AZ349" s="16">
        <f t="shared" si="11"/>
        <v>0</v>
      </c>
      <c r="BA349" s="16">
        <f t="shared" si="11"/>
        <v>0</v>
      </c>
      <c r="BB349" s="16">
        <f t="shared" si="11"/>
        <v>-492.11399999999998</v>
      </c>
      <c r="BC349" s="16">
        <f t="shared" si="11"/>
        <v>0</v>
      </c>
      <c r="BD349" s="16">
        <f t="shared" si="11"/>
        <v>0</v>
      </c>
      <c r="BE349" s="16">
        <f t="shared" si="11"/>
        <v>-119.13</v>
      </c>
      <c r="BF349" s="16">
        <f t="shared" si="11"/>
        <v>-119.13</v>
      </c>
      <c r="BG349" s="16">
        <f t="shared" si="11"/>
        <v>0</v>
      </c>
      <c r="BH349" s="16">
        <f t="shared" si="11"/>
        <v>0</v>
      </c>
      <c r="BI349" s="16">
        <f t="shared" si="11"/>
        <v>0</v>
      </c>
      <c r="BJ349" s="21"/>
    </row>
    <row r="350" spans="1:62" x14ac:dyDescent="0.25">
      <c r="A350" t="s">
        <v>613</v>
      </c>
      <c r="B350">
        <v>7</v>
      </c>
      <c r="D350">
        <v>6</v>
      </c>
      <c r="E350" s="16">
        <f t="shared" ref="E350:AW350" si="12">SUMIF($D$7:$D$339,$D$350,E7:E339)+SUMIF($D$7:$D$339,$B$350,E7:E339)</f>
        <v>1864453.8100000005</v>
      </c>
      <c r="F350" s="16">
        <f t="shared" si="12"/>
        <v>65302.539000000026</v>
      </c>
      <c r="G350" s="16">
        <f t="shared" si="12"/>
        <v>66963.875999999989</v>
      </c>
      <c r="H350" s="16">
        <f t="shared" si="12"/>
        <v>30597.464000000004</v>
      </c>
      <c r="I350" s="16">
        <f t="shared" si="12"/>
        <v>10344.382</v>
      </c>
      <c r="J350" s="16">
        <f t="shared" si="12"/>
        <v>44196.44200000001</v>
      </c>
      <c r="K350" s="16">
        <f t="shared" si="12"/>
        <v>-167.34300000000002</v>
      </c>
      <c r="L350" s="16">
        <f t="shared" si="12"/>
        <v>2178359.0090000005</v>
      </c>
      <c r="M350" s="16">
        <f t="shared" si="12"/>
        <v>591322.4389999999</v>
      </c>
      <c r="N350" s="16">
        <f>SUMIF($D$7:$D$339,$D$350,N7:N339)+SUMIF($D$7:$D$339,$B$350,N7:N339)</f>
        <v>-6.1120000000000001</v>
      </c>
      <c r="O350" s="16">
        <f t="shared" si="12"/>
        <v>-392.62800000000004</v>
      </c>
      <c r="P350" s="16">
        <f t="shared" si="12"/>
        <v>1393.8109999999999</v>
      </c>
      <c r="Q350" s="16">
        <f t="shared" si="12"/>
        <v>-115.42299999999999</v>
      </c>
      <c r="R350" s="16">
        <f t="shared" si="12"/>
        <v>886.91099999999972</v>
      </c>
      <c r="S350" s="16">
        <f t="shared" si="12"/>
        <v>9883.5780000000013</v>
      </c>
      <c r="T350" s="16">
        <f t="shared" si="12"/>
        <v>-0.86899999999999999</v>
      </c>
      <c r="U350" s="16">
        <f t="shared" si="12"/>
        <v>-100.926</v>
      </c>
      <c r="V350" s="16">
        <f t="shared" si="12"/>
        <v>5974.8489999999993</v>
      </c>
      <c r="W350" s="16">
        <f t="shared" si="12"/>
        <v>17288.591999999997</v>
      </c>
      <c r="X350" s="16">
        <f t="shared" si="12"/>
        <v>822.87300000000005</v>
      </c>
      <c r="Y350" s="16">
        <f t="shared" si="12"/>
        <v>320376.984</v>
      </c>
      <c r="Z350" s="16">
        <f t="shared" si="12"/>
        <v>294.69700000000597</v>
      </c>
      <c r="AA350" s="16">
        <f t="shared" si="12"/>
        <v>121582.44100000001</v>
      </c>
      <c r="AB350" s="16">
        <f t="shared" si="12"/>
        <v>-9778.8020000000015</v>
      </c>
      <c r="AC350" s="16">
        <f t="shared" si="12"/>
        <v>8981.6659999999993</v>
      </c>
      <c r="AD350" s="16">
        <f t="shared" si="12"/>
        <v>-147.80499999999961</v>
      </c>
      <c r="AE350" s="16">
        <f t="shared" si="12"/>
        <v>1121571.4970000002</v>
      </c>
      <c r="AF350" s="16">
        <f t="shared" si="12"/>
        <v>40002.514999999992</v>
      </c>
      <c r="AG350" s="16">
        <f t="shared" si="12"/>
        <v>-1951.2589999999977</v>
      </c>
      <c r="AH350" s="16">
        <f t="shared" si="12"/>
        <v>4306871.7179999994</v>
      </c>
      <c r="AI350" s="16">
        <f t="shared" si="12"/>
        <v>104743.08100000001</v>
      </c>
      <c r="AJ350" s="16">
        <f t="shared" si="12"/>
        <v>1174.331000000022</v>
      </c>
      <c r="AK350" s="16">
        <f t="shared" si="12"/>
        <v>-398944.84600000002</v>
      </c>
      <c r="AL350" s="16">
        <f t="shared" si="12"/>
        <v>-224435.095</v>
      </c>
      <c r="AM350" s="16">
        <f>SUMIF($D$7:$D$339,$D$350,AM7:AM339)+SUMIF($D$7:$D$339,$B$350,AM7:AM339)</f>
        <v>-55.614999999999995</v>
      </c>
      <c r="AN350" s="16">
        <f>SUMIF($D$7:$D$339,$D$350,AN7:AN339)+SUMIF($D$7:$D$339,$B$350,AN7:AN339)</f>
        <v>-143662.557</v>
      </c>
      <c r="AO350" s="16">
        <f>SUMIF($D$7:$D$339,$D$350,AO7:AO339)+SUMIF($D$7:$D$339,$B$350,AO7:AO339)</f>
        <v>2089.5619999999999</v>
      </c>
      <c r="AP350" s="16">
        <f t="shared" si="12"/>
        <v>-17.539000000000001</v>
      </c>
      <c r="AQ350" s="16">
        <f t="shared" si="12"/>
        <v>6772.3959999999997</v>
      </c>
      <c r="AR350" s="16">
        <f t="shared" si="12"/>
        <v>-16.064</v>
      </c>
      <c r="AS350" s="16">
        <f t="shared" si="12"/>
        <v>142.78200000000001</v>
      </c>
      <c r="AT350" s="16">
        <f t="shared" si="12"/>
        <v>0</v>
      </c>
      <c r="AU350" s="16">
        <f t="shared" si="12"/>
        <v>1365.1</v>
      </c>
      <c r="AV350" s="16">
        <f t="shared" si="12"/>
        <v>8.7799999999999994</v>
      </c>
      <c r="AW350" s="16">
        <f t="shared" si="12"/>
        <v>-37.43</v>
      </c>
      <c r="AX350" s="16">
        <f>SUMIF($D$7:$D$339,$D$350,AX7:AX339)+SUMIF($D$7:$D$339,$B$350,AX7:AX339)</f>
        <v>761.2360000000001</v>
      </c>
      <c r="AY350" s="16">
        <f t="shared" ref="AY350:BI350" si="13">SUMIF($D$7:$D$339,$D$350,AY7:AY339)+SUMIF($D$7:$D$339,$B$350,AY7:AY339)</f>
        <v>1352.9940000000001</v>
      </c>
      <c r="AZ350" s="16">
        <f t="shared" si="13"/>
        <v>8236.7180000000008</v>
      </c>
      <c r="BA350" s="16">
        <f t="shared" si="13"/>
        <v>553.654</v>
      </c>
      <c r="BB350" s="16">
        <f t="shared" si="13"/>
        <v>750.33200000000011</v>
      </c>
      <c r="BC350" s="16">
        <f t="shared" si="13"/>
        <v>709.73099999999988</v>
      </c>
      <c r="BD350" s="16">
        <f t="shared" si="13"/>
        <v>9917.1890000000003</v>
      </c>
      <c r="BE350" s="16">
        <f t="shared" si="13"/>
        <v>147.10399999999998</v>
      </c>
      <c r="BF350" s="16">
        <f t="shared" si="13"/>
        <v>147.10399999999998</v>
      </c>
      <c r="BG350" s="16">
        <f t="shared" si="13"/>
        <v>3253.9510000000005</v>
      </c>
      <c r="BH350" s="16">
        <f t="shared" si="13"/>
        <v>294.847000000001</v>
      </c>
      <c r="BI350" s="16">
        <f t="shared" si="13"/>
        <v>297.37300000000005</v>
      </c>
      <c r="BJ350" s="21"/>
    </row>
    <row r="351" spans="1:62" x14ac:dyDescent="0.25"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21"/>
    </row>
    <row r="352" spans="1:62" x14ac:dyDescent="0.25">
      <c r="E352">
        <f t="shared" ref="E352:M352" si="14">SUM(E345:E351)</f>
        <v>8450425.5780000016</v>
      </c>
      <c r="F352">
        <f t="shared" si="14"/>
        <v>949129.48699999996</v>
      </c>
      <c r="G352">
        <f t="shared" si="14"/>
        <v>985243.03399999999</v>
      </c>
      <c r="H352">
        <f t="shared" si="14"/>
        <v>1103685.8389999999</v>
      </c>
      <c r="I352">
        <f t="shared" si="14"/>
        <v>139126.31600000002</v>
      </c>
      <c r="J352">
        <f t="shared" si="14"/>
        <v>690373.83100000001</v>
      </c>
      <c r="K352">
        <f t="shared" si="14"/>
        <v>274379.70500000002</v>
      </c>
      <c r="L352" s="17">
        <f t="shared" si="14"/>
        <v>8895590.444000002</v>
      </c>
      <c r="M352">
        <f t="shared" si="14"/>
        <v>3012779.5209999997</v>
      </c>
      <c r="N352">
        <f>SUM(N345:N351)</f>
        <v>15031.686</v>
      </c>
      <c r="O352">
        <f t="shared" ref="O352:AL352" si="15">SUM(O345:O351)</f>
        <v>11438.877999999999</v>
      </c>
      <c r="P352">
        <f t="shared" si="15"/>
        <v>19614.408000000003</v>
      </c>
      <c r="Q352">
        <f t="shared" si="15"/>
        <v>12208.98</v>
      </c>
      <c r="R352">
        <f t="shared" si="15"/>
        <v>18924.817999999999</v>
      </c>
      <c r="S352">
        <f t="shared" si="15"/>
        <v>293401.505</v>
      </c>
      <c r="T352">
        <f t="shared" si="15"/>
        <v>982.82399999999996</v>
      </c>
      <c r="U352">
        <f t="shared" si="15"/>
        <v>194955.84699999998</v>
      </c>
      <c r="V352">
        <f t="shared" si="15"/>
        <v>99626.441999999995</v>
      </c>
      <c r="W352">
        <f t="shared" si="15"/>
        <v>226620.01300000001</v>
      </c>
      <c r="X352">
        <f t="shared" si="15"/>
        <v>202116.899</v>
      </c>
      <c r="Y352">
        <f t="shared" si="15"/>
        <v>2029693.8299999998</v>
      </c>
      <c r="Z352">
        <f t="shared" si="15"/>
        <v>128670.13499999999</v>
      </c>
      <c r="AA352">
        <f t="shared" si="15"/>
        <v>1424934.8220000002</v>
      </c>
      <c r="AB352">
        <f t="shared" si="15"/>
        <v>311310.973</v>
      </c>
      <c r="AC352">
        <f t="shared" si="15"/>
        <v>164424.402</v>
      </c>
      <c r="AD352">
        <f t="shared" si="15"/>
        <v>56689.14</v>
      </c>
      <c r="AE352">
        <f t="shared" si="15"/>
        <v>5281334.3500000006</v>
      </c>
      <c r="AF352">
        <f t="shared" si="15"/>
        <v>1161920.584</v>
      </c>
      <c r="AG352">
        <f t="shared" si="15"/>
        <v>254343.96600000001</v>
      </c>
      <c r="AH352">
        <f t="shared" si="15"/>
        <v>18424452.830000002</v>
      </c>
      <c r="AI352">
        <f t="shared" si="15"/>
        <v>2097310.5839999998</v>
      </c>
      <c r="AJ352">
        <f t="shared" si="15"/>
        <v>664404.3189999999</v>
      </c>
      <c r="AK352">
        <f t="shared" si="15"/>
        <v>10565843.6</v>
      </c>
      <c r="AL352">
        <f t="shared" si="15"/>
        <v>5942217.2340000002</v>
      </c>
      <c r="AM352">
        <f>SUM(AM345:AM351)</f>
        <v>44224.106000000007</v>
      </c>
      <c r="AN352">
        <f>SUM(AN345:AN351)</f>
        <v>3784149.4109999998</v>
      </c>
      <c r="AO352">
        <f>SUM(AO345:AO351)</f>
        <v>108859.59499999997</v>
      </c>
      <c r="AP352">
        <f>SUM(AP345:AP351)</f>
        <v>60870.307000000008</v>
      </c>
      <c r="AQ352">
        <f t="shared" ref="AQ352:AW352" si="16">SUM(AQ345:AQ351)</f>
        <v>408710.4929999999</v>
      </c>
      <c r="AR352">
        <f t="shared" si="16"/>
        <v>25852.224000000002</v>
      </c>
      <c r="AS352">
        <f t="shared" si="16"/>
        <v>3516.6060000000002</v>
      </c>
      <c r="AT352">
        <f t="shared" si="16"/>
        <v>0</v>
      </c>
      <c r="AU352">
        <f t="shared" si="16"/>
        <v>78024.468000000008</v>
      </c>
      <c r="AV352">
        <f t="shared" si="16"/>
        <v>67953.36099999999</v>
      </c>
      <c r="AW352">
        <f t="shared" si="16"/>
        <v>86871.999000000011</v>
      </c>
      <c r="AX352">
        <f>SUM(AX345:AX351)</f>
        <v>197370.89400000003</v>
      </c>
      <c r="AY352">
        <f t="shared" ref="AY352:BI352" si="17">SUM(AY345:AY351)</f>
        <v>36887.972000000002</v>
      </c>
      <c r="AZ352">
        <f t="shared" si="17"/>
        <v>141897.60299999994</v>
      </c>
      <c r="BA352">
        <f t="shared" si="17"/>
        <v>133000.54700000002</v>
      </c>
      <c r="BB352">
        <f t="shared" si="17"/>
        <v>38809.879999999997</v>
      </c>
      <c r="BC352">
        <f t="shared" si="17"/>
        <v>22323.600000000006</v>
      </c>
      <c r="BD352">
        <f t="shared" si="17"/>
        <v>153182.77900000001</v>
      </c>
      <c r="BE352">
        <f t="shared" si="17"/>
        <v>9338.1729999999989</v>
      </c>
      <c r="BF352">
        <f t="shared" si="17"/>
        <v>9338.1729999999989</v>
      </c>
      <c r="BG352">
        <f t="shared" si="17"/>
        <v>48827.910000000011</v>
      </c>
      <c r="BH352">
        <f t="shared" si="17"/>
        <v>438205.23200000002</v>
      </c>
      <c r="BI352">
        <f t="shared" si="17"/>
        <v>9319.2800000000007</v>
      </c>
      <c r="BJ352" s="21"/>
    </row>
    <row r="353" spans="1:62" x14ac:dyDescent="0.25"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  <c r="BJ353" s="21"/>
    </row>
    <row r="354" spans="1:62" x14ac:dyDescent="0.25">
      <c r="A354" s="8"/>
      <c r="B354" s="8"/>
      <c r="C354" s="8"/>
      <c r="D354" s="8"/>
      <c r="E354" s="8">
        <f t="shared" ref="E354:AJ354" si="18">E352-E340</f>
        <v>8450425.5780000016</v>
      </c>
      <c r="F354" s="8">
        <f t="shared" si="18"/>
        <v>949129.48699999996</v>
      </c>
      <c r="G354" s="8">
        <f t="shared" si="18"/>
        <v>985243.03399999999</v>
      </c>
      <c r="H354" s="8">
        <f t="shared" si="18"/>
        <v>1103685.8389999999</v>
      </c>
      <c r="I354" s="8">
        <f t="shared" si="18"/>
        <v>139126.31600000002</v>
      </c>
      <c r="J354" s="8">
        <f t="shared" si="18"/>
        <v>690373.83100000001</v>
      </c>
      <c r="K354" s="8">
        <f t="shared" si="18"/>
        <v>274379.70500000002</v>
      </c>
      <c r="L354" s="18">
        <f t="shared" si="18"/>
        <v>8895590.444000002</v>
      </c>
      <c r="M354" s="8">
        <f t="shared" si="18"/>
        <v>3012779.5209999997</v>
      </c>
      <c r="N354" s="8">
        <f>N352-N340</f>
        <v>15031.686</v>
      </c>
      <c r="O354" s="8">
        <f t="shared" si="18"/>
        <v>11438.877999999999</v>
      </c>
      <c r="P354" s="8">
        <f t="shared" si="18"/>
        <v>19614.408000000003</v>
      </c>
      <c r="Q354" s="8">
        <f t="shared" si="18"/>
        <v>12208.98</v>
      </c>
      <c r="R354" s="8">
        <f t="shared" si="18"/>
        <v>18924.817999999999</v>
      </c>
      <c r="S354" s="8">
        <f t="shared" si="18"/>
        <v>293401.505</v>
      </c>
      <c r="T354" s="8">
        <f t="shared" si="18"/>
        <v>982.82399999999996</v>
      </c>
      <c r="U354" s="8">
        <f t="shared" si="18"/>
        <v>194955.84699999998</v>
      </c>
      <c r="V354" s="8">
        <f t="shared" si="18"/>
        <v>99626.441999999995</v>
      </c>
      <c r="W354" s="8">
        <f t="shared" si="18"/>
        <v>226620.01300000001</v>
      </c>
      <c r="X354" s="8">
        <f t="shared" si="18"/>
        <v>202116.899</v>
      </c>
      <c r="Y354" s="8">
        <f t="shared" si="18"/>
        <v>2029693.8299999998</v>
      </c>
      <c r="Z354" s="8">
        <f t="shared" si="18"/>
        <v>128670.13499999999</v>
      </c>
      <c r="AA354" s="8">
        <f t="shared" si="18"/>
        <v>1424934.8220000002</v>
      </c>
      <c r="AB354" s="8">
        <f t="shared" si="18"/>
        <v>311310.973</v>
      </c>
      <c r="AC354" s="8">
        <f t="shared" si="18"/>
        <v>164424.402</v>
      </c>
      <c r="AD354" s="8">
        <f t="shared" si="18"/>
        <v>56689.14</v>
      </c>
      <c r="AE354" s="8">
        <f t="shared" si="18"/>
        <v>5281334.3500000006</v>
      </c>
      <c r="AF354" s="8">
        <f t="shared" si="18"/>
        <v>1161920.584</v>
      </c>
      <c r="AG354" s="8">
        <f t="shared" si="18"/>
        <v>254343.96600000001</v>
      </c>
      <c r="AH354" s="8">
        <f t="shared" si="18"/>
        <v>18424452.830000002</v>
      </c>
      <c r="AI354" s="8">
        <f t="shared" si="18"/>
        <v>2097310.5839999998</v>
      </c>
      <c r="AJ354" s="8">
        <f t="shared" si="18"/>
        <v>664404.3189999999</v>
      </c>
      <c r="AK354" s="8">
        <f>AK352-AK340</f>
        <v>10565843.6</v>
      </c>
      <c r="AL354" s="8">
        <f>AL352-AL340</f>
        <v>5942217.2340000002</v>
      </c>
      <c r="AM354" s="8">
        <f>AM352-AM340</f>
        <v>44224.106000000007</v>
      </c>
      <c r="AN354" s="8">
        <f>AN352-AN340</f>
        <v>3784149.4109999998</v>
      </c>
      <c r="AO354" s="8">
        <f>AO352-AO340</f>
        <v>108859.59499999997</v>
      </c>
      <c r="AP354" s="8">
        <f t="shared" ref="AP354:AW354" si="19">AP352-AP340</f>
        <v>60870.307000000008</v>
      </c>
      <c r="AQ354" s="8">
        <f t="shared" si="19"/>
        <v>408710.4929999999</v>
      </c>
      <c r="AR354" s="8">
        <f t="shared" si="19"/>
        <v>25852.224000000002</v>
      </c>
      <c r="AS354" s="8">
        <f t="shared" si="19"/>
        <v>3516.6060000000002</v>
      </c>
      <c r="AT354" s="8">
        <f t="shared" si="19"/>
        <v>0</v>
      </c>
      <c r="AU354" s="8">
        <f t="shared" si="19"/>
        <v>78024.468000000008</v>
      </c>
      <c r="AV354" s="8">
        <f t="shared" si="19"/>
        <v>67953.36099999999</v>
      </c>
      <c r="AW354" s="8">
        <f t="shared" si="19"/>
        <v>86871.999000000011</v>
      </c>
      <c r="AX354" s="8">
        <f>AX352-AX340</f>
        <v>197370.89400000003</v>
      </c>
      <c r="AY354" s="8">
        <f t="shared" ref="AY354:BI354" si="20">AY352-AY340</f>
        <v>36887.972000000002</v>
      </c>
      <c r="AZ354" s="8">
        <f t="shared" si="20"/>
        <v>141897.60299999994</v>
      </c>
      <c r="BA354" s="8">
        <f t="shared" si="20"/>
        <v>133000.54700000002</v>
      </c>
      <c r="BB354" s="8">
        <f t="shared" si="20"/>
        <v>38809.879999999997</v>
      </c>
      <c r="BC354" s="8">
        <f t="shared" si="20"/>
        <v>22323.600000000006</v>
      </c>
      <c r="BD354" s="8">
        <f t="shared" si="20"/>
        <v>153182.77900000001</v>
      </c>
      <c r="BE354" s="8">
        <f t="shared" si="20"/>
        <v>9338.1729999999989</v>
      </c>
      <c r="BF354" s="8">
        <f t="shared" si="20"/>
        <v>9338.1729999999989</v>
      </c>
      <c r="BG354" s="8">
        <f t="shared" si="20"/>
        <v>48827.910000000011</v>
      </c>
      <c r="BH354" s="8">
        <f t="shared" si="20"/>
        <v>438205.23200000002</v>
      </c>
      <c r="BI354" s="8">
        <f t="shared" si="20"/>
        <v>9319.2800000000007</v>
      </c>
      <c r="BJ354" s="21"/>
    </row>
    <row r="355" spans="1:62" x14ac:dyDescent="0.25">
      <c r="E355" s="19">
        <f t="shared" ref="E355:M355" si="21">E5</f>
        <v>401</v>
      </c>
      <c r="F355" s="19">
        <f t="shared" si="21"/>
        <v>242</v>
      </c>
      <c r="G355" s="19">
        <f t="shared" si="21"/>
        <v>385</v>
      </c>
      <c r="H355" s="19">
        <f t="shared" si="21"/>
        <v>528</v>
      </c>
      <c r="I355" s="19">
        <f t="shared" si="21"/>
        <v>384</v>
      </c>
      <c r="J355" s="19">
        <f t="shared" si="21"/>
        <v>716</v>
      </c>
      <c r="K355" s="19">
        <f t="shared" si="21"/>
        <v>715</v>
      </c>
      <c r="L355" s="19">
        <f t="shared" si="21"/>
        <v>9916</v>
      </c>
      <c r="M355" s="19">
        <f t="shared" si="21"/>
        <v>1100</v>
      </c>
      <c r="N355" s="19">
        <f>N5</f>
        <v>801</v>
      </c>
      <c r="O355" s="19">
        <f t="shared" ref="O355:T355" si="22">O5</f>
        <v>804</v>
      </c>
      <c r="P355" s="19">
        <f t="shared" si="22"/>
        <v>806</v>
      </c>
      <c r="Q355" s="19">
        <f t="shared" si="22"/>
        <v>8765</v>
      </c>
      <c r="R355" s="19">
        <f t="shared" si="22"/>
        <v>8766</v>
      </c>
      <c r="S355" s="19">
        <f t="shared" si="22"/>
        <v>9418</v>
      </c>
      <c r="T355" s="19">
        <f t="shared" si="22"/>
        <v>9475</v>
      </c>
      <c r="U355" s="19">
        <f>U5</f>
        <v>9906</v>
      </c>
      <c r="V355" s="19">
        <f>V5</f>
        <v>7905</v>
      </c>
      <c r="W355" s="19">
        <f t="shared" ref="W355:AJ355" si="23">W5</f>
        <v>7906</v>
      </c>
      <c r="X355" s="19">
        <f t="shared" si="23"/>
        <v>7907</v>
      </c>
      <c r="Y355" s="19">
        <f t="shared" si="23"/>
        <v>7908</v>
      </c>
      <c r="Z355" s="19">
        <f t="shared" si="23"/>
        <v>7909</v>
      </c>
      <c r="AA355" s="19">
        <f t="shared" si="23"/>
        <v>11310</v>
      </c>
      <c r="AB355" s="19">
        <f t="shared" si="23"/>
        <v>11311</v>
      </c>
      <c r="AC355" s="19">
        <f t="shared" si="23"/>
        <v>11312</v>
      </c>
      <c r="AD355" s="19">
        <f t="shared" si="23"/>
        <v>11335</v>
      </c>
      <c r="AE355" s="19">
        <f t="shared" si="23"/>
        <v>9529</v>
      </c>
      <c r="AF355" s="19">
        <f t="shared" si="23"/>
        <v>961</v>
      </c>
      <c r="AG355" s="19">
        <f t="shared" si="23"/>
        <v>9528</v>
      </c>
      <c r="AH355" s="19">
        <f t="shared" si="23"/>
        <v>964</v>
      </c>
      <c r="AI355" s="19">
        <f t="shared" si="23"/>
        <v>968</v>
      </c>
      <c r="AJ355" s="19">
        <f t="shared" si="23"/>
        <v>8629</v>
      </c>
      <c r="AK355" s="19">
        <f>AK5</f>
        <v>13264</v>
      </c>
      <c r="AL355" s="19">
        <f>AL5</f>
        <v>13263</v>
      </c>
      <c r="AM355" s="19">
        <f>AM5</f>
        <v>13209</v>
      </c>
      <c r="AN355" s="19">
        <f>AN5</f>
        <v>13250</v>
      </c>
      <c r="AO355" s="19">
        <f>AO5</f>
        <v>14281</v>
      </c>
      <c r="AP355" s="19">
        <f t="shared" ref="AP355:AW355" si="24">AP5</f>
        <v>2049</v>
      </c>
      <c r="AQ355" s="19">
        <f t="shared" si="24"/>
        <v>7975</v>
      </c>
      <c r="AR355" s="19">
        <f t="shared" si="24"/>
        <v>8004</v>
      </c>
      <c r="AS355" s="19">
        <f t="shared" si="24"/>
        <v>1008</v>
      </c>
      <c r="AT355" s="19">
        <f t="shared" si="24"/>
        <v>9484</v>
      </c>
      <c r="AU355" s="19">
        <f t="shared" si="24"/>
        <v>682</v>
      </c>
      <c r="AV355" s="19">
        <f t="shared" si="24"/>
        <v>11352</v>
      </c>
      <c r="AW355" s="19">
        <f t="shared" si="24"/>
        <v>2058</v>
      </c>
      <c r="AX355" s="19">
        <f>AX5</f>
        <v>15007</v>
      </c>
      <c r="AY355" s="19">
        <f t="shared" ref="AY355:BI355" si="25">AY5</f>
        <v>15208</v>
      </c>
      <c r="AZ355" s="19">
        <f t="shared" si="25"/>
        <v>15209</v>
      </c>
      <c r="BA355" s="19">
        <f t="shared" si="25"/>
        <v>15210</v>
      </c>
      <c r="BB355" s="19">
        <f t="shared" si="25"/>
        <v>15211</v>
      </c>
      <c r="BC355" s="19">
        <f t="shared" si="25"/>
        <v>15212</v>
      </c>
      <c r="BD355" s="19">
        <f t="shared" si="25"/>
        <v>15232</v>
      </c>
      <c r="BE355" s="19">
        <f t="shared" si="25"/>
        <v>15214</v>
      </c>
      <c r="BF355" s="19">
        <f t="shared" si="25"/>
        <v>15214</v>
      </c>
      <c r="BG355" s="19">
        <f t="shared" si="25"/>
        <v>15233</v>
      </c>
      <c r="BH355" s="19">
        <f t="shared" si="25"/>
        <v>15234</v>
      </c>
      <c r="BI355" s="19">
        <f t="shared" si="25"/>
        <v>15215</v>
      </c>
      <c r="BJ355" s="21"/>
    </row>
    <row r="356" spans="1:62" x14ac:dyDescent="0.25">
      <c r="A356" t="s">
        <v>608</v>
      </c>
      <c r="E356" s="20">
        <f t="shared" ref="E356:AL356" si="26">E345/E352</f>
        <v>9.3781094181005983E-2</v>
      </c>
      <c r="F356" s="20">
        <f t="shared" si="26"/>
        <v>0.14820641643388327</v>
      </c>
      <c r="G356" s="20">
        <f t="shared" si="26"/>
        <v>3.6590200342385776E-2</v>
      </c>
      <c r="H356" s="20">
        <f t="shared" si="26"/>
        <v>2.0891896212867876E-3</v>
      </c>
      <c r="I356" s="20">
        <f t="shared" si="26"/>
        <v>7.0759797880366501E-2</v>
      </c>
      <c r="J356" s="20">
        <f t="shared" si="26"/>
        <v>4.3089259274081609E-2</v>
      </c>
      <c r="K356" s="20">
        <f t="shared" si="26"/>
        <v>7.5160132561553711E-2</v>
      </c>
      <c r="L356" s="20">
        <f t="shared" si="26"/>
        <v>0.16805162146468977</v>
      </c>
      <c r="M356" s="20">
        <f t="shared" si="26"/>
        <v>4.2079565104691241E-2</v>
      </c>
      <c r="N356" s="20">
        <f>N345/N352</f>
        <v>3.2124340543036894E-2</v>
      </c>
      <c r="O356" s="20">
        <f t="shared" si="26"/>
        <v>0.86535987183358365</v>
      </c>
      <c r="P356" s="20">
        <f t="shared" si="26"/>
        <v>3.549426523604484E-2</v>
      </c>
      <c r="Q356" s="20">
        <f t="shared" si="26"/>
        <v>0.47375816816802058</v>
      </c>
      <c r="R356" s="20">
        <f t="shared" si="26"/>
        <v>9.5818517250733926E-2</v>
      </c>
      <c r="S356" s="20">
        <f t="shared" si="26"/>
        <v>0.14101845523934853</v>
      </c>
      <c r="T356" s="20">
        <f t="shared" si="26"/>
        <v>4.6845620375570801E-2</v>
      </c>
      <c r="U356" s="20">
        <f t="shared" si="26"/>
        <v>8.4707492768862677E-2</v>
      </c>
      <c r="V356" s="20">
        <f t="shared" si="26"/>
        <v>5.1976552570250384E-2</v>
      </c>
      <c r="W356" s="20">
        <f t="shared" si="26"/>
        <v>8.1526974407154409E-2</v>
      </c>
      <c r="X356" s="20">
        <f t="shared" si="26"/>
        <v>0.16303099425644763</v>
      </c>
      <c r="Y356" s="20">
        <f t="shared" si="26"/>
        <v>0.14542694106726431</v>
      </c>
      <c r="Z356" s="20">
        <f t="shared" si="26"/>
        <v>0.5586540031220143</v>
      </c>
      <c r="AA356" s="20">
        <f t="shared" si="26"/>
        <v>5.9855360879095702E-2</v>
      </c>
      <c r="AB356" s="20">
        <f t="shared" si="26"/>
        <v>0.86477877861375618</v>
      </c>
      <c r="AC356" s="20">
        <f t="shared" si="26"/>
        <v>0.15451924222293964</v>
      </c>
      <c r="AD356" s="20">
        <f t="shared" si="26"/>
        <v>0.30902701999007215</v>
      </c>
      <c r="AE356" s="20">
        <f t="shared" si="26"/>
        <v>0.15986491652436283</v>
      </c>
      <c r="AF356" s="20">
        <f t="shared" si="26"/>
        <v>0.28984975448201544</v>
      </c>
      <c r="AG356" s="20">
        <f t="shared" si="26"/>
        <v>0.35330710774557944</v>
      </c>
      <c r="AH356" s="20">
        <f t="shared" si="26"/>
        <v>0.13783884218612097</v>
      </c>
      <c r="AI356" s="20">
        <f t="shared" si="26"/>
        <v>0.2607907627857563</v>
      </c>
      <c r="AJ356" s="20">
        <f t="shared" si="26"/>
        <v>0.54211275529050262</v>
      </c>
      <c r="AK356" s="20">
        <f t="shared" si="26"/>
        <v>0.74952029291821054</v>
      </c>
      <c r="AL356" s="20">
        <f t="shared" si="26"/>
        <v>0.74971169423255046</v>
      </c>
      <c r="AM356" s="20">
        <f>AM345/AM352</f>
        <v>8.9213357981730593E-2</v>
      </c>
      <c r="AN356" s="20">
        <f>AN345/AN352</f>
        <v>0.74964416990352278</v>
      </c>
      <c r="AO356" s="20">
        <f>AO345/AO352</f>
        <v>0.17437207992552242</v>
      </c>
      <c r="AP356" s="20">
        <f>AP345/AP352</f>
        <v>0.10645305271747683</v>
      </c>
      <c r="AQ356" s="20">
        <f t="shared" ref="AQ356:AW356" si="27">AQ345/AQ352</f>
        <v>0.29428532680221653</v>
      </c>
      <c r="AR356" s="20">
        <f t="shared" si="27"/>
        <v>9.9067569583181705E-2</v>
      </c>
      <c r="AS356" s="20">
        <f t="shared" si="27"/>
        <v>0.15772793426388965</v>
      </c>
      <c r="AT356" s="20">
        <v>0</v>
      </c>
      <c r="AU356" s="20">
        <f t="shared" si="27"/>
        <v>0.13924342297341902</v>
      </c>
      <c r="AV356" s="20">
        <f t="shared" si="27"/>
        <v>0.10027577591048072</v>
      </c>
      <c r="AW356" s="20">
        <f t="shared" si="27"/>
        <v>0.10059948085228244</v>
      </c>
      <c r="AX356" s="20">
        <f>AX345/AX352</f>
        <v>0.18606981635296235</v>
      </c>
      <c r="AY356" s="20">
        <f t="shared" ref="AY356:BI356" si="28">AY345/AY352</f>
        <v>5.257166211251732E-2</v>
      </c>
      <c r="AZ356" s="20">
        <f t="shared" si="28"/>
        <v>0.10629851161051682</v>
      </c>
      <c r="BA356" s="20">
        <f t="shared" si="28"/>
        <v>0.17715440674089858</v>
      </c>
      <c r="BB356" s="20">
        <f t="shared" si="28"/>
        <v>0.18213764123980805</v>
      </c>
      <c r="BC356" s="20">
        <f t="shared" si="28"/>
        <v>5.4660762601014164E-2</v>
      </c>
      <c r="BD356" s="20">
        <f t="shared" si="28"/>
        <v>7.2379624344065446E-2</v>
      </c>
      <c r="BE356" s="20">
        <f t="shared" si="28"/>
        <v>0.16862077838994846</v>
      </c>
      <c r="BF356" s="20">
        <f t="shared" si="28"/>
        <v>0.16862077838994846</v>
      </c>
      <c r="BG356" s="20">
        <f t="shared" si="28"/>
        <v>4.4631257000350817E-2</v>
      </c>
      <c r="BH356" s="20">
        <f t="shared" si="28"/>
        <v>0.58106086008575997</v>
      </c>
      <c r="BI356" s="20">
        <f t="shared" si="28"/>
        <v>7.4196933668695425E-2</v>
      </c>
      <c r="BJ356" s="21"/>
    </row>
    <row r="357" spans="1:62" x14ac:dyDescent="0.25">
      <c r="A357" t="s">
        <v>609</v>
      </c>
      <c r="E357" s="20">
        <f t="shared" ref="E357:AL357" si="29">E346/E352</f>
        <v>0.23186801657671491</v>
      </c>
      <c r="F357" s="20">
        <f t="shared" si="29"/>
        <v>0.17651105491362742</v>
      </c>
      <c r="G357" s="20">
        <f t="shared" si="29"/>
        <v>0.35426172421940716</v>
      </c>
      <c r="H357" s="20">
        <f t="shared" si="29"/>
        <v>0</v>
      </c>
      <c r="I357" s="20">
        <f t="shared" si="29"/>
        <v>0.3724069787055958</v>
      </c>
      <c r="J357" s="20">
        <f t="shared" si="29"/>
        <v>0.34735811270922867</v>
      </c>
      <c r="K357" s="20">
        <f t="shared" si="29"/>
        <v>0.71704626258709614</v>
      </c>
      <c r="L357" s="20">
        <f t="shared" si="29"/>
        <v>8.7506876345126827E-2</v>
      </c>
      <c r="M357" s="20">
        <f t="shared" si="29"/>
        <v>0.21241959676743308</v>
      </c>
      <c r="N357" s="20">
        <f>N346/N352</f>
        <v>0.75758188402817894</v>
      </c>
      <c r="O357" s="20">
        <f t="shared" si="29"/>
        <v>1.5455973916322915E-2</v>
      </c>
      <c r="P357" s="20">
        <f t="shared" si="29"/>
        <v>0.78118870577179789</v>
      </c>
      <c r="Q357" s="20">
        <f t="shared" si="29"/>
        <v>0.15309837513043678</v>
      </c>
      <c r="R357" s="20">
        <f t="shared" si="29"/>
        <v>0.2103119300803844</v>
      </c>
      <c r="S357" s="20">
        <f t="shared" si="29"/>
        <v>0.17406849020764226</v>
      </c>
      <c r="T357" s="20">
        <f t="shared" si="29"/>
        <v>0.95403856641677465</v>
      </c>
      <c r="U357" s="20">
        <f t="shared" si="29"/>
        <v>0.74259673781417812</v>
      </c>
      <c r="V357" s="20">
        <f t="shared" si="29"/>
        <v>0.30804768677777333</v>
      </c>
      <c r="W357" s="20">
        <f t="shared" si="29"/>
        <v>0.22629546844126253</v>
      </c>
      <c r="X357" s="20">
        <f t="shared" si="29"/>
        <v>1.4031464039036143E-2</v>
      </c>
      <c r="Y357" s="20">
        <f t="shared" si="29"/>
        <v>0.17838797440695772</v>
      </c>
      <c r="Z357" s="20">
        <f t="shared" si="29"/>
        <v>6.9596569553610863E-4</v>
      </c>
      <c r="AA357" s="20">
        <f t="shared" si="29"/>
        <v>0.37910374822743992</v>
      </c>
      <c r="AB357" s="20">
        <f t="shared" si="29"/>
        <v>1.0783461847327817E-2</v>
      </c>
      <c r="AC357" s="20">
        <f t="shared" si="29"/>
        <v>0.14749814933187352</v>
      </c>
      <c r="AD357" s="20">
        <f t="shared" si="29"/>
        <v>0.17623394886569102</v>
      </c>
      <c r="AE357" s="20">
        <f t="shared" si="29"/>
        <v>0.15548922442299073</v>
      </c>
      <c r="AF357" s="20">
        <f t="shared" si="29"/>
        <v>4.7248325536162455E-2</v>
      </c>
      <c r="AG357" s="20">
        <f t="shared" si="29"/>
        <v>0.13542454158318817</v>
      </c>
      <c r="AH357" s="20">
        <f t="shared" si="29"/>
        <v>0.13306929821046956</v>
      </c>
      <c r="AI357" s="20">
        <f t="shared" si="29"/>
        <v>4.3085234818993318E-2</v>
      </c>
      <c r="AJ357" s="20">
        <f t="shared" si="29"/>
        <v>7.0003157219090874E-4</v>
      </c>
      <c r="AK357" s="20">
        <f t="shared" si="29"/>
        <v>8.8934252821989523E-2</v>
      </c>
      <c r="AL357" s="20">
        <f t="shared" si="29"/>
        <v>8.8885281570976638E-2</v>
      </c>
      <c r="AM357" s="20">
        <f>AM346/AM352</f>
        <v>0.73966478824919601</v>
      </c>
      <c r="AN357" s="20">
        <f>AN346/AN352</f>
        <v>8.8962516918970572E-2</v>
      </c>
      <c r="AO357" s="20">
        <f>AO346/AO352</f>
        <v>0.16205030893234543</v>
      </c>
      <c r="AP357" s="20">
        <f>AP346/AP352</f>
        <v>0</v>
      </c>
      <c r="AQ357" s="20">
        <f t="shared" ref="AQ357:AW357" si="30">AQ346/AQ352</f>
        <v>4.7733763468607603E-2</v>
      </c>
      <c r="AR357" s="20">
        <f t="shared" si="30"/>
        <v>0</v>
      </c>
      <c r="AS357" s="20">
        <f t="shared" si="30"/>
        <v>0.34283539298971794</v>
      </c>
      <c r="AT357" s="20">
        <v>0</v>
      </c>
      <c r="AU357" s="20">
        <f t="shared" si="30"/>
        <v>0.39523603031807919</v>
      </c>
      <c r="AV357" s="20">
        <f t="shared" si="30"/>
        <v>0</v>
      </c>
      <c r="AW357" s="20">
        <f t="shared" si="30"/>
        <v>0</v>
      </c>
      <c r="AX357" s="20">
        <f>AX346/AX352</f>
        <v>1.3646946342554438E-2</v>
      </c>
      <c r="AY357" s="20">
        <f t="shared" ref="AY357:BI357" si="31">AY346/AY352</f>
        <v>0.2621606034617463</v>
      </c>
      <c r="AZ357" s="20">
        <f t="shared" si="31"/>
        <v>7.6248504352818451E-3</v>
      </c>
      <c r="BA357" s="20">
        <f t="shared" si="31"/>
        <v>1.3791988389340985E-2</v>
      </c>
      <c r="BB357" s="20">
        <f t="shared" si="31"/>
        <v>0.17054013050285136</v>
      </c>
      <c r="BC357" s="20">
        <f t="shared" si="31"/>
        <v>0.27157138633553723</v>
      </c>
      <c r="BD357" s="20">
        <f t="shared" si="31"/>
        <v>8.5211732579939681E-3</v>
      </c>
      <c r="BE357" s="20">
        <f t="shared" si="31"/>
        <v>0.21310282000558356</v>
      </c>
      <c r="BF357" s="20">
        <f t="shared" si="31"/>
        <v>0.21310282000558356</v>
      </c>
      <c r="BG357" s="20">
        <f t="shared" si="31"/>
        <v>8.7764354444005467E-3</v>
      </c>
      <c r="BH357" s="20">
        <f t="shared" si="31"/>
        <v>8.0417620390255851E-2</v>
      </c>
      <c r="BI357" s="20">
        <f t="shared" si="31"/>
        <v>0.25251918603153889</v>
      </c>
      <c r="BJ357" s="21"/>
    </row>
    <row r="358" spans="1:62" x14ac:dyDescent="0.25">
      <c r="A358" t="s">
        <v>610</v>
      </c>
      <c r="E358" s="20">
        <f t="shared" ref="E358:AL358" si="32">E347/E352</f>
        <v>0.22193146720118948</v>
      </c>
      <c r="F358" s="20">
        <f t="shared" si="32"/>
        <v>0.28183479668881045</v>
      </c>
      <c r="G358" s="20">
        <f t="shared" si="32"/>
        <v>0.45747104262195676</v>
      </c>
      <c r="H358" s="20">
        <f t="shared" si="32"/>
        <v>5.5722992745583282E-2</v>
      </c>
      <c r="I358" s="20">
        <f t="shared" si="32"/>
        <v>0.33859648810078463</v>
      </c>
      <c r="J358" s="20">
        <f t="shared" si="32"/>
        <v>0.43907565059487319</v>
      </c>
      <c r="K358" s="20">
        <f t="shared" si="32"/>
        <v>0.15272249818914266</v>
      </c>
      <c r="L358" s="20">
        <f t="shared" si="32"/>
        <v>0.10026018909195183</v>
      </c>
      <c r="M358" s="20">
        <f t="shared" si="32"/>
        <v>0.36877780277503425</v>
      </c>
      <c r="N358" s="20">
        <f>N347/N352</f>
        <v>0.21070038317724304</v>
      </c>
      <c r="O358" s="20">
        <f t="shared" si="32"/>
        <v>0</v>
      </c>
      <c r="P358" s="20">
        <f t="shared" si="32"/>
        <v>2.8256269574896166E-3</v>
      </c>
      <c r="Q358" s="20">
        <f t="shared" si="32"/>
        <v>0.31965201024164186</v>
      </c>
      <c r="R358" s="20">
        <f t="shared" si="32"/>
        <v>0.63931077170728934</v>
      </c>
      <c r="S358" s="20">
        <f t="shared" si="32"/>
        <v>0.3773091722893514</v>
      </c>
      <c r="T358" s="20">
        <f t="shared" si="32"/>
        <v>0</v>
      </c>
      <c r="U358" s="20">
        <f t="shared" si="32"/>
        <v>0.15816445351341529</v>
      </c>
      <c r="V358" s="20">
        <f t="shared" si="32"/>
        <v>0.4581753306014883</v>
      </c>
      <c r="W358" s="20">
        <f t="shared" si="32"/>
        <v>0.38571664895280006</v>
      </c>
      <c r="X358" s="20">
        <f t="shared" si="32"/>
        <v>0</v>
      </c>
      <c r="Y358" s="20">
        <f t="shared" si="32"/>
        <v>0.14772963959790919</v>
      </c>
      <c r="Z358" s="20">
        <f t="shared" si="32"/>
        <v>9.2608887058368283E-2</v>
      </c>
      <c r="AA358" s="20">
        <f t="shared" si="32"/>
        <v>0.43361514959173336</v>
      </c>
      <c r="AB358" s="20">
        <f t="shared" si="32"/>
        <v>0</v>
      </c>
      <c r="AC358" s="20">
        <f t="shared" si="32"/>
        <v>0.29499687035504618</v>
      </c>
      <c r="AD358" s="20">
        <f t="shared" si="32"/>
        <v>0.23699892078094675</v>
      </c>
      <c r="AE358" s="20">
        <f t="shared" si="32"/>
        <v>0.10243978891432991</v>
      </c>
      <c r="AF358" s="20">
        <f t="shared" si="32"/>
        <v>1.1243583408278787E-2</v>
      </c>
      <c r="AG358" s="20">
        <f t="shared" si="32"/>
        <v>0.2096532181935073</v>
      </c>
      <c r="AH358" s="20">
        <f t="shared" si="32"/>
        <v>0.11585325424288324</v>
      </c>
      <c r="AI358" s="20">
        <f t="shared" si="32"/>
        <v>1.1039380231344887E-2</v>
      </c>
      <c r="AJ358" s="20">
        <f t="shared" si="32"/>
        <v>8.7367675585504456E-2</v>
      </c>
      <c r="AK358" s="20">
        <f t="shared" si="32"/>
        <v>0</v>
      </c>
      <c r="AL358" s="20">
        <f t="shared" si="32"/>
        <v>0</v>
      </c>
      <c r="AM358" s="20">
        <f>AM347/AM352</f>
        <v>0.15754000770529988</v>
      </c>
      <c r="AN358" s="20">
        <f>AN347/AN352</f>
        <v>0</v>
      </c>
      <c r="AO358" s="20">
        <f>AO347/AO352</f>
        <v>0.34362891943516788</v>
      </c>
      <c r="AP358" s="20">
        <f>AP347/AP352</f>
        <v>0</v>
      </c>
      <c r="AQ358" s="20">
        <f t="shared" ref="AQ358:AW358" si="33">AQ347/AQ352</f>
        <v>1.102448328871263E-2</v>
      </c>
      <c r="AR358" s="20">
        <f t="shared" si="33"/>
        <v>0</v>
      </c>
      <c r="AS358" s="20">
        <f t="shared" si="33"/>
        <v>0.23195575506610633</v>
      </c>
      <c r="AT358" s="20">
        <v>0</v>
      </c>
      <c r="AU358" s="20">
        <f t="shared" si="33"/>
        <v>0.32779783900609227</v>
      </c>
      <c r="AV358" s="20">
        <f t="shared" si="33"/>
        <v>0</v>
      </c>
      <c r="AW358" s="20">
        <f t="shared" si="33"/>
        <v>0</v>
      </c>
      <c r="AX358" s="20">
        <f>AX347/AX352</f>
        <v>0</v>
      </c>
      <c r="AY358" s="20">
        <f t="shared" ref="AY358:BI358" si="34">AY347/AY352</f>
        <v>0.48570799717588159</v>
      </c>
      <c r="AZ358" s="20">
        <f t="shared" si="34"/>
        <v>2.4038397604221697E-2</v>
      </c>
      <c r="BA358" s="20">
        <f t="shared" si="34"/>
        <v>0</v>
      </c>
      <c r="BB358" s="20">
        <f t="shared" si="34"/>
        <v>0.33320906944314183</v>
      </c>
      <c r="BC358" s="20">
        <f t="shared" si="34"/>
        <v>0.64158034546399323</v>
      </c>
      <c r="BD358" s="20">
        <f t="shared" si="34"/>
        <v>2.6864168589081416E-2</v>
      </c>
      <c r="BE358" s="20">
        <f t="shared" si="34"/>
        <v>0.32270145348560153</v>
      </c>
      <c r="BF358" s="20">
        <f t="shared" si="34"/>
        <v>0.32270145348560153</v>
      </c>
      <c r="BG358" s="20">
        <f t="shared" si="34"/>
        <v>2.7668909031740241E-2</v>
      </c>
      <c r="BH358" s="20">
        <f t="shared" si="34"/>
        <v>9.1723142639246261E-2</v>
      </c>
      <c r="BI358" s="20">
        <f t="shared" si="34"/>
        <v>0.6409841747431132</v>
      </c>
      <c r="BJ358" s="21"/>
    </row>
    <row r="359" spans="1:62" x14ac:dyDescent="0.25">
      <c r="A359" t="s">
        <v>611</v>
      </c>
      <c r="E359" s="20">
        <f t="shared" ref="E359:AL359" si="35">E348/E352</f>
        <v>0.1437381081921173</v>
      </c>
      <c r="F359" s="20">
        <f t="shared" si="35"/>
        <v>0.28461224279717284</v>
      </c>
      <c r="G359" s="20">
        <f t="shared" si="35"/>
        <v>2.3659644570498938E-4</v>
      </c>
      <c r="H359" s="20">
        <f t="shared" si="35"/>
        <v>2.2442013954298821E-2</v>
      </c>
      <c r="I359" s="20">
        <f t="shared" si="35"/>
        <v>6.2286196092477562E-2</v>
      </c>
      <c r="J359" s="20">
        <f t="shared" si="35"/>
        <v>2.1850335749473097E-4</v>
      </c>
      <c r="K359" s="20">
        <f t="shared" si="35"/>
        <v>0</v>
      </c>
      <c r="L359" s="20">
        <f t="shared" si="35"/>
        <v>0.3433696465938601</v>
      </c>
      <c r="M359" s="20">
        <f t="shared" si="35"/>
        <v>5.9325452378498157E-2</v>
      </c>
      <c r="N359" s="20">
        <f>N348/N352</f>
        <v>0</v>
      </c>
      <c r="O359" s="20">
        <f t="shared" si="35"/>
        <v>0.15350815001261489</v>
      </c>
      <c r="P359" s="20">
        <f t="shared" si="35"/>
        <v>1.289817158896664E-3</v>
      </c>
      <c r="Q359" s="20">
        <f t="shared" si="35"/>
        <v>6.2945389377327188E-2</v>
      </c>
      <c r="R359" s="20">
        <f t="shared" si="35"/>
        <v>5.4617169898278544E-3</v>
      </c>
      <c r="S359" s="20">
        <f t="shared" si="35"/>
        <v>0.28503051475485791</v>
      </c>
      <c r="T359" s="20">
        <f t="shared" si="35"/>
        <v>0</v>
      </c>
      <c r="U359" s="20">
        <f t="shared" si="35"/>
        <v>0</v>
      </c>
      <c r="V359" s="20">
        <f t="shared" si="35"/>
        <v>2.8106995931863153E-4</v>
      </c>
      <c r="W359" s="20">
        <f t="shared" si="35"/>
        <v>0.11001949329161852</v>
      </c>
      <c r="X359" s="20">
        <f t="shared" si="35"/>
        <v>0.81886626906936666</v>
      </c>
      <c r="Y359" s="20">
        <f t="shared" si="35"/>
        <v>0.27665501747128041</v>
      </c>
      <c r="Z359" s="20">
        <f t="shared" si="35"/>
        <v>0.34575081467039731</v>
      </c>
      <c r="AA359" s="20">
        <f t="shared" si="35"/>
        <v>2.5952836178215033E-4</v>
      </c>
      <c r="AB359" s="20">
        <f t="shared" si="35"/>
        <v>0.1558494438292736</v>
      </c>
      <c r="AC359" s="20">
        <f t="shared" si="35"/>
        <v>0.30381088446956922</v>
      </c>
      <c r="AD359" s="20">
        <f t="shared" si="35"/>
        <v>0.28034739987235646</v>
      </c>
      <c r="AE359" s="20">
        <f t="shared" si="35"/>
        <v>0.26048084249769188</v>
      </c>
      <c r="AF359" s="20">
        <f t="shared" si="35"/>
        <v>0.63413856088463971</v>
      </c>
      <c r="AG359" s="20">
        <f t="shared" si="35"/>
        <v>0.27552342641381944</v>
      </c>
      <c r="AH359" s="20">
        <f t="shared" si="35"/>
        <v>0.28698985786922826</v>
      </c>
      <c r="AI359" s="20">
        <f t="shared" si="35"/>
        <v>0.61555822768879898</v>
      </c>
      <c r="AJ359" s="20">
        <f t="shared" si="35"/>
        <v>0.36802561634160602</v>
      </c>
      <c r="AK359" s="20">
        <f t="shared" si="35"/>
        <v>0.19926294640590747</v>
      </c>
      <c r="AL359" s="20">
        <f t="shared" si="35"/>
        <v>0.19915321308497286</v>
      </c>
      <c r="AM359" s="20">
        <f>AM348/AM352</f>
        <v>0</v>
      </c>
      <c r="AN359" s="20">
        <f>AN348/AN352</f>
        <v>0.19932627232091074</v>
      </c>
      <c r="AO359" s="20">
        <f>AO348/AO352</f>
        <v>0.31402290262057281</v>
      </c>
      <c r="AP359" s="20">
        <f>AP348/AP352</f>
        <v>0.89383508448544535</v>
      </c>
      <c r="AQ359" s="20">
        <f t="shared" ref="AQ359:AW359" si="36">AQ348/AQ352</f>
        <v>0.63710554893925864</v>
      </c>
      <c r="AR359" s="20">
        <f t="shared" si="36"/>
        <v>0.90155380829130971</v>
      </c>
      <c r="AS359" s="20">
        <f t="shared" si="36"/>
        <v>0.23667308763051645</v>
      </c>
      <c r="AT359" s="20">
        <v>0</v>
      </c>
      <c r="AU359" s="20">
        <f t="shared" si="36"/>
        <v>0.12316019892631629</v>
      </c>
      <c r="AV359" s="20">
        <f t="shared" si="36"/>
        <v>0.89959501782406326</v>
      </c>
      <c r="AW359" s="20">
        <f t="shared" si="36"/>
        <v>0.89983138295229037</v>
      </c>
      <c r="AX359" s="20">
        <f>AX348/AX352</f>
        <v>0.79642635656298943</v>
      </c>
      <c r="AY359" s="20">
        <f t="shared" ref="AY359:BI359" si="37">AY348/AY352</f>
        <v>0.16288127739849725</v>
      </c>
      <c r="AZ359" s="20">
        <f t="shared" si="37"/>
        <v>0.80399132605502865</v>
      </c>
      <c r="BA359" s="20">
        <f t="shared" si="37"/>
        <v>0.80489080996035289</v>
      </c>
      <c r="BB359" s="20">
        <f t="shared" si="37"/>
        <v>0.30745974993996372</v>
      </c>
      <c r="BC359" s="20">
        <f t="shared" si="37"/>
        <v>3.9464960848608629E-4</v>
      </c>
      <c r="BD359" s="20">
        <f t="shared" si="37"/>
        <v>0.82749414671475563</v>
      </c>
      <c r="BE359" s="20">
        <f t="shared" si="37"/>
        <v>0.29257928719033149</v>
      </c>
      <c r="BF359" s="20">
        <f t="shared" si="37"/>
        <v>0.29257928719033149</v>
      </c>
      <c r="BG359" s="20">
        <f t="shared" si="37"/>
        <v>0.8522821886089329</v>
      </c>
      <c r="BH359" s="20">
        <f t="shared" si="37"/>
        <v>0.24612552549349756</v>
      </c>
      <c r="BI359" s="20">
        <f t="shared" si="37"/>
        <v>3.9026620082238114E-4</v>
      </c>
      <c r="BJ359" s="21"/>
    </row>
    <row r="360" spans="1:62" x14ac:dyDescent="0.25">
      <c r="A360" t="s">
        <v>612</v>
      </c>
      <c r="E360" s="20">
        <f t="shared" ref="E360:AL360" si="38">E349/E352</f>
        <v>8.8047004630989675E-2</v>
      </c>
      <c r="F360" s="20">
        <f t="shared" si="38"/>
        <v>4.0032928615566232E-2</v>
      </c>
      <c r="G360" s="20">
        <f t="shared" si="38"/>
        <v>8.3473575718780474E-2</v>
      </c>
      <c r="H360" s="20">
        <f t="shared" si="38"/>
        <v>0.89202282045407322</v>
      </c>
      <c r="I360" s="20">
        <f t="shared" si="38"/>
        <v>8.1598092484530371E-2</v>
      </c>
      <c r="J360" s="20">
        <f t="shared" si="38"/>
        <v>0.10624034357408892</v>
      </c>
      <c r="K360" s="20">
        <f t="shared" si="38"/>
        <v>5.5681002354018849E-2</v>
      </c>
      <c r="L360" s="20">
        <f t="shared" si="38"/>
        <v>5.5930899711731388E-2</v>
      </c>
      <c r="M360" s="20">
        <f t="shared" si="38"/>
        <v>0.12112618811179182</v>
      </c>
      <c r="N360" s="20">
        <f>N349/N352</f>
        <v>0</v>
      </c>
      <c r="O360" s="20">
        <f t="shared" si="38"/>
        <v>0</v>
      </c>
      <c r="P360" s="20">
        <f t="shared" si="38"/>
        <v>0.10814101552287482</v>
      </c>
      <c r="Q360" s="20">
        <f t="shared" si="38"/>
        <v>0</v>
      </c>
      <c r="R360" s="20">
        <f t="shared" si="38"/>
        <v>2.2320954420803414E-3</v>
      </c>
      <c r="S360" s="20">
        <f t="shared" si="38"/>
        <v>-1.1112819615564004E-2</v>
      </c>
      <c r="T360" s="20">
        <f t="shared" si="38"/>
        <v>0</v>
      </c>
      <c r="U360" s="20">
        <f t="shared" si="38"/>
        <v>1.5049002351799175E-2</v>
      </c>
      <c r="V360" s="20">
        <f t="shared" si="38"/>
        <v>0.12154683793686016</v>
      </c>
      <c r="W360" s="20">
        <f t="shared" si="38"/>
        <v>0.12015251274387669</v>
      </c>
      <c r="X360" s="20">
        <f t="shared" si="38"/>
        <v>0</v>
      </c>
      <c r="Y360" s="20">
        <f t="shared" si="38"/>
        <v>9.3955446472436685E-2</v>
      </c>
      <c r="Z360" s="20">
        <f t="shared" si="38"/>
        <v>0</v>
      </c>
      <c r="AA360" s="20">
        <f t="shared" si="38"/>
        <v>4.1841299040132514E-2</v>
      </c>
      <c r="AB360" s="20">
        <f t="shared" si="38"/>
        <v>0</v>
      </c>
      <c r="AC360" s="20">
        <f t="shared" si="38"/>
        <v>4.4549956763716862E-2</v>
      </c>
      <c r="AD360" s="20">
        <f t="shared" si="38"/>
        <v>0</v>
      </c>
      <c r="AE360" s="20">
        <f t="shared" si="38"/>
        <v>0.10936005197247167</v>
      </c>
      <c r="AF360" s="20">
        <f t="shared" si="38"/>
        <v>-1.6908149550434334E-2</v>
      </c>
      <c r="AG360" s="20">
        <f t="shared" si="38"/>
        <v>3.3763439074469728E-2</v>
      </c>
      <c r="AH360" s="20">
        <f t="shared" si="38"/>
        <v>9.2490287593523041E-2</v>
      </c>
      <c r="AI360" s="20">
        <f t="shared" si="38"/>
        <v>1.9584777911939435E-2</v>
      </c>
      <c r="AJ360" s="20">
        <f t="shared" si="38"/>
        <v>2.6426679505074083E-5</v>
      </c>
      <c r="AK360" s="20">
        <f t="shared" si="38"/>
        <v>4.0481670578580214E-5</v>
      </c>
      <c r="AL360" s="20">
        <f t="shared" si="38"/>
        <v>1.9398819575366604E-5</v>
      </c>
      <c r="AM360" s="20">
        <f>AM349/AM352</f>
        <v>1.4839418121872264E-2</v>
      </c>
      <c r="AN360" s="20">
        <f>AN349/AN352</f>
        <v>3.1333857922028015E-5</v>
      </c>
      <c r="AO360" s="20">
        <f>AO349/AO352</f>
        <v>-1.3269229965443106E-2</v>
      </c>
      <c r="AP360" s="20">
        <f>AP349/AP352</f>
        <v>0</v>
      </c>
      <c r="AQ360" s="20">
        <f t="shared" ref="AQ360:AW360" si="39">AQ349/AQ352</f>
        <v>-6.7192769626298766E-3</v>
      </c>
      <c r="AR360" s="20">
        <f t="shared" si="39"/>
        <v>0</v>
      </c>
      <c r="AS360" s="20">
        <f t="shared" si="39"/>
        <v>-9.7943869742587019E-3</v>
      </c>
      <c r="AT360" s="20">
        <v>0</v>
      </c>
      <c r="AU360" s="20">
        <f t="shared" si="39"/>
        <v>-2.933284979270861E-3</v>
      </c>
      <c r="AV360" s="20">
        <f t="shared" si="39"/>
        <v>0</v>
      </c>
      <c r="AW360" s="20">
        <f t="shared" si="39"/>
        <v>0</v>
      </c>
      <c r="AX360" s="20">
        <f>AX349/AX352</f>
        <v>0</v>
      </c>
      <c r="AY360" s="20">
        <f t="shared" ref="AY360:BI360" si="40">AY349/AY352</f>
        <v>0</v>
      </c>
      <c r="AZ360" s="20">
        <f t="shared" si="40"/>
        <v>0</v>
      </c>
      <c r="BA360" s="20">
        <f t="shared" si="40"/>
        <v>0</v>
      </c>
      <c r="BB360" s="20">
        <f t="shared" si="40"/>
        <v>-1.2680121659742314E-2</v>
      </c>
      <c r="BC360" s="20">
        <f t="shared" si="40"/>
        <v>0</v>
      </c>
      <c r="BD360" s="20">
        <f t="shared" si="40"/>
        <v>0</v>
      </c>
      <c r="BE360" s="20">
        <f t="shared" si="40"/>
        <v>-1.275731344878704E-2</v>
      </c>
      <c r="BF360" s="20">
        <f t="shared" si="40"/>
        <v>-1.275731344878704E-2</v>
      </c>
      <c r="BG360" s="20">
        <f t="shared" si="40"/>
        <v>0</v>
      </c>
      <c r="BH360" s="20">
        <f t="shared" si="40"/>
        <v>0</v>
      </c>
      <c r="BI360" s="20">
        <f t="shared" si="40"/>
        <v>0</v>
      </c>
      <c r="BJ360" s="21"/>
    </row>
    <row r="361" spans="1:62" x14ac:dyDescent="0.25">
      <c r="A361" t="s">
        <v>613</v>
      </c>
      <c r="E361" s="20">
        <f t="shared" ref="E361:M361" si="41">E350/E352</f>
        <v>0.22063430921798247</v>
      </c>
      <c r="F361" s="20">
        <f t="shared" si="41"/>
        <v>6.8802560550939904E-2</v>
      </c>
      <c r="G361" s="20">
        <f t="shared" si="41"/>
        <v>6.7966860651764827E-2</v>
      </c>
      <c r="H361" s="20">
        <f t="shared" si="41"/>
        <v>2.7722983224758042E-2</v>
      </c>
      <c r="I361" s="20">
        <f t="shared" si="41"/>
        <v>7.4352446736245054E-2</v>
      </c>
      <c r="J361" s="20">
        <f t="shared" si="41"/>
        <v>6.4018130490232916E-2</v>
      </c>
      <c r="K361" s="20">
        <f t="shared" si="41"/>
        <v>-6.0989569181146256E-4</v>
      </c>
      <c r="L361" s="20">
        <f t="shared" si="41"/>
        <v>0.2448807667926399</v>
      </c>
      <c r="M361" s="20">
        <f t="shared" si="41"/>
        <v>0.19627139486255157</v>
      </c>
      <c r="N361" s="20">
        <f>N350/N352</f>
        <v>-4.0660774845882228E-4</v>
      </c>
      <c r="O361" s="20">
        <f t="shared" ref="O361:AL361" si="42">O350/O352</f>
        <v>-3.4323995762521473E-2</v>
      </c>
      <c r="P361" s="20">
        <f t="shared" si="42"/>
        <v>7.1060569352896077E-2</v>
      </c>
      <c r="Q361" s="20">
        <f t="shared" si="42"/>
        <v>-9.4539429174263535E-3</v>
      </c>
      <c r="R361" s="20">
        <f t="shared" si="42"/>
        <v>4.686496852968413E-2</v>
      </c>
      <c r="S361" s="20">
        <f t="shared" si="42"/>
        <v>3.3686187124363935E-2</v>
      </c>
      <c r="T361" s="20">
        <f t="shared" si="42"/>
        <v>-8.8418679234532327E-4</v>
      </c>
      <c r="U361" s="20">
        <f t="shared" si="42"/>
        <v>-5.176864482551273E-4</v>
      </c>
      <c r="V361" s="20">
        <f t="shared" si="42"/>
        <v>5.9972522154309191E-2</v>
      </c>
      <c r="W361" s="20">
        <f t="shared" si="42"/>
        <v>7.6288902163287736E-2</v>
      </c>
      <c r="X361" s="20">
        <f t="shared" si="42"/>
        <v>4.071272635149622E-3</v>
      </c>
      <c r="Y361" s="20">
        <f t="shared" si="42"/>
        <v>0.1578449809841517</v>
      </c>
      <c r="Z361" s="20">
        <f t="shared" si="42"/>
        <v>2.2903294536840736E-3</v>
      </c>
      <c r="AA361" s="20">
        <f t="shared" si="42"/>
        <v>8.5324913899816252E-2</v>
      </c>
      <c r="AB361" s="20">
        <f t="shared" si="42"/>
        <v>-3.1411684290357476E-2</v>
      </c>
      <c r="AC361" s="20">
        <f t="shared" si="42"/>
        <v>5.4624896856854614E-2</v>
      </c>
      <c r="AD361" s="20">
        <f t="shared" si="42"/>
        <v>-2.6072895090664561E-3</v>
      </c>
      <c r="AE361" s="20">
        <f t="shared" si="42"/>
        <v>0.21236517566815288</v>
      </c>
      <c r="AF361" s="20">
        <f t="shared" si="42"/>
        <v>3.4427925239338034E-2</v>
      </c>
      <c r="AG361" s="20">
        <f t="shared" si="42"/>
        <v>-7.6717330105641182E-3</v>
      </c>
      <c r="AH361" s="20">
        <f t="shared" si="42"/>
        <v>0.23375845989777483</v>
      </c>
      <c r="AI361" s="20">
        <f t="shared" si="42"/>
        <v>4.9941616563167077E-2</v>
      </c>
      <c r="AJ361" s="20">
        <f t="shared" si="42"/>
        <v>1.7674945306910658E-3</v>
      </c>
      <c r="AK361" s="20">
        <f t="shared" si="42"/>
        <v>-3.7757973816686066E-2</v>
      </c>
      <c r="AL361" s="20">
        <f t="shared" si="42"/>
        <v>-3.7769587708075363E-2</v>
      </c>
      <c r="AM361" s="20">
        <f>AM350/AM352</f>
        <v>-1.2575720580988111E-3</v>
      </c>
      <c r="AN361" s="20">
        <f>AN350/AN352</f>
        <v>-3.7964293001326213E-2</v>
      </c>
      <c r="AO361" s="20">
        <f>AO350/AO352</f>
        <v>1.9195019051834617E-2</v>
      </c>
      <c r="AP361" s="20">
        <f>AP350/AP352</f>
        <v>-2.8813720292227208E-4</v>
      </c>
      <c r="AQ361" s="20">
        <f t="shared" ref="AQ361:AW361" si="43">AQ350/AQ352</f>
        <v>1.6570154463834627E-2</v>
      </c>
      <c r="AR361" s="20">
        <f t="shared" si="43"/>
        <v>-6.2137787449157171E-4</v>
      </c>
      <c r="AS361" s="20">
        <f t="shared" si="43"/>
        <v>4.0602217024028282E-2</v>
      </c>
      <c r="AT361" s="20">
        <v>0</v>
      </c>
      <c r="AU361" s="20">
        <f t="shared" si="43"/>
        <v>1.749579375536402E-2</v>
      </c>
      <c r="AV361" s="20">
        <f t="shared" si="43"/>
        <v>1.2920626545609716E-4</v>
      </c>
      <c r="AW361" s="20">
        <f t="shared" si="43"/>
        <v>-4.3086380457297863E-4</v>
      </c>
      <c r="AX361" s="20">
        <f>AX350/AX352</f>
        <v>3.856880741493728E-3</v>
      </c>
      <c r="AY361" s="20">
        <f t="shared" ref="AY361:BI361" si="44">AY350/AY352</f>
        <v>3.6678459851357516E-2</v>
      </c>
      <c r="AZ361" s="20">
        <f t="shared" si="44"/>
        <v>5.8046914294951159E-2</v>
      </c>
      <c r="BA361" s="20">
        <f t="shared" si="44"/>
        <v>4.1627949094074019E-3</v>
      </c>
      <c r="BB361" s="20">
        <f t="shared" si="44"/>
        <v>1.9333530533977433E-2</v>
      </c>
      <c r="BC361" s="20">
        <f t="shared" si="44"/>
        <v>3.1792855990969184E-2</v>
      </c>
      <c r="BD361" s="20">
        <f t="shared" si="44"/>
        <v>6.4740887094103444E-2</v>
      </c>
      <c r="BE361" s="20">
        <f t="shared" si="44"/>
        <v>1.5752974377321989E-2</v>
      </c>
      <c r="BF361" s="20">
        <f t="shared" si="44"/>
        <v>1.5752974377321989E-2</v>
      </c>
      <c r="BG361" s="20">
        <f t="shared" si="44"/>
        <v>6.6641209914575492E-2</v>
      </c>
      <c r="BH361" s="20">
        <f t="shared" si="44"/>
        <v>6.7285139124035145E-4</v>
      </c>
      <c r="BI361" s="20">
        <f t="shared" si="44"/>
        <v>3.1909439355830065E-2</v>
      </c>
      <c r="BJ361" s="21"/>
    </row>
    <row r="362" spans="1:62" x14ac:dyDescent="0.25">
      <c r="A362" s="21" t="s">
        <v>695</v>
      </c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</row>
  </sheetData>
  <mergeCells count="3">
    <mergeCell ref="A3:BI3"/>
    <mergeCell ref="BJ3:BJ362"/>
    <mergeCell ref="A362:BI362"/>
  </mergeCells>
  <conditionalFormatting sqref="A19:A35">
    <cfRule type="cellIs" dxfId="3" priority="17" stopIfTrue="1" operator="lessThan">
      <formula>0</formula>
    </cfRule>
  </conditionalFormatting>
  <conditionalFormatting sqref="B25:B35">
    <cfRule type="cellIs" dxfId="2" priority="26" stopIfTrue="1" operator="lessThan">
      <formula>0</formula>
    </cfRule>
  </conditionalFormatting>
  <conditionalFormatting sqref="C18:D26">
    <cfRule type="cellIs" dxfId="1" priority="18" stopIfTrue="1" operator="lessThan">
      <formula>0</formula>
    </cfRule>
  </conditionalFormatting>
  <conditionalFormatting sqref="E17:BI25">
    <cfRule type="cellIs" dxfId="0" priority="1" stopIfTrue="1" operator="lessThan">
      <formula>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1</Category>
    <Kupa_kml xmlns="e7c93c0b-31f4-4d6d-a404-57fd37393f5c">
      <Value>12</Value>
      <Value>1</Value>
      <Value>2</Value>
      <Value>3</Value>
      <Value>4</Value>
      <Value>5</Value>
      <Value>6</Value>
      <Value>7</Value>
      <Value>8</Value>
      <Value>9</Value>
      <Value>10</Value>
      <Value>11</Value>
    </Kupa_kml>
    <kupa_ktp xmlns="e7c93c0b-31f4-4d6d-a404-57fd37393f5c">
      <Value>14</Value>
      <Value>15</Value>
      <Value>19</Value>
      <Value>20</Value>
      <Value>21</Value>
      <Value>22</Value>
      <Value>6</Value>
      <Value>2</Value>
      <Value>3</Value>
      <Value>4</Value>
      <Value>9</Value>
      <Value>5</Value>
      <Value>11</Value>
      <Value>12</Value>
    </kupa_ktp>
    <Kupa_Hishtalmut xmlns="e7c93c0b-31f4-4d6d-a404-57fd37393f5c">
      <Value>6</Value>
      <Value>13</Value>
      <Value>14</Value>
      <Value>16</Value>
      <Value>17</Value>
      <Value>18</Value>
      <Value>9</Value>
      <Value>2</Value>
      <Value>3</Value>
      <Value>11</Value>
      <Value>12</Value>
      <Value>4</Value>
      <Value>5</Value>
    </Kupa_Hishtalmut>
    <kupa_tagmulim xmlns="e7c93c0b-31f4-4d6d-a404-57fd37393f5c"/>
    <Kupa_hly xmlns="e7c93c0b-31f4-4d6d-a404-57fd37393f5c">
      <Value>1</Value>
      <Value>2</Value>
      <Value>3</Value>
      <Value>4</Value>
      <Value>5</Value>
    </Kupa_hly>
    <Kupa_kgl xmlns="e7c93c0b-31f4-4d6d-a404-57fd37393f5c">
      <Value>8</Value>
      <Value>9</Value>
      <Value>11</Value>
      <Value>12</Value>
      <Value>13</Value>
      <Value>1</Value>
      <Value>2</Value>
      <Value>3</Value>
      <Value>4</Value>
      <Value>5</Value>
      <Value>6</Value>
      <Value>7</Value>
    </Kupa_kgl>
  </documentManagement>
</p:properties>
</file>

<file path=customXml/itemProps1.xml><?xml version="1.0" encoding="utf-8"?>
<ds:datastoreItem xmlns:ds="http://schemas.openxmlformats.org/officeDocument/2006/customXml" ds:itemID="{B300069D-CD53-492F-8C57-67058E44EDA4}"/>
</file>

<file path=customXml/itemProps2.xml><?xml version="1.0" encoding="utf-8"?>
<ds:datastoreItem xmlns:ds="http://schemas.openxmlformats.org/officeDocument/2006/customXml" ds:itemID="{F52A000C-15B4-4084-BCF7-4F7A5ACAD918}"/>
</file>

<file path=customXml/itemProps3.xml><?xml version="1.0" encoding="utf-8"?>
<ds:datastoreItem xmlns:ds="http://schemas.openxmlformats.org/officeDocument/2006/customXml" ds:itemID="{8B41EDF0-DE88-4E5A-8A8D-90A29AFC2D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UMTB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 חודשי 3/2025</dc:title>
  <dc:creator>פרידמן אמיר</dc:creator>
  <cp:lastModifiedBy>Tami Berman</cp:lastModifiedBy>
  <dcterms:created xsi:type="dcterms:W3CDTF">2025-04-27T09:18:46Z</dcterms:created>
  <dcterms:modified xsi:type="dcterms:W3CDTF">2025-04-28T12:08:54Z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