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User1\Desktop\בסד דצמבר 2024\"/>
    </mc:Choice>
  </mc:AlternateContent>
  <xr:revisionPtr revIDLastSave="0" documentId="13_ncr:1_{708E15D7-2758-49CC-ACC2-26416B321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3" i="1" l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AL350" i="1" l="1"/>
  <c r="AL352" i="1" s="1"/>
  <c r="V350" i="1"/>
  <c r="V352" i="1" s="1"/>
  <c r="BB350" i="1"/>
  <c r="BB352" i="1" s="1"/>
  <c r="V356" i="1"/>
  <c r="AL356" i="1"/>
  <c r="V357" i="1"/>
  <c r="AL357" i="1"/>
  <c r="M350" i="1"/>
  <c r="M352" i="1" s="1"/>
  <c r="Y350" i="1"/>
  <c r="Y352" i="1" s="1"/>
  <c r="AK350" i="1"/>
  <c r="AK352" i="1" s="1"/>
  <c r="AW350" i="1"/>
  <c r="AW352" i="1" s="1"/>
  <c r="BE350" i="1"/>
  <c r="BE354" i="1" s="1"/>
  <c r="AL358" i="1"/>
  <c r="J350" i="1"/>
  <c r="J352" i="1" s="1"/>
  <c r="Z350" i="1"/>
  <c r="Z352" i="1" s="1"/>
  <c r="AP350" i="1"/>
  <c r="AP352" i="1" s="1"/>
  <c r="BF350" i="1"/>
  <c r="BF352" i="1" s="1"/>
  <c r="U350" i="1"/>
  <c r="U352" i="1" s="1"/>
  <c r="AG350" i="1"/>
  <c r="AG352" i="1" s="1"/>
  <c r="AS350" i="1"/>
  <c r="AS352" i="1" s="1"/>
  <c r="V354" i="1"/>
  <c r="AL354" i="1"/>
  <c r="Y355" i="1"/>
  <c r="G350" i="1"/>
  <c r="G352" i="1" s="1"/>
  <c r="K350" i="1"/>
  <c r="K352" i="1" s="1"/>
  <c r="O350" i="1"/>
  <c r="O352" i="1" s="1"/>
  <c r="S350" i="1"/>
  <c r="S352" i="1" s="1"/>
  <c r="W350" i="1"/>
  <c r="W352" i="1" s="1"/>
  <c r="AA350" i="1"/>
  <c r="AA352" i="1" s="1"/>
  <c r="AE350" i="1"/>
  <c r="AE352" i="1" s="1"/>
  <c r="AI350" i="1"/>
  <c r="AI352" i="1" s="1"/>
  <c r="AM350" i="1"/>
  <c r="AM352" i="1" s="1"/>
  <c r="AQ350" i="1"/>
  <c r="AQ352" i="1" s="1"/>
  <c r="AU350" i="1"/>
  <c r="AU352" i="1" s="1"/>
  <c r="AY350" i="1"/>
  <c r="AY352" i="1" s="1"/>
  <c r="BC350" i="1"/>
  <c r="BC352" i="1" s="1"/>
  <c r="AL355" i="1"/>
  <c r="N350" i="1"/>
  <c r="N352" i="1" s="1"/>
  <c r="AD350" i="1"/>
  <c r="AD352" i="1" s="1"/>
  <c r="AT350" i="1"/>
  <c r="AT352" i="1" s="1"/>
  <c r="BI350" i="1"/>
  <c r="BI352" i="1" s="1"/>
  <c r="I350" i="1"/>
  <c r="I352" i="1" s="1"/>
  <c r="Q350" i="1"/>
  <c r="Q352" i="1" s="1"/>
  <c r="AC350" i="1"/>
  <c r="AC352" i="1" s="1"/>
  <c r="AO350" i="1"/>
  <c r="AO352" i="1" s="1"/>
  <c r="BA350" i="1"/>
  <c r="BA352" i="1" s="1"/>
  <c r="BH350" i="1"/>
  <c r="BH352" i="1" s="1"/>
  <c r="H350" i="1"/>
  <c r="H352" i="1" s="1"/>
  <c r="L350" i="1"/>
  <c r="L352" i="1" s="1"/>
  <c r="P350" i="1"/>
  <c r="P352" i="1" s="1"/>
  <c r="T350" i="1"/>
  <c r="T352" i="1" s="1"/>
  <c r="X350" i="1"/>
  <c r="X352" i="1" s="1"/>
  <c r="AB350" i="1"/>
  <c r="AB352" i="1" s="1"/>
  <c r="AF350" i="1"/>
  <c r="AF352" i="1" s="1"/>
  <c r="AJ350" i="1"/>
  <c r="AJ352" i="1" s="1"/>
  <c r="AN350" i="1"/>
  <c r="AN352" i="1" s="1"/>
  <c r="AR350" i="1"/>
  <c r="AR352" i="1" s="1"/>
  <c r="AV350" i="1"/>
  <c r="AV352" i="1" s="1"/>
  <c r="AZ350" i="1"/>
  <c r="AZ352" i="1" s="1"/>
  <c r="BD350" i="1"/>
  <c r="BD352" i="1" s="1"/>
  <c r="BG350" i="1"/>
  <c r="BG359" i="1" s="1"/>
  <c r="BC355" i="1"/>
  <c r="AQ359" i="1"/>
  <c r="F350" i="1"/>
  <c r="F352" i="1" s="1"/>
  <c r="R350" i="1"/>
  <c r="R352" i="1" s="1"/>
  <c r="AH350" i="1"/>
  <c r="AH352" i="1" s="1"/>
  <c r="AX350" i="1"/>
  <c r="AX352" i="1" s="1"/>
  <c r="AO358" i="1"/>
  <c r="AB359" i="1"/>
  <c r="AV359" i="1"/>
  <c r="R359" i="1"/>
  <c r="AL359" i="1"/>
  <c r="AG359" i="1" l="1"/>
  <c r="Z355" i="1"/>
  <c r="Z359" i="1"/>
  <c r="AG356" i="1"/>
  <c r="AG355" i="1"/>
  <c r="Z358" i="1"/>
  <c r="AQ358" i="1"/>
  <c r="AZ358" i="1"/>
  <c r="AA355" i="1"/>
  <c r="AV358" i="1"/>
  <c r="AZ359" i="1"/>
  <c r="AQ354" i="1"/>
  <c r="BA357" i="1"/>
  <c r="V358" i="1"/>
  <c r="AM358" i="1"/>
  <c r="AM359" i="1"/>
  <c r="M357" i="1"/>
  <c r="AI358" i="1"/>
  <c r="AI359" i="1"/>
  <c r="AN358" i="1"/>
  <c r="AT356" i="1"/>
  <c r="W355" i="1"/>
  <c r="AI356" i="1"/>
  <c r="AI354" i="1"/>
  <c r="N359" i="1"/>
  <c r="AO359" i="1"/>
  <c r="AN359" i="1"/>
  <c r="G354" i="1"/>
  <c r="W359" i="1"/>
  <c r="H358" i="1"/>
  <c r="N356" i="1"/>
  <c r="AV354" i="1"/>
  <c r="Q354" i="1"/>
  <c r="G358" i="1"/>
  <c r="V355" i="1"/>
  <c r="AK355" i="1"/>
  <c r="AU356" i="1"/>
  <c r="BE356" i="1"/>
  <c r="BH359" i="1"/>
  <c r="M359" i="1"/>
  <c r="AR359" i="1"/>
  <c r="H359" i="1"/>
  <c r="AF358" i="1"/>
  <c r="AS357" i="1"/>
  <c r="AP356" i="1"/>
  <c r="T359" i="1"/>
  <c r="AU355" i="1"/>
  <c r="BE359" i="1"/>
  <c r="BE358" i="1"/>
  <c r="P358" i="1"/>
  <c r="Q357" i="1"/>
  <c r="T354" i="1"/>
  <c r="H354" i="1"/>
  <c r="AV355" i="1"/>
  <c r="AB356" i="1"/>
  <c r="M355" i="1"/>
  <c r="BF359" i="1"/>
  <c r="AD359" i="1"/>
  <c r="AC359" i="1"/>
  <c r="I359" i="1"/>
  <c r="BD359" i="1"/>
  <c r="K359" i="1"/>
  <c r="BD354" i="1"/>
  <c r="AJ357" i="1"/>
  <c r="BF355" i="1"/>
  <c r="BB359" i="1"/>
  <c r="F359" i="1"/>
  <c r="Y359" i="1"/>
  <c r="BF358" i="1"/>
  <c r="AJ359" i="1"/>
  <c r="AK358" i="1"/>
  <c r="G359" i="1"/>
  <c r="AK357" i="1"/>
  <c r="I357" i="1"/>
  <c r="AD356" i="1"/>
  <c r="K355" i="1"/>
  <c r="AF354" i="1"/>
  <c r="W356" i="1"/>
  <c r="W358" i="1"/>
  <c r="BB355" i="1"/>
  <c r="BB354" i="1"/>
  <c r="BB356" i="1"/>
  <c r="AP359" i="1"/>
  <c r="V359" i="1"/>
  <c r="BC358" i="1"/>
  <c r="AA358" i="1"/>
  <c r="AK359" i="1"/>
  <c r="Q359" i="1"/>
  <c r="BB358" i="1"/>
  <c r="AF359" i="1"/>
  <c r="BH358" i="1"/>
  <c r="AG358" i="1"/>
  <c r="BC359" i="1"/>
  <c r="AA359" i="1"/>
  <c r="BD358" i="1"/>
  <c r="AJ358" i="1"/>
  <c r="BH357" i="1"/>
  <c r="AG357" i="1"/>
  <c r="BF356" i="1"/>
  <c r="Z356" i="1"/>
  <c r="AQ355" i="1"/>
  <c r="AN354" i="1"/>
  <c r="K356" i="1"/>
  <c r="I354" i="1"/>
  <c r="S358" i="1"/>
  <c r="AK356" i="1"/>
  <c r="AP355" i="1"/>
  <c r="N355" i="1"/>
  <c r="BE355" i="1"/>
  <c r="AA357" i="1"/>
  <c r="BB357" i="1"/>
  <c r="Y357" i="1"/>
  <c r="AH359" i="1"/>
  <c r="U359" i="1"/>
  <c r="S354" i="1"/>
  <c r="J356" i="1"/>
  <c r="AZ354" i="1"/>
  <c r="AR354" i="1"/>
  <c r="AJ354" i="1"/>
  <c r="AB354" i="1"/>
  <c r="L355" i="1"/>
  <c r="AF357" i="1"/>
  <c r="AW356" i="1"/>
  <c r="Y356" i="1"/>
  <c r="AD355" i="1"/>
  <c r="AE354" i="1"/>
  <c r="Q355" i="1"/>
  <c r="N354" i="1"/>
  <c r="AP358" i="1"/>
  <c r="K357" i="1"/>
  <c r="AF355" i="1"/>
  <c r="AA354" i="1"/>
  <c r="S356" i="1"/>
  <c r="AT359" i="1"/>
  <c r="AU358" i="1"/>
  <c r="AE358" i="1"/>
  <c r="AW359" i="1"/>
  <c r="L359" i="1"/>
  <c r="AW358" i="1"/>
  <c r="S359" i="1"/>
  <c r="F356" i="1"/>
  <c r="AE355" i="1"/>
  <c r="AZ357" i="1"/>
  <c r="T357" i="1"/>
  <c r="AS356" i="1"/>
  <c r="U356" i="1"/>
  <c r="AT355" i="1"/>
  <c r="AW355" i="1"/>
  <c r="AZ355" i="1"/>
  <c r="AG354" i="1"/>
  <c r="N358" i="1"/>
  <c r="BD356" i="1"/>
  <c r="AK354" i="1"/>
  <c r="AE359" i="1"/>
  <c r="AS355" i="1"/>
  <c r="J359" i="1"/>
  <c r="AS359" i="1"/>
  <c r="AT358" i="1"/>
  <c r="AS358" i="1"/>
  <c r="Y358" i="1"/>
  <c r="AW357" i="1"/>
  <c r="U357" i="1"/>
  <c r="L354" i="1"/>
  <c r="AV357" i="1"/>
  <c r="H357" i="1"/>
  <c r="Q356" i="1"/>
  <c r="H355" i="1"/>
  <c r="U354" i="1"/>
  <c r="AD358" i="1"/>
  <c r="AQ357" i="1"/>
  <c r="AN356" i="1"/>
  <c r="AP354" i="1"/>
  <c r="Y354" i="1"/>
  <c r="G355" i="1"/>
  <c r="AX356" i="1"/>
  <c r="BI355" i="1"/>
  <c r="P356" i="1"/>
  <c r="J354" i="1"/>
  <c r="AY358" i="1"/>
  <c r="X359" i="1"/>
  <c r="BA358" i="1"/>
  <c r="AC357" i="1"/>
  <c r="BG352" i="1"/>
  <c r="BG358" i="1"/>
  <c r="BG355" i="1"/>
  <c r="BA354" i="1"/>
  <c r="AC354" i="1"/>
  <c r="P357" i="1"/>
  <c r="BH356" i="1"/>
  <c r="AC356" i="1"/>
  <c r="M356" i="1"/>
  <c r="J355" i="1"/>
  <c r="AM354" i="1"/>
  <c r="T356" i="1"/>
  <c r="AT354" i="1"/>
  <c r="AA356" i="1"/>
  <c r="AN355" i="1"/>
  <c r="J358" i="1"/>
  <c r="BC357" i="1"/>
  <c r="AM357" i="1"/>
  <c r="W357" i="1"/>
  <c r="AZ356" i="1"/>
  <c r="AJ356" i="1"/>
  <c r="I355" i="1"/>
  <c r="AH354" i="1"/>
  <c r="AY356" i="1"/>
  <c r="T355" i="1"/>
  <c r="U358" i="1"/>
  <c r="I358" i="1"/>
  <c r="AX357" i="1"/>
  <c r="AH357" i="1"/>
  <c r="R357" i="1"/>
  <c r="F357" i="1"/>
  <c r="W354" i="1"/>
  <c r="AB358" i="1"/>
  <c r="O359" i="1"/>
  <c r="AY355" i="1"/>
  <c r="X355" i="1"/>
  <c r="AX359" i="1"/>
  <c r="BA359" i="1"/>
  <c r="AX358" i="1"/>
  <c r="AY359" i="1"/>
  <c r="X358" i="1"/>
  <c r="BI356" i="1"/>
  <c r="R356" i="1"/>
  <c r="AM355" i="1"/>
  <c r="O355" i="1"/>
  <c r="BG354" i="1"/>
  <c r="O358" i="1"/>
  <c r="BG357" i="1"/>
  <c r="AR357" i="1"/>
  <c r="AB357" i="1"/>
  <c r="L357" i="1"/>
  <c r="AO356" i="1"/>
  <c r="AU354" i="1"/>
  <c r="L356" i="1"/>
  <c r="AO355" i="1"/>
  <c r="F354" i="1"/>
  <c r="O356" i="1"/>
  <c r="AB355" i="1"/>
  <c r="AS354" i="1"/>
  <c r="AY357" i="1"/>
  <c r="AI357" i="1"/>
  <c r="S357" i="1"/>
  <c r="G357" i="1"/>
  <c r="AV356" i="1"/>
  <c r="AF356" i="1"/>
  <c r="BH355" i="1"/>
  <c r="AC355" i="1"/>
  <c r="BF354" i="1"/>
  <c r="Z354" i="1"/>
  <c r="AQ356" i="1"/>
  <c r="BD355" i="1"/>
  <c r="AW354" i="1"/>
  <c r="Q358" i="1"/>
  <c r="BI357" i="1"/>
  <c r="AT357" i="1"/>
  <c r="AD357" i="1"/>
  <c r="N357" i="1"/>
  <c r="AU359" i="1"/>
  <c r="K354" i="1"/>
  <c r="AO357" i="1"/>
  <c r="AR358" i="1"/>
  <c r="AI355" i="1"/>
  <c r="AM356" i="1"/>
  <c r="BI359" i="1"/>
  <c r="BI358" i="1"/>
  <c r="P359" i="1"/>
  <c r="AC358" i="1"/>
  <c r="T358" i="1"/>
  <c r="AH356" i="1"/>
  <c r="X354" i="1"/>
  <c r="P354" i="1"/>
  <c r="AJ355" i="1"/>
  <c r="BH354" i="1"/>
  <c r="AO354" i="1"/>
  <c r="O354" i="1"/>
  <c r="K358" i="1"/>
  <c r="BD357" i="1"/>
  <c r="AN357" i="1"/>
  <c r="X357" i="1"/>
  <c r="BA356" i="1"/>
  <c r="I356" i="1"/>
  <c r="AX355" i="1"/>
  <c r="AH355" i="1"/>
  <c r="R355" i="1"/>
  <c r="F355" i="1"/>
  <c r="BC354" i="1"/>
  <c r="H356" i="1"/>
  <c r="BI354" i="1"/>
  <c r="AD354" i="1"/>
  <c r="BC356" i="1"/>
  <c r="G356" i="1"/>
  <c r="P355" i="1"/>
  <c r="AH358" i="1"/>
  <c r="R358" i="1"/>
  <c r="F358" i="1"/>
  <c r="AU357" i="1"/>
  <c r="AE357" i="1"/>
  <c r="O357" i="1"/>
  <c r="BG356" i="1"/>
  <c r="AR356" i="1"/>
  <c r="X356" i="1"/>
  <c r="BA355" i="1"/>
  <c r="U355" i="1"/>
  <c r="AX354" i="1"/>
  <c r="R354" i="1"/>
  <c r="AE356" i="1"/>
  <c r="AR355" i="1"/>
  <c r="BE357" i="1"/>
  <c r="BE352" i="1"/>
  <c r="M354" i="1"/>
  <c r="M358" i="1"/>
  <c r="BF357" i="1"/>
  <c r="AP357" i="1"/>
  <c r="Z357" i="1"/>
  <c r="J357" i="1"/>
  <c r="AY354" i="1"/>
  <c r="L358" i="1"/>
  <c r="S355" i="1"/>
</calcChain>
</file>

<file path=xl/sharedStrings.xml><?xml version="1.0" encoding="utf-8"?>
<sst xmlns="http://schemas.openxmlformats.org/spreadsheetml/2006/main" count="767" uniqueCount="699">
  <si>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</si>
  <si>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</si>
  <si>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</si>
  <si>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</si>
  <si>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</si>
  <si>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</si>
  <si>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</si>
  <si>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</si>
  <si>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</si>
  <si>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</si>
  <si>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</si>
  <si>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</si>
  <si>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</si>
  <si>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</si>
  <si>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</si>
  <si>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</si>
  <si>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</si>
  <si>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</si>
  <si>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</si>
  <si>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</si>
  <si>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</si>
  <si>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</si>
  <si>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</si>
  <si>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</si>
  <si>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</si>
  <si>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</si>
  <si>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</si>
  <si>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</si>
  <si>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</si>
  <si>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</si>
  <si>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</si>
  <si>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</si>
  <si>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</si>
  <si>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</si>
  <si>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</si>
  <si>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</si>
  <si>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</si>
  <si>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</si>
  <si>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</si>
  <si>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</si>
  <si>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</si>
  <si>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</si>
  <si>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</si>
  <si>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</si>
  <si>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</si>
  <si>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</si>
  <si>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</si>
  <si>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</si>
  <si>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</si>
  <si>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</si>
  <si>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</si>
  <si>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</si>
  <si>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</si>
  <si>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</si>
  <si>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</si>
  <si>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</si>
  <si>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</si>
  <si>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</si>
  <si>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</si>
  <si>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</si>
  <si>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</si>
  <si>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</si>
  <si>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</si>
  <si>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</si>
  <si>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</si>
  <si>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</si>
  <si>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</si>
  <si>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</si>
  <si>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</si>
  <si>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</si>
  <si>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</si>
  <si>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</si>
  <si>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</si>
  <si>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</si>
  <si>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</si>
  <si>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</si>
  <si>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</si>
  <si>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</si>
  <si>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</si>
  <si>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</si>
  <si>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</si>
  <si>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</si>
  <si>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</si>
  <si>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</si>
  <si>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</si>
  <si>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</si>
  <si>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</si>
  <si>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</si>
  <si>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</si>
  <si>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</si>
  <si>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</si>
  <si>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</si>
  <si>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</si>
  <si>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</si>
  <si>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</si>
  <si>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</si>
  <si>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</si>
  <si>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</si>
  <si>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</si>
  <si>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</si>
  <si>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</si>
  <si>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</si>
  <si>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</si>
  <si>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</si>
  <si>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</si>
  <si>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</si>
  <si>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</si>
  <si>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</si>
  <si>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</si>
  <si>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</si>
  <si>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</si>
  <si>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</si>
  <si>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</si>
  <si>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</si>
  <si>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</si>
  <si>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</si>
  <si>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</si>
  <si>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</si>
  <si>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</si>
  <si>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</si>
  <si>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</si>
  <si>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</si>
  <si>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</si>
  <si>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</si>
  <si>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</si>
  <si>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</si>
  <si>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</si>
  <si>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</si>
  <si>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</si>
  <si>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</si>
  <si>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</si>
  <si>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</si>
  <si>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</si>
  <si>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</si>
  <si>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</si>
  <si>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</si>
  <si>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</si>
  <si>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</si>
  <si>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</si>
  <si>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</si>
  <si>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</si>
  <si>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</si>
  <si>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</si>
  <si>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</si>
  <si>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</si>
  <si>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</si>
  <si>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</si>
  <si>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</si>
  <si>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</si>
  <si>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</si>
  <si>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</si>
  <si>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</si>
  <si>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</si>
  <si>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</si>
  <si>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</si>
  <si>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</si>
  <si>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</si>
  <si>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</si>
  <si>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</si>
  <si>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</si>
  <si>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</si>
  <si>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</si>
  <si>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</si>
  <si>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</si>
  <si>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</si>
  <si>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</si>
  <si>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</si>
  <si>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</si>
  <si>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</si>
  <si>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</si>
  <si>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</si>
  <si>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</si>
  <si>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</si>
  <si>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</si>
  <si>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</si>
  <si>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</si>
  <si>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</si>
  <si>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</si>
  <si>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</si>
  <si>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</si>
  <si>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</si>
  <si>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</si>
  <si>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</si>
  <si>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</si>
  <si>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</si>
  <si>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</si>
  <si>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</si>
  <si>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</si>
  <si>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</si>
  <si>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</si>
  <si>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</si>
  <si>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</si>
  <si>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</si>
  <si>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</si>
  <si>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</si>
  <si>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</si>
  <si>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</si>
  <si>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</si>
  <si>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</si>
  <si>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</si>
  <si>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</si>
  <si>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</si>
  <si>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</si>
  <si>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</si>
  <si>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</si>
  <si>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</si>
  <si>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</si>
  <si>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</si>
  <si>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</si>
  <si>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</si>
  <si>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</si>
  <si>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</si>
  <si>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</si>
  <si>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</si>
  <si>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</si>
  <si>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</si>
  <si>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</si>
  <si>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</si>
  <si>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</si>
  <si>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</si>
  <si>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</si>
  <si>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</si>
  <si>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</si>
  <si>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</si>
  <si>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</si>
  <si>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</si>
  <si>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</si>
  <si>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</si>
  <si>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</si>
  <si>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</si>
  <si>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</si>
  <si>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</si>
  <si>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</si>
  <si>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</si>
  <si>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</si>
  <si>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</si>
  <si>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</si>
  <si>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</si>
  <si>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</si>
  <si>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</si>
  <si>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</si>
  <si>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</si>
  <si>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</si>
  <si>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</si>
  <si>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</si>
  <si>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</si>
  <si>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</si>
  <si>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</si>
  <si>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</si>
  <si>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</si>
  <si>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</si>
  <si>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</si>
  <si>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</si>
  <si>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</si>
  <si>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</si>
  <si>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</si>
  <si>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</si>
  <si>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</si>
  <si>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</si>
  <si>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</si>
  <si>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</si>
  <si>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</si>
  <si>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</si>
  <si>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</si>
  <si>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</si>
  <si>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</si>
  <si>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</si>
  <si>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</si>
  <si>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</si>
  <si>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</si>
  <si>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</si>
  <si>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</si>
  <si>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</si>
  <si>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</si>
  <si>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</si>
  <si>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</si>
  <si>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</si>
  <si>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</si>
  <si>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</si>
  <si>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</si>
  <si>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</si>
  <si>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</si>
  <si>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</si>
  <si>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</si>
  <si>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</si>
  <si>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</si>
  <si>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</si>
  <si>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</si>
  <si>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</si>
  <si>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</si>
  <si>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</si>
  <si>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</si>
  <si>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</si>
  <si>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</si>
  <si>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</si>
  <si>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</si>
  <si>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</si>
  <si>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</si>
  <si>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</si>
  <si>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</si>
  <si>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</si>
  <si>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</si>
  <si>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</si>
  <si>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</si>
  <si>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</si>
  <si>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</si>
  <si>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</si>
  <si>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</si>
  <si>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</si>
  <si>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</si>
  <si>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</si>
  <si>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</si>
  <si>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</si>
  <si>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</si>
  <si>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</si>
  <si>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</si>
  <si>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</si>
  <si>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</si>
  <si>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</si>
  <si>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</si>
  <si>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</si>
  <si>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</si>
  <si>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</si>
  <si>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</si>
  <si>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</si>
  <si>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</si>
  <si>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</si>
  <si>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</si>
  <si>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</si>
  <si>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</si>
  <si>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</si>
  <si>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</si>
  <si>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</si>
  <si>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</si>
  <si>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</si>
  <si>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</si>
  <si>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</si>
  <si>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</si>
  <si>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</si>
  <si>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</si>
  <si>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</si>
  <si>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</si>
  <si>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</si>
  <si>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</si>
  <si>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</si>
  <si>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</si>
  <si>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</si>
  <si>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</si>
  <si>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</si>
  <si>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</si>
  <si>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</si>
  <si>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</si>
  <si>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</si>
  <si>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</si>
  <si>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</si>
  <si>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</si>
  <si>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</si>
  <si>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</si>
  <si>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</si>
  <si>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</si>
  <si>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</si>
  <si>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</si>
  <si>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</si>
  <si>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</si>
  <si>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</si>
  <si>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</si>
  <si>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</si>
  <si>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</si>
  <si>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</si>
  <si>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</si>
  <si>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</si>
  <si>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</si>
  <si>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</si>
  <si>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</si>
  <si>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</si>
  <si>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</si>
  <si>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</si>
  <si>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</si>
  <si>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</si>
  <si>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</si>
  <si>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</si>
  <si>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</si>
  <si>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</si>
  <si>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</si>
  <si>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</si>
  <si>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</si>
  <si>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</si>
  <si>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</si>
  <si>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</si>
  <si>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</si>
  <si>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</si>
  <si>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</si>
  <si>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</si>
  <si>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</si>
  <si>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</si>
  <si>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</si>
  <si>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</si>
  <si>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</si>
  <si>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</si>
  <si>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</si>
  <si>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</si>
  <si>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</si>
  <si>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</si>
  <si>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</si>
  <si>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</si>
  <si>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</si>
  <si>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</si>
  <si>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</si>
  <si>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</si>
  <si>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</si>
  <si>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</si>
  <si>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</si>
  <si>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</si>
  <si>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</si>
  <si>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</si>
  <si>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</si>
  <si>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</si>
  <si>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</si>
  <si>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</si>
  <si>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</si>
  <si>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</si>
  <si>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</si>
  <si>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</si>
  <si>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</si>
  <si>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</si>
  <si>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</si>
  <si>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</si>
  <si>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</si>
  <si>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</si>
  <si>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</si>
  <si>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</si>
  <si>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</si>
  <si>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</si>
  <si>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</si>
  <si>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</si>
  <si>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</si>
  <si>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</si>
  <si>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</si>
  <si>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</si>
  <si>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</si>
  <si>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</si>
  <si>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</si>
  <si>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</si>
  <si>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</si>
  <si>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</si>
  <si>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</si>
  <si>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</si>
  <si>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</si>
  <si>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</si>
  <si>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</si>
  <si>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</si>
  <si>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</si>
  <si>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</si>
  <si>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</si>
  <si>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</si>
  <si>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</si>
  <si>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</si>
  <si>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</si>
  <si>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</si>
  <si>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</si>
  <si>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</si>
  <si>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</si>
  <si>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</si>
  <si>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</si>
  <si>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</si>
  <si>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</si>
  <si>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</si>
  <si>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</si>
  <si>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</si>
  <si>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</si>
  <si>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</si>
  <si>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</si>
  <si>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</si>
  <si>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</si>
  <si>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</si>
  <si>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</si>
  <si>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</si>
  <si>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</si>
  <si>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</si>
  <si>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</si>
  <si>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</si>
  <si>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</si>
  <si>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</si>
  <si>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</si>
  <si>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</si>
  <si>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</si>
  <si>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</si>
  <si>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</si>
  <si>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</si>
  <si>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</si>
  <si>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</si>
  <si>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</si>
  <si>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</si>
  <si>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</si>
  <si>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</si>
  <si>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</si>
  <si>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</si>
  <si>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</si>
  <si>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</si>
  <si>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</si>
  <si>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</si>
  <si>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</si>
  <si>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</si>
  <si>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</si>
  <si>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</si>
  <si>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</si>
  <si>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</si>
  <si>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</si>
  <si>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</si>
  <si>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</si>
  <si>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</si>
  <si>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</si>
  <si>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</si>
  <si>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</si>
  <si>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</si>
  <si>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</si>
  <si>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</si>
  <si>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</si>
  <si>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</si>
  <si>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</si>
  <si>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</si>
  <si>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</si>
  <si>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</si>
  <si>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</si>
  <si>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</si>
  <si>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</si>
  <si>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</si>
  <si>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</si>
  <si>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</si>
  <si>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</si>
  <si>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</si>
  <si>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</si>
  <si>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</si>
  <si>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</si>
  <si>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</si>
  <si>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</si>
  <si>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</si>
  <si>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</si>
  <si>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</si>
  <si>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</si>
  <si>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</si>
  <si>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</si>
  <si>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</si>
  <si>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</si>
  <si>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</si>
  <si>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</si>
  <si>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</si>
  <si>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</si>
  <si>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</si>
  <si>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</si>
  <si>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</si>
  <si>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</si>
  <si>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</si>
  <si>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</si>
  <si>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</si>
  <si>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</si>
  <si>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</si>
  <si>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</si>
  <si>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</si>
  <si>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</si>
  <si>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</si>
  <si>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</si>
  <si>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</si>
  <si>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</si>
  <si>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</si>
  <si>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</si>
  <si>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</si>
  <si>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</si>
  <si>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</si>
  <si>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</si>
  <si>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</si>
  <si>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</si>
  <si>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</si>
  <si>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</si>
  <si>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</si>
  <si>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</si>
  <si>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</si>
  <si>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</si>
  <si>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</si>
  <si>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</si>
  <si>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</si>
  <si>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</si>
  <si>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</si>
  <si>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</si>
  <si>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</si>
  <si>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</si>
  <si>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</si>
  <si>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</si>
  <si>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</si>
  <si>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</si>
  <si>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</si>
  <si>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</si>
  <si>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</si>
  <si>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</si>
  <si>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</si>
  <si>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</si>
  <si>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</si>
  <si>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</si>
  <si>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</si>
  <si>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</si>
  <si>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</si>
  <si>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</si>
  <si>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</si>
  <si>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</si>
  <si>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</si>
  <si>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</si>
  <si>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</si>
  <si>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</si>
  <si>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</si>
  <si>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</si>
  <si>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</si>
  <si>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</si>
  <si>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</si>
  <si>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</si>
  <si>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</si>
  <si>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</si>
  <si>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</si>
  <si>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</si>
  <si>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</si>
  <si>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</si>
  <si>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</si>
  <si>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</si>
  <si>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</si>
  <si>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</si>
  <si>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</si>
  <si>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</si>
  <si>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</si>
  <si>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</si>
  <si>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</si>
  <si>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</si>
  <si>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</si>
  <si>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</si>
  <si>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</si>
  <si>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</si>
  <si>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</si>
  <si>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</si>
  <si>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</si>
  <si>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</si>
  <si>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</si>
  <si>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</si>
  <si>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</si>
  <si>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</si>
  <si>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</si>
  <si>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</si>
  <si>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</si>
  <si>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</si>
  <si>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</si>
  <si>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</si>
  <si>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</si>
  <si>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</si>
  <si>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</si>
  <si>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</si>
  <si>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</si>
  <si>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</si>
  <si>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</si>
  <si>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</si>
  <si>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</si>
  <si>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</si>
  <si>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</si>
  <si>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</si>
  <si>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</si>
  <si>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</si>
  <si>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</si>
  <si>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</si>
  <si>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</si>
  <si>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</si>
  <si>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</si>
  <si>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</si>
  <si>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</si>
  <si>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</si>
  <si>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</si>
  <si>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</si>
  <si>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</si>
  <si>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</si>
  <si>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</si>
  <si>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</si>
  <si>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</si>
  <si>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</si>
  <si>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</si>
  <si>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</si>
  <si>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</si>
  <si>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</si>
  <si>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</si>
  <si>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</si>
  <si>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</si>
  <si>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</si>
  <si>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</si>
  <si>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</si>
  <si>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</si>
  <si>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</si>
  <si>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</si>
  <si>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</si>
  <si>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</si>
  <si>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</si>
  <si>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 xml:space="preserve"> תחילת מידע טבלה צד ימין</t>
  </si>
  <si>
    <t xml:space="preserve">תחילת מידע טבלה  </t>
  </si>
  <si>
    <t xml:space="preserve">סוף מידע טבלה צד שמאל  </t>
  </si>
  <si>
    <t xml:space="preserve">סוף מידע טבלה </t>
  </si>
  <si>
    <t xml:space="preserve">סוף מידע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</si>
</sst>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mm/yyyy"/>
    <numFmt numFmtId="166" formatCode="[$-10409]#,##0;\(#,##0\)"/>
    <numFmt numFmtId="167" formatCode="_ * #,##0.000_ ;_ * \-#,##0.000_ ;_ * &quot;-&quot;??_ ;_ @_ "/>
    <numFmt numFmtId="168" formatCode="0.00000"/>
    <numFmt numFmtId="169" formatCode="_ * #,##0.0000_ ;_ * \-#,##0.0000_ ;_ * &quot;-&quot;??_ ;_ @_ 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5" fontId="2" fillId="0" borderId="0" xfId="0" applyNumberFormat="1" applyFont="1"/>
    <xf numFmtId="165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6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7" fontId="0" fillId="0" borderId="0" xfId="0" applyNumberFormat="1"/>
    <xf numFmtId="168" fontId="0" fillId="0" borderId="0" xfId="0" applyNumberFormat="1"/>
    <xf numFmtId="169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0</xdr:rowOff>
    </xdr:from>
    <xdr:to>
      <xdr:col>4</xdr:col>
      <xdr:colOff>257175</xdr:colOff>
      <xdr:row>4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7584740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5</xdr:col>
      <xdr:colOff>1809750</xdr:colOff>
      <xdr:row>0</xdr:row>
      <xdr:rowOff>76200</xdr:rowOff>
    </xdr:from>
    <xdr:to>
      <xdr:col>5</xdr:col>
      <xdr:colOff>2114684</xdr:colOff>
      <xdr:row>0</xdr:row>
      <xdr:rowOff>384109</xdr:rowOff>
    </xdr:to>
    <xdr:pic>
      <xdr:nvPicPr>
        <xdr:cNvPr id="4" name="Picture 3" descr="קוֹבֶץ זֶה הוּנְגַּש עַל יְדֵי חברת אֵיְי טוּ זִי - סֶמֶל  הַנגישוּת &#10;">
          <a:extLst>
            <a:ext uri="{FF2B5EF4-FFF2-40B4-BE49-F238E27FC236}">
              <a16:creationId xmlns:a16="http://schemas.microsoft.com/office/drawing/2014/main" id="{D0030460-7CD2-0492-D4F1-83E742800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142966" y="76200"/>
          <a:ext cx="304934" cy="3079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52"/>
      <sheetName val="גיליון254"/>
      <sheetName val="גיליון256"/>
      <sheetName val="גיליון258"/>
      <sheetName val="גיליון260"/>
      <sheetName val="גיליון262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61"/>
  <sheetViews>
    <sheetView rightToLeft="1" tabSelected="1" workbookViewId="0">
      <selection sqref="A1:A359"/>
    </sheetView>
  </sheetViews>
  <sheetFormatPr defaultRowHeight="15" x14ac:dyDescent="0.25"/>
  <cols>
    <col min="2" max="2" width="17.7109375" customWidth="1"/>
    <col min="6" max="6" width="33.42578125" bestFit="1" customWidth="1"/>
  </cols>
  <sheetData>
    <row r="1" spans="1:62" ht="39" customHeight="1" x14ac:dyDescent="0.25">
      <c r="A1" s="21" t="s">
        <v>694</v>
      </c>
      <c r="B1" s="21" t="s">
        <v>695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 t="s">
        <v>696</v>
      </c>
    </row>
    <row r="2" spans="1:62" ht="15.75" x14ac:dyDescent="0.25">
      <c r="A2" s="21"/>
      <c r="B2" s="1"/>
      <c r="C2" s="2"/>
      <c r="D2" s="2"/>
      <c r="E2" s="2"/>
      <c r="F2">
        <v>6</v>
      </c>
      <c r="G2">
        <v>10</v>
      </c>
      <c r="H2">
        <v>30</v>
      </c>
      <c r="I2">
        <v>50</v>
      </c>
      <c r="J2">
        <v>93</v>
      </c>
      <c r="K2">
        <v>99</v>
      </c>
      <c r="L2">
        <v>102</v>
      </c>
      <c r="M2">
        <v>122</v>
      </c>
      <c r="N2">
        <v>142</v>
      </c>
      <c r="O2">
        <v>164</v>
      </c>
      <c r="P2">
        <v>167</v>
      </c>
      <c r="Q2">
        <v>169</v>
      </c>
      <c r="R2">
        <v>425</v>
      </c>
      <c r="S2">
        <v>426</v>
      </c>
      <c r="T2">
        <v>499</v>
      </c>
      <c r="U2">
        <v>519</v>
      </c>
      <c r="V2">
        <v>526</v>
      </c>
      <c r="W2">
        <v>570</v>
      </c>
      <c r="X2">
        <v>571</v>
      </c>
      <c r="Y2">
        <v>572</v>
      </c>
      <c r="Z2">
        <v>573</v>
      </c>
      <c r="AA2">
        <v>574</v>
      </c>
      <c r="AB2">
        <v>628</v>
      </c>
      <c r="AC2">
        <v>629</v>
      </c>
      <c r="AD2">
        <v>631</v>
      </c>
      <c r="AE2">
        <v>632</v>
      </c>
      <c r="AF2">
        <v>658</v>
      </c>
      <c r="AG2">
        <v>660</v>
      </c>
      <c r="AH2">
        <v>662</v>
      </c>
      <c r="AI2">
        <v>664</v>
      </c>
      <c r="AJ2">
        <v>666</v>
      </c>
      <c r="AK2">
        <v>726</v>
      </c>
      <c r="AL2">
        <v>737</v>
      </c>
      <c r="AM2">
        <v>827</v>
      </c>
      <c r="AN2">
        <v>575</v>
      </c>
      <c r="AO2">
        <v>576</v>
      </c>
      <c r="AP2">
        <v>359</v>
      </c>
      <c r="AQ2" s="9">
        <v>828</v>
      </c>
      <c r="AR2" s="9">
        <v>844</v>
      </c>
      <c r="AS2" s="9">
        <v>839</v>
      </c>
      <c r="AT2" s="9">
        <v>857</v>
      </c>
      <c r="AU2" s="9">
        <v>851</v>
      </c>
      <c r="AV2" s="9">
        <v>849</v>
      </c>
      <c r="AW2" s="9">
        <v>846</v>
      </c>
      <c r="AX2" s="9">
        <v>834</v>
      </c>
      <c r="AY2" s="9">
        <v>506</v>
      </c>
      <c r="AZ2" s="9">
        <v>521</v>
      </c>
      <c r="BA2" s="9">
        <v>522</v>
      </c>
      <c r="BB2" s="9">
        <v>528</v>
      </c>
      <c r="BC2" s="9">
        <v>548</v>
      </c>
      <c r="BD2" s="9">
        <v>551</v>
      </c>
      <c r="BE2" s="9">
        <v>555</v>
      </c>
      <c r="BF2" s="9">
        <v>558</v>
      </c>
      <c r="BG2" s="9">
        <v>578</v>
      </c>
      <c r="BH2" s="9">
        <v>580</v>
      </c>
      <c r="BI2" s="9">
        <v>577</v>
      </c>
      <c r="BJ2" s="21"/>
    </row>
    <row r="3" spans="1:62" x14ac:dyDescent="0.25">
      <c r="A3" s="21"/>
      <c r="F3" s="10">
        <v>401</v>
      </c>
      <c r="G3" s="10">
        <v>242</v>
      </c>
      <c r="H3" s="10">
        <v>385</v>
      </c>
      <c r="I3" s="10">
        <v>528</v>
      </c>
      <c r="J3" s="10">
        <v>384</v>
      </c>
      <c r="K3" s="10">
        <v>716</v>
      </c>
      <c r="L3" s="10">
        <v>715</v>
      </c>
      <c r="M3" s="10">
        <v>9916</v>
      </c>
      <c r="N3" s="10">
        <v>1100</v>
      </c>
      <c r="O3" s="10">
        <v>801</v>
      </c>
      <c r="P3" s="10">
        <v>804</v>
      </c>
      <c r="Q3" s="10">
        <v>806</v>
      </c>
      <c r="R3" s="10">
        <v>8765</v>
      </c>
      <c r="S3" s="10">
        <v>8766</v>
      </c>
      <c r="T3" s="10">
        <v>9418</v>
      </c>
      <c r="U3" s="10">
        <v>9475</v>
      </c>
      <c r="V3" s="10">
        <v>9906</v>
      </c>
      <c r="W3" s="10">
        <v>7905</v>
      </c>
      <c r="X3" s="10">
        <v>7906</v>
      </c>
      <c r="Y3" s="10">
        <v>7907</v>
      </c>
      <c r="Z3" s="10">
        <v>7908</v>
      </c>
      <c r="AA3" s="10">
        <v>7909</v>
      </c>
      <c r="AB3" s="10">
        <v>11310</v>
      </c>
      <c r="AC3" s="10">
        <v>11311</v>
      </c>
      <c r="AD3" s="10">
        <v>11312</v>
      </c>
      <c r="AE3" s="10">
        <v>11335</v>
      </c>
      <c r="AF3" s="10">
        <v>9529</v>
      </c>
      <c r="AG3" s="10">
        <v>961</v>
      </c>
      <c r="AH3" s="10">
        <v>9528</v>
      </c>
      <c r="AI3" s="10">
        <v>964</v>
      </c>
      <c r="AJ3" s="10">
        <v>968</v>
      </c>
      <c r="AK3" s="10">
        <v>8629</v>
      </c>
      <c r="AL3" s="10">
        <v>13264</v>
      </c>
      <c r="AM3" s="10">
        <v>13263</v>
      </c>
      <c r="AN3" s="10">
        <v>13209</v>
      </c>
      <c r="AO3" s="10">
        <v>13250</v>
      </c>
      <c r="AP3" s="10">
        <v>14281</v>
      </c>
      <c r="AQ3" s="11">
        <v>2049</v>
      </c>
      <c r="AR3" s="12">
        <v>7975</v>
      </c>
      <c r="AS3" s="12">
        <v>8004</v>
      </c>
      <c r="AT3" s="11">
        <v>1008</v>
      </c>
      <c r="AU3" s="11">
        <v>9484</v>
      </c>
      <c r="AV3" s="11">
        <v>682</v>
      </c>
      <c r="AW3" s="11">
        <v>11352</v>
      </c>
      <c r="AX3" s="11">
        <v>2058</v>
      </c>
      <c r="AY3" s="11">
        <v>15007</v>
      </c>
      <c r="AZ3" s="11">
        <v>15208</v>
      </c>
      <c r="BA3" s="11">
        <v>15209</v>
      </c>
      <c r="BB3" s="11">
        <v>15210</v>
      </c>
      <c r="BC3" s="11">
        <v>15211</v>
      </c>
      <c r="BD3" s="11">
        <v>15212</v>
      </c>
      <c r="BE3" s="11">
        <v>15232</v>
      </c>
      <c r="BF3" s="11">
        <v>15214</v>
      </c>
      <c r="BG3" s="11">
        <v>15233</v>
      </c>
      <c r="BH3" s="11">
        <v>15234</v>
      </c>
      <c r="BI3" s="11">
        <v>15215</v>
      </c>
      <c r="BJ3" s="21"/>
    </row>
    <row r="4" spans="1:62" ht="15.75" x14ac:dyDescent="0.25">
      <c r="A4" s="21"/>
      <c r="B4" s="3">
        <v>45597</v>
      </c>
      <c r="C4" s="2"/>
      <c r="D4" s="2"/>
      <c r="E4" s="2"/>
      <c r="F4" t="s">
        <v>614</v>
      </c>
      <c r="G4" t="s">
        <v>615</v>
      </c>
      <c r="H4" t="s">
        <v>616</v>
      </c>
      <c r="I4" t="s">
        <v>617</v>
      </c>
      <c r="J4" t="s">
        <v>618</v>
      </c>
      <c r="K4" t="s">
        <v>619</v>
      </c>
      <c r="L4" t="s">
        <v>620</v>
      </c>
      <c r="M4" t="s">
        <v>621</v>
      </c>
      <c r="N4" t="s">
        <v>622</v>
      </c>
      <c r="O4" t="s">
        <v>623</v>
      </c>
      <c r="P4" t="s">
        <v>624</v>
      </c>
      <c r="Q4" t="s">
        <v>625</v>
      </c>
      <c r="R4" t="s">
        <v>626</v>
      </c>
      <c r="S4" t="s">
        <v>627</v>
      </c>
      <c r="T4" t="s">
        <v>628</v>
      </c>
      <c r="U4" t="s">
        <v>629</v>
      </c>
      <c r="V4" t="s">
        <v>630</v>
      </c>
      <c r="W4" t="s">
        <v>631</v>
      </c>
      <c r="X4" t="s">
        <v>632</v>
      </c>
      <c r="Y4" t="s">
        <v>633</v>
      </c>
      <c r="Z4" t="s">
        <v>634</v>
      </c>
      <c r="AA4" t="s">
        <v>635</v>
      </c>
      <c r="AB4" t="s">
        <v>636</v>
      </c>
      <c r="AC4" t="s">
        <v>637</v>
      </c>
      <c r="AD4" t="s">
        <v>638</v>
      </c>
      <c r="AE4" t="s">
        <v>639</v>
      </c>
      <c r="AF4" t="s">
        <v>640</v>
      </c>
      <c r="AG4" t="s">
        <v>641</v>
      </c>
      <c r="AH4" t="s">
        <v>642</v>
      </c>
      <c r="AI4" t="s">
        <v>643</v>
      </c>
      <c r="AJ4" t="s">
        <v>644</v>
      </c>
      <c r="AK4" t="s">
        <v>645</v>
      </c>
      <c r="AL4" t="s">
        <v>646</v>
      </c>
      <c r="AM4" t="s">
        <v>647</v>
      </c>
      <c r="AN4" t="s">
        <v>648</v>
      </c>
      <c r="AO4" t="s">
        <v>649</v>
      </c>
      <c r="AP4" t="s">
        <v>650</v>
      </c>
      <c r="AQ4" s="13" t="s">
        <v>651</v>
      </c>
      <c r="AR4" s="14" t="s">
        <v>652</v>
      </c>
      <c r="AS4" s="13" t="s">
        <v>653</v>
      </c>
      <c r="AT4" s="13" t="s">
        <v>654</v>
      </c>
      <c r="AU4" s="13" t="s">
        <v>655</v>
      </c>
      <c r="AV4" s="13" t="s">
        <v>656</v>
      </c>
      <c r="AW4" s="13" t="s">
        <v>657</v>
      </c>
      <c r="AX4" s="13" t="s">
        <v>658</v>
      </c>
      <c r="AY4" s="13" t="s">
        <v>659</v>
      </c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21"/>
    </row>
    <row r="5" spans="1:62" ht="15.75" x14ac:dyDescent="0.25">
      <c r="A5" s="21"/>
      <c r="B5" s="4"/>
      <c r="C5" s="5"/>
      <c r="D5" s="5"/>
      <c r="E5" s="6" t="s">
        <v>0</v>
      </c>
      <c r="F5" s="15" t="s">
        <v>660</v>
      </c>
      <c r="G5" s="15" t="s">
        <v>661</v>
      </c>
      <c r="H5" s="15" t="s">
        <v>662</v>
      </c>
      <c r="I5" s="15" t="s">
        <v>663</v>
      </c>
      <c r="J5" s="15" t="s">
        <v>664</v>
      </c>
      <c r="K5" s="15" t="s">
        <v>665</v>
      </c>
      <c r="L5" s="15" t="s">
        <v>666</v>
      </c>
      <c r="M5" s="15" t="s">
        <v>667</v>
      </c>
      <c r="N5" s="15" t="s">
        <v>668</v>
      </c>
      <c r="O5" s="15" t="s">
        <v>669</v>
      </c>
      <c r="P5" s="15" t="s">
        <v>670</v>
      </c>
      <c r="Q5" s="15" t="s">
        <v>671</v>
      </c>
      <c r="R5" s="15" t="s">
        <v>672</v>
      </c>
      <c r="S5" s="15" t="s">
        <v>673</v>
      </c>
      <c r="T5" s="15" t="s">
        <v>674</v>
      </c>
      <c r="U5" s="15" t="s">
        <v>675</v>
      </c>
      <c r="V5" s="15" t="s">
        <v>676</v>
      </c>
      <c r="W5" s="15" t="s">
        <v>677</v>
      </c>
      <c r="X5" s="15" t="s">
        <v>678</v>
      </c>
      <c r="Y5" s="15" t="s">
        <v>679</v>
      </c>
      <c r="Z5" s="15" t="s">
        <v>680</v>
      </c>
      <c r="AA5" s="15" t="s">
        <v>681</v>
      </c>
      <c r="AB5" s="15" t="s">
        <v>682</v>
      </c>
      <c r="AC5" s="15" t="s">
        <v>683</v>
      </c>
      <c r="AD5" s="15" t="s">
        <v>684</v>
      </c>
      <c r="AE5" s="15" t="s">
        <v>685</v>
      </c>
      <c r="AF5" s="15" t="s">
        <v>686</v>
      </c>
      <c r="AG5" s="15" t="s">
        <v>687</v>
      </c>
      <c r="AH5" s="15" t="s">
        <v>688</v>
      </c>
      <c r="AI5" s="15" t="s">
        <v>689</v>
      </c>
      <c r="AJ5" s="15" t="s">
        <v>690</v>
      </c>
      <c r="AK5" s="15" t="s">
        <v>691</v>
      </c>
      <c r="AL5" s="15" t="s">
        <v>692</v>
      </c>
      <c r="AM5" s="15" t="s">
        <v>693</v>
      </c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21"/>
    </row>
    <row r="6" spans="1:62" ht="15.75" x14ac:dyDescent="0.25">
      <c r="A6" s="21"/>
      <c r="B6" s="5" t="s">
        <v>1</v>
      </c>
      <c r="C6" s="5" t="s">
        <v>2</v>
      </c>
      <c r="D6" s="7">
        <v>1</v>
      </c>
      <c r="E6" s="7">
        <v>1</v>
      </c>
      <c r="F6" s="7">
        <v>158471.43400000001</v>
      </c>
      <c r="G6" s="7">
        <v>27928.362000000001</v>
      </c>
      <c r="H6" s="7">
        <v>8554.4359999999997</v>
      </c>
      <c r="I6" s="7">
        <v>40.869</v>
      </c>
      <c r="J6" s="7">
        <v>2229.7689999999998</v>
      </c>
      <c r="K6" s="7">
        <v>5109.4679999999998</v>
      </c>
      <c r="L6" s="7">
        <v>18684.546999999999</v>
      </c>
      <c r="M6" s="7">
        <v>302425.08899999998</v>
      </c>
      <c r="N6" s="7">
        <v>38653.152000000002</v>
      </c>
      <c r="O6" s="7">
        <v>3.5000000000000003E-2</v>
      </c>
      <c r="P6" s="7">
        <v>483.66399999999999</v>
      </c>
      <c r="Q6" s="7">
        <v>92.111999999999995</v>
      </c>
      <c r="R6" s="7">
        <v>516.86400000000003</v>
      </c>
      <c r="S6" s="7">
        <v>386.43099999999998</v>
      </c>
      <c r="T6" s="7">
        <v>7866.6450000000004</v>
      </c>
      <c r="U6" s="7">
        <v>2.7250000000000001</v>
      </c>
      <c r="V6" s="7">
        <v>15047.416999999999</v>
      </c>
      <c r="W6" s="7">
        <v>751.49699999999996</v>
      </c>
      <c r="X6" s="7">
        <v>3641.221</v>
      </c>
      <c r="Y6" s="7">
        <v>13021.962</v>
      </c>
      <c r="Z6" s="7">
        <v>56059.881000000001</v>
      </c>
      <c r="AA6" s="7">
        <v>12632.319</v>
      </c>
      <c r="AB6" s="7">
        <v>8319.7659999999996</v>
      </c>
      <c r="AC6" s="7">
        <v>19478.659</v>
      </c>
      <c r="AD6" s="7">
        <v>5073.558</v>
      </c>
      <c r="AE6" s="7">
        <v>1038.51</v>
      </c>
      <c r="AF6" s="7">
        <v>167010.155</v>
      </c>
      <c r="AG6" s="7">
        <v>55187.167000000001</v>
      </c>
      <c r="AH6" s="7">
        <v>4320.7380000000003</v>
      </c>
      <c r="AI6" s="7">
        <v>539917.28399999999</v>
      </c>
      <c r="AJ6" s="7">
        <v>98770.948000000004</v>
      </c>
      <c r="AK6" s="7">
        <v>64456.033000000003</v>
      </c>
      <c r="AL6" s="7">
        <v>85036.985000000001</v>
      </c>
      <c r="AM6" s="7">
        <v>49501.038999999997</v>
      </c>
      <c r="AN6" s="7">
        <v>2779.723</v>
      </c>
      <c r="AO6" s="7">
        <v>28726.591</v>
      </c>
      <c r="AP6" s="7">
        <v>1175.597</v>
      </c>
      <c r="AQ6" s="7">
        <v>2081.3090000000002</v>
      </c>
      <c r="AR6" s="7">
        <v>23761.181</v>
      </c>
      <c r="AS6" s="7">
        <v>853.99900000000002</v>
      </c>
      <c r="AT6" s="7">
        <v>112.57299999999999</v>
      </c>
      <c r="AU6" s="7">
        <v>0</v>
      </c>
      <c r="AV6" s="7">
        <v>5375.6580000000004</v>
      </c>
      <c r="AW6" s="7">
        <v>2832.8110000000001</v>
      </c>
      <c r="AX6" s="7">
        <v>3679.299</v>
      </c>
      <c r="AY6" s="7">
        <v>8032.4539999999997</v>
      </c>
      <c r="AZ6" s="7">
        <v>1568.6690000000001</v>
      </c>
      <c r="BA6" s="7">
        <v>1675.347</v>
      </c>
      <c r="BB6" s="7">
        <v>15655.079</v>
      </c>
      <c r="BC6" s="7">
        <v>891.45500000000004</v>
      </c>
      <c r="BD6" s="7">
        <v>910.18200000000002</v>
      </c>
      <c r="BE6" s="7">
        <v>1359.7080000000001</v>
      </c>
      <c r="BF6" s="7">
        <v>102.63500000000001</v>
      </c>
      <c r="BG6" s="7">
        <v>596.70699999999999</v>
      </c>
      <c r="BH6" s="7">
        <v>45777.53</v>
      </c>
      <c r="BI6" s="7">
        <v>439.86</v>
      </c>
      <c r="BJ6" s="21"/>
    </row>
    <row r="7" spans="1:62" ht="15.75" x14ac:dyDescent="0.25">
      <c r="A7" s="21"/>
      <c r="B7" s="5" t="s">
        <v>3</v>
      </c>
      <c r="C7" s="5" t="s">
        <v>4</v>
      </c>
      <c r="D7" s="7">
        <v>1</v>
      </c>
      <c r="E7" s="7">
        <v>1</v>
      </c>
      <c r="F7" s="7">
        <v>76301.603000000003</v>
      </c>
      <c r="G7" s="7">
        <v>13658.932000000001</v>
      </c>
      <c r="H7" s="7">
        <v>8213.6820000000007</v>
      </c>
      <c r="I7" s="7">
        <v>1194.7159999999999</v>
      </c>
      <c r="J7" s="7">
        <v>3468.5729999999999</v>
      </c>
      <c r="K7" s="7">
        <v>5227.6239999999998</v>
      </c>
      <c r="L7" s="7">
        <v>0</v>
      </c>
      <c r="M7" s="7">
        <v>132060.18299999999</v>
      </c>
      <c r="N7" s="7">
        <v>25915.1</v>
      </c>
      <c r="O7" s="7">
        <v>0</v>
      </c>
      <c r="P7" s="7">
        <v>153.63</v>
      </c>
      <c r="Q7" s="7">
        <v>360.28899999999999</v>
      </c>
      <c r="R7" s="7">
        <v>122.224</v>
      </c>
      <c r="S7" s="7">
        <v>191.00700000000001</v>
      </c>
      <c r="T7" s="7">
        <v>2699.817</v>
      </c>
      <c r="U7" s="7">
        <v>0</v>
      </c>
      <c r="V7" s="7">
        <v>0</v>
      </c>
      <c r="W7" s="7">
        <v>659.904</v>
      </c>
      <c r="X7" s="7">
        <v>2397.3879999999999</v>
      </c>
      <c r="Y7" s="7">
        <v>-147.172</v>
      </c>
      <c r="Z7" s="7">
        <v>15612.723</v>
      </c>
      <c r="AA7" s="7">
        <v>1451.973</v>
      </c>
      <c r="AB7" s="7">
        <v>6173.0360000000001</v>
      </c>
      <c r="AC7" s="7">
        <v>4310.1369999999997</v>
      </c>
      <c r="AD7" s="7">
        <v>1935.9069999999999</v>
      </c>
      <c r="AE7" s="7">
        <v>615.85599999999999</v>
      </c>
      <c r="AF7" s="7">
        <v>45395.324000000001</v>
      </c>
      <c r="AG7" s="7">
        <v>13440.26</v>
      </c>
      <c r="AH7" s="7">
        <v>3407.0410000000002</v>
      </c>
      <c r="AI7" s="7">
        <v>196132.27600000001</v>
      </c>
      <c r="AJ7" s="7">
        <v>24348.172999999999</v>
      </c>
      <c r="AK7" s="7">
        <v>6322.0680000000002</v>
      </c>
      <c r="AL7" s="7">
        <v>384576.59399999998</v>
      </c>
      <c r="AM7" s="7">
        <v>222034.334</v>
      </c>
      <c r="AN7" s="7">
        <v>0</v>
      </c>
      <c r="AO7" s="7">
        <v>128600.67200000001</v>
      </c>
      <c r="AP7" s="7">
        <v>290.80399999999997</v>
      </c>
      <c r="AQ7" s="7">
        <v>3529.0340000000001</v>
      </c>
      <c r="AR7" s="7">
        <v>3986.9540000000002</v>
      </c>
      <c r="AS7" s="7">
        <v>1391.693</v>
      </c>
      <c r="AT7" s="7">
        <v>50.234999999999999</v>
      </c>
      <c r="AU7" s="7">
        <v>0</v>
      </c>
      <c r="AV7" s="7">
        <v>2673.2939999999999</v>
      </c>
      <c r="AW7" s="7">
        <v>4125.1580000000004</v>
      </c>
      <c r="AX7" s="7">
        <v>4912.8879999999999</v>
      </c>
      <c r="AY7" s="7">
        <v>-125.176</v>
      </c>
      <c r="AZ7" s="7">
        <v>117.227</v>
      </c>
      <c r="BA7" s="7">
        <v>122.006</v>
      </c>
      <c r="BB7" s="7">
        <v>-79.418000000000006</v>
      </c>
      <c r="BC7" s="7">
        <v>88.099000000000004</v>
      </c>
      <c r="BD7" s="7">
        <v>53.978999999999999</v>
      </c>
      <c r="BE7" s="7">
        <v>136.953</v>
      </c>
      <c r="BF7" s="7">
        <v>16.172000000000001</v>
      </c>
      <c r="BG7" s="7">
        <v>59.886000000000003</v>
      </c>
      <c r="BH7" s="7">
        <v>7073.5889999999999</v>
      </c>
      <c r="BI7" s="7">
        <v>21.420999999999999</v>
      </c>
      <c r="BJ7" s="21"/>
    </row>
    <row r="8" spans="1:62" ht="15.75" x14ac:dyDescent="0.25">
      <c r="A8" s="21"/>
      <c r="B8" s="5" t="s">
        <v>5</v>
      </c>
      <c r="C8" s="5" t="s">
        <v>6</v>
      </c>
      <c r="D8" s="7">
        <v>1</v>
      </c>
      <c r="E8" s="7">
        <v>1</v>
      </c>
      <c r="F8" s="7">
        <v>69277.31</v>
      </c>
      <c r="G8" s="7">
        <v>12500.593999999999</v>
      </c>
      <c r="H8" s="7">
        <v>4274.2780000000002</v>
      </c>
      <c r="I8" s="7">
        <v>24552.947</v>
      </c>
      <c r="J8" s="7">
        <v>976.048</v>
      </c>
      <c r="K8" s="7">
        <v>1440.682</v>
      </c>
      <c r="L8" s="7">
        <v>14613.653</v>
      </c>
      <c r="M8" s="7">
        <v>139646.111</v>
      </c>
      <c r="N8" s="7">
        <v>19880.080000000002</v>
      </c>
      <c r="O8" s="7">
        <v>287.38200000000001</v>
      </c>
      <c r="P8" s="7">
        <v>332.01600000000002</v>
      </c>
      <c r="Q8" s="7">
        <v>155.13</v>
      </c>
      <c r="R8" s="7">
        <v>640.30100000000004</v>
      </c>
      <c r="S8" s="7">
        <v>83.771000000000001</v>
      </c>
      <c r="T8" s="7">
        <v>4120.3689999999997</v>
      </c>
      <c r="U8" s="7">
        <v>46.210999999999999</v>
      </c>
      <c r="V8" s="7">
        <v>2265.4490000000001</v>
      </c>
      <c r="W8" s="7">
        <v>826.54899999999998</v>
      </c>
      <c r="X8" s="7">
        <v>3016.444</v>
      </c>
      <c r="Y8" s="7">
        <v>11397.837</v>
      </c>
      <c r="Z8" s="7">
        <v>28115.608</v>
      </c>
      <c r="AA8" s="7">
        <v>5145.5060000000003</v>
      </c>
      <c r="AB8" s="7">
        <v>29926.876</v>
      </c>
      <c r="AC8" s="7">
        <v>40063.599999999999</v>
      </c>
      <c r="AD8" s="7">
        <v>2662.5010000000002</v>
      </c>
      <c r="AE8" s="7">
        <v>4082.047</v>
      </c>
      <c r="AF8" s="7">
        <v>83024.944000000003</v>
      </c>
      <c r="AG8" s="7">
        <v>27411.038</v>
      </c>
      <c r="AH8" s="7">
        <v>12421.432000000001</v>
      </c>
      <c r="AI8" s="7">
        <v>235529.33900000001</v>
      </c>
      <c r="AJ8" s="7">
        <v>48433.921999999999</v>
      </c>
      <c r="AK8" s="7">
        <v>25139.275000000001</v>
      </c>
      <c r="AL8" s="7">
        <v>195163.12</v>
      </c>
      <c r="AM8" s="7">
        <v>113192.769</v>
      </c>
      <c r="AN8" s="7">
        <v>695.98500000000001</v>
      </c>
      <c r="AO8" s="7">
        <v>71586.604999999996</v>
      </c>
      <c r="AP8" s="7">
        <v>1433.396</v>
      </c>
      <c r="AQ8" s="7">
        <v>0</v>
      </c>
      <c r="AR8" s="7">
        <v>8383.51</v>
      </c>
      <c r="AS8" s="7">
        <v>0</v>
      </c>
      <c r="AT8" s="7">
        <v>35.962000000000003</v>
      </c>
      <c r="AU8" s="7">
        <v>0</v>
      </c>
      <c r="AV8" s="7">
        <v>319.06799999999998</v>
      </c>
      <c r="AW8" s="7">
        <v>0</v>
      </c>
      <c r="AX8" s="7">
        <v>0</v>
      </c>
      <c r="AY8" s="7">
        <v>10363.239</v>
      </c>
      <c r="AZ8" s="7">
        <v>117.133</v>
      </c>
      <c r="BA8" s="7">
        <v>55.402000000000001</v>
      </c>
      <c r="BB8" s="7">
        <v>0</v>
      </c>
      <c r="BC8" s="7">
        <v>132.48500000000001</v>
      </c>
      <c r="BD8" s="7">
        <v>17.986999999999998</v>
      </c>
      <c r="BE8" s="7">
        <v>61.853999999999999</v>
      </c>
      <c r="BF8" s="7">
        <v>25.337</v>
      </c>
      <c r="BG8" s="7">
        <v>27.062000000000001</v>
      </c>
      <c r="BH8" s="7">
        <v>8926.2510000000002</v>
      </c>
      <c r="BI8" s="7">
        <v>6.9269999999999996</v>
      </c>
      <c r="BJ8" s="21"/>
    </row>
    <row r="9" spans="1:62" ht="15.75" x14ac:dyDescent="0.25">
      <c r="A9" s="21"/>
      <c r="B9" s="5" t="s">
        <v>7</v>
      </c>
      <c r="C9" s="5" t="s">
        <v>8</v>
      </c>
      <c r="D9" s="7">
        <v>1</v>
      </c>
      <c r="E9" s="7">
        <v>1</v>
      </c>
      <c r="F9" s="7">
        <v>450753.549</v>
      </c>
      <c r="G9" s="7">
        <v>93538.956000000006</v>
      </c>
      <c r="H9" s="7">
        <v>0</v>
      </c>
      <c r="I9" s="7">
        <v>0</v>
      </c>
      <c r="J9" s="7">
        <v>3876.2710000000002</v>
      </c>
      <c r="K9" s="7">
        <v>0</v>
      </c>
      <c r="L9" s="7">
        <v>0</v>
      </c>
      <c r="M9" s="7">
        <v>1127075.4820000001</v>
      </c>
      <c r="N9" s="7">
        <v>82678.076000000001</v>
      </c>
      <c r="O9" s="7">
        <v>0</v>
      </c>
      <c r="P9" s="7">
        <v>3749.1039999999998</v>
      </c>
      <c r="Q9" s="7">
        <v>0</v>
      </c>
      <c r="R9" s="7">
        <v>3930.5439999999999</v>
      </c>
      <c r="S9" s="7">
        <v>1067.8520000000001</v>
      </c>
      <c r="T9" s="7">
        <v>28681.315999999999</v>
      </c>
      <c r="U9" s="7">
        <v>0</v>
      </c>
      <c r="V9" s="7">
        <v>0</v>
      </c>
      <c r="W9" s="7">
        <v>0</v>
      </c>
      <c r="X9" s="7">
        <v>7383.0240000000003</v>
      </c>
      <c r="Y9" s="7">
        <v>17830.855</v>
      </c>
      <c r="Z9" s="7">
        <v>186740.68900000001</v>
      </c>
      <c r="AA9" s="7">
        <v>57764.978000000003</v>
      </c>
      <c r="AB9" s="7">
        <v>0</v>
      </c>
      <c r="AC9" s="7">
        <v>137365.215</v>
      </c>
      <c r="AD9" s="7">
        <v>16789.381000000001</v>
      </c>
      <c r="AE9" s="7">
        <v>10820.607</v>
      </c>
      <c r="AF9" s="7">
        <v>551690.49899999995</v>
      </c>
      <c r="AG9" s="7">
        <v>224524.20600000001</v>
      </c>
      <c r="AH9" s="7">
        <v>52248.877999999997</v>
      </c>
      <c r="AI9" s="7">
        <v>1802223.5460000001</v>
      </c>
      <c r="AJ9" s="7">
        <v>402138.511</v>
      </c>
      <c r="AK9" s="7">
        <v>288755.88400000002</v>
      </c>
      <c r="AL9" s="7">
        <v>6623380.3219999997</v>
      </c>
      <c r="AM9" s="7">
        <v>3855447.5490000001</v>
      </c>
      <c r="AN9" s="7">
        <v>0</v>
      </c>
      <c r="AO9" s="7">
        <v>2237539.1009999998</v>
      </c>
      <c r="AP9" s="7">
        <v>4391.1109999999999</v>
      </c>
      <c r="AQ9" s="7">
        <v>0</v>
      </c>
      <c r="AR9" s="7">
        <v>69468.869000000006</v>
      </c>
      <c r="AS9" s="7">
        <v>0</v>
      </c>
      <c r="AT9" s="7">
        <v>302.97500000000002</v>
      </c>
      <c r="AU9" s="7">
        <v>0</v>
      </c>
      <c r="AV9" s="7">
        <v>2096.366</v>
      </c>
      <c r="AW9" s="7">
        <v>0</v>
      </c>
      <c r="AX9" s="7">
        <v>0</v>
      </c>
      <c r="AY9" s="7">
        <v>11001.328</v>
      </c>
      <c r="AZ9" s="7">
        <v>880.61199999999997</v>
      </c>
      <c r="BA9" s="7">
        <v>0</v>
      </c>
      <c r="BB9" s="7">
        <v>7039.3950000000004</v>
      </c>
      <c r="BC9" s="7">
        <v>1208.8109999999999</v>
      </c>
      <c r="BD9" s="7">
        <v>0</v>
      </c>
      <c r="BE9" s="7">
        <v>0</v>
      </c>
      <c r="BF9" s="7">
        <v>233.21899999999999</v>
      </c>
      <c r="BG9" s="7">
        <v>0</v>
      </c>
      <c r="BH9" s="7">
        <v>224510.095</v>
      </c>
      <c r="BI9" s="7">
        <v>0</v>
      </c>
      <c r="BJ9" s="21"/>
    </row>
    <row r="10" spans="1:62" ht="15.75" x14ac:dyDescent="0.25">
      <c r="A10" s="21"/>
      <c r="B10" s="5" t="s">
        <v>9</v>
      </c>
      <c r="C10" s="5" t="s">
        <v>10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21"/>
    </row>
    <row r="11" spans="1:62" ht="15.75" x14ac:dyDescent="0.25">
      <c r="A11" s="21"/>
      <c r="B11" s="5" t="s">
        <v>11</v>
      </c>
      <c r="C11" s="5" t="s">
        <v>12</v>
      </c>
      <c r="D11" s="7">
        <v>1</v>
      </c>
      <c r="E11" s="7">
        <v>1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21"/>
    </row>
    <row r="12" spans="1:62" ht="15.75" x14ac:dyDescent="0.25">
      <c r="A12" s="21"/>
      <c r="B12" s="5" t="s">
        <v>13</v>
      </c>
      <c r="C12" s="5" t="s">
        <v>14</v>
      </c>
      <c r="D12" s="7">
        <v>1</v>
      </c>
      <c r="E12" s="7">
        <v>1</v>
      </c>
      <c r="F12" s="7">
        <v>36880.536999999997</v>
      </c>
      <c r="G12" s="7">
        <v>6693.3630000000003</v>
      </c>
      <c r="H12" s="7">
        <v>2237.15</v>
      </c>
      <c r="I12" s="7">
        <v>183.50700000000001</v>
      </c>
      <c r="J12" s="7">
        <v>550.59699999999998</v>
      </c>
      <c r="K12" s="7">
        <v>2230.0680000000002</v>
      </c>
      <c r="L12" s="7">
        <v>0</v>
      </c>
      <c r="M12" s="7">
        <v>64439.3</v>
      </c>
      <c r="N12" s="7">
        <v>15253.745000000001</v>
      </c>
      <c r="O12" s="7">
        <v>0</v>
      </c>
      <c r="P12" s="7">
        <v>6.7009999999999996</v>
      </c>
      <c r="Q12" s="7">
        <v>14.81</v>
      </c>
      <c r="R12" s="7">
        <v>12.987</v>
      </c>
      <c r="S12" s="7">
        <v>13.462</v>
      </c>
      <c r="T12" s="7">
        <v>2138.2190000000001</v>
      </c>
      <c r="U12" s="7">
        <v>0</v>
      </c>
      <c r="V12" s="7">
        <v>0</v>
      </c>
      <c r="W12" s="7">
        <v>294.70600000000002</v>
      </c>
      <c r="X12" s="7">
        <v>786.5</v>
      </c>
      <c r="Y12" s="7">
        <v>393.31700000000001</v>
      </c>
      <c r="Z12" s="7">
        <v>9793.0429999999997</v>
      </c>
      <c r="AA12" s="7">
        <v>529.94399999999996</v>
      </c>
      <c r="AB12" s="7">
        <v>3893.1579999999999</v>
      </c>
      <c r="AC12" s="7">
        <v>195.524</v>
      </c>
      <c r="AD12" s="7">
        <v>1149.4079999999999</v>
      </c>
      <c r="AE12" s="7">
        <v>167.82400000000001</v>
      </c>
      <c r="AF12" s="7">
        <v>25047.172999999999</v>
      </c>
      <c r="AG12" s="7">
        <v>9668.5789999999997</v>
      </c>
      <c r="AH12" s="7">
        <v>700.20699999999999</v>
      </c>
      <c r="AI12" s="7">
        <v>108376.486</v>
      </c>
      <c r="AJ12" s="7">
        <v>17458.222000000002</v>
      </c>
      <c r="AK12" s="7">
        <v>2615.7750000000001</v>
      </c>
      <c r="AL12" s="7">
        <v>6394.4769999999999</v>
      </c>
      <c r="AM12" s="7">
        <v>3722.2040000000002</v>
      </c>
      <c r="AN12" s="7">
        <v>0</v>
      </c>
      <c r="AO12" s="7">
        <v>2160.21</v>
      </c>
      <c r="AP12" s="7">
        <v>292.274</v>
      </c>
      <c r="AQ12" s="7">
        <v>0</v>
      </c>
      <c r="AR12" s="7">
        <v>2959.8620000000001</v>
      </c>
      <c r="AS12" s="7">
        <v>0</v>
      </c>
      <c r="AT12" s="7">
        <v>18.206</v>
      </c>
      <c r="AU12" s="7">
        <v>0</v>
      </c>
      <c r="AV12" s="7">
        <v>189.809</v>
      </c>
      <c r="AW12" s="7">
        <v>0</v>
      </c>
      <c r="AX12" s="7">
        <v>0</v>
      </c>
      <c r="AY12" s="7">
        <v>242.655</v>
      </c>
      <c r="AZ12" s="7">
        <v>141.58000000000001</v>
      </c>
      <c r="BA12" s="7">
        <v>5.6929999999999996</v>
      </c>
      <c r="BB12" s="7">
        <v>155.267</v>
      </c>
      <c r="BC12" s="7">
        <v>86.858000000000004</v>
      </c>
      <c r="BD12" s="7">
        <v>75.486999999999995</v>
      </c>
      <c r="BE12" s="7">
        <v>6.3559999999999999</v>
      </c>
      <c r="BF12" s="7">
        <v>16.343</v>
      </c>
      <c r="BG12" s="7">
        <v>2.7810000000000001</v>
      </c>
      <c r="BH12" s="7">
        <v>1976.549</v>
      </c>
      <c r="BI12" s="7">
        <v>30.893999999999998</v>
      </c>
      <c r="BJ12" s="21"/>
    </row>
    <row r="13" spans="1:62" ht="15.75" x14ac:dyDescent="0.25">
      <c r="A13" s="21"/>
      <c r="B13" s="5" t="s">
        <v>3</v>
      </c>
      <c r="C13" s="5" t="s">
        <v>15</v>
      </c>
      <c r="D13" s="7">
        <v>1</v>
      </c>
      <c r="E13" s="7">
        <v>1</v>
      </c>
      <c r="F13" s="7">
        <v>33.29</v>
      </c>
      <c r="G13" s="7">
        <v>4.6059999999999999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148.40100000000001</v>
      </c>
      <c r="N13" s="7">
        <v>11.015000000000001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10.167</v>
      </c>
      <c r="AG13" s="7">
        <v>1.5129999999999999</v>
      </c>
      <c r="AH13" s="7">
        <v>0</v>
      </c>
      <c r="AI13" s="7">
        <v>95.29</v>
      </c>
      <c r="AJ13" s="7">
        <v>1.026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21"/>
    </row>
    <row r="14" spans="1:62" ht="15.75" x14ac:dyDescent="0.25">
      <c r="A14" s="21"/>
      <c r="B14" s="5" t="s">
        <v>16</v>
      </c>
      <c r="C14" s="5" t="s">
        <v>17</v>
      </c>
      <c r="D14" s="7">
        <v>1</v>
      </c>
      <c r="E14" s="7">
        <v>1</v>
      </c>
      <c r="F14" s="7">
        <v>339.99099999999999</v>
      </c>
      <c r="G14" s="7">
        <v>79.704999999999998</v>
      </c>
      <c r="H14" s="7">
        <v>0</v>
      </c>
      <c r="I14" s="7">
        <v>0</v>
      </c>
      <c r="J14" s="7">
        <v>3.3029999999999999</v>
      </c>
      <c r="K14" s="7">
        <v>0</v>
      </c>
      <c r="L14" s="7">
        <v>0</v>
      </c>
      <c r="M14" s="7">
        <v>938.93799999999999</v>
      </c>
      <c r="N14" s="7">
        <v>70.450999999999993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24.44</v>
      </c>
      <c r="U14" s="7">
        <v>0</v>
      </c>
      <c r="V14" s="7">
        <v>0</v>
      </c>
      <c r="W14" s="7">
        <v>0</v>
      </c>
      <c r="X14" s="7">
        <v>6.2910000000000004</v>
      </c>
      <c r="Y14" s="7">
        <v>0</v>
      </c>
      <c r="Z14" s="7">
        <v>159.124</v>
      </c>
      <c r="AA14" s="7">
        <v>0</v>
      </c>
      <c r="AB14" s="7">
        <v>0</v>
      </c>
      <c r="AC14" s="7">
        <v>6.0999999999999999E-2</v>
      </c>
      <c r="AD14" s="7">
        <v>14.305999999999999</v>
      </c>
      <c r="AE14" s="7">
        <v>0</v>
      </c>
      <c r="AF14" s="7">
        <v>405.05700000000002</v>
      </c>
      <c r="AG14" s="7">
        <v>191.31899999999999</v>
      </c>
      <c r="AH14" s="7">
        <v>0</v>
      </c>
      <c r="AI14" s="7">
        <v>1535.693</v>
      </c>
      <c r="AJ14" s="7">
        <v>342.666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3.742</v>
      </c>
      <c r="AQ14" s="7">
        <v>0</v>
      </c>
      <c r="AR14" s="7">
        <v>59.195</v>
      </c>
      <c r="AS14" s="7">
        <v>0</v>
      </c>
      <c r="AT14" s="7">
        <v>0.25800000000000001</v>
      </c>
      <c r="AU14" s="7">
        <v>0</v>
      </c>
      <c r="AV14" s="7">
        <v>1.786</v>
      </c>
      <c r="AW14" s="7">
        <v>0</v>
      </c>
      <c r="AX14" s="7">
        <v>0</v>
      </c>
      <c r="AY14" s="7">
        <v>0</v>
      </c>
      <c r="AZ14" s="7">
        <v>0.75</v>
      </c>
      <c r="BA14" s="7">
        <v>0</v>
      </c>
      <c r="BB14" s="7">
        <v>0</v>
      </c>
      <c r="BC14" s="7">
        <v>1.03</v>
      </c>
      <c r="BD14" s="7">
        <v>0</v>
      </c>
      <c r="BE14" s="7">
        <v>0</v>
      </c>
      <c r="BF14" s="7">
        <v>0.19900000000000001</v>
      </c>
      <c r="BG14" s="7">
        <v>0</v>
      </c>
      <c r="BH14" s="7">
        <v>0</v>
      </c>
      <c r="BI14" s="7">
        <v>0</v>
      </c>
      <c r="BJ14" s="21"/>
    </row>
    <row r="15" spans="1:62" ht="15.75" x14ac:dyDescent="0.25">
      <c r="A15" s="21"/>
      <c r="B15" s="5" t="s">
        <v>18</v>
      </c>
      <c r="C15" s="5" t="s">
        <v>19</v>
      </c>
      <c r="D15" s="7">
        <v>2</v>
      </c>
      <c r="E15" s="7">
        <v>2</v>
      </c>
      <c r="F15" s="7">
        <v>1066591.5049999999</v>
      </c>
      <c r="G15" s="7">
        <v>79715.456999999995</v>
      </c>
      <c r="H15" s="7">
        <v>208547.557</v>
      </c>
      <c r="I15" s="7">
        <v>0</v>
      </c>
      <c r="J15" s="7">
        <v>30123.572</v>
      </c>
      <c r="K15" s="7">
        <v>143192.32800000001</v>
      </c>
      <c r="L15" s="7">
        <v>0</v>
      </c>
      <c r="M15" s="7">
        <v>228577.91699999999</v>
      </c>
      <c r="N15" s="7">
        <v>340790.40600000002</v>
      </c>
      <c r="O15" s="7">
        <v>0</v>
      </c>
      <c r="P15" s="7">
        <v>0</v>
      </c>
      <c r="Q15" s="7">
        <v>15610.432000000001</v>
      </c>
      <c r="R15" s="7">
        <v>699.59400000000005</v>
      </c>
      <c r="S15" s="7">
        <v>1736.2940000000001</v>
      </c>
      <c r="T15" s="7">
        <v>24411.102999999999</v>
      </c>
      <c r="U15" s="7">
        <v>0</v>
      </c>
      <c r="V15" s="7">
        <v>0</v>
      </c>
      <c r="W15" s="7">
        <v>13883.066999999999</v>
      </c>
      <c r="X15" s="7">
        <v>27460.595000000001</v>
      </c>
      <c r="Y15" s="7">
        <v>0</v>
      </c>
      <c r="Z15" s="7">
        <v>139887.44500000001</v>
      </c>
      <c r="AA15" s="7">
        <v>0</v>
      </c>
      <c r="AB15" s="7">
        <v>176214.27600000001</v>
      </c>
      <c r="AC15" s="7">
        <v>0</v>
      </c>
      <c r="AD15" s="7">
        <v>10565.802</v>
      </c>
      <c r="AE15" s="7">
        <v>5536.1469999999999</v>
      </c>
      <c r="AF15" s="7">
        <v>366050.245</v>
      </c>
      <c r="AG15" s="7">
        <v>0</v>
      </c>
      <c r="AH15" s="7">
        <v>18453.044000000002</v>
      </c>
      <c r="AI15" s="7">
        <v>1084878.2239999999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3655.7689999999998</v>
      </c>
      <c r="AQ15" s="7">
        <v>0</v>
      </c>
      <c r="AR15" s="7">
        <v>0</v>
      </c>
      <c r="AS15" s="7">
        <v>0</v>
      </c>
      <c r="AT15" s="7">
        <v>692.16700000000003</v>
      </c>
      <c r="AU15" s="7">
        <v>0</v>
      </c>
      <c r="AV15" s="7">
        <v>17250.134999999998</v>
      </c>
      <c r="AW15" s="7">
        <v>0</v>
      </c>
      <c r="AX15" s="7">
        <v>0</v>
      </c>
      <c r="AY15" s="7">
        <v>0</v>
      </c>
      <c r="AZ15" s="7">
        <v>2855.373</v>
      </c>
      <c r="BA15" s="7">
        <v>0</v>
      </c>
      <c r="BB15" s="7">
        <v>0</v>
      </c>
      <c r="BC15" s="7">
        <v>856.31299999999999</v>
      </c>
      <c r="BD15" s="7">
        <v>1892.4580000000001</v>
      </c>
      <c r="BE15" s="7">
        <v>0</v>
      </c>
      <c r="BF15" s="7">
        <v>177.95</v>
      </c>
      <c r="BG15" s="7">
        <v>0</v>
      </c>
      <c r="BH15" s="7">
        <v>0</v>
      </c>
      <c r="BI15" s="7">
        <v>699.40800000000002</v>
      </c>
      <c r="BJ15" s="21"/>
    </row>
    <row r="16" spans="1:62" ht="15.75" x14ac:dyDescent="0.25">
      <c r="A16" s="21"/>
      <c r="B16" s="5" t="s">
        <v>20</v>
      </c>
      <c r="C16" s="5" t="s">
        <v>21</v>
      </c>
      <c r="D16" s="7">
        <v>2</v>
      </c>
      <c r="E16" s="7">
        <v>2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21"/>
    </row>
    <row r="17" spans="1:62" ht="15.75" x14ac:dyDescent="0.25">
      <c r="A17" s="21"/>
      <c r="B17" s="5" t="s">
        <v>22</v>
      </c>
      <c r="C17" s="5" t="s">
        <v>23</v>
      </c>
      <c r="D17" s="7">
        <v>2</v>
      </c>
      <c r="E17" s="7">
        <v>2</v>
      </c>
      <c r="F17" s="7">
        <v>718639.63899999997</v>
      </c>
      <c r="G17" s="7">
        <v>60759.572</v>
      </c>
      <c r="H17" s="7">
        <v>131882.28899999999</v>
      </c>
      <c r="I17" s="7">
        <v>0</v>
      </c>
      <c r="J17" s="7">
        <v>19478.54</v>
      </c>
      <c r="K17" s="7">
        <v>90552.641000000003</v>
      </c>
      <c r="L17" s="7">
        <v>75904.649999999994</v>
      </c>
      <c r="M17" s="7">
        <v>266458.223</v>
      </c>
      <c r="N17" s="7">
        <v>224657.783</v>
      </c>
      <c r="O17" s="7">
        <v>11353.521000000001</v>
      </c>
      <c r="P17" s="7">
        <v>0</v>
      </c>
      <c r="Q17" s="7">
        <v>0</v>
      </c>
      <c r="R17" s="7">
        <v>1127.0719999999999</v>
      </c>
      <c r="S17" s="7">
        <v>2797.2339999999999</v>
      </c>
      <c r="T17" s="7">
        <v>18610.382000000001</v>
      </c>
      <c r="U17" s="7">
        <v>441.89600000000002</v>
      </c>
      <c r="V17" s="7">
        <v>60857.241000000002</v>
      </c>
      <c r="W17" s="7">
        <v>8779.4390000000003</v>
      </c>
      <c r="X17" s="7">
        <v>18182.486000000001</v>
      </c>
      <c r="Y17" s="7">
        <v>0</v>
      </c>
      <c r="Z17" s="7">
        <v>109122.844</v>
      </c>
      <c r="AA17" s="7">
        <v>0</v>
      </c>
      <c r="AB17" s="7">
        <v>111435.217</v>
      </c>
      <c r="AC17" s="7">
        <v>7.915</v>
      </c>
      <c r="AD17" s="7">
        <v>8539.1540000000005</v>
      </c>
      <c r="AE17" s="7">
        <v>3500.9749999999999</v>
      </c>
      <c r="AF17" s="7">
        <v>284076.07199999999</v>
      </c>
      <c r="AG17" s="7">
        <v>24840.361000000001</v>
      </c>
      <c r="AH17" s="7">
        <v>11669.423000000001</v>
      </c>
      <c r="AI17" s="7">
        <v>885791.8</v>
      </c>
      <c r="AJ17" s="7">
        <v>44490.819000000003</v>
      </c>
      <c r="AK17" s="7">
        <v>0</v>
      </c>
      <c r="AL17" s="7">
        <v>0</v>
      </c>
      <c r="AM17" s="7">
        <v>0</v>
      </c>
      <c r="AN17" s="7">
        <v>11242.212</v>
      </c>
      <c r="AO17" s="7">
        <v>0</v>
      </c>
      <c r="AP17" s="7">
        <v>2797.6660000000002</v>
      </c>
      <c r="AQ17" s="7">
        <v>0</v>
      </c>
      <c r="AR17" s="7">
        <v>7685.7269999999999</v>
      </c>
      <c r="AS17" s="7">
        <v>0</v>
      </c>
      <c r="AT17" s="7">
        <v>471.23599999999999</v>
      </c>
      <c r="AU17" s="7">
        <v>0</v>
      </c>
      <c r="AV17" s="7">
        <v>12414.273999999999</v>
      </c>
      <c r="AW17" s="7">
        <v>0</v>
      </c>
      <c r="AX17" s="7">
        <v>0</v>
      </c>
      <c r="AY17" s="7">
        <v>0</v>
      </c>
      <c r="AZ17" s="7">
        <v>1903.1210000000001</v>
      </c>
      <c r="BA17" s="7">
        <v>0</v>
      </c>
      <c r="BB17" s="7">
        <v>0</v>
      </c>
      <c r="BC17" s="7">
        <v>675.25699999999995</v>
      </c>
      <c r="BD17" s="7">
        <v>1196.761</v>
      </c>
      <c r="BE17" s="7">
        <v>0</v>
      </c>
      <c r="BF17" s="7">
        <v>138.33500000000001</v>
      </c>
      <c r="BG17" s="7">
        <v>0</v>
      </c>
      <c r="BH17" s="7">
        <v>0</v>
      </c>
      <c r="BI17" s="7">
        <v>442.29500000000002</v>
      </c>
      <c r="BJ17" s="21"/>
    </row>
    <row r="18" spans="1:62" ht="15.75" x14ac:dyDescent="0.25">
      <c r="A18" s="21"/>
      <c r="B18" s="5" t="s">
        <v>24</v>
      </c>
      <c r="C18" s="5" t="s">
        <v>25</v>
      </c>
      <c r="D18" s="7">
        <v>2</v>
      </c>
      <c r="E18" s="7">
        <v>2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279.601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6.9889999999999999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21"/>
    </row>
    <row r="19" spans="1:62" ht="15.75" x14ac:dyDescent="0.25">
      <c r="A19" s="21"/>
      <c r="B19" s="5" t="s">
        <v>26</v>
      </c>
      <c r="C19" s="5" t="s">
        <v>27</v>
      </c>
      <c r="D19" s="7">
        <v>2</v>
      </c>
      <c r="E19" s="7">
        <v>2</v>
      </c>
      <c r="F19" s="7">
        <v>32338.559000000001</v>
      </c>
      <c r="G19" s="7">
        <v>7176.942</v>
      </c>
      <c r="H19" s="7">
        <v>0</v>
      </c>
      <c r="I19" s="7">
        <v>0</v>
      </c>
      <c r="J19" s="7">
        <v>325.37099999999998</v>
      </c>
      <c r="K19" s="7">
        <v>0</v>
      </c>
      <c r="L19" s="7">
        <v>119506.079</v>
      </c>
      <c r="M19" s="7">
        <v>86486.99</v>
      </c>
      <c r="N19" s="7">
        <v>7096.6639999999998</v>
      </c>
      <c r="O19" s="7">
        <v>0</v>
      </c>
      <c r="P19" s="7">
        <v>0</v>
      </c>
      <c r="Q19" s="7">
        <v>0.372</v>
      </c>
      <c r="R19" s="7">
        <v>0</v>
      </c>
      <c r="S19" s="7">
        <v>0</v>
      </c>
      <c r="T19" s="7">
        <v>2220.0070000000001</v>
      </c>
      <c r="U19" s="7">
        <v>482.21800000000002</v>
      </c>
      <c r="V19" s="7">
        <v>95815.081000000006</v>
      </c>
      <c r="W19" s="7">
        <v>0</v>
      </c>
      <c r="X19" s="7">
        <v>588.33100000000002</v>
      </c>
      <c r="Y19" s="7">
        <v>0</v>
      </c>
      <c r="Z19" s="7">
        <v>14282.918</v>
      </c>
      <c r="AA19" s="7">
        <v>0</v>
      </c>
      <c r="AB19" s="7">
        <v>0</v>
      </c>
      <c r="AC19" s="7">
        <v>3.8980000000000001</v>
      </c>
      <c r="AD19" s="7">
        <v>1311.5719999999999</v>
      </c>
      <c r="AE19" s="7">
        <v>0</v>
      </c>
      <c r="AF19" s="7">
        <v>36185.167999999998</v>
      </c>
      <c r="AG19" s="7">
        <v>17531.68</v>
      </c>
      <c r="AH19" s="7">
        <v>0</v>
      </c>
      <c r="AI19" s="7">
        <v>142601.10200000001</v>
      </c>
      <c r="AJ19" s="7">
        <v>31837.541000000001</v>
      </c>
      <c r="AK19" s="7">
        <v>0</v>
      </c>
      <c r="AL19" s="7">
        <v>0</v>
      </c>
      <c r="AM19" s="7">
        <v>0</v>
      </c>
      <c r="AN19" s="7">
        <v>17700.005000000001</v>
      </c>
      <c r="AO19" s="7">
        <v>0</v>
      </c>
      <c r="AP19" s="7">
        <v>308.209</v>
      </c>
      <c r="AQ19" s="7">
        <v>0</v>
      </c>
      <c r="AR19" s="7">
        <v>5415.2960000000003</v>
      </c>
      <c r="AS19" s="7">
        <v>0</v>
      </c>
      <c r="AT19" s="7">
        <v>22.844999999999999</v>
      </c>
      <c r="AU19" s="7">
        <v>0</v>
      </c>
      <c r="AV19" s="7">
        <v>159.959</v>
      </c>
      <c r="AW19" s="7">
        <v>0</v>
      </c>
      <c r="AX19" s="7">
        <v>0</v>
      </c>
      <c r="AY19" s="7">
        <v>0</v>
      </c>
      <c r="AZ19" s="7">
        <v>69.212999999999994</v>
      </c>
      <c r="BA19" s="7">
        <v>215.803</v>
      </c>
      <c r="BB19" s="7">
        <v>0</v>
      </c>
      <c r="BC19" s="7">
        <v>93.245999999999995</v>
      </c>
      <c r="BD19" s="7">
        <v>0</v>
      </c>
      <c r="BE19" s="7">
        <v>240.93600000000001</v>
      </c>
      <c r="BF19" s="7">
        <v>16.937999999999999</v>
      </c>
      <c r="BG19" s="7">
        <v>105.41500000000001</v>
      </c>
      <c r="BH19" s="7">
        <v>0</v>
      </c>
      <c r="BI19" s="7">
        <v>0</v>
      </c>
      <c r="BJ19" s="21"/>
    </row>
    <row r="20" spans="1:62" ht="15.75" x14ac:dyDescent="0.25">
      <c r="A20" s="21"/>
      <c r="B20" s="5" t="s">
        <v>28</v>
      </c>
      <c r="C20" s="5" t="s">
        <v>29</v>
      </c>
      <c r="D20" s="7">
        <v>6</v>
      </c>
      <c r="E20" s="7">
        <v>6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21"/>
    </row>
    <row r="21" spans="1:62" ht="15.75" x14ac:dyDescent="0.25">
      <c r="A21" s="21"/>
      <c r="B21" s="5" t="s">
        <v>30</v>
      </c>
      <c r="C21" s="5" t="s">
        <v>31</v>
      </c>
      <c r="D21" s="7">
        <v>5</v>
      </c>
      <c r="E21" s="7">
        <v>5</v>
      </c>
      <c r="F21" s="7">
        <v>0</v>
      </c>
      <c r="G21" s="7">
        <v>0</v>
      </c>
      <c r="H21" s="7">
        <v>0</v>
      </c>
      <c r="I21" s="7">
        <v>946223.33600000001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21"/>
    </row>
    <row r="22" spans="1:62" ht="15.75" x14ac:dyDescent="0.25">
      <c r="A22" s="21"/>
      <c r="B22" s="5" t="s">
        <v>32</v>
      </c>
      <c r="C22" s="5" t="s">
        <v>33</v>
      </c>
      <c r="D22" s="7">
        <v>2</v>
      </c>
      <c r="E22" s="7">
        <v>2</v>
      </c>
      <c r="F22" s="7">
        <v>7074.9639999999999</v>
      </c>
      <c r="G22" s="7">
        <v>0</v>
      </c>
      <c r="H22" s="7">
        <v>1786.0830000000001</v>
      </c>
      <c r="I22" s="7">
        <v>0</v>
      </c>
      <c r="J22" s="7">
        <v>0</v>
      </c>
      <c r="K22" s="7">
        <v>1370.413</v>
      </c>
      <c r="L22" s="7">
        <v>0</v>
      </c>
      <c r="M22" s="7">
        <v>4358.0429999999997</v>
      </c>
      <c r="N22" s="7">
        <v>2416.9490000000001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811.85599999999999</v>
      </c>
      <c r="AG22" s="7">
        <v>0</v>
      </c>
      <c r="AH22" s="7">
        <v>0</v>
      </c>
      <c r="AI22" s="7">
        <v>4098.25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75" x14ac:dyDescent="0.25">
      <c r="A23" s="21"/>
      <c r="B23" s="5" t="s">
        <v>34</v>
      </c>
      <c r="C23" s="5" t="s">
        <v>35</v>
      </c>
      <c r="D23" s="7">
        <v>2</v>
      </c>
      <c r="E23" s="7">
        <v>2</v>
      </c>
      <c r="F23" s="7">
        <v>21481.027999999998</v>
      </c>
      <c r="G23" s="7">
        <v>4670.201</v>
      </c>
      <c r="H23" s="7">
        <v>4275.3239999999996</v>
      </c>
      <c r="I23" s="7">
        <v>0</v>
      </c>
      <c r="J23" s="7">
        <v>870.07299999999998</v>
      </c>
      <c r="K23" s="7">
        <v>3367.8490000000002</v>
      </c>
      <c r="L23" s="7">
        <v>0</v>
      </c>
      <c r="M23" s="7">
        <v>20962.266</v>
      </c>
      <c r="N23" s="7">
        <v>15719.147000000001</v>
      </c>
      <c r="O23" s="7">
        <v>0</v>
      </c>
      <c r="P23" s="7">
        <v>45.703000000000003</v>
      </c>
      <c r="Q23" s="7">
        <v>0</v>
      </c>
      <c r="R23" s="7">
        <v>32.241999999999997</v>
      </c>
      <c r="S23" s="7">
        <v>0</v>
      </c>
      <c r="T23" s="7">
        <v>1347.807</v>
      </c>
      <c r="U23" s="7">
        <v>0</v>
      </c>
      <c r="V23" s="7">
        <v>0</v>
      </c>
      <c r="W23" s="7">
        <v>457.71499999999997</v>
      </c>
      <c r="X23" s="7">
        <v>1249.932</v>
      </c>
      <c r="Y23" s="7">
        <v>1640.2670000000001</v>
      </c>
      <c r="Z23" s="7">
        <v>4211.6350000000002</v>
      </c>
      <c r="AA23" s="7">
        <v>85.834999999999994</v>
      </c>
      <c r="AB23" s="7">
        <v>4456.2420000000002</v>
      </c>
      <c r="AC23" s="7">
        <v>1249.808</v>
      </c>
      <c r="AD23" s="7">
        <v>652.75099999999998</v>
      </c>
      <c r="AE23" s="7">
        <v>109.276</v>
      </c>
      <c r="AF23" s="7">
        <v>12227.264999999999</v>
      </c>
      <c r="AG23" s="7">
        <v>688.71900000000005</v>
      </c>
      <c r="AH23" s="7">
        <v>631.31100000000004</v>
      </c>
      <c r="AI23" s="7">
        <v>69859.741999999998</v>
      </c>
      <c r="AJ23" s="7">
        <v>1233.5429999999999</v>
      </c>
      <c r="AK23" s="7">
        <v>443.49099999999999</v>
      </c>
      <c r="AL23" s="7">
        <v>1168379.7709999999</v>
      </c>
      <c r="AM23" s="7">
        <v>680109.96</v>
      </c>
      <c r="AN23" s="7">
        <v>0</v>
      </c>
      <c r="AO23" s="7">
        <v>394707.12800000003</v>
      </c>
      <c r="AP23" s="7">
        <v>118.047</v>
      </c>
      <c r="AQ23" s="7">
        <v>0</v>
      </c>
      <c r="AR23" s="7">
        <v>213.09299999999999</v>
      </c>
      <c r="AS23" s="7">
        <v>0</v>
      </c>
      <c r="AT23" s="7">
        <v>2.5590000000000002</v>
      </c>
      <c r="AU23" s="7">
        <v>0</v>
      </c>
      <c r="AV23" s="7">
        <v>1131.2919999999999</v>
      </c>
      <c r="AW23" s="7">
        <v>0</v>
      </c>
      <c r="AX23" s="7">
        <v>0</v>
      </c>
      <c r="AY23" s="7">
        <v>1012.016</v>
      </c>
      <c r="AZ23" s="7">
        <v>74.021000000000001</v>
      </c>
      <c r="BA23" s="7">
        <v>0</v>
      </c>
      <c r="BB23" s="7">
        <v>647.55700000000002</v>
      </c>
      <c r="BC23" s="7">
        <v>30.19</v>
      </c>
      <c r="BD23" s="7">
        <v>66.05</v>
      </c>
      <c r="BE23" s="7">
        <v>0</v>
      </c>
      <c r="BF23" s="7">
        <v>8.3659999999999997</v>
      </c>
      <c r="BG23" s="7">
        <v>0</v>
      </c>
      <c r="BH23" s="7">
        <v>34055.656000000003</v>
      </c>
      <c r="BI23" s="7">
        <v>26.305</v>
      </c>
      <c r="BJ23" s="21"/>
    </row>
    <row r="24" spans="1:62" ht="15.75" x14ac:dyDescent="0.25">
      <c r="A24" s="21"/>
      <c r="B24" s="5" t="s">
        <v>36</v>
      </c>
      <c r="C24" s="5" t="s">
        <v>37</v>
      </c>
      <c r="D24" s="7">
        <v>6</v>
      </c>
      <c r="E24" s="7">
        <v>6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21"/>
    </row>
    <row r="25" spans="1:62" ht="15.75" x14ac:dyDescent="0.25">
      <c r="A25" s="21"/>
      <c r="B25" s="5" t="s">
        <v>38</v>
      </c>
      <c r="C25" s="5" t="s">
        <v>39</v>
      </c>
      <c r="D25" s="7">
        <v>6</v>
      </c>
      <c r="E25" s="7">
        <v>6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21"/>
    </row>
    <row r="26" spans="1:62" ht="15.75" x14ac:dyDescent="0.25">
      <c r="A26" s="21"/>
      <c r="B26" s="5" t="s">
        <v>40</v>
      </c>
      <c r="C26" s="5" t="s">
        <v>41</v>
      </c>
      <c r="D26" s="7">
        <v>6</v>
      </c>
      <c r="E26" s="7">
        <v>6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75" x14ac:dyDescent="0.25">
      <c r="A27" s="21"/>
      <c r="B27" s="5" t="s">
        <v>42</v>
      </c>
      <c r="C27" s="5" t="s">
        <v>43</v>
      </c>
      <c r="D27" s="7">
        <v>6</v>
      </c>
      <c r="E27" s="7">
        <v>6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75" x14ac:dyDescent="0.25">
      <c r="A28" s="21"/>
      <c r="B28" s="5" t="s">
        <v>44</v>
      </c>
      <c r="C28" s="5" t="s">
        <v>45</v>
      </c>
      <c r="D28" s="7">
        <v>6</v>
      </c>
      <c r="E28" s="7">
        <v>6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75" x14ac:dyDescent="0.25">
      <c r="A29" s="21"/>
      <c r="B29" s="5" t="s">
        <v>46</v>
      </c>
      <c r="C29" s="5" t="s">
        <v>47</v>
      </c>
      <c r="D29" s="7">
        <v>6</v>
      </c>
      <c r="E29" s="7">
        <v>6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75" x14ac:dyDescent="0.25">
      <c r="A30" s="21"/>
      <c r="B30" s="5" t="s">
        <v>48</v>
      </c>
      <c r="C30" s="5" t="s">
        <v>49</v>
      </c>
      <c r="D30" s="7">
        <v>6</v>
      </c>
      <c r="E30" s="7">
        <v>6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75" x14ac:dyDescent="0.25">
      <c r="A31" s="21"/>
      <c r="B31" s="5" t="s">
        <v>50</v>
      </c>
      <c r="C31" s="5" t="s">
        <v>51</v>
      </c>
      <c r="D31" s="7">
        <v>6</v>
      </c>
      <c r="E31" s="7">
        <v>6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75" x14ac:dyDescent="0.25">
      <c r="A32" s="21"/>
      <c r="B32" s="5" t="s">
        <v>52</v>
      </c>
      <c r="C32" s="5" t="s">
        <v>53</v>
      </c>
      <c r="D32" s="7">
        <v>6</v>
      </c>
      <c r="E32" s="7">
        <v>6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75" x14ac:dyDescent="0.25">
      <c r="A33" s="21"/>
      <c r="B33" s="5" t="s">
        <v>54</v>
      </c>
      <c r="C33" s="5" t="s">
        <v>55</v>
      </c>
      <c r="D33" s="7">
        <v>6</v>
      </c>
      <c r="E33" s="7">
        <v>6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75" x14ac:dyDescent="0.25">
      <c r="A34" s="21"/>
      <c r="B34" s="5" t="s">
        <v>56</v>
      </c>
      <c r="C34" s="5" t="s">
        <v>57</v>
      </c>
      <c r="D34" s="7">
        <v>6</v>
      </c>
      <c r="E34" s="7">
        <v>6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75" x14ac:dyDescent="0.25">
      <c r="A35" s="21"/>
      <c r="B35" s="5" t="s">
        <v>58</v>
      </c>
      <c r="C35" s="5" t="s">
        <v>59</v>
      </c>
      <c r="D35" s="7">
        <v>6</v>
      </c>
      <c r="E35" s="7">
        <v>6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75" x14ac:dyDescent="0.25">
      <c r="A36" s="21"/>
      <c r="B36" s="5" t="s">
        <v>60</v>
      </c>
      <c r="C36" s="5" t="s">
        <v>61</v>
      </c>
      <c r="D36" s="7">
        <v>6</v>
      </c>
      <c r="E36" s="7">
        <v>6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75" x14ac:dyDescent="0.25">
      <c r="A37" s="21"/>
      <c r="B37" s="5" t="s">
        <v>62</v>
      </c>
      <c r="C37" s="5" t="s">
        <v>63</v>
      </c>
      <c r="D37" s="7">
        <v>6</v>
      </c>
      <c r="E37" s="7">
        <v>6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75" x14ac:dyDescent="0.25">
      <c r="A38" s="21"/>
      <c r="B38" s="5" t="s">
        <v>64</v>
      </c>
      <c r="C38" s="5" t="s">
        <v>65</v>
      </c>
      <c r="D38" s="7">
        <v>6</v>
      </c>
      <c r="E38" s="7">
        <v>6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75" x14ac:dyDescent="0.25">
      <c r="A39" s="21"/>
      <c r="B39" s="5" t="s">
        <v>66</v>
      </c>
      <c r="C39" s="5" t="s">
        <v>67</v>
      </c>
      <c r="D39" s="7">
        <v>6</v>
      </c>
      <c r="E39" s="7">
        <v>6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75" x14ac:dyDescent="0.25">
      <c r="A40" s="21"/>
      <c r="B40" s="5" t="s">
        <v>68</v>
      </c>
      <c r="C40" s="5" t="s">
        <v>69</v>
      </c>
      <c r="D40" s="7">
        <v>6</v>
      </c>
      <c r="E40" s="7">
        <v>6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75" x14ac:dyDescent="0.25">
      <c r="A41" s="21"/>
      <c r="B41" s="5" t="s">
        <v>70</v>
      </c>
      <c r="C41" s="5" t="s">
        <v>71</v>
      </c>
      <c r="D41" s="7">
        <v>6</v>
      </c>
      <c r="E41" s="7">
        <v>6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75" x14ac:dyDescent="0.25">
      <c r="A42" s="21"/>
      <c r="B42" s="5" t="s">
        <v>72</v>
      </c>
      <c r="C42" s="5" t="s">
        <v>73</v>
      </c>
      <c r="D42" s="7">
        <v>6</v>
      </c>
      <c r="E42" s="7">
        <v>6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75" x14ac:dyDescent="0.25">
      <c r="A43" s="21"/>
      <c r="B43" s="5" t="s">
        <v>74</v>
      </c>
      <c r="C43" s="5" t="s">
        <v>75</v>
      </c>
      <c r="D43" s="7">
        <v>6</v>
      </c>
      <c r="E43" s="7">
        <v>6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75" x14ac:dyDescent="0.25">
      <c r="A44" s="21"/>
      <c r="B44" s="5" t="s">
        <v>76</v>
      </c>
      <c r="C44" s="5" t="s">
        <v>77</v>
      </c>
      <c r="D44" s="7">
        <v>6</v>
      </c>
      <c r="E44" s="7">
        <v>6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75" x14ac:dyDescent="0.25">
      <c r="A45" s="21"/>
      <c r="B45" s="5" t="s">
        <v>78</v>
      </c>
      <c r="C45" s="5" t="s">
        <v>79</v>
      </c>
      <c r="D45" s="7">
        <v>6</v>
      </c>
      <c r="E45" s="7">
        <v>6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75" x14ac:dyDescent="0.25">
      <c r="A46" s="21"/>
      <c r="B46" s="5" t="s">
        <v>80</v>
      </c>
      <c r="C46" s="5" t="s">
        <v>81</v>
      </c>
      <c r="D46" s="7">
        <v>6</v>
      </c>
      <c r="E46" s="7">
        <v>6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75" x14ac:dyDescent="0.25">
      <c r="A47" s="21"/>
      <c r="B47" s="5" t="s">
        <v>82</v>
      </c>
      <c r="C47" s="5" t="s">
        <v>83</v>
      </c>
      <c r="D47" s="7">
        <v>6</v>
      </c>
      <c r="E47" s="7">
        <v>6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75" x14ac:dyDescent="0.25">
      <c r="A48" s="21"/>
      <c r="B48" s="5" t="s">
        <v>84</v>
      </c>
      <c r="C48" s="5" t="s">
        <v>85</v>
      </c>
      <c r="D48" s="7">
        <v>6</v>
      </c>
      <c r="E48" s="7">
        <v>6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75" x14ac:dyDescent="0.25">
      <c r="A49" s="21"/>
      <c r="B49" s="5" t="s">
        <v>86</v>
      </c>
      <c r="C49" s="5" t="s">
        <v>87</v>
      </c>
      <c r="D49" s="7">
        <v>6</v>
      </c>
      <c r="E49" s="7">
        <v>6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75" x14ac:dyDescent="0.25">
      <c r="A50" s="21"/>
      <c r="B50" s="5" t="s">
        <v>88</v>
      </c>
      <c r="C50" s="5" t="s">
        <v>89</v>
      </c>
      <c r="D50" s="7">
        <v>6</v>
      </c>
      <c r="E50" s="7">
        <v>6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75" x14ac:dyDescent="0.25">
      <c r="A51" s="21"/>
      <c r="B51" s="5" t="s">
        <v>90</v>
      </c>
      <c r="C51" s="5" t="s">
        <v>91</v>
      </c>
      <c r="D51" s="7">
        <v>6</v>
      </c>
      <c r="E51" s="7">
        <v>6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75" x14ac:dyDescent="0.25">
      <c r="A52" s="21"/>
      <c r="B52" s="5" t="s">
        <v>92</v>
      </c>
      <c r="C52" s="5" t="s">
        <v>93</v>
      </c>
      <c r="D52" s="7">
        <v>6</v>
      </c>
      <c r="E52" s="7">
        <v>6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75" x14ac:dyDescent="0.25">
      <c r="A53" s="21"/>
      <c r="B53" s="5" t="s">
        <v>94</v>
      </c>
      <c r="C53" s="5" t="s">
        <v>95</v>
      </c>
      <c r="D53" s="7">
        <v>6</v>
      </c>
      <c r="E53" s="7">
        <v>6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75" x14ac:dyDescent="0.25">
      <c r="A54" s="21"/>
      <c r="B54" s="5" t="s">
        <v>96</v>
      </c>
      <c r="C54" s="5" t="s">
        <v>97</v>
      </c>
      <c r="D54" s="7">
        <v>6</v>
      </c>
      <c r="E54" s="7">
        <v>6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75" x14ac:dyDescent="0.25">
      <c r="A55" s="21"/>
      <c r="B55" s="5" t="s">
        <v>98</v>
      </c>
      <c r="C55" s="5" t="s">
        <v>99</v>
      </c>
      <c r="D55" s="7">
        <v>6</v>
      </c>
      <c r="E55" s="7">
        <v>6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75" x14ac:dyDescent="0.25">
      <c r="A56" s="21"/>
      <c r="B56" s="5" t="s">
        <v>100</v>
      </c>
      <c r="C56" s="5" t="s">
        <v>101</v>
      </c>
      <c r="D56" s="7">
        <v>6</v>
      </c>
      <c r="E56" s="7">
        <v>6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75" x14ac:dyDescent="0.25">
      <c r="A57" s="21"/>
      <c r="B57" s="5" t="s">
        <v>102</v>
      </c>
      <c r="C57" s="5" t="s">
        <v>103</v>
      </c>
      <c r="D57" s="7">
        <v>6</v>
      </c>
      <c r="E57" s="7">
        <v>6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75" x14ac:dyDescent="0.25">
      <c r="A58" s="21"/>
      <c r="B58" s="5" t="s">
        <v>104</v>
      </c>
      <c r="C58" s="5" t="s">
        <v>105</v>
      </c>
      <c r="D58" s="7">
        <v>6</v>
      </c>
      <c r="E58" s="7">
        <v>6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75" x14ac:dyDescent="0.25">
      <c r="A59" s="21"/>
      <c r="B59" s="5" t="s">
        <v>106</v>
      </c>
      <c r="C59" s="5" t="s">
        <v>107</v>
      </c>
      <c r="D59" s="7">
        <v>6</v>
      </c>
      <c r="E59" s="7">
        <v>6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75" x14ac:dyDescent="0.25">
      <c r="A60" s="21"/>
      <c r="B60" s="5" t="s">
        <v>108</v>
      </c>
      <c r="C60" s="5" t="s">
        <v>109</v>
      </c>
      <c r="D60" s="7">
        <v>6</v>
      </c>
      <c r="E60" s="7">
        <v>6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75" x14ac:dyDescent="0.25">
      <c r="A61" s="21"/>
      <c r="B61" s="5" t="s">
        <v>110</v>
      </c>
      <c r="C61" s="5" t="s">
        <v>111</v>
      </c>
      <c r="D61" s="7">
        <v>3</v>
      </c>
      <c r="E61" s="7">
        <v>3</v>
      </c>
      <c r="F61" s="7">
        <v>894062.03899999999</v>
      </c>
      <c r="G61" s="7">
        <v>101385.072</v>
      </c>
      <c r="H61" s="7">
        <v>238814.45199999999</v>
      </c>
      <c r="I61" s="7">
        <v>16342.921</v>
      </c>
      <c r="J61" s="7">
        <v>19593.941999999999</v>
      </c>
      <c r="K61" s="7">
        <v>162301.908</v>
      </c>
      <c r="L61" s="7">
        <v>0</v>
      </c>
      <c r="M61" s="7">
        <v>304863.58100000001</v>
      </c>
      <c r="N61" s="7">
        <v>559210.48199999996</v>
      </c>
      <c r="O61" s="7">
        <v>0</v>
      </c>
      <c r="P61" s="7">
        <v>0</v>
      </c>
      <c r="Q61" s="7">
        <v>31.629000000000001</v>
      </c>
      <c r="R61" s="7">
        <v>1462.05</v>
      </c>
      <c r="S61" s="7">
        <v>4948.4059999999999</v>
      </c>
      <c r="T61" s="7">
        <v>40525.493000000002</v>
      </c>
      <c r="U61" s="7">
        <v>0</v>
      </c>
      <c r="V61" s="7">
        <v>0</v>
      </c>
      <c r="W61" s="7">
        <v>20063.057000000001</v>
      </c>
      <c r="X61" s="7">
        <v>48599.39</v>
      </c>
      <c r="Y61" s="7">
        <v>0</v>
      </c>
      <c r="Z61" s="7">
        <v>100587.52499999999</v>
      </c>
      <c r="AA61" s="7">
        <v>0</v>
      </c>
      <c r="AB61" s="7">
        <v>209816.715</v>
      </c>
      <c r="AC61" s="7">
        <v>0</v>
      </c>
      <c r="AD61" s="7">
        <v>17500.282999999999</v>
      </c>
      <c r="AE61" s="7">
        <v>216.87799999999999</v>
      </c>
      <c r="AF61" s="7">
        <v>245436.024</v>
      </c>
      <c r="AG61" s="7">
        <v>0</v>
      </c>
      <c r="AH61" s="7">
        <v>449.28399999999999</v>
      </c>
      <c r="AI61" s="7">
        <v>961392.353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3762.5239999999999</v>
      </c>
      <c r="AQ61" s="7">
        <v>0</v>
      </c>
      <c r="AR61" s="7">
        <v>0</v>
      </c>
      <c r="AS61" s="7">
        <v>0</v>
      </c>
      <c r="AT61" s="7">
        <v>259.73</v>
      </c>
      <c r="AU61" s="7">
        <v>0</v>
      </c>
      <c r="AV61" s="7">
        <v>10058.700999999999</v>
      </c>
      <c r="AW61" s="7">
        <v>0</v>
      </c>
      <c r="AX61" s="7">
        <v>0</v>
      </c>
      <c r="AY61" s="7">
        <v>0</v>
      </c>
      <c r="AZ61" s="7">
        <v>3912.835</v>
      </c>
      <c r="BA61" s="7">
        <v>0</v>
      </c>
      <c r="BB61" s="7">
        <v>0</v>
      </c>
      <c r="BC61" s="7">
        <v>1323.8679999999999</v>
      </c>
      <c r="BD61" s="7">
        <v>2888.8519999999999</v>
      </c>
      <c r="BE61" s="7">
        <v>0</v>
      </c>
      <c r="BF61" s="7">
        <v>236.39699999999999</v>
      </c>
      <c r="BG61" s="7">
        <v>0</v>
      </c>
      <c r="BH61" s="7">
        <v>0</v>
      </c>
      <c r="BI61" s="7">
        <v>1273.2809999999999</v>
      </c>
      <c r="BJ61" s="21"/>
    </row>
    <row r="62" spans="1:62" ht="15.75" x14ac:dyDescent="0.25">
      <c r="A62" s="21"/>
      <c r="B62" s="5" t="s">
        <v>112</v>
      </c>
      <c r="C62" s="5" t="s">
        <v>113</v>
      </c>
      <c r="D62" s="7">
        <v>3</v>
      </c>
      <c r="E62" s="7">
        <v>3</v>
      </c>
      <c r="F62" s="7">
        <v>6050.6229999999996</v>
      </c>
      <c r="G62" s="7">
        <v>880.72299999999996</v>
      </c>
      <c r="H62" s="7">
        <v>1475.3209999999999</v>
      </c>
      <c r="I62" s="7">
        <v>0</v>
      </c>
      <c r="J62" s="7">
        <v>141.12299999999999</v>
      </c>
      <c r="K62" s="7">
        <v>888.68</v>
      </c>
      <c r="L62" s="7">
        <v>0</v>
      </c>
      <c r="M62" s="7">
        <v>2587.373</v>
      </c>
      <c r="N62" s="7">
        <v>3784.6709999999998</v>
      </c>
      <c r="O62" s="7">
        <v>0</v>
      </c>
      <c r="P62" s="7">
        <v>0</v>
      </c>
      <c r="Q62" s="7">
        <v>0.125</v>
      </c>
      <c r="R62" s="7">
        <v>133.25200000000001</v>
      </c>
      <c r="S62" s="7">
        <v>451.00099999999998</v>
      </c>
      <c r="T62" s="7">
        <v>376.96</v>
      </c>
      <c r="U62" s="7">
        <v>0</v>
      </c>
      <c r="V62" s="7">
        <v>0</v>
      </c>
      <c r="W62" s="7">
        <v>149.41499999999999</v>
      </c>
      <c r="X62" s="7">
        <v>292.98899999999998</v>
      </c>
      <c r="Y62" s="7">
        <v>0</v>
      </c>
      <c r="Z62" s="7">
        <v>701.89599999999996</v>
      </c>
      <c r="AA62" s="7">
        <v>0</v>
      </c>
      <c r="AB62" s="7">
        <v>1202.9590000000001</v>
      </c>
      <c r="AC62" s="7">
        <v>0</v>
      </c>
      <c r="AD62" s="7">
        <v>143.25299999999999</v>
      </c>
      <c r="AE62" s="7">
        <v>0</v>
      </c>
      <c r="AF62" s="7">
        <v>1102.7860000000001</v>
      </c>
      <c r="AG62" s="7">
        <v>0</v>
      </c>
      <c r="AH62" s="7">
        <v>0</v>
      </c>
      <c r="AI62" s="7">
        <v>6054.6809999999996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24.734000000000002</v>
      </c>
      <c r="AQ62" s="7">
        <v>0</v>
      </c>
      <c r="AR62" s="7">
        <v>0</v>
      </c>
      <c r="AS62" s="7">
        <v>0</v>
      </c>
      <c r="AT62" s="7">
        <v>3.2549999999999999</v>
      </c>
      <c r="AU62" s="7">
        <v>0</v>
      </c>
      <c r="AV62" s="7">
        <v>96.046000000000006</v>
      </c>
      <c r="AW62" s="7">
        <v>0</v>
      </c>
      <c r="AX62" s="7">
        <v>0</v>
      </c>
      <c r="AY62" s="7">
        <v>0</v>
      </c>
      <c r="AZ62" s="7">
        <v>27.308</v>
      </c>
      <c r="BA62" s="7">
        <v>0</v>
      </c>
      <c r="BB62" s="7">
        <v>0</v>
      </c>
      <c r="BC62" s="7">
        <v>9.6769999999999996</v>
      </c>
      <c r="BD62" s="7">
        <v>23.079000000000001</v>
      </c>
      <c r="BE62" s="7">
        <v>0</v>
      </c>
      <c r="BF62" s="7">
        <v>1.649</v>
      </c>
      <c r="BG62" s="7">
        <v>0</v>
      </c>
      <c r="BH62" s="7">
        <v>0</v>
      </c>
      <c r="BI62" s="7">
        <v>8.593</v>
      </c>
      <c r="BJ62" s="21"/>
    </row>
    <row r="63" spans="1:62" ht="15.75" x14ac:dyDescent="0.25">
      <c r="A63" s="21"/>
      <c r="B63" s="5" t="s">
        <v>114</v>
      </c>
      <c r="C63" s="5" t="s">
        <v>115</v>
      </c>
      <c r="D63" s="7">
        <v>3</v>
      </c>
      <c r="E63" s="7">
        <v>3</v>
      </c>
      <c r="F63" s="7">
        <v>158625.049</v>
      </c>
      <c r="G63" s="7">
        <v>21383.011999999999</v>
      </c>
      <c r="H63" s="7">
        <v>39912.724999999999</v>
      </c>
      <c r="I63" s="7">
        <v>210.49799999999999</v>
      </c>
      <c r="J63" s="7">
        <v>3625.0129999999999</v>
      </c>
      <c r="K63" s="7">
        <v>25136.744999999999</v>
      </c>
      <c r="L63" s="7">
        <v>27427.362000000001</v>
      </c>
      <c r="M63" s="7">
        <v>63235.025000000001</v>
      </c>
      <c r="N63" s="7">
        <v>99218.57</v>
      </c>
      <c r="O63" s="7">
        <v>963.19</v>
      </c>
      <c r="P63" s="7">
        <v>0</v>
      </c>
      <c r="Q63" s="7">
        <v>4.05</v>
      </c>
      <c r="R63" s="7">
        <v>561.20699999999999</v>
      </c>
      <c r="S63" s="7">
        <v>1899.443</v>
      </c>
      <c r="T63" s="7">
        <v>8981.9619999999995</v>
      </c>
      <c r="U63" s="7">
        <v>0</v>
      </c>
      <c r="V63" s="7">
        <v>21990.135999999999</v>
      </c>
      <c r="W63" s="7">
        <v>3797.5360000000001</v>
      </c>
      <c r="X63" s="7">
        <v>7995.9830000000002</v>
      </c>
      <c r="Y63" s="7">
        <v>0</v>
      </c>
      <c r="Z63" s="7">
        <v>18215.559000000001</v>
      </c>
      <c r="AA63" s="7">
        <v>0</v>
      </c>
      <c r="AB63" s="7">
        <v>33439.832000000002</v>
      </c>
      <c r="AC63" s="7">
        <v>0</v>
      </c>
      <c r="AD63" s="7">
        <v>3537.9459999999999</v>
      </c>
      <c r="AE63" s="7">
        <v>0</v>
      </c>
      <c r="AF63" s="7">
        <v>33805.745000000003</v>
      </c>
      <c r="AG63" s="7">
        <v>0</v>
      </c>
      <c r="AH63" s="7">
        <v>0</v>
      </c>
      <c r="AI63" s="7">
        <v>162814.68400000001</v>
      </c>
      <c r="AJ63" s="7">
        <v>0</v>
      </c>
      <c r="AK63" s="7">
        <v>0</v>
      </c>
      <c r="AL63" s="7">
        <v>0</v>
      </c>
      <c r="AM63" s="7">
        <v>0</v>
      </c>
      <c r="AN63" s="7">
        <v>4062.2570000000001</v>
      </c>
      <c r="AO63" s="7">
        <v>0</v>
      </c>
      <c r="AP63" s="7">
        <v>654.822</v>
      </c>
      <c r="AQ63" s="7">
        <v>0</v>
      </c>
      <c r="AR63" s="7">
        <v>0</v>
      </c>
      <c r="AS63" s="7">
        <v>0</v>
      </c>
      <c r="AT63" s="7">
        <v>72.204999999999998</v>
      </c>
      <c r="AU63" s="7">
        <v>0</v>
      </c>
      <c r="AV63" s="7">
        <v>2430.1239999999998</v>
      </c>
      <c r="AW63" s="7">
        <v>0</v>
      </c>
      <c r="AX63" s="7">
        <v>0</v>
      </c>
      <c r="AY63" s="7">
        <v>0</v>
      </c>
      <c r="AZ63" s="7">
        <v>708.65899999999999</v>
      </c>
      <c r="BA63" s="7">
        <v>0</v>
      </c>
      <c r="BB63" s="7">
        <v>0</v>
      </c>
      <c r="BC63" s="7">
        <v>247.40299999999999</v>
      </c>
      <c r="BD63" s="7">
        <v>574.11099999999999</v>
      </c>
      <c r="BE63" s="7">
        <v>0</v>
      </c>
      <c r="BF63" s="7">
        <v>42.802</v>
      </c>
      <c r="BG63" s="7">
        <v>0</v>
      </c>
      <c r="BH63" s="7">
        <v>0</v>
      </c>
      <c r="BI63" s="7">
        <v>225.483</v>
      </c>
      <c r="BJ63" s="21"/>
    </row>
    <row r="64" spans="1:62" ht="15.75" x14ac:dyDescent="0.25">
      <c r="A64" s="21"/>
      <c r="B64" s="5" t="s">
        <v>116</v>
      </c>
      <c r="C64" s="5" t="s">
        <v>117</v>
      </c>
      <c r="D64" s="7">
        <v>3</v>
      </c>
      <c r="E64" s="7">
        <v>3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21"/>
    </row>
    <row r="65" spans="1:62" ht="15.75" x14ac:dyDescent="0.25">
      <c r="A65" s="21"/>
      <c r="B65" s="5" t="s">
        <v>118</v>
      </c>
      <c r="C65" s="5" t="s">
        <v>119</v>
      </c>
      <c r="D65" s="7">
        <v>3</v>
      </c>
      <c r="E65" s="7">
        <v>3</v>
      </c>
      <c r="F65" s="7">
        <v>180938.10800000001</v>
      </c>
      <c r="G65" s="7">
        <v>26933.702000000001</v>
      </c>
      <c r="H65" s="7">
        <v>43968.595999999998</v>
      </c>
      <c r="I65" s="7">
        <v>15617.64</v>
      </c>
      <c r="J65" s="7">
        <v>4206.4459999999999</v>
      </c>
      <c r="K65" s="7">
        <v>26290.351999999999</v>
      </c>
      <c r="L65" s="7">
        <v>0</v>
      </c>
      <c r="M65" s="7">
        <v>82212.437999999995</v>
      </c>
      <c r="N65" s="7">
        <v>113303.79</v>
      </c>
      <c r="O65" s="7">
        <v>0</v>
      </c>
      <c r="P65" s="7">
        <v>0</v>
      </c>
      <c r="Q65" s="7">
        <v>3.43</v>
      </c>
      <c r="R65" s="7">
        <v>513.26300000000003</v>
      </c>
      <c r="S65" s="7">
        <v>1737.174</v>
      </c>
      <c r="T65" s="7">
        <v>11469.129000000001</v>
      </c>
      <c r="U65" s="7">
        <v>0</v>
      </c>
      <c r="V65" s="7">
        <v>0</v>
      </c>
      <c r="W65" s="7">
        <v>4467.0810000000001</v>
      </c>
      <c r="X65" s="7">
        <v>8576.8829999999998</v>
      </c>
      <c r="Y65" s="7">
        <v>0</v>
      </c>
      <c r="Z65" s="7">
        <v>21019.131000000001</v>
      </c>
      <c r="AA65" s="7">
        <v>0</v>
      </c>
      <c r="AB65" s="7">
        <v>35115.932999999997</v>
      </c>
      <c r="AC65" s="7">
        <v>0</v>
      </c>
      <c r="AD65" s="7">
        <v>4317.098</v>
      </c>
      <c r="AE65" s="7">
        <v>0</v>
      </c>
      <c r="AF65" s="7">
        <v>32031.468000000001</v>
      </c>
      <c r="AG65" s="7">
        <v>0</v>
      </c>
      <c r="AH65" s="7">
        <v>0</v>
      </c>
      <c r="AI65" s="7">
        <v>181474.60699999999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730.75699999999995</v>
      </c>
      <c r="AQ65" s="7">
        <v>0</v>
      </c>
      <c r="AR65" s="7">
        <v>0</v>
      </c>
      <c r="AS65" s="7">
        <v>0</v>
      </c>
      <c r="AT65" s="7">
        <v>100.813</v>
      </c>
      <c r="AU65" s="7">
        <v>0</v>
      </c>
      <c r="AV65" s="7">
        <v>3026.739</v>
      </c>
      <c r="AW65" s="7">
        <v>0</v>
      </c>
      <c r="AX65" s="7">
        <v>0</v>
      </c>
      <c r="AY65" s="7">
        <v>0</v>
      </c>
      <c r="AZ65" s="7">
        <v>811.57899999999995</v>
      </c>
      <c r="BA65" s="7">
        <v>0</v>
      </c>
      <c r="BB65" s="7">
        <v>0</v>
      </c>
      <c r="BC65" s="7">
        <v>288.83300000000003</v>
      </c>
      <c r="BD65" s="7">
        <v>694.15099999999995</v>
      </c>
      <c r="BE65" s="7">
        <v>0</v>
      </c>
      <c r="BF65" s="7">
        <v>49.009</v>
      </c>
      <c r="BG65" s="7">
        <v>0</v>
      </c>
      <c r="BH65" s="7">
        <v>0</v>
      </c>
      <c r="BI65" s="7">
        <v>254.541</v>
      </c>
      <c r="BJ65" s="21"/>
    </row>
    <row r="66" spans="1:62" ht="15.75" x14ac:dyDescent="0.25">
      <c r="A66" s="21"/>
      <c r="B66" s="5" t="s">
        <v>120</v>
      </c>
      <c r="C66" s="5" t="s">
        <v>121</v>
      </c>
      <c r="D66" s="7">
        <v>3</v>
      </c>
      <c r="E66" s="7">
        <v>3</v>
      </c>
      <c r="F66" s="7">
        <v>26641.503000000001</v>
      </c>
      <c r="G66" s="7">
        <v>3962.2150000000001</v>
      </c>
      <c r="H66" s="7">
        <v>6434.9589999999998</v>
      </c>
      <c r="I66" s="7">
        <v>0</v>
      </c>
      <c r="J66" s="7">
        <v>625.06799999999998</v>
      </c>
      <c r="K66" s="7">
        <v>3822.0920000000001</v>
      </c>
      <c r="L66" s="7">
        <v>0</v>
      </c>
      <c r="M66" s="7">
        <v>11619.561</v>
      </c>
      <c r="N66" s="7">
        <v>16664.364000000001</v>
      </c>
      <c r="O66" s="7">
        <v>0</v>
      </c>
      <c r="P66" s="7">
        <v>0</v>
      </c>
      <c r="Q66" s="7">
        <v>0.51</v>
      </c>
      <c r="R66" s="7">
        <v>91.338999999999999</v>
      </c>
      <c r="S66" s="7">
        <v>309.14400000000001</v>
      </c>
      <c r="T66" s="7">
        <v>1704.2860000000001</v>
      </c>
      <c r="U66" s="7">
        <v>0</v>
      </c>
      <c r="V66" s="7">
        <v>0</v>
      </c>
      <c r="W66" s="7">
        <v>663.798</v>
      </c>
      <c r="X66" s="7">
        <v>1274.5050000000001</v>
      </c>
      <c r="Y66" s="7">
        <v>0</v>
      </c>
      <c r="Z66" s="7">
        <v>3099.6880000000001</v>
      </c>
      <c r="AA66" s="7">
        <v>0</v>
      </c>
      <c r="AB66" s="7">
        <v>5202.7430000000004</v>
      </c>
      <c r="AC66" s="7">
        <v>0</v>
      </c>
      <c r="AD66" s="7">
        <v>641.51099999999997</v>
      </c>
      <c r="AE66" s="7">
        <v>0</v>
      </c>
      <c r="AF66" s="7">
        <v>4613.84</v>
      </c>
      <c r="AG66" s="7">
        <v>0</v>
      </c>
      <c r="AH66" s="7">
        <v>0</v>
      </c>
      <c r="AI66" s="7">
        <v>26463.718000000001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108.589</v>
      </c>
      <c r="AQ66" s="7">
        <v>0</v>
      </c>
      <c r="AR66" s="7">
        <v>0</v>
      </c>
      <c r="AS66" s="7">
        <v>0</v>
      </c>
      <c r="AT66" s="7">
        <v>14.981</v>
      </c>
      <c r="AU66" s="7">
        <v>0</v>
      </c>
      <c r="AV66" s="7">
        <v>454.24900000000002</v>
      </c>
      <c r="AW66" s="7">
        <v>0</v>
      </c>
      <c r="AX66" s="7">
        <v>0</v>
      </c>
      <c r="AY66" s="7">
        <v>0</v>
      </c>
      <c r="AZ66" s="7">
        <v>120.599</v>
      </c>
      <c r="BA66" s="7">
        <v>0</v>
      </c>
      <c r="BB66" s="7">
        <v>0</v>
      </c>
      <c r="BC66" s="7">
        <v>42.92</v>
      </c>
      <c r="BD66" s="7">
        <v>103.149</v>
      </c>
      <c r="BE66" s="7">
        <v>0</v>
      </c>
      <c r="BF66" s="7">
        <v>7.2830000000000004</v>
      </c>
      <c r="BG66" s="7">
        <v>0</v>
      </c>
      <c r="BH66" s="7">
        <v>0</v>
      </c>
      <c r="BI66" s="7">
        <v>37.823999999999998</v>
      </c>
      <c r="BJ66" s="21"/>
    </row>
    <row r="67" spans="1:62" ht="15.75" x14ac:dyDescent="0.25">
      <c r="A67" s="21"/>
      <c r="B67" s="5" t="s">
        <v>122</v>
      </c>
      <c r="C67" s="5" t="s">
        <v>123</v>
      </c>
      <c r="D67" s="7">
        <v>3</v>
      </c>
      <c r="E67" s="7">
        <v>3</v>
      </c>
      <c r="F67" s="7">
        <v>174395.552</v>
      </c>
      <c r="G67" s="7">
        <v>25936.698</v>
      </c>
      <c r="H67" s="7">
        <v>42123.307000000001</v>
      </c>
      <c r="I67" s="7">
        <v>0</v>
      </c>
      <c r="J67" s="7">
        <v>4091.7020000000002</v>
      </c>
      <c r="K67" s="7">
        <v>25019.454000000002</v>
      </c>
      <c r="L67" s="7">
        <v>13362.038</v>
      </c>
      <c r="M67" s="7">
        <v>76061.767000000007</v>
      </c>
      <c r="N67" s="7">
        <v>109085.09299999999</v>
      </c>
      <c r="O67" s="7">
        <v>0</v>
      </c>
      <c r="P67" s="7">
        <v>0</v>
      </c>
      <c r="Q67" s="7">
        <v>3.3359999999999999</v>
      </c>
      <c r="R67" s="7">
        <v>803.346</v>
      </c>
      <c r="S67" s="7">
        <v>2718.9789999999998</v>
      </c>
      <c r="T67" s="7">
        <v>11156.271000000001</v>
      </c>
      <c r="U67" s="7">
        <v>0</v>
      </c>
      <c r="V67" s="7">
        <v>10713.135</v>
      </c>
      <c r="W67" s="7">
        <v>4345.2269999999999</v>
      </c>
      <c r="X67" s="7">
        <v>8342.9210000000003</v>
      </c>
      <c r="Y67" s="7">
        <v>0</v>
      </c>
      <c r="Z67" s="7">
        <v>20290.591</v>
      </c>
      <c r="AA67" s="7">
        <v>0</v>
      </c>
      <c r="AB67" s="7">
        <v>34057.207999999999</v>
      </c>
      <c r="AC67" s="7">
        <v>0</v>
      </c>
      <c r="AD67" s="7">
        <v>4199.335</v>
      </c>
      <c r="AE67" s="7">
        <v>0</v>
      </c>
      <c r="AF67" s="7">
        <v>30202.241999999998</v>
      </c>
      <c r="AG67" s="7">
        <v>0</v>
      </c>
      <c r="AH67" s="7">
        <v>0</v>
      </c>
      <c r="AI67" s="7">
        <v>173291.86199999999</v>
      </c>
      <c r="AJ67" s="7">
        <v>0</v>
      </c>
      <c r="AK67" s="7">
        <v>0</v>
      </c>
      <c r="AL67" s="7">
        <v>0</v>
      </c>
      <c r="AM67" s="7">
        <v>0</v>
      </c>
      <c r="AN67" s="7">
        <v>1979.047</v>
      </c>
      <c r="AO67" s="7">
        <v>0</v>
      </c>
      <c r="AP67" s="7">
        <v>710.82299999999998</v>
      </c>
      <c r="AQ67" s="7">
        <v>0</v>
      </c>
      <c r="AR67" s="7">
        <v>0</v>
      </c>
      <c r="AS67" s="7">
        <v>0</v>
      </c>
      <c r="AT67" s="7">
        <v>98.063000000000002</v>
      </c>
      <c r="AU67" s="7">
        <v>0</v>
      </c>
      <c r="AV67" s="7">
        <v>2949.404</v>
      </c>
      <c r="AW67" s="7">
        <v>0</v>
      </c>
      <c r="AX67" s="7">
        <v>0</v>
      </c>
      <c r="AY67" s="7">
        <v>0</v>
      </c>
      <c r="AZ67" s="7">
        <v>789.44100000000003</v>
      </c>
      <c r="BA67" s="7">
        <v>0</v>
      </c>
      <c r="BB67" s="7">
        <v>0</v>
      </c>
      <c r="BC67" s="7">
        <v>280.95400000000001</v>
      </c>
      <c r="BD67" s="7">
        <v>675.21500000000003</v>
      </c>
      <c r="BE67" s="7">
        <v>0</v>
      </c>
      <c r="BF67" s="7">
        <v>47.671999999999997</v>
      </c>
      <c r="BG67" s="7">
        <v>0</v>
      </c>
      <c r="BH67" s="7">
        <v>0</v>
      </c>
      <c r="BI67" s="7">
        <v>247.59700000000001</v>
      </c>
      <c r="BJ67" s="21"/>
    </row>
    <row r="68" spans="1:62" ht="15.75" x14ac:dyDescent="0.25">
      <c r="A68" s="21"/>
      <c r="B68" s="5" t="s">
        <v>124</v>
      </c>
      <c r="C68" s="5" t="s">
        <v>125</v>
      </c>
      <c r="D68" s="7">
        <v>3</v>
      </c>
      <c r="E68" s="7">
        <v>3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21"/>
    </row>
    <row r="69" spans="1:62" ht="15.75" x14ac:dyDescent="0.25">
      <c r="A69" s="21"/>
      <c r="B69" s="5" t="s">
        <v>126</v>
      </c>
      <c r="C69" s="5" t="s">
        <v>127</v>
      </c>
      <c r="D69" s="7">
        <v>3</v>
      </c>
      <c r="E69" s="7">
        <v>3</v>
      </c>
      <c r="F69" s="7">
        <v>40120.942000000003</v>
      </c>
      <c r="G69" s="7">
        <v>5966.9229999999998</v>
      </c>
      <c r="H69" s="7">
        <v>9690.768</v>
      </c>
      <c r="I69" s="7">
        <v>10010.814</v>
      </c>
      <c r="J69" s="7">
        <v>941.32500000000005</v>
      </c>
      <c r="K69" s="7">
        <v>5755.9040000000005</v>
      </c>
      <c r="L69" s="7">
        <v>0</v>
      </c>
      <c r="M69" s="7">
        <v>17498.553</v>
      </c>
      <c r="N69" s="7">
        <v>25095.805</v>
      </c>
      <c r="O69" s="7">
        <v>0</v>
      </c>
      <c r="P69" s="7">
        <v>0</v>
      </c>
      <c r="Q69" s="7">
        <v>0.76700000000000002</v>
      </c>
      <c r="R69" s="7">
        <v>0</v>
      </c>
      <c r="S69" s="7">
        <v>0</v>
      </c>
      <c r="T69" s="7">
        <v>2566.58</v>
      </c>
      <c r="U69" s="7">
        <v>0</v>
      </c>
      <c r="V69" s="7">
        <v>0</v>
      </c>
      <c r="W69" s="7">
        <v>999.65</v>
      </c>
      <c r="X69" s="7">
        <v>1919.348</v>
      </c>
      <c r="Y69" s="7">
        <v>0</v>
      </c>
      <c r="Z69" s="7">
        <v>4667.9949999999999</v>
      </c>
      <c r="AA69" s="7">
        <v>0</v>
      </c>
      <c r="AB69" s="7">
        <v>7835.1040000000003</v>
      </c>
      <c r="AC69" s="7">
        <v>0</v>
      </c>
      <c r="AD69" s="7">
        <v>966.08699999999999</v>
      </c>
      <c r="AE69" s="7">
        <v>0</v>
      </c>
      <c r="AF69" s="7">
        <v>6948.241</v>
      </c>
      <c r="AG69" s="7">
        <v>0</v>
      </c>
      <c r="AH69" s="7">
        <v>0</v>
      </c>
      <c r="AI69" s="7">
        <v>39853.205000000002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163.53</v>
      </c>
      <c r="AQ69" s="7">
        <v>0</v>
      </c>
      <c r="AR69" s="7">
        <v>0</v>
      </c>
      <c r="AS69" s="7">
        <v>0</v>
      </c>
      <c r="AT69" s="7">
        <v>22.56</v>
      </c>
      <c r="AU69" s="7">
        <v>0</v>
      </c>
      <c r="AV69" s="7">
        <v>656.798</v>
      </c>
      <c r="AW69" s="7">
        <v>0</v>
      </c>
      <c r="AX69" s="7">
        <v>0</v>
      </c>
      <c r="AY69" s="7">
        <v>0</v>
      </c>
      <c r="AZ69" s="7">
        <v>181.61600000000001</v>
      </c>
      <c r="BA69" s="7">
        <v>0</v>
      </c>
      <c r="BB69" s="7">
        <v>0</v>
      </c>
      <c r="BC69" s="7">
        <v>64.635000000000005</v>
      </c>
      <c r="BD69" s="7">
        <v>155.33799999999999</v>
      </c>
      <c r="BE69" s="7">
        <v>0</v>
      </c>
      <c r="BF69" s="7">
        <v>10.967000000000001</v>
      </c>
      <c r="BG69" s="7">
        <v>0</v>
      </c>
      <c r="BH69" s="7">
        <v>0</v>
      </c>
      <c r="BI69" s="7">
        <v>56.962000000000003</v>
      </c>
      <c r="BJ69" s="21"/>
    </row>
    <row r="70" spans="1:62" ht="15.75" x14ac:dyDescent="0.25">
      <c r="A70" s="21"/>
      <c r="B70" s="5" t="s">
        <v>128</v>
      </c>
      <c r="C70" s="5" t="s">
        <v>129</v>
      </c>
      <c r="D70" s="7">
        <v>3</v>
      </c>
      <c r="E70" s="7">
        <v>3</v>
      </c>
      <c r="F70" s="7">
        <v>13842.145</v>
      </c>
      <c r="G70" s="7">
        <v>2058.6509999999998</v>
      </c>
      <c r="H70" s="7">
        <v>3343.4160000000002</v>
      </c>
      <c r="I70" s="7">
        <v>2517.6</v>
      </c>
      <c r="J70" s="7">
        <v>324.767</v>
      </c>
      <c r="K70" s="7">
        <v>1985.847</v>
      </c>
      <c r="L70" s="7">
        <v>0</v>
      </c>
      <c r="M70" s="7">
        <v>6037.1840000000002</v>
      </c>
      <c r="N70" s="7">
        <v>8658.3150000000005</v>
      </c>
      <c r="O70" s="7">
        <v>0</v>
      </c>
      <c r="P70" s="7">
        <v>0</v>
      </c>
      <c r="Q70" s="7">
        <v>0.26500000000000001</v>
      </c>
      <c r="R70" s="7">
        <v>0</v>
      </c>
      <c r="S70" s="7">
        <v>0</v>
      </c>
      <c r="T70" s="7">
        <v>885.49699999999996</v>
      </c>
      <c r="U70" s="7">
        <v>0</v>
      </c>
      <c r="V70" s="7">
        <v>0</v>
      </c>
      <c r="W70" s="7">
        <v>344.89</v>
      </c>
      <c r="X70" s="7">
        <v>662.19500000000005</v>
      </c>
      <c r="Y70" s="7">
        <v>0</v>
      </c>
      <c r="Z70" s="7">
        <v>1610.5070000000001</v>
      </c>
      <c r="AA70" s="7">
        <v>0</v>
      </c>
      <c r="AB70" s="7">
        <v>2703.1930000000002</v>
      </c>
      <c r="AC70" s="7">
        <v>0</v>
      </c>
      <c r="AD70" s="7">
        <v>333.31</v>
      </c>
      <c r="AE70" s="7">
        <v>0</v>
      </c>
      <c r="AF70" s="7">
        <v>2397.2159999999999</v>
      </c>
      <c r="AG70" s="7">
        <v>0</v>
      </c>
      <c r="AH70" s="7">
        <v>0</v>
      </c>
      <c r="AI70" s="7">
        <v>13749.772999999999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56.42</v>
      </c>
      <c r="AQ70" s="7">
        <v>0</v>
      </c>
      <c r="AR70" s="7">
        <v>0</v>
      </c>
      <c r="AS70" s="7">
        <v>0</v>
      </c>
      <c r="AT70" s="7">
        <v>7.7830000000000004</v>
      </c>
      <c r="AU70" s="7">
        <v>0</v>
      </c>
      <c r="AV70" s="7">
        <v>226.602</v>
      </c>
      <c r="AW70" s="7">
        <v>0</v>
      </c>
      <c r="AX70" s="7">
        <v>0</v>
      </c>
      <c r="AY70" s="7">
        <v>0</v>
      </c>
      <c r="AZ70" s="7">
        <v>62.66</v>
      </c>
      <c r="BA70" s="7">
        <v>0</v>
      </c>
      <c r="BB70" s="7">
        <v>0</v>
      </c>
      <c r="BC70" s="7">
        <v>22.3</v>
      </c>
      <c r="BD70" s="7">
        <v>53.593000000000004</v>
      </c>
      <c r="BE70" s="7">
        <v>0</v>
      </c>
      <c r="BF70" s="7">
        <v>3.7839999999999998</v>
      </c>
      <c r="BG70" s="7">
        <v>0</v>
      </c>
      <c r="BH70" s="7">
        <v>0</v>
      </c>
      <c r="BI70" s="7">
        <v>19.652000000000001</v>
      </c>
      <c r="BJ70" s="21"/>
    </row>
    <row r="71" spans="1:62" ht="15.75" x14ac:dyDescent="0.25">
      <c r="A71" s="21"/>
      <c r="B71" s="5" t="s">
        <v>130</v>
      </c>
      <c r="C71" s="5" t="s">
        <v>131</v>
      </c>
      <c r="D71" s="7">
        <v>3</v>
      </c>
      <c r="E71" s="7">
        <v>3</v>
      </c>
      <c r="F71" s="7">
        <v>48012.099000000002</v>
      </c>
      <c r="G71" s="7">
        <v>7140.5219999999999</v>
      </c>
      <c r="H71" s="7">
        <v>11596.789000000001</v>
      </c>
      <c r="I71" s="7">
        <v>6528.616</v>
      </c>
      <c r="J71" s="7">
        <v>1126.4690000000001</v>
      </c>
      <c r="K71" s="7">
        <v>6888</v>
      </c>
      <c r="L71" s="7">
        <v>0</v>
      </c>
      <c r="M71" s="7">
        <v>20940.241999999998</v>
      </c>
      <c r="N71" s="7">
        <v>30031.754000000001</v>
      </c>
      <c r="O71" s="7">
        <v>0</v>
      </c>
      <c r="P71" s="7">
        <v>0</v>
      </c>
      <c r="Q71" s="7">
        <v>0.91800000000000004</v>
      </c>
      <c r="R71" s="7">
        <v>1.5740000000000001</v>
      </c>
      <c r="S71" s="7">
        <v>5.3259999999999996</v>
      </c>
      <c r="T71" s="7">
        <v>3071.386</v>
      </c>
      <c r="U71" s="7">
        <v>0</v>
      </c>
      <c r="V71" s="7">
        <v>0</v>
      </c>
      <c r="W71" s="7">
        <v>1196.2660000000001</v>
      </c>
      <c r="X71" s="7">
        <v>2296.8539999999998</v>
      </c>
      <c r="Y71" s="7">
        <v>0</v>
      </c>
      <c r="Z71" s="7">
        <v>5586.116</v>
      </c>
      <c r="AA71" s="7">
        <v>0</v>
      </c>
      <c r="AB71" s="7">
        <v>9376.1450000000004</v>
      </c>
      <c r="AC71" s="7">
        <v>0</v>
      </c>
      <c r="AD71" s="7">
        <v>1156.1010000000001</v>
      </c>
      <c r="AE71" s="7">
        <v>0</v>
      </c>
      <c r="AF71" s="7">
        <v>8314.8510000000006</v>
      </c>
      <c r="AG71" s="7">
        <v>7.1580000000000004</v>
      </c>
      <c r="AH71" s="7">
        <v>0</v>
      </c>
      <c r="AI71" s="7">
        <v>47691.701999999997</v>
      </c>
      <c r="AJ71" s="7">
        <v>24.841000000000001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195.69399999999999</v>
      </c>
      <c r="AQ71" s="7">
        <v>0</v>
      </c>
      <c r="AR71" s="7">
        <v>0</v>
      </c>
      <c r="AS71" s="7">
        <v>0</v>
      </c>
      <c r="AT71" s="7">
        <v>26.997</v>
      </c>
      <c r="AU71" s="7">
        <v>0</v>
      </c>
      <c r="AV71" s="7">
        <v>785.98</v>
      </c>
      <c r="AW71" s="7">
        <v>0</v>
      </c>
      <c r="AX71" s="7">
        <v>0</v>
      </c>
      <c r="AY71" s="7">
        <v>0</v>
      </c>
      <c r="AZ71" s="7">
        <v>217.33799999999999</v>
      </c>
      <c r="BA71" s="7">
        <v>0</v>
      </c>
      <c r="BB71" s="7">
        <v>0</v>
      </c>
      <c r="BC71" s="7">
        <v>77.347999999999999</v>
      </c>
      <c r="BD71" s="7">
        <v>185.89099999999999</v>
      </c>
      <c r="BE71" s="7">
        <v>0</v>
      </c>
      <c r="BF71" s="7">
        <v>13.124000000000001</v>
      </c>
      <c r="BG71" s="7">
        <v>0</v>
      </c>
      <c r="BH71" s="7">
        <v>0</v>
      </c>
      <c r="BI71" s="7">
        <v>68.165000000000006</v>
      </c>
      <c r="BJ71" s="21"/>
    </row>
    <row r="72" spans="1:62" ht="15.75" x14ac:dyDescent="0.25">
      <c r="A72" s="21"/>
      <c r="B72" s="5" t="s">
        <v>132</v>
      </c>
      <c r="C72" s="5" t="s">
        <v>133</v>
      </c>
      <c r="D72" s="7">
        <v>3</v>
      </c>
      <c r="E72" s="7">
        <v>3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21"/>
    </row>
    <row r="73" spans="1:62" ht="15.75" x14ac:dyDescent="0.25">
      <c r="A73" s="21"/>
      <c r="B73" s="5" t="s">
        <v>134</v>
      </c>
      <c r="C73" s="5" t="s">
        <v>135</v>
      </c>
      <c r="D73" s="7">
        <v>6</v>
      </c>
      <c r="E73" s="7">
        <v>6</v>
      </c>
      <c r="F73" s="7">
        <v>50028.883000000002</v>
      </c>
      <c r="G73" s="7">
        <v>5504.4489999999996</v>
      </c>
      <c r="H73" s="7">
        <v>13469.655000000001</v>
      </c>
      <c r="I73" s="7">
        <v>2045.3440000000001</v>
      </c>
      <c r="J73" s="7">
        <v>974.99199999999996</v>
      </c>
      <c r="K73" s="7">
        <v>9619.5439999999999</v>
      </c>
      <c r="L73" s="7">
        <v>0</v>
      </c>
      <c r="M73" s="7">
        <v>20667.192999999999</v>
      </c>
      <c r="N73" s="7">
        <v>28040.556</v>
      </c>
      <c r="O73" s="7">
        <v>0</v>
      </c>
      <c r="P73" s="7">
        <v>0</v>
      </c>
      <c r="Q73" s="7">
        <v>41.271999999999998</v>
      </c>
      <c r="R73" s="7">
        <v>0</v>
      </c>
      <c r="S73" s="7">
        <v>129.39500000000001</v>
      </c>
      <c r="T73" s="7">
        <v>1303.1569999999999</v>
      </c>
      <c r="U73" s="7">
        <v>0</v>
      </c>
      <c r="V73" s="7">
        <v>0</v>
      </c>
      <c r="W73" s="7">
        <v>871.59699999999998</v>
      </c>
      <c r="X73" s="7">
        <v>2399.2550000000001</v>
      </c>
      <c r="Y73" s="7">
        <v>0</v>
      </c>
      <c r="Z73" s="7">
        <v>6589.2690000000002</v>
      </c>
      <c r="AA73" s="7">
        <v>0</v>
      </c>
      <c r="AB73" s="7">
        <v>10052.313</v>
      </c>
      <c r="AC73" s="7">
        <v>0</v>
      </c>
      <c r="AD73" s="7">
        <v>764.00800000000004</v>
      </c>
      <c r="AE73" s="7">
        <v>0</v>
      </c>
      <c r="AF73" s="7">
        <v>25197.564999999999</v>
      </c>
      <c r="AG73" s="7">
        <v>0</v>
      </c>
      <c r="AH73" s="7">
        <v>0</v>
      </c>
      <c r="AI73" s="7">
        <v>66753.081000000006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153.66499999999999</v>
      </c>
      <c r="AQ73" s="7">
        <v>0</v>
      </c>
      <c r="AR73" s="7">
        <v>0</v>
      </c>
      <c r="AS73" s="7">
        <v>0</v>
      </c>
      <c r="AT73" s="7">
        <v>5.681</v>
      </c>
      <c r="AU73" s="7">
        <v>0</v>
      </c>
      <c r="AV73" s="7">
        <v>292.12200000000001</v>
      </c>
      <c r="AW73" s="7">
        <v>0</v>
      </c>
      <c r="AX73" s="7">
        <v>0</v>
      </c>
      <c r="AY73" s="7">
        <v>0</v>
      </c>
      <c r="AZ73" s="7">
        <v>154.75399999999999</v>
      </c>
      <c r="BA73" s="7">
        <v>0</v>
      </c>
      <c r="BB73" s="7">
        <v>0</v>
      </c>
      <c r="BC73" s="7">
        <v>50.966000000000001</v>
      </c>
      <c r="BD73" s="7">
        <v>104.967</v>
      </c>
      <c r="BE73" s="7">
        <v>0</v>
      </c>
      <c r="BF73" s="7">
        <v>9.3520000000000003</v>
      </c>
      <c r="BG73" s="7">
        <v>0</v>
      </c>
      <c r="BH73" s="7">
        <v>0</v>
      </c>
      <c r="BI73" s="7">
        <v>51.292999999999999</v>
      </c>
      <c r="BJ73" s="21"/>
    </row>
    <row r="74" spans="1:62" ht="15.75" x14ac:dyDescent="0.25">
      <c r="A74" s="21"/>
      <c r="B74" s="5" t="s">
        <v>136</v>
      </c>
      <c r="C74" s="5" t="s">
        <v>137</v>
      </c>
      <c r="D74" s="7">
        <v>6</v>
      </c>
      <c r="E74" s="7">
        <v>6</v>
      </c>
      <c r="F74" s="7">
        <v>1220.134</v>
      </c>
      <c r="G74" s="7">
        <v>112.218</v>
      </c>
      <c r="H74" s="7">
        <v>159.81899999999999</v>
      </c>
      <c r="I74" s="7">
        <v>0</v>
      </c>
      <c r="J74" s="7">
        <v>28.024000000000001</v>
      </c>
      <c r="K74" s="7">
        <v>97.576999999999998</v>
      </c>
      <c r="L74" s="7">
        <v>0</v>
      </c>
      <c r="M74" s="7">
        <v>892.61599999999999</v>
      </c>
      <c r="N74" s="7">
        <v>435.161</v>
      </c>
      <c r="O74" s="7">
        <v>0</v>
      </c>
      <c r="P74" s="7">
        <v>0</v>
      </c>
      <c r="Q74" s="7">
        <v>5.202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14.145</v>
      </c>
      <c r="X74" s="7">
        <v>43.232999999999997</v>
      </c>
      <c r="Y74" s="7">
        <v>0</v>
      </c>
      <c r="Z74" s="7">
        <v>341.92099999999999</v>
      </c>
      <c r="AA74" s="7">
        <v>0</v>
      </c>
      <c r="AB74" s="7">
        <v>120.749</v>
      </c>
      <c r="AC74" s="7">
        <v>0</v>
      </c>
      <c r="AD74" s="7">
        <v>18.216999999999999</v>
      </c>
      <c r="AE74" s="7">
        <v>0</v>
      </c>
      <c r="AF74" s="7">
        <v>1090.7760000000001</v>
      </c>
      <c r="AG74" s="7">
        <v>0</v>
      </c>
      <c r="AH74" s="7">
        <v>0</v>
      </c>
      <c r="AI74" s="7">
        <v>2562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21"/>
    </row>
    <row r="75" spans="1:62" ht="15.75" x14ac:dyDescent="0.25">
      <c r="A75" s="21"/>
      <c r="B75" s="5" t="s">
        <v>138</v>
      </c>
      <c r="C75" s="5" t="s">
        <v>139</v>
      </c>
      <c r="D75" s="7">
        <v>6</v>
      </c>
      <c r="E75" s="7">
        <v>6</v>
      </c>
      <c r="F75" s="7">
        <v>10138.813</v>
      </c>
      <c r="G75" s="7">
        <v>1985.165</v>
      </c>
      <c r="H75" s="7">
        <v>1069.81</v>
      </c>
      <c r="I75" s="7">
        <v>0</v>
      </c>
      <c r="J75" s="7">
        <v>120.596</v>
      </c>
      <c r="K75" s="7">
        <v>1501.5830000000001</v>
      </c>
      <c r="L75" s="7">
        <v>0</v>
      </c>
      <c r="M75" s="7">
        <v>22604.199000000001</v>
      </c>
      <c r="N75" s="7">
        <v>4289.5879999999997</v>
      </c>
      <c r="O75" s="7">
        <v>0</v>
      </c>
      <c r="P75" s="7">
        <v>0</v>
      </c>
      <c r="Q75" s="7">
        <v>7.008</v>
      </c>
      <c r="R75" s="7">
        <v>0</v>
      </c>
      <c r="S75" s="7">
        <v>354.03100000000001</v>
      </c>
      <c r="T75" s="7">
        <v>226.86</v>
      </c>
      <c r="U75" s="7">
        <v>0</v>
      </c>
      <c r="V75" s="7">
        <v>0</v>
      </c>
      <c r="W75" s="7">
        <v>107.232</v>
      </c>
      <c r="X75" s="7">
        <v>227.33600000000001</v>
      </c>
      <c r="Y75" s="7">
        <v>0</v>
      </c>
      <c r="Z75" s="7">
        <v>868.82100000000003</v>
      </c>
      <c r="AA75" s="7">
        <v>0</v>
      </c>
      <c r="AB75" s="7">
        <v>853.65800000000002</v>
      </c>
      <c r="AC75" s="7">
        <v>0</v>
      </c>
      <c r="AD75" s="7">
        <v>109.699</v>
      </c>
      <c r="AE75" s="7">
        <v>0</v>
      </c>
      <c r="AF75" s="7">
        <v>4300.3729999999996</v>
      </c>
      <c r="AG75" s="7">
        <v>0</v>
      </c>
      <c r="AH75" s="7">
        <v>0</v>
      </c>
      <c r="AI75" s="7">
        <v>19976.105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14.454000000000001</v>
      </c>
      <c r="AQ75" s="7">
        <v>0</v>
      </c>
      <c r="AR75" s="7">
        <v>0</v>
      </c>
      <c r="AS75" s="7">
        <v>0</v>
      </c>
      <c r="AT75" s="7">
        <v>1.994</v>
      </c>
      <c r="AU75" s="7">
        <v>0</v>
      </c>
      <c r="AV75" s="7">
        <v>58.054000000000002</v>
      </c>
      <c r="AW75" s="7">
        <v>0</v>
      </c>
      <c r="AX75" s="7">
        <v>0</v>
      </c>
      <c r="AY75" s="7">
        <v>0</v>
      </c>
      <c r="AZ75" s="7">
        <v>16.053000000000001</v>
      </c>
      <c r="BA75" s="7">
        <v>0</v>
      </c>
      <c r="BB75" s="7">
        <v>0</v>
      </c>
      <c r="BC75" s="7">
        <v>5.7130000000000001</v>
      </c>
      <c r="BD75" s="7">
        <v>13.73</v>
      </c>
      <c r="BE75" s="7">
        <v>0</v>
      </c>
      <c r="BF75" s="7">
        <v>0.96899999999999997</v>
      </c>
      <c r="BG75" s="7">
        <v>0</v>
      </c>
      <c r="BH75" s="7">
        <v>0</v>
      </c>
      <c r="BI75" s="7">
        <v>5.0350000000000001</v>
      </c>
      <c r="BJ75" s="21"/>
    </row>
    <row r="76" spans="1:62" ht="15.75" x14ac:dyDescent="0.25">
      <c r="A76" s="21"/>
      <c r="B76" s="5" t="s">
        <v>140</v>
      </c>
      <c r="C76" s="5" t="s">
        <v>141</v>
      </c>
      <c r="D76" s="7">
        <v>6</v>
      </c>
      <c r="E76" s="7">
        <v>6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21"/>
    </row>
    <row r="77" spans="1:62" ht="15.75" x14ac:dyDescent="0.25">
      <c r="A77" s="21"/>
      <c r="B77" s="5" t="s">
        <v>142</v>
      </c>
      <c r="C77" s="5" t="s">
        <v>143</v>
      </c>
      <c r="D77" s="7">
        <v>6</v>
      </c>
      <c r="E77" s="7">
        <v>6</v>
      </c>
      <c r="F77" s="7">
        <v>9910.5840000000007</v>
      </c>
      <c r="G77" s="7">
        <v>1279.1099999999999</v>
      </c>
      <c r="H77" s="7">
        <v>2014.2629999999999</v>
      </c>
      <c r="I77" s="7">
        <v>6213.2629999999999</v>
      </c>
      <c r="J77" s="7">
        <v>230.828</v>
      </c>
      <c r="K77" s="7">
        <v>1203.847</v>
      </c>
      <c r="L77" s="7">
        <v>0</v>
      </c>
      <c r="M77" s="7">
        <v>5336.6450000000004</v>
      </c>
      <c r="N77" s="7">
        <v>5276.143</v>
      </c>
      <c r="O77" s="7">
        <v>0</v>
      </c>
      <c r="P77" s="7">
        <v>0</v>
      </c>
      <c r="Q77" s="7">
        <v>14.759</v>
      </c>
      <c r="R77" s="7">
        <v>0</v>
      </c>
      <c r="S77" s="7">
        <v>0</v>
      </c>
      <c r="T77" s="7">
        <v>414.38</v>
      </c>
      <c r="U77" s="7">
        <v>0</v>
      </c>
      <c r="V77" s="7">
        <v>0</v>
      </c>
      <c r="W77" s="7">
        <v>201.19300000000001</v>
      </c>
      <c r="X77" s="7">
        <v>431.52300000000002</v>
      </c>
      <c r="Y77" s="7">
        <v>0</v>
      </c>
      <c r="Z77" s="7">
        <v>1715.6869999999999</v>
      </c>
      <c r="AA77" s="7">
        <v>0</v>
      </c>
      <c r="AB77" s="7">
        <v>1604.7349999999999</v>
      </c>
      <c r="AC77" s="7">
        <v>0</v>
      </c>
      <c r="AD77" s="7">
        <v>207.23099999999999</v>
      </c>
      <c r="AE77" s="7">
        <v>0</v>
      </c>
      <c r="AF77" s="7">
        <v>4190.8159999999998</v>
      </c>
      <c r="AG77" s="7">
        <v>0</v>
      </c>
      <c r="AH77" s="7">
        <v>0</v>
      </c>
      <c r="AI77" s="7">
        <v>13642.83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26.402000000000001</v>
      </c>
      <c r="AQ77" s="7">
        <v>0</v>
      </c>
      <c r="AR77" s="7">
        <v>0</v>
      </c>
      <c r="AS77" s="7">
        <v>0</v>
      </c>
      <c r="AT77" s="7">
        <v>3.6419999999999999</v>
      </c>
      <c r="AU77" s="7">
        <v>0</v>
      </c>
      <c r="AV77" s="7">
        <v>106.041</v>
      </c>
      <c r="AW77" s="7">
        <v>0</v>
      </c>
      <c r="AX77" s="7">
        <v>0</v>
      </c>
      <c r="AY77" s="7">
        <v>0</v>
      </c>
      <c r="AZ77" s="7">
        <v>29.321999999999999</v>
      </c>
      <c r="BA77" s="7">
        <v>0</v>
      </c>
      <c r="BB77" s="7">
        <v>0</v>
      </c>
      <c r="BC77" s="7">
        <v>10.436</v>
      </c>
      <c r="BD77" s="7">
        <v>25.08</v>
      </c>
      <c r="BE77" s="7">
        <v>0</v>
      </c>
      <c r="BF77" s="7">
        <v>1.7709999999999999</v>
      </c>
      <c r="BG77" s="7">
        <v>0</v>
      </c>
      <c r="BH77" s="7">
        <v>0</v>
      </c>
      <c r="BI77" s="7">
        <v>9.1969999999999992</v>
      </c>
      <c r="BJ77" s="21"/>
    </row>
    <row r="78" spans="1:62" ht="15.75" x14ac:dyDescent="0.25">
      <c r="A78" s="21"/>
      <c r="B78" s="5" t="s">
        <v>144</v>
      </c>
      <c r="C78" s="5" t="s">
        <v>145</v>
      </c>
      <c r="D78" s="7">
        <v>6</v>
      </c>
      <c r="E78" s="7">
        <v>6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21"/>
    </row>
    <row r="79" spans="1:62" ht="15.75" x14ac:dyDescent="0.25">
      <c r="A79" s="21"/>
      <c r="B79" s="5" t="s">
        <v>146</v>
      </c>
      <c r="C79" s="5" t="s">
        <v>147</v>
      </c>
      <c r="D79" s="7">
        <v>6</v>
      </c>
      <c r="E79" s="7">
        <v>6</v>
      </c>
      <c r="F79" s="7">
        <v>10752.592000000001</v>
      </c>
      <c r="G79" s="7">
        <v>1483.5119999999999</v>
      </c>
      <c r="H79" s="7">
        <v>2137.0320000000002</v>
      </c>
      <c r="I79" s="7">
        <v>0</v>
      </c>
      <c r="J79" s="7">
        <v>175.13300000000001</v>
      </c>
      <c r="K79" s="7">
        <v>1671.9110000000001</v>
      </c>
      <c r="L79" s="7">
        <v>0</v>
      </c>
      <c r="M79" s="7">
        <v>14567.825999999999</v>
      </c>
      <c r="N79" s="7">
        <v>4355.8130000000001</v>
      </c>
      <c r="O79" s="7">
        <v>0</v>
      </c>
      <c r="P79" s="7">
        <v>0</v>
      </c>
      <c r="Q79" s="7">
        <v>23.643999999999998</v>
      </c>
      <c r="R79" s="7">
        <v>0</v>
      </c>
      <c r="S79" s="7">
        <v>158.292</v>
      </c>
      <c r="T79" s="7">
        <v>130.76499999999999</v>
      </c>
      <c r="U79" s="7">
        <v>0</v>
      </c>
      <c r="V79" s="7">
        <v>0</v>
      </c>
      <c r="W79" s="7">
        <v>115.119</v>
      </c>
      <c r="X79" s="7">
        <v>293.97899999999998</v>
      </c>
      <c r="Y79" s="7">
        <v>0</v>
      </c>
      <c r="Z79" s="7">
        <v>2008.95</v>
      </c>
      <c r="AA79" s="7">
        <v>0</v>
      </c>
      <c r="AB79" s="7">
        <v>1047.394</v>
      </c>
      <c r="AC79" s="7">
        <v>0</v>
      </c>
      <c r="AD79" s="7">
        <v>131.88800000000001</v>
      </c>
      <c r="AE79" s="7">
        <v>0</v>
      </c>
      <c r="AF79" s="7">
        <v>7379.48</v>
      </c>
      <c r="AG79" s="7">
        <v>0</v>
      </c>
      <c r="AH79" s="7">
        <v>0</v>
      </c>
      <c r="AI79" s="7">
        <v>21370.972000000002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8.3320000000000007</v>
      </c>
      <c r="AQ79" s="7">
        <v>0</v>
      </c>
      <c r="AR79" s="7">
        <v>0</v>
      </c>
      <c r="AS79" s="7">
        <v>0</v>
      </c>
      <c r="AT79" s="7">
        <v>1.149</v>
      </c>
      <c r="AU79" s="7">
        <v>0</v>
      </c>
      <c r="AV79" s="7">
        <v>33.463000000000001</v>
      </c>
      <c r="AW79" s="7">
        <v>0</v>
      </c>
      <c r="AX79" s="7">
        <v>0</v>
      </c>
      <c r="AY79" s="7">
        <v>0</v>
      </c>
      <c r="AZ79" s="7">
        <v>9.2530000000000001</v>
      </c>
      <c r="BA79" s="7">
        <v>0</v>
      </c>
      <c r="BB79" s="7">
        <v>0</v>
      </c>
      <c r="BC79" s="7">
        <v>3.2930000000000001</v>
      </c>
      <c r="BD79" s="7">
        <v>7.9139999999999997</v>
      </c>
      <c r="BE79" s="7">
        <v>0</v>
      </c>
      <c r="BF79" s="7">
        <v>0.55900000000000005</v>
      </c>
      <c r="BG79" s="7">
        <v>0</v>
      </c>
      <c r="BH79" s="7">
        <v>0</v>
      </c>
      <c r="BI79" s="7">
        <v>2.9020000000000001</v>
      </c>
      <c r="BJ79" s="21"/>
    </row>
    <row r="80" spans="1:62" ht="15.75" x14ac:dyDescent="0.25">
      <c r="A80" s="21"/>
      <c r="B80" s="5" t="s">
        <v>148</v>
      </c>
      <c r="C80" s="5" t="s">
        <v>149</v>
      </c>
      <c r="D80" s="7">
        <v>6</v>
      </c>
      <c r="E80" s="7">
        <v>6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21"/>
    </row>
    <row r="81" spans="1:62" ht="15.75" x14ac:dyDescent="0.25">
      <c r="A81" s="21"/>
      <c r="B81" s="5" t="s">
        <v>150</v>
      </c>
      <c r="C81" s="5" t="s">
        <v>151</v>
      </c>
      <c r="D81" s="7">
        <v>6</v>
      </c>
      <c r="E81" s="7">
        <v>6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21"/>
    </row>
    <row r="82" spans="1:62" ht="15.75" x14ac:dyDescent="0.25">
      <c r="A82" s="21"/>
      <c r="B82" s="5" t="s">
        <v>152</v>
      </c>
      <c r="C82" s="5" t="s">
        <v>153</v>
      </c>
      <c r="D82" s="7">
        <v>6</v>
      </c>
      <c r="E82" s="7">
        <v>6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75" x14ac:dyDescent="0.25">
      <c r="A83" s="21"/>
      <c r="B83" s="5" t="s">
        <v>154</v>
      </c>
      <c r="C83" s="5" t="s">
        <v>155</v>
      </c>
      <c r="D83" s="7">
        <v>6</v>
      </c>
      <c r="E83" s="7">
        <v>6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75" x14ac:dyDescent="0.25">
      <c r="A84" s="21"/>
      <c r="B84" s="5" t="s">
        <v>156</v>
      </c>
      <c r="C84" s="5" t="s">
        <v>157</v>
      </c>
      <c r="D84" s="7">
        <v>6</v>
      </c>
      <c r="E84" s="7">
        <v>6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75" x14ac:dyDescent="0.25">
      <c r="A85" s="21"/>
      <c r="B85" s="5" t="s">
        <v>158</v>
      </c>
      <c r="C85" s="5" t="s">
        <v>159</v>
      </c>
      <c r="D85" s="7">
        <v>6</v>
      </c>
      <c r="E85" s="7">
        <v>6</v>
      </c>
      <c r="F85" s="7">
        <v>4.1849999999999996</v>
      </c>
      <c r="G85" s="7">
        <v>1.1200000000000001</v>
      </c>
      <c r="H85" s="7">
        <v>1.0740000000000001</v>
      </c>
      <c r="I85" s="7">
        <v>2379.5700000000002</v>
      </c>
      <c r="J85" s="7">
        <v>0.13500000000000001</v>
      </c>
      <c r="K85" s="7">
        <v>0.58099999999999996</v>
      </c>
      <c r="L85" s="7">
        <v>0</v>
      </c>
      <c r="M85" s="7">
        <v>18.155000000000001</v>
      </c>
      <c r="N85" s="7">
        <v>3.9060000000000001</v>
      </c>
      <c r="O85" s="7">
        <v>0</v>
      </c>
      <c r="P85" s="7">
        <v>0</v>
      </c>
      <c r="Q85" s="7">
        <v>2.3E-2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0.01</v>
      </c>
      <c r="X85" s="7">
        <v>4.1000000000000002E-2</v>
      </c>
      <c r="Y85" s="7">
        <v>0</v>
      </c>
      <c r="Z85" s="7">
        <v>0.115</v>
      </c>
      <c r="AA85" s="7">
        <v>0</v>
      </c>
      <c r="AB85" s="7">
        <v>0.105</v>
      </c>
      <c r="AC85" s="7">
        <v>0</v>
      </c>
      <c r="AD85" s="7">
        <v>1.2999999999999999E-2</v>
      </c>
      <c r="AE85" s="7">
        <v>0</v>
      </c>
      <c r="AF85" s="7">
        <v>0.27500000000000002</v>
      </c>
      <c r="AG85" s="7">
        <v>0</v>
      </c>
      <c r="AH85" s="7">
        <v>0</v>
      </c>
      <c r="AI85" s="7">
        <v>26.638999999999999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75" x14ac:dyDescent="0.25">
      <c r="A86" s="21"/>
      <c r="B86" s="5" t="s">
        <v>160</v>
      </c>
      <c r="C86" s="5" t="s">
        <v>161</v>
      </c>
      <c r="D86" s="7">
        <v>6</v>
      </c>
      <c r="E86" s="7">
        <v>6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21"/>
    </row>
    <row r="87" spans="1:62" ht="15.75" x14ac:dyDescent="0.25">
      <c r="A87" s="21"/>
      <c r="B87" s="5" t="s">
        <v>162</v>
      </c>
      <c r="C87" s="5" t="s">
        <v>163</v>
      </c>
      <c r="D87" s="7">
        <v>6</v>
      </c>
      <c r="E87" s="7">
        <v>6</v>
      </c>
      <c r="F87" s="7">
        <v>27892.432000000001</v>
      </c>
      <c r="G87" s="7">
        <v>4496.6850000000004</v>
      </c>
      <c r="H87" s="7">
        <v>6135.0590000000002</v>
      </c>
      <c r="I87" s="7">
        <v>0</v>
      </c>
      <c r="J87" s="7">
        <v>788.42100000000005</v>
      </c>
      <c r="K87" s="7">
        <v>3869.779</v>
      </c>
      <c r="L87" s="7">
        <v>0</v>
      </c>
      <c r="M87" s="7">
        <v>22470.276000000002</v>
      </c>
      <c r="N87" s="7">
        <v>15952.325000000001</v>
      </c>
      <c r="O87" s="7">
        <v>0</v>
      </c>
      <c r="P87" s="7">
        <v>0</v>
      </c>
      <c r="Q87" s="7">
        <v>71.366</v>
      </c>
      <c r="R87" s="7">
        <v>0</v>
      </c>
      <c r="S87" s="7">
        <v>111.181</v>
      </c>
      <c r="T87" s="7">
        <v>1507.749</v>
      </c>
      <c r="U87" s="7">
        <v>0</v>
      </c>
      <c r="V87" s="7">
        <v>0</v>
      </c>
      <c r="W87" s="7">
        <v>594.03800000000001</v>
      </c>
      <c r="X87" s="7">
        <v>1148.278</v>
      </c>
      <c r="Y87" s="7">
        <v>0</v>
      </c>
      <c r="Z87" s="7">
        <v>3014.7089999999998</v>
      </c>
      <c r="AA87" s="7">
        <v>0</v>
      </c>
      <c r="AB87" s="7">
        <v>4660.7179999999998</v>
      </c>
      <c r="AC87" s="7">
        <v>0</v>
      </c>
      <c r="AD87" s="7">
        <v>576.27499999999998</v>
      </c>
      <c r="AE87" s="7">
        <v>0</v>
      </c>
      <c r="AF87" s="7">
        <v>5733.076</v>
      </c>
      <c r="AG87" s="7">
        <v>0</v>
      </c>
      <c r="AH87" s="7">
        <v>0</v>
      </c>
      <c r="AI87" s="7">
        <v>36445.127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96.066000000000003</v>
      </c>
      <c r="AQ87" s="7">
        <v>0</v>
      </c>
      <c r="AR87" s="7">
        <v>0</v>
      </c>
      <c r="AS87" s="7">
        <v>0</v>
      </c>
      <c r="AT87" s="7">
        <v>13.253</v>
      </c>
      <c r="AU87" s="7">
        <v>0</v>
      </c>
      <c r="AV87" s="7">
        <v>385.839</v>
      </c>
      <c r="AW87" s="7">
        <v>0</v>
      </c>
      <c r="AX87" s="7">
        <v>0</v>
      </c>
      <c r="AY87" s="7">
        <v>0</v>
      </c>
      <c r="AZ87" s="7">
        <v>106.691</v>
      </c>
      <c r="BA87" s="7">
        <v>0</v>
      </c>
      <c r="BB87" s="7">
        <v>0</v>
      </c>
      <c r="BC87" s="7">
        <v>37.97</v>
      </c>
      <c r="BD87" s="7">
        <v>91.254000000000005</v>
      </c>
      <c r="BE87" s="7">
        <v>0</v>
      </c>
      <c r="BF87" s="7">
        <v>6.4429999999999996</v>
      </c>
      <c r="BG87" s="7">
        <v>0</v>
      </c>
      <c r="BH87" s="7">
        <v>0</v>
      </c>
      <c r="BI87" s="7">
        <v>33.462000000000003</v>
      </c>
      <c r="BJ87" s="21"/>
    </row>
    <row r="88" spans="1:62" ht="15.75" x14ac:dyDescent="0.25">
      <c r="A88" s="21"/>
      <c r="B88" s="5" t="s">
        <v>164</v>
      </c>
      <c r="C88" s="5" t="s">
        <v>165</v>
      </c>
      <c r="D88" s="7">
        <v>6</v>
      </c>
      <c r="E88" s="7">
        <v>6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21"/>
    </row>
    <row r="89" spans="1:62" ht="15.75" x14ac:dyDescent="0.25">
      <c r="A89" s="21"/>
      <c r="B89" s="5" t="s">
        <v>166</v>
      </c>
      <c r="C89" s="5" t="s">
        <v>167</v>
      </c>
      <c r="D89" s="7">
        <v>3</v>
      </c>
      <c r="E89" s="7">
        <v>3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21"/>
    </row>
    <row r="90" spans="1:62" ht="15.75" x14ac:dyDescent="0.25">
      <c r="A90" s="21"/>
      <c r="B90" s="5" t="s">
        <v>168</v>
      </c>
      <c r="C90" s="5" t="s">
        <v>169</v>
      </c>
      <c r="D90" s="7">
        <v>3</v>
      </c>
      <c r="E90" s="7">
        <v>3</v>
      </c>
      <c r="F90" s="7">
        <v>59085.864000000001</v>
      </c>
      <c r="G90" s="7">
        <v>8673.125</v>
      </c>
      <c r="H90" s="7">
        <v>15262.944</v>
      </c>
      <c r="I90" s="7">
        <v>10451.630999999999</v>
      </c>
      <c r="J90" s="7">
        <v>1328.924</v>
      </c>
      <c r="K90" s="7">
        <v>9779.7729999999992</v>
      </c>
      <c r="L90" s="7">
        <v>0</v>
      </c>
      <c r="M90" s="7">
        <v>25724.787</v>
      </c>
      <c r="N90" s="7">
        <v>37370.661999999997</v>
      </c>
      <c r="O90" s="7">
        <v>0</v>
      </c>
      <c r="P90" s="7">
        <v>0</v>
      </c>
      <c r="Q90" s="7">
        <v>1.0840000000000001</v>
      </c>
      <c r="R90" s="7">
        <v>0</v>
      </c>
      <c r="S90" s="7">
        <v>143.81100000000001</v>
      </c>
      <c r="T90" s="7">
        <v>3623.3910000000001</v>
      </c>
      <c r="U90" s="7">
        <v>0</v>
      </c>
      <c r="V90" s="7">
        <v>0</v>
      </c>
      <c r="W90" s="7">
        <v>1411.2650000000001</v>
      </c>
      <c r="X90" s="7">
        <v>2709.6559999999999</v>
      </c>
      <c r="Y90" s="7">
        <v>0</v>
      </c>
      <c r="Z90" s="7">
        <v>6590.0810000000001</v>
      </c>
      <c r="AA90" s="7">
        <v>0</v>
      </c>
      <c r="AB90" s="7">
        <v>11061.272999999999</v>
      </c>
      <c r="AC90" s="7">
        <v>0</v>
      </c>
      <c r="AD90" s="7">
        <v>1363.8810000000001</v>
      </c>
      <c r="AE90" s="7">
        <v>0</v>
      </c>
      <c r="AF90" s="7">
        <v>14291.351000000001</v>
      </c>
      <c r="AG90" s="7">
        <v>0</v>
      </c>
      <c r="AH90" s="7">
        <v>0</v>
      </c>
      <c r="AI90" s="7">
        <v>61056.800000000003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230.86500000000001</v>
      </c>
      <c r="AQ90" s="7">
        <v>0</v>
      </c>
      <c r="AR90" s="7">
        <v>0</v>
      </c>
      <c r="AS90" s="7">
        <v>0</v>
      </c>
      <c r="AT90" s="7">
        <v>31.849</v>
      </c>
      <c r="AU90" s="7">
        <v>0</v>
      </c>
      <c r="AV90" s="7">
        <v>927.24</v>
      </c>
      <c r="AW90" s="7">
        <v>0</v>
      </c>
      <c r="AX90" s="7">
        <v>0</v>
      </c>
      <c r="AY90" s="7">
        <v>0</v>
      </c>
      <c r="AZ90" s="7">
        <v>256.39800000000002</v>
      </c>
      <c r="BA90" s="7">
        <v>0</v>
      </c>
      <c r="BB90" s="7">
        <v>0</v>
      </c>
      <c r="BC90" s="7">
        <v>91.25</v>
      </c>
      <c r="BD90" s="7">
        <v>219.3</v>
      </c>
      <c r="BE90" s="7">
        <v>0</v>
      </c>
      <c r="BF90" s="7">
        <v>15.483000000000001</v>
      </c>
      <c r="BG90" s="7">
        <v>0</v>
      </c>
      <c r="BH90" s="7">
        <v>0</v>
      </c>
      <c r="BI90" s="7">
        <v>80.415999999999997</v>
      </c>
      <c r="BJ90" s="21"/>
    </row>
    <row r="91" spans="1:62" ht="15.75" x14ac:dyDescent="0.25">
      <c r="A91" s="21"/>
      <c r="B91" s="5" t="s">
        <v>170</v>
      </c>
      <c r="C91" s="5" t="s">
        <v>171</v>
      </c>
      <c r="D91" s="7">
        <v>3</v>
      </c>
      <c r="E91" s="7">
        <v>3</v>
      </c>
      <c r="F91" s="7">
        <v>80142.622000000003</v>
      </c>
      <c r="G91" s="7">
        <v>11919.082</v>
      </c>
      <c r="H91" s="7">
        <v>19357.559000000001</v>
      </c>
      <c r="I91" s="7">
        <v>0</v>
      </c>
      <c r="J91" s="7">
        <v>1880.3209999999999</v>
      </c>
      <c r="K91" s="7">
        <v>11497.567999999999</v>
      </c>
      <c r="L91" s="7">
        <v>0</v>
      </c>
      <c r="M91" s="7">
        <v>34953.811999999998</v>
      </c>
      <c r="N91" s="7">
        <v>50129.52</v>
      </c>
      <c r="O91" s="7">
        <v>0</v>
      </c>
      <c r="P91" s="7">
        <v>0</v>
      </c>
      <c r="Q91" s="7">
        <v>1.5329999999999999</v>
      </c>
      <c r="R91" s="7">
        <v>0</v>
      </c>
      <c r="S91" s="7">
        <v>0</v>
      </c>
      <c r="T91" s="7">
        <v>5126.8100000000004</v>
      </c>
      <c r="U91" s="7">
        <v>0</v>
      </c>
      <c r="V91" s="7">
        <v>0</v>
      </c>
      <c r="W91" s="7">
        <v>1996.828</v>
      </c>
      <c r="X91" s="7">
        <v>3833.9479999999999</v>
      </c>
      <c r="Y91" s="7">
        <v>0</v>
      </c>
      <c r="Z91" s="7">
        <v>9324.4419999999991</v>
      </c>
      <c r="AA91" s="7">
        <v>0</v>
      </c>
      <c r="AB91" s="7">
        <v>15650.823</v>
      </c>
      <c r="AC91" s="7">
        <v>0</v>
      </c>
      <c r="AD91" s="7">
        <v>1929.7840000000001</v>
      </c>
      <c r="AE91" s="7">
        <v>0</v>
      </c>
      <c r="AF91" s="7">
        <v>13879.291999999999</v>
      </c>
      <c r="AG91" s="7">
        <v>0</v>
      </c>
      <c r="AH91" s="7">
        <v>0</v>
      </c>
      <c r="AI91" s="7">
        <v>79607.811000000002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326.65499999999997</v>
      </c>
      <c r="AQ91" s="7">
        <v>0</v>
      </c>
      <c r="AR91" s="7">
        <v>0</v>
      </c>
      <c r="AS91" s="7">
        <v>0</v>
      </c>
      <c r="AT91" s="7">
        <v>45.064</v>
      </c>
      <c r="AU91" s="7">
        <v>0</v>
      </c>
      <c r="AV91" s="7">
        <v>1311.971</v>
      </c>
      <c r="AW91" s="7">
        <v>0</v>
      </c>
      <c r="AX91" s="7">
        <v>0</v>
      </c>
      <c r="AY91" s="7">
        <v>0</v>
      </c>
      <c r="AZ91" s="7">
        <v>362.78399999999999</v>
      </c>
      <c r="BA91" s="7">
        <v>0</v>
      </c>
      <c r="BB91" s="7">
        <v>0</v>
      </c>
      <c r="BC91" s="7">
        <v>129.11099999999999</v>
      </c>
      <c r="BD91" s="7">
        <v>310.29199999999997</v>
      </c>
      <c r="BE91" s="7">
        <v>0</v>
      </c>
      <c r="BF91" s="7">
        <v>21.907</v>
      </c>
      <c r="BG91" s="7">
        <v>0</v>
      </c>
      <c r="BH91" s="7">
        <v>0</v>
      </c>
      <c r="BI91" s="7">
        <v>113.782</v>
      </c>
      <c r="BJ91" s="21"/>
    </row>
    <row r="92" spans="1:62" ht="15.75" x14ac:dyDescent="0.25">
      <c r="A92" s="21"/>
      <c r="B92" s="5" t="s">
        <v>172</v>
      </c>
      <c r="C92" s="5" t="s">
        <v>173</v>
      </c>
      <c r="D92" s="7">
        <v>3</v>
      </c>
      <c r="E92" s="7">
        <v>3</v>
      </c>
      <c r="F92" s="7">
        <v>5168.1729999999998</v>
      </c>
      <c r="G92" s="7">
        <v>1630.19</v>
      </c>
      <c r="H92" s="7">
        <v>4451.83</v>
      </c>
      <c r="I92" s="7">
        <v>0</v>
      </c>
      <c r="J92" s="7">
        <v>226.68299999999999</v>
      </c>
      <c r="K92" s="7">
        <v>1679.4570000000001</v>
      </c>
      <c r="L92" s="7">
        <v>0</v>
      </c>
      <c r="M92" s="7">
        <v>6317.8559999999998</v>
      </c>
      <c r="N92" s="7">
        <v>2403.1930000000002</v>
      </c>
      <c r="O92" s="7">
        <v>0</v>
      </c>
      <c r="P92" s="7">
        <v>0</v>
      </c>
      <c r="Q92" s="7">
        <v>0.183</v>
      </c>
      <c r="R92" s="7">
        <v>0</v>
      </c>
      <c r="S92" s="7">
        <v>0</v>
      </c>
      <c r="T92" s="7">
        <v>660.31500000000005</v>
      </c>
      <c r="U92" s="7">
        <v>0</v>
      </c>
      <c r="V92" s="7">
        <v>0</v>
      </c>
      <c r="W92" s="7">
        <v>241.83199999999999</v>
      </c>
      <c r="X92" s="7">
        <v>219.78700000000001</v>
      </c>
      <c r="Y92" s="7">
        <v>0</v>
      </c>
      <c r="Z92" s="7">
        <v>1762.992</v>
      </c>
      <c r="AA92" s="7">
        <v>0</v>
      </c>
      <c r="AB92" s="7">
        <v>2702.7460000000001</v>
      </c>
      <c r="AC92" s="7">
        <v>0</v>
      </c>
      <c r="AD92" s="7">
        <v>580.18100000000004</v>
      </c>
      <c r="AE92" s="7">
        <v>0</v>
      </c>
      <c r="AF92" s="7">
        <v>4452.1409999999996</v>
      </c>
      <c r="AG92" s="7">
        <v>400</v>
      </c>
      <c r="AH92" s="7">
        <v>0</v>
      </c>
      <c r="AI92" s="7">
        <v>15506.16</v>
      </c>
      <c r="AJ92" s="7">
        <v>749.41700000000003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112.193</v>
      </c>
      <c r="AQ92" s="7">
        <v>0</v>
      </c>
      <c r="AR92" s="7">
        <v>123.07599999999999</v>
      </c>
      <c r="AS92" s="7">
        <v>0</v>
      </c>
      <c r="AT92" s="7">
        <v>2.3969999999999998</v>
      </c>
      <c r="AU92" s="7">
        <v>0</v>
      </c>
      <c r="AV92" s="7">
        <v>300.077</v>
      </c>
      <c r="AW92" s="7">
        <v>0</v>
      </c>
      <c r="AX92" s="7">
        <v>0</v>
      </c>
      <c r="AY92" s="7">
        <v>0</v>
      </c>
      <c r="AZ92" s="7">
        <v>118.136</v>
      </c>
      <c r="BA92" s="7">
        <v>16.288</v>
      </c>
      <c r="BB92" s="7">
        <v>0</v>
      </c>
      <c r="BC92" s="7">
        <v>40.14</v>
      </c>
      <c r="BD92" s="7">
        <v>105.51300000000001</v>
      </c>
      <c r="BE92" s="7">
        <v>18.184999999999999</v>
      </c>
      <c r="BF92" s="7">
        <v>6.8440000000000003</v>
      </c>
      <c r="BG92" s="7">
        <v>7.9560000000000004</v>
      </c>
      <c r="BH92" s="7">
        <v>0</v>
      </c>
      <c r="BI92" s="7">
        <v>39.753999999999998</v>
      </c>
      <c r="BJ92" s="21"/>
    </row>
    <row r="93" spans="1:62" ht="15.75" x14ac:dyDescent="0.25">
      <c r="A93" s="21"/>
      <c r="B93" s="5" t="s">
        <v>174</v>
      </c>
      <c r="C93" s="5" t="s">
        <v>175</v>
      </c>
      <c r="D93" s="7">
        <v>3</v>
      </c>
      <c r="E93" s="7">
        <v>3</v>
      </c>
      <c r="F93" s="7">
        <v>19811.066999999999</v>
      </c>
      <c r="G93" s="7">
        <v>15122.941000000001</v>
      </c>
      <c r="H93" s="7">
        <v>24454.584999999999</v>
      </c>
      <c r="I93" s="7">
        <v>970.14499999999998</v>
      </c>
      <c r="J93" s="7">
        <v>1609.9549999999999</v>
      </c>
      <c r="K93" s="7">
        <v>11415.471</v>
      </c>
      <c r="L93" s="7">
        <v>0</v>
      </c>
      <c r="M93" s="7">
        <v>48657.942000000003</v>
      </c>
      <c r="N93" s="7">
        <v>12311.191000000001</v>
      </c>
      <c r="O93" s="7">
        <v>0</v>
      </c>
      <c r="P93" s="7">
        <v>0</v>
      </c>
      <c r="Q93" s="7">
        <v>0.17299999999999999</v>
      </c>
      <c r="R93" s="7">
        <v>0</v>
      </c>
      <c r="S93" s="7">
        <v>0</v>
      </c>
      <c r="T93" s="7">
        <v>6193.0069999999996</v>
      </c>
      <c r="U93" s="7">
        <v>0</v>
      </c>
      <c r="V93" s="7">
        <v>0</v>
      </c>
      <c r="W93" s="7">
        <v>1622.7529999999999</v>
      </c>
      <c r="X93" s="7">
        <v>122.83</v>
      </c>
      <c r="Y93" s="7">
        <v>0</v>
      </c>
      <c r="Z93" s="7">
        <v>9117.6839999999993</v>
      </c>
      <c r="AA93" s="7">
        <v>0</v>
      </c>
      <c r="AB93" s="7">
        <v>22953.89</v>
      </c>
      <c r="AC93" s="7">
        <v>0</v>
      </c>
      <c r="AD93" s="7">
        <v>4664.9930000000004</v>
      </c>
      <c r="AE93" s="7">
        <v>0</v>
      </c>
      <c r="AF93" s="7">
        <v>21726.919000000002</v>
      </c>
      <c r="AG93" s="7">
        <v>2322.46</v>
      </c>
      <c r="AH93" s="7">
        <v>0</v>
      </c>
      <c r="AI93" s="7">
        <v>104645.175</v>
      </c>
      <c r="AJ93" s="7">
        <v>4135.259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1072.1220000000001</v>
      </c>
      <c r="AQ93" s="7">
        <v>0</v>
      </c>
      <c r="AR93" s="7">
        <v>695.28499999999997</v>
      </c>
      <c r="AS93" s="7">
        <v>0</v>
      </c>
      <c r="AT93" s="7">
        <v>21.574999999999999</v>
      </c>
      <c r="AU93" s="7">
        <v>0</v>
      </c>
      <c r="AV93" s="7">
        <v>20.25</v>
      </c>
      <c r="AW93" s="7">
        <v>0</v>
      </c>
      <c r="AX93" s="7">
        <v>0</v>
      </c>
      <c r="AY93" s="7">
        <v>0</v>
      </c>
      <c r="AZ93" s="7">
        <v>1101.518</v>
      </c>
      <c r="BA93" s="7">
        <v>89.876000000000005</v>
      </c>
      <c r="BB93" s="7">
        <v>0</v>
      </c>
      <c r="BC93" s="7">
        <v>372.99200000000002</v>
      </c>
      <c r="BD93" s="7">
        <v>923.04600000000005</v>
      </c>
      <c r="BE93" s="7">
        <v>100.343</v>
      </c>
      <c r="BF93" s="7">
        <v>64.421000000000006</v>
      </c>
      <c r="BG93" s="7">
        <v>43.902000000000001</v>
      </c>
      <c r="BH93" s="7">
        <v>0</v>
      </c>
      <c r="BI93" s="7">
        <v>353.19099999999997</v>
      </c>
      <c r="BJ93" s="21"/>
    </row>
    <row r="94" spans="1:62" ht="15.75" x14ac:dyDescent="0.25">
      <c r="A94" s="21"/>
      <c r="B94" s="5" t="s">
        <v>176</v>
      </c>
      <c r="C94" s="5" t="s">
        <v>177</v>
      </c>
      <c r="D94" s="7">
        <v>3</v>
      </c>
      <c r="E94" s="7">
        <v>3</v>
      </c>
      <c r="F94" s="7">
        <v>61535.756000000001</v>
      </c>
      <c r="G94" s="7">
        <v>30574.276999999998</v>
      </c>
      <c r="H94" s="7">
        <v>4747.0889999999999</v>
      </c>
      <c r="I94" s="7">
        <v>7563.51</v>
      </c>
      <c r="J94" s="7">
        <v>2693.9029999999998</v>
      </c>
      <c r="K94" s="7">
        <v>20647.685000000001</v>
      </c>
      <c r="L94" s="7">
        <v>0</v>
      </c>
      <c r="M94" s="7">
        <v>104877.077</v>
      </c>
      <c r="N94" s="7">
        <v>37798.525000000001</v>
      </c>
      <c r="O94" s="7">
        <v>0</v>
      </c>
      <c r="P94" s="7">
        <v>0</v>
      </c>
      <c r="Q94" s="7">
        <v>0.79700000000000004</v>
      </c>
      <c r="R94" s="7">
        <v>0</v>
      </c>
      <c r="S94" s="7">
        <v>0</v>
      </c>
      <c r="T94" s="7">
        <v>12026.907999999999</v>
      </c>
      <c r="U94" s="7">
        <v>0</v>
      </c>
      <c r="V94" s="7">
        <v>0</v>
      </c>
      <c r="W94" s="7">
        <v>2109.5140000000001</v>
      </c>
      <c r="X94" s="7">
        <v>703.3</v>
      </c>
      <c r="Y94" s="7">
        <v>0</v>
      </c>
      <c r="Z94" s="7">
        <v>7519.7089999999998</v>
      </c>
      <c r="AA94" s="7">
        <v>0</v>
      </c>
      <c r="AB94" s="7">
        <v>44987.213000000003</v>
      </c>
      <c r="AC94" s="7">
        <v>0</v>
      </c>
      <c r="AD94" s="7">
        <v>5485.1989999999996</v>
      </c>
      <c r="AE94" s="7">
        <v>0</v>
      </c>
      <c r="AF94" s="7">
        <v>17911.719000000001</v>
      </c>
      <c r="AG94" s="7">
        <v>8568.8919999999998</v>
      </c>
      <c r="AH94" s="7">
        <v>0</v>
      </c>
      <c r="AI94" s="7">
        <v>196321.32199999999</v>
      </c>
      <c r="AJ94" s="7">
        <v>15165.983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1838.4369999999999</v>
      </c>
      <c r="AQ94" s="7">
        <v>0</v>
      </c>
      <c r="AR94" s="7">
        <v>2557.1350000000002</v>
      </c>
      <c r="AS94" s="7">
        <v>0</v>
      </c>
      <c r="AT94" s="7">
        <v>50.758000000000003</v>
      </c>
      <c r="AU94" s="7">
        <v>0</v>
      </c>
      <c r="AV94" s="7">
        <v>205.95599999999999</v>
      </c>
      <c r="AW94" s="7">
        <v>0</v>
      </c>
      <c r="AX94" s="7">
        <v>0</v>
      </c>
      <c r="AY94" s="7">
        <v>0</v>
      </c>
      <c r="AZ94" s="7">
        <v>1703.758</v>
      </c>
      <c r="BA94" s="7">
        <v>329.61700000000002</v>
      </c>
      <c r="BB94" s="7">
        <v>0</v>
      </c>
      <c r="BC94" s="7">
        <v>608.13900000000001</v>
      </c>
      <c r="BD94" s="7">
        <v>1139.2940000000001</v>
      </c>
      <c r="BE94" s="7">
        <v>368.005</v>
      </c>
      <c r="BF94" s="7">
        <v>108.14100000000001</v>
      </c>
      <c r="BG94" s="7">
        <v>161.01</v>
      </c>
      <c r="BH94" s="7">
        <v>0</v>
      </c>
      <c r="BI94" s="7">
        <v>485.21</v>
      </c>
      <c r="BJ94" s="21"/>
    </row>
    <row r="95" spans="1:62" ht="15.75" x14ac:dyDescent="0.25">
      <c r="A95" s="21"/>
      <c r="B95" s="5" t="s">
        <v>178</v>
      </c>
      <c r="C95" s="5" t="s">
        <v>179</v>
      </c>
      <c r="D95" s="7">
        <v>6</v>
      </c>
      <c r="E95" s="7">
        <v>6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21"/>
    </row>
    <row r="96" spans="1:62" ht="15.75" x14ac:dyDescent="0.25">
      <c r="A96" s="21"/>
      <c r="B96" s="5" t="s">
        <v>180</v>
      </c>
      <c r="C96" s="5" t="s">
        <v>181</v>
      </c>
      <c r="D96" s="7">
        <v>6</v>
      </c>
      <c r="E96" s="7">
        <v>6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21"/>
    </row>
    <row r="97" spans="1:62" ht="15.75" x14ac:dyDescent="0.25">
      <c r="A97" s="21"/>
      <c r="B97" s="5" t="s">
        <v>182</v>
      </c>
      <c r="C97" s="5" t="s">
        <v>183</v>
      </c>
      <c r="D97" s="7">
        <v>6</v>
      </c>
      <c r="E97" s="7">
        <v>6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75" x14ac:dyDescent="0.25">
      <c r="A98" s="21"/>
      <c r="B98" s="5" t="s">
        <v>184</v>
      </c>
      <c r="C98" s="5" t="s">
        <v>185</v>
      </c>
      <c r="D98" s="7">
        <v>6</v>
      </c>
      <c r="E98" s="7">
        <v>6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75" x14ac:dyDescent="0.25">
      <c r="A99" s="21"/>
      <c r="B99" s="5" t="s">
        <v>186</v>
      </c>
      <c r="C99" s="5" t="s">
        <v>187</v>
      </c>
      <c r="D99" s="7">
        <v>6</v>
      </c>
      <c r="E99" s="7">
        <v>6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75" x14ac:dyDescent="0.25">
      <c r="A100" s="21"/>
      <c r="B100" s="5" t="s">
        <v>188</v>
      </c>
      <c r="C100" s="5" t="s">
        <v>189</v>
      </c>
      <c r="D100" s="7">
        <v>6</v>
      </c>
      <c r="E100" s="7">
        <v>6</v>
      </c>
      <c r="F100" s="7">
        <v>5690.1279999999997</v>
      </c>
      <c r="G100" s="7">
        <v>523.33299999999997</v>
      </c>
      <c r="H100" s="7">
        <v>745.32100000000003</v>
      </c>
      <c r="I100" s="7">
        <v>0</v>
      </c>
      <c r="J100" s="7">
        <v>130.69200000000001</v>
      </c>
      <c r="K100" s="7">
        <v>455.05399999999997</v>
      </c>
      <c r="L100" s="7">
        <v>0</v>
      </c>
      <c r="M100" s="7">
        <v>4162.74</v>
      </c>
      <c r="N100" s="7">
        <v>2029.386</v>
      </c>
      <c r="O100" s="7">
        <v>0</v>
      </c>
      <c r="P100" s="7">
        <v>0</v>
      </c>
      <c r="Q100" s="7">
        <v>24.257000000000001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65.962999999999994</v>
      </c>
      <c r="X100" s="7">
        <v>201.61699999999999</v>
      </c>
      <c r="Y100" s="7">
        <v>0</v>
      </c>
      <c r="Z100" s="7">
        <v>1594.559</v>
      </c>
      <c r="AA100" s="7">
        <v>0</v>
      </c>
      <c r="AB100" s="7">
        <v>563.11800000000005</v>
      </c>
      <c r="AC100" s="7">
        <v>0</v>
      </c>
      <c r="AD100" s="7">
        <v>84.953999999999994</v>
      </c>
      <c r="AE100" s="7">
        <v>0</v>
      </c>
      <c r="AF100" s="7">
        <v>5086.866</v>
      </c>
      <c r="AG100" s="7">
        <v>0</v>
      </c>
      <c r="AH100" s="7">
        <v>0</v>
      </c>
      <c r="AI100" s="7">
        <v>11947.958000000001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75" x14ac:dyDescent="0.25">
      <c r="A101" s="21"/>
      <c r="B101" s="5" t="s">
        <v>190</v>
      </c>
      <c r="C101" s="5" t="s">
        <v>191</v>
      </c>
      <c r="D101" s="7">
        <v>6</v>
      </c>
      <c r="E101" s="7">
        <v>6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75" x14ac:dyDescent="0.25">
      <c r="A102" s="21"/>
      <c r="B102" s="5" t="s">
        <v>192</v>
      </c>
      <c r="C102" s="5" t="s">
        <v>193</v>
      </c>
      <c r="D102" s="7">
        <v>6</v>
      </c>
      <c r="E102" s="7">
        <v>6</v>
      </c>
      <c r="F102" s="7">
        <v>0.53300000000000003</v>
      </c>
      <c r="G102" s="7">
        <v>0.372</v>
      </c>
      <c r="H102" s="7">
        <v>2.5999999999999999E-2</v>
      </c>
      <c r="I102" s="7">
        <v>1841.819</v>
      </c>
      <c r="J102" s="7">
        <v>3.3000000000000002E-2</v>
      </c>
      <c r="K102" s="7">
        <v>0.27600000000000002</v>
      </c>
      <c r="L102" s="7">
        <v>0</v>
      </c>
      <c r="M102" s="7">
        <v>0.86299999999999999</v>
      </c>
      <c r="N102" s="7">
        <v>0.371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0.14899999999999999</v>
      </c>
      <c r="U102" s="7">
        <v>0</v>
      </c>
      <c r="V102" s="7">
        <v>0</v>
      </c>
      <c r="W102" s="7">
        <v>2.7E-2</v>
      </c>
      <c r="X102" s="7">
        <v>0</v>
      </c>
      <c r="Y102" s="7">
        <v>0</v>
      </c>
      <c r="Z102" s="7">
        <v>0</v>
      </c>
      <c r="AA102" s="7">
        <v>0</v>
      </c>
      <c r="AB102" s="7">
        <v>0.61699999999999999</v>
      </c>
      <c r="AC102" s="7">
        <v>0</v>
      </c>
      <c r="AD102" s="7">
        <v>6.5000000000000002E-2</v>
      </c>
      <c r="AE102" s="7">
        <v>0</v>
      </c>
      <c r="AF102" s="7">
        <v>1E-3</v>
      </c>
      <c r="AG102" s="7">
        <v>7.0000000000000001E-3</v>
      </c>
      <c r="AH102" s="7">
        <v>0</v>
      </c>
      <c r="AI102" s="7">
        <v>1.71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2.4E-2</v>
      </c>
      <c r="AQ102" s="7">
        <v>0</v>
      </c>
      <c r="AR102" s="7">
        <v>1E-3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2.3E-2</v>
      </c>
      <c r="BA102" s="7">
        <v>0</v>
      </c>
      <c r="BB102" s="7">
        <v>0</v>
      </c>
      <c r="BC102" s="7">
        <v>8.0000000000000002E-3</v>
      </c>
      <c r="BD102" s="7">
        <v>1.6E-2</v>
      </c>
      <c r="BE102" s="7">
        <v>0</v>
      </c>
      <c r="BF102" s="7">
        <v>1E-3</v>
      </c>
      <c r="BG102" s="7">
        <v>0</v>
      </c>
      <c r="BH102" s="7">
        <v>0</v>
      </c>
      <c r="BI102" s="7">
        <v>7.0000000000000001E-3</v>
      </c>
      <c r="BJ102" s="21"/>
    </row>
    <row r="103" spans="1:62" ht="15.75" x14ac:dyDescent="0.25">
      <c r="A103" s="21"/>
      <c r="B103" s="5" t="s">
        <v>194</v>
      </c>
      <c r="C103" s="5" t="s">
        <v>195</v>
      </c>
      <c r="D103" s="7">
        <v>4</v>
      </c>
      <c r="E103" s="7">
        <v>4</v>
      </c>
      <c r="F103" s="7">
        <v>317098.78499999997</v>
      </c>
      <c r="G103" s="7">
        <v>65024.631999999998</v>
      </c>
      <c r="H103" s="7">
        <v>0</v>
      </c>
      <c r="I103" s="7">
        <v>0</v>
      </c>
      <c r="J103" s="7">
        <v>3384.011</v>
      </c>
      <c r="K103" s="7">
        <v>0</v>
      </c>
      <c r="L103" s="7">
        <v>0</v>
      </c>
      <c r="M103" s="7">
        <v>793802.16899999999</v>
      </c>
      <c r="N103" s="7">
        <v>76823.414999999994</v>
      </c>
      <c r="O103" s="7">
        <v>0</v>
      </c>
      <c r="P103" s="7">
        <v>24.984999999999999</v>
      </c>
      <c r="Q103" s="7">
        <v>11.032999999999999</v>
      </c>
      <c r="R103" s="7">
        <v>47.930999999999997</v>
      </c>
      <c r="S103" s="7">
        <v>0</v>
      </c>
      <c r="T103" s="7">
        <v>19483.186000000002</v>
      </c>
      <c r="U103" s="7">
        <v>0</v>
      </c>
      <c r="V103" s="7">
        <v>0</v>
      </c>
      <c r="W103" s="7">
        <v>0</v>
      </c>
      <c r="X103" s="7">
        <v>5515.1009999999997</v>
      </c>
      <c r="Y103" s="7">
        <v>0</v>
      </c>
      <c r="Z103" s="7">
        <v>121776.822</v>
      </c>
      <c r="AA103" s="7">
        <v>0</v>
      </c>
      <c r="AB103" s="7">
        <v>0</v>
      </c>
      <c r="AC103" s="7">
        <v>2020.201</v>
      </c>
      <c r="AD103" s="7">
        <v>11761.549000000001</v>
      </c>
      <c r="AE103" s="7">
        <v>0</v>
      </c>
      <c r="AF103" s="7">
        <v>306806.58299999998</v>
      </c>
      <c r="AG103" s="7">
        <v>157051.264</v>
      </c>
      <c r="AH103" s="7">
        <v>0</v>
      </c>
      <c r="AI103" s="7">
        <v>1309735.6229999999</v>
      </c>
      <c r="AJ103" s="7">
        <v>294242.35499999998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2044.2339999999999</v>
      </c>
      <c r="AQ103" s="7">
        <v>0</v>
      </c>
      <c r="AR103" s="7">
        <v>48323.038999999997</v>
      </c>
      <c r="AS103" s="7">
        <v>0</v>
      </c>
      <c r="AT103" s="7">
        <v>187.84100000000001</v>
      </c>
      <c r="AU103" s="7">
        <v>0</v>
      </c>
      <c r="AV103" s="7">
        <v>1355.751</v>
      </c>
      <c r="AW103" s="7">
        <v>0</v>
      </c>
      <c r="AX103" s="7">
        <v>0</v>
      </c>
      <c r="AY103" s="7">
        <v>0</v>
      </c>
      <c r="AZ103" s="7">
        <v>629.36300000000006</v>
      </c>
      <c r="BA103" s="7">
        <v>6395.2089999999998</v>
      </c>
      <c r="BB103" s="7">
        <v>0</v>
      </c>
      <c r="BC103" s="7">
        <v>811.68399999999997</v>
      </c>
      <c r="BD103" s="7">
        <v>0</v>
      </c>
      <c r="BE103" s="7">
        <v>7140.0129999999999</v>
      </c>
      <c r="BF103" s="7">
        <v>125.408</v>
      </c>
      <c r="BG103" s="7">
        <v>3123.9110000000001</v>
      </c>
      <c r="BH103" s="7">
        <v>0</v>
      </c>
      <c r="BI103" s="7">
        <v>0</v>
      </c>
      <c r="BJ103" s="21"/>
    </row>
    <row r="104" spans="1:62" ht="15.75" x14ac:dyDescent="0.25">
      <c r="A104" s="21"/>
      <c r="B104" s="5" t="s">
        <v>196</v>
      </c>
      <c r="C104" s="5" t="s">
        <v>197</v>
      </c>
      <c r="D104" s="7">
        <v>4</v>
      </c>
      <c r="E104" s="7">
        <v>4</v>
      </c>
      <c r="F104" s="7">
        <v>174428.53700000001</v>
      </c>
      <c r="G104" s="7">
        <v>34239.415999999997</v>
      </c>
      <c r="H104" s="7">
        <v>0</v>
      </c>
      <c r="I104" s="7">
        <v>508.85599999999999</v>
      </c>
      <c r="J104" s="7">
        <v>1878.885</v>
      </c>
      <c r="K104" s="7">
        <v>0</v>
      </c>
      <c r="L104" s="7">
        <v>0</v>
      </c>
      <c r="M104" s="7">
        <v>435295.951</v>
      </c>
      <c r="N104" s="7">
        <v>42654.233999999997</v>
      </c>
      <c r="O104" s="7">
        <v>0</v>
      </c>
      <c r="P104" s="7">
        <v>0</v>
      </c>
      <c r="Q104" s="7">
        <v>6.1260000000000003</v>
      </c>
      <c r="R104" s="7">
        <v>0</v>
      </c>
      <c r="S104" s="7">
        <v>0</v>
      </c>
      <c r="T104" s="7">
        <v>10817.54</v>
      </c>
      <c r="U104" s="7">
        <v>0</v>
      </c>
      <c r="V104" s="7">
        <v>0</v>
      </c>
      <c r="W104" s="7">
        <v>0</v>
      </c>
      <c r="X104" s="7">
        <v>3062.1190000000001</v>
      </c>
      <c r="Y104" s="7">
        <v>0</v>
      </c>
      <c r="Z104" s="7">
        <v>67613.462</v>
      </c>
      <c r="AA104" s="7">
        <v>0</v>
      </c>
      <c r="AB104" s="7">
        <v>0</v>
      </c>
      <c r="AC104" s="7">
        <v>4.0000000000000001E-3</v>
      </c>
      <c r="AD104" s="7">
        <v>6530.299</v>
      </c>
      <c r="AE104" s="7">
        <v>0</v>
      </c>
      <c r="AF104" s="7">
        <v>169271.52</v>
      </c>
      <c r="AG104" s="7">
        <v>87198.692999999999</v>
      </c>
      <c r="AH104" s="7">
        <v>0</v>
      </c>
      <c r="AI104" s="7">
        <v>721968.87300000002</v>
      </c>
      <c r="AJ104" s="7">
        <v>163370.53400000001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1135.008</v>
      </c>
      <c r="AQ104" s="7">
        <v>0</v>
      </c>
      <c r="AR104" s="7">
        <v>26830.13</v>
      </c>
      <c r="AS104" s="7">
        <v>0</v>
      </c>
      <c r="AT104" s="7">
        <v>104.294</v>
      </c>
      <c r="AU104" s="7">
        <v>0</v>
      </c>
      <c r="AV104" s="7">
        <v>752.74599999999998</v>
      </c>
      <c r="AW104" s="7">
        <v>0</v>
      </c>
      <c r="AX104" s="7">
        <v>0</v>
      </c>
      <c r="AY104" s="7">
        <v>0</v>
      </c>
      <c r="AZ104" s="7">
        <v>349.43799999999999</v>
      </c>
      <c r="BA104" s="7">
        <v>3550.7759999999998</v>
      </c>
      <c r="BB104" s="7">
        <v>0</v>
      </c>
      <c r="BC104" s="7">
        <v>450.666</v>
      </c>
      <c r="BD104" s="7">
        <v>0</v>
      </c>
      <c r="BE104" s="7">
        <v>3964.3090000000002</v>
      </c>
      <c r="BF104" s="7">
        <v>69.63</v>
      </c>
      <c r="BG104" s="7">
        <v>1734.472</v>
      </c>
      <c r="BH104" s="7">
        <v>0</v>
      </c>
      <c r="BI104" s="7">
        <v>0</v>
      </c>
      <c r="BJ104" s="21"/>
    </row>
    <row r="105" spans="1:62" ht="15.75" x14ac:dyDescent="0.25">
      <c r="A105" s="21"/>
      <c r="B105" s="5" t="s">
        <v>198</v>
      </c>
      <c r="C105" s="5" t="s">
        <v>199</v>
      </c>
      <c r="D105" s="7">
        <v>4</v>
      </c>
      <c r="E105" s="7">
        <v>4</v>
      </c>
      <c r="F105" s="7">
        <v>66894.585000000006</v>
      </c>
      <c r="G105" s="7">
        <v>13339.715</v>
      </c>
      <c r="H105" s="7">
        <v>145.483</v>
      </c>
      <c r="I105" s="7">
        <v>3.0920000000000001</v>
      </c>
      <c r="J105" s="7">
        <v>817.37099999999998</v>
      </c>
      <c r="K105" s="7">
        <v>86.411000000000001</v>
      </c>
      <c r="L105" s="7">
        <v>0</v>
      </c>
      <c r="M105" s="7">
        <v>160759.391</v>
      </c>
      <c r="N105" s="7">
        <v>19575.37</v>
      </c>
      <c r="O105" s="7">
        <v>0</v>
      </c>
      <c r="P105" s="7">
        <v>53.811</v>
      </c>
      <c r="Q105" s="7">
        <v>2.089</v>
      </c>
      <c r="R105" s="7">
        <v>103.23099999999999</v>
      </c>
      <c r="S105" s="7">
        <v>0</v>
      </c>
      <c r="T105" s="7">
        <v>3706.3539999999998</v>
      </c>
      <c r="U105" s="7">
        <v>0</v>
      </c>
      <c r="V105" s="7">
        <v>0</v>
      </c>
      <c r="W105" s="7">
        <v>15.007</v>
      </c>
      <c r="X105" s="7">
        <v>1067.0640000000001</v>
      </c>
      <c r="Y105" s="7">
        <v>0</v>
      </c>
      <c r="Z105" s="7">
        <v>22995.274000000001</v>
      </c>
      <c r="AA105" s="7">
        <v>0</v>
      </c>
      <c r="AB105" s="7">
        <v>117.625</v>
      </c>
      <c r="AC105" s="7">
        <v>4350.9799999999996</v>
      </c>
      <c r="AD105" s="7">
        <v>2228.6840000000002</v>
      </c>
      <c r="AE105" s="7">
        <v>0</v>
      </c>
      <c r="AF105" s="7">
        <v>61667.853000000003</v>
      </c>
      <c r="AG105" s="7">
        <v>29568.745999999999</v>
      </c>
      <c r="AH105" s="7">
        <v>0</v>
      </c>
      <c r="AI105" s="7">
        <v>259764.962</v>
      </c>
      <c r="AJ105" s="7">
        <v>55403.010999999999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387.29399999999998</v>
      </c>
      <c r="AQ105" s="7">
        <v>0</v>
      </c>
      <c r="AR105" s="7">
        <v>9097.0930000000008</v>
      </c>
      <c r="AS105" s="7">
        <v>0</v>
      </c>
      <c r="AT105" s="7">
        <v>35.701000000000001</v>
      </c>
      <c r="AU105" s="7">
        <v>0</v>
      </c>
      <c r="AV105" s="7">
        <v>265.08800000000002</v>
      </c>
      <c r="AW105" s="7">
        <v>0</v>
      </c>
      <c r="AX105" s="7">
        <v>0</v>
      </c>
      <c r="AY105" s="7">
        <v>0</v>
      </c>
      <c r="AZ105" s="7">
        <v>121.208</v>
      </c>
      <c r="BA105" s="7">
        <v>1203.9349999999999</v>
      </c>
      <c r="BB105" s="7">
        <v>0</v>
      </c>
      <c r="BC105" s="7">
        <v>153.77500000000001</v>
      </c>
      <c r="BD105" s="7">
        <v>2.3319999999999999</v>
      </c>
      <c r="BE105" s="7">
        <v>1344.1489999999999</v>
      </c>
      <c r="BF105" s="7">
        <v>23.774000000000001</v>
      </c>
      <c r="BG105" s="7">
        <v>588.09400000000005</v>
      </c>
      <c r="BH105" s="7">
        <v>0</v>
      </c>
      <c r="BI105" s="7">
        <v>0.85499999999999998</v>
      </c>
      <c r="BJ105" s="21"/>
    </row>
    <row r="106" spans="1:62" ht="15.75" x14ac:dyDescent="0.25">
      <c r="A106" s="21"/>
      <c r="B106" s="5" t="s">
        <v>200</v>
      </c>
      <c r="C106" s="5" t="s">
        <v>201</v>
      </c>
      <c r="D106" s="7">
        <v>4</v>
      </c>
      <c r="E106" s="7">
        <v>4</v>
      </c>
      <c r="F106" s="7">
        <v>639.32899999999995</v>
      </c>
      <c r="G106" s="7">
        <v>110.86199999999999</v>
      </c>
      <c r="H106" s="7">
        <v>1.6220000000000001</v>
      </c>
      <c r="I106" s="7">
        <v>0</v>
      </c>
      <c r="J106" s="7">
        <v>6.1859999999999999</v>
      </c>
      <c r="K106" s="7">
        <v>0.96299999999999997</v>
      </c>
      <c r="L106" s="7">
        <v>0</v>
      </c>
      <c r="M106" s="7">
        <v>1480.3130000000001</v>
      </c>
      <c r="N106" s="7">
        <v>141.06399999999999</v>
      </c>
      <c r="O106" s="7">
        <v>0</v>
      </c>
      <c r="P106" s="7">
        <v>2.0430000000000001</v>
      </c>
      <c r="Q106" s="7">
        <v>0.02</v>
      </c>
      <c r="R106" s="7">
        <v>3.92</v>
      </c>
      <c r="S106" s="7">
        <v>0</v>
      </c>
      <c r="T106" s="7">
        <v>35.14</v>
      </c>
      <c r="U106" s="7">
        <v>0</v>
      </c>
      <c r="V106" s="7">
        <v>0</v>
      </c>
      <c r="W106" s="7">
        <v>0.16700000000000001</v>
      </c>
      <c r="X106" s="7">
        <v>10.147</v>
      </c>
      <c r="Y106" s="7">
        <v>0</v>
      </c>
      <c r="Z106" s="7">
        <v>217.732</v>
      </c>
      <c r="AA106" s="7">
        <v>0</v>
      </c>
      <c r="AB106" s="7">
        <v>1.3109999999999999</v>
      </c>
      <c r="AC106" s="7">
        <v>165.226</v>
      </c>
      <c r="AD106" s="7">
        <v>21.114999999999998</v>
      </c>
      <c r="AE106" s="7">
        <v>0</v>
      </c>
      <c r="AF106" s="7">
        <v>702.65200000000004</v>
      </c>
      <c r="AG106" s="7">
        <v>279.79300000000001</v>
      </c>
      <c r="AH106" s="7">
        <v>0</v>
      </c>
      <c r="AI106" s="7">
        <v>2323.241</v>
      </c>
      <c r="AJ106" s="7">
        <v>524.20500000000004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3.669</v>
      </c>
      <c r="AQ106" s="7">
        <v>0</v>
      </c>
      <c r="AR106" s="7">
        <v>86.088999999999999</v>
      </c>
      <c r="AS106" s="7">
        <v>0</v>
      </c>
      <c r="AT106" s="7">
        <v>0.33800000000000002</v>
      </c>
      <c r="AU106" s="7">
        <v>0</v>
      </c>
      <c r="AV106" s="7">
        <v>2.5249999999999999</v>
      </c>
      <c r="AW106" s="7">
        <v>0</v>
      </c>
      <c r="AX106" s="7">
        <v>0</v>
      </c>
      <c r="AY106" s="7">
        <v>0</v>
      </c>
      <c r="AZ106" s="7">
        <v>1.1519999999999999</v>
      </c>
      <c r="BA106" s="7">
        <v>11.393000000000001</v>
      </c>
      <c r="BB106" s="7">
        <v>0</v>
      </c>
      <c r="BC106" s="7">
        <v>1.4570000000000001</v>
      </c>
      <c r="BD106" s="7">
        <v>2.5999999999999999E-2</v>
      </c>
      <c r="BE106" s="7">
        <v>12.72</v>
      </c>
      <c r="BF106" s="7">
        <v>0.22500000000000001</v>
      </c>
      <c r="BG106" s="7">
        <v>5.5650000000000004</v>
      </c>
      <c r="BH106" s="7">
        <v>0</v>
      </c>
      <c r="BI106" s="7">
        <v>0.01</v>
      </c>
      <c r="BJ106" s="21"/>
    </row>
    <row r="107" spans="1:62" ht="15.75" x14ac:dyDescent="0.25">
      <c r="A107" s="21"/>
      <c r="B107" s="5" t="s">
        <v>202</v>
      </c>
      <c r="C107" s="5" t="s">
        <v>203</v>
      </c>
      <c r="D107" s="7">
        <v>4</v>
      </c>
      <c r="E107" s="7">
        <v>4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21"/>
    </row>
    <row r="108" spans="1:62" ht="15.75" x14ac:dyDescent="0.25">
      <c r="A108" s="21"/>
      <c r="B108" s="5" t="s">
        <v>204</v>
      </c>
      <c r="C108" s="5" t="s">
        <v>205</v>
      </c>
      <c r="D108" s="7">
        <v>4</v>
      </c>
      <c r="E108" s="7">
        <v>4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21"/>
    </row>
    <row r="109" spans="1:62" ht="15.75" x14ac:dyDescent="0.25">
      <c r="A109" s="21"/>
      <c r="B109" s="5" t="s">
        <v>206</v>
      </c>
      <c r="C109" s="5" t="s">
        <v>207</v>
      </c>
      <c r="D109" s="7">
        <v>6</v>
      </c>
      <c r="E109" s="7">
        <v>6</v>
      </c>
      <c r="F109" s="7">
        <v>83961.073999999993</v>
      </c>
      <c r="G109" s="7">
        <v>619.22400000000005</v>
      </c>
      <c r="H109" s="7">
        <v>0</v>
      </c>
      <c r="I109" s="7">
        <v>9747.6149999999998</v>
      </c>
      <c r="J109" s="7">
        <v>0.28899999999999998</v>
      </c>
      <c r="K109" s="7">
        <v>0</v>
      </c>
      <c r="L109" s="7">
        <v>0</v>
      </c>
      <c r="M109" s="7">
        <v>126120.368</v>
      </c>
      <c r="N109" s="7">
        <v>20045.03</v>
      </c>
      <c r="O109" s="7">
        <v>0</v>
      </c>
      <c r="P109" s="7">
        <v>0</v>
      </c>
      <c r="Q109" s="7">
        <v>1E-3</v>
      </c>
      <c r="R109" s="7">
        <v>0</v>
      </c>
      <c r="S109" s="7">
        <v>3.0000000000000001E-3</v>
      </c>
      <c r="T109" s="7">
        <v>1.651</v>
      </c>
      <c r="U109" s="7">
        <v>0</v>
      </c>
      <c r="V109" s="7">
        <v>0</v>
      </c>
      <c r="W109" s="7">
        <v>0</v>
      </c>
      <c r="X109" s="7">
        <v>0.46700000000000003</v>
      </c>
      <c r="Y109" s="7">
        <v>0</v>
      </c>
      <c r="Z109" s="7">
        <v>29567.219000000001</v>
      </c>
      <c r="AA109" s="7">
        <v>0</v>
      </c>
      <c r="AB109" s="7">
        <v>0</v>
      </c>
      <c r="AC109" s="7">
        <v>0</v>
      </c>
      <c r="AD109" s="7">
        <v>0.997</v>
      </c>
      <c r="AE109" s="7">
        <v>0</v>
      </c>
      <c r="AF109" s="7">
        <v>96726.494999999995</v>
      </c>
      <c r="AG109" s="7">
        <v>4075.3319999999999</v>
      </c>
      <c r="AH109" s="7">
        <v>0</v>
      </c>
      <c r="AI109" s="7">
        <v>301088.984</v>
      </c>
      <c r="AJ109" s="7">
        <v>5605.1760000000004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0.17299999999999999</v>
      </c>
      <c r="AQ109" s="7">
        <v>0</v>
      </c>
      <c r="AR109" s="7">
        <v>4.0949999999999998</v>
      </c>
      <c r="AS109" s="7">
        <v>0</v>
      </c>
      <c r="AT109" s="7">
        <v>2.1999999999999999E-2</v>
      </c>
      <c r="AU109" s="7">
        <v>0</v>
      </c>
      <c r="AV109" s="7">
        <v>0.115</v>
      </c>
      <c r="AW109" s="7">
        <v>0</v>
      </c>
      <c r="AX109" s="7">
        <v>0</v>
      </c>
      <c r="AY109" s="7">
        <v>0</v>
      </c>
      <c r="AZ109" s="7">
        <v>5.2999999999999999E-2</v>
      </c>
      <c r="BA109" s="7">
        <v>0.54200000000000004</v>
      </c>
      <c r="BB109" s="7">
        <v>0</v>
      </c>
      <c r="BC109" s="7">
        <v>6.9000000000000006E-2</v>
      </c>
      <c r="BD109" s="7">
        <v>0</v>
      </c>
      <c r="BE109" s="7">
        <v>0.60499999999999998</v>
      </c>
      <c r="BF109" s="7">
        <v>1.0999999999999999E-2</v>
      </c>
      <c r="BG109" s="7">
        <v>0.26500000000000001</v>
      </c>
      <c r="BH109" s="7">
        <v>0</v>
      </c>
      <c r="BI109" s="7">
        <v>0</v>
      </c>
      <c r="BJ109" s="21"/>
    </row>
    <row r="110" spans="1:62" ht="15.75" x14ac:dyDescent="0.25">
      <c r="A110" s="21"/>
      <c r="B110" s="5" t="s">
        <v>208</v>
      </c>
      <c r="C110" s="5" t="s">
        <v>209</v>
      </c>
      <c r="D110" s="7">
        <v>4</v>
      </c>
      <c r="E110" s="7">
        <v>4</v>
      </c>
      <c r="F110" s="7">
        <v>84619.437999999995</v>
      </c>
      <c r="G110" s="7">
        <v>16618.113000000001</v>
      </c>
      <c r="H110" s="7">
        <v>0</v>
      </c>
      <c r="I110" s="7">
        <v>0</v>
      </c>
      <c r="J110" s="7">
        <v>910.43700000000001</v>
      </c>
      <c r="K110" s="7">
        <v>0</v>
      </c>
      <c r="L110" s="7">
        <v>0</v>
      </c>
      <c r="M110" s="7">
        <v>211613.05799999999</v>
      </c>
      <c r="N110" s="7">
        <v>20675.161</v>
      </c>
      <c r="O110" s="7">
        <v>0</v>
      </c>
      <c r="P110" s="7">
        <v>0</v>
      </c>
      <c r="Q110" s="7">
        <v>2.9660000000000002</v>
      </c>
      <c r="R110" s="7">
        <v>0</v>
      </c>
      <c r="S110" s="7">
        <v>0</v>
      </c>
      <c r="T110" s="7">
        <v>5242.9690000000001</v>
      </c>
      <c r="U110" s="7">
        <v>0</v>
      </c>
      <c r="V110" s="7">
        <v>0</v>
      </c>
      <c r="W110" s="7">
        <v>0</v>
      </c>
      <c r="X110" s="7">
        <v>1483.9860000000001</v>
      </c>
      <c r="Y110" s="7">
        <v>0</v>
      </c>
      <c r="Z110" s="7">
        <v>32794.499000000003</v>
      </c>
      <c r="AA110" s="7">
        <v>0</v>
      </c>
      <c r="AB110" s="7">
        <v>0</v>
      </c>
      <c r="AC110" s="7">
        <v>15.124000000000001</v>
      </c>
      <c r="AD110" s="7">
        <v>3164.96</v>
      </c>
      <c r="AE110" s="7">
        <v>0</v>
      </c>
      <c r="AF110" s="7">
        <v>82152.11</v>
      </c>
      <c r="AG110" s="7">
        <v>42299.355000000003</v>
      </c>
      <c r="AH110" s="7">
        <v>0</v>
      </c>
      <c r="AI110" s="7">
        <v>351190.46500000003</v>
      </c>
      <c r="AJ110" s="7">
        <v>79213.182000000001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550.36900000000003</v>
      </c>
      <c r="AQ110" s="7">
        <v>0</v>
      </c>
      <c r="AR110" s="7">
        <v>13018.633</v>
      </c>
      <c r="AS110" s="7">
        <v>0</v>
      </c>
      <c r="AT110" s="7">
        <v>50.552999999999997</v>
      </c>
      <c r="AU110" s="7">
        <v>0</v>
      </c>
      <c r="AV110" s="7">
        <v>579.18899999999996</v>
      </c>
      <c r="AW110" s="7">
        <v>0</v>
      </c>
      <c r="AX110" s="7">
        <v>0</v>
      </c>
      <c r="AY110" s="7">
        <v>0</v>
      </c>
      <c r="AZ110" s="7">
        <v>169.35400000000001</v>
      </c>
      <c r="BA110" s="7">
        <v>1719.1849999999999</v>
      </c>
      <c r="BB110" s="7">
        <v>0</v>
      </c>
      <c r="BC110" s="7">
        <v>218.428</v>
      </c>
      <c r="BD110" s="7">
        <v>0</v>
      </c>
      <c r="BE110" s="7">
        <v>1919.405</v>
      </c>
      <c r="BF110" s="7">
        <v>33.756</v>
      </c>
      <c r="BG110" s="7">
        <v>839.78200000000004</v>
      </c>
      <c r="BH110" s="7">
        <v>0</v>
      </c>
      <c r="BI110" s="7">
        <v>0</v>
      </c>
      <c r="BJ110" s="21"/>
    </row>
    <row r="111" spans="1:62" ht="15.75" x14ac:dyDescent="0.25">
      <c r="A111" s="21"/>
      <c r="B111" s="5" t="s">
        <v>210</v>
      </c>
      <c r="C111" s="5" t="s">
        <v>211</v>
      </c>
      <c r="D111" s="7">
        <v>4</v>
      </c>
      <c r="E111" s="7">
        <v>4</v>
      </c>
      <c r="F111" s="7">
        <v>185018.97</v>
      </c>
      <c r="G111" s="7">
        <v>46345.446000000004</v>
      </c>
      <c r="H111" s="7">
        <v>1.4710000000000001</v>
      </c>
      <c r="I111" s="7">
        <v>3.2429999999999999</v>
      </c>
      <c r="J111" s="7">
        <v>2040.125</v>
      </c>
      <c r="K111" s="7">
        <v>15.619</v>
      </c>
      <c r="L111" s="7">
        <v>0</v>
      </c>
      <c r="M111" s="7">
        <v>508239.962</v>
      </c>
      <c r="N111" s="7">
        <v>43662.207000000002</v>
      </c>
      <c r="O111" s="7">
        <v>0</v>
      </c>
      <c r="P111" s="7">
        <v>0</v>
      </c>
      <c r="Q111" s="7">
        <v>0.38200000000000001</v>
      </c>
      <c r="R111" s="7">
        <v>0</v>
      </c>
      <c r="S111" s="7">
        <v>0</v>
      </c>
      <c r="T111" s="7">
        <v>14178.145</v>
      </c>
      <c r="U111" s="7">
        <v>0</v>
      </c>
      <c r="V111" s="7">
        <v>0</v>
      </c>
      <c r="W111" s="7">
        <v>1.5129999999999999</v>
      </c>
      <c r="X111" s="7">
        <v>3760.9870000000001</v>
      </c>
      <c r="Y111" s="7">
        <v>76058.262000000002</v>
      </c>
      <c r="Z111" s="7">
        <v>85673.597999999998</v>
      </c>
      <c r="AA111" s="7">
        <v>0</v>
      </c>
      <c r="AB111" s="7">
        <v>34.869</v>
      </c>
      <c r="AC111" s="7">
        <v>31.201000000000001</v>
      </c>
      <c r="AD111" s="7">
        <v>8211.6689999999999</v>
      </c>
      <c r="AE111" s="7">
        <v>0</v>
      </c>
      <c r="AF111" s="7">
        <v>217908.53099999999</v>
      </c>
      <c r="AG111" s="7">
        <v>110414.946</v>
      </c>
      <c r="AH111" s="7">
        <v>0</v>
      </c>
      <c r="AI111" s="7">
        <v>944885.01199999999</v>
      </c>
      <c r="AJ111" s="7">
        <v>197566.77499999999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1987.3130000000001</v>
      </c>
      <c r="AQ111" s="7">
        <v>44643.491999999998</v>
      </c>
      <c r="AR111" s="7">
        <v>32847.909</v>
      </c>
      <c r="AS111" s="7">
        <v>19770.972000000002</v>
      </c>
      <c r="AT111" s="7">
        <v>138.68100000000001</v>
      </c>
      <c r="AU111" s="7">
        <v>0</v>
      </c>
      <c r="AV111" s="7">
        <v>961.31100000000004</v>
      </c>
      <c r="AW111" s="7">
        <v>63742.427000000003</v>
      </c>
      <c r="AX111" s="7">
        <v>65344.220999999998</v>
      </c>
      <c r="AY111" s="7">
        <v>46926.616999999998</v>
      </c>
      <c r="AZ111" s="7">
        <v>407.19600000000003</v>
      </c>
      <c r="BA111" s="7">
        <v>222.13300000000001</v>
      </c>
      <c r="BB111" s="7">
        <v>30026.841</v>
      </c>
      <c r="BC111" s="7">
        <v>555.79200000000003</v>
      </c>
      <c r="BD111" s="7">
        <v>0.878</v>
      </c>
      <c r="BE111" s="7">
        <v>248.00299999999999</v>
      </c>
      <c r="BF111" s="7">
        <v>106.142</v>
      </c>
      <c r="BG111" s="7">
        <v>108.505</v>
      </c>
      <c r="BH111" s="7">
        <v>0</v>
      </c>
      <c r="BI111" s="7">
        <v>0.377</v>
      </c>
      <c r="BJ111" s="21"/>
    </row>
    <row r="112" spans="1:62" ht="15.75" x14ac:dyDescent="0.25">
      <c r="A112" s="21"/>
      <c r="B112" s="5" t="s">
        <v>212</v>
      </c>
      <c r="C112" s="5" t="s">
        <v>213</v>
      </c>
      <c r="D112" s="7">
        <v>4</v>
      </c>
      <c r="E112" s="7">
        <v>4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21"/>
    </row>
    <row r="113" spans="1:62" ht="15.75" x14ac:dyDescent="0.25">
      <c r="A113" s="21"/>
      <c r="B113" s="5" t="s">
        <v>214</v>
      </c>
      <c r="C113" s="5" t="s">
        <v>215</v>
      </c>
      <c r="D113" s="7">
        <v>6</v>
      </c>
      <c r="E113" s="7">
        <v>6</v>
      </c>
      <c r="F113" s="7">
        <v>0.72899999999999998</v>
      </c>
      <c r="G113" s="7">
        <v>42.293999999999997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-0.23100000000000001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354.39100000000002</v>
      </c>
      <c r="AG113" s="7">
        <v>23.699000000000002</v>
      </c>
      <c r="AH113" s="7">
        <v>0</v>
      </c>
      <c r="AI113" s="7">
        <v>295.93299999999999</v>
      </c>
      <c r="AJ113" s="7">
        <v>12.396000000000001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21"/>
    </row>
    <row r="114" spans="1:62" ht="15.75" x14ac:dyDescent="0.25">
      <c r="A114" s="21"/>
      <c r="B114" s="5" t="s">
        <v>216</v>
      </c>
      <c r="C114" s="5" t="s">
        <v>217</v>
      </c>
      <c r="D114" s="7">
        <v>6</v>
      </c>
      <c r="E114" s="7">
        <v>6</v>
      </c>
      <c r="F114" s="7">
        <v>84181.32</v>
      </c>
      <c r="G114" s="7">
        <v>804.73199999999997</v>
      </c>
      <c r="H114" s="7">
        <v>0</v>
      </c>
      <c r="I114" s="7">
        <v>0</v>
      </c>
      <c r="J114" s="7">
        <v>75.442999999999998</v>
      </c>
      <c r="K114" s="7">
        <v>0</v>
      </c>
      <c r="L114" s="7">
        <v>0</v>
      </c>
      <c r="M114" s="7">
        <v>174221.21799999999</v>
      </c>
      <c r="N114" s="7">
        <v>39547.535000000003</v>
      </c>
      <c r="O114" s="7">
        <v>0</v>
      </c>
      <c r="P114" s="7">
        <v>0</v>
      </c>
      <c r="Q114" s="7">
        <v>25.148</v>
      </c>
      <c r="R114" s="7">
        <v>0</v>
      </c>
      <c r="S114" s="7">
        <v>25.148</v>
      </c>
      <c r="T114" s="7">
        <v>0</v>
      </c>
      <c r="U114" s="7">
        <v>0</v>
      </c>
      <c r="V114" s="7">
        <v>0</v>
      </c>
      <c r="W114" s="7">
        <v>0</v>
      </c>
      <c r="X114" s="7">
        <v>251.47900000000001</v>
      </c>
      <c r="Y114" s="7">
        <v>0</v>
      </c>
      <c r="Z114" s="7">
        <v>18173.416000000001</v>
      </c>
      <c r="AA114" s="7">
        <v>0</v>
      </c>
      <c r="AB114" s="7">
        <v>2363.8989999999999</v>
      </c>
      <c r="AC114" s="7">
        <v>0</v>
      </c>
      <c r="AD114" s="7">
        <v>201.18299999999999</v>
      </c>
      <c r="AE114" s="7">
        <v>0</v>
      </c>
      <c r="AF114" s="7">
        <v>52782.334999999999</v>
      </c>
      <c r="AG114" s="7">
        <v>8.0000000000000002E-3</v>
      </c>
      <c r="AH114" s="7">
        <v>0</v>
      </c>
      <c r="AI114" s="7">
        <v>262669.88699999999</v>
      </c>
      <c r="AJ114" s="7">
        <v>1.2E-2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75" x14ac:dyDescent="0.25">
      <c r="A115" s="21"/>
      <c r="B115" s="5" t="s">
        <v>218</v>
      </c>
      <c r="C115" s="5" t="s">
        <v>219</v>
      </c>
      <c r="D115" s="7">
        <v>4</v>
      </c>
      <c r="E115" s="7">
        <v>4</v>
      </c>
      <c r="F115" s="7">
        <v>35809.995000000003</v>
      </c>
      <c r="G115" s="7">
        <v>7029.3159999999998</v>
      </c>
      <c r="H115" s="7">
        <v>0</v>
      </c>
      <c r="I115" s="7">
        <v>15479.214</v>
      </c>
      <c r="J115" s="7">
        <v>385.733</v>
      </c>
      <c r="K115" s="7">
        <v>0</v>
      </c>
      <c r="L115" s="7">
        <v>0</v>
      </c>
      <c r="M115" s="7">
        <v>89365.801000000007</v>
      </c>
      <c r="N115" s="7">
        <v>8756.8690000000006</v>
      </c>
      <c r="O115" s="7">
        <v>0</v>
      </c>
      <c r="P115" s="7">
        <v>0</v>
      </c>
      <c r="Q115" s="7">
        <v>1.258</v>
      </c>
      <c r="R115" s="7">
        <v>0</v>
      </c>
      <c r="S115" s="7">
        <v>0</v>
      </c>
      <c r="T115" s="7">
        <v>2220.83</v>
      </c>
      <c r="U115" s="7">
        <v>0</v>
      </c>
      <c r="V115" s="7">
        <v>0</v>
      </c>
      <c r="W115" s="7">
        <v>0</v>
      </c>
      <c r="X115" s="7">
        <v>628.65</v>
      </c>
      <c r="Y115" s="7">
        <v>0</v>
      </c>
      <c r="Z115" s="7">
        <v>13880.973</v>
      </c>
      <c r="AA115" s="7">
        <v>0</v>
      </c>
      <c r="AB115" s="7">
        <v>0</v>
      </c>
      <c r="AC115" s="7">
        <v>0</v>
      </c>
      <c r="AD115" s="7">
        <v>1340.663</v>
      </c>
      <c r="AE115" s="7">
        <v>8531.0529999999999</v>
      </c>
      <c r="AF115" s="7">
        <v>34751.264000000003</v>
      </c>
      <c r="AG115" s="7">
        <v>17901.8</v>
      </c>
      <c r="AH115" s="7">
        <v>39463.394999999997</v>
      </c>
      <c r="AI115" s="7">
        <v>148219.451</v>
      </c>
      <c r="AJ115" s="7">
        <v>33539.798999999999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233.01599999999999</v>
      </c>
      <c r="AQ115" s="7">
        <v>0</v>
      </c>
      <c r="AR115" s="7">
        <v>5508.1980000000003</v>
      </c>
      <c r="AS115" s="7">
        <v>0</v>
      </c>
      <c r="AT115" s="7">
        <v>21.411000000000001</v>
      </c>
      <c r="AU115" s="7">
        <v>0</v>
      </c>
      <c r="AV115" s="7">
        <v>2430.7820000000002</v>
      </c>
      <c r="AW115" s="7">
        <v>0</v>
      </c>
      <c r="AX115" s="7">
        <v>0</v>
      </c>
      <c r="AY115" s="7">
        <v>0</v>
      </c>
      <c r="AZ115" s="7">
        <v>71.739000000000004</v>
      </c>
      <c r="BA115" s="7">
        <v>728.971</v>
      </c>
      <c r="BB115" s="7">
        <v>0</v>
      </c>
      <c r="BC115" s="7">
        <v>92.521000000000001</v>
      </c>
      <c r="BD115" s="7">
        <v>0</v>
      </c>
      <c r="BE115" s="7">
        <v>813.86900000000003</v>
      </c>
      <c r="BF115" s="7">
        <v>14.295</v>
      </c>
      <c r="BG115" s="7">
        <v>356.08499999999998</v>
      </c>
      <c r="BH115" s="7">
        <v>0</v>
      </c>
      <c r="BI115" s="7">
        <v>0</v>
      </c>
      <c r="BJ115" s="21"/>
    </row>
    <row r="116" spans="1:62" ht="15.75" x14ac:dyDescent="0.25">
      <c r="A116" s="21"/>
      <c r="B116" s="5" t="s">
        <v>220</v>
      </c>
      <c r="C116" s="5" t="s">
        <v>221</v>
      </c>
      <c r="D116" s="7">
        <v>4</v>
      </c>
      <c r="E116" s="7">
        <v>4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558.16200000000003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543513.25800000003</v>
      </c>
      <c r="AM116" s="7">
        <v>316377.25099999999</v>
      </c>
      <c r="AN116" s="7">
        <v>0</v>
      </c>
      <c r="AO116" s="7">
        <v>183612.00899999999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1612.7449999999999</v>
      </c>
      <c r="AW116" s="7">
        <v>0</v>
      </c>
      <c r="AX116" s="7">
        <v>0</v>
      </c>
      <c r="AY116" s="7">
        <v>344.37599999999998</v>
      </c>
      <c r="AZ116" s="7">
        <v>0</v>
      </c>
      <c r="BA116" s="7">
        <v>0</v>
      </c>
      <c r="BB116" s="7">
        <v>220.35499999999999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21"/>
    </row>
    <row r="117" spans="1:62" ht="15.75" x14ac:dyDescent="0.25">
      <c r="A117" s="21"/>
      <c r="B117" s="5" t="s">
        <v>222</v>
      </c>
      <c r="C117" s="5" t="s">
        <v>223</v>
      </c>
      <c r="D117" s="7">
        <v>4</v>
      </c>
      <c r="E117" s="7">
        <v>3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2307.3310000000001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10999.83</v>
      </c>
      <c r="AF117" s="7">
        <v>0</v>
      </c>
      <c r="AG117" s="7">
        <v>0</v>
      </c>
      <c r="AH117" s="7">
        <v>45669.067999999999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43.043999999999997</v>
      </c>
      <c r="AU117" s="7">
        <v>0</v>
      </c>
      <c r="AV117" s="7">
        <v>2134.223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21"/>
    </row>
    <row r="118" spans="1:62" ht="15.75" x14ac:dyDescent="0.25">
      <c r="A118" s="21"/>
      <c r="B118" s="5" t="s">
        <v>224</v>
      </c>
      <c r="C118" s="5" t="s">
        <v>225</v>
      </c>
      <c r="D118" s="7">
        <v>4</v>
      </c>
      <c r="E118" s="7">
        <v>3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21"/>
    </row>
    <row r="119" spans="1:62" ht="15.75" x14ac:dyDescent="0.25">
      <c r="A119" s="21"/>
      <c r="B119" s="5" t="s">
        <v>226</v>
      </c>
      <c r="C119" s="5" t="s">
        <v>227</v>
      </c>
      <c r="D119" s="7">
        <v>4</v>
      </c>
      <c r="E119" s="7">
        <v>4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21"/>
    </row>
    <row r="120" spans="1:62" ht="15.75" x14ac:dyDescent="0.25">
      <c r="A120" s="21"/>
      <c r="B120" s="5" t="s">
        <v>228</v>
      </c>
      <c r="C120" s="5" t="s">
        <v>229</v>
      </c>
      <c r="D120" s="7">
        <v>4</v>
      </c>
      <c r="E120" s="7">
        <v>6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75" x14ac:dyDescent="0.25">
      <c r="A121" s="21"/>
      <c r="B121" s="5" t="s">
        <v>230</v>
      </c>
      <c r="C121" s="5" t="s">
        <v>231</v>
      </c>
      <c r="D121" s="7">
        <v>4</v>
      </c>
      <c r="E121" s="7">
        <v>4</v>
      </c>
      <c r="F121" s="7">
        <v>252485.46799999999</v>
      </c>
      <c r="G121" s="7">
        <v>55733.966</v>
      </c>
      <c r="H121" s="7">
        <v>0</v>
      </c>
      <c r="I121" s="7">
        <v>0</v>
      </c>
      <c r="J121" s="7">
        <v>2310.5500000000002</v>
      </c>
      <c r="K121" s="7">
        <v>0</v>
      </c>
      <c r="L121" s="7">
        <v>0</v>
      </c>
      <c r="M121" s="7">
        <v>656541.55799999996</v>
      </c>
      <c r="N121" s="7">
        <v>49282.430999999997</v>
      </c>
      <c r="O121" s="7">
        <v>0</v>
      </c>
      <c r="P121" s="7">
        <v>1519.2170000000001</v>
      </c>
      <c r="Q121" s="7">
        <v>0</v>
      </c>
      <c r="R121" s="7">
        <v>811.14800000000002</v>
      </c>
      <c r="S121" s="7">
        <v>0</v>
      </c>
      <c r="T121" s="7">
        <v>17088.827000000001</v>
      </c>
      <c r="U121" s="7">
        <v>0</v>
      </c>
      <c r="V121" s="7">
        <v>0</v>
      </c>
      <c r="W121" s="7">
        <v>0</v>
      </c>
      <c r="X121" s="7">
        <v>4399.924</v>
      </c>
      <c r="Y121" s="7">
        <v>88030.735000000001</v>
      </c>
      <c r="Z121" s="7">
        <v>111197.361</v>
      </c>
      <c r="AA121" s="7">
        <v>46386.777000000002</v>
      </c>
      <c r="AB121" s="7">
        <v>0</v>
      </c>
      <c r="AC121" s="7">
        <v>43943.582999999999</v>
      </c>
      <c r="AD121" s="7">
        <v>10002.386</v>
      </c>
      <c r="AE121" s="7">
        <v>8564.0149999999994</v>
      </c>
      <c r="AF121" s="7">
        <v>303546.68800000002</v>
      </c>
      <c r="AG121" s="7">
        <v>133768.56200000001</v>
      </c>
      <c r="AH121" s="7">
        <v>38067.661999999997</v>
      </c>
      <c r="AI121" s="7">
        <v>1074329.392</v>
      </c>
      <c r="AJ121" s="7">
        <v>239582.198</v>
      </c>
      <c r="AK121" s="7">
        <v>253487.465</v>
      </c>
      <c r="AL121" s="7">
        <v>1352678.398</v>
      </c>
      <c r="AM121" s="7">
        <v>787389.57799999998</v>
      </c>
      <c r="AN121" s="7">
        <v>0</v>
      </c>
      <c r="AO121" s="7">
        <v>456967.67999999999</v>
      </c>
      <c r="AP121" s="7">
        <v>2614.7469999999998</v>
      </c>
      <c r="AQ121" s="7">
        <v>0</v>
      </c>
      <c r="AR121" s="7">
        <v>41375.19</v>
      </c>
      <c r="AS121" s="7">
        <v>0</v>
      </c>
      <c r="AT121" s="7">
        <v>180.411</v>
      </c>
      <c r="AU121" s="7">
        <v>0</v>
      </c>
      <c r="AV121" s="7">
        <v>1248.31</v>
      </c>
      <c r="AW121" s="7">
        <v>0</v>
      </c>
      <c r="AX121" s="7">
        <v>0</v>
      </c>
      <c r="AY121" s="7">
        <v>54313.434999999998</v>
      </c>
      <c r="AZ121" s="7">
        <v>524.37199999999996</v>
      </c>
      <c r="BA121" s="7">
        <v>0</v>
      </c>
      <c r="BB121" s="7">
        <v>34753.406999999999</v>
      </c>
      <c r="BC121" s="7">
        <v>719.803</v>
      </c>
      <c r="BD121" s="7">
        <v>0</v>
      </c>
      <c r="BE121" s="7">
        <v>0</v>
      </c>
      <c r="BF121" s="7">
        <v>138.87299999999999</v>
      </c>
      <c r="BG121" s="7">
        <v>0</v>
      </c>
      <c r="BH121" s="7">
        <v>120653.837</v>
      </c>
      <c r="BI121" s="7">
        <v>0</v>
      </c>
      <c r="BJ121" s="21"/>
    </row>
    <row r="122" spans="1:62" ht="15.75" x14ac:dyDescent="0.25">
      <c r="A122" s="21"/>
      <c r="B122" s="5" t="s">
        <v>232</v>
      </c>
      <c r="C122" s="5" t="s">
        <v>233</v>
      </c>
      <c r="D122" s="7">
        <v>4</v>
      </c>
      <c r="E122" s="7">
        <v>3</v>
      </c>
      <c r="F122" s="7">
        <v>1092.83</v>
      </c>
      <c r="G122" s="7">
        <v>869.46699999999998</v>
      </c>
      <c r="H122" s="7">
        <v>773.70100000000002</v>
      </c>
      <c r="I122" s="7">
        <v>96.754000000000005</v>
      </c>
      <c r="J122" s="7">
        <v>86.084999999999994</v>
      </c>
      <c r="K122" s="7">
        <v>670.92700000000002</v>
      </c>
      <c r="L122" s="7">
        <v>0</v>
      </c>
      <c r="M122" s="7">
        <v>2155.7330000000002</v>
      </c>
      <c r="N122" s="7">
        <v>636.14599999999996</v>
      </c>
      <c r="O122" s="7">
        <v>0</v>
      </c>
      <c r="P122" s="7">
        <v>0</v>
      </c>
      <c r="Q122" s="7">
        <v>2E-3</v>
      </c>
      <c r="R122" s="7">
        <v>302.56900000000002</v>
      </c>
      <c r="S122" s="7">
        <v>438.46100000000001</v>
      </c>
      <c r="T122" s="7">
        <v>354.70299999999997</v>
      </c>
      <c r="U122" s="7">
        <v>0</v>
      </c>
      <c r="V122" s="7">
        <v>0</v>
      </c>
      <c r="W122" s="7">
        <v>80.694000000000003</v>
      </c>
      <c r="X122" s="7">
        <v>1.954</v>
      </c>
      <c r="Y122" s="7">
        <v>0</v>
      </c>
      <c r="Z122" s="7">
        <v>225.114</v>
      </c>
      <c r="AA122" s="7">
        <v>13745.796</v>
      </c>
      <c r="AB122" s="7">
        <v>1420.893</v>
      </c>
      <c r="AC122" s="7">
        <v>0</v>
      </c>
      <c r="AD122" s="7">
        <v>213.369</v>
      </c>
      <c r="AE122" s="7">
        <v>1913.3510000000001</v>
      </c>
      <c r="AF122" s="7">
        <v>531.495</v>
      </c>
      <c r="AG122" s="7">
        <v>11.500999999999999</v>
      </c>
      <c r="AH122" s="7">
        <v>6844.598</v>
      </c>
      <c r="AI122" s="7">
        <v>4630.3280000000004</v>
      </c>
      <c r="AJ122" s="7">
        <v>8.9999999999999993E-3</v>
      </c>
      <c r="AK122" s="7">
        <v>67037.123999999996</v>
      </c>
      <c r="AL122" s="7">
        <v>0</v>
      </c>
      <c r="AM122" s="7">
        <v>0</v>
      </c>
      <c r="AN122" s="7">
        <v>0</v>
      </c>
      <c r="AO122" s="7">
        <v>0</v>
      </c>
      <c r="AP122" s="7">
        <v>59.930999999999997</v>
      </c>
      <c r="AQ122" s="7">
        <v>0</v>
      </c>
      <c r="AR122" s="7">
        <v>1.613</v>
      </c>
      <c r="AS122" s="7">
        <v>0</v>
      </c>
      <c r="AT122" s="7">
        <v>1.1850000000000001</v>
      </c>
      <c r="AU122" s="7">
        <v>0</v>
      </c>
      <c r="AV122" s="7">
        <v>46.35</v>
      </c>
      <c r="AW122" s="7">
        <v>0</v>
      </c>
      <c r="AX122" s="7">
        <v>0</v>
      </c>
      <c r="AY122" s="7">
        <v>0</v>
      </c>
      <c r="AZ122" s="7">
        <v>60.28</v>
      </c>
      <c r="BA122" s="7">
        <v>0</v>
      </c>
      <c r="BB122" s="7">
        <v>0</v>
      </c>
      <c r="BC122" s="7">
        <v>20.158000000000001</v>
      </c>
      <c r="BD122" s="7">
        <v>46.273000000000003</v>
      </c>
      <c r="BE122" s="7">
        <v>0</v>
      </c>
      <c r="BF122" s="7">
        <v>3.5539999999999998</v>
      </c>
      <c r="BG122" s="7">
        <v>0</v>
      </c>
      <c r="BH122" s="7">
        <v>52553.148000000001</v>
      </c>
      <c r="BI122" s="7">
        <v>18.553999999999998</v>
      </c>
      <c r="BJ122" s="21"/>
    </row>
    <row r="123" spans="1:62" ht="15.75" x14ac:dyDescent="0.25">
      <c r="A123" s="21"/>
      <c r="B123" s="5" t="s">
        <v>234</v>
      </c>
      <c r="C123" s="5" t="s">
        <v>235</v>
      </c>
      <c r="D123" s="7">
        <v>4</v>
      </c>
      <c r="E123" s="7">
        <v>4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21"/>
    </row>
    <row r="124" spans="1:62" ht="15.75" x14ac:dyDescent="0.25">
      <c r="A124" s="21"/>
      <c r="B124" s="5" t="s">
        <v>228</v>
      </c>
      <c r="C124" s="5" t="s">
        <v>236</v>
      </c>
      <c r="D124" s="7">
        <v>4</v>
      </c>
      <c r="E124" s="7">
        <v>6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21"/>
    </row>
    <row r="125" spans="1:62" ht="15.75" x14ac:dyDescent="0.25">
      <c r="A125" s="21"/>
      <c r="B125" s="5" t="s">
        <v>237</v>
      </c>
      <c r="C125" s="5" t="s">
        <v>238</v>
      </c>
      <c r="D125" s="7">
        <v>4</v>
      </c>
      <c r="E125" s="7">
        <v>4</v>
      </c>
      <c r="F125" s="7">
        <v>14.217000000000001</v>
      </c>
      <c r="G125" s="7">
        <v>1.3160000000000001</v>
      </c>
      <c r="H125" s="7">
        <v>4.0119999999999996</v>
      </c>
      <c r="I125" s="7">
        <v>0</v>
      </c>
      <c r="J125" s="7">
        <v>0.29899999999999999</v>
      </c>
      <c r="K125" s="7">
        <v>2.9</v>
      </c>
      <c r="L125" s="7">
        <v>0</v>
      </c>
      <c r="M125" s="7">
        <v>4.05</v>
      </c>
      <c r="N125" s="7">
        <v>8.8919999999999995</v>
      </c>
      <c r="O125" s="7">
        <v>0</v>
      </c>
      <c r="P125" s="7">
        <v>0</v>
      </c>
      <c r="Q125" s="7">
        <v>0</v>
      </c>
      <c r="R125" s="7">
        <v>0</v>
      </c>
      <c r="S125" s="7">
        <v>101.416</v>
      </c>
      <c r="T125" s="7">
        <v>0.48799999999999999</v>
      </c>
      <c r="U125" s="7">
        <v>0</v>
      </c>
      <c r="V125" s="7">
        <v>0</v>
      </c>
      <c r="W125" s="7">
        <v>0.29799999999999999</v>
      </c>
      <c r="X125" s="7">
        <v>0.82699999999999996</v>
      </c>
      <c r="Y125" s="7">
        <v>0</v>
      </c>
      <c r="Z125" s="7">
        <v>1.5669999999999999</v>
      </c>
      <c r="AA125" s="7">
        <v>0</v>
      </c>
      <c r="AB125" s="7">
        <v>3.6669999999999998</v>
      </c>
      <c r="AC125" s="7">
        <v>0</v>
      </c>
      <c r="AD125" s="7">
        <v>0.24099999999999999</v>
      </c>
      <c r="AE125" s="7">
        <v>0</v>
      </c>
      <c r="AF125" s="7">
        <v>4.7519999999999998</v>
      </c>
      <c r="AG125" s="7">
        <v>0</v>
      </c>
      <c r="AH125" s="7">
        <v>0</v>
      </c>
      <c r="AI125" s="7">
        <v>15.975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6.0999999999999999E-2</v>
      </c>
      <c r="AQ125" s="7">
        <v>0</v>
      </c>
      <c r="AR125" s="7">
        <v>0</v>
      </c>
      <c r="AS125" s="7">
        <v>0</v>
      </c>
      <c r="AT125" s="7">
        <v>2E-3</v>
      </c>
      <c r="AU125" s="7">
        <v>0</v>
      </c>
      <c r="AV125" s="7">
        <v>0.107</v>
      </c>
      <c r="AW125" s="7">
        <v>0</v>
      </c>
      <c r="AX125" s="7">
        <v>0</v>
      </c>
      <c r="AY125" s="7">
        <v>0</v>
      </c>
      <c r="AZ125" s="7">
        <v>6.0999999999999999E-2</v>
      </c>
      <c r="BA125" s="7">
        <v>0</v>
      </c>
      <c r="BB125" s="7">
        <v>0</v>
      </c>
      <c r="BC125" s="7">
        <v>0.02</v>
      </c>
      <c r="BD125" s="7">
        <v>4.1000000000000002E-2</v>
      </c>
      <c r="BE125" s="7">
        <v>0</v>
      </c>
      <c r="BF125" s="7">
        <v>4.0000000000000001E-3</v>
      </c>
      <c r="BG125" s="7">
        <v>0</v>
      </c>
      <c r="BH125" s="7">
        <v>0</v>
      </c>
      <c r="BI125" s="7">
        <v>0.02</v>
      </c>
      <c r="BJ125" s="21"/>
    </row>
    <row r="126" spans="1:62" ht="15.75" x14ac:dyDescent="0.25">
      <c r="A126" s="21"/>
      <c r="B126" s="5" t="s">
        <v>239</v>
      </c>
      <c r="C126" s="5" t="s">
        <v>240</v>
      </c>
      <c r="D126" s="7">
        <v>4</v>
      </c>
      <c r="E126" s="7">
        <v>3</v>
      </c>
      <c r="F126" s="7">
        <v>2408.7829999999999</v>
      </c>
      <c r="G126" s="7">
        <v>1680.009</v>
      </c>
      <c r="H126" s="7">
        <v>118.62</v>
      </c>
      <c r="I126" s="7">
        <v>259.04700000000003</v>
      </c>
      <c r="J126" s="7">
        <v>148.65100000000001</v>
      </c>
      <c r="K126" s="7">
        <v>1248.8620000000001</v>
      </c>
      <c r="L126" s="7">
        <v>0</v>
      </c>
      <c r="M126" s="7">
        <v>3897.0740000000001</v>
      </c>
      <c r="N126" s="7">
        <v>1675.72</v>
      </c>
      <c r="O126" s="7">
        <v>0</v>
      </c>
      <c r="P126" s="7">
        <v>0</v>
      </c>
      <c r="Q126" s="7">
        <v>5.0000000000000001E-3</v>
      </c>
      <c r="R126" s="7">
        <v>0</v>
      </c>
      <c r="S126" s="7">
        <v>9.9000000000000005E-2</v>
      </c>
      <c r="T126" s="7">
        <v>673.17899999999997</v>
      </c>
      <c r="U126" s="7">
        <v>0</v>
      </c>
      <c r="V126" s="7">
        <v>0</v>
      </c>
      <c r="W126" s="7">
        <v>120.831</v>
      </c>
      <c r="X126" s="7">
        <v>2.2210000000000001</v>
      </c>
      <c r="Y126" s="7">
        <v>0</v>
      </c>
      <c r="Z126" s="7">
        <v>0.221</v>
      </c>
      <c r="AA126" s="7">
        <v>0</v>
      </c>
      <c r="AB126" s="7">
        <v>2785.3339999999998</v>
      </c>
      <c r="AC126" s="7">
        <v>0</v>
      </c>
      <c r="AD126" s="7">
        <v>295.05</v>
      </c>
      <c r="AE126" s="7">
        <v>0</v>
      </c>
      <c r="AF126" s="7">
        <v>9.5210000000000008</v>
      </c>
      <c r="AG126" s="7">
        <v>30.792000000000002</v>
      </c>
      <c r="AH126" s="7">
        <v>0</v>
      </c>
      <c r="AI126" s="7">
        <v>7726.8490000000002</v>
      </c>
      <c r="AJ126" s="7">
        <v>2.3E-2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108.678</v>
      </c>
      <c r="AQ126" s="7">
        <v>0</v>
      </c>
      <c r="AR126" s="7">
        <v>4.3179999999999996</v>
      </c>
      <c r="AS126" s="7">
        <v>0</v>
      </c>
      <c r="AT126" s="7">
        <v>2.347</v>
      </c>
      <c r="AU126" s="7">
        <v>0</v>
      </c>
      <c r="AV126" s="7">
        <v>0.31900000000000001</v>
      </c>
      <c r="AW126" s="7">
        <v>0</v>
      </c>
      <c r="AX126" s="7">
        <v>0</v>
      </c>
      <c r="AY126" s="7">
        <v>0</v>
      </c>
      <c r="AZ126" s="7">
        <v>104.254</v>
      </c>
      <c r="BA126" s="7">
        <v>0</v>
      </c>
      <c r="BB126" s="7">
        <v>0</v>
      </c>
      <c r="BC126" s="7">
        <v>35.308</v>
      </c>
      <c r="BD126" s="7">
        <v>70.167000000000002</v>
      </c>
      <c r="BE126" s="7">
        <v>0</v>
      </c>
      <c r="BF126" s="7">
        <v>6.3540000000000001</v>
      </c>
      <c r="BG126" s="7">
        <v>0</v>
      </c>
      <c r="BH126" s="7">
        <v>0</v>
      </c>
      <c r="BI126" s="7">
        <v>30.113</v>
      </c>
      <c r="BJ126" s="21"/>
    </row>
    <row r="127" spans="1:62" ht="15.75" x14ac:dyDescent="0.25">
      <c r="A127" s="21"/>
      <c r="B127" s="5" t="s">
        <v>241</v>
      </c>
      <c r="C127" s="5" t="s">
        <v>242</v>
      </c>
      <c r="D127" s="7">
        <v>2</v>
      </c>
      <c r="E127" s="7">
        <v>2</v>
      </c>
      <c r="F127" s="7">
        <v>51138.74</v>
      </c>
      <c r="G127" s="7">
        <v>11303.162</v>
      </c>
      <c r="H127" s="7">
        <v>11024.787</v>
      </c>
      <c r="I127" s="7">
        <v>0</v>
      </c>
      <c r="J127" s="7">
        <v>2213</v>
      </c>
      <c r="K127" s="7">
        <v>8684.6810000000005</v>
      </c>
      <c r="L127" s="7">
        <v>0</v>
      </c>
      <c r="M127" s="7">
        <v>45306.697</v>
      </c>
      <c r="N127" s="7">
        <v>39881.014000000003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3248.7240000000002</v>
      </c>
      <c r="U127" s="7">
        <v>0</v>
      </c>
      <c r="V127" s="7">
        <v>0</v>
      </c>
      <c r="W127" s="7">
        <v>1180.3109999999999</v>
      </c>
      <c r="X127" s="7">
        <v>3164.8020000000001</v>
      </c>
      <c r="Y127" s="7">
        <v>0</v>
      </c>
      <c r="Z127" s="7">
        <v>9383.4210000000003</v>
      </c>
      <c r="AA127" s="7">
        <v>0</v>
      </c>
      <c r="AB127" s="7">
        <v>11491.323</v>
      </c>
      <c r="AC127" s="7">
        <v>0</v>
      </c>
      <c r="AD127" s="7">
        <v>1550.4459999999999</v>
      </c>
      <c r="AE127" s="7">
        <v>0</v>
      </c>
      <c r="AF127" s="7">
        <v>26997.672999999999</v>
      </c>
      <c r="AG127" s="7">
        <v>0</v>
      </c>
      <c r="AH127" s="7">
        <v>0</v>
      </c>
      <c r="AI127" s="7">
        <v>165891.77600000001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269.67599999999999</v>
      </c>
      <c r="AQ127" s="7">
        <v>0</v>
      </c>
      <c r="AR127" s="7">
        <v>0</v>
      </c>
      <c r="AS127" s="7">
        <v>0</v>
      </c>
      <c r="AT127" s="7">
        <v>4.2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183.91399999999999</v>
      </c>
      <c r="BA127" s="7">
        <v>0</v>
      </c>
      <c r="BB127" s="7">
        <v>0</v>
      </c>
      <c r="BC127" s="7">
        <v>68.290000000000006</v>
      </c>
      <c r="BD127" s="7">
        <v>170.32400000000001</v>
      </c>
      <c r="BE127" s="7">
        <v>0</v>
      </c>
      <c r="BF127" s="7">
        <v>19.728999999999999</v>
      </c>
      <c r="BG127" s="7">
        <v>0</v>
      </c>
      <c r="BH127" s="7">
        <v>0</v>
      </c>
      <c r="BI127" s="7">
        <v>67.831999999999994</v>
      </c>
      <c r="BJ127" s="21"/>
    </row>
    <row r="128" spans="1:62" ht="15.75" x14ac:dyDescent="0.25">
      <c r="A128" s="21"/>
      <c r="B128" s="5" t="s">
        <v>243</v>
      </c>
      <c r="C128" s="5" t="s">
        <v>244</v>
      </c>
      <c r="D128" s="7">
        <v>4</v>
      </c>
      <c r="E128" s="7">
        <v>4</v>
      </c>
      <c r="F128" s="7">
        <v>35318.089999999997</v>
      </c>
      <c r="G128" s="7">
        <v>8279.7610000000004</v>
      </c>
      <c r="H128" s="7">
        <v>0</v>
      </c>
      <c r="I128" s="7">
        <v>0</v>
      </c>
      <c r="J128" s="7">
        <v>343.06700000000001</v>
      </c>
      <c r="K128" s="7">
        <v>0</v>
      </c>
      <c r="L128" s="7">
        <v>0</v>
      </c>
      <c r="M128" s="7">
        <v>97536.282999999996</v>
      </c>
      <c r="N128" s="7">
        <v>7318.3389999999999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2538.8090000000002</v>
      </c>
      <c r="U128" s="7">
        <v>0</v>
      </c>
      <c r="V128" s="7">
        <v>0</v>
      </c>
      <c r="W128" s="7">
        <v>0</v>
      </c>
      <c r="X128" s="7">
        <v>653.50199999999995</v>
      </c>
      <c r="Y128" s="7">
        <v>0</v>
      </c>
      <c r="Z128" s="7">
        <v>16529.690999999999</v>
      </c>
      <c r="AA128" s="7">
        <v>0</v>
      </c>
      <c r="AB128" s="7">
        <v>0</v>
      </c>
      <c r="AC128" s="7">
        <v>6.32</v>
      </c>
      <c r="AD128" s="7">
        <v>1486.1</v>
      </c>
      <c r="AE128" s="7">
        <v>0</v>
      </c>
      <c r="AF128" s="7">
        <v>42077.074000000001</v>
      </c>
      <c r="AG128" s="7">
        <v>19874.138999999999</v>
      </c>
      <c r="AH128" s="7">
        <v>0</v>
      </c>
      <c r="AI128" s="7">
        <v>159526.81599999999</v>
      </c>
      <c r="AJ128" s="7">
        <v>35595.985000000001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388.65499999999997</v>
      </c>
      <c r="AQ128" s="7">
        <v>0</v>
      </c>
      <c r="AR128" s="7">
        <v>6149.1570000000002</v>
      </c>
      <c r="AS128" s="7">
        <v>0</v>
      </c>
      <c r="AT128" s="7">
        <v>26.856999999999999</v>
      </c>
      <c r="AU128" s="7">
        <v>0</v>
      </c>
      <c r="AV128" s="7">
        <v>185.22800000000001</v>
      </c>
      <c r="AW128" s="7">
        <v>0</v>
      </c>
      <c r="AX128" s="7">
        <v>0</v>
      </c>
      <c r="AY128" s="7">
        <v>0</v>
      </c>
      <c r="AZ128" s="7">
        <v>77.894000000000005</v>
      </c>
      <c r="BA128" s="7">
        <v>0</v>
      </c>
      <c r="BB128" s="7">
        <v>0</v>
      </c>
      <c r="BC128" s="7">
        <v>107.05200000000001</v>
      </c>
      <c r="BD128" s="7">
        <v>0</v>
      </c>
      <c r="BE128" s="7">
        <v>0</v>
      </c>
      <c r="BF128" s="7">
        <v>20.69</v>
      </c>
      <c r="BG128" s="7">
        <v>0</v>
      </c>
      <c r="BH128" s="7">
        <v>0</v>
      </c>
      <c r="BI128" s="7">
        <v>0</v>
      </c>
      <c r="BJ128" s="21"/>
    </row>
    <row r="129" spans="1:62" ht="15.75" x14ac:dyDescent="0.25">
      <c r="A129" s="21"/>
      <c r="B129" s="5" t="s">
        <v>245</v>
      </c>
      <c r="C129" s="5" t="s">
        <v>246</v>
      </c>
      <c r="D129" s="7">
        <v>4</v>
      </c>
      <c r="E129" s="7">
        <v>6</v>
      </c>
      <c r="F129" s="7">
        <v>1782.837</v>
      </c>
      <c r="G129" s="7">
        <v>590.58399999999995</v>
      </c>
      <c r="H129" s="7">
        <v>18.18</v>
      </c>
      <c r="I129" s="7">
        <v>40.085000000000001</v>
      </c>
      <c r="J129" s="7">
        <v>36.704999999999998</v>
      </c>
      <c r="K129" s="7">
        <v>193.065</v>
      </c>
      <c r="L129" s="7">
        <v>0</v>
      </c>
      <c r="M129" s="7">
        <v>4498.1149999999998</v>
      </c>
      <c r="N129" s="7">
        <v>551.32100000000003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205.55500000000001</v>
      </c>
      <c r="U129" s="7">
        <v>0</v>
      </c>
      <c r="V129" s="7">
        <v>0</v>
      </c>
      <c r="W129" s="7">
        <v>18.696999999999999</v>
      </c>
      <c r="X129" s="7">
        <v>26.443000000000001</v>
      </c>
      <c r="Y129" s="7">
        <v>0</v>
      </c>
      <c r="Z129" s="7">
        <v>660.14400000000001</v>
      </c>
      <c r="AA129" s="7">
        <v>0</v>
      </c>
      <c r="AB129" s="7">
        <v>431</v>
      </c>
      <c r="AC129" s="7">
        <v>0.253</v>
      </c>
      <c r="AD129" s="7">
        <v>105.006</v>
      </c>
      <c r="AE129" s="7">
        <v>0</v>
      </c>
      <c r="AF129" s="7">
        <v>1681.223</v>
      </c>
      <c r="AG129" s="7">
        <v>798.45500000000004</v>
      </c>
      <c r="AH129" s="7">
        <v>0</v>
      </c>
      <c r="AI129" s="7">
        <v>7565.8310000000001</v>
      </c>
      <c r="AJ129" s="7">
        <v>1421.557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32.338999999999999</v>
      </c>
      <c r="AQ129" s="7">
        <v>0</v>
      </c>
      <c r="AR129" s="7">
        <v>246.24</v>
      </c>
      <c r="AS129" s="7">
        <v>0</v>
      </c>
      <c r="AT129" s="7">
        <v>1.4339999999999999</v>
      </c>
      <c r="AU129" s="7">
        <v>0</v>
      </c>
      <c r="AV129" s="7">
        <v>7.46</v>
      </c>
      <c r="AW129" s="7">
        <v>0</v>
      </c>
      <c r="AX129" s="7">
        <v>0</v>
      </c>
      <c r="AY129" s="7">
        <v>0</v>
      </c>
      <c r="AZ129" s="7">
        <v>19.245000000000001</v>
      </c>
      <c r="BA129" s="7">
        <v>0</v>
      </c>
      <c r="BB129" s="7">
        <v>0</v>
      </c>
      <c r="BC129" s="7">
        <v>9.7370000000000001</v>
      </c>
      <c r="BD129" s="7">
        <v>10.858000000000001</v>
      </c>
      <c r="BE129" s="7">
        <v>0</v>
      </c>
      <c r="BF129" s="7">
        <v>1.8080000000000001</v>
      </c>
      <c r="BG129" s="7">
        <v>0</v>
      </c>
      <c r="BH129" s="7">
        <v>0</v>
      </c>
      <c r="BI129" s="7">
        <v>4.66</v>
      </c>
      <c r="BJ129" s="21"/>
    </row>
    <row r="130" spans="1:62" ht="15.75" x14ac:dyDescent="0.25">
      <c r="A130" s="21"/>
      <c r="B130" s="5" t="s">
        <v>247</v>
      </c>
      <c r="C130" s="5" t="s">
        <v>248</v>
      </c>
      <c r="D130" s="7">
        <v>6</v>
      </c>
      <c r="E130" s="7">
        <v>6</v>
      </c>
      <c r="F130" s="7">
        <v>46603.322</v>
      </c>
      <c r="G130" s="7">
        <v>402.03399999999999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77651.157000000007</v>
      </c>
      <c r="N130" s="7">
        <v>12202.741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4741.0460000000003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24321.476999999999</v>
      </c>
      <c r="AG130" s="7">
        <v>80.427000000000007</v>
      </c>
      <c r="AH130" s="7">
        <v>0</v>
      </c>
      <c r="AI130" s="7">
        <v>116273.414</v>
      </c>
      <c r="AJ130" s="7">
        <v>51.323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21"/>
    </row>
    <row r="131" spans="1:62" ht="15.75" x14ac:dyDescent="0.25">
      <c r="A131" s="21"/>
      <c r="B131" s="5" t="s">
        <v>249</v>
      </c>
      <c r="C131" s="5" t="s">
        <v>250</v>
      </c>
      <c r="D131" s="7">
        <v>6</v>
      </c>
      <c r="E131" s="7">
        <v>6</v>
      </c>
      <c r="F131" s="7">
        <v>67368.603000000003</v>
      </c>
      <c r="G131" s="7">
        <v>5402.8190000000004</v>
      </c>
      <c r="H131" s="7">
        <v>7694.5919999999996</v>
      </c>
      <c r="I131" s="7">
        <v>0</v>
      </c>
      <c r="J131" s="7">
        <v>1349.242</v>
      </c>
      <c r="K131" s="7">
        <v>4697.92</v>
      </c>
      <c r="L131" s="7">
        <v>0</v>
      </c>
      <c r="M131" s="7">
        <v>63694.114999999998</v>
      </c>
      <c r="N131" s="7">
        <v>21650.17</v>
      </c>
      <c r="O131" s="7">
        <v>0</v>
      </c>
      <c r="P131" s="7">
        <v>0</v>
      </c>
      <c r="Q131" s="7">
        <v>250.43100000000001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680.99699999999996</v>
      </c>
      <c r="X131" s="7">
        <v>2081.4699999999998</v>
      </c>
      <c r="Y131" s="7">
        <v>0</v>
      </c>
      <c r="Z131" s="7">
        <v>16462.003000000001</v>
      </c>
      <c r="AA131" s="7">
        <v>0</v>
      </c>
      <c r="AB131" s="7">
        <v>5813.55</v>
      </c>
      <c r="AC131" s="7">
        <v>0</v>
      </c>
      <c r="AD131" s="7">
        <v>877.05200000000002</v>
      </c>
      <c r="AE131" s="7">
        <v>0</v>
      </c>
      <c r="AF131" s="7">
        <v>53809.800999999999</v>
      </c>
      <c r="AG131" s="7">
        <v>0</v>
      </c>
      <c r="AH131" s="7">
        <v>0</v>
      </c>
      <c r="AI131" s="7">
        <v>132132.158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21"/>
    </row>
    <row r="132" spans="1:62" ht="15.75" x14ac:dyDescent="0.25">
      <c r="A132" s="21"/>
      <c r="B132" s="5" t="s">
        <v>251</v>
      </c>
      <c r="C132" s="5" t="s">
        <v>252</v>
      </c>
      <c r="D132" s="7">
        <v>6</v>
      </c>
      <c r="E132" s="7">
        <v>6</v>
      </c>
      <c r="F132" s="7">
        <v>12023.794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62842.673999999999</v>
      </c>
      <c r="N132" s="7">
        <v>1934.643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224.28700000000001</v>
      </c>
      <c r="AC132" s="7">
        <v>0</v>
      </c>
      <c r="AD132" s="7">
        <v>0</v>
      </c>
      <c r="AE132" s="7">
        <v>0</v>
      </c>
      <c r="AF132" s="7">
        <v>14813.203</v>
      </c>
      <c r="AG132" s="7">
        <v>0</v>
      </c>
      <c r="AH132" s="7">
        <v>0</v>
      </c>
      <c r="AI132" s="7">
        <v>86356.255000000005</v>
      </c>
      <c r="AJ132" s="7">
        <v>16086.349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75" x14ac:dyDescent="0.25">
      <c r="A133" s="21"/>
      <c r="B133" s="5" t="s">
        <v>253</v>
      </c>
      <c r="C133" s="5" t="s">
        <v>254</v>
      </c>
      <c r="D133" s="7">
        <v>6</v>
      </c>
      <c r="E133" s="7">
        <v>6</v>
      </c>
      <c r="F133" s="7">
        <v>189138.57399999999</v>
      </c>
      <c r="G133" s="7">
        <v>14535.932000000001</v>
      </c>
      <c r="H133" s="7">
        <v>8440.0580000000009</v>
      </c>
      <c r="I133" s="7">
        <v>6005.6769999999997</v>
      </c>
      <c r="J133" s="7">
        <v>1211.818</v>
      </c>
      <c r="K133" s="7">
        <v>5889.7139999999999</v>
      </c>
      <c r="L133" s="7">
        <v>0</v>
      </c>
      <c r="M133" s="7">
        <v>303143.74300000002</v>
      </c>
      <c r="N133" s="7">
        <v>62805.334999999999</v>
      </c>
      <c r="O133" s="7">
        <v>0</v>
      </c>
      <c r="P133" s="7">
        <v>0</v>
      </c>
      <c r="Q133" s="7">
        <v>206.071</v>
      </c>
      <c r="R133" s="7">
        <v>0</v>
      </c>
      <c r="S133" s="7">
        <v>111.913</v>
      </c>
      <c r="T133" s="7">
        <v>3229.5439999999999</v>
      </c>
      <c r="U133" s="7">
        <v>0</v>
      </c>
      <c r="V133" s="7">
        <v>0</v>
      </c>
      <c r="W133" s="7">
        <v>899.01199999999994</v>
      </c>
      <c r="X133" s="7">
        <v>2772.2820000000002</v>
      </c>
      <c r="Y133" s="7">
        <v>0</v>
      </c>
      <c r="Z133" s="7">
        <v>29335.149000000001</v>
      </c>
      <c r="AA133" s="7">
        <v>0</v>
      </c>
      <c r="AB133" s="7">
        <v>8387.8330000000005</v>
      </c>
      <c r="AC133" s="7">
        <v>0</v>
      </c>
      <c r="AD133" s="7">
        <v>1366.5409999999999</v>
      </c>
      <c r="AE133" s="7">
        <v>0</v>
      </c>
      <c r="AF133" s="7">
        <v>107139.22900000001</v>
      </c>
      <c r="AG133" s="7">
        <v>525.09699999999998</v>
      </c>
      <c r="AH133" s="7">
        <v>0</v>
      </c>
      <c r="AI133" s="7">
        <v>441804.17499999999</v>
      </c>
      <c r="AJ133" s="7">
        <v>1097.922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161.28299999999999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75" x14ac:dyDescent="0.25">
      <c r="A134" s="21"/>
      <c r="B134" s="5" t="s">
        <v>255</v>
      </c>
      <c r="C134" s="5" t="s">
        <v>256</v>
      </c>
      <c r="D134" s="7">
        <v>6</v>
      </c>
      <c r="E134" s="7">
        <v>6</v>
      </c>
      <c r="F134" s="7">
        <v>5977.4849999999997</v>
      </c>
      <c r="G134" s="7">
        <v>31.899000000000001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7720.1379999999999</v>
      </c>
      <c r="N134" s="7">
        <v>588.41300000000001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504.625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2655.5729999999999</v>
      </c>
      <c r="AG134" s="7">
        <v>280.23500000000001</v>
      </c>
      <c r="AH134" s="7">
        <v>0</v>
      </c>
      <c r="AI134" s="7">
        <v>12005.133</v>
      </c>
      <c r="AJ134" s="7">
        <v>925.14599999999996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75" x14ac:dyDescent="0.25">
      <c r="A135" s="21"/>
      <c r="B135" s="5" t="s">
        <v>257</v>
      </c>
      <c r="C135" s="5" t="s">
        <v>258</v>
      </c>
      <c r="D135" s="7">
        <v>6</v>
      </c>
      <c r="E135" s="7">
        <v>6</v>
      </c>
      <c r="F135" s="7">
        <v>43508.88</v>
      </c>
      <c r="G135" s="7">
        <v>1808.127</v>
      </c>
      <c r="H135" s="7">
        <v>0</v>
      </c>
      <c r="I135" s="7">
        <v>0</v>
      </c>
      <c r="J135" s="7">
        <v>1.1080000000000001</v>
      </c>
      <c r="K135" s="7">
        <v>0</v>
      </c>
      <c r="L135" s="7">
        <v>0</v>
      </c>
      <c r="M135" s="7">
        <v>85765.403999999995</v>
      </c>
      <c r="N135" s="7">
        <v>23463.557000000001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1716.675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24649.267</v>
      </c>
      <c r="AG135" s="7">
        <v>1592.7560000000001</v>
      </c>
      <c r="AH135" s="7">
        <v>0</v>
      </c>
      <c r="AI135" s="7">
        <v>135285.45499999999</v>
      </c>
      <c r="AJ135" s="7">
        <v>2107.261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75" x14ac:dyDescent="0.25">
      <c r="A136" s="21"/>
      <c r="B136" s="5" t="s">
        <v>259</v>
      </c>
      <c r="C136" s="5" t="s">
        <v>260</v>
      </c>
      <c r="D136" s="7">
        <v>6</v>
      </c>
      <c r="E136" s="7">
        <v>6</v>
      </c>
      <c r="F136" s="7">
        <v>22030.901999999998</v>
      </c>
      <c r="G136" s="7">
        <v>-3.0000000000000001E-3</v>
      </c>
      <c r="H136" s="7">
        <v>-4.0000000000000001E-3</v>
      </c>
      <c r="I136" s="7">
        <v>0</v>
      </c>
      <c r="J136" s="7">
        <v>0</v>
      </c>
      <c r="K136" s="7">
        <v>-3.0000000000000001E-3</v>
      </c>
      <c r="L136" s="7">
        <v>0</v>
      </c>
      <c r="M136" s="7">
        <v>46090.052000000003</v>
      </c>
      <c r="N136" s="7">
        <v>3694.5439999999999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-1E-3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-2E-3</v>
      </c>
      <c r="AA136" s="7">
        <v>0</v>
      </c>
      <c r="AB136" s="7">
        <v>-3.0000000000000001E-3</v>
      </c>
      <c r="AC136" s="7">
        <v>0</v>
      </c>
      <c r="AD136" s="7">
        <v>0</v>
      </c>
      <c r="AE136" s="7">
        <v>0</v>
      </c>
      <c r="AF136" s="7">
        <v>8447.5020000000004</v>
      </c>
      <c r="AG136" s="7">
        <v>0</v>
      </c>
      <c r="AH136" s="7">
        <v>0</v>
      </c>
      <c r="AI136" s="7">
        <v>83446.437000000005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75" x14ac:dyDescent="0.25">
      <c r="A137" s="21"/>
      <c r="B137" s="5" t="s">
        <v>261</v>
      </c>
      <c r="C137" s="5" t="s">
        <v>262</v>
      </c>
      <c r="D137" s="7">
        <v>6</v>
      </c>
      <c r="E137" s="7">
        <v>6</v>
      </c>
      <c r="F137" s="7">
        <v>956933.08900000004</v>
      </c>
      <c r="G137" s="7">
        <v>17932.189999999999</v>
      </c>
      <c r="H137" s="7">
        <v>20745.173999999999</v>
      </c>
      <c r="I137" s="7">
        <v>2022.9939999999999</v>
      </c>
      <c r="J137" s="7">
        <v>4041.5720000000001</v>
      </c>
      <c r="K137" s="7">
        <v>12389.019</v>
      </c>
      <c r="L137" s="7">
        <v>0</v>
      </c>
      <c r="M137" s="7">
        <v>960438.41700000002</v>
      </c>
      <c r="N137" s="7">
        <v>297472.53399999999</v>
      </c>
      <c r="O137" s="7">
        <v>0</v>
      </c>
      <c r="P137" s="7">
        <v>0</v>
      </c>
      <c r="Q137" s="7">
        <v>684.70100000000002</v>
      </c>
      <c r="R137" s="7">
        <v>0</v>
      </c>
      <c r="S137" s="7">
        <v>0.51800000000000002</v>
      </c>
      <c r="T137" s="7">
        <v>0</v>
      </c>
      <c r="U137" s="7">
        <v>0</v>
      </c>
      <c r="V137" s="7">
        <v>0</v>
      </c>
      <c r="W137" s="7">
        <v>1333.33</v>
      </c>
      <c r="X137" s="7">
        <v>4176.0280000000002</v>
      </c>
      <c r="Y137" s="7">
        <v>0</v>
      </c>
      <c r="Z137" s="7">
        <v>124561.818</v>
      </c>
      <c r="AA137" s="7">
        <v>0</v>
      </c>
      <c r="AB137" s="7">
        <v>13943.288</v>
      </c>
      <c r="AC137" s="7">
        <v>0</v>
      </c>
      <c r="AD137" s="7">
        <v>1725.152</v>
      </c>
      <c r="AE137" s="7">
        <v>0</v>
      </c>
      <c r="AF137" s="7">
        <v>512926.33399999997</v>
      </c>
      <c r="AG137" s="7">
        <v>8745.8610000000008</v>
      </c>
      <c r="AH137" s="7">
        <v>0</v>
      </c>
      <c r="AI137" s="7">
        <v>2012282.382</v>
      </c>
      <c r="AJ137" s="7">
        <v>23928.034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132.887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75" x14ac:dyDescent="0.25">
      <c r="A138" s="21"/>
      <c r="B138" s="5" t="s">
        <v>263</v>
      </c>
      <c r="C138" s="5" t="s">
        <v>264</v>
      </c>
      <c r="D138" s="7">
        <v>4</v>
      </c>
      <c r="E138" s="7">
        <v>4</v>
      </c>
      <c r="F138" s="7">
        <v>157.57599999999999</v>
      </c>
      <c r="G138" s="7">
        <v>29.213999999999999</v>
      </c>
      <c r="H138" s="7">
        <v>8.7200000000000006</v>
      </c>
      <c r="I138" s="7">
        <v>0</v>
      </c>
      <c r="J138" s="7">
        <v>2.1560000000000001</v>
      </c>
      <c r="K138" s="7">
        <v>5.1790000000000003</v>
      </c>
      <c r="L138" s="7">
        <v>0</v>
      </c>
      <c r="M138" s="7">
        <v>318.89</v>
      </c>
      <c r="N138" s="7">
        <v>52.286999999999999</v>
      </c>
      <c r="O138" s="7">
        <v>0</v>
      </c>
      <c r="P138" s="7">
        <v>0</v>
      </c>
      <c r="Q138" s="7">
        <v>5.0000000000000001E-3</v>
      </c>
      <c r="R138" s="7">
        <v>0</v>
      </c>
      <c r="S138" s="7">
        <v>0</v>
      </c>
      <c r="T138" s="7">
        <v>9.843</v>
      </c>
      <c r="U138" s="7">
        <v>0</v>
      </c>
      <c r="V138" s="7">
        <v>0</v>
      </c>
      <c r="W138" s="7">
        <v>0.9</v>
      </c>
      <c r="X138" s="7">
        <v>3.86</v>
      </c>
      <c r="Y138" s="7">
        <v>0</v>
      </c>
      <c r="Z138" s="7">
        <v>51.286999999999999</v>
      </c>
      <c r="AA138" s="7">
        <v>0</v>
      </c>
      <c r="AB138" s="7">
        <v>7.05</v>
      </c>
      <c r="AC138" s="7">
        <v>0</v>
      </c>
      <c r="AD138" s="7">
        <v>5.4169999999999998</v>
      </c>
      <c r="AE138" s="7">
        <v>0</v>
      </c>
      <c r="AF138" s="7">
        <v>124.13500000000001</v>
      </c>
      <c r="AG138" s="7">
        <v>61.121000000000002</v>
      </c>
      <c r="AH138" s="7">
        <v>0</v>
      </c>
      <c r="AI138" s="7">
        <v>538.64700000000005</v>
      </c>
      <c r="AJ138" s="7">
        <v>115.142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0.93799999999999994</v>
      </c>
      <c r="AQ138" s="7">
        <v>0</v>
      </c>
      <c r="AR138" s="7">
        <v>18.684999999999999</v>
      </c>
      <c r="AS138" s="7">
        <v>0</v>
      </c>
      <c r="AT138" s="7">
        <v>9.2999999999999999E-2</v>
      </c>
      <c r="AU138" s="7">
        <v>0</v>
      </c>
      <c r="AV138" s="7">
        <v>1.115</v>
      </c>
      <c r="AW138" s="7">
        <v>0</v>
      </c>
      <c r="AX138" s="7">
        <v>0</v>
      </c>
      <c r="AY138" s="7">
        <v>0</v>
      </c>
      <c r="AZ138" s="7">
        <v>0.40699999999999997</v>
      </c>
      <c r="BA138" s="7">
        <v>2.4729999999999999</v>
      </c>
      <c r="BB138" s="7">
        <v>0</v>
      </c>
      <c r="BC138" s="7">
        <v>0.372</v>
      </c>
      <c r="BD138" s="7">
        <v>0.14000000000000001</v>
      </c>
      <c r="BE138" s="7">
        <v>2.7610000000000001</v>
      </c>
      <c r="BF138" s="7">
        <v>5.8000000000000003E-2</v>
      </c>
      <c r="BG138" s="7">
        <v>1.208</v>
      </c>
      <c r="BH138" s="7">
        <v>0</v>
      </c>
      <c r="BI138" s="7">
        <v>5.0999999999999997E-2</v>
      </c>
      <c r="BJ138" s="21"/>
    </row>
    <row r="139" spans="1:62" ht="15.75" x14ac:dyDescent="0.25">
      <c r="A139" s="21"/>
      <c r="B139" s="5" t="s">
        <v>265</v>
      </c>
      <c r="C139" s="5" t="s">
        <v>266</v>
      </c>
      <c r="D139" s="7">
        <v>6</v>
      </c>
      <c r="E139" s="7">
        <v>6</v>
      </c>
      <c r="F139" s="7">
        <v>3003.7190000000001</v>
      </c>
      <c r="G139" s="7">
        <v>5.7869999999999999</v>
      </c>
      <c r="H139" s="7">
        <v>0</v>
      </c>
      <c r="I139" s="7">
        <v>1.0999999999999999E-2</v>
      </c>
      <c r="J139" s="7">
        <v>0.318</v>
      </c>
      <c r="K139" s="7">
        <v>0</v>
      </c>
      <c r="L139" s="7">
        <v>0</v>
      </c>
      <c r="M139" s="7">
        <v>5498.6310000000003</v>
      </c>
      <c r="N139" s="7">
        <v>1048.7059999999999</v>
      </c>
      <c r="O139" s="7">
        <v>0</v>
      </c>
      <c r="P139" s="7">
        <v>0</v>
      </c>
      <c r="Q139" s="7">
        <v>1E-3</v>
      </c>
      <c r="R139" s="7">
        <v>0</v>
      </c>
      <c r="S139" s="7">
        <v>0</v>
      </c>
      <c r="T139" s="7">
        <v>1.8280000000000001</v>
      </c>
      <c r="U139" s="7">
        <v>0</v>
      </c>
      <c r="V139" s="7">
        <v>0</v>
      </c>
      <c r="W139" s="7">
        <v>0</v>
      </c>
      <c r="X139" s="7">
        <v>0.51800000000000002</v>
      </c>
      <c r="Y139" s="7">
        <v>0</v>
      </c>
      <c r="Z139" s="7">
        <v>662.12900000000002</v>
      </c>
      <c r="AA139" s="7">
        <v>0</v>
      </c>
      <c r="AB139" s="7">
        <v>0</v>
      </c>
      <c r="AC139" s="7">
        <v>0</v>
      </c>
      <c r="AD139" s="7">
        <v>1.1040000000000001</v>
      </c>
      <c r="AE139" s="7">
        <v>0</v>
      </c>
      <c r="AF139" s="7">
        <v>2930.6619999999998</v>
      </c>
      <c r="AG139" s="7">
        <v>14.744999999999999</v>
      </c>
      <c r="AH139" s="7">
        <v>0</v>
      </c>
      <c r="AI139" s="7">
        <v>12358.79</v>
      </c>
      <c r="AJ139" s="7">
        <v>27.622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0.192</v>
      </c>
      <c r="AQ139" s="7">
        <v>0</v>
      </c>
      <c r="AR139" s="7">
        <v>4.5350000000000001</v>
      </c>
      <c r="AS139" s="7">
        <v>0</v>
      </c>
      <c r="AT139" s="7">
        <v>1.7999999999999999E-2</v>
      </c>
      <c r="AU139" s="7">
        <v>0</v>
      </c>
      <c r="AV139" s="7">
        <v>0.127</v>
      </c>
      <c r="AW139" s="7">
        <v>0</v>
      </c>
      <c r="AX139" s="7">
        <v>0</v>
      </c>
      <c r="AY139" s="7">
        <v>0</v>
      </c>
      <c r="AZ139" s="7">
        <v>5.8999999999999997E-2</v>
      </c>
      <c r="BA139" s="7">
        <v>0.6</v>
      </c>
      <c r="BB139" s="7">
        <v>0</v>
      </c>
      <c r="BC139" s="7">
        <v>7.5999999999999998E-2</v>
      </c>
      <c r="BD139" s="7">
        <v>0</v>
      </c>
      <c r="BE139" s="7">
        <v>0.67</v>
      </c>
      <c r="BF139" s="7">
        <v>1.2E-2</v>
      </c>
      <c r="BG139" s="7">
        <v>0.29299999999999998</v>
      </c>
      <c r="BH139" s="7">
        <v>0</v>
      </c>
      <c r="BI139" s="7">
        <v>0</v>
      </c>
      <c r="BJ139" s="21"/>
    </row>
    <row r="140" spans="1:62" ht="15.75" x14ac:dyDescent="0.25">
      <c r="A140" s="21"/>
      <c r="B140" s="5" t="s">
        <v>267</v>
      </c>
      <c r="C140" s="5" t="s">
        <v>268</v>
      </c>
      <c r="D140" s="7">
        <v>4</v>
      </c>
      <c r="E140" s="7">
        <v>4</v>
      </c>
      <c r="F140" s="7">
        <v>31.568000000000001</v>
      </c>
      <c r="G140" s="7">
        <v>6.2249999999999996</v>
      </c>
      <c r="H140" s="7">
        <v>0</v>
      </c>
      <c r="I140" s="7">
        <v>0</v>
      </c>
      <c r="J140" s="7">
        <v>0.33900000000000002</v>
      </c>
      <c r="K140" s="7">
        <v>0</v>
      </c>
      <c r="L140" s="7">
        <v>0</v>
      </c>
      <c r="M140" s="7">
        <v>78.974999999999994</v>
      </c>
      <c r="N140" s="7">
        <v>7.6920000000000002</v>
      </c>
      <c r="O140" s="7">
        <v>0</v>
      </c>
      <c r="P140" s="7">
        <v>0</v>
      </c>
      <c r="Q140" s="7">
        <v>1E-3</v>
      </c>
      <c r="R140" s="7">
        <v>0</v>
      </c>
      <c r="S140" s="7">
        <v>0</v>
      </c>
      <c r="T140" s="7">
        <v>1.9650000000000001</v>
      </c>
      <c r="U140" s="7">
        <v>0</v>
      </c>
      <c r="V140" s="7">
        <v>0</v>
      </c>
      <c r="W140" s="7">
        <v>0</v>
      </c>
      <c r="X140" s="7">
        <v>0.55500000000000005</v>
      </c>
      <c r="Y140" s="7">
        <v>0</v>
      </c>
      <c r="Z140" s="7">
        <v>12.295999999999999</v>
      </c>
      <c r="AA140" s="7">
        <v>0</v>
      </c>
      <c r="AB140" s="7">
        <v>0</v>
      </c>
      <c r="AC140" s="7">
        <v>0</v>
      </c>
      <c r="AD140" s="7">
        <v>1.1850000000000001</v>
      </c>
      <c r="AE140" s="7">
        <v>0</v>
      </c>
      <c r="AF140" s="7">
        <v>30.797000000000001</v>
      </c>
      <c r="AG140" s="7">
        <v>15.827</v>
      </c>
      <c r="AH140" s="7">
        <v>0</v>
      </c>
      <c r="AI140" s="7">
        <v>130.93899999999999</v>
      </c>
      <c r="AJ140" s="7">
        <v>29.619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0.20899999999999999</v>
      </c>
      <c r="AQ140" s="7">
        <v>0</v>
      </c>
      <c r="AR140" s="7">
        <v>4.8710000000000004</v>
      </c>
      <c r="AS140" s="7">
        <v>0</v>
      </c>
      <c r="AT140" s="7">
        <v>1.9E-2</v>
      </c>
      <c r="AU140" s="7">
        <v>0</v>
      </c>
      <c r="AV140" s="7">
        <v>0.13700000000000001</v>
      </c>
      <c r="AW140" s="7">
        <v>0</v>
      </c>
      <c r="AX140" s="7">
        <v>0</v>
      </c>
      <c r="AY140" s="7">
        <v>0</v>
      </c>
      <c r="AZ140" s="7">
        <v>6.3E-2</v>
      </c>
      <c r="BA140" s="7">
        <v>0.628</v>
      </c>
      <c r="BB140" s="7">
        <v>0</v>
      </c>
      <c r="BC140" s="7">
        <v>8.2000000000000003E-2</v>
      </c>
      <c r="BD140" s="7">
        <v>0</v>
      </c>
      <c r="BE140" s="7">
        <v>0.70099999999999996</v>
      </c>
      <c r="BF140" s="7">
        <v>1.2999999999999999E-2</v>
      </c>
      <c r="BG140" s="7">
        <v>0.307</v>
      </c>
      <c r="BH140" s="7">
        <v>0</v>
      </c>
      <c r="BI140" s="7">
        <v>0</v>
      </c>
      <c r="BJ140" s="21"/>
    </row>
    <row r="141" spans="1:62" ht="15.75" x14ac:dyDescent="0.25">
      <c r="A141" s="21"/>
      <c r="B141" s="5" t="s">
        <v>269</v>
      </c>
      <c r="C141" s="5" t="s">
        <v>270</v>
      </c>
      <c r="D141" s="7">
        <v>6</v>
      </c>
      <c r="E141" s="7">
        <v>6</v>
      </c>
      <c r="F141" s="7">
        <v>2075.2350000000001</v>
      </c>
      <c r="G141" s="7">
        <v>12.952</v>
      </c>
      <c r="H141" s="7">
        <v>18.446999999999999</v>
      </c>
      <c r="I141" s="7">
        <v>0</v>
      </c>
      <c r="J141" s="7">
        <v>3.2349999999999999</v>
      </c>
      <c r="K141" s="7">
        <v>11.263</v>
      </c>
      <c r="L141" s="7">
        <v>0</v>
      </c>
      <c r="M141" s="7">
        <v>3154.4859999999999</v>
      </c>
      <c r="N141" s="7">
        <v>687.76599999999996</v>
      </c>
      <c r="O141" s="7">
        <v>0</v>
      </c>
      <c r="P141" s="7">
        <v>0</v>
      </c>
      <c r="Q141" s="7">
        <v>0.6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1.633</v>
      </c>
      <c r="X141" s="7">
        <v>4.99</v>
      </c>
      <c r="Y141" s="7">
        <v>0</v>
      </c>
      <c r="Z141" s="7">
        <v>622.51</v>
      </c>
      <c r="AA141" s="7">
        <v>0</v>
      </c>
      <c r="AB141" s="7">
        <v>13.936999999999999</v>
      </c>
      <c r="AC141" s="7">
        <v>0</v>
      </c>
      <c r="AD141" s="7">
        <v>2.1030000000000002</v>
      </c>
      <c r="AE141" s="7">
        <v>0</v>
      </c>
      <c r="AF141" s="7">
        <v>2441.7399999999998</v>
      </c>
      <c r="AG141" s="7">
        <v>0</v>
      </c>
      <c r="AH141" s="7">
        <v>0</v>
      </c>
      <c r="AI141" s="7">
        <v>6632.9380000000001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21"/>
    </row>
    <row r="142" spans="1:62" ht="15.75" x14ac:dyDescent="0.25">
      <c r="A142" s="21"/>
      <c r="B142" s="5" t="s">
        <v>271</v>
      </c>
      <c r="C142" s="5" t="s">
        <v>272</v>
      </c>
      <c r="D142" s="7">
        <v>4</v>
      </c>
      <c r="E142" s="7">
        <v>4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21"/>
    </row>
    <row r="143" spans="1:62" ht="15.75" x14ac:dyDescent="0.25">
      <c r="A143" s="21"/>
      <c r="B143" s="5" t="s">
        <v>273</v>
      </c>
      <c r="C143" s="5" t="s">
        <v>274</v>
      </c>
      <c r="D143" s="7">
        <v>6</v>
      </c>
      <c r="E143" s="7">
        <v>6</v>
      </c>
      <c r="F143" s="7">
        <v>4761.3829999999998</v>
      </c>
      <c r="G143" s="7">
        <v>606.13800000000003</v>
      </c>
      <c r="H143" s="7">
        <v>0</v>
      </c>
      <c r="I143" s="7">
        <v>0</v>
      </c>
      <c r="J143" s="7">
        <v>33.262</v>
      </c>
      <c r="K143" s="7">
        <v>0</v>
      </c>
      <c r="L143" s="7">
        <v>0</v>
      </c>
      <c r="M143" s="7">
        <v>9556.8510000000006</v>
      </c>
      <c r="N143" s="7">
        <v>755.10400000000004</v>
      </c>
      <c r="O143" s="7">
        <v>0</v>
      </c>
      <c r="P143" s="7">
        <v>46.890999999999998</v>
      </c>
      <c r="Q143" s="7">
        <v>0.108</v>
      </c>
      <c r="R143" s="7">
        <v>89.956000000000003</v>
      </c>
      <c r="S143" s="7">
        <v>0</v>
      </c>
      <c r="T143" s="7">
        <v>191.50200000000001</v>
      </c>
      <c r="U143" s="7">
        <v>0</v>
      </c>
      <c r="V143" s="7">
        <v>0</v>
      </c>
      <c r="W143" s="7">
        <v>0</v>
      </c>
      <c r="X143" s="7">
        <v>54.207999999999998</v>
      </c>
      <c r="Y143" s="7">
        <v>0</v>
      </c>
      <c r="Z143" s="7">
        <v>1196.9559999999999</v>
      </c>
      <c r="AA143" s="7">
        <v>0</v>
      </c>
      <c r="AB143" s="7">
        <v>0</v>
      </c>
      <c r="AC143" s="7">
        <v>3791.473</v>
      </c>
      <c r="AD143" s="7">
        <v>115.605</v>
      </c>
      <c r="AE143" s="7">
        <v>0</v>
      </c>
      <c r="AF143" s="7">
        <v>6630.2820000000002</v>
      </c>
      <c r="AG143" s="7">
        <v>1543.671</v>
      </c>
      <c r="AH143" s="7">
        <v>0</v>
      </c>
      <c r="AI143" s="7">
        <v>12780.957</v>
      </c>
      <c r="AJ143" s="7">
        <v>2892.1350000000002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20.093</v>
      </c>
      <c r="AQ143" s="7">
        <v>0</v>
      </c>
      <c r="AR143" s="7">
        <v>474.97199999999998</v>
      </c>
      <c r="AS143" s="7">
        <v>0</v>
      </c>
      <c r="AT143" s="7">
        <v>1.8460000000000001</v>
      </c>
      <c r="AU143" s="7">
        <v>0</v>
      </c>
      <c r="AV143" s="7">
        <v>13.326000000000001</v>
      </c>
      <c r="AW143" s="7">
        <v>0</v>
      </c>
      <c r="AX143" s="7">
        <v>0</v>
      </c>
      <c r="AY143" s="7">
        <v>0</v>
      </c>
      <c r="AZ143" s="7">
        <v>6.1859999999999999</v>
      </c>
      <c r="BA143" s="7">
        <v>62.859000000000002</v>
      </c>
      <c r="BB143" s="7">
        <v>0</v>
      </c>
      <c r="BC143" s="7">
        <v>7.9779999999999998</v>
      </c>
      <c r="BD143" s="7">
        <v>0</v>
      </c>
      <c r="BE143" s="7">
        <v>70.180000000000007</v>
      </c>
      <c r="BF143" s="7">
        <v>1.2330000000000001</v>
      </c>
      <c r="BG143" s="7">
        <v>30.704999999999998</v>
      </c>
      <c r="BH143" s="7">
        <v>0</v>
      </c>
      <c r="BI143" s="7">
        <v>0</v>
      </c>
      <c r="BJ143" s="21"/>
    </row>
    <row r="144" spans="1:62" ht="15.75" x14ac:dyDescent="0.25">
      <c r="A144" s="21"/>
      <c r="B144" s="5" t="s">
        <v>275</v>
      </c>
      <c r="C144" s="5" t="s">
        <v>276</v>
      </c>
      <c r="D144" s="7">
        <v>6</v>
      </c>
      <c r="E144" s="7">
        <v>6</v>
      </c>
      <c r="F144" s="7">
        <v>28124.501</v>
      </c>
      <c r="G144" s="7">
        <v>2412.6750000000002</v>
      </c>
      <c r="H144" s="7">
        <v>3028.3490000000002</v>
      </c>
      <c r="I144" s="7">
        <v>-8.6229999999999993</v>
      </c>
      <c r="J144" s="7">
        <v>350.91300000000001</v>
      </c>
      <c r="K144" s="7">
        <v>2359.4650000000001</v>
      </c>
      <c r="L144" s="7">
        <v>0</v>
      </c>
      <c r="M144" s="7">
        <v>24788.464</v>
      </c>
      <c r="N144" s="7">
        <v>10206.264999999999</v>
      </c>
      <c r="O144" s="7">
        <v>0</v>
      </c>
      <c r="P144" s="7">
        <v>-0.80600000000000005</v>
      </c>
      <c r="Q144" s="7">
        <v>60.027999999999999</v>
      </c>
      <c r="R144" s="7">
        <v>-11.292999999999999</v>
      </c>
      <c r="S144" s="7">
        <v>-18.949000000000002</v>
      </c>
      <c r="T144" s="7">
        <v>-35.447000000000003</v>
      </c>
      <c r="U144" s="7">
        <v>0</v>
      </c>
      <c r="V144" s="7">
        <v>0</v>
      </c>
      <c r="W144" s="7">
        <v>267.37900000000002</v>
      </c>
      <c r="X144" s="7">
        <v>831.78</v>
      </c>
      <c r="Y144" s="7">
        <v>-563.09299999999996</v>
      </c>
      <c r="Z144" s="7">
        <v>7851.3890000000001</v>
      </c>
      <c r="AA144" s="7">
        <v>-1488.605</v>
      </c>
      <c r="AB144" s="7">
        <v>2351.5340000000001</v>
      </c>
      <c r="AC144" s="7">
        <v>-87.760999999999996</v>
      </c>
      <c r="AD144" s="7">
        <v>428.55399999999997</v>
      </c>
      <c r="AE144" s="7">
        <v>-75.156999999999996</v>
      </c>
      <c r="AF144" s="7">
        <v>23951.069</v>
      </c>
      <c r="AG144" s="7">
        <v>853.81899999999996</v>
      </c>
      <c r="AH144" s="7">
        <v>-200.44499999999999</v>
      </c>
      <c r="AI144" s="7">
        <v>63831.313000000002</v>
      </c>
      <c r="AJ144" s="7">
        <v>1435.24</v>
      </c>
      <c r="AK144" s="7">
        <v>-7454.6760000000004</v>
      </c>
      <c r="AL144" s="7">
        <v>-103652.118</v>
      </c>
      <c r="AM144" s="7">
        <v>-60335.552000000003</v>
      </c>
      <c r="AN144" s="7">
        <v>0</v>
      </c>
      <c r="AO144" s="7">
        <v>-35016.209000000003</v>
      </c>
      <c r="AP144" s="7">
        <v>8.6660000000000004</v>
      </c>
      <c r="AQ144" s="7">
        <v>0</v>
      </c>
      <c r="AR144" s="7">
        <v>184.46899999999999</v>
      </c>
      <c r="AS144" s="7">
        <v>0</v>
      </c>
      <c r="AT144" s="7">
        <v>3.0739999999999998</v>
      </c>
      <c r="AU144" s="7">
        <v>0</v>
      </c>
      <c r="AV144" s="7">
        <v>30.303999999999998</v>
      </c>
      <c r="AW144" s="7">
        <v>0</v>
      </c>
      <c r="AX144" s="7">
        <v>0</v>
      </c>
      <c r="AY144" s="7">
        <v>-347.41899999999998</v>
      </c>
      <c r="AZ144" s="7">
        <v>8.2669999999999995</v>
      </c>
      <c r="BA144" s="7">
        <v>-1.0920000000000001</v>
      </c>
      <c r="BB144" s="7">
        <v>-234.49700000000001</v>
      </c>
      <c r="BC144" s="7">
        <v>4.4189999999999996</v>
      </c>
      <c r="BD144" s="7">
        <v>8.2219999999999995</v>
      </c>
      <c r="BE144" s="7">
        <v>-1.8979999999999999</v>
      </c>
      <c r="BF144" s="7">
        <v>-1.2999999999999999E-2</v>
      </c>
      <c r="BG144" s="7">
        <v>0</v>
      </c>
      <c r="BH144" s="7">
        <v>-5458.79</v>
      </c>
      <c r="BI144" s="7">
        <v>0.96</v>
      </c>
      <c r="BJ144" s="21"/>
    </row>
    <row r="145" spans="1:62" ht="15.75" x14ac:dyDescent="0.25">
      <c r="A145" s="21"/>
      <c r="B145" s="5" t="s">
        <v>277</v>
      </c>
      <c r="C145" s="5" t="s">
        <v>278</v>
      </c>
      <c r="D145" s="7">
        <v>6</v>
      </c>
      <c r="E145" s="7">
        <v>6</v>
      </c>
      <c r="F145" s="7">
        <v>15065.19</v>
      </c>
      <c r="G145" s="7">
        <v>1543.4</v>
      </c>
      <c r="H145" s="7">
        <v>553.14099999999996</v>
      </c>
      <c r="I145" s="7">
        <v>78.14</v>
      </c>
      <c r="J145" s="7">
        <v>337.56200000000001</v>
      </c>
      <c r="K145" s="7">
        <v>479.14699999999999</v>
      </c>
      <c r="L145" s="7">
        <v>0</v>
      </c>
      <c r="M145" s="7">
        <v>21026.366999999998</v>
      </c>
      <c r="N145" s="7">
        <v>5061.6530000000002</v>
      </c>
      <c r="O145" s="7">
        <v>0</v>
      </c>
      <c r="P145" s="7">
        <v>0</v>
      </c>
      <c r="Q145" s="7">
        <v>23.366</v>
      </c>
      <c r="R145" s="7">
        <v>0</v>
      </c>
      <c r="S145" s="7">
        <v>0.41899999999999998</v>
      </c>
      <c r="T145" s="7">
        <v>614.18399999999997</v>
      </c>
      <c r="U145" s="7">
        <v>0</v>
      </c>
      <c r="V145" s="7">
        <v>0</v>
      </c>
      <c r="W145" s="7">
        <v>122.675</v>
      </c>
      <c r="X145" s="7">
        <v>344.95600000000002</v>
      </c>
      <c r="Y145" s="7">
        <v>0</v>
      </c>
      <c r="Z145" s="7">
        <v>3202.2150000000001</v>
      </c>
      <c r="AA145" s="7">
        <v>0</v>
      </c>
      <c r="AB145" s="7">
        <v>1300.7090000000001</v>
      </c>
      <c r="AC145" s="7">
        <v>0.56100000000000005</v>
      </c>
      <c r="AD145" s="7">
        <v>261.11200000000002</v>
      </c>
      <c r="AE145" s="7">
        <v>0</v>
      </c>
      <c r="AF145" s="7">
        <v>10622.058999999999</v>
      </c>
      <c r="AG145" s="7">
        <v>891.92100000000005</v>
      </c>
      <c r="AH145" s="7">
        <v>0</v>
      </c>
      <c r="AI145" s="7">
        <v>38049.129999999997</v>
      </c>
      <c r="AJ145" s="7">
        <v>1489.461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59.552999999999997</v>
      </c>
      <c r="AQ145" s="7">
        <v>0</v>
      </c>
      <c r="AR145" s="7">
        <v>321.23</v>
      </c>
      <c r="AS145" s="7">
        <v>0</v>
      </c>
      <c r="AT145" s="7">
        <v>2.169</v>
      </c>
      <c r="AU145" s="7">
        <v>0</v>
      </c>
      <c r="AV145" s="7">
        <v>19.247</v>
      </c>
      <c r="AW145" s="7">
        <v>0</v>
      </c>
      <c r="AX145" s="7">
        <v>0</v>
      </c>
      <c r="AY145" s="7">
        <v>0</v>
      </c>
      <c r="AZ145" s="7">
        <v>27.481999999999999</v>
      </c>
      <c r="BA145" s="7">
        <v>0.79</v>
      </c>
      <c r="BB145" s="7">
        <v>0</v>
      </c>
      <c r="BC145" s="7">
        <v>15.515000000000001</v>
      </c>
      <c r="BD145" s="7">
        <v>15.743</v>
      </c>
      <c r="BE145" s="7">
        <v>1.8009999999999999</v>
      </c>
      <c r="BF145" s="7">
        <v>3.319</v>
      </c>
      <c r="BG145" s="7">
        <v>0.49399999999999999</v>
      </c>
      <c r="BH145" s="7">
        <v>0</v>
      </c>
      <c r="BI145" s="7">
        <v>7.383</v>
      </c>
      <c r="BJ145" s="21"/>
    </row>
    <row r="146" spans="1:62" ht="15.75" x14ac:dyDescent="0.25">
      <c r="A146" s="21"/>
      <c r="B146" s="5" t="s">
        <v>279</v>
      </c>
      <c r="C146" s="5" t="s">
        <v>280</v>
      </c>
      <c r="D146" s="7">
        <v>6</v>
      </c>
      <c r="E146" s="7">
        <v>6</v>
      </c>
      <c r="F146" s="7">
        <v>-7601.2870000000003</v>
      </c>
      <c r="G146" s="7">
        <v>-788.37099999999998</v>
      </c>
      <c r="H146" s="7">
        <v>-655.46500000000003</v>
      </c>
      <c r="I146" s="7">
        <v>-2.4180000000000001</v>
      </c>
      <c r="J146" s="7">
        <v>-160.017</v>
      </c>
      <c r="K146" s="7">
        <v>-427.15300000000002</v>
      </c>
      <c r="L146" s="7">
        <v>0</v>
      </c>
      <c r="M146" s="7">
        <v>-8516.7710000000006</v>
      </c>
      <c r="N146" s="7">
        <v>-2007.45</v>
      </c>
      <c r="O146" s="7">
        <v>0</v>
      </c>
      <c r="P146" s="7">
        <v>0</v>
      </c>
      <c r="Q146" s="7">
        <v>-31.91</v>
      </c>
      <c r="R146" s="7">
        <v>0</v>
      </c>
      <c r="S146" s="7">
        <v>0</v>
      </c>
      <c r="T146" s="7">
        <v>1.6679999999999999</v>
      </c>
      <c r="U146" s="7">
        <v>0</v>
      </c>
      <c r="V146" s="7">
        <v>0</v>
      </c>
      <c r="W146" s="7">
        <v>-50.081000000000003</v>
      </c>
      <c r="X146" s="7">
        <v>-217.76400000000001</v>
      </c>
      <c r="Y146" s="7">
        <v>0</v>
      </c>
      <c r="Z146" s="7">
        <v>-2585.799</v>
      </c>
      <c r="AA146" s="7">
        <v>0</v>
      </c>
      <c r="AB146" s="7">
        <v>-507.22</v>
      </c>
      <c r="AC146" s="7">
        <v>-0.23799999999999999</v>
      </c>
      <c r="AD146" s="7">
        <v>-132.351</v>
      </c>
      <c r="AE146" s="7">
        <v>-3.024</v>
      </c>
      <c r="AF146" s="7">
        <v>-8165.9040000000005</v>
      </c>
      <c r="AG146" s="7">
        <v>-748.10500000000002</v>
      </c>
      <c r="AH146" s="7">
        <v>-10.08</v>
      </c>
      <c r="AI146" s="7">
        <v>-20587.683000000001</v>
      </c>
      <c r="AJ146" s="7">
        <v>-1339.394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-10.194000000000001</v>
      </c>
      <c r="AQ146" s="7">
        <v>0</v>
      </c>
      <c r="AR146" s="7">
        <v>-231.41900000000001</v>
      </c>
      <c r="AS146" s="7">
        <v>0</v>
      </c>
      <c r="AT146" s="7">
        <v>-0.38200000000000001</v>
      </c>
      <c r="AU146" s="7">
        <v>0</v>
      </c>
      <c r="AV146" s="7">
        <v>15.221</v>
      </c>
      <c r="AW146" s="7">
        <v>0</v>
      </c>
      <c r="AX146" s="7">
        <v>0</v>
      </c>
      <c r="AY146" s="7">
        <v>0</v>
      </c>
      <c r="AZ146" s="7">
        <v>2.8</v>
      </c>
      <c r="BA146" s="7">
        <v>0</v>
      </c>
      <c r="BB146" s="7">
        <v>0</v>
      </c>
      <c r="BC146" s="7">
        <v>-1.8819999999999999</v>
      </c>
      <c r="BD146" s="7">
        <v>5.3810000000000002</v>
      </c>
      <c r="BE146" s="7">
        <v>0</v>
      </c>
      <c r="BF146" s="7">
        <v>-0.434</v>
      </c>
      <c r="BG146" s="7">
        <v>0</v>
      </c>
      <c r="BH146" s="7">
        <v>0</v>
      </c>
      <c r="BI146" s="7">
        <v>1.929</v>
      </c>
      <c r="BJ146" s="21"/>
    </row>
    <row r="147" spans="1:62" ht="15.75" x14ac:dyDescent="0.25">
      <c r="A147" s="21"/>
      <c r="B147" s="5" t="s">
        <v>281</v>
      </c>
      <c r="C147" s="5" t="s">
        <v>282</v>
      </c>
      <c r="D147" s="7">
        <v>6</v>
      </c>
      <c r="E147" s="7">
        <v>6</v>
      </c>
      <c r="F147" s="7">
        <v>-2254.4189999999999</v>
      </c>
      <c r="G147" s="7">
        <v>-1008.032</v>
      </c>
      <c r="H147" s="7">
        <v>-307.91899999999998</v>
      </c>
      <c r="I147" s="7">
        <v>-115.03100000000001</v>
      </c>
      <c r="J147" s="7">
        <v>-117.327</v>
      </c>
      <c r="K147" s="7">
        <v>-755.44299999999998</v>
      </c>
      <c r="L147" s="7">
        <v>0</v>
      </c>
      <c r="M147" s="7">
        <v>-2780.8519999999999</v>
      </c>
      <c r="N147" s="7">
        <v>-1668.1420000000001</v>
      </c>
      <c r="O147" s="7">
        <v>0</v>
      </c>
      <c r="P147" s="7">
        <v>0</v>
      </c>
      <c r="Q147" s="7">
        <v>-2E-3</v>
      </c>
      <c r="R147" s="7">
        <v>-833.74099999999999</v>
      </c>
      <c r="S147" s="7">
        <v>-1208.1980000000001</v>
      </c>
      <c r="T147" s="7">
        <v>-374.27300000000002</v>
      </c>
      <c r="U147" s="7">
        <v>0</v>
      </c>
      <c r="V147" s="7">
        <v>0</v>
      </c>
      <c r="W147" s="7">
        <v>-81.028999999999996</v>
      </c>
      <c r="X147" s="7">
        <v>-74.37</v>
      </c>
      <c r="Y147" s="7">
        <v>0</v>
      </c>
      <c r="Z147" s="7">
        <v>-217.66499999999999</v>
      </c>
      <c r="AA147" s="7">
        <v>-37877.086000000003</v>
      </c>
      <c r="AB147" s="7">
        <v>-1503.3510000000001</v>
      </c>
      <c r="AC147" s="7">
        <v>0</v>
      </c>
      <c r="AD147" s="7">
        <v>-166.98500000000001</v>
      </c>
      <c r="AE147" s="7">
        <v>-5858.56</v>
      </c>
      <c r="AF147" s="7">
        <v>-628.495</v>
      </c>
      <c r="AG147" s="7">
        <v>-13.673999999999999</v>
      </c>
      <c r="AH147" s="7">
        <v>-21234.295999999998</v>
      </c>
      <c r="AI147" s="7">
        <v>-7276.125</v>
      </c>
      <c r="AJ147" s="7">
        <v>-0.01</v>
      </c>
      <c r="AK147" s="7">
        <v>-184723.45199999999</v>
      </c>
      <c r="AL147" s="7">
        <v>-1086.2650000000001</v>
      </c>
      <c r="AM147" s="7">
        <v>-632.31100000000004</v>
      </c>
      <c r="AN147" s="7">
        <v>0</v>
      </c>
      <c r="AO147" s="7">
        <v>-366.96699999999998</v>
      </c>
      <c r="AP147" s="7">
        <v>-54.515000000000001</v>
      </c>
      <c r="AQ147" s="7">
        <v>0</v>
      </c>
      <c r="AR147" s="7">
        <v>-1.917</v>
      </c>
      <c r="AS147" s="7">
        <v>0</v>
      </c>
      <c r="AT147" s="7">
        <v>-1.1399999999999999</v>
      </c>
      <c r="AU147" s="7">
        <v>0</v>
      </c>
      <c r="AV147" s="7">
        <v>-0.14199999999999999</v>
      </c>
      <c r="AW147" s="7">
        <v>0</v>
      </c>
      <c r="AX147" s="7">
        <v>0</v>
      </c>
      <c r="AY147" s="7">
        <v>0</v>
      </c>
      <c r="AZ147" s="7">
        <v>-50.563000000000002</v>
      </c>
      <c r="BA147" s="7">
        <v>0</v>
      </c>
      <c r="BB147" s="7">
        <v>0</v>
      </c>
      <c r="BC147" s="7">
        <v>-17.263000000000002</v>
      </c>
      <c r="BD147" s="7">
        <v>-35.11</v>
      </c>
      <c r="BE147" s="7">
        <v>0</v>
      </c>
      <c r="BF147" s="7">
        <v>-3.2789999999999999</v>
      </c>
      <c r="BG147" s="7">
        <v>0</v>
      </c>
      <c r="BH147" s="7">
        <v>-144812.285</v>
      </c>
      <c r="BI147" s="7">
        <v>-14.946</v>
      </c>
      <c r="BJ147" s="21"/>
    </row>
    <row r="148" spans="1:62" ht="15.75" x14ac:dyDescent="0.25">
      <c r="A148" s="21"/>
      <c r="B148" s="5" t="s">
        <v>283</v>
      </c>
      <c r="C148" s="5" t="s">
        <v>284</v>
      </c>
      <c r="D148" s="7">
        <v>4</v>
      </c>
      <c r="E148" s="7">
        <v>4</v>
      </c>
      <c r="F148" s="7">
        <v>19530.859</v>
      </c>
      <c r="G148" s="7">
        <v>3724.6750000000002</v>
      </c>
      <c r="H148" s="7">
        <v>77.61</v>
      </c>
      <c r="I148" s="7">
        <v>0</v>
      </c>
      <c r="J148" s="7">
        <v>164.68100000000001</v>
      </c>
      <c r="K148" s="7">
        <v>54.209000000000003</v>
      </c>
      <c r="L148" s="7">
        <v>0</v>
      </c>
      <c r="M148" s="7">
        <v>46214.105000000003</v>
      </c>
      <c r="N148" s="7">
        <v>5143.835</v>
      </c>
      <c r="O148" s="7">
        <v>0</v>
      </c>
      <c r="P148" s="7">
        <v>21.716000000000001</v>
      </c>
      <c r="Q148" s="7">
        <v>0</v>
      </c>
      <c r="R148" s="7">
        <v>15.786</v>
      </c>
      <c r="S148" s="7">
        <v>0</v>
      </c>
      <c r="T148" s="7">
        <v>1141.8389999999999</v>
      </c>
      <c r="U148" s="7">
        <v>0</v>
      </c>
      <c r="V148" s="7">
        <v>0</v>
      </c>
      <c r="W148" s="7">
        <v>5.5350000000000001</v>
      </c>
      <c r="X148" s="7">
        <v>302.89299999999997</v>
      </c>
      <c r="Y148" s="7">
        <v>1884.5630000000001</v>
      </c>
      <c r="Z148" s="7">
        <v>7412.6940000000004</v>
      </c>
      <c r="AA148" s="7">
        <v>-2.2440000000000002</v>
      </c>
      <c r="AB148" s="7">
        <v>67.373999999999995</v>
      </c>
      <c r="AC148" s="7">
        <v>592.28599999999994</v>
      </c>
      <c r="AD148" s="7">
        <v>666.803</v>
      </c>
      <c r="AE148" s="7">
        <v>57.41</v>
      </c>
      <c r="AF148" s="7">
        <v>18998.812999999998</v>
      </c>
      <c r="AG148" s="7">
        <v>8854.2160000000003</v>
      </c>
      <c r="AH148" s="7">
        <v>326.28399999999999</v>
      </c>
      <c r="AI148" s="7">
        <v>71615.716</v>
      </c>
      <c r="AJ148" s="7">
        <v>15857.942999999999</v>
      </c>
      <c r="AK148" s="7">
        <v>-11.597</v>
      </c>
      <c r="AL148" s="7">
        <v>194378.829</v>
      </c>
      <c r="AM148" s="7">
        <v>113147.268</v>
      </c>
      <c r="AN148" s="7">
        <v>0</v>
      </c>
      <c r="AO148" s="7">
        <v>65665.900999999998</v>
      </c>
      <c r="AP148" s="7">
        <v>174.46700000000001</v>
      </c>
      <c r="AQ148" s="7">
        <v>0</v>
      </c>
      <c r="AR148" s="7">
        <v>2738.3739999999998</v>
      </c>
      <c r="AS148" s="7">
        <v>0</v>
      </c>
      <c r="AT148" s="7">
        <v>12.17</v>
      </c>
      <c r="AU148" s="7">
        <v>0</v>
      </c>
      <c r="AV148" s="7">
        <v>87.233999999999995</v>
      </c>
      <c r="AW148" s="7">
        <v>0</v>
      </c>
      <c r="AX148" s="7">
        <v>0</v>
      </c>
      <c r="AY148" s="7">
        <v>1162.74</v>
      </c>
      <c r="AZ148" s="7">
        <v>35.792000000000002</v>
      </c>
      <c r="BA148" s="7">
        <v>0</v>
      </c>
      <c r="BB148" s="7">
        <v>744.00099999999998</v>
      </c>
      <c r="BC148" s="7">
        <v>47.972999999999999</v>
      </c>
      <c r="BD148" s="7">
        <v>0.76200000000000001</v>
      </c>
      <c r="BE148" s="7">
        <v>0</v>
      </c>
      <c r="BF148" s="7">
        <v>9.2650000000000006</v>
      </c>
      <c r="BG148" s="7">
        <v>0</v>
      </c>
      <c r="BH148" s="7">
        <v>191.68199999999999</v>
      </c>
      <c r="BI148" s="7">
        <v>0.28599999999999998</v>
      </c>
      <c r="BJ148" s="21"/>
    </row>
    <row r="149" spans="1:62" ht="15.75" x14ac:dyDescent="0.25">
      <c r="A149" s="21"/>
      <c r="B149" s="5" t="s">
        <v>285</v>
      </c>
      <c r="C149" s="5" t="s">
        <v>286</v>
      </c>
      <c r="D149" s="7">
        <v>6</v>
      </c>
      <c r="E149" s="7">
        <v>6</v>
      </c>
      <c r="F149" s="7">
        <v>4159.8819999999996</v>
      </c>
      <c r="G149" s="7">
        <v>760.62199999999996</v>
      </c>
      <c r="H149" s="7">
        <v>0</v>
      </c>
      <c r="I149" s="7">
        <v>0</v>
      </c>
      <c r="J149" s="7">
        <v>31.52</v>
      </c>
      <c r="K149" s="7">
        <v>0</v>
      </c>
      <c r="L149" s="7">
        <v>0</v>
      </c>
      <c r="M149" s="7">
        <v>9060.0159999999996</v>
      </c>
      <c r="N149" s="7">
        <v>672.30600000000004</v>
      </c>
      <c r="O149" s="7">
        <v>0</v>
      </c>
      <c r="P149" s="7">
        <v>89.366</v>
      </c>
      <c r="Q149" s="7">
        <v>0</v>
      </c>
      <c r="R149" s="7">
        <v>54.311</v>
      </c>
      <c r="S149" s="7">
        <v>0</v>
      </c>
      <c r="T149" s="7">
        <v>233.22499999999999</v>
      </c>
      <c r="U149" s="7">
        <v>0</v>
      </c>
      <c r="V149" s="7">
        <v>0</v>
      </c>
      <c r="W149" s="7">
        <v>0</v>
      </c>
      <c r="X149" s="7">
        <v>60.036000000000001</v>
      </c>
      <c r="Y149" s="7">
        <v>0</v>
      </c>
      <c r="Z149" s="7">
        <v>1518.502</v>
      </c>
      <c r="AA149" s="7">
        <v>1190.5920000000001</v>
      </c>
      <c r="AB149" s="7">
        <v>0</v>
      </c>
      <c r="AC149" s="7">
        <v>2648.3989999999999</v>
      </c>
      <c r="AD149" s="7">
        <v>136.52500000000001</v>
      </c>
      <c r="AE149" s="7">
        <v>121.336</v>
      </c>
      <c r="AF149" s="7">
        <v>5036.8959999999997</v>
      </c>
      <c r="AG149" s="7">
        <v>1825.7429999999999</v>
      </c>
      <c r="AH149" s="7">
        <v>723.673</v>
      </c>
      <c r="AI149" s="7">
        <v>14654.977999999999</v>
      </c>
      <c r="AJ149" s="7">
        <v>3270.0329999999999</v>
      </c>
      <c r="AK149" s="7">
        <v>6151.5619999999999</v>
      </c>
      <c r="AL149" s="7">
        <v>118866.69100000001</v>
      </c>
      <c r="AM149" s="7">
        <v>69191.903000000006</v>
      </c>
      <c r="AN149" s="7">
        <v>0</v>
      </c>
      <c r="AO149" s="7">
        <v>40156.061999999998</v>
      </c>
      <c r="AP149" s="7">
        <v>35.707000000000001</v>
      </c>
      <c r="AQ149" s="7">
        <v>0</v>
      </c>
      <c r="AR149" s="7">
        <v>564.89400000000001</v>
      </c>
      <c r="AS149" s="7">
        <v>0</v>
      </c>
      <c r="AT149" s="7">
        <v>2.464</v>
      </c>
      <c r="AU149" s="7">
        <v>0</v>
      </c>
      <c r="AV149" s="7">
        <v>17.045999999999999</v>
      </c>
      <c r="AW149" s="7">
        <v>0</v>
      </c>
      <c r="AX149" s="7">
        <v>0</v>
      </c>
      <c r="AY149" s="7">
        <v>0</v>
      </c>
      <c r="AZ149" s="7">
        <v>7.1609999999999996</v>
      </c>
      <c r="BA149" s="7">
        <v>0</v>
      </c>
      <c r="BB149" s="7">
        <v>0</v>
      </c>
      <c r="BC149" s="7">
        <v>9.83</v>
      </c>
      <c r="BD149" s="7">
        <v>0</v>
      </c>
      <c r="BE149" s="7">
        <v>0</v>
      </c>
      <c r="BF149" s="7">
        <v>1.8959999999999999</v>
      </c>
      <c r="BG149" s="7">
        <v>0</v>
      </c>
      <c r="BH149" s="7">
        <v>4128.3670000000002</v>
      </c>
      <c r="BI149" s="7">
        <v>0</v>
      </c>
      <c r="BJ149" s="21"/>
    </row>
    <row r="150" spans="1:62" ht="15.75" x14ac:dyDescent="0.25">
      <c r="A150" s="21"/>
      <c r="B150" s="5" t="s">
        <v>287</v>
      </c>
      <c r="C150" s="5" t="s">
        <v>288</v>
      </c>
      <c r="D150" s="7">
        <v>6</v>
      </c>
      <c r="E150" s="7">
        <v>6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21"/>
    </row>
    <row r="151" spans="1:62" ht="15.75" x14ac:dyDescent="0.25">
      <c r="A151" s="21"/>
      <c r="B151" s="5" t="s">
        <v>289</v>
      </c>
      <c r="C151" s="5" t="s">
        <v>290</v>
      </c>
      <c r="D151" s="7">
        <v>6</v>
      </c>
      <c r="E151" s="7">
        <v>6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21"/>
    </row>
    <row r="152" spans="1:62" ht="15.75" x14ac:dyDescent="0.25">
      <c r="A152" s="21"/>
      <c r="B152" s="5" t="s">
        <v>291</v>
      </c>
      <c r="C152" s="5" t="s">
        <v>292</v>
      </c>
      <c r="D152" s="7">
        <v>6</v>
      </c>
      <c r="E152" s="7">
        <v>6</v>
      </c>
      <c r="F152" s="7">
        <v>1101.809</v>
      </c>
      <c r="G152" s="7">
        <v>769.07</v>
      </c>
      <c r="H152" s="7">
        <v>53.79</v>
      </c>
      <c r="I152" s="7">
        <v>118.60299999999999</v>
      </c>
      <c r="J152" s="7">
        <v>68.058999999999997</v>
      </c>
      <c r="K152" s="7">
        <v>571.24300000000005</v>
      </c>
      <c r="L152" s="7">
        <v>0</v>
      </c>
      <c r="M152" s="7">
        <v>1783.9369999999999</v>
      </c>
      <c r="N152" s="7">
        <v>766.49599999999998</v>
      </c>
      <c r="O152" s="7">
        <v>0</v>
      </c>
      <c r="P152" s="7">
        <v>0</v>
      </c>
      <c r="Q152" s="7">
        <v>2E-3</v>
      </c>
      <c r="R152" s="7">
        <v>826.61</v>
      </c>
      <c r="S152" s="7">
        <v>1197.864</v>
      </c>
      <c r="T152" s="7">
        <v>308.21100000000001</v>
      </c>
      <c r="U152" s="7">
        <v>0</v>
      </c>
      <c r="V152" s="7">
        <v>0</v>
      </c>
      <c r="W152" s="7">
        <v>55.322000000000003</v>
      </c>
      <c r="X152" s="7">
        <v>1.0169999999999999</v>
      </c>
      <c r="Y152" s="7">
        <v>0</v>
      </c>
      <c r="Z152" s="7">
        <v>5.6000000000000001E-2</v>
      </c>
      <c r="AA152" s="7">
        <v>37553.112999999998</v>
      </c>
      <c r="AB152" s="7">
        <v>1275.25</v>
      </c>
      <c r="AC152" s="7">
        <v>0</v>
      </c>
      <c r="AD152" s="7">
        <v>135.08699999999999</v>
      </c>
      <c r="AE152" s="7">
        <v>5759.0370000000003</v>
      </c>
      <c r="AF152" s="7">
        <v>2.484</v>
      </c>
      <c r="AG152" s="7">
        <v>14.098000000000001</v>
      </c>
      <c r="AH152" s="7">
        <v>20852.598000000002</v>
      </c>
      <c r="AI152" s="7">
        <v>3535.7750000000001</v>
      </c>
      <c r="AJ152" s="7">
        <v>1.0999999999999999E-2</v>
      </c>
      <c r="AK152" s="7">
        <v>183143.46400000001</v>
      </c>
      <c r="AL152" s="7">
        <v>0</v>
      </c>
      <c r="AM152" s="7">
        <v>0</v>
      </c>
      <c r="AN152" s="7">
        <v>0</v>
      </c>
      <c r="AO152" s="7">
        <v>0</v>
      </c>
      <c r="AP152" s="7">
        <v>49.756999999999998</v>
      </c>
      <c r="AQ152" s="7">
        <v>0</v>
      </c>
      <c r="AR152" s="7">
        <v>1.9770000000000001</v>
      </c>
      <c r="AS152" s="7">
        <v>0</v>
      </c>
      <c r="AT152" s="7">
        <v>1.075</v>
      </c>
      <c r="AU152" s="7">
        <v>0</v>
      </c>
      <c r="AV152" s="7">
        <v>0.14599999999999999</v>
      </c>
      <c r="AW152" s="7">
        <v>0</v>
      </c>
      <c r="AX152" s="7">
        <v>0</v>
      </c>
      <c r="AY152" s="7">
        <v>0</v>
      </c>
      <c r="AZ152" s="7">
        <v>47.732999999999997</v>
      </c>
      <c r="BA152" s="7">
        <v>0</v>
      </c>
      <c r="BB152" s="7">
        <v>0</v>
      </c>
      <c r="BC152" s="7">
        <v>16.166</v>
      </c>
      <c r="BD152" s="7">
        <v>32.125999999999998</v>
      </c>
      <c r="BE152" s="7">
        <v>0</v>
      </c>
      <c r="BF152" s="7">
        <v>2.9089999999999998</v>
      </c>
      <c r="BG152" s="7">
        <v>0</v>
      </c>
      <c r="BH152" s="7">
        <v>143573.66800000001</v>
      </c>
      <c r="BI152" s="7">
        <v>13.787000000000001</v>
      </c>
      <c r="BJ152" s="21"/>
    </row>
    <row r="153" spans="1:62" ht="15.75" x14ac:dyDescent="0.25">
      <c r="A153" s="21"/>
      <c r="B153" s="5" t="s">
        <v>293</v>
      </c>
      <c r="C153" s="5" t="s">
        <v>294</v>
      </c>
      <c r="D153" s="7">
        <v>4</v>
      </c>
      <c r="E153" s="7">
        <v>4</v>
      </c>
      <c r="F153" s="7">
        <v>3564.2550000000001</v>
      </c>
      <c r="G153" s="7">
        <v>699.64599999999996</v>
      </c>
      <c r="H153" s="7">
        <v>0</v>
      </c>
      <c r="I153" s="7">
        <v>0</v>
      </c>
      <c r="J153" s="7">
        <v>38.39</v>
      </c>
      <c r="K153" s="7">
        <v>0</v>
      </c>
      <c r="L153" s="7">
        <v>0</v>
      </c>
      <c r="M153" s="7">
        <v>8894.7950000000001</v>
      </c>
      <c r="N153" s="7">
        <v>871.59</v>
      </c>
      <c r="O153" s="7">
        <v>0</v>
      </c>
      <c r="P153" s="7">
        <v>0</v>
      </c>
      <c r="Q153" s="7">
        <v>0.126</v>
      </c>
      <c r="R153" s="7">
        <v>0</v>
      </c>
      <c r="S153" s="7">
        <v>0</v>
      </c>
      <c r="T153" s="7">
        <v>221.042</v>
      </c>
      <c r="U153" s="7">
        <v>0</v>
      </c>
      <c r="V153" s="7">
        <v>0</v>
      </c>
      <c r="W153" s="7">
        <v>0</v>
      </c>
      <c r="X153" s="7">
        <v>62.57</v>
      </c>
      <c r="Y153" s="7">
        <v>0</v>
      </c>
      <c r="Z153" s="7">
        <v>1381.607</v>
      </c>
      <c r="AA153" s="7">
        <v>0</v>
      </c>
      <c r="AB153" s="7">
        <v>0</v>
      </c>
      <c r="AC153" s="7">
        <v>0</v>
      </c>
      <c r="AD153" s="7">
        <v>133.43899999999999</v>
      </c>
      <c r="AE153" s="7">
        <v>0</v>
      </c>
      <c r="AF153" s="7">
        <v>3458.8780000000002</v>
      </c>
      <c r="AG153" s="7">
        <v>1781.807</v>
      </c>
      <c r="AH153" s="7">
        <v>0</v>
      </c>
      <c r="AI153" s="7">
        <v>14752.641</v>
      </c>
      <c r="AJ153" s="7">
        <v>3338.2979999999998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23.192</v>
      </c>
      <c r="AQ153" s="7">
        <v>0</v>
      </c>
      <c r="AR153" s="7">
        <v>548.245</v>
      </c>
      <c r="AS153" s="7">
        <v>0</v>
      </c>
      <c r="AT153" s="7">
        <v>2.13</v>
      </c>
      <c r="AU153" s="7">
        <v>0</v>
      </c>
      <c r="AV153" s="7">
        <v>15.378</v>
      </c>
      <c r="AW153" s="7">
        <v>0</v>
      </c>
      <c r="AX153" s="7">
        <v>0</v>
      </c>
      <c r="AY153" s="7">
        <v>0</v>
      </c>
      <c r="AZ153" s="7">
        <v>7.141</v>
      </c>
      <c r="BA153" s="7">
        <v>72.554000000000002</v>
      </c>
      <c r="BB153" s="7">
        <v>0</v>
      </c>
      <c r="BC153" s="7">
        <v>9.2080000000000002</v>
      </c>
      <c r="BD153" s="7">
        <v>0</v>
      </c>
      <c r="BE153" s="7">
        <v>81.007000000000005</v>
      </c>
      <c r="BF153" s="7">
        <v>1.423</v>
      </c>
      <c r="BG153" s="7">
        <v>35.444000000000003</v>
      </c>
      <c r="BH153" s="7">
        <v>0</v>
      </c>
      <c r="BI153" s="7">
        <v>0</v>
      </c>
      <c r="BJ153" s="21"/>
    </row>
    <row r="154" spans="1:62" ht="15.75" x14ac:dyDescent="0.25">
      <c r="A154" s="21"/>
      <c r="B154" s="5" t="s">
        <v>295</v>
      </c>
      <c r="C154" s="5" t="s">
        <v>296</v>
      </c>
      <c r="D154" s="7">
        <v>4</v>
      </c>
      <c r="E154" s="7">
        <v>4</v>
      </c>
      <c r="F154" s="7">
        <v>47.259</v>
      </c>
      <c r="G154" s="7">
        <v>11.079000000000001</v>
      </c>
      <c r="H154" s="7">
        <v>0</v>
      </c>
      <c r="I154" s="7">
        <v>0</v>
      </c>
      <c r="J154" s="7">
        <v>0.45900000000000002</v>
      </c>
      <c r="K154" s="7">
        <v>0</v>
      </c>
      <c r="L154" s="7">
        <v>0</v>
      </c>
      <c r="M154" s="7">
        <v>130.512</v>
      </c>
      <c r="N154" s="7">
        <v>9.7929999999999993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3.3969999999999998</v>
      </c>
      <c r="U154" s="7">
        <v>0</v>
      </c>
      <c r="V154" s="7">
        <v>0</v>
      </c>
      <c r="W154" s="7">
        <v>0</v>
      </c>
      <c r="X154" s="7">
        <v>0.874</v>
      </c>
      <c r="Y154" s="7">
        <v>0</v>
      </c>
      <c r="Z154" s="7">
        <v>22.117999999999999</v>
      </c>
      <c r="AA154" s="7">
        <v>0</v>
      </c>
      <c r="AB154" s="7">
        <v>0</v>
      </c>
      <c r="AC154" s="7">
        <v>8.0000000000000002E-3</v>
      </c>
      <c r="AD154" s="7">
        <v>1.9890000000000001</v>
      </c>
      <c r="AE154" s="7">
        <v>0</v>
      </c>
      <c r="AF154" s="7">
        <v>56.302999999999997</v>
      </c>
      <c r="AG154" s="7">
        <v>26.593</v>
      </c>
      <c r="AH154" s="7">
        <v>0</v>
      </c>
      <c r="AI154" s="7">
        <v>213.46100000000001</v>
      </c>
      <c r="AJ154" s="7">
        <v>47.631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0.52</v>
      </c>
      <c r="AQ154" s="7">
        <v>0</v>
      </c>
      <c r="AR154" s="7">
        <v>8.2279999999999998</v>
      </c>
      <c r="AS154" s="7">
        <v>0</v>
      </c>
      <c r="AT154" s="7">
        <v>3.5999999999999997E-2</v>
      </c>
      <c r="AU154" s="7">
        <v>0</v>
      </c>
      <c r="AV154" s="7">
        <v>0.248</v>
      </c>
      <c r="AW154" s="7">
        <v>0</v>
      </c>
      <c r="AX154" s="7">
        <v>0</v>
      </c>
      <c r="AY154" s="7">
        <v>0</v>
      </c>
      <c r="AZ154" s="7">
        <v>0.104</v>
      </c>
      <c r="BA154" s="7">
        <v>0</v>
      </c>
      <c r="BB154" s="7">
        <v>0</v>
      </c>
      <c r="BC154" s="7">
        <v>0.14299999999999999</v>
      </c>
      <c r="BD154" s="7">
        <v>0</v>
      </c>
      <c r="BE154" s="7">
        <v>0</v>
      </c>
      <c r="BF154" s="7">
        <v>2.8000000000000001E-2</v>
      </c>
      <c r="BG154" s="7">
        <v>0</v>
      </c>
      <c r="BH154" s="7">
        <v>0</v>
      </c>
      <c r="BI154" s="7">
        <v>0</v>
      </c>
      <c r="BJ154" s="21"/>
    </row>
    <row r="155" spans="1:62" ht="15.75" x14ac:dyDescent="0.25">
      <c r="A155" s="21"/>
      <c r="B155" s="5" t="s">
        <v>297</v>
      </c>
      <c r="C155" s="5" t="s">
        <v>298</v>
      </c>
      <c r="D155" s="7">
        <v>4</v>
      </c>
      <c r="E155" s="7">
        <v>4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21"/>
    </row>
    <row r="156" spans="1:62" ht="15.75" x14ac:dyDescent="0.25">
      <c r="A156" s="21"/>
      <c r="B156" s="5" t="s">
        <v>299</v>
      </c>
      <c r="C156" s="5" t="s">
        <v>300</v>
      </c>
      <c r="D156" s="7">
        <v>4</v>
      </c>
      <c r="E156" s="7">
        <v>4</v>
      </c>
      <c r="F156" s="7">
        <v>1765.2329999999999</v>
      </c>
      <c r="G156" s="7">
        <v>131.93100000000001</v>
      </c>
      <c r="H156" s="7">
        <v>345.15100000000001</v>
      </c>
      <c r="I156" s="7">
        <v>0</v>
      </c>
      <c r="J156" s="7">
        <v>49.854999999999997</v>
      </c>
      <c r="K156" s="7">
        <v>236.98599999999999</v>
      </c>
      <c r="L156" s="7">
        <v>0</v>
      </c>
      <c r="M156" s="7">
        <v>378.30200000000002</v>
      </c>
      <c r="N156" s="7">
        <v>564.01599999999996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40.401000000000003</v>
      </c>
      <c r="U156" s="7">
        <v>0</v>
      </c>
      <c r="V156" s="7">
        <v>0</v>
      </c>
      <c r="W156" s="7">
        <v>22.977</v>
      </c>
      <c r="X156" s="7">
        <v>45.448</v>
      </c>
      <c r="Y156" s="7">
        <v>0</v>
      </c>
      <c r="Z156" s="7">
        <v>231.517</v>
      </c>
      <c r="AA156" s="7">
        <v>0</v>
      </c>
      <c r="AB156" s="7">
        <v>291.63900000000001</v>
      </c>
      <c r="AC156" s="7">
        <v>0</v>
      </c>
      <c r="AD156" s="7">
        <v>17.486999999999998</v>
      </c>
      <c r="AE156" s="7">
        <v>9.1620000000000008</v>
      </c>
      <c r="AF156" s="7">
        <v>605.82100000000003</v>
      </c>
      <c r="AG156" s="7">
        <v>0</v>
      </c>
      <c r="AH156" s="7">
        <v>30.54</v>
      </c>
      <c r="AI156" s="7">
        <v>1795.498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6.05</v>
      </c>
      <c r="AQ156" s="7">
        <v>0</v>
      </c>
      <c r="AR156" s="7">
        <v>0</v>
      </c>
      <c r="AS156" s="7">
        <v>0</v>
      </c>
      <c r="AT156" s="7">
        <v>1.1459999999999999</v>
      </c>
      <c r="AU156" s="7">
        <v>0</v>
      </c>
      <c r="AV156" s="7">
        <v>23.288</v>
      </c>
      <c r="AW156" s="7">
        <v>0</v>
      </c>
      <c r="AX156" s="7">
        <v>0</v>
      </c>
      <c r="AY156" s="7">
        <v>0</v>
      </c>
      <c r="AZ156" s="7">
        <v>4.726</v>
      </c>
      <c r="BA156" s="7">
        <v>0</v>
      </c>
      <c r="BB156" s="7">
        <v>0</v>
      </c>
      <c r="BC156" s="7">
        <v>1.417</v>
      </c>
      <c r="BD156" s="7">
        <v>3.1320000000000001</v>
      </c>
      <c r="BE156" s="7">
        <v>0</v>
      </c>
      <c r="BF156" s="7">
        <v>0.29499999999999998</v>
      </c>
      <c r="BG156" s="7">
        <v>0</v>
      </c>
      <c r="BH156" s="7">
        <v>0</v>
      </c>
      <c r="BI156" s="7">
        <v>1.1579999999999999</v>
      </c>
      <c r="BJ156" s="21"/>
    </row>
    <row r="157" spans="1:62" ht="15.75" x14ac:dyDescent="0.25">
      <c r="A157" s="21"/>
      <c r="B157" s="5" t="s">
        <v>301</v>
      </c>
      <c r="C157" s="5" t="s">
        <v>302</v>
      </c>
      <c r="D157" s="7">
        <v>4</v>
      </c>
      <c r="E157" s="7">
        <v>4</v>
      </c>
      <c r="F157" s="7">
        <v>-0.81200000000000006</v>
      </c>
      <c r="G157" s="7">
        <v>-0.159</v>
      </c>
      <c r="H157" s="7">
        <v>0</v>
      </c>
      <c r="I157" s="7">
        <v>0</v>
      </c>
      <c r="J157" s="7">
        <v>-8.9999999999999993E-3</v>
      </c>
      <c r="K157" s="7">
        <v>0</v>
      </c>
      <c r="L157" s="7">
        <v>0</v>
      </c>
      <c r="M157" s="7">
        <v>-2.0270000000000001</v>
      </c>
      <c r="N157" s="7">
        <v>-0.19900000000000001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-0.05</v>
      </c>
      <c r="U157" s="7">
        <v>0</v>
      </c>
      <c r="V157" s="7">
        <v>0</v>
      </c>
      <c r="W157" s="7">
        <v>0</v>
      </c>
      <c r="X157" s="7">
        <v>-1.4E-2</v>
      </c>
      <c r="Y157" s="7">
        <v>0</v>
      </c>
      <c r="Z157" s="7">
        <v>-0.315</v>
      </c>
      <c r="AA157" s="7">
        <v>0</v>
      </c>
      <c r="AB157" s="7">
        <v>0</v>
      </c>
      <c r="AC157" s="7">
        <v>0</v>
      </c>
      <c r="AD157" s="7">
        <v>-0.03</v>
      </c>
      <c r="AE157" s="7">
        <v>0</v>
      </c>
      <c r="AF157" s="7">
        <v>-0.78800000000000003</v>
      </c>
      <c r="AG157" s="7">
        <v>-0.40600000000000003</v>
      </c>
      <c r="AH157" s="7">
        <v>0</v>
      </c>
      <c r="AI157" s="7">
        <v>-3.3620000000000001</v>
      </c>
      <c r="AJ157" s="7">
        <v>-0.76100000000000001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-5.0000000000000001E-3</v>
      </c>
      <c r="AQ157" s="7">
        <v>0</v>
      </c>
      <c r="AR157" s="7">
        <v>-0.125</v>
      </c>
      <c r="AS157" s="7">
        <v>0</v>
      </c>
      <c r="AT157" s="7">
        <v>0</v>
      </c>
      <c r="AU157" s="7">
        <v>0</v>
      </c>
      <c r="AV157" s="7">
        <v>-4.0000000000000001E-3</v>
      </c>
      <c r="AW157" s="7">
        <v>0</v>
      </c>
      <c r="AX157" s="7">
        <v>0</v>
      </c>
      <c r="AY157" s="7">
        <v>0</v>
      </c>
      <c r="AZ157" s="7">
        <v>-2E-3</v>
      </c>
      <c r="BA157" s="7">
        <v>-1.7000000000000001E-2</v>
      </c>
      <c r="BB157" s="7">
        <v>0</v>
      </c>
      <c r="BC157" s="7">
        <v>-2E-3</v>
      </c>
      <c r="BD157" s="7">
        <v>0</v>
      </c>
      <c r="BE157" s="7">
        <v>-1.7999999999999999E-2</v>
      </c>
      <c r="BF157" s="7">
        <v>0</v>
      </c>
      <c r="BG157" s="7">
        <v>-8.0000000000000002E-3</v>
      </c>
      <c r="BH157" s="7">
        <v>0</v>
      </c>
      <c r="BI157" s="7">
        <v>0</v>
      </c>
      <c r="BJ157" s="21"/>
    </row>
    <row r="158" spans="1:62" ht="15.75" x14ac:dyDescent="0.25">
      <c r="A158" s="21"/>
      <c r="B158" s="5" t="s">
        <v>303</v>
      </c>
      <c r="C158" s="5" t="s">
        <v>304</v>
      </c>
      <c r="D158" s="7">
        <v>4</v>
      </c>
      <c r="E158" s="7">
        <v>4</v>
      </c>
      <c r="F158" s="7">
        <v>-157.744</v>
      </c>
      <c r="G158" s="7">
        <v>-36.784999999999997</v>
      </c>
      <c r="H158" s="7">
        <v>-3.1469999999999998</v>
      </c>
      <c r="I158" s="7">
        <v>0</v>
      </c>
      <c r="J158" s="7">
        <v>-2.0219999999999998</v>
      </c>
      <c r="K158" s="7">
        <v>-2.4790000000000001</v>
      </c>
      <c r="L158" s="7">
        <v>0</v>
      </c>
      <c r="M158" s="7">
        <v>-408.25400000000002</v>
      </c>
      <c r="N158" s="7">
        <v>-41.045999999999999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-11.217000000000001</v>
      </c>
      <c r="U158" s="7">
        <v>0</v>
      </c>
      <c r="V158" s="7">
        <v>0</v>
      </c>
      <c r="W158" s="7">
        <v>-0.33700000000000002</v>
      </c>
      <c r="X158" s="7">
        <v>-3.552</v>
      </c>
      <c r="Y158" s="7">
        <v>0</v>
      </c>
      <c r="Z158" s="7">
        <v>-69.674000000000007</v>
      </c>
      <c r="AA158" s="7">
        <v>0</v>
      </c>
      <c r="AB158" s="7">
        <v>-3.28</v>
      </c>
      <c r="AC158" s="7">
        <v>-2.5999999999999999E-2</v>
      </c>
      <c r="AD158" s="7">
        <v>-6.4660000000000002</v>
      </c>
      <c r="AE158" s="7">
        <v>0</v>
      </c>
      <c r="AF158" s="7">
        <v>-178.24799999999999</v>
      </c>
      <c r="AG158" s="7">
        <v>-80.551000000000002</v>
      </c>
      <c r="AH158" s="7">
        <v>0</v>
      </c>
      <c r="AI158" s="7">
        <v>-693.92499999999995</v>
      </c>
      <c r="AJ158" s="7">
        <v>-144.273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-1.6519999999999999</v>
      </c>
      <c r="AQ158" s="7">
        <v>0</v>
      </c>
      <c r="AR158" s="7">
        <v>-24.922999999999998</v>
      </c>
      <c r="AS158" s="7">
        <v>0</v>
      </c>
      <c r="AT158" s="7">
        <v>-0.11</v>
      </c>
      <c r="AU158" s="7">
        <v>0</v>
      </c>
      <c r="AV158" s="7">
        <v>-0.752</v>
      </c>
      <c r="AW158" s="7">
        <v>0</v>
      </c>
      <c r="AX158" s="7">
        <v>0</v>
      </c>
      <c r="AY158" s="7">
        <v>0</v>
      </c>
      <c r="AZ158" s="7">
        <v>-0.36799999999999999</v>
      </c>
      <c r="BA158" s="7">
        <v>0</v>
      </c>
      <c r="BB158" s="7">
        <v>0</v>
      </c>
      <c r="BC158" s="7">
        <v>-0.45300000000000001</v>
      </c>
      <c r="BD158" s="7">
        <v>-4.9000000000000002E-2</v>
      </c>
      <c r="BE158" s="7">
        <v>0</v>
      </c>
      <c r="BF158" s="7">
        <v>-8.8999999999999996E-2</v>
      </c>
      <c r="BG158" s="7">
        <v>0</v>
      </c>
      <c r="BH158" s="7">
        <v>0</v>
      </c>
      <c r="BI158" s="7">
        <v>-1.9E-2</v>
      </c>
      <c r="BJ158" s="21"/>
    </row>
    <row r="159" spans="1:62" ht="15.75" x14ac:dyDescent="0.25">
      <c r="A159" s="21"/>
      <c r="B159" s="5" t="s">
        <v>305</v>
      </c>
      <c r="C159" s="5" t="s">
        <v>306</v>
      </c>
      <c r="D159" s="7">
        <v>4</v>
      </c>
      <c r="E159" s="7">
        <v>4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21"/>
    </row>
    <row r="160" spans="1:62" ht="15.75" x14ac:dyDescent="0.25">
      <c r="A160" s="21"/>
      <c r="B160" s="5" t="s">
        <v>307</v>
      </c>
      <c r="C160" s="5" t="s">
        <v>308</v>
      </c>
      <c r="D160" s="7">
        <v>4</v>
      </c>
      <c r="E160" s="7">
        <v>4</v>
      </c>
      <c r="F160" s="7">
        <v>-1492.623</v>
      </c>
      <c r="G160" s="7">
        <v>-111.556</v>
      </c>
      <c r="H160" s="7">
        <v>-291.84800000000001</v>
      </c>
      <c r="I160" s="7">
        <v>0</v>
      </c>
      <c r="J160" s="7">
        <v>-42.155999999999999</v>
      </c>
      <c r="K160" s="7">
        <v>-200.38800000000001</v>
      </c>
      <c r="L160" s="7">
        <v>0</v>
      </c>
      <c r="M160" s="7">
        <v>-319.87900000000002</v>
      </c>
      <c r="N160" s="7">
        <v>-476.91300000000001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-34.161999999999999</v>
      </c>
      <c r="U160" s="7">
        <v>0</v>
      </c>
      <c r="V160" s="7">
        <v>0</v>
      </c>
      <c r="W160" s="7">
        <v>-19.428000000000001</v>
      </c>
      <c r="X160" s="7">
        <v>-38.429000000000002</v>
      </c>
      <c r="Y160" s="7">
        <v>0</v>
      </c>
      <c r="Z160" s="7">
        <v>-195.76300000000001</v>
      </c>
      <c r="AA160" s="7">
        <v>0</v>
      </c>
      <c r="AB160" s="7">
        <v>-246.6</v>
      </c>
      <c r="AC160" s="7">
        <v>0</v>
      </c>
      <c r="AD160" s="7">
        <v>-14.786</v>
      </c>
      <c r="AE160" s="7">
        <v>-7.7469999999999999</v>
      </c>
      <c r="AF160" s="7">
        <v>-512.26300000000003</v>
      </c>
      <c r="AG160" s="7">
        <v>0</v>
      </c>
      <c r="AH160" s="7">
        <v>-25.824000000000002</v>
      </c>
      <c r="AI160" s="7">
        <v>-1518.2139999999999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-5.1159999999999997</v>
      </c>
      <c r="AQ160" s="7">
        <v>0</v>
      </c>
      <c r="AR160" s="7">
        <v>0</v>
      </c>
      <c r="AS160" s="7">
        <v>0</v>
      </c>
      <c r="AT160" s="7">
        <v>-0.96899999999999997</v>
      </c>
      <c r="AU160" s="7">
        <v>0</v>
      </c>
      <c r="AV160" s="7">
        <v>-19.692</v>
      </c>
      <c r="AW160" s="7">
        <v>0</v>
      </c>
      <c r="AX160" s="7">
        <v>0</v>
      </c>
      <c r="AY160" s="7">
        <v>0</v>
      </c>
      <c r="AZ160" s="7">
        <v>-3.996</v>
      </c>
      <c r="BA160" s="7">
        <v>0</v>
      </c>
      <c r="BB160" s="7">
        <v>0</v>
      </c>
      <c r="BC160" s="7">
        <v>-1.198</v>
      </c>
      <c r="BD160" s="7">
        <v>-2.6480000000000001</v>
      </c>
      <c r="BE160" s="7">
        <v>0</v>
      </c>
      <c r="BF160" s="7">
        <v>-0.249</v>
      </c>
      <c r="BG160" s="7">
        <v>0</v>
      </c>
      <c r="BH160" s="7">
        <v>0</v>
      </c>
      <c r="BI160" s="7">
        <v>-0.97899999999999998</v>
      </c>
      <c r="BJ160" s="21"/>
    </row>
    <row r="161" spans="1:62" ht="15.75" x14ac:dyDescent="0.25">
      <c r="A161" s="21"/>
      <c r="B161" s="5" t="s">
        <v>293</v>
      </c>
      <c r="C161" s="5" t="s">
        <v>309</v>
      </c>
      <c r="D161" s="7">
        <v>6</v>
      </c>
      <c r="E161" s="7">
        <v>6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75" x14ac:dyDescent="0.25">
      <c r="A162" s="21"/>
      <c r="B162" s="5" t="s">
        <v>310</v>
      </c>
      <c r="C162" s="5" t="s">
        <v>311</v>
      </c>
      <c r="D162" s="7">
        <v>6</v>
      </c>
      <c r="E162" s="7">
        <v>6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75" x14ac:dyDescent="0.25">
      <c r="A163" s="21"/>
      <c r="B163" s="5" t="s">
        <v>312</v>
      </c>
      <c r="C163" s="5" t="s">
        <v>313</v>
      </c>
      <c r="D163" s="7">
        <v>6</v>
      </c>
      <c r="E163" s="7">
        <v>6</v>
      </c>
      <c r="F163" s="7">
        <v>156.929</v>
      </c>
      <c r="G163" s="7">
        <v>34.686</v>
      </c>
      <c r="H163" s="7">
        <v>33.832000000000001</v>
      </c>
      <c r="I163" s="7">
        <v>0</v>
      </c>
      <c r="J163" s="7">
        <v>6.7910000000000004</v>
      </c>
      <c r="K163" s="7">
        <v>26.651</v>
      </c>
      <c r="L163" s="7">
        <v>0</v>
      </c>
      <c r="M163" s="7">
        <v>139.03200000000001</v>
      </c>
      <c r="N163" s="7">
        <v>122.383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9.9689999999999994</v>
      </c>
      <c r="U163" s="7">
        <v>0</v>
      </c>
      <c r="V163" s="7">
        <v>0</v>
      </c>
      <c r="W163" s="7">
        <v>3.6219999999999999</v>
      </c>
      <c r="X163" s="7">
        <v>9.7119999999999997</v>
      </c>
      <c r="Y163" s="7">
        <v>0</v>
      </c>
      <c r="Z163" s="7">
        <v>28.795000000000002</v>
      </c>
      <c r="AA163" s="7">
        <v>0</v>
      </c>
      <c r="AB163" s="7">
        <v>35.262999999999998</v>
      </c>
      <c r="AC163" s="7">
        <v>0</v>
      </c>
      <c r="AD163" s="7">
        <v>4.758</v>
      </c>
      <c r="AE163" s="7">
        <v>0</v>
      </c>
      <c r="AF163" s="7">
        <v>82.847999999999999</v>
      </c>
      <c r="AG163" s="7">
        <v>0</v>
      </c>
      <c r="AH163" s="7">
        <v>0</v>
      </c>
      <c r="AI163" s="7">
        <v>509.07100000000003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0.82799999999999996</v>
      </c>
      <c r="AQ163" s="7">
        <v>0</v>
      </c>
      <c r="AR163" s="7">
        <v>0</v>
      </c>
      <c r="AS163" s="7">
        <v>0</v>
      </c>
      <c r="AT163" s="7">
        <v>1.2999999999999999E-2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0.56399999999999995</v>
      </c>
      <c r="BA163" s="7">
        <v>0</v>
      </c>
      <c r="BB163" s="7">
        <v>0</v>
      </c>
      <c r="BC163" s="7">
        <v>0.21</v>
      </c>
      <c r="BD163" s="7">
        <v>0.52300000000000002</v>
      </c>
      <c r="BE163" s="7">
        <v>0</v>
      </c>
      <c r="BF163" s="7">
        <v>6.0999999999999999E-2</v>
      </c>
      <c r="BG163" s="7">
        <v>0</v>
      </c>
      <c r="BH163" s="7">
        <v>0</v>
      </c>
      <c r="BI163" s="7">
        <v>0.20799999999999999</v>
      </c>
      <c r="BJ163" s="21"/>
    </row>
    <row r="164" spans="1:62" ht="15.75" x14ac:dyDescent="0.25">
      <c r="A164" s="21"/>
      <c r="B164" s="5" t="s">
        <v>297</v>
      </c>
      <c r="C164" s="5" t="s">
        <v>314</v>
      </c>
      <c r="D164" s="7">
        <v>6</v>
      </c>
      <c r="E164" s="7">
        <v>6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21"/>
    </row>
    <row r="165" spans="1:62" ht="15.75" x14ac:dyDescent="0.25">
      <c r="A165" s="21"/>
      <c r="B165" s="5" t="s">
        <v>299</v>
      </c>
      <c r="C165" s="5" t="s">
        <v>315</v>
      </c>
      <c r="D165" s="7">
        <v>6</v>
      </c>
      <c r="E165" s="7">
        <v>6</v>
      </c>
      <c r="F165" s="7">
        <v>1289.3119999999999</v>
      </c>
      <c r="G165" s="7">
        <v>118.581</v>
      </c>
      <c r="H165" s="7">
        <v>168.88</v>
      </c>
      <c r="I165" s="7">
        <v>0</v>
      </c>
      <c r="J165" s="7">
        <v>29.613</v>
      </c>
      <c r="K165" s="7">
        <v>103.11</v>
      </c>
      <c r="L165" s="7">
        <v>0</v>
      </c>
      <c r="M165" s="7">
        <v>943.22500000000002</v>
      </c>
      <c r="N165" s="7">
        <v>459.834</v>
      </c>
      <c r="O165" s="7">
        <v>0</v>
      </c>
      <c r="P165" s="7">
        <v>0</v>
      </c>
      <c r="Q165" s="7">
        <v>5.4960000000000004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14.946</v>
      </c>
      <c r="X165" s="7">
        <v>45.683999999999997</v>
      </c>
      <c r="Y165" s="7">
        <v>0</v>
      </c>
      <c r="Z165" s="7">
        <v>361.30700000000002</v>
      </c>
      <c r="AA165" s="7">
        <v>0</v>
      </c>
      <c r="AB165" s="7">
        <v>127.595</v>
      </c>
      <c r="AC165" s="7">
        <v>0</v>
      </c>
      <c r="AD165" s="7">
        <v>19.248999999999999</v>
      </c>
      <c r="AE165" s="7">
        <v>0</v>
      </c>
      <c r="AF165" s="7">
        <v>1152.6210000000001</v>
      </c>
      <c r="AG165" s="7">
        <v>0</v>
      </c>
      <c r="AH165" s="7">
        <v>0</v>
      </c>
      <c r="AI165" s="7">
        <v>2707.259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21"/>
    </row>
    <row r="166" spans="1:62" ht="15.75" x14ac:dyDescent="0.25">
      <c r="A166" s="21"/>
      <c r="B166" s="5" t="s">
        <v>301</v>
      </c>
      <c r="C166" s="5" t="s">
        <v>316</v>
      </c>
      <c r="D166" s="7">
        <v>6</v>
      </c>
      <c r="E166" s="7">
        <v>6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75" x14ac:dyDescent="0.25">
      <c r="A167" s="21"/>
      <c r="B167" s="5" t="s">
        <v>317</v>
      </c>
      <c r="C167" s="5" t="s">
        <v>318</v>
      </c>
      <c r="D167" s="7">
        <v>6</v>
      </c>
      <c r="E167" s="7">
        <v>6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75" x14ac:dyDescent="0.25">
      <c r="A168" s="21"/>
      <c r="B168" s="5" t="s">
        <v>319</v>
      </c>
      <c r="C168" s="5" t="s">
        <v>320</v>
      </c>
      <c r="D168" s="7">
        <v>6</v>
      </c>
      <c r="E168" s="7">
        <v>6</v>
      </c>
      <c r="F168" s="7">
        <v>-49.756999999999998</v>
      </c>
      <c r="G168" s="7">
        <v>-10.997999999999999</v>
      </c>
      <c r="H168" s="7">
        <v>-10.727</v>
      </c>
      <c r="I168" s="7">
        <v>0</v>
      </c>
      <c r="J168" s="7">
        <v>-2.153</v>
      </c>
      <c r="K168" s="7">
        <v>-8.4499999999999993</v>
      </c>
      <c r="L168" s="7">
        <v>0</v>
      </c>
      <c r="M168" s="7">
        <v>-44.082999999999998</v>
      </c>
      <c r="N168" s="7">
        <v>-38.802999999999997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-3.161</v>
      </c>
      <c r="U168" s="7">
        <v>0</v>
      </c>
      <c r="V168" s="7">
        <v>0</v>
      </c>
      <c r="W168" s="7">
        <v>-1.1479999999999999</v>
      </c>
      <c r="X168" s="7">
        <v>-3.0790000000000002</v>
      </c>
      <c r="Y168" s="7">
        <v>0</v>
      </c>
      <c r="Z168" s="7">
        <v>-9.1300000000000008</v>
      </c>
      <c r="AA168" s="7">
        <v>0</v>
      </c>
      <c r="AB168" s="7">
        <v>-11.180999999999999</v>
      </c>
      <c r="AC168" s="7">
        <v>0</v>
      </c>
      <c r="AD168" s="7">
        <v>-1.5089999999999999</v>
      </c>
      <c r="AE168" s="7">
        <v>0</v>
      </c>
      <c r="AF168" s="7">
        <v>-26.268000000000001</v>
      </c>
      <c r="AG168" s="7">
        <v>0</v>
      </c>
      <c r="AH168" s="7">
        <v>0</v>
      </c>
      <c r="AI168" s="7">
        <v>-161.40899999999999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-0.26200000000000001</v>
      </c>
      <c r="AQ168" s="7">
        <v>0</v>
      </c>
      <c r="AR168" s="7">
        <v>0</v>
      </c>
      <c r="AS168" s="7">
        <v>0</v>
      </c>
      <c r="AT168" s="7">
        <v>-4.0000000000000001E-3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-0.17899999999999999</v>
      </c>
      <c r="BA168" s="7">
        <v>0</v>
      </c>
      <c r="BB168" s="7">
        <v>0</v>
      </c>
      <c r="BC168" s="7">
        <v>-6.6000000000000003E-2</v>
      </c>
      <c r="BD168" s="7">
        <v>-0.16600000000000001</v>
      </c>
      <c r="BE168" s="7">
        <v>0</v>
      </c>
      <c r="BF168" s="7">
        <v>-1.9E-2</v>
      </c>
      <c r="BG168" s="7">
        <v>0</v>
      </c>
      <c r="BH168" s="7">
        <v>0</v>
      </c>
      <c r="BI168" s="7">
        <v>-6.6000000000000003E-2</v>
      </c>
      <c r="BJ168" s="21"/>
    </row>
    <row r="169" spans="1:62" ht="15.75" x14ac:dyDescent="0.25">
      <c r="A169" s="21"/>
      <c r="B169" s="5" t="s">
        <v>305</v>
      </c>
      <c r="C169" s="5" t="s">
        <v>321</v>
      </c>
      <c r="D169" s="7">
        <v>6</v>
      </c>
      <c r="E169" s="7">
        <v>6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21"/>
    </row>
    <row r="170" spans="1:62" ht="15.75" x14ac:dyDescent="0.25">
      <c r="A170" s="21"/>
      <c r="B170" s="5" t="s">
        <v>307</v>
      </c>
      <c r="C170" s="5" t="s">
        <v>322</v>
      </c>
      <c r="D170" s="7">
        <v>6</v>
      </c>
      <c r="E170" s="7">
        <v>6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21"/>
    </row>
    <row r="171" spans="1:62" ht="15.75" x14ac:dyDescent="0.25">
      <c r="A171" s="21"/>
      <c r="B171" s="5" t="s">
        <v>323</v>
      </c>
      <c r="C171" s="5" t="s">
        <v>324</v>
      </c>
      <c r="D171" s="7">
        <v>4</v>
      </c>
      <c r="E171" s="7">
        <v>4</v>
      </c>
      <c r="F171" s="7">
        <v>6322.0749999999998</v>
      </c>
      <c r="G171" s="7">
        <v>1270.5150000000001</v>
      </c>
      <c r="H171" s="7">
        <v>0</v>
      </c>
      <c r="I171" s="7">
        <v>0</v>
      </c>
      <c r="J171" s="7">
        <v>68.103999999999999</v>
      </c>
      <c r="K171" s="7">
        <v>0</v>
      </c>
      <c r="L171" s="7">
        <v>0</v>
      </c>
      <c r="M171" s="7">
        <v>15923.762000000001</v>
      </c>
      <c r="N171" s="7">
        <v>1537.9559999999999</v>
      </c>
      <c r="O171" s="7">
        <v>0</v>
      </c>
      <c r="P171" s="7">
        <v>0</v>
      </c>
      <c r="Q171" s="7">
        <v>0.2</v>
      </c>
      <c r="R171" s="7">
        <v>0</v>
      </c>
      <c r="S171" s="7">
        <v>0</v>
      </c>
      <c r="T171" s="7">
        <v>399.98899999999998</v>
      </c>
      <c r="U171" s="7">
        <v>0</v>
      </c>
      <c r="V171" s="7">
        <v>0</v>
      </c>
      <c r="W171" s="7">
        <v>0</v>
      </c>
      <c r="X171" s="7">
        <v>112.392</v>
      </c>
      <c r="Y171" s="7">
        <v>0</v>
      </c>
      <c r="Z171" s="7">
        <v>2494.692</v>
      </c>
      <c r="AA171" s="7">
        <v>0</v>
      </c>
      <c r="AB171" s="7">
        <v>0</v>
      </c>
      <c r="AC171" s="7">
        <v>9.9000000000000005E-2</v>
      </c>
      <c r="AD171" s="7">
        <v>240.44399999999999</v>
      </c>
      <c r="AE171" s="7">
        <v>0</v>
      </c>
      <c r="AF171" s="7">
        <v>6256.3</v>
      </c>
      <c r="AG171" s="7">
        <v>3212.78</v>
      </c>
      <c r="AH171" s="7">
        <v>0</v>
      </c>
      <c r="AI171" s="7">
        <v>26663.231</v>
      </c>
      <c r="AJ171" s="7">
        <v>5990.6930000000002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43.603000000000002</v>
      </c>
      <c r="AQ171" s="7">
        <v>0</v>
      </c>
      <c r="AR171" s="7">
        <v>985.779</v>
      </c>
      <c r="AS171" s="7">
        <v>0</v>
      </c>
      <c r="AT171" s="7">
        <v>3.8690000000000002</v>
      </c>
      <c r="AU171" s="7">
        <v>0</v>
      </c>
      <c r="AV171" s="7">
        <v>27.783999999999999</v>
      </c>
      <c r="AW171" s="7">
        <v>0</v>
      </c>
      <c r="AX171" s="7">
        <v>0</v>
      </c>
      <c r="AY171" s="7">
        <v>0</v>
      </c>
      <c r="AZ171" s="7">
        <v>12.775</v>
      </c>
      <c r="BA171" s="7">
        <v>117.51900000000001</v>
      </c>
      <c r="BB171" s="7">
        <v>0</v>
      </c>
      <c r="BC171" s="7">
        <v>16.579000000000001</v>
      </c>
      <c r="BD171" s="7">
        <v>0</v>
      </c>
      <c r="BE171" s="7">
        <v>131.20400000000001</v>
      </c>
      <c r="BF171" s="7">
        <v>2.6259999999999999</v>
      </c>
      <c r="BG171" s="7">
        <v>57.405999999999999</v>
      </c>
      <c r="BH171" s="7">
        <v>0</v>
      </c>
      <c r="BI171" s="7">
        <v>0</v>
      </c>
      <c r="BJ171" s="21"/>
    </row>
    <row r="172" spans="1:62" ht="15.75" x14ac:dyDescent="0.25">
      <c r="A172" s="21"/>
      <c r="B172" s="5" t="s">
        <v>325</v>
      </c>
      <c r="C172" s="5" t="s">
        <v>326</v>
      </c>
      <c r="D172" s="7">
        <v>4</v>
      </c>
      <c r="E172" s="7">
        <v>4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21"/>
    </row>
    <row r="173" spans="1:62" ht="15.75" x14ac:dyDescent="0.25">
      <c r="A173" s="21"/>
      <c r="B173" s="5" t="s">
        <v>327</v>
      </c>
      <c r="C173" s="5" t="s">
        <v>328</v>
      </c>
      <c r="D173" s="7">
        <v>4</v>
      </c>
      <c r="E173" s="7">
        <v>4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21"/>
    </row>
    <row r="174" spans="1:62" ht="15.75" x14ac:dyDescent="0.25">
      <c r="A174" s="21"/>
      <c r="B174" s="5" t="s">
        <v>329</v>
      </c>
      <c r="C174" s="5" t="s">
        <v>330</v>
      </c>
      <c r="D174" s="7">
        <v>4</v>
      </c>
      <c r="E174" s="7">
        <v>4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75" x14ac:dyDescent="0.25">
      <c r="A175" s="21"/>
      <c r="B175" s="5" t="s">
        <v>331</v>
      </c>
      <c r="C175" s="5" t="s">
        <v>332</v>
      </c>
      <c r="D175" s="7">
        <v>4</v>
      </c>
      <c r="E175" s="7">
        <v>4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75" x14ac:dyDescent="0.25">
      <c r="A176" s="21"/>
      <c r="B176" s="5" t="s">
        <v>333</v>
      </c>
      <c r="C176" s="5" t="s">
        <v>334</v>
      </c>
      <c r="D176" s="7">
        <v>4</v>
      </c>
      <c r="E176" s="7">
        <v>4</v>
      </c>
      <c r="F176" s="7">
        <v>-7100.8270000000002</v>
      </c>
      <c r="G176" s="7">
        <v>-1516.5550000000001</v>
      </c>
      <c r="H176" s="7">
        <v>0</v>
      </c>
      <c r="I176" s="7">
        <v>0</v>
      </c>
      <c r="J176" s="7">
        <v>-74.114999999999995</v>
      </c>
      <c r="K176" s="7">
        <v>0</v>
      </c>
      <c r="L176" s="7">
        <v>0</v>
      </c>
      <c r="M176" s="7">
        <v>-18502.66</v>
      </c>
      <c r="N176" s="7">
        <v>-1642.3420000000001</v>
      </c>
      <c r="O176" s="7">
        <v>0</v>
      </c>
      <c r="P176" s="7">
        <v>0</v>
      </c>
      <c r="Q176" s="7">
        <v>-0.14499999999999999</v>
      </c>
      <c r="R176" s="7">
        <v>0</v>
      </c>
      <c r="S176" s="7">
        <v>0</v>
      </c>
      <c r="T176" s="7">
        <v>-472.45299999999997</v>
      </c>
      <c r="U176" s="7">
        <v>0</v>
      </c>
      <c r="V176" s="7">
        <v>0</v>
      </c>
      <c r="W176" s="7">
        <v>0</v>
      </c>
      <c r="X176" s="7">
        <v>-128.547</v>
      </c>
      <c r="Y176" s="7">
        <v>0</v>
      </c>
      <c r="Z176" s="7">
        <v>-2988.4929999999999</v>
      </c>
      <c r="AA176" s="7">
        <v>0</v>
      </c>
      <c r="AB176" s="7">
        <v>0</v>
      </c>
      <c r="AC176" s="7">
        <v>-0.52800000000000002</v>
      </c>
      <c r="AD176" s="7">
        <v>-280.97399999999999</v>
      </c>
      <c r="AE176" s="7">
        <v>0</v>
      </c>
      <c r="AF176" s="7">
        <v>-7539.5069999999996</v>
      </c>
      <c r="AG176" s="7">
        <v>-3756.4319999999998</v>
      </c>
      <c r="AH176" s="7">
        <v>0</v>
      </c>
      <c r="AI176" s="7">
        <v>-30859.535</v>
      </c>
      <c r="AJ176" s="7">
        <v>-6897.6750000000002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-59.414000000000001</v>
      </c>
      <c r="AQ176" s="7">
        <v>0</v>
      </c>
      <c r="AR176" s="7">
        <v>-1154.547</v>
      </c>
      <c r="AS176" s="7">
        <v>0</v>
      </c>
      <c r="AT176" s="7">
        <v>-4.72</v>
      </c>
      <c r="AU176" s="7">
        <v>0</v>
      </c>
      <c r="AV176" s="7">
        <v>-33.369999999999997</v>
      </c>
      <c r="AW176" s="7">
        <v>0</v>
      </c>
      <c r="AX176" s="7">
        <v>0</v>
      </c>
      <c r="AY176" s="7">
        <v>0</v>
      </c>
      <c r="AZ176" s="7">
        <v>-14.821</v>
      </c>
      <c r="BA176" s="7">
        <v>-84.766999999999996</v>
      </c>
      <c r="BB176" s="7">
        <v>0</v>
      </c>
      <c r="BC176" s="7">
        <v>-19.652000000000001</v>
      </c>
      <c r="BD176" s="7">
        <v>0</v>
      </c>
      <c r="BE176" s="7">
        <v>-94.638000000000005</v>
      </c>
      <c r="BF176" s="7">
        <v>-3.375</v>
      </c>
      <c r="BG176" s="7">
        <v>-41.405999999999999</v>
      </c>
      <c r="BH176" s="7">
        <v>0</v>
      </c>
      <c r="BI176" s="7">
        <v>0</v>
      </c>
      <c r="BJ176" s="21"/>
    </row>
    <row r="177" spans="1:62" ht="15.75" x14ac:dyDescent="0.25">
      <c r="A177" s="21"/>
      <c r="B177" s="5" t="s">
        <v>335</v>
      </c>
      <c r="C177" s="5" t="s">
        <v>336</v>
      </c>
      <c r="D177" s="7">
        <v>4</v>
      </c>
      <c r="E177" s="7">
        <v>4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21"/>
    </row>
    <row r="178" spans="1:62" ht="15.75" x14ac:dyDescent="0.25">
      <c r="A178" s="21"/>
      <c r="B178" s="5" t="s">
        <v>337</v>
      </c>
      <c r="C178" s="5" t="s">
        <v>338</v>
      </c>
      <c r="D178" s="7">
        <v>4</v>
      </c>
      <c r="E178" s="7">
        <v>4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21"/>
    </row>
    <row r="179" spans="1:62" ht="15.75" x14ac:dyDescent="0.25">
      <c r="A179" s="21"/>
      <c r="B179" s="5" t="s">
        <v>339</v>
      </c>
      <c r="C179" s="5" t="s">
        <v>340</v>
      </c>
      <c r="D179" s="7">
        <v>4</v>
      </c>
      <c r="E179" s="7">
        <v>4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75" x14ac:dyDescent="0.25">
      <c r="A180" s="21"/>
      <c r="B180" s="5" t="s">
        <v>341</v>
      </c>
      <c r="C180" s="5" t="s">
        <v>342</v>
      </c>
      <c r="D180" s="7">
        <v>4</v>
      </c>
      <c r="E180" s="7">
        <v>4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75" x14ac:dyDescent="0.25">
      <c r="A181" s="21"/>
      <c r="B181" s="5" t="s">
        <v>323</v>
      </c>
      <c r="C181" s="5" t="s">
        <v>343</v>
      </c>
      <c r="D181" s="7">
        <v>6</v>
      </c>
      <c r="E181" s="7">
        <v>6</v>
      </c>
      <c r="F181" s="7">
        <v>53.963000000000001</v>
      </c>
      <c r="G181" s="7">
        <v>10.593</v>
      </c>
      <c r="H181" s="7">
        <v>0</v>
      </c>
      <c r="I181" s="7">
        <v>0</v>
      </c>
      <c r="J181" s="7">
        <v>0.58099999999999996</v>
      </c>
      <c r="K181" s="7">
        <v>0</v>
      </c>
      <c r="L181" s="7">
        <v>0</v>
      </c>
      <c r="M181" s="7">
        <v>134.66499999999999</v>
      </c>
      <c r="N181" s="7">
        <v>13.196</v>
      </c>
      <c r="O181" s="7">
        <v>0</v>
      </c>
      <c r="P181" s="7">
        <v>0</v>
      </c>
      <c r="Q181" s="7">
        <v>2E-3</v>
      </c>
      <c r="R181" s="7">
        <v>0</v>
      </c>
      <c r="S181" s="7">
        <v>0</v>
      </c>
      <c r="T181" s="7">
        <v>3.347</v>
      </c>
      <c r="U181" s="7">
        <v>0</v>
      </c>
      <c r="V181" s="7">
        <v>0</v>
      </c>
      <c r="W181" s="7">
        <v>0</v>
      </c>
      <c r="X181" s="7">
        <v>0.94699999999999995</v>
      </c>
      <c r="Y181" s="7">
        <v>0</v>
      </c>
      <c r="Z181" s="7">
        <v>20.917000000000002</v>
      </c>
      <c r="AA181" s="7">
        <v>0</v>
      </c>
      <c r="AB181" s="7">
        <v>0</v>
      </c>
      <c r="AC181" s="7">
        <v>0</v>
      </c>
      <c r="AD181" s="7">
        <v>2.02</v>
      </c>
      <c r="AE181" s="7">
        <v>0</v>
      </c>
      <c r="AF181" s="7">
        <v>52.368000000000002</v>
      </c>
      <c r="AG181" s="7">
        <v>26.975999999999999</v>
      </c>
      <c r="AH181" s="7">
        <v>0</v>
      </c>
      <c r="AI181" s="7">
        <v>223.35300000000001</v>
      </c>
      <c r="AJ181" s="7">
        <v>50.540999999999997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0.35099999999999998</v>
      </c>
      <c r="AQ181" s="7">
        <v>0</v>
      </c>
      <c r="AR181" s="7">
        <v>8.3000000000000007</v>
      </c>
      <c r="AS181" s="7">
        <v>0</v>
      </c>
      <c r="AT181" s="7">
        <v>3.2000000000000001E-2</v>
      </c>
      <c r="AU181" s="7">
        <v>0</v>
      </c>
      <c r="AV181" s="7">
        <v>0.23300000000000001</v>
      </c>
      <c r="AW181" s="7">
        <v>0</v>
      </c>
      <c r="AX181" s="7">
        <v>0</v>
      </c>
      <c r="AY181" s="7">
        <v>0</v>
      </c>
      <c r="AZ181" s="7">
        <v>0.108</v>
      </c>
      <c r="BA181" s="7">
        <v>1.0980000000000001</v>
      </c>
      <c r="BB181" s="7">
        <v>0</v>
      </c>
      <c r="BC181" s="7">
        <v>0.13900000000000001</v>
      </c>
      <c r="BD181" s="7">
        <v>0</v>
      </c>
      <c r="BE181" s="7">
        <v>1.226</v>
      </c>
      <c r="BF181" s="7">
        <v>2.1999999999999999E-2</v>
      </c>
      <c r="BG181" s="7">
        <v>0.53700000000000003</v>
      </c>
      <c r="BH181" s="7">
        <v>0</v>
      </c>
      <c r="BI181" s="7">
        <v>0</v>
      </c>
      <c r="BJ181" s="21"/>
    </row>
    <row r="182" spans="1:62" ht="15.75" x14ac:dyDescent="0.25">
      <c r="A182" s="21"/>
      <c r="B182" s="5" t="s">
        <v>325</v>
      </c>
      <c r="C182" s="5" t="s">
        <v>344</v>
      </c>
      <c r="D182" s="7">
        <v>6</v>
      </c>
      <c r="E182" s="7">
        <v>6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21"/>
    </row>
    <row r="183" spans="1:62" ht="15.75" x14ac:dyDescent="0.25">
      <c r="A183" s="21"/>
      <c r="B183" s="5" t="s">
        <v>327</v>
      </c>
      <c r="C183" s="5" t="s">
        <v>345</v>
      </c>
      <c r="D183" s="7">
        <v>6</v>
      </c>
      <c r="E183" s="7">
        <v>6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21"/>
    </row>
    <row r="184" spans="1:62" ht="15.75" x14ac:dyDescent="0.25">
      <c r="A184" s="21"/>
      <c r="B184" s="5" t="s">
        <v>329</v>
      </c>
      <c r="C184" s="5" t="s">
        <v>346</v>
      </c>
      <c r="D184" s="7">
        <v>6</v>
      </c>
      <c r="E184" s="7">
        <v>6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75" x14ac:dyDescent="0.25">
      <c r="A185" s="21"/>
      <c r="B185" s="5" t="s">
        <v>331</v>
      </c>
      <c r="C185" s="5" t="s">
        <v>347</v>
      </c>
      <c r="D185" s="7">
        <v>6</v>
      </c>
      <c r="E185" s="7">
        <v>6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75" x14ac:dyDescent="0.25">
      <c r="A186" s="21"/>
      <c r="B186" s="5" t="s">
        <v>333</v>
      </c>
      <c r="C186" s="5" t="s">
        <v>348</v>
      </c>
      <c r="D186" s="7">
        <v>6</v>
      </c>
      <c r="E186" s="7">
        <v>6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75" x14ac:dyDescent="0.25">
      <c r="A187" s="21"/>
      <c r="B187" s="5" t="s">
        <v>335</v>
      </c>
      <c r="C187" s="5" t="s">
        <v>349</v>
      </c>
      <c r="D187" s="7">
        <v>6</v>
      </c>
      <c r="E187" s="7">
        <v>6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75" x14ac:dyDescent="0.25">
      <c r="A188" s="21"/>
      <c r="B188" s="5" t="s">
        <v>337</v>
      </c>
      <c r="C188" s="5" t="s">
        <v>350</v>
      </c>
      <c r="D188" s="7">
        <v>6</v>
      </c>
      <c r="E188" s="7">
        <v>6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75" x14ac:dyDescent="0.25">
      <c r="A189" s="21"/>
      <c r="B189" s="5" t="s">
        <v>339</v>
      </c>
      <c r="C189" s="5" t="s">
        <v>351</v>
      </c>
      <c r="D189" s="7">
        <v>6</v>
      </c>
      <c r="E189" s="7">
        <v>6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75" x14ac:dyDescent="0.25">
      <c r="A190" s="21"/>
      <c r="B190" s="5" t="s">
        <v>341</v>
      </c>
      <c r="C190" s="5" t="s">
        <v>352</v>
      </c>
      <c r="D190" s="7">
        <v>6</v>
      </c>
      <c r="E190" s="7">
        <v>6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75" x14ac:dyDescent="0.25">
      <c r="A191" s="21"/>
      <c r="B191" s="5" t="s">
        <v>353</v>
      </c>
      <c r="C191" s="5" t="s">
        <v>354</v>
      </c>
      <c r="D191" s="7">
        <v>6</v>
      </c>
      <c r="E191" s="7">
        <v>6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75" x14ac:dyDescent="0.25">
      <c r="A192" s="21"/>
      <c r="B192" s="5" t="s">
        <v>355</v>
      </c>
      <c r="C192" s="5" t="s">
        <v>356</v>
      </c>
      <c r="D192" s="7">
        <v>6</v>
      </c>
      <c r="E192" s="7">
        <v>6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75" x14ac:dyDescent="0.25">
      <c r="A193" s="21"/>
      <c r="B193" s="5" t="s">
        <v>357</v>
      </c>
      <c r="C193" s="5" t="s">
        <v>358</v>
      </c>
      <c r="D193" s="7">
        <v>6</v>
      </c>
      <c r="E193" s="7">
        <v>6</v>
      </c>
      <c r="F193" s="7">
        <v>34.97</v>
      </c>
      <c r="G193" s="7">
        <v>3.2370000000000001</v>
      </c>
      <c r="H193" s="7">
        <v>9.8680000000000003</v>
      </c>
      <c r="I193" s="7">
        <v>0</v>
      </c>
      <c r="J193" s="7">
        <v>0.73499999999999999</v>
      </c>
      <c r="K193" s="7">
        <v>7.133</v>
      </c>
      <c r="L193" s="7">
        <v>0</v>
      </c>
      <c r="M193" s="7">
        <v>9.9629999999999992</v>
      </c>
      <c r="N193" s="7">
        <v>21.872</v>
      </c>
      <c r="O193" s="7">
        <v>0</v>
      </c>
      <c r="P193" s="7">
        <v>0</v>
      </c>
      <c r="Q193" s="7">
        <v>2E-3</v>
      </c>
      <c r="R193" s="7">
        <v>0</v>
      </c>
      <c r="S193" s="7">
        <v>0</v>
      </c>
      <c r="T193" s="7">
        <v>1.2010000000000001</v>
      </c>
      <c r="U193" s="7">
        <v>0</v>
      </c>
      <c r="V193" s="7">
        <v>0</v>
      </c>
      <c r="W193" s="7">
        <v>0.73399999999999999</v>
      </c>
      <c r="X193" s="7">
        <v>2.0350000000000001</v>
      </c>
      <c r="Y193" s="7">
        <v>0</v>
      </c>
      <c r="Z193" s="7">
        <v>3.855</v>
      </c>
      <c r="AA193" s="7">
        <v>0</v>
      </c>
      <c r="AB193" s="7">
        <v>9.0190000000000001</v>
      </c>
      <c r="AC193" s="7">
        <v>0</v>
      </c>
      <c r="AD193" s="7">
        <v>0.59199999999999997</v>
      </c>
      <c r="AE193" s="7">
        <v>0</v>
      </c>
      <c r="AF193" s="7">
        <v>11.689</v>
      </c>
      <c r="AG193" s="7">
        <v>0</v>
      </c>
      <c r="AH193" s="7">
        <v>0</v>
      </c>
      <c r="AI193" s="7">
        <v>39.292999999999999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0.15</v>
      </c>
      <c r="AQ193" s="7">
        <v>0</v>
      </c>
      <c r="AR193" s="7">
        <v>0</v>
      </c>
      <c r="AS193" s="7">
        <v>0</v>
      </c>
      <c r="AT193" s="7">
        <v>5.0000000000000001E-3</v>
      </c>
      <c r="AU193" s="7">
        <v>0</v>
      </c>
      <c r="AV193" s="7">
        <v>0.26400000000000001</v>
      </c>
      <c r="AW193" s="7">
        <v>0</v>
      </c>
      <c r="AX193" s="7">
        <v>0</v>
      </c>
      <c r="AY193" s="7">
        <v>0</v>
      </c>
      <c r="AZ193" s="7">
        <v>0.15</v>
      </c>
      <c r="BA193" s="7">
        <v>0</v>
      </c>
      <c r="BB193" s="7">
        <v>0</v>
      </c>
      <c r="BC193" s="7">
        <v>4.9000000000000002E-2</v>
      </c>
      <c r="BD193" s="7">
        <v>0.1</v>
      </c>
      <c r="BE193" s="7">
        <v>0</v>
      </c>
      <c r="BF193" s="7">
        <v>8.9999999999999993E-3</v>
      </c>
      <c r="BG193" s="7">
        <v>0</v>
      </c>
      <c r="BH193" s="7">
        <v>0</v>
      </c>
      <c r="BI193" s="7">
        <v>0.05</v>
      </c>
      <c r="BJ193" s="21"/>
    </row>
    <row r="194" spans="1:62" ht="15.75" x14ac:dyDescent="0.25">
      <c r="A194" s="21"/>
      <c r="B194" s="5" t="s">
        <v>359</v>
      </c>
      <c r="C194" s="5" t="s">
        <v>360</v>
      </c>
      <c r="D194" s="7">
        <v>6</v>
      </c>
      <c r="E194" s="7">
        <v>6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29.754000000000001</v>
      </c>
      <c r="S194" s="7">
        <v>100.70399999999999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21"/>
    </row>
    <row r="195" spans="1:62" ht="15.75" x14ac:dyDescent="0.25">
      <c r="A195" s="21"/>
      <c r="B195" s="5" t="s">
        <v>361</v>
      </c>
      <c r="C195" s="5" t="s">
        <v>362</v>
      </c>
      <c r="D195" s="7">
        <v>6</v>
      </c>
      <c r="E195" s="7">
        <v>6</v>
      </c>
      <c r="F195" s="7">
        <v>168.45</v>
      </c>
      <c r="G195" s="7">
        <v>0</v>
      </c>
      <c r="H195" s="7">
        <v>41.017000000000003</v>
      </c>
      <c r="I195" s="7">
        <v>0</v>
      </c>
      <c r="J195" s="7">
        <v>0</v>
      </c>
      <c r="K195" s="7">
        <v>71.346999999999994</v>
      </c>
      <c r="L195" s="7">
        <v>0</v>
      </c>
      <c r="M195" s="7">
        <v>605.87800000000004</v>
      </c>
      <c r="N195" s="7">
        <v>87.852999999999994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519.38099999999997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21"/>
    </row>
    <row r="196" spans="1:62" ht="15.75" x14ac:dyDescent="0.25">
      <c r="A196" s="21"/>
      <c r="B196" s="5" t="s">
        <v>363</v>
      </c>
      <c r="C196" s="5" t="s">
        <v>364</v>
      </c>
      <c r="D196" s="7">
        <v>6</v>
      </c>
      <c r="E196" s="7">
        <v>6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75" x14ac:dyDescent="0.25">
      <c r="A197" s="21"/>
      <c r="B197" s="5" t="s">
        <v>365</v>
      </c>
      <c r="C197" s="5" t="s">
        <v>366</v>
      </c>
      <c r="D197" s="7">
        <v>6</v>
      </c>
      <c r="E197" s="7">
        <v>6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75" x14ac:dyDescent="0.25">
      <c r="A198" s="21"/>
      <c r="B198" s="5" t="s">
        <v>367</v>
      </c>
      <c r="C198" s="5" t="s">
        <v>368</v>
      </c>
      <c r="D198" s="7">
        <v>6</v>
      </c>
      <c r="E198" s="7">
        <v>6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75" x14ac:dyDescent="0.25">
      <c r="A199" s="21"/>
      <c r="B199" s="5" t="s">
        <v>369</v>
      </c>
      <c r="C199" s="5" t="s">
        <v>370</v>
      </c>
      <c r="D199" s="7">
        <v>6</v>
      </c>
      <c r="E199" s="7">
        <v>6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75" x14ac:dyDescent="0.25">
      <c r="A200" s="21"/>
      <c r="B200" s="5" t="s">
        <v>371</v>
      </c>
      <c r="C200" s="5" t="s">
        <v>372</v>
      </c>
      <c r="D200" s="7">
        <v>6</v>
      </c>
      <c r="E200" s="7">
        <v>6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75" x14ac:dyDescent="0.25">
      <c r="A201" s="21"/>
      <c r="B201" s="5" t="s">
        <v>373</v>
      </c>
      <c r="C201" s="5" t="s">
        <v>374</v>
      </c>
      <c r="D201" s="7">
        <v>3</v>
      </c>
      <c r="E201" s="7">
        <v>6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75" x14ac:dyDescent="0.25">
      <c r="A202" s="21"/>
      <c r="B202" s="5" t="s">
        <v>375</v>
      </c>
      <c r="C202" s="5" t="s">
        <v>376</v>
      </c>
      <c r="D202" s="7">
        <v>6</v>
      </c>
      <c r="E202" s="7">
        <v>6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75" x14ac:dyDescent="0.25">
      <c r="A203" s="21"/>
      <c r="B203" s="5" t="s">
        <v>377</v>
      </c>
      <c r="C203" s="5" t="s">
        <v>378</v>
      </c>
      <c r="D203" s="7">
        <v>6</v>
      </c>
      <c r="E203" s="7">
        <v>6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75" x14ac:dyDescent="0.25">
      <c r="A204" s="21"/>
      <c r="B204" s="5" t="s">
        <v>379</v>
      </c>
      <c r="C204" s="5" t="s">
        <v>380</v>
      </c>
      <c r="D204" s="7">
        <v>6</v>
      </c>
      <c r="E204" s="7">
        <v>6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75" x14ac:dyDescent="0.25">
      <c r="A205" s="21"/>
      <c r="B205" s="5" t="s">
        <v>381</v>
      </c>
      <c r="C205" s="5" t="s">
        <v>382</v>
      </c>
      <c r="D205" s="7">
        <v>6</v>
      </c>
      <c r="E205" s="7">
        <v>6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75" x14ac:dyDescent="0.25">
      <c r="A206" s="21"/>
      <c r="B206" s="5" t="s">
        <v>383</v>
      </c>
      <c r="C206" s="5" t="s">
        <v>384</v>
      </c>
      <c r="D206" s="7">
        <v>6</v>
      </c>
      <c r="E206" s="7">
        <v>6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75" x14ac:dyDescent="0.25">
      <c r="A207" s="21"/>
      <c r="B207" s="5" t="s">
        <v>385</v>
      </c>
      <c r="C207" s="5" t="s">
        <v>386</v>
      </c>
      <c r="D207" s="7">
        <v>6</v>
      </c>
      <c r="E207" s="7">
        <v>6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75" x14ac:dyDescent="0.25">
      <c r="A208" s="21"/>
      <c r="B208" s="5" t="s">
        <v>387</v>
      </c>
      <c r="C208" s="5" t="s">
        <v>388</v>
      </c>
      <c r="D208" s="7">
        <v>6</v>
      </c>
      <c r="E208" s="7">
        <v>6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75" x14ac:dyDescent="0.25">
      <c r="A209" s="21"/>
      <c r="B209" s="5" t="s">
        <v>389</v>
      </c>
      <c r="C209" s="5" t="s">
        <v>390</v>
      </c>
      <c r="D209" s="7">
        <v>6</v>
      </c>
      <c r="E209" s="7">
        <v>6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75" x14ac:dyDescent="0.25">
      <c r="A210" s="21"/>
      <c r="B210" s="5" t="s">
        <v>391</v>
      </c>
      <c r="C210" s="5" t="s">
        <v>392</v>
      </c>
      <c r="D210" s="7">
        <v>6</v>
      </c>
      <c r="E210" s="7">
        <v>6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75" x14ac:dyDescent="0.25">
      <c r="A211" s="21"/>
      <c r="B211" s="5" t="s">
        <v>393</v>
      </c>
      <c r="C211" s="5" t="s">
        <v>394</v>
      </c>
      <c r="D211" s="7">
        <v>6</v>
      </c>
      <c r="E211" s="7">
        <v>6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75" x14ac:dyDescent="0.25">
      <c r="A212" s="21"/>
      <c r="B212" s="5" t="s">
        <v>395</v>
      </c>
      <c r="C212" s="5" t="s">
        <v>396</v>
      </c>
      <c r="D212" s="7">
        <v>6</v>
      </c>
      <c r="E212" s="7">
        <v>6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75" x14ac:dyDescent="0.25">
      <c r="A213" s="21"/>
      <c r="B213" s="5" t="s">
        <v>353</v>
      </c>
      <c r="C213" s="5" t="s">
        <v>397</v>
      </c>
      <c r="D213" s="7">
        <v>6</v>
      </c>
      <c r="E213" s="7">
        <v>6</v>
      </c>
      <c r="F213" s="7">
        <v>1421.6369999999999</v>
      </c>
      <c r="G213" s="7">
        <v>130.339</v>
      </c>
      <c r="H213" s="7">
        <v>187.94</v>
      </c>
      <c r="I213" s="7">
        <v>0.19</v>
      </c>
      <c r="J213" s="7">
        <v>32.548999999999999</v>
      </c>
      <c r="K213" s="7">
        <v>113.98699999999999</v>
      </c>
      <c r="L213" s="7">
        <v>0</v>
      </c>
      <c r="M213" s="7">
        <v>1041.875</v>
      </c>
      <c r="N213" s="7">
        <v>509.41300000000001</v>
      </c>
      <c r="O213" s="7">
        <v>0</v>
      </c>
      <c r="P213" s="7">
        <v>0</v>
      </c>
      <c r="Q213" s="7">
        <v>6.0410000000000004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16.428999999999998</v>
      </c>
      <c r="X213" s="7">
        <v>50.213999999999999</v>
      </c>
      <c r="Y213" s="7">
        <v>0</v>
      </c>
      <c r="Z213" s="7">
        <v>397.13299999999998</v>
      </c>
      <c r="AA213" s="7">
        <v>0</v>
      </c>
      <c r="AB213" s="7">
        <v>140.24700000000001</v>
      </c>
      <c r="AC213" s="7">
        <v>0</v>
      </c>
      <c r="AD213" s="7">
        <v>21.158000000000001</v>
      </c>
      <c r="AE213" s="7">
        <v>0</v>
      </c>
      <c r="AF213" s="7">
        <v>1266.9110000000001</v>
      </c>
      <c r="AG213" s="7">
        <v>0</v>
      </c>
      <c r="AH213" s="7">
        <v>0</v>
      </c>
      <c r="AI213" s="7">
        <v>2982.1439999999998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75" x14ac:dyDescent="0.25">
      <c r="A214" s="21"/>
      <c r="B214" s="5" t="s">
        <v>355</v>
      </c>
      <c r="C214" s="5" t="s">
        <v>398</v>
      </c>
      <c r="D214" s="7">
        <v>6</v>
      </c>
      <c r="E214" s="7">
        <v>6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75" x14ac:dyDescent="0.25">
      <c r="A215" s="21"/>
      <c r="B215" s="5" t="s">
        <v>357</v>
      </c>
      <c r="C215" s="5" t="s">
        <v>399</v>
      </c>
      <c r="D215" s="7">
        <v>6</v>
      </c>
      <c r="E215" s="7">
        <v>6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75" x14ac:dyDescent="0.25">
      <c r="A216" s="21"/>
      <c r="B216" s="5" t="s">
        <v>359</v>
      </c>
      <c r="C216" s="5" t="s">
        <v>400</v>
      </c>
      <c r="D216" s="7">
        <v>6</v>
      </c>
      <c r="E216" s="7">
        <v>6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75" x14ac:dyDescent="0.25">
      <c r="A217" s="21"/>
      <c r="B217" s="5" t="s">
        <v>361</v>
      </c>
      <c r="C217" s="5" t="s">
        <v>401</v>
      </c>
      <c r="D217" s="7">
        <v>6</v>
      </c>
      <c r="E217" s="7">
        <v>6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75" x14ac:dyDescent="0.25">
      <c r="A218" s="21"/>
      <c r="B218" s="5" t="s">
        <v>363</v>
      </c>
      <c r="C218" s="5" t="s">
        <v>402</v>
      </c>
      <c r="D218" s="7">
        <v>6</v>
      </c>
      <c r="E218" s="7">
        <v>6</v>
      </c>
      <c r="F218" s="7">
        <v>3.5000000000000003E-2</v>
      </c>
      <c r="G218" s="7">
        <v>0</v>
      </c>
      <c r="H218" s="7">
        <v>0</v>
      </c>
      <c r="I218" s="7">
        <v>0</v>
      </c>
      <c r="J218" s="7">
        <v>4.8000000000000001E-2</v>
      </c>
      <c r="K218" s="7">
        <v>0</v>
      </c>
      <c r="L218" s="7">
        <v>0</v>
      </c>
      <c r="M218" s="7">
        <v>0.24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0.61599999999999999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75" x14ac:dyDescent="0.25">
      <c r="A219" s="21"/>
      <c r="B219" s="5" t="s">
        <v>365</v>
      </c>
      <c r="C219" s="5" t="s">
        <v>403</v>
      </c>
      <c r="D219" s="7">
        <v>6</v>
      </c>
      <c r="E219" s="7">
        <v>6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75" x14ac:dyDescent="0.25">
      <c r="A220" s="21"/>
      <c r="B220" s="5" t="s">
        <v>367</v>
      </c>
      <c r="C220" s="5" t="s">
        <v>404</v>
      </c>
      <c r="D220" s="7">
        <v>6</v>
      </c>
      <c r="E220" s="7">
        <v>6</v>
      </c>
      <c r="F220" s="7">
        <v>42623.438999999998</v>
      </c>
      <c r="G220" s="7">
        <v>8366.76</v>
      </c>
      <c r="H220" s="7">
        <v>0</v>
      </c>
      <c r="I220" s="7">
        <v>0</v>
      </c>
      <c r="J220" s="7">
        <v>459.125</v>
      </c>
      <c r="K220" s="7">
        <v>0</v>
      </c>
      <c r="L220" s="7">
        <v>0</v>
      </c>
      <c r="M220" s="7">
        <v>106369.122</v>
      </c>
      <c r="N220" s="7">
        <v>10423.009</v>
      </c>
      <c r="O220" s="7">
        <v>0</v>
      </c>
      <c r="P220" s="7">
        <v>0</v>
      </c>
      <c r="Q220" s="7">
        <v>1.4970000000000001</v>
      </c>
      <c r="R220" s="7">
        <v>0</v>
      </c>
      <c r="S220" s="7">
        <v>0</v>
      </c>
      <c r="T220" s="7">
        <v>2643.3789999999999</v>
      </c>
      <c r="U220" s="7">
        <v>0</v>
      </c>
      <c r="V220" s="7">
        <v>0</v>
      </c>
      <c r="W220" s="7">
        <v>0</v>
      </c>
      <c r="X220" s="7">
        <v>748.26099999999997</v>
      </c>
      <c r="Y220" s="7">
        <v>0</v>
      </c>
      <c r="Z220" s="7">
        <v>16522.057000000001</v>
      </c>
      <c r="AA220" s="7">
        <v>0</v>
      </c>
      <c r="AB220" s="7">
        <v>0</v>
      </c>
      <c r="AC220" s="7">
        <v>0</v>
      </c>
      <c r="AD220" s="7">
        <v>1595.7470000000001</v>
      </c>
      <c r="AE220" s="7">
        <v>0</v>
      </c>
      <c r="AF220" s="7">
        <v>41363.267</v>
      </c>
      <c r="AG220" s="7">
        <v>21307.914000000001</v>
      </c>
      <c r="AH220" s="7">
        <v>0</v>
      </c>
      <c r="AI220" s="7">
        <v>176420.652</v>
      </c>
      <c r="AJ220" s="7">
        <v>39921.300000000003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277.351</v>
      </c>
      <c r="AQ220" s="7">
        <v>0</v>
      </c>
      <c r="AR220" s="7">
        <v>6556.223</v>
      </c>
      <c r="AS220" s="7">
        <v>0</v>
      </c>
      <c r="AT220" s="7">
        <v>25.484999999999999</v>
      </c>
      <c r="AU220" s="7">
        <v>0</v>
      </c>
      <c r="AV220" s="7">
        <v>183.941</v>
      </c>
      <c r="AW220" s="7">
        <v>0</v>
      </c>
      <c r="AX220" s="7">
        <v>0</v>
      </c>
      <c r="AY220" s="7">
        <v>0</v>
      </c>
      <c r="AZ220" s="7">
        <v>85.388999999999996</v>
      </c>
      <c r="BA220" s="7">
        <v>867.66899999999998</v>
      </c>
      <c r="BB220" s="7">
        <v>0</v>
      </c>
      <c r="BC220" s="7">
        <v>110.125</v>
      </c>
      <c r="BD220" s="7">
        <v>0</v>
      </c>
      <c r="BE220" s="7">
        <v>968.721</v>
      </c>
      <c r="BF220" s="7">
        <v>17.015000000000001</v>
      </c>
      <c r="BG220" s="7">
        <v>423.83600000000001</v>
      </c>
      <c r="BH220" s="7">
        <v>0</v>
      </c>
      <c r="BI220" s="7">
        <v>0</v>
      </c>
      <c r="BJ220" s="21"/>
    </row>
    <row r="221" spans="1:62" ht="15.75" x14ac:dyDescent="0.25">
      <c r="A221" s="21"/>
      <c r="B221" s="5" t="s">
        <v>369</v>
      </c>
      <c r="C221" s="5" t="s">
        <v>405</v>
      </c>
      <c r="D221" s="7">
        <v>6</v>
      </c>
      <c r="E221" s="7">
        <v>6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21"/>
    </row>
    <row r="222" spans="1:62" ht="15.75" x14ac:dyDescent="0.25">
      <c r="A222" s="21"/>
      <c r="B222" s="5" t="s">
        <v>371</v>
      </c>
      <c r="C222" s="5" t="s">
        <v>406</v>
      </c>
      <c r="D222" s="7">
        <v>6</v>
      </c>
      <c r="E222" s="7">
        <v>6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21"/>
    </row>
    <row r="223" spans="1:62" ht="15.75" x14ac:dyDescent="0.25">
      <c r="A223" s="21"/>
      <c r="B223" s="5" t="s">
        <v>373</v>
      </c>
      <c r="C223" s="5" t="s">
        <v>407</v>
      </c>
      <c r="D223" s="7">
        <v>6</v>
      </c>
      <c r="E223" s="7">
        <v>6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75" x14ac:dyDescent="0.25">
      <c r="A224" s="21"/>
      <c r="B224" s="5" t="s">
        <v>375</v>
      </c>
      <c r="C224" s="5" t="s">
        <v>408</v>
      </c>
      <c r="D224" s="7">
        <v>6</v>
      </c>
      <c r="E224" s="7">
        <v>6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75" x14ac:dyDescent="0.25">
      <c r="A225" s="21"/>
      <c r="B225" s="5" t="s">
        <v>377</v>
      </c>
      <c r="C225" s="5" t="s">
        <v>409</v>
      </c>
      <c r="D225" s="7">
        <v>6</v>
      </c>
      <c r="E225" s="7">
        <v>6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75" x14ac:dyDescent="0.25">
      <c r="A226" s="21"/>
      <c r="B226" s="5" t="s">
        <v>379</v>
      </c>
      <c r="C226" s="5" t="s">
        <v>410</v>
      </c>
      <c r="D226" s="7">
        <v>6</v>
      </c>
      <c r="E226" s="7">
        <v>6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75" x14ac:dyDescent="0.25">
      <c r="A227" s="21"/>
      <c r="B227" s="5" t="s">
        <v>381</v>
      </c>
      <c r="C227" s="5" t="s">
        <v>411</v>
      </c>
      <c r="D227" s="7">
        <v>6</v>
      </c>
      <c r="E227" s="7">
        <v>6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75" x14ac:dyDescent="0.25">
      <c r="A228" s="21"/>
      <c r="B228" s="5" t="s">
        <v>383</v>
      </c>
      <c r="C228" s="5" t="s">
        <v>412</v>
      </c>
      <c r="D228" s="7">
        <v>6</v>
      </c>
      <c r="E228" s="7">
        <v>6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75" x14ac:dyDescent="0.25">
      <c r="A229" s="21"/>
      <c r="B229" s="5" t="s">
        <v>385</v>
      </c>
      <c r="C229" s="5" t="s">
        <v>413</v>
      </c>
      <c r="D229" s="7">
        <v>6</v>
      </c>
      <c r="E229" s="7">
        <v>6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75" x14ac:dyDescent="0.25">
      <c r="A230" s="21"/>
      <c r="B230" s="5" t="s">
        <v>387</v>
      </c>
      <c r="C230" s="5" t="s">
        <v>414</v>
      </c>
      <c r="D230" s="7">
        <v>6</v>
      </c>
      <c r="E230" s="7">
        <v>6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75" x14ac:dyDescent="0.25">
      <c r="A231" s="21"/>
      <c r="B231" s="5" t="s">
        <v>389</v>
      </c>
      <c r="C231" s="5" t="s">
        <v>415</v>
      </c>
      <c r="D231" s="7">
        <v>6</v>
      </c>
      <c r="E231" s="7">
        <v>6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75" x14ac:dyDescent="0.25">
      <c r="A232" s="21"/>
      <c r="B232" s="5" t="s">
        <v>391</v>
      </c>
      <c r="C232" s="5" t="s">
        <v>416</v>
      </c>
      <c r="D232" s="7">
        <v>6</v>
      </c>
      <c r="E232" s="7">
        <v>6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75" x14ac:dyDescent="0.25">
      <c r="A233" s="21"/>
      <c r="B233" s="5" t="s">
        <v>393</v>
      </c>
      <c r="C233" s="5" t="s">
        <v>417</v>
      </c>
      <c r="D233" s="7">
        <v>6</v>
      </c>
      <c r="E233" s="7">
        <v>6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75" x14ac:dyDescent="0.25">
      <c r="A234" s="21"/>
      <c r="B234" s="5" t="s">
        <v>395</v>
      </c>
      <c r="C234" s="5" t="s">
        <v>418</v>
      </c>
      <c r="D234" s="7">
        <v>6</v>
      </c>
      <c r="E234" s="7">
        <v>6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75" x14ac:dyDescent="0.25">
      <c r="A235" s="21"/>
      <c r="B235" s="5" t="s">
        <v>419</v>
      </c>
      <c r="C235" s="5" t="s">
        <v>420</v>
      </c>
      <c r="D235" s="7">
        <v>6</v>
      </c>
      <c r="E235" s="7">
        <v>6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75" x14ac:dyDescent="0.25">
      <c r="A236" s="21"/>
      <c r="B236" s="5" t="s">
        <v>421</v>
      </c>
      <c r="C236" s="5" t="s">
        <v>422</v>
      </c>
      <c r="D236" s="7">
        <v>6</v>
      </c>
      <c r="E236" s="7">
        <v>6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75" x14ac:dyDescent="0.25">
      <c r="A237" s="21"/>
      <c r="B237" s="5" t="s">
        <v>423</v>
      </c>
      <c r="C237" s="5" t="s">
        <v>424</v>
      </c>
      <c r="D237" s="7">
        <v>6</v>
      </c>
      <c r="E237" s="7">
        <v>6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75" x14ac:dyDescent="0.25">
      <c r="A238" s="21"/>
      <c r="B238" s="5" t="s">
        <v>425</v>
      </c>
      <c r="C238" s="5" t="s">
        <v>426</v>
      </c>
      <c r="D238" s="7">
        <v>6</v>
      </c>
      <c r="E238" s="7">
        <v>6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75" x14ac:dyDescent="0.25">
      <c r="A239" s="21"/>
      <c r="B239" s="5" t="s">
        <v>427</v>
      </c>
      <c r="C239" s="5" t="s">
        <v>428</v>
      </c>
      <c r="D239" s="7">
        <v>6</v>
      </c>
      <c r="E239" s="7">
        <v>6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75" x14ac:dyDescent="0.25">
      <c r="A240" s="21"/>
      <c r="B240" s="5" t="s">
        <v>429</v>
      </c>
      <c r="C240" s="5" t="s">
        <v>430</v>
      </c>
      <c r="D240" s="7">
        <v>6</v>
      </c>
      <c r="E240" s="7">
        <v>6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75" x14ac:dyDescent="0.25">
      <c r="A241" s="21"/>
      <c r="B241" s="5" t="s">
        <v>431</v>
      </c>
      <c r="C241" s="5" t="s">
        <v>432</v>
      </c>
      <c r="D241" s="7">
        <v>6</v>
      </c>
      <c r="E241" s="7">
        <v>6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75" x14ac:dyDescent="0.25">
      <c r="A242" s="21"/>
      <c r="B242" s="5" t="s">
        <v>433</v>
      </c>
      <c r="C242" s="5" t="s">
        <v>434</v>
      </c>
      <c r="D242" s="7">
        <v>6</v>
      </c>
      <c r="E242" s="7">
        <v>6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75" x14ac:dyDescent="0.25">
      <c r="A243" s="21"/>
      <c r="B243" s="5" t="s">
        <v>435</v>
      </c>
      <c r="C243" s="5" t="s">
        <v>436</v>
      </c>
      <c r="D243" s="7">
        <v>6</v>
      </c>
      <c r="E243" s="7">
        <v>6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75" x14ac:dyDescent="0.25">
      <c r="A244" s="21"/>
      <c r="B244" s="5" t="s">
        <v>437</v>
      </c>
      <c r="C244" s="5" t="s">
        <v>438</v>
      </c>
      <c r="D244" s="7">
        <v>6</v>
      </c>
      <c r="E244" s="7">
        <v>6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75" x14ac:dyDescent="0.25">
      <c r="A245" s="21"/>
      <c r="B245" s="5" t="s">
        <v>439</v>
      </c>
      <c r="C245" s="5" t="s">
        <v>440</v>
      </c>
      <c r="D245" s="7">
        <v>6</v>
      </c>
      <c r="E245" s="7">
        <v>6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75" x14ac:dyDescent="0.25">
      <c r="A246" s="21"/>
      <c r="B246" s="5" t="s">
        <v>441</v>
      </c>
      <c r="C246" s="5" t="s">
        <v>442</v>
      </c>
      <c r="D246" s="7">
        <v>6</v>
      </c>
      <c r="E246" s="7">
        <v>6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75" x14ac:dyDescent="0.25">
      <c r="A247" s="21"/>
      <c r="B247" s="5" t="s">
        <v>443</v>
      </c>
      <c r="C247" s="5" t="s">
        <v>444</v>
      </c>
      <c r="D247" s="7">
        <v>6</v>
      </c>
      <c r="E247" s="7">
        <v>6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75" x14ac:dyDescent="0.25">
      <c r="A248" s="21"/>
      <c r="B248" s="5" t="s">
        <v>445</v>
      </c>
      <c r="C248" s="5" t="s">
        <v>446</v>
      </c>
      <c r="D248" s="7">
        <v>6</v>
      </c>
      <c r="E248" s="7">
        <v>6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75" x14ac:dyDescent="0.25">
      <c r="A249" s="21"/>
      <c r="B249" s="5" t="s">
        <v>447</v>
      </c>
      <c r="C249" s="5" t="s">
        <v>448</v>
      </c>
      <c r="D249" s="7">
        <v>6</v>
      </c>
      <c r="E249" s="7">
        <v>6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75" x14ac:dyDescent="0.25">
      <c r="A250" s="21"/>
      <c r="B250" s="5" t="s">
        <v>449</v>
      </c>
      <c r="C250" s="5" t="s">
        <v>450</v>
      </c>
      <c r="D250" s="7">
        <v>6</v>
      </c>
      <c r="E250" s="7">
        <v>6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75" x14ac:dyDescent="0.25">
      <c r="A251" s="21"/>
      <c r="B251" s="5" t="s">
        <v>451</v>
      </c>
      <c r="C251" s="5" t="s">
        <v>452</v>
      </c>
      <c r="D251" s="7">
        <v>6</v>
      </c>
      <c r="E251" s="7">
        <v>6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75" x14ac:dyDescent="0.25">
      <c r="A252" s="21"/>
      <c r="B252" s="5" t="s">
        <v>453</v>
      </c>
      <c r="C252" s="5" t="s">
        <v>454</v>
      </c>
      <c r="D252" s="7">
        <v>6</v>
      </c>
      <c r="E252" s="7">
        <v>6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75" x14ac:dyDescent="0.25">
      <c r="A253" s="21"/>
      <c r="B253" s="5" t="s">
        <v>455</v>
      </c>
      <c r="C253" s="5" t="s">
        <v>456</v>
      </c>
      <c r="D253" s="7">
        <v>6</v>
      </c>
      <c r="E253" s="7">
        <v>6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75" x14ac:dyDescent="0.25">
      <c r="A254" s="21"/>
      <c r="B254" s="5" t="s">
        <v>457</v>
      </c>
      <c r="C254" s="5" t="s">
        <v>458</v>
      </c>
      <c r="D254" s="7">
        <v>6</v>
      </c>
      <c r="E254" s="7">
        <v>6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616.36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75" x14ac:dyDescent="0.25">
      <c r="A255" s="21"/>
      <c r="B255" s="5" t="s">
        <v>459</v>
      </c>
      <c r="C255" s="5" t="s">
        <v>460</v>
      </c>
      <c r="D255" s="7">
        <v>6</v>
      </c>
      <c r="E255" s="7">
        <v>6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5251.98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75" x14ac:dyDescent="0.25">
      <c r="A256" s="21"/>
      <c r="B256" s="5" t="s">
        <v>461</v>
      </c>
      <c r="C256" s="5" t="s">
        <v>462</v>
      </c>
      <c r="D256" s="7">
        <v>6</v>
      </c>
      <c r="E256" s="7">
        <v>6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516.94600000000003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405.60399999999998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75" x14ac:dyDescent="0.25">
      <c r="A257" s="21"/>
      <c r="B257" s="5" t="s">
        <v>419</v>
      </c>
      <c r="C257" s="5" t="s">
        <v>463</v>
      </c>
      <c r="D257" s="7">
        <v>6</v>
      </c>
      <c r="E257" s="7">
        <v>6</v>
      </c>
      <c r="F257" s="7">
        <v>0</v>
      </c>
      <c r="G257" s="7">
        <v>0</v>
      </c>
      <c r="H257" s="7">
        <v>0</v>
      </c>
      <c r="I257" s="7">
        <v>0</v>
      </c>
      <c r="J257" s="7">
        <v>7.0000000000000001E-3</v>
      </c>
      <c r="K257" s="7">
        <v>0</v>
      </c>
      <c r="L257" s="7">
        <v>0</v>
      </c>
      <c r="M257" s="7">
        <v>3.9E-2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4.4999999999999998E-2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75" x14ac:dyDescent="0.25">
      <c r="A258" s="21"/>
      <c r="B258" s="5" t="s">
        <v>421</v>
      </c>
      <c r="C258" s="5" t="s">
        <v>464</v>
      </c>
      <c r="D258" s="7">
        <v>6</v>
      </c>
      <c r="E258" s="7">
        <v>6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75" x14ac:dyDescent="0.25">
      <c r="A259" s="21"/>
      <c r="B259" s="5" t="s">
        <v>423</v>
      </c>
      <c r="C259" s="5" t="s">
        <v>465</v>
      </c>
      <c r="D259" s="7">
        <v>6</v>
      </c>
      <c r="E259" s="7">
        <v>6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75" x14ac:dyDescent="0.25">
      <c r="A260" s="21"/>
      <c r="B260" s="5" t="s">
        <v>425</v>
      </c>
      <c r="C260" s="5" t="s">
        <v>466</v>
      </c>
      <c r="D260" s="7">
        <v>6</v>
      </c>
      <c r="E260" s="7">
        <v>6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75" x14ac:dyDescent="0.25">
      <c r="A261" s="21"/>
      <c r="B261" s="5" t="s">
        <v>427</v>
      </c>
      <c r="C261" s="5" t="s">
        <v>467</v>
      </c>
      <c r="D261" s="7">
        <v>6</v>
      </c>
      <c r="E261" s="7">
        <v>6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75" x14ac:dyDescent="0.25">
      <c r="A262" s="21"/>
      <c r="B262" s="5" t="s">
        <v>429</v>
      </c>
      <c r="C262" s="5" t="s">
        <v>468</v>
      </c>
      <c r="D262" s="7">
        <v>6</v>
      </c>
      <c r="E262" s="7">
        <v>6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75" x14ac:dyDescent="0.25">
      <c r="A263" s="21"/>
      <c r="B263" s="5" t="s">
        <v>431</v>
      </c>
      <c r="C263" s="5" t="s">
        <v>469</v>
      </c>
      <c r="D263" s="7">
        <v>6</v>
      </c>
      <c r="E263" s="7">
        <v>6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75" x14ac:dyDescent="0.25">
      <c r="A264" s="21"/>
      <c r="B264" s="5" t="s">
        <v>433</v>
      </c>
      <c r="C264" s="5" t="s">
        <v>470</v>
      </c>
      <c r="D264" s="7">
        <v>6</v>
      </c>
      <c r="E264" s="7">
        <v>6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75" x14ac:dyDescent="0.25">
      <c r="A265" s="21"/>
      <c r="B265" s="5" t="s">
        <v>435</v>
      </c>
      <c r="C265" s="5" t="s">
        <v>471</v>
      </c>
      <c r="D265" s="7">
        <v>6</v>
      </c>
      <c r="E265" s="7">
        <v>6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75" x14ac:dyDescent="0.25">
      <c r="A266" s="21"/>
      <c r="B266" s="5" t="s">
        <v>437</v>
      </c>
      <c r="C266" s="5" t="s">
        <v>472</v>
      </c>
      <c r="D266" s="7">
        <v>6</v>
      </c>
      <c r="E266" s="7">
        <v>6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75" x14ac:dyDescent="0.25">
      <c r="A267" s="21"/>
      <c r="B267" s="5" t="s">
        <v>439</v>
      </c>
      <c r="C267" s="5" t="s">
        <v>473</v>
      </c>
      <c r="D267" s="7">
        <v>6</v>
      </c>
      <c r="E267" s="7">
        <v>6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75" x14ac:dyDescent="0.25">
      <c r="A268" s="21"/>
      <c r="B268" s="5" t="s">
        <v>441</v>
      </c>
      <c r="C268" s="5" t="s">
        <v>474</v>
      </c>
      <c r="D268" s="7">
        <v>6</v>
      </c>
      <c r="E268" s="7">
        <v>6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75" x14ac:dyDescent="0.25">
      <c r="A269" s="21"/>
      <c r="B269" s="5" t="s">
        <v>443</v>
      </c>
      <c r="C269" s="5" t="s">
        <v>475</v>
      </c>
      <c r="D269" s="7">
        <v>6</v>
      </c>
      <c r="E269" s="7">
        <v>6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75" x14ac:dyDescent="0.25">
      <c r="A270" s="21"/>
      <c r="B270" s="5" t="s">
        <v>445</v>
      </c>
      <c r="C270" s="5" t="s">
        <v>476</v>
      </c>
      <c r="D270" s="7">
        <v>6</v>
      </c>
      <c r="E270" s="7">
        <v>6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75" x14ac:dyDescent="0.25">
      <c r="A271" s="21"/>
      <c r="B271" s="5" t="s">
        <v>447</v>
      </c>
      <c r="C271" s="5" t="s">
        <v>477</v>
      </c>
      <c r="D271" s="7">
        <v>6</v>
      </c>
      <c r="E271" s="7">
        <v>6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75" x14ac:dyDescent="0.25">
      <c r="A272" s="21"/>
      <c r="B272" s="5" t="s">
        <v>449</v>
      </c>
      <c r="C272" s="5" t="s">
        <v>478</v>
      </c>
      <c r="D272" s="7">
        <v>6</v>
      </c>
      <c r="E272" s="7">
        <v>6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75" x14ac:dyDescent="0.25">
      <c r="A273" s="21"/>
      <c r="B273" s="5" t="s">
        <v>451</v>
      </c>
      <c r="C273" s="5" t="s">
        <v>479</v>
      </c>
      <c r="D273" s="7">
        <v>6</v>
      </c>
      <c r="E273" s="7">
        <v>6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75" x14ac:dyDescent="0.25">
      <c r="A274" s="21"/>
      <c r="B274" s="5" t="s">
        <v>453</v>
      </c>
      <c r="C274" s="5" t="s">
        <v>480</v>
      </c>
      <c r="D274" s="7">
        <v>6</v>
      </c>
      <c r="E274" s="7">
        <v>6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75" x14ac:dyDescent="0.25">
      <c r="A275" s="21"/>
      <c r="B275" s="5" t="s">
        <v>455</v>
      </c>
      <c r="C275" s="5" t="s">
        <v>481</v>
      </c>
      <c r="D275" s="7">
        <v>6</v>
      </c>
      <c r="E275" s="7">
        <v>6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75" x14ac:dyDescent="0.25">
      <c r="A276" s="21"/>
      <c r="B276" s="5" t="s">
        <v>457</v>
      </c>
      <c r="C276" s="5" t="s">
        <v>482</v>
      </c>
      <c r="D276" s="7">
        <v>6</v>
      </c>
      <c r="E276" s="7">
        <v>6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75" x14ac:dyDescent="0.25">
      <c r="A277" s="21"/>
      <c r="B277" s="5" t="s">
        <v>459</v>
      </c>
      <c r="C277" s="5" t="s">
        <v>483</v>
      </c>
      <c r="D277" s="7">
        <v>6</v>
      </c>
      <c r="E277" s="7">
        <v>6</v>
      </c>
      <c r="F277" s="7">
        <v>3555.6640000000002</v>
      </c>
      <c r="G277" s="7">
        <v>2481.877</v>
      </c>
      <c r="H277" s="7">
        <v>173.58600000000001</v>
      </c>
      <c r="I277" s="7">
        <v>382.74599999999998</v>
      </c>
      <c r="J277" s="7">
        <v>219.63399999999999</v>
      </c>
      <c r="K277" s="7">
        <v>1843.4649999999999</v>
      </c>
      <c r="L277" s="7">
        <v>0</v>
      </c>
      <c r="M277" s="7">
        <v>5756.9709999999995</v>
      </c>
      <c r="N277" s="7">
        <v>2473.5720000000001</v>
      </c>
      <c r="O277" s="7">
        <v>0</v>
      </c>
      <c r="P277" s="7">
        <v>0</v>
      </c>
      <c r="Q277" s="7">
        <v>7.0000000000000001E-3</v>
      </c>
      <c r="R277" s="7">
        <v>0</v>
      </c>
      <c r="S277" s="7">
        <v>0</v>
      </c>
      <c r="T277" s="7">
        <v>994.63400000000001</v>
      </c>
      <c r="U277" s="7">
        <v>0</v>
      </c>
      <c r="V277" s="7">
        <v>0</v>
      </c>
      <c r="W277" s="7">
        <v>178.53</v>
      </c>
      <c r="X277" s="7">
        <v>3.2829999999999999</v>
      </c>
      <c r="Y277" s="7">
        <v>0</v>
      </c>
      <c r="Z277" s="7">
        <v>0.18</v>
      </c>
      <c r="AA277" s="7">
        <v>0</v>
      </c>
      <c r="AB277" s="7">
        <v>4115.3779999999997</v>
      </c>
      <c r="AC277" s="7">
        <v>0</v>
      </c>
      <c r="AD277" s="7">
        <v>435.94099999999997</v>
      </c>
      <c r="AE277" s="7">
        <v>0</v>
      </c>
      <c r="AF277" s="7">
        <v>8.0169999999999995</v>
      </c>
      <c r="AG277" s="7">
        <v>45.496000000000002</v>
      </c>
      <c r="AH277" s="7">
        <v>0</v>
      </c>
      <c r="AI277" s="7">
        <v>11410.351000000001</v>
      </c>
      <c r="AJ277" s="7">
        <v>3.4000000000000002E-2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160.57300000000001</v>
      </c>
      <c r="AQ277" s="7">
        <v>0</v>
      </c>
      <c r="AR277" s="7">
        <v>6.38</v>
      </c>
      <c r="AS277" s="7">
        <v>0</v>
      </c>
      <c r="AT277" s="7">
        <v>3.468</v>
      </c>
      <c r="AU277" s="7">
        <v>0</v>
      </c>
      <c r="AV277" s="7">
        <v>0.47199999999999998</v>
      </c>
      <c r="AW277" s="7">
        <v>0</v>
      </c>
      <c r="AX277" s="7">
        <v>0</v>
      </c>
      <c r="AY277" s="7">
        <v>0</v>
      </c>
      <c r="AZ277" s="7">
        <v>154.03800000000001</v>
      </c>
      <c r="BA277" s="7">
        <v>0</v>
      </c>
      <c r="BB277" s="7">
        <v>0</v>
      </c>
      <c r="BC277" s="7">
        <v>52.168999999999997</v>
      </c>
      <c r="BD277" s="7">
        <v>103.673</v>
      </c>
      <c r="BE277" s="7">
        <v>0</v>
      </c>
      <c r="BF277" s="7">
        <v>9.3879999999999999</v>
      </c>
      <c r="BG277" s="7">
        <v>0</v>
      </c>
      <c r="BH277" s="7">
        <v>0</v>
      </c>
      <c r="BI277" s="7">
        <v>44.491999999999997</v>
      </c>
      <c r="BJ277" s="21"/>
    </row>
    <row r="278" spans="1:62" ht="15.75" x14ac:dyDescent="0.25">
      <c r="A278" s="21"/>
      <c r="B278" s="5" t="s">
        <v>461</v>
      </c>
      <c r="C278" s="5" t="s">
        <v>484</v>
      </c>
      <c r="D278" s="7">
        <v>6</v>
      </c>
      <c r="E278" s="7">
        <v>6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21"/>
    </row>
    <row r="279" spans="1:62" ht="15.75" x14ac:dyDescent="0.25">
      <c r="A279" s="21"/>
      <c r="B279" s="5" t="s">
        <v>485</v>
      </c>
      <c r="C279" s="5" t="s">
        <v>486</v>
      </c>
      <c r="D279" s="7">
        <v>5</v>
      </c>
      <c r="E279" s="7">
        <v>5</v>
      </c>
      <c r="F279" s="7">
        <v>140863.39600000001</v>
      </c>
      <c r="G279" s="7">
        <v>0</v>
      </c>
      <c r="H279" s="7">
        <v>13889.536</v>
      </c>
      <c r="I279" s="7">
        <v>266.83999999999997</v>
      </c>
      <c r="J279" s="7">
        <v>0</v>
      </c>
      <c r="K279" s="7">
        <v>31306.075000000001</v>
      </c>
      <c r="L279" s="7">
        <v>14251.71</v>
      </c>
      <c r="M279" s="7">
        <v>147080.89199999999</v>
      </c>
      <c r="N279" s="7">
        <v>159778.18700000001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2720.4029999999998</v>
      </c>
      <c r="W279" s="7">
        <v>933.35500000000002</v>
      </c>
      <c r="X279" s="7">
        <v>6001.5730000000003</v>
      </c>
      <c r="Y279" s="7">
        <v>0</v>
      </c>
      <c r="Z279" s="7">
        <v>33535.18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82185.732999999993</v>
      </c>
      <c r="AG279" s="7">
        <v>12490.334999999999</v>
      </c>
      <c r="AH279" s="7">
        <v>7592.8760000000002</v>
      </c>
      <c r="AI279" s="7">
        <v>568135.81099999999</v>
      </c>
      <c r="AJ279" s="7">
        <v>74626.542000000001</v>
      </c>
      <c r="AK279" s="7">
        <v>21.762</v>
      </c>
      <c r="AL279" s="7">
        <v>32.209000000000003</v>
      </c>
      <c r="AM279" s="7">
        <v>115.64700000000001</v>
      </c>
      <c r="AN279" s="7">
        <v>590.92700000000002</v>
      </c>
      <c r="AO279" s="7">
        <v>499.71899999999999</v>
      </c>
      <c r="AP279" s="7">
        <v>0</v>
      </c>
      <c r="AQ279" s="7">
        <v>0</v>
      </c>
      <c r="AR279" s="7">
        <v>5843.0839999999998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21"/>
    </row>
    <row r="280" spans="1:62" ht="15.75" x14ac:dyDescent="0.25">
      <c r="A280" s="21"/>
      <c r="B280" s="5" t="s">
        <v>487</v>
      </c>
      <c r="C280" s="5" t="s">
        <v>488</v>
      </c>
      <c r="D280" s="7">
        <v>5</v>
      </c>
      <c r="E280" s="7">
        <v>5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75" x14ac:dyDescent="0.25">
      <c r="A281" s="21"/>
      <c r="B281" s="5" t="s">
        <v>489</v>
      </c>
      <c r="C281" s="5" t="s">
        <v>490</v>
      </c>
      <c r="D281" s="7">
        <v>5</v>
      </c>
      <c r="E281" s="7">
        <v>5</v>
      </c>
      <c r="F281" s="7">
        <v>16854.652999999998</v>
      </c>
      <c r="G281" s="7">
        <v>1550.1579999999999</v>
      </c>
      <c r="H281" s="7">
        <v>2207.7049999999999</v>
      </c>
      <c r="I281" s="7">
        <v>0</v>
      </c>
      <c r="J281" s="7">
        <v>387.12</v>
      </c>
      <c r="K281" s="7">
        <v>1347.9110000000001</v>
      </c>
      <c r="L281" s="7">
        <v>0</v>
      </c>
      <c r="M281" s="7">
        <v>12330.397999999999</v>
      </c>
      <c r="N281" s="7">
        <v>6011.2169999999996</v>
      </c>
      <c r="O281" s="7">
        <v>0</v>
      </c>
      <c r="P281" s="7">
        <v>0</v>
      </c>
      <c r="Q281" s="7">
        <v>71.852999999999994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195.38900000000001</v>
      </c>
      <c r="X281" s="7">
        <v>597.20799999999997</v>
      </c>
      <c r="Y281" s="7">
        <v>0</v>
      </c>
      <c r="Z281" s="7">
        <v>4723.2209999999995</v>
      </c>
      <c r="AA281" s="7">
        <v>0</v>
      </c>
      <c r="AB281" s="7">
        <v>1668.0029999999999</v>
      </c>
      <c r="AC281" s="7">
        <v>0</v>
      </c>
      <c r="AD281" s="7">
        <v>251.64099999999999</v>
      </c>
      <c r="AE281" s="7">
        <v>0</v>
      </c>
      <c r="AF281" s="7">
        <v>15067.737999999999</v>
      </c>
      <c r="AG281" s="7">
        <v>0</v>
      </c>
      <c r="AH281" s="7">
        <v>0</v>
      </c>
      <c r="AI281" s="7">
        <v>35390.887999999999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75" x14ac:dyDescent="0.25">
      <c r="A282" s="21"/>
      <c r="B282" s="5" t="s">
        <v>491</v>
      </c>
      <c r="C282" s="5" t="s">
        <v>492</v>
      </c>
      <c r="D282" s="7">
        <v>5</v>
      </c>
      <c r="E282" s="7">
        <v>5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75" x14ac:dyDescent="0.25">
      <c r="A283" s="21"/>
      <c r="B283" s="5" t="s">
        <v>493</v>
      </c>
      <c r="C283" s="5" t="s">
        <v>494</v>
      </c>
      <c r="D283" s="7">
        <v>5</v>
      </c>
      <c r="E283" s="7">
        <v>5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75" x14ac:dyDescent="0.25">
      <c r="A284" s="21"/>
      <c r="B284" s="5" t="s">
        <v>495</v>
      </c>
      <c r="C284" s="5" t="s">
        <v>496</v>
      </c>
      <c r="D284" s="7">
        <v>5</v>
      </c>
      <c r="E284" s="7">
        <v>5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75" x14ac:dyDescent="0.25">
      <c r="A285" s="21"/>
      <c r="B285" s="5" t="s">
        <v>497</v>
      </c>
      <c r="C285" s="5" t="s">
        <v>498</v>
      </c>
      <c r="D285" s="7">
        <v>5</v>
      </c>
      <c r="E285" s="7">
        <v>5</v>
      </c>
      <c r="F285" s="7">
        <v>76414.448000000004</v>
      </c>
      <c r="G285" s="7">
        <v>7274.8019999999997</v>
      </c>
      <c r="H285" s="7">
        <v>11396.353999999999</v>
      </c>
      <c r="I285" s="7">
        <v>0</v>
      </c>
      <c r="J285" s="7">
        <v>1875.1579999999999</v>
      </c>
      <c r="K285" s="7">
        <v>6550.7650000000003</v>
      </c>
      <c r="L285" s="7">
        <v>0</v>
      </c>
      <c r="M285" s="7">
        <v>68445.732999999993</v>
      </c>
      <c r="N285" s="7">
        <v>31142.133000000002</v>
      </c>
      <c r="O285" s="7">
        <v>0</v>
      </c>
      <c r="P285" s="7">
        <v>0</v>
      </c>
      <c r="Q285" s="7">
        <v>372.63200000000001</v>
      </c>
      <c r="R285" s="7">
        <v>0</v>
      </c>
      <c r="S285" s="7">
        <v>0</v>
      </c>
      <c r="T285" s="7">
        <v>0.18</v>
      </c>
      <c r="U285" s="7">
        <v>0</v>
      </c>
      <c r="V285" s="7">
        <v>0</v>
      </c>
      <c r="W285" s="7">
        <v>777.10599999999999</v>
      </c>
      <c r="X285" s="7">
        <v>2375.1480000000001</v>
      </c>
      <c r="Y285" s="7">
        <v>0</v>
      </c>
      <c r="Z285" s="7">
        <v>19686.909</v>
      </c>
      <c r="AA285" s="7">
        <v>0</v>
      </c>
      <c r="AB285" s="7">
        <v>6633.9660000000003</v>
      </c>
      <c r="AC285" s="7">
        <v>0</v>
      </c>
      <c r="AD285" s="7">
        <v>1000.808</v>
      </c>
      <c r="AE285" s="7">
        <v>0</v>
      </c>
      <c r="AF285" s="7">
        <v>63516.353000000003</v>
      </c>
      <c r="AG285" s="7">
        <v>0</v>
      </c>
      <c r="AH285" s="7">
        <v>0</v>
      </c>
      <c r="AI285" s="7">
        <v>177327.114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1.0999999999999999E-2</v>
      </c>
      <c r="AQ285" s="7">
        <v>0</v>
      </c>
      <c r="AR285" s="7">
        <v>0</v>
      </c>
      <c r="AS285" s="7">
        <v>0</v>
      </c>
      <c r="AT285" s="7">
        <v>2E-3</v>
      </c>
      <c r="AU285" s="7">
        <v>0</v>
      </c>
      <c r="AV285" s="7">
        <v>4.5999999999999999E-2</v>
      </c>
      <c r="AW285" s="7">
        <v>0</v>
      </c>
      <c r="AX285" s="7">
        <v>0</v>
      </c>
      <c r="AY285" s="7">
        <v>0</v>
      </c>
      <c r="AZ285" s="7">
        <v>1.2999999999999999E-2</v>
      </c>
      <c r="BA285" s="7">
        <v>0</v>
      </c>
      <c r="BB285" s="7">
        <v>0</v>
      </c>
      <c r="BC285" s="7">
        <v>5.0000000000000001E-3</v>
      </c>
      <c r="BD285" s="7">
        <v>1.0999999999999999E-2</v>
      </c>
      <c r="BE285" s="7">
        <v>0</v>
      </c>
      <c r="BF285" s="7">
        <v>0</v>
      </c>
      <c r="BG285" s="7">
        <v>0</v>
      </c>
      <c r="BH285" s="7">
        <v>0</v>
      </c>
      <c r="BI285" s="7">
        <v>4.0000000000000001E-3</v>
      </c>
      <c r="BJ285" s="21"/>
    </row>
    <row r="286" spans="1:62" ht="15.75" x14ac:dyDescent="0.25">
      <c r="A286" s="21"/>
      <c r="B286" s="5" t="s">
        <v>499</v>
      </c>
      <c r="C286" s="5" t="s">
        <v>500</v>
      </c>
      <c r="D286" s="7">
        <v>5</v>
      </c>
      <c r="E286" s="7">
        <v>5</v>
      </c>
      <c r="F286" s="7">
        <v>191762.12700000001</v>
      </c>
      <c r="G286" s="7">
        <v>18974.614000000001</v>
      </c>
      <c r="H286" s="7">
        <v>28426.075000000001</v>
      </c>
      <c r="I286" s="7">
        <v>14317.857</v>
      </c>
      <c r="J286" s="7">
        <v>4990.1409999999996</v>
      </c>
      <c r="K286" s="7">
        <v>16780.103999999999</v>
      </c>
      <c r="L286" s="7">
        <v>0</v>
      </c>
      <c r="M286" s="7">
        <v>148246.05900000001</v>
      </c>
      <c r="N286" s="7">
        <v>76217.608999999997</v>
      </c>
      <c r="O286" s="7">
        <v>0</v>
      </c>
      <c r="P286" s="7">
        <v>0</v>
      </c>
      <c r="Q286" s="7">
        <v>923.12800000000004</v>
      </c>
      <c r="R286" s="7">
        <v>0</v>
      </c>
      <c r="S286" s="7">
        <v>55.298999999999999</v>
      </c>
      <c r="T286" s="7">
        <v>0</v>
      </c>
      <c r="U286" s="7">
        <v>0</v>
      </c>
      <c r="V286" s="7">
        <v>0</v>
      </c>
      <c r="W286" s="7">
        <v>2034.9169999999999</v>
      </c>
      <c r="X286" s="7">
        <v>6307.134</v>
      </c>
      <c r="Y286" s="7">
        <v>0</v>
      </c>
      <c r="Z286" s="7">
        <v>49540.445</v>
      </c>
      <c r="AA286" s="7">
        <v>0</v>
      </c>
      <c r="AB286" s="7">
        <v>17649</v>
      </c>
      <c r="AC286" s="7">
        <v>0</v>
      </c>
      <c r="AD286" s="7">
        <v>2620.759</v>
      </c>
      <c r="AE286" s="7">
        <v>0</v>
      </c>
      <c r="AF286" s="7">
        <v>158683.72399999999</v>
      </c>
      <c r="AG286" s="7">
        <v>0</v>
      </c>
      <c r="AH286" s="7">
        <v>0</v>
      </c>
      <c r="AI286" s="7">
        <v>398777.27600000001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51.453000000000003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75" x14ac:dyDescent="0.25">
      <c r="A287" s="21"/>
      <c r="B287" s="5" t="s">
        <v>501</v>
      </c>
      <c r="C287" s="5" t="s">
        <v>502</v>
      </c>
      <c r="D287" s="7">
        <v>5</v>
      </c>
      <c r="E287" s="7">
        <v>5</v>
      </c>
      <c r="F287" s="7">
        <v>2149.38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6128.9539999999997</v>
      </c>
      <c r="N287" s="7">
        <v>294.74099999999999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2431.7800000000002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4986.5609999999997</v>
      </c>
      <c r="AG287" s="7">
        <v>0</v>
      </c>
      <c r="AH287" s="7">
        <v>0</v>
      </c>
      <c r="AI287" s="7">
        <v>12322.379000000001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75" x14ac:dyDescent="0.25">
      <c r="A288" s="21"/>
      <c r="B288" s="5" t="s">
        <v>503</v>
      </c>
      <c r="C288" s="5" t="s">
        <v>504</v>
      </c>
      <c r="D288" s="7">
        <v>5</v>
      </c>
      <c r="E288" s="7">
        <v>5</v>
      </c>
      <c r="F288" s="7">
        <v>35826.364999999998</v>
      </c>
      <c r="G288" s="7">
        <v>2968.9029999999998</v>
      </c>
      <c r="H288" s="7">
        <v>4228.2539999999999</v>
      </c>
      <c r="I288" s="7">
        <v>102.621</v>
      </c>
      <c r="J288" s="7">
        <v>741.42200000000003</v>
      </c>
      <c r="K288" s="7">
        <v>2581.5529999999999</v>
      </c>
      <c r="L288" s="7">
        <v>0</v>
      </c>
      <c r="M288" s="7">
        <v>31226.973999999998</v>
      </c>
      <c r="N288" s="7">
        <v>12676.897000000001</v>
      </c>
      <c r="O288" s="7">
        <v>0</v>
      </c>
      <c r="P288" s="7">
        <v>0</v>
      </c>
      <c r="Q288" s="7">
        <v>137.614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374.21499999999997</v>
      </c>
      <c r="X288" s="7">
        <v>1143.788</v>
      </c>
      <c r="Y288" s="7">
        <v>0</v>
      </c>
      <c r="Z288" s="7">
        <v>11842.02</v>
      </c>
      <c r="AA288" s="7">
        <v>0</v>
      </c>
      <c r="AB288" s="7">
        <v>3194.6030000000001</v>
      </c>
      <c r="AC288" s="7">
        <v>0</v>
      </c>
      <c r="AD288" s="7">
        <v>481.94900000000001</v>
      </c>
      <c r="AE288" s="7">
        <v>0</v>
      </c>
      <c r="AF288" s="7">
        <v>34440.142</v>
      </c>
      <c r="AG288" s="7">
        <v>0</v>
      </c>
      <c r="AH288" s="7">
        <v>0</v>
      </c>
      <c r="AI288" s="7">
        <v>80508.760999999999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75" x14ac:dyDescent="0.25">
      <c r="A289" s="21"/>
      <c r="B289" s="5" t="s">
        <v>505</v>
      </c>
      <c r="C289" s="5" t="s">
        <v>506</v>
      </c>
      <c r="D289" s="7">
        <v>5</v>
      </c>
      <c r="E289" s="7">
        <v>5</v>
      </c>
      <c r="F289" s="7">
        <v>48622.02</v>
      </c>
      <c r="G289" s="7">
        <v>1182.424</v>
      </c>
      <c r="H289" s="7">
        <v>1683.9849999999999</v>
      </c>
      <c r="I289" s="7">
        <v>9577.7049999999999</v>
      </c>
      <c r="J289" s="7">
        <v>295.286</v>
      </c>
      <c r="K289" s="7">
        <v>1028.154</v>
      </c>
      <c r="L289" s="7">
        <v>0</v>
      </c>
      <c r="M289" s="7">
        <v>60851.601000000002</v>
      </c>
      <c r="N289" s="7">
        <v>13515.903</v>
      </c>
      <c r="O289" s="7">
        <v>0</v>
      </c>
      <c r="P289" s="7">
        <v>0</v>
      </c>
      <c r="Q289" s="7">
        <v>54.808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149.03800000000001</v>
      </c>
      <c r="X289" s="7">
        <v>455.536</v>
      </c>
      <c r="Y289" s="7">
        <v>0</v>
      </c>
      <c r="Z289" s="7">
        <v>16664.881000000001</v>
      </c>
      <c r="AA289" s="7">
        <v>0</v>
      </c>
      <c r="AB289" s="7">
        <v>1272.3130000000001</v>
      </c>
      <c r="AC289" s="7">
        <v>0</v>
      </c>
      <c r="AD289" s="7">
        <v>191.946</v>
      </c>
      <c r="AE289" s="7">
        <v>0</v>
      </c>
      <c r="AF289" s="7">
        <v>62320.03</v>
      </c>
      <c r="AG289" s="7">
        <v>0</v>
      </c>
      <c r="AH289" s="7">
        <v>0</v>
      </c>
      <c r="AI289" s="7">
        <v>139089.49299999999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75" x14ac:dyDescent="0.25">
      <c r="A290" s="21"/>
      <c r="B290" s="5" t="s">
        <v>507</v>
      </c>
      <c r="C290" s="5" t="s">
        <v>508</v>
      </c>
      <c r="D290" s="7">
        <v>5</v>
      </c>
      <c r="E290" s="7">
        <v>5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75" x14ac:dyDescent="0.25">
      <c r="A291" s="21"/>
      <c r="B291" s="5" t="s">
        <v>509</v>
      </c>
      <c r="C291" s="5" t="s">
        <v>510</v>
      </c>
      <c r="D291" s="7">
        <v>5</v>
      </c>
      <c r="E291" s="7">
        <v>5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75" x14ac:dyDescent="0.25">
      <c r="A292" s="21"/>
      <c r="B292" s="5" t="s">
        <v>511</v>
      </c>
      <c r="C292" s="5" t="s">
        <v>512</v>
      </c>
      <c r="D292" s="7">
        <v>5</v>
      </c>
      <c r="E292" s="7">
        <v>5</v>
      </c>
      <c r="F292" s="7">
        <v>206661.992</v>
      </c>
      <c r="G292" s="7">
        <v>16206.523999999999</v>
      </c>
      <c r="H292" s="7">
        <v>22552.350999999999</v>
      </c>
      <c r="I292" s="7">
        <v>0</v>
      </c>
      <c r="J292" s="7">
        <v>3522.6619999999998</v>
      </c>
      <c r="K292" s="7">
        <v>14332.14</v>
      </c>
      <c r="L292" s="7">
        <v>0</v>
      </c>
      <c r="M292" s="7">
        <v>136692.89199999999</v>
      </c>
      <c r="N292" s="7">
        <v>61274.046999999999</v>
      </c>
      <c r="O292" s="7">
        <v>0</v>
      </c>
      <c r="P292" s="7">
        <v>0</v>
      </c>
      <c r="Q292" s="7">
        <v>655.12900000000002</v>
      </c>
      <c r="R292" s="7">
        <v>0</v>
      </c>
      <c r="S292" s="7">
        <v>32.561</v>
      </c>
      <c r="T292" s="7">
        <v>0</v>
      </c>
      <c r="U292" s="7">
        <v>0</v>
      </c>
      <c r="V292" s="7">
        <v>0</v>
      </c>
      <c r="W292" s="7">
        <v>2594.509</v>
      </c>
      <c r="X292" s="7">
        <v>7988.8280000000004</v>
      </c>
      <c r="Y292" s="7">
        <v>0</v>
      </c>
      <c r="Z292" s="7">
        <v>65082.930999999997</v>
      </c>
      <c r="AA292" s="7">
        <v>0</v>
      </c>
      <c r="AB292" s="7">
        <v>23860.967000000001</v>
      </c>
      <c r="AC292" s="7">
        <v>0</v>
      </c>
      <c r="AD292" s="7">
        <v>3842.5259999999998</v>
      </c>
      <c r="AE292" s="7">
        <v>0</v>
      </c>
      <c r="AF292" s="7">
        <v>198649.59700000001</v>
      </c>
      <c r="AG292" s="7">
        <v>0</v>
      </c>
      <c r="AH292" s="7">
        <v>0</v>
      </c>
      <c r="AI292" s="7">
        <v>439842.68300000002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75" x14ac:dyDescent="0.25">
      <c r="A293" s="21"/>
      <c r="B293" s="5" t="s">
        <v>513</v>
      </c>
      <c r="C293" s="5" t="s">
        <v>514</v>
      </c>
      <c r="D293" s="7">
        <v>5</v>
      </c>
      <c r="E293" s="7">
        <v>5</v>
      </c>
      <c r="F293" s="7">
        <v>16014.171</v>
      </c>
      <c r="G293" s="7">
        <v>293.67700000000002</v>
      </c>
      <c r="H293" s="7">
        <v>370.73200000000003</v>
      </c>
      <c r="I293" s="7">
        <v>0</v>
      </c>
      <c r="J293" s="7">
        <v>26.19</v>
      </c>
      <c r="K293" s="7">
        <v>276.93799999999999</v>
      </c>
      <c r="L293" s="7">
        <v>0</v>
      </c>
      <c r="M293" s="7">
        <v>21597.112000000001</v>
      </c>
      <c r="N293" s="7">
        <v>4376.6019999999999</v>
      </c>
      <c r="O293" s="7">
        <v>0</v>
      </c>
      <c r="P293" s="7">
        <v>0</v>
      </c>
      <c r="Q293" s="7">
        <v>4.9770000000000003</v>
      </c>
      <c r="R293" s="7">
        <v>0</v>
      </c>
      <c r="S293" s="7">
        <v>2.927</v>
      </c>
      <c r="T293" s="7">
        <v>0</v>
      </c>
      <c r="U293" s="7">
        <v>0</v>
      </c>
      <c r="V293" s="7">
        <v>0</v>
      </c>
      <c r="W293" s="7">
        <v>86.608999999999995</v>
      </c>
      <c r="X293" s="7">
        <v>269.99700000000001</v>
      </c>
      <c r="Y293" s="7">
        <v>0</v>
      </c>
      <c r="Z293" s="7">
        <v>2231.422</v>
      </c>
      <c r="AA293" s="7">
        <v>0</v>
      </c>
      <c r="AB293" s="7">
        <v>893.25300000000004</v>
      </c>
      <c r="AC293" s="7">
        <v>0</v>
      </c>
      <c r="AD293" s="7">
        <v>156.58000000000001</v>
      </c>
      <c r="AE293" s="7">
        <v>0</v>
      </c>
      <c r="AF293" s="7">
        <v>8644.8590000000004</v>
      </c>
      <c r="AG293" s="7">
        <v>0</v>
      </c>
      <c r="AH293" s="7">
        <v>0</v>
      </c>
      <c r="AI293" s="7">
        <v>24822.98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75" x14ac:dyDescent="0.25">
      <c r="A294" s="21"/>
      <c r="B294" s="5" t="s">
        <v>515</v>
      </c>
      <c r="C294" s="5" t="s">
        <v>516</v>
      </c>
      <c r="D294" s="7">
        <v>5</v>
      </c>
      <c r="E294" s="7">
        <v>5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75" x14ac:dyDescent="0.25">
      <c r="A295" s="21"/>
      <c r="B295" s="5" t="s">
        <v>517</v>
      </c>
      <c r="C295" s="5" t="s">
        <v>518</v>
      </c>
      <c r="D295" s="7">
        <v>5</v>
      </c>
      <c r="E295" s="7">
        <v>5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75" x14ac:dyDescent="0.25">
      <c r="A296" s="21"/>
      <c r="B296" s="5" t="s">
        <v>519</v>
      </c>
      <c r="C296" s="5" t="s">
        <v>520</v>
      </c>
      <c r="D296" s="7">
        <v>5</v>
      </c>
      <c r="E296" s="7">
        <v>5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75" x14ac:dyDescent="0.25">
      <c r="A297" s="21"/>
      <c r="B297" s="5" t="s">
        <v>521</v>
      </c>
      <c r="C297" s="5" t="s">
        <v>522</v>
      </c>
      <c r="D297" s="7">
        <v>5</v>
      </c>
      <c r="E297" s="7">
        <v>5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75" x14ac:dyDescent="0.25">
      <c r="A298" s="21"/>
      <c r="B298" s="5" t="s">
        <v>523</v>
      </c>
      <c r="C298" s="5" t="s">
        <v>524</v>
      </c>
      <c r="D298" s="7">
        <v>5</v>
      </c>
      <c r="E298" s="7">
        <v>5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75" x14ac:dyDescent="0.25">
      <c r="A299" s="21"/>
      <c r="B299" s="5" t="s">
        <v>525</v>
      </c>
      <c r="C299" s="5" t="s">
        <v>526</v>
      </c>
      <c r="D299" s="7">
        <v>5</v>
      </c>
      <c r="E299" s="7">
        <v>5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75" x14ac:dyDescent="0.25">
      <c r="A300" s="21"/>
      <c r="B300" s="5" t="s">
        <v>527</v>
      </c>
      <c r="C300" s="5" t="s">
        <v>528</v>
      </c>
      <c r="D300" s="7">
        <v>5</v>
      </c>
      <c r="E300" s="7">
        <v>5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75" x14ac:dyDescent="0.25">
      <c r="A301" s="21"/>
      <c r="B301" s="5" t="s">
        <v>529</v>
      </c>
      <c r="C301" s="5" t="s">
        <v>530</v>
      </c>
      <c r="D301" s="7">
        <v>5</v>
      </c>
      <c r="E301" s="7">
        <v>5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75" x14ac:dyDescent="0.25">
      <c r="A302" s="21"/>
      <c r="B302" s="5" t="s">
        <v>531</v>
      </c>
      <c r="C302" s="5" t="s">
        <v>532</v>
      </c>
      <c r="D302" s="7">
        <v>5</v>
      </c>
      <c r="E302" s="7">
        <v>5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75" x14ac:dyDescent="0.25">
      <c r="A303" s="21"/>
      <c r="B303" s="5" t="s">
        <v>533</v>
      </c>
      <c r="C303" s="5" t="s">
        <v>534</v>
      </c>
      <c r="D303" s="7">
        <v>5</v>
      </c>
      <c r="E303" s="7">
        <v>5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75" x14ac:dyDescent="0.25">
      <c r="A304" s="21"/>
      <c r="B304" s="5" t="s">
        <v>535</v>
      </c>
      <c r="C304" s="5" t="s">
        <v>536</v>
      </c>
      <c r="D304" s="7">
        <v>5</v>
      </c>
      <c r="E304" s="7">
        <v>5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75" x14ac:dyDescent="0.25">
      <c r="A305" s="21"/>
      <c r="B305" s="5" t="s">
        <v>537</v>
      </c>
      <c r="C305" s="5" t="s">
        <v>538</v>
      </c>
      <c r="D305" s="7">
        <v>5</v>
      </c>
      <c r="E305" s="7">
        <v>5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75" x14ac:dyDescent="0.25">
      <c r="A306" s="21"/>
      <c r="B306" s="5" t="s">
        <v>539</v>
      </c>
      <c r="C306" s="5" t="s">
        <v>540</v>
      </c>
      <c r="D306" s="7">
        <v>5</v>
      </c>
      <c r="E306" s="7">
        <v>5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75" x14ac:dyDescent="0.25">
      <c r="A307" s="21"/>
      <c r="B307" s="5" t="s">
        <v>541</v>
      </c>
      <c r="C307" s="5" t="s">
        <v>542</v>
      </c>
      <c r="D307" s="7">
        <v>5</v>
      </c>
      <c r="E307" s="7">
        <v>5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75" x14ac:dyDescent="0.25">
      <c r="A308" s="21"/>
      <c r="B308" s="5" t="s">
        <v>543</v>
      </c>
      <c r="C308" s="5" t="s">
        <v>544</v>
      </c>
      <c r="D308" s="7">
        <v>5</v>
      </c>
      <c r="E308" s="7">
        <v>5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75" x14ac:dyDescent="0.25">
      <c r="A309" s="21"/>
      <c r="B309" s="5" t="s">
        <v>545</v>
      </c>
      <c r="C309" s="5" t="s">
        <v>546</v>
      </c>
      <c r="D309" s="7">
        <v>5</v>
      </c>
      <c r="E309" s="7">
        <v>5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75" x14ac:dyDescent="0.25">
      <c r="A310" s="21"/>
      <c r="B310" s="5" t="s">
        <v>547</v>
      </c>
      <c r="C310" s="5" t="s">
        <v>548</v>
      </c>
      <c r="D310" s="7">
        <v>5</v>
      </c>
      <c r="E310" s="7">
        <v>5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75" x14ac:dyDescent="0.25">
      <c r="A311" s="21"/>
      <c r="B311" s="5" t="s">
        <v>549</v>
      </c>
      <c r="C311" s="5" t="s">
        <v>550</v>
      </c>
      <c r="D311" s="7">
        <v>5</v>
      </c>
      <c r="E311" s="7">
        <v>5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75" x14ac:dyDescent="0.25">
      <c r="A312" s="21"/>
      <c r="B312" s="5" t="s">
        <v>551</v>
      </c>
      <c r="C312" s="5" t="s">
        <v>552</v>
      </c>
      <c r="D312" s="7">
        <v>5</v>
      </c>
      <c r="E312" s="7">
        <v>5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75" x14ac:dyDescent="0.25">
      <c r="A313" s="21"/>
      <c r="B313" s="5" t="s">
        <v>553</v>
      </c>
      <c r="C313" s="5" t="s">
        <v>554</v>
      </c>
      <c r="D313" s="7">
        <v>5</v>
      </c>
      <c r="E313" s="7">
        <v>5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75" x14ac:dyDescent="0.25">
      <c r="A314" s="21"/>
      <c r="B314" s="5" t="s">
        <v>555</v>
      </c>
      <c r="C314" s="5" t="s">
        <v>556</v>
      </c>
      <c r="D314" s="7">
        <v>5</v>
      </c>
      <c r="E314" s="7">
        <v>5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75" x14ac:dyDescent="0.25">
      <c r="A315" s="21"/>
      <c r="B315" s="5" t="s">
        <v>557</v>
      </c>
      <c r="C315" s="5" t="s">
        <v>558</v>
      </c>
      <c r="D315" s="7">
        <v>5</v>
      </c>
      <c r="E315" s="7">
        <v>5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75" x14ac:dyDescent="0.25">
      <c r="A316" s="21"/>
      <c r="B316" s="5" t="s">
        <v>559</v>
      </c>
      <c r="C316" s="5" t="s">
        <v>560</v>
      </c>
      <c r="D316" s="7">
        <v>5</v>
      </c>
      <c r="E316" s="7">
        <v>5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75" x14ac:dyDescent="0.25">
      <c r="A317" s="21"/>
      <c r="B317" s="5" t="s">
        <v>561</v>
      </c>
      <c r="C317" s="5" t="s">
        <v>562</v>
      </c>
      <c r="D317" s="7">
        <v>5</v>
      </c>
      <c r="E317" s="7">
        <v>5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75" x14ac:dyDescent="0.25">
      <c r="A318" s="21"/>
      <c r="B318" s="5" t="s">
        <v>563</v>
      </c>
      <c r="C318" s="5" t="s">
        <v>564</v>
      </c>
      <c r="D318" s="7">
        <v>5</v>
      </c>
      <c r="E318" s="7">
        <v>5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75" x14ac:dyDescent="0.25">
      <c r="A319" s="21"/>
      <c r="B319" s="5" t="s">
        <v>565</v>
      </c>
      <c r="C319" s="5" t="s">
        <v>566</v>
      </c>
      <c r="D319" s="7">
        <v>5</v>
      </c>
      <c r="E319" s="7">
        <v>5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75" x14ac:dyDescent="0.25">
      <c r="A320" s="21"/>
      <c r="B320" s="5" t="s">
        <v>567</v>
      </c>
      <c r="C320" s="5" t="s">
        <v>568</v>
      </c>
      <c r="D320" s="7">
        <v>5</v>
      </c>
      <c r="E320" s="7">
        <v>5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75" x14ac:dyDescent="0.25">
      <c r="A321" s="21"/>
      <c r="B321" s="5" t="s">
        <v>569</v>
      </c>
      <c r="C321" s="5" t="s">
        <v>570</v>
      </c>
      <c r="D321" s="7">
        <v>5</v>
      </c>
      <c r="E321" s="7">
        <v>5</v>
      </c>
      <c r="F321" s="7">
        <v>-38408.735000000001</v>
      </c>
      <c r="G321" s="7">
        <v>-9004.3189999999995</v>
      </c>
      <c r="H321" s="7">
        <v>0</v>
      </c>
      <c r="I321" s="7">
        <v>0</v>
      </c>
      <c r="J321" s="7">
        <v>-373.14100000000002</v>
      </c>
      <c r="K321" s="7">
        <v>0</v>
      </c>
      <c r="L321" s="7">
        <v>0</v>
      </c>
      <c r="M321" s="7">
        <v>-106071.697</v>
      </c>
      <c r="N321" s="7">
        <v>-7958.82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-2760.9430000000002</v>
      </c>
      <c r="U321" s="7">
        <v>0</v>
      </c>
      <c r="V321" s="7">
        <v>0</v>
      </c>
      <c r="W321" s="7">
        <v>0</v>
      </c>
      <c r="X321" s="7">
        <v>-710.71</v>
      </c>
      <c r="Y321" s="7">
        <v>0</v>
      </c>
      <c r="Z321" s="7">
        <v>-17976.174999999999</v>
      </c>
      <c r="AA321" s="7">
        <v>0</v>
      </c>
      <c r="AB321" s="7">
        <v>0</v>
      </c>
      <c r="AC321" s="7">
        <v>-6.8869999999999996</v>
      </c>
      <c r="AD321" s="7">
        <v>-1616.192</v>
      </c>
      <c r="AE321" s="7">
        <v>0</v>
      </c>
      <c r="AF321" s="7">
        <v>-45759.267</v>
      </c>
      <c r="AG321" s="7">
        <v>-21613.321</v>
      </c>
      <c r="AH321" s="7">
        <v>0</v>
      </c>
      <c r="AI321" s="7">
        <v>-173487.02499999999</v>
      </c>
      <c r="AJ321" s="7">
        <v>-38710.966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-422.70100000000002</v>
      </c>
      <c r="AQ321" s="7">
        <v>0</v>
      </c>
      <c r="AR321" s="7">
        <v>-6687.2659999999996</v>
      </c>
      <c r="AS321" s="7">
        <v>0</v>
      </c>
      <c r="AT321" s="7">
        <v>-29.164999999999999</v>
      </c>
      <c r="AU321" s="7">
        <v>0</v>
      </c>
      <c r="AV321" s="7">
        <v>-201.80199999999999</v>
      </c>
      <c r="AW321" s="7">
        <v>0</v>
      </c>
      <c r="AX321" s="7">
        <v>0</v>
      </c>
      <c r="AY321" s="7">
        <v>0</v>
      </c>
      <c r="AZ321" s="7">
        <v>-84.77</v>
      </c>
      <c r="BA321" s="7">
        <v>0</v>
      </c>
      <c r="BB321" s="7">
        <v>0</v>
      </c>
      <c r="BC321" s="7">
        <v>-116.364</v>
      </c>
      <c r="BD321" s="7">
        <v>0</v>
      </c>
      <c r="BE321" s="7">
        <v>0</v>
      </c>
      <c r="BF321" s="7">
        <v>-22.45</v>
      </c>
      <c r="BG321" s="7">
        <v>0</v>
      </c>
      <c r="BH321" s="7">
        <v>0</v>
      </c>
      <c r="BI321" s="7">
        <v>0</v>
      </c>
      <c r="BJ321" s="21"/>
    </row>
    <row r="322" spans="1:62" ht="15.75" x14ac:dyDescent="0.25">
      <c r="A322" s="21"/>
      <c r="B322" s="5" t="s">
        <v>571</v>
      </c>
      <c r="C322" s="5" t="s">
        <v>572</v>
      </c>
      <c r="D322" s="7">
        <v>5</v>
      </c>
      <c r="E322" s="7">
        <v>5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21"/>
    </row>
    <row r="323" spans="1:62" ht="15.75" x14ac:dyDescent="0.25">
      <c r="A323" s="21"/>
      <c r="B323" s="5" t="s">
        <v>573</v>
      </c>
      <c r="C323" s="5" t="s">
        <v>574</v>
      </c>
      <c r="D323" s="7">
        <v>5</v>
      </c>
      <c r="E323" s="7">
        <v>5</v>
      </c>
      <c r="F323" s="7">
        <v>-11112.438</v>
      </c>
      <c r="G323" s="7">
        <v>-2605.1350000000002</v>
      </c>
      <c r="H323" s="7">
        <v>0</v>
      </c>
      <c r="I323" s="7">
        <v>0</v>
      </c>
      <c r="J323" s="7">
        <v>-107.95699999999999</v>
      </c>
      <c r="K323" s="7">
        <v>0</v>
      </c>
      <c r="L323" s="7">
        <v>0</v>
      </c>
      <c r="M323" s="7">
        <v>-30688.727999999999</v>
      </c>
      <c r="N323" s="7">
        <v>-2302.6509999999998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-798.798</v>
      </c>
      <c r="U323" s="7">
        <v>0</v>
      </c>
      <c r="V323" s="7">
        <v>0</v>
      </c>
      <c r="W323" s="7">
        <v>0</v>
      </c>
      <c r="X323" s="7">
        <v>-205.62299999999999</v>
      </c>
      <c r="Y323" s="7">
        <v>0</v>
      </c>
      <c r="Z323" s="7">
        <v>-5200.8779999999997</v>
      </c>
      <c r="AA323" s="7">
        <v>0</v>
      </c>
      <c r="AB323" s="7">
        <v>0</v>
      </c>
      <c r="AC323" s="7">
        <v>-1.9930000000000001</v>
      </c>
      <c r="AD323" s="7">
        <v>-467.59800000000001</v>
      </c>
      <c r="AE323" s="7">
        <v>0</v>
      </c>
      <c r="AF323" s="7">
        <v>-13239.099</v>
      </c>
      <c r="AG323" s="7">
        <v>-6253.1790000000001</v>
      </c>
      <c r="AH323" s="7">
        <v>0</v>
      </c>
      <c r="AI323" s="7">
        <v>-50193.370999999999</v>
      </c>
      <c r="AJ323" s="7">
        <v>-11199.88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-122.29600000000001</v>
      </c>
      <c r="AQ323" s="7">
        <v>0</v>
      </c>
      <c r="AR323" s="7">
        <v>-1934.7639999999999</v>
      </c>
      <c r="AS323" s="7">
        <v>0</v>
      </c>
      <c r="AT323" s="7">
        <v>-8.4380000000000006</v>
      </c>
      <c r="AU323" s="7">
        <v>0</v>
      </c>
      <c r="AV323" s="7">
        <v>-58.384999999999998</v>
      </c>
      <c r="AW323" s="7">
        <v>0</v>
      </c>
      <c r="AX323" s="7">
        <v>0</v>
      </c>
      <c r="AY323" s="7">
        <v>0</v>
      </c>
      <c r="AZ323" s="7">
        <v>-24.526</v>
      </c>
      <c r="BA323" s="7">
        <v>0</v>
      </c>
      <c r="BB323" s="7">
        <v>0</v>
      </c>
      <c r="BC323" s="7">
        <v>-33.665999999999997</v>
      </c>
      <c r="BD323" s="7">
        <v>0</v>
      </c>
      <c r="BE323" s="7">
        <v>0</v>
      </c>
      <c r="BF323" s="7">
        <v>-6.4950000000000001</v>
      </c>
      <c r="BG323" s="7">
        <v>0</v>
      </c>
      <c r="BH323" s="7">
        <v>0</v>
      </c>
      <c r="BI323" s="7">
        <v>0</v>
      </c>
      <c r="BJ323" s="21"/>
    </row>
    <row r="324" spans="1:62" ht="15.75" x14ac:dyDescent="0.25">
      <c r="A324" s="21"/>
      <c r="B324" s="5" t="s">
        <v>575</v>
      </c>
      <c r="C324" s="5" t="s">
        <v>576</v>
      </c>
      <c r="D324" s="7">
        <v>6</v>
      </c>
      <c r="E324" s="7">
        <v>6</v>
      </c>
      <c r="F324" s="7">
        <v>71.834000000000003</v>
      </c>
      <c r="G324" s="7">
        <v>0</v>
      </c>
      <c r="H324" s="7">
        <v>0</v>
      </c>
      <c r="I324" s="7">
        <v>0</v>
      </c>
      <c r="J324" s="7">
        <v>101.315</v>
      </c>
      <c r="K324" s="7">
        <v>0</v>
      </c>
      <c r="L324" s="7">
        <v>0</v>
      </c>
      <c r="M324" s="7">
        <v>10629.324000000001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21"/>
    </row>
    <row r="325" spans="1:62" ht="15.75" x14ac:dyDescent="0.25">
      <c r="A325" s="21"/>
      <c r="B325" s="5" t="s">
        <v>577</v>
      </c>
      <c r="C325" s="5" t="s">
        <v>578</v>
      </c>
      <c r="D325" s="7">
        <v>6</v>
      </c>
      <c r="E325" s="7">
        <v>6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21"/>
    </row>
    <row r="326" spans="1:62" ht="15.75" x14ac:dyDescent="0.25">
      <c r="A326" s="21"/>
      <c r="B326" s="5" t="s">
        <v>579</v>
      </c>
      <c r="C326" s="5" t="s">
        <v>580</v>
      </c>
      <c r="D326" s="7">
        <v>6</v>
      </c>
      <c r="E326" s="7">
        <v>6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75" x14ac:dyDescent="0.25">
      <c r="A327" s="21"/>
      <c r="B327" s="5" t="s">
        <v>581</v>
      </c>
      <c r="C327" s="5" t="s">
        <v>582</v>
      </c>
      <c r="D327" s="7">
        <v>6</v>
      </c>
      <c r="E327" s="7">
        <v>6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75" x14ac:dyDescent="0.25">
      <c r="A328" s="21"/>
      <c r="B328" s="5" t="s">
        <v>583</v>
      </c>
      <c r="C328" s="5" t="s">
        <v>584</v>
      </c>
      <c r="D328" s="7">
        <v>6</v>
      </c>
      <c r="E328" s="7">
        <v>6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75" x14ac:dyDescent="0.25">
      <c r="A329" s="21"/>
      <c r="B329" s="5" t="s">
        <v>585</v>
      </c>
      <c r="C329" s="5" t="s">
        <v>586</v>
      </c>
      <c r="D329" s="7">
        <v>6</v>
      </c>
      <c r="E329" s="7">
        <v>6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75" x14ac:dyDescent="0.25">
      <c r="A330" s="21"/>
      <c r="B330" s="5" t="s">
        <v>587</v>
      </c>
      <c r="C330" s="5" t="s">
        <v>588</v>
      </c>
      <c r="D330" s="7">
        <v>6</v>
      </c>
      <c r="E330" s="7">
        <v>6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75" x14ac:dyDescent="0.25">
      <c r="A331" s="21"/>
      <c r="B331" s="5" t="s">
        <v>589</v>
      </c>
      <c r="C331" s="5" t="s">
        <v>590</v>
      </c>
      <c r="D331" s="7">
        <v>6</v>
      </c>
      <c r="E331" s="7">
        <v>6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75" x14ac:dyDescent="0.25">
      <c r="A332" s="21"/>
      <c r="B332" s="5" t="s">
        <v>591</v>
      </c>
      <c r="C332" s="5" t="s">
        <v>592</v>
      </c>
      <c r="D332" s="7">
        <v>6</v>
      </c>
      <c r="E332" s="7">
        <v>6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75" x14ac:dyDescent="0.25">
      <c r="A333" s="21"/>
      <c r="B333" s="5" t="s">
        <v>593</v>
      </c>
      <c r="C333" s="5" t="s">
        <v>594</v>
      </c>
      <c r="D333" s="7">
        <v>6</v>
      </c>
      <c r="E333" s="7">
        <v>6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75" x14ac:dyDescent="0.25">
      <c r="A334" s="21"/>
      <c r="B334" s="5" t="s">
        <v>595</v>
      </c>
      <c r="C334" s="5" t="s">
        <v>596</v>
      </c>
      <c r="D334" s="7">
        <v>6</v>
      </c>
      <c r="E334" s="7">
        <v>6</v>
      </c>
      <c r="F334" s="7">
        <v>27708.171999999999</v>
      </c>
      <c r="G334" s="7">
        <v>3622.2629999999999</v>
      </c>
      <c r="H334" s="7">
        <v>5174.5550000000003</v>
      </c>
      <c r="I334" s="7">
        <v>3722.69</v>
      </c>
      <c r="J334" s="7">
        <v>595.75300000000004</v>
      </c>
      <c r="K334" s="7">
        <v>3467.451</v>
      </c>
      <c r="L334" s="7">
        <v>6754.6679999999997</v>
      </c>
      <c r="M334" s="7">
        <v>18257.351999999999</v>
      </c>
      <c r="N334" s="7">
        <v>12690.627</v>
      </c>
      <c r="O334" s="7">
        <v>8.58</v>
      </c>
      <c r="P334" s="7">
        <v>0.35099999999999998</v>
      </c>
      <c r="Q334" s="7">
        <v>13.045999999999999</v>
      </c>
      <c r="R334" s="7">
        <v>39.563000000000002</v>
      </c>
      <c r="S334" s="7">
        <v>139.62700000000001</v>
      </c>
      <c r="T334" s="7">
        <v>1114.0360000000001</v>
      </c>
      <c r="U334" s="7">
        <v>0</v>
      </c>
      <c r="V334" s="7">
        <v>5415.616</v>
      </c>
      <c r="W334" s="7">
        <v>474.69200000000001</v>
      </c>
      <c r="X334" s="7">
        <v>1114.193</v>
      </c>
      <c r="Y334" s="7">
        <v>53.689</v>
      </c>
      <c r="Z334" s="7">
        <v>5168.87</v>
      </c>
      <c r="AA334" s="7">
        <v>0</v>
      </c>
      <c r="AB334" s="7">
        <v>4672.5720000000001</v>
      </c>
      <c r="AC334" s="7">
        <v>28.503</v>
      </c>
      <c r="AD334" s="7">
        <v>587.65099999999995</v>
      </c>
      <c r="AE334" s="7">
        <v>71.63</v>
      </c>
      <c r="AF334" s="7">
        <v>12917.126</v>
      </c>
      <c r="AG334" s="7">
        <v>1603.126</v>
      </c>
      <c r="AH334" s="7">
        <v>99.56</v>
      </c>
      <c r="AI334" s="7">
        <v>44174.891000000003</v>
      </c>
      <c r="AJ334" s="7">
        <v>2782.3910000000001</v>
      </c>
      <c r="AK334" s="7">
        <v>0</v>
      </c>
      <c r="AL334" s="7">
        <v>0</v>
      </c>
      <c r="AM334" s="7">
        <v>0</v>
      </c>
      <c r="AN334" s="7">
        <v>1000.432</v>
      </c>
      <c r="AO334" s="7">
        <v>0</v>
      </c>
      <c r="AP334" s="7">
        <v>104.661</v>
      </c>
      <c r="AQ334" s="7">
        <v>27.341000000000001</v>
      </c>
      <c r="AR334" s="7">
        <v>461.38099999999997</v>
      </c>
      <c r="AS334" s="7">
        <v>11.997999999999999</v>
      </c>
      <c r="AT334" s="7">
        <v>11.622</v>
      </c>
      <c r="AU334" s="7">
        <v>0</v>
      </c>
      <c r="AV334" s="7">
        <v>315.55</v>
      </c>
      <c r="AW334" s="7">
        <v>38.630000000000003</v>
      </c>
      <c r="AX334" s="7">
        <v>39.845999999999997</v>
      </c>
      <c r="AY334" s="7">
        <v>33.125</v>
      </c>
      <c r="AZ334" s="7">
        <v>92.753</v>
      </c>
      <c r="BA334" s="7">
        <v>40.863</v>
      </c>
      <c r="BB334" s="7">
        <v>21.196000000000002</v>
      </c>
      <c r="BC334" s="7">
        <v>35.497</v>
      </c>
      <c r="BD334" s="7">
        <v>62.786000000000001</v>
      </c>
      <c r="BE334" s="7">
        <v>45.622</v>
      </c>
      <c r="BF334" s="7">
        <v>6.2930000000000001</v>
      </c>
      <c r="BG334" s="7">
        <v>19.960999999999999</v>
      </c>
      <c r="BH334" s="7">
        <v>0</v>
      </c>
      <c r="BI334" s="7">
        <v>24.9</v>
      </c>
      <c r="BJ334" s="21"/>
    </row>
    <row r="335" spans="1:62" ht="15.75" x14ac:dyDescent="0.25">
      <c r="A335" s="21"/>
      <c r="B335" s="5" t="s">
        <v>597</v>
      </c>
      <c r="C335" s="5" t="s">
        <v>598</v>
      </c>
      <c r="D335" s="7">
        <v>6</v>
      </c>
      <c r="E335" s="7">
        <v>6</v>
      </c>
      <c r="F335" s="7">
        <v>-10801.950999999999</v>
      </c>
      <c r="G335" s="7">
        <v>-2156.6990000000001</v>
      </c>
      <c r="H335" s="7">
        <v>-1007.4059999999999</v>
      </c>
      <c r="I335" s="7">
        <v>-12695.361000000001</v>
      </c>
      <c r="J335" s="7">
        <v>-326.61900000000003</v>
      </c>
      <c r="K335" s="7">
        <v>-916.40499999999997</v>
      </c>
      <c r="L335" s="7">
        <v>-145.84899999999999</v>
      </c>
      <c r="M335" s="7">
        <v>-21283.242999999999</v>
      </c>
      <c r="N335" s="7">
        <v>-6089.7110000000002</v>
      </c>
      <c r="O335" s="7">
        <v>-6.1760000000000002</v>
      </c>
      <c r="P335" s="7">
        <v>-4.3780000000000001</v>
      </c>
      <c r="Q335" s="7">
        <v>-74.760000000000005</v>
      </c>
      <c r="R335" s="7">
        <v>-5.6230000000000002</v>
      </c>
      <c r="S335" s="7">
        <v>-146.441</v>
      </c>
      <c r="T335" s="7">
        <v>-56.521999999999998</v>
      </c>
      <c r="U335" s="7">
        <v>-0.93700000000000006</v>
      </c>
      <c r="V335" s="7">
        <v>-104.943</v>
      </c>
      <c r="W335" s="7">
        <v>-61.994999999999997</v>
      </c>
      <c r="X335" s="7">
        <v>-166.482</v>
      </c>
      <c r="Y335" s="7">
        <v>-111.197</v>
      </c>
      <c r="Z335" s="7">
        <v>-1844.44</v>
      </c>
      <c r="AA335" s="7">
        <v>-73.022999999999996</v>
      </c>
      <c r="AB335" s="7">
        <v>-161.024</v>
      </c>
      <c r="AC335" s="7">
        <v>-2.5720000000000001</v>
      </c>
      <c r="AD335" s="7">
        <v>-32.417000000000002</v>
      </c>
      <c r="AE335" s="7">
        <v>-0.44500000000000001</v>
      </c>
      <c r="AF335" s="7">
        <v>-6217.0360000000001</v>
      </c>
      <c r="AG335" s="7">
        <v>-595.59500000000003</v>
      </c>
      <c r="AH335" s="7">
        <v>-134.09200000000001</v>
      </c>
      <c r="AI335" s="7">
        <v>-31690.066999999999</v>
      </c>
      <c r="AJ335" s="7">
        <v>-1569.9079999999999</v>
      </c>
      <c r="AK335" s="7">
        <v>-350.57799999999997</v>
      </c>
      <c r="AL335" s="7">
        <v>-4915.0680000000002</v>
      </c>
      <c r="AM335" s="7">
        <v>-2776.2370000000001</v>
      </c>
      <c r="AN335" s="7">
        <v>-21.946999999999999</v>
      </c>
      <c r="AO335" s="7">
        <v>-1702.6279999999999</v>
      </c>
      <c r="AP335" s="7">
        <v>-49.182000000000002</v>
      </c>
      <c r="AQ335" s="7">
        <v>-25.193999999999999</v>
      </c>
      <c r="AR335" s="7">
        <v>-188.024</v>
      </c>
      <c r="AS335" s="7">
        <v>-11.865</v>
      </c>
      <c r="AT335" s="7">
        <v>-3.9369999999999998</v>
      </c>
      <c r="AU335" s="7">
        <v>0</v>
      </c>
      <c r="AV335" s="7">
        <v>-28.222999999999999</v>
      </c>
      <c r="AW335" s="7">
        <v>-0.22900000000000001</v>
      </c>
      <c r="AX335" s="7">
        <v>-42.017000000000003</v>
      </c>
      <c r="AY335" s="7">
        <v>-58.926000000000002</v>
      </c>
      <c r="AZ335" s="7">
        <v>-16.803999999999998</v>
      </c>
      <c r="BA335" s="7">
        <v>-5.7430000000000003</v>
      </c>
      <c r="BB335" s="7">
        <v>-35.520000000000003</v>
      </c>
      <c r="BC335" s="7">
        <v>-9.9480000000000004</v>
      </c>
      <c r="BD335" s="7">
        <v>-5.97</v>
      </c>
      <c r="BE335" s="7">
        <v>-7.1189999999999998</v>
      </c>
      <c r="BF335" s="7">
        <v>-1.0069999999999999</v>
      </c>
      <c r="BG335" s="7">
        <v>-3.609</v>
      </c>
      <c r="BH335" s="7">
        <v>-251.012</v>
      </c>
      <c r="BI335" s="7">
        <v>-2.7080000000000002</v>
      </c>
      <c r="BJ335" s="21"/>
    </row>
    <row r="336" spans="1:62" ht="15.75" x14ac:dyDescent="0.25">
      <c r="A336" s="21"/>
      <c r="B336" s="5" t="s">
        <v>599</v>
      </c>
      <c r="C336" s="5" t="s">
        <v>600</v>
      </c>
      <c r="D336" s="7">
        <v>6</v>
      </c>
      <c r="E336" s="7">
        <v>6</v>
      </c>
      <c r="F336" s="7">
        <v>-1160.2909999999999</v>
      </c>
      <c r="G336" s="7">
        <v>-96.266000000000005</v>
      </c>
      <c r="H336" s="7">
        <v>-98.757000000000005</v>
      </c>
      <c r="I336" s="7">
        <v>-20.599</v>
      </c>
      <c r="J336" s="7">
        <v>-6.3369999999999997</v>
      </c>
      <c r="K336" s="7">
        <v>-17.177</v>
      </c>
      <c r="L336" s="7">
        <v>-7.8339999999999996</v>
      </c>
      <c r="M336" s="7">
        <v>-1899.9690000000001</v>
      </c>
      <c r="N336" s="7">
        <v>-138.33699999999999</v>
      </c>
      <c r="O336" s="7">
        <v>-4.1580000000000004</v>
      </c>
      <c r="P336" s="7">
        <v>0</v>
      </c>
      <c r="Q336" s="7">
        <v>0</v>
      </c>
      <c r="R336" s="7">
        <v>0</v>
      </c>
      <c r="S336" s="7">
        <v>-214.495</v>
      </c>
      <c r="T336" s="7">
        <v>0</v>
      </c>
      <c r="U336" s="7">
        <v>0</v>
      </c>
      <c r="V336" s="7">
        <v>-31.806000000000001</v>
      </c>
      <c r="W336" s="7">
        <v>-2.1970000000000001</v>
      </c>
      <c r="X336" s="7">
        <v>-11.417999999999999</v>
      </c>
      <c r="Y336" s="7">
        <v>-25.303999999999998</v>
      </c>
      <c r="Z336" s="7">
        <v>-218.68</v>
      </c>
      <c r="AA336" s="7">
        <v>-29.318999999999999</v>
      </c>
      <c r="AB336" s="7">
        <v>-3.613</v>
      </c>
      <c r="AC336" s="7">
        <v>-35.633000000000003</v>
      </c>
      <c r="AD336" s="7">
        <v>-15.701000000000001</v>
      </c>
      <c r="AE336" s="7">
        <v>-3.2440000000000002</v>
      </c>
      <c r="AF336" s="7">
        <v>-742.13400000000001</v>
      </c>
      <c r="AG336" s="7">
        <v>-95.82</v>
      </c>
      <c r="AH336" s="7">
        <v>-1.173</v>
      </c>
      <c r="AI336" s="7">
        <v>-1859.684</v>
      </c>
      <c r="AJ336" s="7">
        <v>-200.16399999999999</v>
      </c>
      <c r="AK336" s="7">
        <v>-10.942</v>
      </c>
      <c r="AL336" s="7">
        <v>-782.18</v>
      </c>
      <c r="AM336" s="7">
        <v>-543.51900000000001</v>
      </c>
      <c r="AN336" s="7">
        <v>-19.280999999999999</v>
      </c>
      <c r="AO336" s="7">
        <v>-1192.9760000000001</v>
      </c>
      <c r="AP336" s="7">
        <v>0</v>
      </c>
      <c r="AQ336" s="7">
        <v>-33.24</v>
      </c>
      <c r="AR336" s="7">
        <v>-58.89</v>
      </c>
      <c r="AS336" s="7">
        <v>-5.2560000000000002</v>
      </c>
      <c r="AT336" s="7">
        <v>0</v>
      </c>
      <c r="AU336" s="7">
        <v>0</v>
      </c>
      <c r="AV336" s="7">
        <v>0</v>
      </c>
      <c r="AW336" s="7">
        <v>-15.398999999999999</v>
      </c>
      <c r="AX336" s="7">
        <v>-39.323999999999998</v>
      </c>
      <c r="AY336" s="7">
        <v>-21.113</v>
      </c>
      <c r="AZ336" s="7">
        <v>0</v>
      </c>
      <c r="BA336" s="7">
        <v>-5.7000000000000002E-2</v>
      </c>
      <c r="BB336" s="7">
        <v>0</v>
      </c>
      <c r="BC336" s="7">
        <v>-3.0000000000000001E-3</v>
      </c>
      <c r="BD336" s="7">
        <v>0</v>
      </c>
      <c r="BE336" s="7">
        <v>-14.201000000000001</v>
      </c>
      <c r="BF336" s="7">
        <v>-0.76700000000000002</v>
      </c>
      <c r="BG336" s="7">
        <v>-0.47799999999999998</v>
      </c>
      <c r="BH336" s="7">
        <v>-3.464</v>
      </c>
      <c r="BI336" s="7">
        <v>-1.659</v>
      </c>
      <c r="BJ336" s="21"/>
    </row>
    <row r="337" spans="1:62" ht="15.75" x14ac:dyDescent="0.25">
      <c r="A337" s="21"/>
      <c r="B337" s="5" t="s">
        <v>601</v>
      </c>
      <c r="C337" s="5" t="s">
        <v>602</v>
      </c>
      <c r="D337" s="7">
        <v>6</v>
      </c>
      <c r="E337" s="7">
        <v>6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21"/>
    </row>
    <row r="338" spans="1:62" ht="15.75" x14ac:dyDescent="0.25">
      <c r="A338" s="21"/>
      <c r="B338" s="5" t="s">
        <v>603</v>
      </c>
      <c r="C338" s="5" t="s">
        <v>604</v>
      </c>
      <c r="D338" s="7">
        <v>6</v>
      </c>
      <c r="E338" s="7">
        <v>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 s="21"/>
    </row>
    <row r="339" spans="1:62" ht="15.75" x14ac:dyDescent="0.25">
      <c r="A339" s="21"/>
      <c r="B339" s="5" t="s">
        <v>605</v>
      </c>
      <c r="C339" s="5" t="s">
        <v>606</v>
      </c>
      <c r="D339" s="5"/>
      <c r="E339" s="5"/>
      <c r="F339">
        <v>8064554.2280000001</v>
      </c>
      <c r="G339">
        <v>946293.29200000002</v>
      </c>
      <c r="H339">
        <v>1002359.503</v>
      </c>
      <c r="I339">
        <v>1104780.6939999999</v>
      </c>
      <c r="J339">
        <v>141228.31899999999</v>
      </c>
      <c r="K339">
        <v>699127.02</v>
      </c>
      <c r="L339">
        <v>290351.02399999998</v>
      </c>
      <c r="M339">
        <v>8921363.0409999993</v>
      </c>
      <c r="N339">
        <v>3136616.923</v>
      </c>
      <c r="O339">
        <v>15189.306</v>
      </c>
      <c r="P339">
        <v>6524.0140000000001</v>
      </c>
      <c r="Q339">
        <v>19883.561000000002</v>
      </c>
      <c r="R339">
        <v>12121.981</v>
      </c>
      <c r="S339">
        <v>19861.11</v>
      </c>
      <c r="T339">
        <v>290485.61700000003</v>
      </c>
      <c r="U339">
        <v>972.11300000000006</v>
      </c>
      <c r="V339">
        <v>214687.72899999999</v>
      </c>
      <c r="W339">
        <v>83456.467000000004</v>
      </c>
      <c r="X339">
        <v>217447.166</v>
      </c>
      <c r="Y339">
        <v>210022.883</v>
      </c>
      <c r="Z339">
        <v>1721820.544</v>
      </c>
      <c r="AA339">
        <v>137016.55600000001</v>
      </c>
      <c r="AB339">
        <v>909590.03399999999</v>
      </c>
      <c r="AC339">
        <v>260133.4</v>
      </c>
      <c r="AD339">
        <v>159113.28400000001</v>
      </c>
      <c r="AE339">
        <v>56166.767</v>
      </c>
      <c r="AF339">
        <v>4892248.3480000002</v>
      </c>
      <c r="AG339">
        <v>1020717.925</v>
      </c>
      <c r="AH339">
        <v>242365.70199999999</v>
      </c>
      <c r="AI339">
        <v>18119937.772999998</v>
      </c>
      <c r="AJ339">
        <v>1931215.7279999999</v>
      </c>
      <c r="AK339">
        <v>705022.65800000005</v>
      </c>
      <c r="AL339">
        <v>10561965.023</v>
      </c>
      <c r="AM339">
        <v>6145941.8830000004</v>
      </c>
      <c r="AN339">
        <v>40009.360000000001</v>
      </c>
      <c r="AO339">
        <v>3571942.898</v>
      </c>
      <c r="AP339">
        <v>34810.421000000002</v>
      </c>
      <c r="AQ339">
        <v>50222.741999999998</v>
      </c>
      <c r="AR339">
        <v>317250.64</v>
      </c>
      <c r="AS339">
        <v>22011.541000000001</v>
      </c>
      <c r="AT339">
        <v>3474.24</v>
      </c>
      <c r="AU339">
        <v>0</v>
      </c>
      <c r="AV339">
        <v>78119.611999999994</v>
      </c>
      <c r="AW339">
        <v>70723.398000000001</v>
      </c>
      <c r="AX339">
        <v>73894.913</v>
      </c>
      <c r="AY339">
        <v>132879.351</v>
      </c>
      <c r="AZ339">
        <v>21435.629000000001</v>
      </c>
      <c r="BA339">
        <v>17417.553</v>
      </c>
      <c r="BB339">
        <v>88913.663</v>
      </c>
      <c r="BC339">
        <v>11143.915000000001</v>
      </c>
      <c r="BD339">
        <v>12996.244000000001</v>
      </c>
      <c r="BE339">
        <v>18921.432000000001</v>
      </c>
      <c r="BF339">
        <v>1966.0129999999999</v>
      </c>
      <c r="BG339">
        <v>8286.0879999999997</v>
      </c>
      <c r="BH339">
        <v>492894.821</v>
      </c>
      <c r="BI339">
        <v>5230.7089999999998</v>
      </c>
      <c r="BJ339" s="21"/>
    </row>
    <row r="340" spans="1:62" x14ac:dyDescent="0.25">
      <c r="A340" s="21"/>
      <c r="BJ340" s="21"/>
    </row>
    <row r="341" spans="1:62" ht="15.75" x14ac:dyDescent="0.25">
      <c r="A341" s="21"/>
      <c r="B341" s="5" t="s">
        <v>607</v>
      </c>
      <c r="F341">
        <f t="shared" ref="F341:AX341" si="0">SUM(F6:F338)-F339</f>
        <v>0</v>
      </c>
      <c r="G341">
        <f t="shared" si="0"/>
        <v>0</v>
      </c>
      <c r="H341">
        <f t="shared" si="0"/>
        <v>0</v>
      </c>
      <c r="I341">
        <f t="shared" si="0"/>
        <v>0</v>
      </c>
      <c r="J341">
        <f t="shared" si="0"/>
        <v>0</v>
      </c>
      <c r="K341">
        <f t="shared" si="0"/>
        <v>0</v>
      </c>
      <c r="L341">
        <f t="shared" si="0"/>
        <v>0</v>
      </c>
      <c r="M341">
        <f t="shared" si="0"/>
        <v>0</v>
      </c>
      <c r="N341">
        <f t="shared" si="0"/>
        <v>0</v>
      </c>
      <c r="O341">
        <f t="shared" si="0"/>
        <v>0</v>
      </c>
      <c r="P341">
        <f t="shared" si="0"/>
        <v>0</v>
      </c>
      <c r="Q341">
        <f t="shared" si="0"/>
        <v>0</v>
      </c>
      <c r="R341">
        <f t="shared" si="0"/>
        <v>0</v>
      </c>
      <c r="S341">
        <f t="shared" si="0"/>
        <v>0</v>
      </c>
      <c r="T341">
        <f t="shared" si="0"/>
        <v>0</v>
      </c>
      <c r="U341">
        <f t="shared" si="0"/>
        <v>0</v>
      </c>
      <c r="V341">
        <f t="shared" si="0"/>
        <v>0</v>
      </c>
      <c r="W341">
        <f t="shared" si="0"/>
        <v>0</v>
      </c>
      <c r="X341">
        <f t="shared" si="0"/>
        <v>0</v>
      </c>
      <c r="Y341">
        <f t="shared" si="0"/>
        <v>0</v>
      </c>
      <c r="Z341">
        <f t="shared" si="0"/>
        <v>0</v>
      </c>
      <c r="AA341">
        <f t="shared" si="0"/>
        <v>0</v>
      </c>
      <c r="AB341">
        <f t="shared" si="0"/>
        <v>0</v>
      </c>
      <c r="AC341">
        <f t="shared" si="0"/>
        <v>0</v>
      </c>
      <c r="AD341">
        <f t="shared" si="0"/>
        <v>0</v>
      </c>
      <c r="AE341">
        <f t="shared" si="0"/>
        <v>0</v>
      </c>
      <c r="AF341">
        <f t="shared" si="0"/>
        <v>0</v>
      </c>
      <c r="AG341">
        <f t="shared" si="0"/>
        <v>0</v>
      </c>
      <c r="AH341">
        <f t="shared" si="0"/>
        <v>0</v>
      </c>
      <c r="AI341">
        <f t="shared" si="0"/>
        <v>0</v>
      </c>
      <c r="AJ341">
        <f t="shared" si="0"/>
        <v>0</v>
      </c>
      <c r="AK341">
        <f t="shared" si="0"/>
        <v>0</v>
      </c>
      <c r="AL341">
        <f t="shared" si="0"/>
        <v>0</v>
      </c>
      <c r="AM341">
        <f t="shared" si="0"/>
        <v>0</v>
      </c>
      <c r="AN341">
        <f>SUM(AN6:AN338)-AN339</f>
        <v>0</v>
      </c>
      <c r="AO341">
        <f>SUM(AO6:AO338)-AO339</f>
        <v>0</v>
      </c>
      <c r="AP341">
        <f>SUM(AP6:AP338)-AP339</f>
        <v>0</v>
      </c>
      <c r="AQ341">
        <f t="shared" si="0"/>
        <v>0</v>
      </c>
      <c r="AR341">
        <f t="shared" si="0"/>
        <v>0</v>
      </c>
      <c r="AS341">
        <f t="shared" si="0"/>
        <v>0</v>
      </c>
      <c r="AT341">
        <f t="shared" si="0"/>
        <v>0</v>
      </c>
      <c r="AU341">
        <f t="shared" si="0"/>
        <v>0</v>
      </c>
      <c r="AV341">
        <f t="shared" si="0"/>
        <v>0</v>
      </c>
      <c r="AW341">
        <f t="shared" si="0"/>
        <v>0</v>
      </c>
      <c r="AX341">
        <f t="shared" si="0"/>
        <v>0</v>
      </c>
      <c r="AY341">
        <f>SUM(AY6:AY338)-AY339</f>
        <v>0</v>
      </c>
      <c r="AZ341">
        <f t="shared" ref="AZ341:BI341" si="1">SUM(AZ6:AZ338)-AZ339</f>
        <v>0</v>
      </c>
      <c r="BA341">
        <f t="shared" si="1"/>
        <v>0</v>
      </c>
      <c r="BB341">
        <f t="shared" si="1"/>
        <v>0</v>
      </c>
      <c r="BC341">
        <f t="shared" si="1"/>
        <v>0</v>
      </c>
      <c r="BD341">
        <f t="shared" si="1"/>
        <v>0</v>
      </c>
      <c r="BE341">
        <f t="shared" si="1"/>
        <v>0</v>
      </c>
      <c r="BF341">
        <f t="shared" si="1"/>
        <v>0</v>
      </c>
      <c r="BG341">
        <f t="shared" si="1"/>
        <v>0</v>
      </c>
      <c r="BH341">
        <f t="shared" si="1"/>
        <v>0</v>
      </c>
      <c r="BI341">
        <f t="shared" si="1"/>
        <v>0</v>
      </c>
      <c r="BJ341" s="21"/>
    </row>
    <row r="342" spans="1:62" x14ac:dyDescent="0.25">
      <c r="A342" s="21"/>
      <c r="BJ342" s="21"/>
    </row>
    <row r="343" spans="1:62" x14ac:dyDescent="0.25">
      <c r="A343" s="21"/>
      <c r="B343" t="s">
        <v>608</v>
      </c>
      <c r="E343">
        <v>1</v>
      </c>
      <c r="F343" s="16">
        <f t="shared" ref="F343:AX343" si="2">SUMIF($E$5:$E$337,$E$343,F5:F337)</f>
        <v>792057.71400000004</v>
      </c>
      <c r="G343" s="16">
        <f t="shared" si="2"/>
        <v>154404.51800000001</v>
      </c>
      <c r="H343" s="16">
        <f t="shared" si="2"/>
        <v>23279.546000000002</v>
      </c>
      <c r="I343" s="16">
        <f t="shared" si="2"/>
        <v>25972.039000000001</v>
      </c>
      <c r="J343" s="16">
        <f t="shared" si="2"/>
        <v>11104.561</v>
      </c>
      <c r="K343" s="16">
        <f t="shared" si="2"/>
        <v>14007.842000000001</v>
      </c>
      <c r="L343" s="16">
        <f t="shared" si="2"/>
        <v>33298.199999999997</v>
      </c>
      <c r="M343" s="16">
        <f t="shared" si="2"/>
        <v>1766733.5040000004</v>
      </c>
      <c r="N343" s="16">
        <f t="shared" si="2"/>
        <v>182461.61900000001</v>
      </c>
      <c r="O343" s="16">
        <f>SUMIF($E$5:$E$337,$E$343,O5:O337)</f>
        <v>287.41700000000003</v>
      </c>
      <c r="P343" s="16">
        <f t="shared" si="2"/>
        <v>4725.1149999999998</v>
      </c>
      <c r="Q343" s="16">
        <f t="shared" si="2"/>
        <v>622.34099999999989</v>
      </c>
      <c r="R343" s="16">
        <f t="shared" si="2"/>
        <v>5222.92</v>
      </c>
      <c r="S343" s="16">
        <f t="shared" si="2"/>
        <v>1742.5230000000001</v>
      </c>
      <c r="T343" s="16">
        <f t="shared" si="2"/>
        <v>45530.805999999997</v>
      </c>
      <c r="U343" s="16">
        <f t="shared" si="2"/>
        <v>48.936</v>
      </c>
      <c r="V343" s="16">
        <f t="shared" si="2"/>
        <v>17312.865999999998</v>
      </c>
      <c r="W343" s="16">
        <f t="shared" si="2"/>
        <v>2532.6559999999999</v>
      </c>
      <c r="X343" s="16">
        <f t="shared" si="2"/>
        <v>17230.868000000002</v>
      </c>
      <c r="Y343" s="16">
        <f t="shared" si="2"/>
        <v>42496.799000000006</v>
      </c>
      <c r="Z343" s="16">
        <f t="shared" si="2"/>
        <v>296481.06800000003</v>
      </c>
      <c r="AA343" s="16">
        <f t="shared" si="2"/>
        <v>77524.72</v>
      </c>
      <c r="AB343" s="16">
        <f t="shared" si="2"/>
        <v>48312.836000000003</v>
      </c>
      <c r="AC343" s="16">
        <f t="shared" si="2"/>
        <v>201413.19599999997</v>
      </c>
      <c r="AD343" s="16">
        <f t="shared" si="2"/>
        <v>27625.061000000002</v>
      </c>
      <c r="AE343" s="16">
        <f t="shared" si="2"/>
        <v>16724.844000000001</v>
      </c>
      <c r="AF343" s="16">
        <f t="shared" si="2"/>
        <v>872583.31900000002</v>
      </c>
      <c r="AG343" s="16">
        <f t="shared" si="2"/>
        <v>330424.08199999999</v>
      </c>
      <c r="AH343" s="16">
        <f t="shared" si="2"/>
        <v>73098.296000000002</v>
      </c>
      <c r="AI343" s="16">
        <f t="shared" si="2"/>
        <v>2883809.9140000003</v>
      </c>
      <c r="AJ343" s="16">
        <f t="shared" si="2"/>
        <v>591493.46799999988</v>
      </c>
      <c r="AK343" s="16">
        <f t="shared" si="2"/>
        <v>387289.03500000003</v>
      </c>
      <c r="AL343" s="16">
        <f t="shared" si="2"/>
        <v>7294551.4979999997</v>
      </c>
      <c r="AM343" s="16">
        <f t="shared" si="2"/>
        <v>4243897.8949999996</v>
      </c>
      <c r="AN343" s="16">
        <f>SUMIF($E$5:$E$337,$E$343,AN5:AN337)</f>
        <v>3475.7080000000001</v>
      </c>
      <c r="AO343" s="16">
        <f>SUMIF($E$5:$E$337,$E$343,AO5:AO337)</f>
        <v>2468613.1789999995</v>
      </c>
      <c r="AP343" s="16">
        <f>SUMIF($E$5:$E$337,$E$343,AP5:AP337)</f>
        <v>7586.924</v>
      </c>
      <c r="AQ343" s="16">
        <f t="shared" si="2"/>
        <v>5610.3430000000008</v>
      </c>
      <c r="AR343" s="16">
        <f t="shared" si="2"/>
        <v>108619.57100000001</v>
      </c>
      <c r="AS343" s="16">
        <f t="shared" si="2"/>
        <v>2245.692</v>
      </c>
      <c r="AT343" s="16">
        <f t="shared" si="2"/>
        <v>520.20900000000006</v>
      </c>
      <c r="AU343" s="16">
        <f t="shared" si="2"/>
        <v>0</v>
      </c>
      <c r="AV343" s="16">
        <f t="shared" si="2"/>
        <v>10655.981</v>
      </c>
      <c r="AW343" s="16">
        <f t="shared" si="2"/>
        <v>6957.969000000001</v>
      </c>
      <c r="AX343" s="16">
        <f t="shared" si="2"/>
        <v>8592.1869999999999</v>
      </c>
      <c r="AY343" s="16">
        <f>SUMIF($E$5:$E$337,$E$343,AY5:AY337)</f>
        <v>29514.5</v>
      </c>
      <c r="AZ343" s="16">
        <f t="shared" ref="AZ343:BI343" si="3">SUMIF($E$5:$E$337,$E$343,AZ5:AZ337)</f>
        <v>2825.971</v>
      </c>
      <c r="BA343" s="16">
        <f t="shared" si="3"/>
        <v>1858.4480000000001</v>
      </c>
      <c r="BB343" s="16">
        <f t="shared" si="3"/>
        <v>22770.323</v>
      </c>
      <c r="BC343" s="16">
        <f t="shared" si="3"/>
        <v>2408.7380000000007</v>
      </c>
      <c r="BD343" s="16">
        <f t="shared" si="3"/>
        <v>1057.635</v>
      </c>
      <c r="BE343" s="16">
        <f t="shared" si="3"/>
        <v>1564.8710000000001</v>
      </c>
      <c r="BF343" s="16">
        <f t="shared" si="3"/>
        <v>393.90500000000003</v>
      </c>
      <c r="BG343" s="16">
        <f t="shared" si="3"/>
        <v>686.43599999999992</v>
      </c>
      <c r="BH343" s="16">
        <f t="shared" si="3"/>
        <v>288264.01399999997</v>
      </c>
      <c r="BI343" s="16">
        <f t="shared" si="3"/>
        <v>499.10200000000003</v>
      </c>
      <c r="BJ343" s="21"/>
    </row>
    <row r="344" spans="1:62" x14ac:dyDescent="0.25">
      <c r="A344" s="21"/>
      <c r="B344" t="s">
        <v>609</v>
      </c>
      <c r="E344">
        <v>2</v>
      </c>
      <c r="F344" s="16">
        <f t="shared" ref="F344:AX344" si="4">SUMIF($E$5:$E$337,$E$344,F5:F337)</f>
        <v>1897264.4349999996</v>
      </c>
      <c r="G344" s="16">
        <f t="shared" si="4"/>
        <v>163625.334</v>
      </c>
      <c r="H344" s="16">
        <f t="shared" si="4"/>
        <v>357516.04000000004</v>
      </c>
      <c r="I344" s="16">
        <f t="shared" si="4"/>
        <v>0</v>
      </c>
      <c r="J344" s="16">
        <f t="shared" si="4"/>
        <v>53010.555999999997</v>
      </c>
      <c r="K344" s="16">
        <f t="shared" si="4"/>
        <v>247167.91200000001</v>
      </c>
      <c r="L344" s="16">
        <f t="shared" si="4"/>
        <v>195410.72899999999</v>
      </c>
      <c r="M344" s="16">
        <f t="shared" si="4"/>
        <v>652150.13599999994</v>
      </c>
      <c r="N344" s="16">
        <f t="shared" si="4"/>
        <v>630561.96299999999</v>
      </c>
      <c r="O344" s="16">
        <f>SUMIF($E$5:$E$337,$E$344,O5:O337)</f>
        <v>11633.122000000001</v>
      </c>
      <c r="P344" s="16">
        <f t="shared" si="4"/>
        <v>45.703000000000003</v>
      </c>
      <c r="Q344" s="16">
        <f t="shared" si="4"/>
        <v>15610.804</v>
      </c>
      <c r="R344" s="16">
        <f t="shared" si="4"/>
        <v>1858.9079999999999</v>
      </c>
      <c r="S344" s="16">
        <f t="shared" si="4"/>
        <v>4533.5280000000002</v>
      </c>
      <c r="T344" s="16">
        <f t="shared" si="4"/>
        <v>49838.023000000001</v>
      </c>
      <c r="U344" s="16">
        <f t="shared" si="4"/>
        <v>924.11400000000003</v>
      </c>
      <c r="V344" s="16">
        <f t="shared" si="4"/>
        <v>156672.32200000001</v>
      </c>
      <c r="W344" s="16">
        <f t="shared" si="4"/>
        <v>24300.532000000003</v>
      </c>
      <c r="X344" s="16">
        <f t="shared" si="4"/>
        <v>50646.146000000008</v>
      </c>
      <c r="Y344" s="16">
        <f t="shared" si="4"/>
        <v>1640.2670000000001</v>
      </c>
      <c r="Z344" s="16">
        <f t="shared" si="4"/>
        <v>276888.26299999998</v>
      </c>
      <c r="AA344" s="16">
        <f t="shared" si="4"/>
        <v>85.834999999999994</v>
      </c>
      <c r="AB344" s="16">
        <f t="shared" si="4"/>
        <v>303597.05800000002</v>
      </c>
      <c r="AC344" s="16">
        <f t="shared" si="4"/>
        <v>1261.6210000000001</v>
      </c>
      <c r="AD344" s="16">
        <f t="shared" si="4"/>
        <v>22619.724999999999</v>
      </c>
      <c r="AE344" s="16">
        <f t="shared" si="4"/>
        <v>9146.3979999999992</v>
      </c>
      <c r="AF344" s="16">
        <f t="shared" si="4"/>
        <v>726348.27899999998</v>
      </c>
      <c r="AG344" s="16">
        <f t="shared" si="4"/>
        <v>43060.759999999995</v>
      </c>
      <c r="AH344" s="16">
        <f t="shared" si="4"/>
        <v>30753.778000000006</v>
      </c>
      <c r="AI344" s="16">
        <f t="shared" si="4"/>
        <v>2353120.8940000003</v>
      </c>
      <c r="AJ344" s="16">
        <f t="shared" si="4"/>
        <v>77561.903000000006</v>
      </c>
      <c r="AK344" s="16">
        <f t="shared" si="4"/>
        <v>443.49099999999999</v>
      </c>
      <c r="AL344" s="16">
        <f t="shared" si="4"/>
        <v>1168379.7709999999</v>
      </c>
      <c r="AM344" s="16">
        <f t="shared" si="4"/>
        <v>680109.96</v>
      </c>
      <c r="AN344" s="16">
        <f>SUMIF($E$5:$E$337,$E$344,AN5:AN337)</f>
        <v>28942.217000000001</v>
      </c>
      <c r="AO344" s="16">
        <f>SUMIF($E$5:$E$337,$E$344,AO5:AO337)</f>
        <v>394707.12800000003</v>
      </c>
      <c r="AP344" s="16">
        <f>SUMIF($E$5:$E$337,$E$344,AP5:AP337)</f>
        <v>7149.3669999999993</v>
      </c>
      <c r="AQ344" s="16">
        <f t="shared" si="4"/>
        <v>0</v>
      </c>
      <c r="AR344" s="16">
        <f t="shared" si="4"/>
        <v>13314.116000000002</v>
      </c>
      <c r="AS344" s="16">
        <f t="shared" si="4"/>
        <v>0</v>
      </c>
      <c r="AT344" s="16">
        <f t="shared" si="4"/>
        <v>1193.0070000000001</v>
      </c>
      <c r="AU344" s="16">
        <f t="shared" si="4"/>
        <v>0</v>
      </c>
      <c r="AV344" s="16">
        <f t="shared" si="4"/>
        <v>30962.649000000001</v>
      </c>
      <c r="AW344" s="16">
        <f t="shared" si="4"/>
        <v>0</v>
      </c>
      <c r="AX344" s="16">
        <f t="shared" si="4"/>
        <v>0</v>
      </c>
      <c r="AY344" s="16">
        <f>SUMIF($E$5:$E$337,$E$344,AY5:AY337)</f>
        <v>1012.016</v>
      </c>
      <c r="AZ344" s="16">
        <f t="shared" ref="AZ344:BI344" si="5">SUMIF($E$5:$E$337,$E$344,AZ5:AZ337)</f>
        <v>5085.6419999999998</v>
      </c>
      <c r="BA344" s="16">
        <f t="shared" si="5"/>
        <v>215.803</v>
      </c>
      <c r="BB344" s="16">
        <f t="shared" si="5"/>
        <v>647.55700000000002</v>
      </c>
      <c r="BC344" s="16">
        <f t="shared" si="5"/>
        <v>1723.296</v>
      </c>
      <c r="BD344" s="16">
        <f t="shared" si="5"/>
        <v>3325.5930000000003</v>
      </c>
      <c r="BE344" s="16">
        <f t="shared" si="5"/>
        <v>240.93600000000001</v>
      </c>
      <c r="BF344" s="16">
        <f t="shared" si="5"/>
        <v>361.31799999999993</v>
      </c>
      <c r="BG344" s="16">
        <f t="shared" si="5"/>
        <v>105.41500000000001</v>
      </c>
      <c r="BH344" s="16">
        <f t="shared" si="5"/>
        <v>34055.656000000003</v>
      </c>
      <c r="BI344" s="16">
        <f t="shared" si="5"/>
        <v>1235.8400000000001</v>
      </c>
      <c r="BJ344" s="21"/>
    </row>
    <row r="345" spans="1:62" x14ac:dyDescent="0.25">
      <c r="A345" s="21"/>
      <c r="B345" t="s">
        <v>610</v>
      </c>
      <c r="E345">
        <v>3</v>
      </c>
      <c r="F345" s="16">
        <f t="shared" ref="F345:AX345" si="6">SUMIF($E$5:$E$337,$E$345,F5:F337)</f>
        <v>1771933.1550000003</v>
      </c>
      <c r="G345" s="16">
        <f t="shared" si="6"/>
        <v>266116.609</v>
      </c>
      <c r="H345" s="16">
        <f t="shared" si="6"/>
        <v>466526.66100000002</v>
      </c>
      <c r="I345" s="16">
        <f t="shared" si="6"/>
        <v>70569.176000000007</v>
      </c>
      <c r="J345" s="16">
        <f t="shared" si="6"/>
        <v>42650.376999999986</v>
      </c>
      <c r="K345" s="16">
        <f t="shared" si="6"/>
        <v>315028.72500000003</v>
      </c>
      <c r="L345" s="16">
        <f t="shared" si="6"/>
        <v>40789.4</v>
      </c>
      <c r="M345" s="16">
        <f t="shared" si="6"/>
        <v>811640.00500000012</v>
      </c>
      <c r="N345" s="16">
        <f t="shared" si="6"/>
        <v>1107377.801</v>
      </c>
      <c r="O345" s="16">
        <f>SUMIF($E$5:$E$337,$E$345,O5:O337)</f>
        <v>3270.5210000000002</v>
      </c>
      <c r="P345" s="16">
        <f t="shared" si="6"/>
        <v>0</v>
      </c>
      <c r="Q345" s="16">
        <f t="shared" si="6"/>
        <v>48.807000000000009</v>
      </c>
      <c r="R345" s="16">
        <f t="shared" si="6"/>
        <v>3868.6</v>
      </c>
      <c r="S345" s="16">
        <f t="shared" si="6"/>
        <v>12651.843999999999</v>
      </c>
      <c r="T345" s="16">
        <f t="shared" si="6"/>
        <v>109395.87699999999</v>
      </c>
      <c r="U345" s="16">
        <f t="shared" si="6"/>
        <v>0</v>
      </c>
      <c r="V345" s="16">
        <f t="shared" si="6"/>
        <v>32703.271000000001</v>
      </c>
      <c r="W345" s="16">
        <f t="shared" si="6"/>
        <v>43610.63700000001</v>
      </c>
      <c r="X345" s="16">
        <f t="shared" si="6"/>
        <v>87554.764000000025</v>
      </c>
      <c r="Y345" s="16">
        <f t="shared" si="6"/>
        <v>0</v>
      </c>
      <c r="Z345" s="16">
        <f t="shared" si="6"/>
        <v>210319.25099999999</v>
      </c>
      <c r="AA345" s="16">
        <f t="shared" si="6"/>
        <v>13745.796</v>
      </c>
      <c r="AB345" s="16">
        <f t="shared" si="6"/>
        <v>440312.00399999996</v>
      </c>
      <c r="AC345" s="16">
        <f t="shared" si="6"/>
        <v>0</v>
      </c>
      <c r="AD345" s="16">
        <f t="shared" si="6"/>
        <v>47327.381000000001</v>
      </c>
      <c r="AE345" s="16">
        <f t="shared" si="6"/>
        <v>13130.059000000001</v>
      </c>
      <c r="AF345" s="16">
        <f t="shared" si="6"/>
        <v>437654.85100000002</v>
      </c>
      <c r="AG345" s="16">
        <f t="shared" si="6"/>
        <v>11340.803</v>
      </c>
      <c r="AH345" s="16">
        <f t="shared" si="6"/>
        <v>52962.95</v>
      </c>
      <c r="AI345" s="16">
        <f t="shared" si="6"/>
        <v>2082281.03</v>
      </c>
      <c r="AJ345" s="16">
        <f t="shared" si="6"/>
        <v>20075.531999999999</v>
      </c>
      <c r="AK345" s="16">
        <f t="shared" si="6"/>
        <v>67037.123999999996</v>
      </c>
      <c r="AL345" s="16">
        <f t="shared" si="6"/>
        <v>0</v>
      </c>
      <c r="AM345" s="16">
        <f t="shared" si="6"/>
        <v>0</v>
      </c>
      <c r="AN345" s="16">
        <f>SUMIF($E$5:$E$337,$E$345,AN5:AN337)</f>
        <v>6041.3040000000001</v>
      </c>
      <c r="AO345" s="16">
        <f>SUMIF($E$5:$E$337,$E$345,AO5:AO337)</f>
        <v>0</v>
      </c>
      <c r="AP345" s="16">
        <f>SUMIF($E$5:$E$337,$E$345,AP5:AP337)</f>
        <v>10156.774000000001</v>
      </c>
      <c r="AQ345" s="16">
        <f t="shared" si="6"/>
        <v>0</v>
      </c>
      <c r="AR345" s="16">
        <f t="shared" si="6"/>
        <v>3381.4270000000001</v>
      </c>
      <c r="AS345" s="16">
        <f t="shared" si="6"/>
        <v>0</v>
      </c>
      <c r="AT345" s="16">
        <f t="shared" si="6"/>
        <v>804.60599999999999</v>
      </c>
      <c r="AU345" s="16">
        <f t="shared" si="6"/>
        <v>0</v>
      </c>
      <c r="AV345" s="16">
        <f t="shared" si="6"/>
        <v>25631.028999999999</v>
      </c>
      <c r="AW345" s="16">
        <f t="shared" si="6"/>
        <v>0</v>
      </c>
      <c r="AX345" s="16">
        <f t="shared" si="6"/>
        <v>0</v>
      </c>
      <c r="AY345" s="16">
        <f>SUMIF($E$5:$E$337,$E$345,AY5:AY337)</f>
        <v>0</v>
      </c>
      <c r="AZ345" s="16">
        <f t="shared" ref="AZ345:BI345" si="7">SUMIF($E$5:$E$337,$E$345,AZ5:AZ337)</f>
        <v>10539.163</v>
      </c>
      <c r="BA345" s="16">
        <f t="shared" si="7"/>
        <v>435.78100000000001</v>
      </c>
      <c r="BB345" s="16">
        <f t="shared" si="7"/>
        <v>0</v>
      </c>
      <c r="BC345" s="16">
        <f t="shared" si="7"/>
        <v>3655.0360000000005</v>
      </c>
      <c r="BD345" s="16">
        <f t="shared" si="7"/>
        <v>8167.264000000001</v>
      </c>
      <c r="BE345" s="16">
        <f t="shared" si="7"/>
        <v>486.53300000000002</v>
      </c>
      <c r="BF345" s="16">
        <f t="shared" si="7"/>
        <v>639.39099999999996</v>
      </c>
      <c r="BG345" s="16">
        <f t="shared" si="7"/>
        <v>212.86799999999999</v>
      </c>
      <c r="BH345" s="16">
        <f t="shared" si="7"/>
        <v>52553.148000000001</v>
      </c>
      <c r="BI345" s="16">
        <f t="shared" si="7"/>
        <v>3313.1179999999999</v>
      </c>
      <c r="BJ345" s="21"/>
    </row>
    <row r="346" spans="1:62" x14ac:dyDescent="0.25">
      <c r="A346" s="21"/>
      <c r="B346" t="s">
        <v>611</v>
      </c>
      <c r="C346">
        <v>7</v>
      </c>
      <c r="E346">
        <v>4</v>
      </c>
      <c r="F346" s="16">
        <f t="shared" ref="F346:AX346" si="8">SUMIF($E$5:$E$337,$E$346,F5:F337)</f>
        <v>1174994.2329999998</v>
      </c>
      <c r="G346" s="16">
        <f t="shared" si="8"/>
        <v>250930.77299999996</v>
      </c>
      <c r="H346" s="16">
        <f t="shared" si="8"/>
        <v>289.0739999999999</v>
      </c>
      <c r="I346" s="16">
        <f t="shared" si="8"/>
        <v>15994.405000000001</v>
      </c>
      <c r="J346" s="16">
        <f t="shared" si="8"/>
        <v>12282.346</v>
      </c>
      <c r="K346" s="16">
        <f t="shared" si="8"/>
        <v>199.4</v>
      </c>
      <c r="L346" s="16">
        <f t="shared" si="8"/>
        <v>0</v>
      </c>
      <c r="M346" s="16">
        <f t="shared" si="8"/>
        <v>3007345.0569999996</v>
      </c>
      <c r="N346" s="16">
        <f t="shared" si="8"/>
        <v>274924.65100000001</v>
      </c>
      <c r="O346" s="16">
        <f>SUMIF($E$5:$E$337,$E$346,O5:O337)</f>
        <v>0</v>
      </c>
      <c r="P346" s="16">
        <f t="shared" si="8"/>
        <v>1621.7719999999999</v>
      </c>
      <c r="Q346" s="16">
        <f t="shared" si="8"/>
        <v>24.061</v>
      </c>
      <c r="R346" s="16">
        <f t="shared" si="8"/>
        <v>982.01599999999996</v>
      </c>
      <c r="S346" s="16">
        <f t="shared" si="8"/>
        <v>101.416</v>
      </c>
      <c r="T346" s="16">
        <f t="shared" si="8"/>
        <v>76612.881999999998</v>
      </c>
      <c r="U346" s="16">
        <f t="shared" si="8"/>
        <v>0</v>
      </c>
      <c r="V346" s="16">
        <f t="shared" si="8"/>
        <v>0</v>
      </c>
      <c r="W346" s="16">
        <f t="shared" si="8"/>
        <v>26.631999999999987</v>
      </c>
      <c r="X346" s="16">
        <f t="shared" si="8"/>
        <v>20940.357000000007</v>
      </c>
      <c r="Y346" s="16">
        <f t="shared" si="8"/>
        <v>166531.72199999998</v>
      </c>
      <c r="Z346" s="16">
        <f t="shared" si="8"/>
        <v>481032.94500000001</v>
      </c>
      <c r="AA346" s="16">
        <f t="shared" si="8"/>
        <v>46384.533000000003</v>
      </c>
      <c r="AB346" s="16">
        <f t="shared" si="8"/>
        <v>273.65500000000009</v>
      </c>
      <c r="AC346" s="16">
        <f t="shared" si="8"/>
        <v>51124.478000000003</v>
      </c>
      <c r="AD346" s="16">
        <f t="shared" si="8"/>
        <v>45512.174000000006</v>
      </c>
      <c r="AE346" s="16">
        <f t="shared" si="8"/>
        <v>17153.893</v>
      </c>
      <c r="AF346" s="16">
        <f t="shared" si="8"/>
        <v>1240189.2680000004</v>
      </c>
      <c r="AG346" s="16">
        <f t="shared" si="8"/>
        <v>608472.25300000014</v>
      </c>
      <c r="AH346" s="16">
        <f t="shared" si="8"/>
        <v>77862.057000000001</v>
      </c>
      <c r="AI346" s="16">
        <f t="shared" si="8"/>
        <v>5054594.9069999987</v>
      </c>
      <c r="AJ346" s="16">
        <f t="shared" si="8"/>
        <v>1117374.6610000001</v>
      </c>
      <c r="AK346" s="16">
        <f t="shared" si="8"/>
        <v>253475.86799999999</v>
      </c>
      <c r="AL346" s="16">
        <f t="shared" si="8"/>
        <v>2090570.4849999999</v>
      </c>
      <c r="AM346" s="16">
        <f t="shared" si="8"/>
        <v>1216914.0969999998</v>
      </c>
      <c r="AN346" s="16">
        <f>SUMIF($E$5:$E$337,$E$346,AN5:AN337)</f>
        <v>0</v>
      </c>
      <c r="AO346" s="16">
        <f>SUMIF($E$5:$E$337,$E$346,AO5:AO337)</f>
        <v>706245.59</v>
      </c>
      <c r="AP346" s="16">
        <f>SUMIF($E$5:$E$337,$E$346,AP5:AP337)</f>
        <v>9527.1579999999994</v>
      </c>
      <c r="AQ346" s="16">
        <f t="shared" si="8"/>
        <v>44643.491999999998</v>
      </c>
      <c r="AR346" s="16">
        <f t="shared" si="8"/>
        <v>186360.02500000002</v>
      </c>
      <c r="AS346" s="16">
        <f t="shared" si="8"/>
        <v>19770.972000000002</v>
      </c>
      <c r="AT346" s="16">
        <f t="shared" si="8"/>
        <v>759.7529999999997</v>
      </c>
      <c r="AU346" s="16">
        <f t="shared" si="8"/>
        <v>0</v>
      </c>
      <c r="AV346" s="16">
        <f t="shared" si="8"/>
        <v>9495.1479999999992</v>
      </c>
      <c r="AW346" s="16">
        <f t="shared" si="8"/>
        <v>63742.427000000003</v>
      </c>
      <c r="AX346" s="16">
        <f t="shared" si="8"/>
        <v>65344.220999999998</v>
      </c>
      <c r="AY346" s="16">
        <f>SUMIF($E$5:$E$337,$E$346,AY5:AY337)</f>
        <v>102747.16799999999</v>
      </c>
      <c r="AZ346" s="16">
        <f t="shared" ref="AZ346:BI346" si="9">SUMIF($E$5:$E$337,$E$346,AZ5:AZ337)</f>
        <v>2393.5980000000004</v>
      </c>
      <c r="BA346" s="16">
        <f t="shared" si="9"/>
        <v>13939.992</v>
      </c>
      <c r="BB346" s="16">
        <f t="shared" si="9"/>
        <v>65744.604000000007</v>
      </c>
      <c r="BC346" s="16">
        <f t="shared" si="9"/>
        <v>3165.6670000000004</v>
      </c>
      <c r="BD346" s="16">
        <f t="shared" si="9"/>
        <v>4.613999999999999</v>
      </c>
      <c r="BE346" s="16">
        <f t="shared" si="9"/>
        <v>15563.484999999999</v>
      </c>
      <c r="BF346" s="16">
        <f t="shared" si="9"/>
        <v>542.79200000000003</v>
      </c>
      <c r="BG346" s="16">
        <f t="shared" si="9"/>
        <v>6809.3649999999998</v>
      </c>
      <c r="BH346" s="16">
        <f t="shared" si="9"/>
        <v>120845.519</v>
      </c>
      <c r="BI346" s="16">
        <f t="shared" si="9"/>
        <v>1.7589999999999995</v>
      </c>
      <c r="BJ346" s="21"/>
    </row>
    <row r="347" spans="1:62" x14ac:dyDescent="0.25">
      <c r="A347" s="21"/>
      <c r="B347" t="s">
        <v>612</v>
      </c>
      <c r="E347">
        <v>5</v>
      </c>
      <c r="F347" s="16">
        <f t="shared" ref="F347:AX347" si="10">SUMIF($E$5:$E$337,$E$347,F5:F337)</f>
        <v>685647.37900000007</v>
      </c>
      <c r="G347" s="16">
        <f t="shared" si="10"/>
        <v>36841.647999999994</v>
      </c>
      <c r="H347" s="16">
        <f t="shared" si="10"/>
        <v>84754.991999999998</v>
      </c>
      <c r="I347" s="16">
        <f t="shared" si="10"/>
        <v>970488.35899999994</v>
      </c>
      <c r="J347" s="16">
        <f t="shared" si="10"/>
        <v>11356.881000000001</v>
      </c>
      <c r="K347" s="16">
        <f t="shared" si="10"/>
        <v>74203.64</v>
      </c>
      <c r="L347" s="16">
        <f t="shared" si="10"/>
        <v>14251.71</v>
      </c>
      <c r="M347" s="16">
        <f t="shared" si="10"/>
        <v>495840.18999999994</v>
      </c>
      <c r="N347" s="16">
        <f t="shared" si="10"/>
        <v>355025.86499999999</v>
      </c>
      <c r="O347" s="16">
        <f>SUMIF($E$5:$E$337,$E$347,O5:O337)</f>
        <v>0</v>
      </c>
      <c r="P347" s="16">
        <f t="shared" si="10"/>
        <v>0</v>
      </c>
      <c r="Q347" s="16">
        <f t="shared" si="10"/>
        <v>2220.1410000000001</v>
      </c>
      <c r="R347" s="16">
        <f t="shared" si="10"/>
        <v>0</v>
      </c>
      <c r="S347" s="16">
        <f t="shared" si="10"/>
        <v>90.787000000000006</v>
      </c>
      <c r="T347" s="16">
        <f t="shared" si="10"/>
        <v>-3559.5610000000006</v>
      </c>
      <c r="U347" s="16">
        <f t="shared" si="10"/>
        <v>0</v>
      </c>
      <c r="V347" s="16">
        <f t="shared" si="10"/>
        <v>2720.4029999999998</v>
      </c>
      <c r="W347" s="16">
        <f t="shared" si="10"/>
        <v>7145.1380000000008</v>
      </c>
      <c r="X347" s="16">
        <f t="shared" si="10"/>
        <v>24222.879000000001</v>
      </c>
      <c r="Y347" s="16">
        <f t="shared" si="10"/>
        <v>0</v>
      </c>
      <c r="Z347" s="16">
        <f t="shared" si="10"/>
        <v>182561.73600000003</v>
      </c>
      <c r="AA347" s="16">
        <f t="shared" si="10"/>
        <v>0</v>
      </c>
      <c r="AB347" s="16">
        <f t="shared" si="10"/>
        <v>55172.104999999996</v>
      </c>
      <c r="AC347" s="16">
        <f t="shared" si="10"/>
        <v>-8.879999999999999</v>
      </c>
      <c r="AD347" s="16">
        <f t="shared" si="10"/>
        <v>6462.4190000000008</v>
      </c>
      <c r="AE347" s="16">
        <f t="shared" si="10"/>
        <v>0</v>
      </c>
      <c r="AF347" s="16">
        <f t="shared" si="10"/>
        <v>569496.37100000004</v>
      </c>
      <c r="AG347" s="16">
        <f t="shared" si="10"/>
        <v>-15376.165000000001</v>
      </c>
      <c r="AH347" s="16">
        <f t="shared" si="10"/>
        <v>7592.8760000000002</v>
      </c>
      <c r="AI347" s="16">
        <f t="shared" si="10"/>
        <v>1652536.9890000001</v>
      </c>
      <c r="AJ347" s="16">
        <f t="shared" si="10"/>
        <v>24715.696000000004</v>
      </c>
      <c r="AK347" s="16">
        <f t="shared" si="10"/>
        <v>21.762</v>
      </c>
      <c r="AL347" s="16">
        <f t="shared" si="10"/>
        <v>32.209000000000003</v>
      </c>
      <c r="AM347" s="16">
        <f t="shared" si="10"/>
        <v>115.64700000000001</v>
      </c>
      <c r="AN347" s="16">
        <f>SUMIF($E$5:$E$337,$E$347,AN5:AN337)</f>
        <v>590.92700000000002</v>
      </c>
      <c r="AO347" s="16">
        <f>SUMIF($E$5:$E$337,$E$347,AO5:AO337)</f>
        <v>499.71899999999999</v>
      </c>
      <c r="AP347" s="16">
        <f>SUMIF($E$5:$E$337,$E$347,AP5:AP337)</f>
        <v>-544.98599999999999</v>
      </c>
      <c r="AQ347" s="16">
        <f t="shared" si="10"/>
        <v>0</v>
      </c>
      <c r="AR347" s="16">
        <f t="shared" si="10"/>
        <v>-2778.9459999999999</v>
      </c>
      <c r="AS347" s="16">
        <f t="shared" si="10"/>
        <v>0</v>
      </c>
      <c r="AT347" s="16">
        <f t="shared" si="10"/>
        <v>-37.600999999999999</v>
      </c>
      <c r="AU347" s="16">
        <f t="shared" si="10"/>
        <v>0</v>
      </c>
      <c r="AV347" s="16">
        <f t="shared" si="10"/>
        <v>-208.68799999999999</v>
      </c>
      <c r="AW347" s="16">
        <f t="shared" si="10"/>
        <v>0</v>
      </c>
      <c r="AX347" s="16">
        <f t="shared" si="10"/>
        <v>0</v>
      </c>
      <c r="AY347" s="16">
        <f>SUMIF($E$5:$E$337,$E$347,AY5:AY337)</f>
        <v>0</v>
      </c>
      <c r="AZ347" s="16">
        <f t="shared" ref="AZ347:BI347" si="11">SUMIF($E$5:$E$337,$E$347,AZ5:AZ337)</f>
        <v>-109.28299999999999</v>
      </c>
      <c r="BA347" s="16">
        <f t="shared" si="11"/>
        <v>0</v>
      </c>
      <c r="BB347" s="16">
        <f t="shared" si="11"/>
        <v>0</v>
      </c>
      <c r="BC347" s="16">
        <f t="shared" si="11"/>
        <v>-150.02500000000001</v>
      </c>
      <c r="BD347" s="16">
        <f t="shared" si="11"/>
        <v>1.0999999999999999E-2</v>
      </c>
      <c r="BE347" s="16">
        <f t="shared" si="11"/>
        <v>0</v>
      </c>
      <c r="BF347" s="16">
        <f t="shared" si="11"/>
        <v>-28.945</v>
      </c>
      <c r="BG347" s="16">
        <f t="shared" si="11"/>
        <v>0</v>
      </c>
      <c r="BH347" s="16">
        <f t="shared" si="11"/>
        <v>0</v>
      </c>
      <c r="BI347" s="16">
        <f t="shared" si="11"/>
        <v>4.0000000000000001E-3</v>
      </c>
      <c r="BJ347" s="21"/>
    </row>
    <row r="348" spans="1:62" x14ac:dyDescent="0.25">
      <c r="A348" s="21"/>
      <c r="B348" t="s">
        <v>613</v>
      </c>
      <c r="C348">
        <v>7</v>
      </c>
      <c r="E348">
        <v>6</v>
      </c>
      <c r="F348" s="16">
        <f t="shared" ref="F348:AX348" si="12">SUMIF($E$5:$E$337,$E$348,F5:F337)+SUMIF($E$5:$E$337,$C$348,F5:F337)</f>
        <v>1742657.3120000002</v>
      </c>
      <c r="G348" s="16">
        <f t="shared" si="12"/>
        <v>74374.41</v>
      </c>
      <c r="H348" s="16">
        <f t="shared" si="12"/>
        <v>69993.19</v>
      </c>
      <c r="I348" s="16">
        <f t="shared" si="12"/>
        <v>21756.714999999989</v>
      </c>
      <c r="J348" s="16">
        <f t="shared" si="12"/>
        <v>10823.598000000004</v>
      </c>
      <c r="K348" s="16">
        <f t="shared" si="12"/>
        <v>48519.501000000004</v>
      </c>
      <c r="L348" s="16">
        <f t="shared" si="12"/>
        <v>6600.9849999999997</v>
      </c>
      <c r="M348" s="16">
        <f t="shared" si="12"/>
        <v>2187654.1490000002</v>
      </c>
      <c r="N348" s="16">
        <f t="shared" si="12"/>
        <v>586265.02400000009</v>
      </c>
      <c r="O348" s="16">
        <f>SUMIF($E$5:$E$337,$E$348,O5:O337)+SUMIF($E$5:$E$337,$C$348,O5:O337)</f>
        <v>-1.7540000000000004</v>
      </c>
      <c r="P348" s="16">
        <f t="shared" si="12"/>
        <v>131.42399999999998</v>
      </c>
      <c r="Q348" s="16">
        <f t="shared" si="12"/>
        <v>1357.4069999999999</v>
      </c>
      <c r="R348" s="16">
        <f t="shared" si="12"/>
        <v>189.53700000000009</v>
      </c>
      <c r="S348" s="16">
        <f t="shared" si="12"/>
        <v>741.01200000000006</v>
      </c>
      <c r="T348" s="16">
        <f t="shared" si="12"/>
        <v>12667.589999999998</v>
      </c>
      <c r="U348" s="16">
        <f t="shared" si="12"/>
        <v>-0.93700000000000006</v>
      </c>
      <c r="V348" s="16">
        <f t="shared" si="12"/>
        <v>5278.8670000000002</v>
      </c>
      <c r="W348" s="16">
        <f t="shared" si="12"/>
        <v>5840.8720000000003</v>
      </c>
      <c r="X348" s="16">
        <f t="shared" si="12"/>
        <v>16852.152000000002</v>
      </c>
      <c r="Y348" s="16">
        <f t="shared" si="12"/>
        <v>-645.90499999999986</v>
      </c>
      <c r="Z348" s="16">
        <f t="shared" si="12"/>
        <v>274537.28100000002</v>
      </c>
      <c r="AA348" s="16">
        <f t="shared" si="12"/>
        <v>-724.32800000001168</v>
      </c>
      <c r="AB348" s="16">
        <f t="shared" si="12"/>
        <v>61922.376000000004</v>
      </c>
      <c r="AC348" s="16">
        <f t="shared" si="12"/>
        <v>6342.9849999999997</v>
      </c>
      <c r="AD348" s="16">
        <f t="shared" si="12"/>
        <v>9566.5240000000013</v>
      </c>
      <c r="AE348" s="16">
        <f t="shared" si="12"/>
        <v>11.573000000000512</v>
      </c>
      <c r="AF348" s="16">
        <f t="shared" si="12"/>
        <v>1045976.26</v>
      </c>
      <c r="AG348" s="16">
        <f t="shared" si="12"/>
        <v>42796.191999999995</v>
      </c>
      <c r="AH348" s="16">
        <f t="shared" si="12"/>
        <v>95.745000000000715</v>
      </c>
      <c r="AI348" s="16">
        <f t="shared" si="12"/>
        <v>4093594.0389999999</v>
      </c>
      <c r="AJ348" s="16">
        <f t="shared" si="12"/>
        <v>99994.468000000008</v>
      </c>
      <c r="AK348" s="16">
        <f t="shared" si="12"/>
        <v>-3244.6219999999844</v>
      </c>
      <c r="AL348" s="16">
        <f t="shared" si="12"/>
        <v>8431.0600000000049</v>
      </c>
      <c r="AM348" s="16">
        <f t="shared" si="12"/>
        <v>4904.2840000000006</v>
      </c>
      <c r="AN348" s="16">
        <f>SUMIF($E$5:$E$337,$E$348,AN5:AN337)+SUMIF($E$5:$E$337,$C$348,AN5:AN337)</f>
        <v>959.20400000000006</v>
      </c>
      <c r="AO348" s="16">
        <f>SUMIF($E$5:$E$337,$E$348,AO5:AO337)+SUMIF($E$5:$E$337,$C$348,AO5:AO337)</f>
        <v>1877.2819999999988</v>
      </c>
      <c r="AP348" s="16">
        <f>SUMIF($E$5:$E$337,$E$348,AP5:AP337)+SUMIF($E$5:$E$337,$C$348,AP5:AP337)</f>
        <v>935.18399999999997</v>
      </c>
      <c r="AQ348" s="16">
        <f t="shared" si="12"/>
        <v>-31.093</v>
      </c>
      <c r="AR348" s="16">
        <f t="shared" si="12"/>
        <v>8354.4470000000019</v>
      </c>
      <c r="AS348" s="16">
        <f t="shared" si="12"/>
        <v>-5.1230000000000011</v>
      </c>
      <c r="AT348" s="16">
        <f t="shared" si="12"/>
        <v>234.26600000000002</v>
      </c>
      <c r="AU348" s="16">
        <f t="shared" si="12"/>
        <v>0</v>
      </c>
      <c r="AV348" s="16">
        <f t="shared" si="12"/>
        <v>1583.4929999999999</v>
      </c>
      <c r="AW348" s="16">
        <f t="shared" si="12"/>
        <v>23.002000000000002</v>
      </c>
      <c r="AX348" s="16">
        <f t="shared" si="12"/>
        <v>-41.495000000000005</v>
      </c>
      <c r="AY348" s="16">
        <f>SUMIF($E$5:$E$337,$E$348,AY5:AY337)+SUMIF($E$5:$E$337,$C$348,AY5:AY337)</f>
        <v>-394.33299999999997</v>
      </c>
      <c r="AZ348" s="16">
        <f t="shared" ref="AZ348:BI348" si="13">SUMIF($E$5:$E$337,$E$348,AZ5:AZ337)+SUMIF($E$5:$E$337,$C$348,AZ5:AZ337)</f>
        <v>700.53800000000024</v>
      </c>
      <c r="BA348" s="16">
        <f t="shared" si="13"/>
        <v>967.52899999999988</v>
      </c>
      <c r="BB348" s="16">
        <f t="shared" si="13"/>
        <v>-248.82100000000003</v>
      </c>
      <c r="BC348" s="16">
        <f t="shared" si="13"/>
        <v>341.20300000000009</v>
      </c>
      <c r="BD348" s="16">
        <f t="shared" si="13"/>
        <v>441.12699999999995</v>
      </c>
      <c r="BE348" s="16">
        <f t="shared" si="13"/>
        <v>1065.6070000000002</v>
      </c>
      <c r="BF348" s="16">
        <f t="shared" si="13"/>
        <v>57.551999999999992</v>
      </c>
      <c r="BG348" s="16">
        <f t="shared" si="13"/>
        <v>472.00400000000002</v>
      </c>
      <c r="BH348" s="16">
        <f t="shared" si="13"/>
        <v>-2823.5160000000083</v>
      </c>
      <c r="BI348" s="16">
        <f t="shared" si="13"/>
        <v>180.88600000000002</v>
      </c>
      <c r="BJ348" s="21"/>
    </row>
    <row r="349" spans="1:62" x14ac:dyDescent="0.25">
      <c r="A349" s="21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21"/>
    </row>
    <row r="350" spans="1:62" x14ac:dyDescent="0.25">
      <c r="A350" s="21"/>
      <c r="F350">
        <f t="shared" ref="F350:N350" si="14">SUM(F343:F349)</f>
        <v>8064554.2279999992</v>
      </c>
      <c r="G350">
        <f t="shared" si="14"/>
        <v>946293.29200000002</v>
      </c>
      <c r="H350">
        <f t="shared" si="14"/>
        <v>1002359.503</v>
      </c>
      <c r="I350">
        <f t="shared" si="14"/>
        <v>1104780.6940000001</v>
      </c>
      <c r="J350">
        <f t="shared" si="14"/>
        <v>141228.31899999999</v>
      </c>
      <c r="K350">
        <f t="shared" si="14"/>
        <v>699127.02000000014</v>
      </c>
      <c r="L350">
        <f t="shared" si="14"/>
        <v>290351.02400000003</v>
      </c>
      <c r="M350" s="17">
        <f t="shared" si="14"/>
        <v>8921363.0409999993</v>
      </c>
      <c r="N350">
        <f t="shared" si="14"/>
        <v>3136616.9230000004</v>
      </c>
      <c r="O350">
        <f>SUM(O343:O349)</f>
        <v>15189.306</v>
      </c>
      <c r="P350">
        <f t="shared" ref="P350:AM350" si="15">SUM(P343:P349)</f>
        <v>6524.0140000000001</v>
      </c>
      <c r="Q350">
        <f t="shared" si="15"/>
        <v>19883.561000000002</v>
      </c>
      <c r="R350">
        <f t="shared" si="15"/>
        <v>12121.981</v>
      </c>
      <c r="S350">
        <f t="shared" si="15"/>
        <v>19861.11</v>
      </c>
      <c r="T350">
        <f t="shared" si="15"/>
        <v>290485.61700000003</v>
      </c>
      <c r="U350">
        <f t="shared" si="15"/>
        <v>972.11300000000006</v>
      </c>
      <c r="V350">
        <f t="shared" si="15"/>
        <v>214687.72900000002</v>
      </c>
      <c r="W350">
        <f t="shared" si="15"/>
        <v>83456.467000000019</v>
      </c>
      <c r="X350">
        <f t="shared" si="15"/>
        <v>217447.16600000008</v>
      </c>
      <c r="Y350">
        <f t="shared" si="15"/>
        <v>210022.883</v>
      </c>
      <c r="Z350">
        <f t="shared" si="15"/>
        <v>1721820.544</v>
      </c>
      <c r="AA350">
        <f t="shared" si="15"/>
        <v>137016.55600000001</v>
      </c>
      <c r="AB350">
        <f t="shared" si="15"/>
        <v>909590.0340000001</v>
      </c>
      <c r="AC350">
        <f t="shared" si="15"/>
        <v>260133.39999999997</v>
      </c>
      <c r="AD350">
        <f t="shared" si="15"/>
        <v>159113.28400000001</v>
      </c>
      <c r="AE350">
        <f t="shared" si="15"/>
        <v>56166.767000000007</v>
      </c>
      <c r="AF350">
        <f t="shared" si="15"/>
        <v>4892248.3480000002</v>
      </c>
      <c r="AG350">
        <f t="shared" si="15"/>
        <v>1020717.9250000002</v>
      </c>
      <c r="AH350">
        <f t="shared" si="15"/>
        <v>242365.70199999999</v>
      </c>
      <c r="AI350">
        <f t="shared" si="15"/>
        <v>18119937.772999998</v>
      </c>
      <c r="AJ350">
        <f t="shared" si="15"/>
        <v>1931215.7280000001</v>
      </c>
      <c r="AK350">
        <f t="shared" si="15"/>
        <v>705022.65800000005</v>
      </c>
      <c r="AL350">
        <f t="shared" si="15"/>
        <v>10561965.023</v>
      </c>
      <c r="AM350">
        <f t="shared" si="15"/>
        <v>6145941.8829999994</v>
      </c>
      <c r="AN350">
        <f>SUM(AN343:AN349)</f>
        <v>40009.360000000001</v>
      </c>
      <c r="AO350">
        <f>SUM(AO343:AO349)</f>
        <v>3571942.8979999996</v>
      </c>
      <c r="AP350">
        <f>SUM(AP343:AP349)</f>
        <v>34810.421000000002</v>
      </c>
      <c r="AQ350">
        <f>SUM(AQ343:AQ349)</f>
        <v>50222.741999999998</v>
      </c>
      <c r="AR350">
        <f t="shared" ref="AR350:AX350" si="16">SUM(AR343:AR349)</f>
        <v>317250.64</v>
      </c>
      <c r="AS350">
        <f t="shared" si="16"/>
        <v>22011.541000000001</v>
      </c>
      <c r="AT350">
        <f t="shared" si="16"/>
        <v>3474.24</v>
      </c>
      <c r="AU350">
        <f t="shared" si="16"/>
        <v>0</v>
      </c>
      <c r="AV350">
        <f t="shared" si="16"/>
        <v>78119.612000000008</v>
      </c>
      <c r="AW350">
        <f t="shared" si="16"/>
        <v>70723.398000000001</v>
      </c>
      <c r="AX350">
        <f t="shared" si="16"/>
        <v>73894.913</v>
      </c>
      <c r="AY350">
        <f>SUM(AY343:AY349)</f>
        <v>132879.35099999997</v>
      </c>
      <c r="AZ350">
        <f t="shared" ref="AZ350:BI350" si="17">SUM(AZ343:AZ349)</f>
        <v>21435.629000000001</v>
      </c>
      <c r="BA350">
        <f t="shared" si="17"/>
        <v>17417.553</v>
      </c>
      <c r="BB350">
        <f t="shared" si="17"/>
        <v>88913.663000000015</v>
      </c>
      <c r="BC350">
        <f t="shared" si="17"/>
        <v>11143.915000000001</v>
      </c>
      <c r="BD350">
        <f t="shared" si="17"/>
        <v>12996.244000000002</v>
      </c>
      <c r="BE350">
        <f t="shared" si="17"/>
        <v>18921.431999999997</v>
      </c>
      <c r="BF350">
        <f t="shared" si="17"/>
        <v>1966.0129999999999</v>
      </c>
      <c r="BG350">
        <f t="shared" si="17"/>
        <v>8286.0879999999997</v>
      </c>
      <c r="BH350">
        <f t="shared" si="17"/>
        <v>492894.82099999994</v>
      </c>
      <c r="BI350">
        <f t="shared" si="17"/>
        <v>5230.7090000000007</v>
      </c>
      <c r="BJ350" s="21"/>
    </row>
    <row r="351" spans="1:62" x14ac:dyDescent="0.25">
      <c r="A351" s="21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21"/>
    </row>
    <row r="352" spans="1:62" x14ac:dyDescent="0.25">
      <c r="A352" s="21"/>
      <c r="B352" s="8"/>
      <c r="C352" s="8"/>
      <c r="D352" s="8"/>
      <c r="E352" s="8"/>
      <c r="F352" s="8">
        <f t="shared" ref="F352:AX352" si="18">F350-F338</f>
        <v>8064554.2279999992</v>
      </c>
      <c r="G352" s="8">
        <f t="shared" si="18"/>
        <v>946293.29200000002</v>
      </c>
      <c r="H352" s="8">
        <f t="shared" si="18"/>
        <v>1002359.503</v>
      </c>
      <c r="I352" s="8">
        <f t="shared" si="18"/>
        <v>1104780.6940000001</v>
      </c>
      <c r="J352" s="8">
        <f t="shared" si="18"/>
        <v>141228.31899999999</v>
      </c>
      <c r="K352" s="8">
        <f t="shared" si="18"/>
        <v>699127.02000000014</v>
      </c>
      <c r="L352" s="8">
        <f t="shared" si="18"/>
        <v>290351.02400000003</v>
      </c>
      <c r="M352" s="18">
        <f t="shared" si="18"/>
        <v>8921363.0409999993</v>
      </c>
      <c r="N352" s="8">
        <f t="shared" si="18"/>
        <v>3136616.9230000004</v>
      </c>
      <c r="O352" s="8">
        <f>O350-O338</f>
        <v>15189.306</v>
      </c>
      <c r="P352" s="8">
        <f t="shared" si="18"/>
        <v>6524.0140000000001</v>
      </c>
      <c r="Q352" s="8">
        <f t="shared" si="18"/>
        <v>19883.561000000002</v>
      </c>
      <c r="R352" s="8">
        <f t="shared" si="18"/>
        <v>12121.981</v>
      </c>
      <c r="S352" s="8">
        <f t="shared" si="18"/>
        <v>19861.11</v>
      </c>
      <c r="T352" s="8">
        <f t="shared" si="18"/>
        <v>290485.61700000003</v>
      </c>
      <c r="U352" s="8">
        <f t="shared" si="18"/>
        <v>972.11300000000006</v>
      </c>
      <c r="V352" s="8">
        <f t="shared" si="18"/>
        <v>214687.72900000002</v>
      </c>
      <c r="W352" s="8">
        <f t="shared" si="18"/>
        <v>83456.467000000019</v>
      </c>
      <c r="X352" s="8">
        <f t="shared" si="18"/>
        <v>217447.16600000008</v>
      </c>
      <c r="Y352" s="8">
        <f t="shared" si="18"/>
        <v>210022.883</v>
      </c>
      <c r="Z352" s="8">
        <f t="shared" si="18"/>
        <v>1721820.544</v>
      </c>
      <c r="AA352" s="8">
        <f t="shared" si="18"/>
        <v>137016.55600000001</v>
      </c>
      <c r="AB352" s="8">
        <f t="shared" si="18"/>
        <v>909590.0340000001</v>
      </c>
      <c r="AC352" s="8">
        <f t="shared" si="18"/>
        <v>260133.39999999997</v>
      </c>
      <c r="AD352" s="8">
        <f t="shared" si="18"/>
        <v>159113.28400000001</v>
      </c>
      <c r="AE352" s="8">
        <f t="shared" si="18"/>
        <v>56166.767000000007</v>
      </c>
      <c r="AF352" s="8">
        <f t="shared" si="18"/>
        <v>4892248.3480000002</v>
      </c>
      <c r="AG352" s="8">
        <f t="shared" si="18"/>
        <v>1020717.9250000002</v>
      </c>
      <c r="AH352" s="8">
        <f t="shared" si="18"/>
        <v>242365.70199999999</v>
      </c>
      <c r="AI352" s="8">
        <f t="shared" si="18"/>
        <v>18119937.772999998</v>
      </c>
      <c r="AJ352" s="8">
        <f t="shared" si="18"/>
        <v>1931215.7280000001</v>
      </c>
      <c r="AK352" s="8">
        <f t="shared" si="18"/>
        <v>705022.65800000005</v>
      </c>
      <c r="AL352" s="8">
        <f t="shared" si="18"/>
        <v>10561965.023</v>
      </c>
      <c r="AM352" s="8">
        <f t="shared" si="18"/>
        <v>6145941.8829999994</v>
      </c>
      <c r="AN352" s="8">
        <f t="shared" si="18"/>
        <v>40009.360000000001</v>
      </c>
      <c r="AO352" s="8">
        <f t="shared" si="18"/>
        <v>3571942.8979999996</v>
      </c>
      <c r="AP352" s="8">
        <f t="shared" si="18"/>
        <v>34810.421000000002</v>
      </c>
      <c r="AQ352" s="8">
        <f t="shared" si="18"/>
        <v>50222.741999999998</v>
      </c>
      <c r="AR352" s="8">
        <f t="shared" si="18"/>
        <v>317250.64</v>
      </c>
      <c r="AS352" s="8">
        <f t="shared" si="18"/>
        <v>22011.541000000001</v>
      </c>
      <c r="AT352" s="8">
        <f t="shared" si="18"/>
        <v>3474.24</v>
      </c>
      <c r="AU352" s="8">
        <f t="shared" si="18"/>
        <v>0</v>
      </c>
      <c r="AV352" s="8">
        <f t="shared" si="18"/>
        <v>78119.612000000008</v>
      </c>
      <c r="AW352" s="8">
        <f t="shared" si="18"/>
        <v>70723.398000000001</v>
      </c>
      <c r="AX352" s="8">
        <f t="shared" si="18"/>
        <v>73894.913</v>
      </c>
      <c r="AY352" s="8">
        <f>AY350-AY338</f>
        <v>132879.35099999997</v>
      </c>
      <c r="AZ352" s="8">
        <f t="shared" ref="AZ352:BI352" si="19">AZ350-AZ338</f>
        <v>21435.629000000001</v>
      </c>
      <c r="BA352" s="8">
        <f t="shared" si="19"/>
        <v>17417.553</v>
      </c>
      <c r="BB352" s="8">
        <f t="shared" si="19"/>
        <v>88913.663000000015</v>
      </c>
      <c r="BC352" s="8">
        <f t="shared" si="19"/>
        <v>11143.915000000001</v>
      </c>
      <c r="BD352" s="8">
        <f t="shared" si="19"/>
        <v>12996.244000000002</v>
      </c>
      <c r="BE352" s="8">
        <f t="shared" si="19"/>
        <v>18921.431999999997</v>
      </c>
      <c r="BF352" s="8">
        <f t="shared" si="19"/>
        <v>1966.0129999999999</v>
      </c>
      <c r="BG352" s="8">
        <f t="shared" si="19"/>
        <v>8286.0879999999997</v>
      </c>
      <c r="BH352" s="8">
        <f t="shared" si="19"/>
        <v>492894.82099999994</v>
      </c>
      <c r="BI352" s="8">
        <f t="shared" si="19"/>
        <v>5230.7090000000007</v>
      </c>
      <c r="BJ352" s="21"/>
    </row>
    <row r="353" spans="1:62" x14ac:dyDescent="0.25">
      <c r="A353" s="21"/>
      <c r="F353" s="19">
        <f t="shared" ref="F353:N353" si="20">F3</f>
        <v>401</v>
      </c>
      <c r="G353" s="19">
        <f t="shared" si="20"/>
        <v>242</v>
      </c>
      <c r="H353" s="19">
        <f t="shared" si="20"/>
        <v>385</v>
      </c>
      <c r="I353" s="19">
        <f t="shared" si="20"/>
        <v>528</v>
      </c>
      <c r="J353" s="19">
        <f t="shared" si="20"/>
        <v>384</v>
      </c>
      <c r="K353" s="19">
        <f t="shared" si="20"/>
        <v>716</v>
      </c>
      <c r="L353" s="19">
        <f t="shared" si="20"/>
        <v>715</v>
      </c>
      <c r="M353" s="19">
        <f t="shared" si="20"/>
        <v>9916</v>
      </c>
      <c r="N353" s="19">
        <f t="shared" si="20"/>
        <v>1100</v>
      </c>
      <c r="O353" s="19">
        <f>O3</f>
        <v>801</v>
      </c>
      <c r="P353" s="19">
        <f t="shared" ref="P353:U353" si="21">P3</f>
        <v>804</v>
      </c>
      <c r="Q353" s="19">
        <f t="shared" si="21"/>
        <v>806</v>
      </c>
      <c r="R353" s="19">
        <f t="shared" si="21"/>
        <v>8765</v>
      </c>
      <c r="S353" s="19">
        <f t="shared" si="21"/>
        <v>8766</v>
      </c>
      <c r="T353" s="19">
        <f t="shared" si="21"/>
        <v>9418</v>
      </c>
      <c r="U353" s="19">
        <f t="shared" si="21"/>
        <v>9475</v>
      </c>
      <c r="V353" s="19">
        <f>V3</f>
        <v>9906</v>
      </c>
      <c r="W353" s="19">
        <f>W3</f>
        <v>7905</v>
      </c>
      <c r="X353" s="19">
        <f t="shared" ref="X353:AX353" si="22">X3</f>
        <v>7906</v>
      </c>
      <c r="Y353" s="19">
        <f t="shared" si="22"/>
        <v>7907</v>
      </c>
      <c r="Z353" s="19">
        <f t="shared" si="22"/>
        <v>7908</v>
      </c>
      <c r="AA353" s="19">
        <f t="shared" si="22"/>
        <v>7909</v>
      </c>
      <c r="AB353" s="19">
        <f t="shared" si="22"/>
        <v>11310</v>
      </c>
      <c r="AC353" s="19">
        <f t="shared" si="22"/>
        <v>11311</v>
      </c>
      <c r="AD353" s="19">
        <f t="shared" si="22"/>
        <v>11312</v>
      </c>
      <c r="AE353" s="19">
        <f t="shared" si="22"/>
        <v>11335</v>
      </c>
      <c r="AF353" s="19">
        <f t="shared" si="22"/>
        <v>9529</v>
      </c>
      <c r="AG353" s="19">
        <f t="shared" si="22"/>
        <v>961</v>
      </c>
      <c r="AH353" s="19">
        <f t="shared" si="22"/>
        <v>9528</v>
      </c>
      <c r="AI353" s="19">
        <f t="shared" si="22"/>
        <v>964</v>
      </c>
      <c r="AJ353" s="19">
        <f t="shared" si="22"/>
        <v>968</v>
      </c>
      <c r="AK353" s="19">
        <f t="shared" si="22"/>
        <v>8629</v>
      </c>
      <c r="AL353" s="19">
        <f t="shared" si="22"/>
        <v>13264</v>
      </c>
      <c r="AM353" s="19">
        <f t="shared" si="22"/>
        <v>13263</v>
      </c>
      <c r="AN353" s="19">
        <f t="shared" si="22"/>
        <v>13209</v>
      </c>
      <c r="AO353" s="19">
        <f t="shared" si="22"/>
        <v>13250</v>
      </c>
      <c r="AP353" s="19">
        <f t="shared" si="22"/>
        <v>14281</v>
      </c>
      <c r="AQ353" s="19">
        <f t="shared" si="22"/>
        <v>2049</v>
      </c>
      <c r="AR353" s="19">
        <f t="shared" si="22"/>
        <v>7975</v>
      </c>
      <c r="AS353" s="19">
        <f t="shared" si="22"/>
        <v>8004</v>
      </c>
      <c r="AT353" s="19">
        <f t="shared" si="22"/>
        <v>1008</v>
      </c>
      <c r="AU353" s="19">
        <f t="shared" si="22"/>
        <v>9484</v>
      </c>
      <c r="AV353" s="19">
        <f t="shared" si="22"/>
        <v>682</v>
      </c>
      <c r="AW353" s="19">
        <f t="shared" si="22"/>
        <v>11352</v>
      </c>
      <c r="AX353" s="19">
        <f t="shared" si="22"/>
        <v>2058</v>
      </c>
      <c r="AY353" s="19">
        <f>AY3</f>
        <v>15007</v>
      </c>
      <c r="AZ353" s="19">
        <f t="shared" ref="AZ353:BI353" si="23">AZ3</f>
        <v>15208</v>
      </c>
      <c r="BA353" s="19">
        <f t="shared" si="23"/>
        <v>15209</v>
      </c>
      <c r="BB353" s="19">
        <f t="shared" si="23"/>
        <v>15210</v>
      </c>
      <c r="BC353" s="19">
        <f t="shared" si="23"/>
        <v>15211</v>
      </c>
      <c r="BD353" s="19">
        <f t="shared" si="23"/>
        <v>15212</v>
      </c>
      <c r="BE353" s="19">
        <f t="shared" si="23"/>
        <v>15232</v>
      </c>
      <c r="BF353" s="19">
        <f t="shared" si="23"/>
        <v>15214</v>
      </c>
      <c r="BG353" s="19">
        <f t="shared" si="23"/>
        <v>15233</v>
      </c>
      <c r="BH353" s="19">
        <f t="shared" si="23"/>
        <v>15234</v>
      </c>
      <c r="BI353" s="19">
        <f t="shared" si="23"/>
        <v>15215</v>
      </c>
      <c r="BJ353" s="21"/>
    </row>
    <row r="354" spans="1:62" x14ac:dyDescent="0.25">
      <c r="A354" s="21"/>
      <c r="B354" t="s">
        <v>608</v>
      </c>
      <c r="F354" s="20">
        <f t="shared" ref="F354:AM354" si="24">F343/F350</f>
        <v>9.8214692543078047E-2</v>
      </c>
      <c r="G354" s="20">
        <f t="shared" si="24"/>
        <v>0.16316771904159288</v>
      </c>
      <c r="H354" s="20">
        <f t="shared" si="24"/>
        <v>2.3224747139450226E-2</v>
      </c>
      <c r="I354" s="20">
        <f t="shared" si="24"/>
        <v>2.3508773407294892E-2</v>
      </c>
      <c r="J354" s="20">
        <f t="shared" si="24"/>
        <v>7.8628430038879107E-2</v>
      </c>
      <c r="K354" s="20">
        <f t="shared" si="24"/>
        <v>2.0036190276267678E-2</v>
      </c>
      <c r="L354" s="20">
        <f t="shared" si="24"/>
        <v>0.11468256437077347</v>
      </c>
      <c r="M354" s="20">
        <f t="shared" si="24"/>
        <v>0.19803403312706871</v>
      </c>
      <c r="N354" s="20">
        <f t="shared" si="24"/>
        <v>5.8171470561819698E-2</v>
      </c>
      <c r="O354" s="20">
        <f>O343/O350</f>
        <v>1.8922326010154776E-2</v>
      </c>
      <c r="P354" s="20">
        <f t="shared" si="24"/>
        <v>0.72426500004445116</v>
      </c>
      <c r="Q354" s="20">
        <f t="shared" si="24"/>
        <v>3.1299272801285437E-2</v>
      </c>
      <c r="R354" s="20">
        <f t="shared" si="24"/>
        <v>0.43086356924664376</v>
      </c>
      <c r="S354" s="20">
        <f t="shared" si="24"/>
        <v>8.7735428684499517E-2</v>
      </c>
      <c r="T354" s="20">
        <f t="shared" si="24"/>
        <v>0.15674031117347884</v>
      </c>
      <c r="U354" s="20">
        <f t="shared" si="24"/>
        <v>5.0339826748536431E-2</v>
      </c>
      <c r="V354" s="20">
        <f t="shared" si="24"/>
        <v>8.0642084578574108E-2</v>
      </c>
      <c r="W354" s="20">
        <f t="shared" si="24"/>
        <v>3.0347031105450454E-2</v>
      </c>
      <c r="X354" s="20">
        <f t="shared" si="24"/>
        <v>7.9241630585334899E-2</v>
      </c>
      <c r="Y354" s="20">
        <f t="shared" si="24"/>
        <v>0.20234366080957</v>
      </c>
      <c r="Z354" s="20">
        <f t="shared" si="24"/>
        <v>0.17219045796215104</v>
      </c>
      <c r="AA354" s="20">
        <f t="shared" si="24"/>
        <v>0.56580549287780957</v>
      </c>
      <c r="AB354" s="20">
        <f t="shared" si="24"/>
        <v>5.311495750183208E-2</v>
      </c>
      <c r="AC354" s="20">
        <f t="shared" si="24"/>
        <v>0.77426887896748353</v>
      </c>
      <c r="AD354" s="20">
        <f t="shared" si="24"/>
        <v>0.1736188224233999</v>
      </c>
      <c r="AE354" s="20">
        <f t="shared" si="24"/>
        <v>0.29777117134051884</v>
      </c>
      <c r="AF354" s="20">
        <f t="shared" si="24"/>
        <v>0.17836038911571625</v>
      </c>
      <c r="AG354" s="20">
        <f t="shared" si="24"/>
        <v>0.32371733062295338</v>
      </c>
      <c r="AH354" s="20">
        <f t="shared" si="24"/>
        <v>0.3016033019391498</v>
      </c>
      <c r="AI354" s="20">
        <f t="shared" si="24"/>
        <v>0.1591512040564004</v>
      </c>
      <c r="AJ354" s="20">
        <f t="shared" si="24"/>
        <v>0.30628037014412707</v>
      </c>
      <c r="AK354" s="20">
        <f t="shared" si="24"/>
        <v>0.54932849406380357</v>
      </c>
      <c r="AL354" s="20">
        <f t="shared" si="24"/>
        <v>0.69064340604378083</v>
      </c>
      <c r="AM354" s="20">
        <f t="shared" si="24"/>
        <v>0.69052034265713536</v>
      </c>
      <c r="AN354" s="20">
        <f>AN343/AN350</f>
        <v>8.6872371864983589E-2</v>
      </c>
      <c r="AO354" s="20">
        <f>AO343/AO350</f>
        <v>0.69111216206233983</v>
      </c>
      <c r="AP354" s="20">
        <f>AP343/AP350</f>
        <v>0.21794979152938138</v>
      </c>
      <c r="AQ354" s="20">
        <f>AQ343/AQ350</f>
        <v>0.11170921332809748</v>
      </c>
      <c r="AR354" s="20">
        <f t="shared" ref="AR354:AX354" si="25">AR343/AR350</f>
        <v>0.34237778369808808</v>
      </c>
      <c r="AS354" s="20">
        <f t="shared" si="25"/>
        <v>0.10202338854876175</v>
      </c>
      <c r="AT354" s="20">
        <f t="shared" si="25"/>
        <v>0.14973317905498759</v>
      </c>
      <c r="AU354" s="20" t="e">
        <f t="shared" si="25"/>
        <v>#DIV/0!</v>
      </c>
      <c r="AV354" s="20">
        <f t="shared" si="25"/>
        <v>0.13640596422829135</v>
      </c>
      <c r="AW354" s="20">
        <f t="shared" si="25"/>
        <v>9.8382843539276787E-2</v>
      </c>
      <c r="AX354" s="20">
        <f t="shared" si="25"/>
        <v>0.1162757577101417</v>
      </c>
      <c r="AY354" s="20">
        <f>AY343/AY350</f>
        <v>0.22211502222042015</v>
      </c>
      <c r="AZ354" s="20">
        <f t="shared" ref="AZ354:BI354" si="26">AZ343/AZ350</f>
        <v>0.13183522629543551</v>
      </c>
      <c r="BA354" s="20">
        <f t="shared" si="26"/>
        <v>0.10669971838179566</v>
      </c>
      <c r="BB354" s="20">
        <f t="shared" si="26"/>
        <v>0.25609475790014408</v>
      </c>
      <c r="BC354" s="20">
        <f t="shared" si="26"/>
        <v>0.21614827464136263</v>
      </c>
      <c r="BD354" s="20">
        <f t="shared" si="26"/>
        <v>8.1380051036284012E-2</v>
      </c>
      <c r="BE354" s="20">
        <f t="shared" si="26"/>
        <v>8.2703624123163635E-2</v>
      </c>
      <c r="BF354" s="20">
        <f t="shared" si="26"/>
        <v>0.20035727128966088</v>
      </c>
      <c r="BG354" s="20">
        <f t="shared" si="26"/>
        <v>8.284198767862469E-2</v>
      </c>
      <c r="BH354" s="20">
        <f t="shared" si="26"/>
        <v>0.58483879667301275</v>
      </c>
      <c r="BI354" s="20">
        <f t="shared" si="26"/>
        <v>9.5417657529791838E-2</v>
      </c>
      <c r="BJ354" s="21"/>
    </row>
    <row r="355" spans="1:62" x14ac:dyDescent="0.25">
      <c r="A355" s="21"/>
      <c r="B355" t="s">
        <v>609</v>
      </c>
      <c r="F355" s="20">
        <f t="shared" ref="F355:AM355" si="27">F344/F350</f>
        <v>0.23525967850928806</v>
      </c>
      <c r="G355" s="20">
        <f t="shared" si="27"/>
        <v>0.17291186081872806</v>
      </c>
      <c r="H355" s="20">
        <f t="shared" si="27"/>
        <v>0.35667446552856197</v>
      </c>
      <c r="I355" s="20">
        <f t="shared" si="27"/>
        <v>0</v>
      </c>
      <c r="J355" s="20">
        <f t="shared" si="27"/>
        <v>0.37535358613168796</v>
      </c>
      <c r="K355" s="20">
        <f t="shared" si="27"/>
        <v>0.35353791933259848</v>
      </c>
      <c r="L355" s="20">
        <f t="shared" si="27"/>
        <v>0.67301546351701502</v>
      </c>
      <c r="M355" s="20">
        <f t="shared" si="27"/>
        <v>7.3099831606774315E-2</v>
      </c>
      <c r="N355" s="20">
        <f t="shared" si="27"/>
        <v>0.20103250683124618</v>
      </c>
      <c r="O355" s="20">
        <f>O344/O350</f>
        <v>0.76587580762412721</v>
      </c>
      <c r="P355" s="20">
        <f t="shared" si="27"/>
        <v>7.0053497739275238E-3</v>
      </c>
      <c r="Q355" s="20">
        <f t="shared" si="27"/>
        <v>0.78511107743728592</v>
      </c>
      <c r="R355" s="20">
        <f t="shared" si="27"/>
        <v>0.15335018261454131</v>
      </c>
      <c r="S355" s="20">
        <f t="shared" si="27"/>
        <v>0.22826156242022727</v>
      </c>
      <c r="T355" s="20">
        <f t="shared" si="27"/>
        <v>0.17156795408565786</v>
      </c>
      <c r="U355" s="20">
        <f t="shared" si="27"/>
        <v>0.95062405296503594</v>
      </c>
      <c r="V355" s="20">
        <f t="shared" si="27"/>
        <v>0.72976840702432511</v>
      </c>
      <c r="W355" s="20">
        <f t="shared" si="27"/>
        <v>0.29117614096939903</v>
      </c>
      <c r="X355" s="20">
        <f t="shared" si="27"/>
        <v>0.23291242158566458</v>
      </c>
      <c r="Y355" s="20">
        <f t="shared" si="27"/>
        <v>7.8099442145073304E-3</v>
      </c>
      <c r="Z355" s="20">
        <f t="shared" si="27"/>
        <v>0.16081133656168059</v>
      </c>
      <c r="AA355" s="20">
        <f t="shared" si="27"/>
        <v>6.2645714142749284E-4</v>
      </c>
      <c r="AB355" s="20">
        <f t="shared" si="27"/>
        <v>0.33377350966006736</v>
      </c>
      <c r="AC355" s="20">
        <f t="shared" si="27"/>
        <v>4.8499000897231966E-3</v>
      </c>
      <c r="AD355" s="20">
        <f t="shared" si="27"/>
        <v>0.14216113470450398</v>
      </c>
      <c r="AE355" s="20">
        <f t="shared" si="27"/>
        <v>0.16284359040996607</v>
      </c>
      <c r="AF355" s="20">
        <f t="shared" si="27"/>
        <v>0.14846921646913905</v>
      </c>
      <c r="AG355" s="20">
        <f t="shared" si="27"/>
        <v>4.2186738319501919E-2</v>
      </c>
      <c r="AH355" s="20">
        <f t="shared" si="27"/>
        <v>0.12688997554612744</v>
      </c>
      <c r="AI355" s="20">
        <f t="shared" si="27"/>
        <v>0.12986362996821757</v>
      </c>
      <c r="AJ355" s="20">
        <f t="shared" si="27"/>
        <v>4.0162215890984086E-2</v>
      </c>
      <c r="AK355" s="20">
        <f t="shared" si="27"/>
        <v>6.2904503134422664E-4</v>
      </c>
      <c r="AL355" s="20">
        <f t="shared" si="27"/>
        <v>0.11062143914088968</v>
      </c>
      <c r="AM355" s="20">
        <f t="shared" si="27"/>
        <v>0.11066000508094945</v>
      </c>
      <c r="AN355" s="20">
        <f>AN344/AN350</f>
        <v>0.72338615264028217</v>
      </c>
      <c r="AO355" s="20">
        <f>AO344/AO350</f>
        <v>0.11050208227600845</v>
      </c>
      <c r="AP355" s="20">
        <f>AP344/AP350</f>
        <v>0.2053800785690009</v>
      </c>
      <c r="AQ355" s="20">
        <f>AQ344/AQ350</f>
        <v>0</v>
      </c>
      <c r="AR355" s="20">
        <f t="shared" ref="AR355:AX355" si="28">AR344/AR350</f>
        <v>4.1967184053592455E-2</v>
      </c>
      <c r="AS355" s="20">
        <f t="shared" si="28"/>
        <v>0</v>
      </c>
      <c r="AT355" s="20">
        <f t="shared" si="28"/>
        <v>0.34338646725614813</v>
      </c>
      <c r="AU355" s="20" t="e">
        <f t="shared" si="28"/>
        <v>#DIV/0!</v>
      </c>
      <c r="AV355" s="20">
        <f t="shared" si="28"/>
        <v>0.39634924198036209</v>
      </c>
      <c r="AW355" s="20">
        <f t="shared" si="28"/>
        <v>0</v>
      </c>
      <c r="AX355" s="20">
        <f t="shared" si="28"/>
        <v>0</v>
      </c>
      <c r="AY355" s="20">
        <f>AY344/AY350</f>
        <v>7.6160516467302748E-3</v>
      </c>
      <c r="AZ355" s="20">
        <f t="shared" ref="AZ355:BI355" si="29">AZ344/AZ350</f>
        <v>0.23725182032213749</v>
      </c>
      <c r="BA355" s="20">
        <f t="shared" si="29"/>
        <v>1.2389972345713545E-2</v>
      </c>
      <c r="BB355" s="20">
        <f t="shared" si="29"/>
        <v>7.2829864179591829E-3</v>
      </c>
      <c r="BC355" s="20">
        <f t="shared" si="29"/>
        <v>0.15464008833520354</v>
      </c>
      <c r="BD355" s="20">
        <f t="shared" si="29"/>
        <v>0.25588877832703044</v>
      </c>
      <c r="BE355" s="20">
        <f t="shared" si="29"/>
        <v>1.273349712643314E-2</v>
      </c>
      <c r="BF355" s="20">
        <f t="shared" si="29"/>
        <v>0.18378210113564861</v>
      </c>
      <c r="BG355" s="20">
        <f t="shared" si="29"/>
        <v>1.2721926197259793E-2</v>
      </c>
      <c r="BH355" s="20">
        <f t="shared" si="29"/>
        <v>6.909315040256836E-2</v>
      </c>
      <c r="BI355" s="20">
        <f t="shared" si="29"/>
        <v>0.23626624994814277</v>
      </c>
      <c r="BJ355" s="21"/>
    </row>
    <row r="356" spans="1:62" x14ac:dyDescent="0.25">
      <c r="A356" s="21"/>
      <c r="B356" t="s">
        <v>610</v>
      </c>
      <c r="F356" s="20">
        <f t="shared" ref="F356:AM356" si="30">F345/F350</f>
        <v>0.21971867320922434</v>
      </c>
      <c r="G356" s="20">
        <f t="shared" si="30"/>
        <v>0.2812200099586038</v>
      </c>
      <c r="H356" s="20">
        <f t="shared" si="30"/>
        <v>0.46542848110255308</v>
      </c>
      <c r="I356" s="20">
        <f t="shared" si="30"/>
        <v>6.3876185005093872E-2</v>
      </c>
      <c r="J356" s="20">
        <f t="shared" si="30"/>
        <v>0.30199592618531407</v>
      </c>
      <c r="K356" s="20">
        <f t="shared" si="30"/>
        <v>0.45060298913922675</v>
      </c>
      <c r="L356" s="20">
        <f t="shared" si="30"/>
        <v>0.1404830588784147</v>
      </c>
      <c r="M356" s="20">
        <f t="shared" si="30"/>
        <v>9.0977129982261443E-2</v>
      </c>
      <c r="N356" s="20">
        <f t="shared" si="30"/>
        <v>0.35304846852029809</v>
      </c>
      <c r="O356" s="20">
        <f>O345/O350</f>
        <v>0.21531734234599001</v>
      </c>
      <c r="P356" s="20">
        <f t="shared" si="30"/>
        <v>0</v>
      </c>
      <c r="Q356" s="20">
        <f t="shared" si="30"/>
        <v>2.4546407959821688E-3</v>
      </c>
      <c r="R356" s="20">
        <f t="shared" si="30"/>
        <v>0.31913925619913114</v>
      </c>
      <c r="S356" s="20">
        <f t="shared" si="30"/>
        <v>0.63701595731557792</v>
      </c>
      <c r="T356" s="20">
        <f t="shared" si="30"/>
        <v>0.37659653558682038</v>
      </c>
      <c r="U356" s="20">
        <f t="shared" si="30"/>
        <v>0</v>
      </c>
      <c r="V356" s="20">
        <f t="shared" si="30"/>
        <v>0.15232948409454738</v>
      </c>
      <c r="W356" s="20">
        <f t="shared" si="30"/>
        <v>0.52255551388246524</v>
      </c>
      <c r="X356" s="20">
        <f t="shared" si="30"/>
        <v>0.40264844840516334</v>
      </c>
      <c r="Y356" s="20">
        <f t="shared" si="30"/>
        <v>0</v>
      </c>
      <c r="Z356" s="20">
        <f t="shared" si="30"/>
        <v>0.12214934461834367</v>
      </c>
      <c r="AA356" s="20">
        <f t="shared" si="30"/>
        <v>0.10032215376950504</v>
      </c>
      <c r="AB356" s="20">
        <f t="shared" si="30"/>
        <v>0.48407742778764867</v>
      </c>
      <c r="AC356" s="20">
        <f t="shared" si="30"/>
        <v>0</v>
      </c>
      <c r="AD356" s="20">
        <f t="shared" si="30"/>
        <v>0.2974445615741298</v>
      </c>
      <c r="AE356" s="20">
        <f t="shared" si="30"/>
        <v>0.23376917884556181</v>
      </c>
      <c r="AF356" s="20">
        <f t="shared" si="30"/>
        <v>8.945883770984718E-2</v>
      </c>
      <c r="AG356" s="20">
        <f t="shared" si="30"/>
        <v>1.1110614129755777E-2</v>
      </c>
      <c r="AH356" s="20">
        <f t="shared" si="30"/>
        <v>0.21852493798813166</v>
      </c>
      <c r="AI356" s="20">
        <f t="shared" si="30"/>
        <v>0.11491656627556125</v>
      </c>
      <c r="AJ356" s="20">
        <f t="shared" si="30"/>
        <v>1.03952819506035E-2</v>
      </c>
      <c r="AK356" s="20">
        <f t="shared" si="30"/>
        <v>9.5085063209415302E-2</v>
      </c>
      <c r="AL356" s="20">
        <f t="shared" si="30"/>
        <v>0</v>
      </c>
      <c r="AM356" s="20">
        <f t="shared" si="30"/>
        <v>0</v>
      </c>
      <c r="AN356" s="20">
        <f>AN345/AN350</f>
        <v>0.15099726663960633</v>
      </c>
      <c r="AO356" s="20">
        <f>AO345/AO350</f>
        <v>0</v>
      </c>
      <c r="AP356" s="20">
        <f>AP345/AP350</f>
        <v>0.2917739489562623</v>
      </c>
      <c r="AQ356" s="20">
        <f>AQ345/AQ350</f>
        <v>0</v>
      </c>
      <c r="AR356" s="20">
        <f t="shared" ref="AR356:AX356" si="31">AR345/AR350</f>
        <v>1.0658534841726403E-2</v>
      </c>
      <c r="AS356" s="20">
        <f t="shared" si="31"/>
        <v>0</v>
      </c>
      <c r="AT356" s="20">
        <f t="shared" si="31"/>
        <v>0.23159194528875382</v>
      </c>
      <c r="AU356" s="20" t="e">
        <f t="shared" si="31"/>
        <v>#DIV/0!</v>
      </c>
      <c r="AV356" s="20">
        <f t="shared" si="31"/>
        <v>0.328099799061982</v>
      </c>
      <c r="AW356" s="20">
        <f t="shared" si="31"/>
        <v>0</v>
      </c>
      <c r="AX356" s="20">
        <f t="shared" si="31"/>
        <v>0</v>
      </c>
      <c r="AY356" s="20">
        <f>AY345/AY350</f>
        <v>0</v>
      </c>
      <c r="AZ356" s="20">
        <f t="shared" ref="AZ356:BI356" si="32">AZ345/AZ350</f>
        <v>0.49166567493774033</v>
      </c>
      <c r="BA356" s="20">
        <f t="shared" si="32"/>
        <v>2.5019645411729192E-2</v>
      </c>
      <c r="BB356" s="20">
        <f t="shared" si="32"/>
        <v>0</v>
      </c>
      <c r="BC356" s="20">
        <f t="shared" si="32"/>
        <v>0.32798491373991995</v>
      </c>
      <c r="BD356" s="20">
        <f t="shared" si="32"/>
        <v>0.62843264561668732</v>
      </c>
      <c r="BE356" s="20">
        <f t="shared" si="32"/>
        <v>2.5713328674066536E-2</v>
      </c>
      <c r="BF356" s="20">
        <f t="shared" si="32"/>
        <v>0.32522216282394878</v>
      </c>
      <c r="BG356" s="20">
        <f t="shared" si="32"/>
        <v>2.568980681836833E-2</v>
      </c>
      <c r="BH356" s="20">
        <f t="shared" si="32"/>
        <v>0.10662142461423836</v>
      </c>
      <c r="BI356" s="20">
        <f t="shared" si="32"/>
        <v>0.6333974992682635</v>
      </c>
      <c r="BJ356" s="21"/>
    </row>
    <row r="357" spans="1:62" x14ac:dyDescent="0.25">
      <c r="A357" s="21"/>
      <c r="B357" t="s">
        <v>611</v>
      </c>
      <c r="F357" s="20">
        <f t="shared" ref="F357:AM357" si="33">F346/F350</f>
        <v>0.14569859657219977</v>
      </c>
      <c r="G357" s="20">
        <f t="shared" si="33"/>
        <v>0.26517230452902751</v>
      </c>
      <c r="H357" s="20">
        <f t="shared" si="33"/>
        <v>2.883935345899543E-4</v>
      </c>
      <c r="I357" s="20">
        <f t="shared" si="33"/>
        <v>1.4477447955838373E-2</v>
      </c>
      <c r="J357" s="20">
        <f t="shared" si="33"/>
        <v>8.6968010997850939E-2</v>
      </c>
      <c r="K357" s="20">
        <f t="shared" si="33"/>
        <v>2.8521283585921194E-4</v>
      </c>
      <c r="L357" s="20">
        <f t="shared" si="33"/>
        <v>0</v>
      </c>
      <c r="M357" s="20">
        <f t="shared" si="33"/>
        <v>0.33709479629728251</v>
      </c>
      <c r="N357" s="20">
        <f t="shared" si="33"/>
        <v>8.7650056653092917E-2</v>
      </c>
      <c r="O357" s="20">
        <f>O346/O350</f>
        <v>0</v>
      </c>
      <c r="P357" s="20">
        <f t="shared" si="33"/>
        <v>0.24858499690527947</v>
      </c>
      <c r="Q357" s="20">
        <f t="shared" si="33"/>
        <v>1.2100951132445539E-3</v>
      </c>
      <c r="R357" s="20">
        <f t="shared" si="33"/>
        <v>8.101118125824483E-2</v>
      </c>
      <c r="S357" s="20">
        <f t="shared" si="33"/>
        <v>5.1062604255250584E-3</v>
      </c>
      <c r="T357" s="20">
        <f t="shared" si="33"/>
        <v>0.26374070699686308</v>
      </c>
      <c r="U357" s="20">
        <f t="shared" si="33"/>
        <v>0</v>
      </c>
      <c r="V357" s="20">
        <f t="shared" si="33"/>
        <v>0</v>
      </c>
      <c r="W357" s="20">
        <f t="shared" si="33"/>
        <v>3.1911247812587107E-4</v>
      </c>
      <c r="X357" s="20">
        <f t="shared" si="33"/>
        <v>9.6300896374984249E-2</v>
      </c>
      <c r="Y357" s="20">
        <f t="shared" si="33"/>
        <v>0.79292179795474937</v>
      </c>
      <c r="Z357" s="20">
        <f t="shared" si="33"/>
        <v>0.27937461117899171</v>
      </c>
      <c r="AA357" s="20">
        <f t="shared" si="33"/>
        <v>0.33853232305736836</v>
      </c>
      <c r="AB357" s="20">
        <f t="shared" si="33"/>
        <v>3.008553191777825E-4</v>
      </c>
      <c r="AC357" s="20">
        <f t="shared" si="33"/>
        <v>0.19653177177555828</v>
      </c>
      <c r="AD357" s="20">
        <f t="shared" si="33"/>
        <v>0.28603629348760096</v>
      </c>
      <c r="AE357" s="20">
        <f t="shared" si="33"/>
        <v>0.30541001229428066</v>
      </c>
      <c r="AF357" s="20">
        <f t="shared" si="33"/>
        <v>0.25350088134977899</v>
      </c>
      <c r="AG357" s="20">
        <f t="shared" si="33"/>
        <v>0.5961218453178434</v>
      </c>
      <c r="AH357" s="20">
        <f t="shared" si="33"/>
        <v>0.32125856240170486</v>
      </c>
      <c r="AI357" s="20">
        <f t="shared" si="33"/>
        <v>0.27895211177445134</v>
      </c>
      <c r="AJ357" s="20">
        <f t="shared" si="33"/>
        <v>0.5785861438468981</v>
      </c>
      <c r="AK357" s="20">
        <f t="shared" si="33"/>
        <v>0.35952868340296656</v>
      </c>
      <c r="AL357" s="20">
        <f t="shared" si="33"/>
        <v>0.19793385799399271</v>
      </c>
      <c r="AM357" s="20">
        <f t="shared" si="33"/>
        <v>0.19800286435608</v>
      </c>
      <c r="AN357" s="20">
        <f>AN346/AN350</f>
        <v>0</v>
      </c>
      <c r="AO357" s="20">
        <f>AO346/AO350</f>
        <v>0.19772029121614476</v>
      </c>
      <c r="AP357" s="20">
        <f>AP346/AP350</f>
        <v>0.27368695138734456</v>
      </c>
      <c r="AQ357" s="20">
        <f>AQ346/AQ350</f>
        <v>0.88890988867155041</v>
      </c>
      <c r="AR357" s="20">
        <f t="shared" ref="AR357:AX357" si="34">AR346/AR350</f>
        <v>0.58742206162294897</v>
      </c>
      <c r="AS357" s="20">
        <f t="shared" si="34"/>
        <v>0.89820935299350468</v>
      </c>
      <c r="AT357" s="20">
        <f t="shared" si="34"/>
        <v>0.21868178364188995</v>
      </c>
      <c r="AU357" s="20" t="e">
        <f t="shared" si="34"/>
        <v>#DIV/0!</v>
      </c>
      <c r="AV357" s="20">
        <f t="shared" si="34"/>
        <v>0.1215462770091587</v>
      </c>
      <c r="AW357" s="20">
        <f t="shared" si="34"/>
        <v>0.90129191756312388</v>
      </c>
      <c r="AX357" s="20">
        <f t="shared" si="34"/>
        <v>0.88428578297399174</v>
      </c>
      <c r="AY357" s="20">
        <f>AY346/AY350</f>
        <v>0.77323652792374054</v>
      </c>
      <c r="AZ357" s="20">
        <f t="shared" ref="AZ357:BI357" si="35">AZ346/AZ350</f>
        <v>0.11166446293691687</v>
      </c>
      <c r="BA357" s="20">
        <f t="shared" si="35"/>
        <v>0.80034158644443343</v>
      </c>
      <c r="BB357" s="20">
        <f t="shared" si="35"/>
        <v>0.73942071197764059</v>
      </c>
      <c r="BC357" s="20">
        <f t="shared" si="35"/>
        <v>0.28407135194408789</v>
      </c>
      <c r="BD357" s="20">
        <f t="shared" si="35"/>
        <v>3.5502565202684698E-4</v>
      </c>
      <c r="BE357" s="20">
        <f t="shared" si="35"/>
        <v>0.82253208953740931</v>
      </c>
      <c r="BF357" s="20">
        <f t="shared" si="35"/>
        <v>0.27608769626650487</v>
      </c>
      <c r="BG357" s="20">
        <f t="shared" si="35"/>
        <v>0.82178284855289974</v>
      </c>
      <c r="BH357" s="20">
        <f t="shared" si="35"/>
        <v>0.24517506342392673</v>
      </c>
      <c r="BI357" s="20">
        <f t="shared" si="35"/>
        <v>3.3628328396781377E-4</v>
      </c>
      <c r="BJ357" s="21"/>
    </row>
    <row r="358" spans="1:62" x14ac:dyDescent="0.25">
      <c r="A358" s="21"/>
      <c r="B358" t="s">
        <v>612</v>
      </c>
      <c r="F358" s="20">
        <f t="shared" ref="F358:AM358" si="36">F347/F350</f>
        <v>8.5019873338992955E-2</v>
      </c>
      <c r="G358" s="20">
        <f t="shared" si="36"/>
        <v>3.8932589199839739E-2</v>
      </c>
      <c r="H358" s="20">
        <f t="shared" si="36"/>
        <v>8.4555483083996852E-2</v>
      </c>
      <c r="I358" s="20">
        <f t="shared" si="36"/>
        <v>0.87844435033184953</v>
      </c>
      <c r="J358" s="20">
        <f t="shared" si="36"/>
        <v>8.0415040555711789E-2</v>
      </c>
      <c r="K358" s="20">
        <f t="shared" si="36"/>
        <v>0.10613756567440347</v>
      </c>
      <c r="L358" s="20">
        <f t="shared" si="36"/>
        <v>4.9084414456895452E-2</v>
      </c>
      <c r="M358" s="20">
        <f t="shared" si="36"/>
        <v>5.5578972374654201E-2</v>
      </c>
      <c r="N358" s="20">
        <f t="shared" si="36"/>
        <v>0.11318751180505569</v>
      </c>
      <c r="O358" s="20">
        <f>O347/O350</f>
        <v>0</v>
      </c>
      <c r="P358" s="20">
        <f t="shared" si="36"/>
        <v>0</v>
      </c>
      <c r="Q358" s="20">
        <f t="shared" si="36"/>
        <v>0.11165711212392991</v>
      </c>
      <c r="R358" s="20">
        <f t="shared" si="36"/>
        <v>0</v>
      </c>
      <c r="S358" s="20">
        <f t="shared" si="36"/>
        <v>4.5710939620192429E-3</v>
      </c>
      <c r="T358" s="20">
        <f t="shared" si="36"/>
        <v>-1.2253828732594358E-2</v>
      </c>
      <c r="U358" s="20">
        <f t="shared" si="36"/>
        <v>0</v>
      </c>
      <c r="V358" s="20">
        <f t="shared" si="36"/>
        <v>1.2671441505629787E-2</v>
      </c>
      <c r="W358" s="20">
        <f t="shared" si="36"/>
        <v>8.5615150710849033E-2</v>
      </c>
      <c r="X358" s="20">
        <f t="shared" si="36"/>
        <v>0.11139661852387624</v>
      </c>
      <c r="Y358" s="20">
        <f t="shared" si="36"/>
        <v>0</v>
      </c>
      <c r="Z358" s="20">
        <f t="shared" si="36"/>
        <v>0.10602831789652524</v>
      </c>
      <c r="AA358" s="20">
        <f t="shared" si="36"/>
        <v>0</v>
      </c>
      <c r="AB358" s="20">
        <f t="shared" si="36"/>
        <v>6.0656013080284024E-2</v>
      </c>
      <c r="AC358" s="20">
        <f t="shared" si="36"/>
        <v>-3.4136331589868891E-5</v>
      </c>
      <c r="AD358" s="20">
        <f t="shared" si="36"/>
        <v>4.0615207212994234E-2</v>
      </c>
      <c r="AE358" s="20">
        <f t="shared" si="36"/>
        <v>0</v>
      </c>
      <c r="AF358" s="20">
        <f t="shared" si="36"/>
        <v>0.11640790297017849</v>
      </c>
      <c r="AG358" s="20">
        <f t="shared" si="36"/>
        <v>-1.5064068753372777E-2</v>
      </c>
      <c r="AH358" s="20">
        <f t="shared" si="36"/>
        <v>3.132817860507342E-2</v>
      </c>
      <c r="AI358" s="20">
        <f t="shared" si="36"/>
        <v>9.1199926274713711E-2</v>
      </c>
      <c r="AJ358" s="20">
        <f t="shared" si="36"/>
        <v>1.2797998505115739E-2</v>
      </c>
      <c r="AK358" s="20">
        <f t="shared" si="36"/>
        <v>3.086709306865993E-5</v>
      </c>
      <c r="AL358" s="20">
        <f t="shared" si="36"/>
        <v>3.0495272356858667E-6</v>
      </c>
      <c r="AM358" s="20">
        <f t="shared" si="36"/>
        <v>1.8816806634616206E-5</v>
      </c>
      <c r="AN358" s="20">
        <f>AN347/AN350</f>
        <v>1.4769718885780728E-2</v>
      </c>
      <c r="AO358" s="20">
        <f>AO347/AO350</f>
        <v>1.3990117263067178E-4</v>
      </c>
      <c r="AP358" s="20">
        <f>AP347/AP350</f>
        <v>-1.5655829040389944E-2</v>
      </c>
      <c r="AQ358" s="20">
        <f>AQ347/AQ350</f>
        <v>0</v>
      </c>
      <c r="AR358" s="20">
        <f t="shared" ref="AR358:AX358" si="37">AR347/AR350</f>
        <v>-8.7594653867364928E-3</v>
      </c>
      <c r="AS358" s="20">
        <f t="shared" si="37"/>
        <v>0</v>
      </c>
      <c r="AT358" s="20">
        <f t="shared" si="37"/>
        <v>-1.0822798655245464E-2</v>
      </c>
      <c r="AU358" s="20" t="e">
        <f t="shared" si="37"/>
        <v>#DIV/0!</v>
      </c>
      <c r="AV358" s="20">
        <f t="shared" si="37"/>
        <v>-2.6713906361951717E-3</v>
      </c>
      <c r="AW358" s="20">
        <f t="shared" si="37"/>
        <v>0</v>
      </c>
      <c r="AX358" s="20">
        <f t="shared" si="37"/>
        <v>0</v>
      </c>
      <c r="AY358" s="20">
        <f>AY347/AY350</f>
        <v>0</v>
      </c>
      <c r="AZ358" s="20">
        <f t="shared" ref="AZ358:BI358" si="38">AZ347/AZ350</f>
        <v>-5.0981942260709956E-3</v>
      </c>
      <c r="BA358" s="20">
        <f t="shared" si="38"/>
        <v>0</v>
      </c>
      <c r="BB358" s="20">
        <f t="shared" si="38"/>
        <v>0</v>
      </c>
      <c r="BC358" s="20">
        <f t="shared" si="38"/>
        <v>-1.3462503976385319E-2</v>
      </c>
      <c r="BD358" s="20">
        <f t="shared" si="38"/>
        <v>8.4639839018103978E-7</v>
      </c>
      <c r="BE358" s="20">
        <f t="shared" si="38"/>
        <v>0</v>
      </c>
      <c r="BF358" s="20">
        <f t="shared" si="38"/>
        <v>-1.4722690033077097E-2</v>
      </c>
      <c r="BG358" s="20">
        <f t="shared" si="38"/>
        <v>0</v>
      </c>
      <c r="BH358" s="20">
        <f t="shared" si="38"/>
        <v>0</v>
      </c>
      <c r="BI358" s="20">
        <f t="shared" si="38"/>
        <v>7.6471468781765518E-7</v>
      </c>
      <c r="BJ358" s="21"/>
    </row>
    <row r="359" spans="1:62" x14ac:dyDescent="0.25">
      <c r="A359" s="21"/>
      <c r="B359" t="s">
        <v>613</v>
      </c>
      <c r="F359" s="20">
        <f t="shared" ref="F359:N359" si="39">F348/F350</f>
        <v>0.21608848582721693</v>
      </c>
      <c r="G359" s="20">
        <f t="shared" si="39"/>
        <v>7.8595516452207928E-2</v>
      </c>
      <c r="H359" s="20">
        <f t="shared" si="39"/>
        <v>6.9828429610847911E-2</v>
      </c>
      <c r="I359" s="20">
        <f t="shared" si="39"/>
        <v>1.9693243299923186E-2</v>
      </c>
      <c r="J359" s="20">
        <f t="shared" si="39"/>
        <v>7.6639006090556128E-2</v>
      </c>
      <c r="K359" s="20">
        <f t="shared" si="39"/>
        <v>6.9400122741644282E-2</v>
      </c>
      <c r="L359" s="20">
        <f t="shared" si="39"/>
        <v>2.2734498776901157E-2</v>
      </c>
      <c r="M359" s="20">
        <f t="shared" si="39"/>
        <v>0.24521523661195893</v>
      </c>
      <c r="N359" s="20">
        <f t="shared" si="39"/>
        <v>0.18690998562848729</v>
      </c>
      <c r="O359" s="20">
        <f>O348/O350</f>
        <v>-1.1547598027190975E-4</v>
      </c>
      <c r="P359" s="20">
        <f t="shared" ref="P359:AM359" si="40">P348/P350</f>
        <v>2.014465327634183E-2</v>
      </c>
      <c r="Q359" s="20">
        <f t="shared" si="40"/>
        <v>6.8267801728271904E-2</v>
      </c>
      <c r="R359" s="20">
        <f t="shared" si="40"/>
        <v>1.5635810681438957E-2</v>
      </c>
      <c r="S359" s="20">
        <f t="shared" si="40"/>
        <v>3.7309697192150895E-2</v>
      </c>
      <c r="T359" s="20">
        <f t="shared" si="40"/>
        <v>4.3608320889774024E-2</v>
      </c>
      <c r="U359" s="20">
        <f t="shared" si="40"/>
        <v>-9.6387971357239329E-4</v>
      </c>
      <c r="V359" s="20">
        <f t="shared" si="40"/>
        <v>2.4588582796923619E-2</v>
      </c>
      <c r="W359" s="20">
        <f t="shared" si="40"/>
        <v>6.9987050853710348E-2</v>
      </c>
      <c r="X359" s="20">
        <f t="shared" si="40"/>
        <v>7.7499984524976501E-2</v>
      </c>
      <c r="Y359" s="20">
        <f t="shared" si="40"/>
        <v>-3.0754029788268352E-3</v>
      </c>
      <c r="Z359" s="20">
        <f t="shared" si="40"/>
        <v>0.15944593178230776</v>
      </c>
      <c r="AA359" s="20">
        <f t="shared" si="40"/>
        <v>-5.2864268461105647E-3</v>
      </c>
      <c r="AB359" s="20">
        <f t="shared" si="40"/>
        <v>6.8077236650989956E-2</v>
      </c>
      <c r="AC359" s="20">
        <f t="shared" si="40"/>
        <v>2.4383585498824835E-2</v>
      </c>
      <c r="AD359" s="20">
        <f t="shared" si="40"/>
        <v>6.0123980597371118E-2</v>
      </c>
      <c r="AE359" s="20">
        <f t="shared" si="40"/>
        <v>2.0604710967253128E-4</v>
      </c>
      <c r="AF359" s="20">
        <f t="shared" si="40"/>
        <v>0.21380277238534007</v>
      </c>
      <c r="AG359" s="20">
        <f t="shared" si="40"/>
        <v>4.1927540363318284E-2</v>
      </c>
      <c r="AH359" s="20">
        <f t="shared" si="40"/>
        <v>3.9504351981288472E-4</v>
      </c>
      <c r="AI359" s="20">
        <f t="shared" si="40"/>
        <v>0.22591656165065574</v>
      </c>
      <c r="AJ359" s="20">
        <f t="shared" si="40"/>
        <v>5.1777989662271436E-2</v>
      </c>
      <c r="AK359" s="20">
        <f t="shared" si="40"/>
        <v>-4.6021528005983376E-3</v>
      </c>
      <c r="AL359" s="20">
        <f t="shared" si="40"/>
        <v>7.9824729410108038E-4</v>
      </c>
      <c r="AM359" s="20">
        <f t="shared" si="40"/>
        <v>7.9797109920051626E-4</v>
      </c>
      <c r="AN359" s="20">
        <f>AN348/AN350</f>
        <v>2.3974489969347174E-2</v>
      </c>
      <c r="AO359" s="20">
        <f>AO348/AO350</f>
        <v>5.2556327287626168E-4</v>
      </c>
      <c r="AP359" s="20">
        <f>AP348/AP350</f>
        <v>2.6865058598400746E-2</v>
      </c>
      <c r="AQ359" s="20">
        <f>AQ348/AQ350</f>
        <v>-6.191019996478886E-4</v>
      </c>
      <c r="AR359" s="20">
        <f t="shared" ref="AR359:AX359" si="41">AR348/AR350</f>
        <v>2.6333901170380623E-2</v>
      </c>
      <c r="AS359" s="20">
        <f t="shared" si="41"/>
        <v>-2.3274154226639565E-4</v>
      </c>
      <c r="AT359" s="20">
        <f t="shared" si="41"/>
        <v>6.7429423413465972E-2</v>
      </c>
      <c r="AU359" s="20" t="e">
        <f t="shared" si="41"/>
        <v>#DIV/0!</v>
      </c>
      <c r="AV359" s="20">
        <f t="shared" si="41"/>
        <v>2.0270108356400949E-2</v>
      </c>
      <c r="AW359" s="20">
        <f t="shared" si="41"/>
        <v>3.2523889759934895E-4</v>
      </c>
      <c r="AX359" s="20">
        <f t="shared" si="41"/>
        <v>-5.6154068413342615E-4</v>
      </c>
      <c r="AY359" s="20">
        <f>AY348/AY350</f>
        <v>-2.9676017908907464E-3</v>
      </c>
      <c r="AZ359" s="20">
        <f t="shared" ref="AZ359:BI359" si="42">AZ348/AZ350</f>
        <v>3.2681009733840805E-2</v>
      </c>
      <c r="BA359" s="20">
        <f t="shared" si="42"/>
        <v>5.5549077416328224E-2</v>
      </c>
      <c r="BB359" s="20">
        <f t="shared" si="42"/>
        <v>-2.7984562957438833E-3</v>
      </c>
      <c r="BC359" s="20">
        <f t="shared" si="42"/>
        <v>3.0617875315811369E-2</v>
      </c>
      <c r="BD359" s="20">
        <f t="shared" si="42"/>
        <v>3.3942652969581044E-2</v>
      </c>
      <c r="BE359" s="20">
        <f t="shared" si="42"/>
        <v>5.6317460538927513E-2</v>
      </c>
      <c r="BF359" s="20">
        <f t="shared" si="42"/>
        <v>2.9273458517313972E-2</v>
      </c>
      <c r="BG359" s="20">
        <f t="shared" si="42"/>
        <v>5.6963430752847426E-2</v>
      </c>
      <c r="BH359" s="20">
        <f t="shared" si="42"/>
        <v>-5.7284351137461206E-3</v>
      </c>
      <c r="BI359" s="20">
        <f t="shared" si="42"/>
        <v>3.4581545255146097E-2</v>
      </c>
      <c r="BJ359" s="21"/>
    </row>
    <row r="360" spans="1:62" x14ac:dyDescent="0.25">
      <c r="A360" s="21" t="s">
        <v>697</v>
      </c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</row>
    <row r="361" spans="1:62" x14ac:dyDescent="0.25">
      <c r="A361" s="21" t="s">
        <v>698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</row>
  </sheetData>
  <mergeCells count="5">
    <mergeCell ref="A1:A359"/>
    <mergeCell ref="B1:BI1"/>
    <mergeCell ref="BJ1:BJ359"/>
    <mergeCell ref="A360:BI360"/>
    <mergeCell ref="A361:BI361"/>
  </mergeCells>
  <conditionalFormatting sqref="B17:B33">
    <cfRule type="cellIs" dxfId="3" priority="17" stopIfTrue="1" operator="lessThan">
      <formula>0</formula>
    </cfRule>
  </conditionalFormatting>
  <conditionalFormatting sqref="C23:C33">
    <cfRule type="cellIs" dxfId="2" priority="26" stopIfTrue="1" operator="lessThan">
      <formula>0</formula>
    </cfRule>
  </conditionalFormatting>
  <conditionalFormatting sqref="D16:E24">
    <cfRule type="cellIs" dxfId="1" priority="18" stopIfTrue="1" operator="lessThan">
      <formula>0</formula>
    </cfRule>
  </conditionalFormatting>
  <conditionalFormatting sqref="F15:BI23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27CFA3DF-D7D3-4DFF-BD61-4E72B47E54AB}"/>
</file>

<file path=customXml/itemProps2.xml><?xml version="1.0" encoding="utf-8"?>
<ds:datastoreItem xmlns:ds="http://schemas.openxmlformats.org/officeDocument/2006/customXml" ds:itemID="{B32483A0-5282-47BC-8803-3B3A761C918F}"/>
</file>

<file path=customXml/itemProps3.xml><?xml version="1.0" encoding="utf-8"?>
<ds:datastoreItem xmlns:ds="http://schemas.openxmlformats.org/officeDocument/2006/customXml" ds:itemID="{B0E2298E-58FD-446D-8A53-54DD689C1C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11/2024</dc:title>
  <dc:creator>פרידמן אמיר</dc:creator>
  <cp:lastModifiedBy>Agnes</cp:lastModifiedBy>
  <dcterms:created xsi:type="dcterms:W3CDTF">2024-12-18T09:10:34Z</dcterms:created>
  <dcterms:modified xsi:type="dcterms:W3CDTF">2024-12-20T06:52:47Z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