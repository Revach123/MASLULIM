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f22338\Desktop\משימות הזנת תוכן אתר\שנת 2024\יולי 24\220724\מטי לנדו-דוח חודשי יוני24 גמל\"/>
    </mc:Choice>
  </mc:AlternateContent>
  <bookViews>
    <workbookView xWindow="-105" yWindow="-105" windowWidth="23250" windowHeight="12450"/>
  </bookViews>
  <sheets>
    <sheet name="גיליון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355" i="1" l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I352" i="1" l="1"/>
  <c r="I354" i="1" s="1"/>
  <c r="Q352" i="1"/>
  <c r="Q354" i="1" s="1"/>
  <c r="Y352" i="1"/>
  <c r="Y354" i="1" s="1"/>
  <c r="AG352" i="1"/>
  <c r="AG354" i="1" s="1"/>
  <c r="AO352" i="1"/>
  <c r="AO354" i="1" s="1"/>
  <c r="AW352" i="1"/>
  <c r="AW354" i="1" s="1"/>
  <c r="E352" i="1"/>
  <c r="E354" i="1" s="1"/>
  <c r="AC352" i="1"/>
  <c r="AC354" i="1" s="1"/>
  <c r="I358" i="1"/>
  <c r="G352" i="1"/>
  <c r="G354" i="1" s="1"/>
  <c r="K352" i="1"/>
  <c r="K354" i="1" s="1"/>
  <c r="S352" i="1"/>
  <c r="S354" i="1" s="1"/>
  <c r="AA352" i="1"/>
  <c r="AA354" i="1" s="1"/>
  <c r="AI352" i="1"/>
  <c r="AI354" i="1" s="1"/>
  <c r="AQ352" i="1"/>
  <c r="AQ354" i="1" s="1"/>
  <c r="AU352" i="1"/>
  <c r="AU354" i="1" s="1"/>
  <c r="AY352" i="1"/>
  <c r="AY354" i="1" s="1"/>
  <c r="BC352" i="1"/>
  <c r="BC354" i="1" s="1"/>
  <c r="BC358" i="1"/>
  <c r="I359" i="1"/>
  <c r="Y359" i="1"/>
  <c r="BE352" i="1"/>
  <c r="BE354" i="1" s="1"/>
  <c r="O352" i="1"/>
  <c r="O354" i="1" s="1"/>
  <c r="W352" i="1"/>
  <c r="W354" i="1" s="1"/>
  <c r="AE352" i="1"/>
  <c r="AE354" i="1" s="1"/>
  <c r="AM352" i="1"/>
  <c r="AM354" i="1" s="1"/>
  <c r="Q357" i="1"/>
  <c r="Y357" i="1"/>
  <c r="AG357" i="1"/>
  <c r="H352" i="1"/>
  <c r="H354" i="1" s="1"/>
  <c r="L352" i="1"/>
  <c r="L354" i="1" s="1"/>
  <c r="P352" i="1"/>
  <c r="P354" i="1" s="1"/>
  <c r="T352" i="1"/>
  <c r="T354" i="1" s="1"/>
  <c r="X352" i="1"/>
  <c r="X354" i="1" s="1"/>
  <c r="AB352" i="1"/>
  <c r="AB354" i="1" s="1"/>
  <c r="AF352" i="1"/>
  <c r="AF354" i="1" s="1"/>
  <c r="AJ352" i="1"/>
  <c r="AJ354" i="1" s="1"/>
  <c r="AN352" i="1"/>
  <c r="AN354" i="1" s="1"/>
  <c r="AR352" i="1"/>
  <c r="AR354" i="1" s="1"/>
  <c r="AV352" i="1"/>
  <c r="AV354" i="1" s="1"/>
  <c r="AZ352" i="1"/>
  <c r="AZ354" i="1" s="1"/>
  <c r="BD352" i="1"/>
  <c r="BD354" i="1" s="1"/>
  <c r="M352" i="1"/>
  <c r="M354" i="1" s="1"/>
  <c r="AS352" i="1"/>
  <c r="AS354" i="1" s="1"/>
  <c r="I356" i="1"/>
  <c r="Y356" i="1"/>
  <c r="BC357" i="1"/>
  <c r="I360" i="1"/>
  <c r="Q360" i="1"/>
  <c r="Y360" i="1"/>
  <c r="AW360" i="1"/>
  <c r="G361" i="1"/>
  <c r="BC361" i="1"/>
  <c r="Q356" i="1"/>
  <c r="AG356" i="1"/>
  <c r="Q358" i="1"/>
  <c r="F352" i="1"/>
  <c r="F354" i="1" s="1"/>
  <c r="J352" i="1"/>
  <c r="J354" i="1" s="1"/>
  <c r="N352" i="1"/>
  <c r="N354" i="1" s="1"/>
  <c r="R352" i="1"/>
  <c r="R354" i="1" s="1"/>
  <c r="V352" i="1"/>
  <c r="V354" i="1" s="1"/>
  <c r="Z352" i="1"/>
  <c r="Z354" i="1" s="1"/>
  <c r="AD352" i="1"/>
  <c r="AD354" i="1" s="1"/>
  <c r="AH352" i="1"/>
  <c r="AH354" i="1" s="1"/>
  <c r="AL352" i="1"/>
  <c r="AL354" i="1" s="1"/>
  <c r="AP352" i="1"/>
  <c r="AP354" i="1" s="1"/>
  <c r="AT352" i="1"/>
  <c r="AT354" i="1" s="1"/>
  <c r="AX352" i="1"/>
  <c r="AX354" i="1" s="1"/>
  <c r="BB352" i="1"/>
  <c r="BB354" i="1" s="1"/>
  <c r="BF352" i="1"/>
  <c r="BF354" i="1" s="1"/>
  <c r="BD357" i="1"/>
  <c r="H359" i="1"/>
  <c r="L359" i="1"/>
  <c r="U352" i="1"/>
  <c r="U354" i="1" s="1"/>
  <c r="AK352" i="1"/>
  <c r="AK354" i="1" s="1"/>
  <c r="BA352" i="1"/>
  <c r="BA354" i="1" s="1"/>
  <c r="X361" i="1"/>
  <c r="G360" i="1"/>
  <c r="K360" i="1"/>
  <c r="S360" i="1"/>
  <c r="AI360" i="1"/>
  <c r="AY360" i="1"/>
  <c r="BC360" i="1"/>
  <c r="I361" i="1"/>
  <c r="Q361" i="1"/>
  <c r="Y361" i="1"/>
  <c r="AG361" i="1"/>
  <c r="AK361" i="1"/>
  <c r="AO361" i="1"/>
  <c r="AW361" i="1"/>
  <c r="X360" i="1"/>
  <c r="AF360" i="1"/>
  <c r="V361" i="1"/>
  <c r="Z361" i="1"/>
  <c r="BF361" i="1"/>
  <c r="AR357" i="1" l="1"/>
  <c r="AR358" i="1"/>
  <c r="L357" i="1"/>
  <c r="W359" i="1"/>
  <c r="S359" i="1"/>
  <c r="K359" i="1"/>
  <c r="AN360" i="1"/>
  <c r="AJ360" i="1"/>
  <c r="AX360" i="1"/>
  <c r="AQ359" i="1"/>
  <c r="R360" i="1"/>
  <c r="E359" i="1"/>
  <c r="BB358" i="1"/>
  <c r="AN357" i="1"/>
  <c r="BE359" i="1"/>
  <c r="BE361" i="1"/>
  <c r="E361" i="1"/>
  <c r="AW359" i="1"/>
  <c r="AW358" i="1"/>
  <c r="AO360" i="1"/>
  <c r="AW357" i="1"/>
  <c r="H361" i="1"/>
  <c r="BB361" i="1"/>
  <c r="BD361" i="1"/>
  <c r="H357" i="1"/>
  <c r="AG358" i="1"/>
  <c r="AG360" i="1"/>
  <c r="AN361" i="1"/>
  <c r="AZ358" i="1"/>
  <c r="N360" i="1"/>
  <c r="AE358" i="1"/>
  <c r="P361" i="1"/>
  <c r="AT358" i="1"/>
  <c r="AE361" i="1"/>
  <c r="T358" i="1"/>
  <c r="E356" i="1"/>
  <c r="AT361" i="1"/>
  <c r="T360" i="1"/>
  <c r="N358" i="1"/>
  <c r="P360" i="1"/>
  <c r="AR359" i="1"/>
  <c r="F358" i="1"/>
  <c r="W361" i="1"/>
  <c r="W357" i="1"/>
  <c r="L358" i="1"/>
  <c r="AG359" i="1"/>
  <c r="AO357" i="1"/>
  <c r="T361" i="1"/>
  <c r="P357" i="1"/>
  <c r="AQ360" i="1"/>
  <c r="AZ361" i="1"/>
  <c r="E360" i="1"/>
  <c r="H358" i="1"/>
  <c r="AE360" i="1"/>
  <c r="N361" i="1"/>
  <c r="L360" i="1"/>
  <c r="AA360" i="1"/>
  <c r="AT360" i="1"/>
  <c r="AN359" i="1"/>
  <c r="AW356" i="1"/>
  <c r="O361" i="1"/>
  <c r="J361" i="1"/>
  <c r="H360" i="1"/>
  <c r="W360" i="1"/>
  <c r="AV361" i="1"/>
  <c r="Z360" i="1"/>
  <c r="T359" i="1"/>
  <c r="AV357" i="1"/>
  <c r="AO356" i="1"/>
  <c r="BC359" i="1"/>
  <c r="E357" i="1"/>
  <c r="Q359" i="1"/>
  <c r="BD360" i="1"/>
  <c r="AC358" i="1"/>
  <c r="AP361" i="1"/>
  <c r="AU360" i="1"/>
  <c r="F360" i="1"/>
  <c r="AL358" i="1"/>
  <c r="BD359" i="1"/>
  <c r="AF357" i="1"/>
  <c r="AA357" i="1"/>
  <c r="AY361" i="1"/>
  <c r="AF358" i="1"/>
  <c r="AE356" i="1"/>
  <c r="AC357" i="1"/>
  <c r="J360" i="1"/>
  <c r="AZ360" i="1"/>
  <c r="AC361" i="1"/>
  <c r="O360" i="1"/>
  <c r="AJ359" i="1"/>
  <c r="E358" i="1"/>
  <c r="AJ358" i="1"/>
  <c r="AC359" i="1"/>
  <c r="AL361" i="1"/>
  <c r="AV360" i="1"/>
  <c r="AJ361" i="1"/>
  <c r="AP360" i="1"/>
  <c r="AB359" i="1"/>
  <c r="AD358" i="1"/>
  <c r="AD361" i="1"/>
  <c r="BF359" i="1"/>
  <c r="U361" i="1"/>
  <c r="AM360" i="1"/>
  <c r="AF361" i="1"/>
  <c r="AH360" i="1"/>
  <c r="AZ359" i="1"/>
  <c r="X359" i="1"/>
  <c r="V358" i="1"/>
  <c r="AB357" i="1"/>
  <c r="K357" i="1"/>
  <c r="AU361" i="1"/>
  <c r="AM359" i="1"/>
  <c r="AB358" i="1"/>
  <c r="AD360" i="1"/>
  <c r="X357" i="1"/>
  <c r="AI361" i="1"/>
  <c r="AC360" i="1"/>
  <c r="AI359" i="1"/>
  <c r="O357" i="1"/>
  <c r="O356" i="1"/>
  <c r="Y358" i="1"/>
  <c r="AC356" i="1"/>
  <c r="O358" i="1"/>
  <c r="O359" i="1"/>
  <c r="H356" i="1"/>
  <c r="AM356" i="1"/>
  <c r="W356" i="1"/>
  <c r="BE357" i="1"/>
  <c r="AO358" i="1"/>
  <c r="P358" i="1"/>
  <c r="I357" i="1"/>
  <c r="AO359" i="1"/>
  <c r="AU358" i="1"/>
  <c r="AE357" i="1"/>
  <c r="F359" i="1"/>
  <c r="AX361" i="1"/>
  <c r="AH361" i="1"/>
  <c r="R361" i="1"/>
  <c r="F361" i="1"/>
  <c r="AR360" i="1"/>
  <c r="AB360" i="1"/>
  <c r="BB359" i="1"/>
  <c r="AS361" i="1"/>
  <c r="M361" i="1"/>
  <c r="AR361" i="1"/>
  <c r="AB361" i="1"/>
  <c r="L361" i="1"/>
  <c r="BB360" i="1"/>
  <c r="AL360" i="1"/>
  <c r="V360" i="1"/>
  <c r="AV359" i="1"/>
  <c r="AF359" i="1"/>
  <c r="P359" i="1"/>
  <c r="BF358" i="1"/>
  <c r="AP358" i="1"/>
  <c r="Z358" i="1"/>
  <c r="J358" i="1"/>
  <c r="AZ357" i="1"/>
  <c r="AJ357" i="1"/>
  <c r="T357" i="1"/>
  <c r="BB356" i="1"/>
  <c r="AT356" i="1"/>
  <c r="AL356" i="1"/>
  <c r="AD356" i="1"/>
  <c r="V356" i="1"/>
  <c r="N356" i="1"/>
  <c r="AQ357" i="1"/>
  <c r="AM361" i="1"/>
  <c r="S361" i="1"/>
  <c r="BE360" i="1"/>
  <c r="M360" i="1"/>
  <c r="AY359" i="1"/>
  <c r="AA359" i="1"/>
  <c r="G359" i="1"/>
  <c r="AM357" i="1"/>
  <c r="G356" i="1"/>
  <c r="AT359" i="1"/>
  <c r="AD359" i="1"/>
  <c r="N359" i="1"/>
  <c r="BD358" i="1"/>
  <c r="AN358" i="1"/>
  <c r="X358" i="1"/>
  <c r="AX357" i="1"/>
  <c r="AH357" i="1"/>
  <c r="R357" i="1"/>
  <c r="F357" i="1"/>
  <c r="AZ356" i="1"/>
  <c r="AR356" i="1"/>
  <c r="AJ356" i="1"/>
  <c r="AB356" i="1"/>
  <c r="T356" i="1"/>
  <c r="L356" i="1"/>
  <c r="AY358" i="1"/>
  <c r="AI358" i="1"/>
  <c r="S358" i="1"/>
  <c r="G358" i="1"/>
  <c r="AS357" i="1"/>
  <c r="U357" i="1"/>
  <c r="BC356" i="1"/>
  <c r="AU356" i="1"/>
  <c r="AI356" i="1"/>
  <c r="S356" i="1"/>
  <c r="AU357" i="1"/>
  <c r="BA356" i="1"/>
  <c r="AQ361" i="1"/>
  <c r="AK360" i="1"/>
  <c r="AE359" i="1"/>
  <c r="S357" i="1"/>
  <c r="BA358" i="1"/>
  <c r="U358" i="1"/>
  <c r="AP359" i="1"/>
  <c r="Z359" i="1"/>
  <c r="J359" i="1"/>
  <c r="AT357" i="1"/>
  <c r="AD357" i="1"/>
  <c r="N357" i="1"/>
  <c r="AK359" i="1"/>
  <c r="U359" i="1"/>
  <c r="M357" i="1"/>
  <c r="AK356" i="1"/>
  <c r="AA361" i="1"/>
  <c r="U360" i="1"/>
  <c r="G357" i="1"/>
  <c r="BA361" i="1"/>
  <c r="AX358" i="1"/>
  <c r="AH358" i="1"/>
  <c r="R358" i="1"/>
  <c r="BF356" i="1"/>
  <c r="AX356" i="1"/>
  <c r="AP356" i="1"/>
  <c r="AH356" i="1"/>
  <c r="Z356" i="1"/>
  <c r="R356" i="1"/>
  <c r="J356" i="1"/>
  <c r="F356" i="1"/>
  <c r="AS360" i="1"/>
  <c r="AS358" i="1"/>
  <c r="AL359" i="1"/>
  <c r="V359" i="1"/>
  <c r="AV358" i="1"/>
  <c r="BF357" i="1"/>
  <c r="AP357" i="1"/>
  <c r="Z357" i="1"/>
  <c r="J357" i="1"/>
  <c r="BD356" i="1"/>
  <c r="AV356" i="1"/>
  <c r="AN356" i="1"/>
  <c r="AF356" i="1"/>
  <c r="X356" i="1"/>
  <c r="P356" i="1"/>
  <c r="AQ358" i="1"/>
  <c r="AA358" i="1"/>
  <c r="K358" i="1"/>
  <c r="BA357" i="1"/>
  <c r="AK357" i="1"/>
  <c r="AY356" i="1"/>
  <c r="AQ356" i="1"/>
  <c r="AA356" i="1"/>
  <c r="K356" i="1"/>
  <c r="U356" i="1"/>
  <c r="K361" i="1"/>
  <c r="BE358" i="1"/>
  <c r="AY357" i="1"/>
  <c r="AS356" i="1"/>
  <c r="BA359" i="1"/>
  <c r="BF360" i="1"/>
  <c r="AK358" i="1"/>
  <c r="AX359" i="1"/>
  <c r="AH359" i="1"/>
  <c r="R359" i="1"/>
  <c r="BB357" i="1"/>
  <c r="AL357" i="1"/>
  <c r="V357" i="1"/>
  <c r="M358" i="1"/>
  <c r="AS359" i="1"/>
  <c r="M359" i="1"/>
  <c r="AM358" i="1"/>
  <c r="W358" i="1"/>
  <c r="BE356" i="1"/>
  <c r="BA360" i="1"/>
  <c r="AU359" i="1"/>
  <c r="AI357" i="1"/>
  <c r="M356" i="1"/>
</calcChain>
</file>

<file path=xl/sharedStrings.xml><?xml version="1.0" encoding="utf-8"?>
<sst xmlns="http://schemas.openxmlformats.org/spreadsheetml/2006/main" count="779" uniqueCount="711">
  <si>
    <t>אישור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</si>
  <si>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</si>
  <si>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</si>
  <si>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</si>
  <si>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</si>
  <si>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</si>
  <si>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</si>
  <si>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</si>
  <si>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</si>
  <si>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</si>
  <si>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</si>
  <si>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</si>
  <si>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</si>
  <si>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</si>
  <si>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</si>
  <si>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DT191</t>
  </si>
  <si>
    <t>פקדון לתקופה של עד שלושה חודשים בחול</t>
  </si>
  <si>
    <t>DT424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</si>
  <si>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</si>
  <si>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</si>
  <si>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</si>
  <si>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</si>
  <si>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</si>
  <si>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</si>
  <si>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</si>
  <si>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</si>
  <si>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</si>
  <si>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</si>
  <si>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אג"ח מיועדות</t>
  </si>
  <si>
    <t>DT7</t>
  </si>
  <si>
    <t>פקדונות חשכל</t>
  </si>
  <si>
    <t>DA8</t>
  </si>
  <si>
    <t>ממשלתי בחו"ל</t>
  </si>
  <si>
    <t>DT17</t>
  </si>
  <si>
    <t>ממשלתי זר בחו"ל</t>
  </si>
  <si>
    <t>DT26</t>
  </si>
  <si>
    <t>ממשלתי לא סחיר בחו"ל</t>
  </si>
  <si>
    <t>DT425</t>
  </si>
  <si>
    <t>ממשלתי זר לא סחיר בחו"ל</t>
  </si>
  <si>
    <t>DT426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</si>
  <si>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</si>
  <si>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</si>
  <si>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</si>
  <si>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</si>
  <si>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</si>
  <si>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</si>
  <si>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</si>
  <si>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</si>
  <si>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</si>
  <si>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</si>
  <si>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</si>
  <si>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</si>
  <si>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</si>
  <si>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</si>
  <si>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</si>
  <si>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</si>
  <si>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</si>
  <si>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</si>
  <si>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</si>
  <si>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</si>
  <si>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</si>
  <si>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</si>
  <si>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</si>
  <si>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</si>
  <si>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</si>
  <si>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</si>
  <si>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</si>
  <si>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</si>
  <si>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</si>
  <si>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</si>
  <si>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</si>
  <si>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</si>
  <si>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</si>
  <si>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</si>
  <si>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</si>
  <si>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</si>
  <si>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</si>
  <si>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</si>
  <si>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</si>
  <si>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</si>
  <si>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</si>
  <si>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</si>
  <si>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</si>
  <si>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</si>
  <si>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</si>
  <si>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</si>
  <si>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</si>
  <si>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</si>
  <si>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</si>
  <si>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</si>
  <si>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</si>
  <si>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</si>
  <si>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</si>
  <si>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</si>
  <si>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</si>
  <si>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</si>
  <si>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</si>
  <si>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</si>
  <si>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</si>
  <si>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</si>
  <si>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</si>
  <si>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</si>
  <si>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</si>
  <si>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</si>
  <si>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</si>
  <si>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</si>
  <si>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</si>
  <si>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</si>
  <si>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</si>
  <si>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</si>
  <si>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</si>
  <si>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</si>
  <si>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</si>
  <si>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</si>
  <si>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</si>
  <si>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</si>
  <si>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</si>
  <si>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</si>
  <si>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</si>
  <si>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</si>
  <si>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</si>
  <si>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</si>
  <si>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</si>
  <si>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</si>
  <si>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</si>
  <si>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</si>
  <si>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</si>
  <si>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</si>
  <si>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</si>
  <si>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</si>
  <si>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</si>
  <si>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</si>
  <si>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</si>
  <si>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</si>
  <si>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</si>
  <si>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</si>
  <si>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</si>
  <si>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</si>
  <si>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</si>
  <si>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</si>
  <si>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</si>
  <si>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</si>
  <si>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</si>
  <si>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</si>
  <si>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</si>
  <si>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</si>
  <si>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</si>
  <si>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</si>
  <si>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</si>
  <si>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</si>
  <si>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</si>
  <si>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</si>
  <si>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</si>
  <si>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</si>
  <si>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</si>
  <si>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</si>
  <si>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</si>
  <si>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</si>
  <si>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</si>
  <si>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</si>
  <si>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</si>
  <si>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</si>
  <si>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</si>
  <si>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</si>
  <si>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</si>
  <si>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</si>
  <si>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</si>
  <si>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</si>
  <si>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</si>
  <si>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</si>
  <si>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</si>
  <si>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</si>
  <si>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</si>
  <si>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</si>
  <si>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</si>
  <si>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</si>
  <si>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</si>
  <si>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</si>
  <si>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</si>
  <si>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</si>
  <si>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</si>
  <si>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</si>
  <si>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</si>
  <si>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</si>
  <si>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</si>
  <si>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</si>
  <si>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</si>
  <si>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</si>
  <si>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</si>
  <si>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</si>
  <si>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</si>
  <si>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</si>
  <si>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</si>
  <si>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</si>
  <si>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</si>
  <si>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</si>
  <si>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</si>
  <si>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</si>
  <si>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</si>
  <si>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</si>
  <si>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</si>
  <si>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</si>
  <si>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</si>
  <si>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</si>
  <si>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</si>
  <si>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</si>
  <si>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מניות לא סחירות בארץ</t>
  </si>
  <si>
    <t>DC9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</si>
  <si>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</si>
  <si>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</si>
  <si>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</si>
  <si>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</si>
  <si>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</si>
  <si>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</si>
  <si>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מניות ל"ס של חברות ישראליות</t>
  </si>
  <si>
    <t>DT622</t>
  </si>
  <si>
    <t>מניות ל"ס של חברות זרות</t>
  </si>
  <si>
    <t>DT83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</si>
  <si>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</si>
  <si>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</si>
  <si>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</si>
  <si>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</si>
  <si>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</si>
  <si>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</si>
  <si>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</si>
  <si>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</si>
  <si>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</si>
  <si>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</si>
  <si>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</si>
  <si>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</si>
  <si>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</si>
  <si>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</si>
  <si>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</si>
  <si>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</si>
  <si>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</si>
  <si>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</si>
  <si>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</si>
  <si>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</si>
  <si>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</si>
  <si>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</si>
  <si>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</si>
  <si>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</si>
  <si>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</si>
  <si>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</si>
  <si>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</si>
  <si>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</si>
  <si>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</si>
  <si>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</si>
  <si>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</si>
  <si>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</si>
  <si>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</si>
  <si>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</si>
  <si>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</si>
  <si>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</si>
  <si>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</si>
  <si>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</si>
  <si>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</si>
  <si>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</si>
  <si>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</si>
  <si>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</si>
  <si>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</si>
  <si>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</si>
  <si>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</si>
  <si>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</si>
  <si>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</si>
  <si>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</si>
  <si>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</si>
  <si>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</si>
  <si>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</si>
  <si>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</si>
  <si>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</si>
  <si>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</si>
  <si>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</si>
  <si>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</si>
  <si>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</si>
  <si>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</si>
  <si>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</si>
  <si>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</si>
  <si>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</si>
  <si>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</si>
  <si>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</si>
  <si>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</si>
  <si>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</si>
  <si>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</si>
  <si>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</si>
  <si>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</si>
  <si>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</si>
  <si>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</si>
  <si>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</si>
  <si>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</si>
  <si>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</si>
  <si>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</si>
  <si>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</si>
  <si>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</si>
  <si>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</si>
  <si>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</si>
  <si>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</si>
  <si>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</si>
  <si>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</si>
  <si>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</si>
  <si>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</si>
  <si>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</si>
  <si>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</si>
  <si>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</si>
  <si>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</si>
  <si>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</si>
  <si>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</si>
  <si>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</si>
  <si>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</si>
  <si>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</si>
  <si>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</si>
  <si>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</si>
  <si>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</si>
  <si>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</si>
  <si>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</si>
  <si>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</si>
  <si>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</si>
  <si>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</si>
  <si>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</si>
  <si>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</si>
  <si>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</si>
  <si>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</si>
  <si>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</si>
  <si>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</si>
  <si>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</si>
  <si>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</si>
  <si>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</si>
  <si>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</si>
  <si>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</si>
  <si>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</si>
  <si>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</si>
  <si>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</si>
  <si>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</si>
  <si>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</si>
  <si>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</si>
  <si>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</si>
  <si>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</si>
  <si>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</si>
  <si>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</si>
  <si>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</si>
  <si>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</si>
  <si>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</si>
  <si>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</si>
  <si>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</si>
  <si>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</si>
  <si>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</si>
  <si>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</si>
  <si>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</si>
  <si>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</si>
  <si>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</si>
  <si>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</si>
  <si>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</si>
  <si>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</si>
  <si>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</si>
  <si>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</si>
  <si>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</si>
  <si>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</si>
  <si>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</si>
  <si>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</si>
  <si>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</si>
  <si>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</si>
  <si>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</si>
  <si>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</si>
  <si>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</si>
  <si>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</si>
  <si>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</si>
  <si>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</si>
  <si>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</si>
  <si>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</si>
  <si>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</si>
  <si>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</si>
  <si>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</si>
  <si>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</si>
  <si>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</si>
  <si>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</si>
  <si>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</si>
  <si>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</si>
  <si>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</si>
  <si>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</si>
  <si>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</si>
  <si>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</si>
  <si>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</si>
  <si>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</si>
  <si>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</si>
  <si>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</si>
  <si>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</si>
  <si>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</si>
  <si>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</si>
  <si>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</si>
  <si>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</si>
  <si>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</si>
  <si>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</si>
  <si>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</si>
  <si>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</si>
  <si>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</si>
  <si>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</si>
  <si>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</si>
  <si>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</si>
  <si>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</si>
  <si>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</si>
  <si>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</si>
  <si>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</si>
  <si>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</si>
  <si>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</si>
  <si>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</si>
  <si>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</si>
  <si>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</si>
  <si>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</si>
  <si>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</si>
  <si>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</si>
  <si>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</si>
  <si>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</si>
  <si>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</si>
  <si>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</si>
  <si>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</si>
  <si>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</si>
  <si>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</si>
  <si>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</si>
  <si>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</si>
  <si>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</si>
  <si>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</si>
  <si>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</si>
  <si>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</si>
  <si>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</si>
  <si>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</si>
  <si>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</si>
  <si>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</si>
  <si>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</si>
  <si>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</si>
  <si>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</si>
  <si>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</si>
  <si>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</si>
  <si>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</si>
  <si>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</si>
  <si>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</si>
  <si>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</si>
  <si>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</si>
  <si>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</si>
  <si>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</si>
  <si>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</si>
  <si>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</si>
  <si>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</si>
  <si>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</si>
  <si>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</si>
  <si>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</si>
  <si>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</si>
  <si>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</si>
  <si>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</si>
  <si>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</si>
  <si>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</si>
  <si>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</si>
  <si>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</si>
  <si>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</si>
  <si>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</si>
  <si>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</si>
  <si>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</si>
  <si>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</si>
  <si>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</si>
  <si>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</si>
  <si>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</si>
  <si>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</si>
  <si>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</si>
  <si>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</si>
  <si>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</si>
  <si>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</si>
  <si>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</si>
  <si>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</si>
  <si>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</si>
  <si>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</si>
  <si>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</si>
  <si>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</si>
  <si>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</si>
  <si>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</si>
  <si>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</si>
  <si>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</si>
  <si>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</si>
  <si>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</si>
  <si>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</si>
  <si>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</si>
  <si>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</si>
  <si>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</si>
  <si>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</si>
  <si>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</si>
  <si>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</si>
  <si>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</si>
  <si>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</si>
  <si>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</si>
  <si>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</si>
  <si>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</si>
  <si>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</si>
  <si>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</si>
  <si>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</si>
  <si>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</si>
  <si>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</si>
  <si>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</si>
  <si>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</si>
  <si>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</si>
  <si>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</si>
  <si>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</si>
  <si>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</si>
  <si>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</si>
  <si>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</si>
  <si>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</si>
  <si>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</si>
  <si>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</si>
  <si>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</si>
  <si>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</si>
  <si>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</si>
  <si>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</si>
  <si>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</si>
  <si>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</si>
  <si>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</si>
  <si>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</si>
  <si>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</si>
  <si>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</si>
  <si>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</si>
  <si>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</si>
  <si>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</si>
  <si>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</si>
  <si>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</si>
  <si>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</si>
  <si>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</si>
  <si>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</si>
  <si>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</si>
  <si>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</si>
  <si>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</si>
  <si>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</si>
  <si>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</si>
  <si>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</si>
  <si>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</si>
  <si>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</si>
  <si>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</si>
  <si>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</si>
  <si>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</si>
  <si>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</si>
  <si>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</si>
  <si>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</si>
  <si>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</si>
  <si>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</si>
  <si>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</si>
  <si>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</si>
  <si>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</si>
  <si>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</si>
  <si>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</si>
  <si>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</si>
  <si>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</si>
  <si>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</si>
  <si>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</si>
  <si>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</si>
  <si>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</si>
  <si>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</si>
  <si>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</si>
  <si>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</si>
  <si>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</si>
  <si>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</si>
  <si>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</si>
  <si>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</si>
  <si>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</si>
  <si>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</si>
  <si>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</si>
  <si>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</si>
  <si>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</si>
  <si>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</si>
  <si>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</si>
  <si>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</si>
  <si>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</si>
  <si>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</si>
  <si>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</si>
  <si>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</si>
  <si>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</si>
  <si>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</si>
  <si>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</si>
  <si>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</si>
  <si>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</si>
  <si>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</si>
  <si>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</si>
  <si>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</si>
  <si>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</si>
  <si>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</si>
  <si>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</si>
  <si>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</si>
  <si>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</si>
  <si>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</si>
  <si>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</si>
  <si>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</si>
  <si>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</si>
  <si>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</si>
  <si>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</si>
  <si>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</si>
  <si>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</si>
  <si>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</si>
  <si>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בניני משרדים שבשימוש הקופה</t>
  </si>
  <si>
    <t>DT115</t>
  </si>
  <si>
    <t>רכוש קבוע שאינו בנייני משרדים בשימוש הקופה</t>
  </si>
  <si>
    <t>DT62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</si>
  <si>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</si>
  <si>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</si>
  <si>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</si>
  <si>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</si>
  <si>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</si>
  <si>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</si>
  <si>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</si>
  <si>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</si>
  <si>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</si>
  <si>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</si>
  <si>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</si>
  <si>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</si>
  <si>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בדיקה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</si>
  <si>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</si>
  <si>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</si>
  <si>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</si>
  <si>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</si>
  <si>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</si>
  <si>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</si>
  <si>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</si>
  <si>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</si>
  <si>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</si>
  <si>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</si>
  <si>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</si>
  <si>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</si>
  <si>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 השתלמות לטווח קצר</t>
  </si>
  <si>
    <t>הפניקס השתלמות עד 25% מניות</t>
  </si>
  <si>
    <t>הפניקס השתלמות שקלי טווח קצר</t>
  </si>
  <si>
    <t>הפניקס גמל עד 15% מניות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</si>
  <si>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</si>
  <si>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</si>
  <si>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</si>
  <si>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</si>
  <si>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</si>
  <si>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</si>
  <si>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</si>
  <si>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</si>
  <si>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</si>
  <si>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פאסיבי לבמי 50 ומטה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</si>
  <si>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</si>
  <si>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</si>
  <si>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</si>
  <si>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</si>
  <si>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</si>
  <si>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</si>
  <si>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</si>
  <si>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</si>
  <si>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</si>
  <si>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</si>
  <si>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</si>
  <si>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</si>
  <si>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</si>
  <si>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</si>
  <si>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</si>
  <si>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</si>
  <si>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</si>
  <si>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 גמל פאסיבי לבני 50 עד 60</t>
  </si>
  <si>
    <t>הפניקס גמל פאסיבי לבני 60 ומעלה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</si>
  <si>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</si>
  <si>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</si>
  <si>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</si>
  <si>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</si>
  <si>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גמל מסלול עוקב מדדים גמיש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</si>
  <si>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</si>
  <si>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</si>
  <si>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</si>
  <si>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</si>
  <si>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</si>
  <si>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</si>
  <si>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</si>
  <si>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</si>
  <si>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גמל חו"ל</t>
  </si>
  <si>
    <t>הפניקס השתלמות פאסיבי מדדי מניות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</si>
  <si>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</si>
  <si>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</si>
  <si>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</si>
  <si>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</si>
  <si>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</si>
  <si>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</si>
  <si>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513026484-00000000000399-0686-000</t>
  </si>
  <si>
    <t>513026484-00000000000399-1190-000</t>
  </si>
  <si>
    <t>513026484-00000000000399-0715-000</t>
  </si>
  <si>
    <t>513026484-00000000000102-0211-000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</si>
  <si>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</si>
  <si>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</si>
  <si>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</si>
  <si>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</si>
  <si>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</si>
  <si>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</si>
  <si>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</si>
  <si>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</si>
  <si>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</si>
  <si>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</si>
  <si>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</si>
  <si>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</si>
  <si>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</si>
  <si>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</si>
  <si>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</si>
  <si>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</si>
  <si>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</si>
  <si>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</si>
  <si>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</si>
  <si>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</si>
  <si>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</si>
  <si>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</si>
  <si>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</si>
  <si>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</si>
  <si>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</si>
  <si>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</si>
  <si>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</si>
  <si>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513026484-00000000000102-9917-000</t>
  </si>
  <si>
    <t>513026484-00000000000102-8624-000</t>
  </si>
  <si>
    <t>513026484-00000000000102-8626-000</t>
  </si>
  <si>
    <t>תחילת מידע טבלה</t>
  </si>
  <si>
    <t>סיום מידע טבלה צד שמאל</t>
  </si>
  <si>
    <t>סיום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</si>
</sst>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64" formatCode="mm/yyyy"/>
    <numFmt numFmtId="165" formatCode="[$-10409]#,##0;\(#,##0\)"/>
    <numFmt numFmtId="166" formatCode="_ * #,##0.000_ ;_ * \-#,##0.000_ ;_ * &quot;-&quot;??_ ;_ @_ "/>
    <numFmt numFmtId="167" formatCode="0.00000"/>
    <numFmt numFmtId="168" formatCode="_ * #,##0.0000_ ;_ * \-#,##0.0000_ ;_ * &quot;-&quot;??_ ;_ @_ "/>
  </numFmts>
  <fonts count="1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0" fillId="2" borderId="0" xfId="0" applyFill="1" applyAlignment="1">
      <alignment horizontal="right"/>
    </xf>
    <xf numFmtId="164" fontId="2" fillId="0" borderId="0" xfId="0" applyNumberFormat="1" applyFont="1"/>
    <xf numFmtId="164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1" applyFont="1"/>
    <xf numFmtId="0" fontId="5" fillId="3" borderId="1" xfId="0" applyFont="1" applyFill="1" applyBorder="1"/>
    <xf numFmtId="1" fontId="5" fillId="0" borderId="2" xfId="1" applyNumberFormat="1" applyFont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/>
    <xf numFmtId="165" fontId="0" fillId="3" borderId="1" xfId="3" applyNumberFormat="1" applyFont="1" applyFill="1" applyBorder="1" applyAlignment="1">
      <alignment horizontal="right" readingOrder="2"/>
    </xf>
    <xf numFmtId="0" fontId="7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1" applyNumberFormat="1" applyFont="1"/>
    <xf numFmtId="0" fontId="8" fillId="0" borderId="0" xfId="0" applyFont="1"/>
    <xf numFmtId="10" fontId="9" fillId="0" borderId="0" xfId="2" applyNumberFormat="1" applyFont="1"/>
    <xf numFmtId="0" fontId="10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_מסלולים 1.4.19" xfId="3"/>
    <cellStyle name="Percent" xfId="2" builtinId="5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3</xdr:row>
      <xdr:rowOff>0</xdr:rowOff>
    </xdr:from>
    <xdr:to>
      <xdr:col>3</xdr:col>
      <xdr:colOff>257175</xdr:colOff>
      <xdr:row>6</xdr:row>
      <xdr:rowOff>31623</xdr:rowOff>
    </xdr:to>
    <xdr:sp macro="[1]!Module1.מאקרו1" textlink="">
      <xdr:nvSpPr>
        <xdr:cNvPr id="2" name="הסבר מלבני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11267379675" y="0"/>
          <a:ext cx="914400" cy="612648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1200" b="1">
              <a:solidFill>
                <a:srgbClr val="FF0000"/>
              </a:solidFill>
            </a:rPr>
            <a:t>אוצר לאתר</a:t>
          </a:r>
        </a:p>
      </xdr:txBody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431700</xdr:colOff>
      <xdr:row>2</xdr:row>
      <xdr:rowOff>76200</xdr:rowOff>
    </xdr:to>
    <xdr:pic>
      <xdr:nvPicPr>
        <xdr:cNvPr id="3" name="Picture 2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xmlns="" id="{40BF6793-76C6-4C38-964C-F22A3278D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4011660" y="0"/>
          <a:ext cx="43170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EMEL\QPRO\KOPEL\&#1502;&#1511;&#1512;&#1493;\&#1488;&#1493;&#1510;&#1512;%20&#1500;&#1488;&#1514;&#1512;%20&#1502;&#1511;&#1512;&#1493;%20&#1513;&#1512;&#1493;&#1503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גיליון114"/>
      <sheetName val="גיליון116"/>
      <sheetName val="גיליון118"/>
      <sheetName val="גיליון120"/>
      <sheetName val="גיליון122"/>
      <sheetName val="גיליון124"/>
      <sheetName val="אוצר לאתר דש"/>
      <sheetName val="אוצר לאתר כולם חוץ מדש"/>
      <sheetName val="אוצר לאתר מור"/>
      <sheetName val="אוצר לאתר חני חנמ חנא"/>
      <sheetName val="אוצר לאתר מור (2)"/>
      <sheetName val="אוצר לאתר מקרו שרון"/>
    </sheetNames>
    <definedNames>
      <definedName name="Module1.מאקרו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G362"/>
  <sheetViews>
    <sheetView rightToLeft="1" tabSelected="1" workbookViewId="0">
      <selection activeCell="A362" sqref="A362:BF362"/>
    </sheetView>
  </sheetViews>
  <sheetFormatPr defaultRowHeight="14.25"/>
  <sheetData>
    <row r="3" spans="1:59">
      <c r="A3" s="21" t="s">
        <v>708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 t="s">
        <v>709</v>
      </c>
    </row>
    <row r="4" spans="1:59" ht="15.75">
      <c r="A4" s="1"/>
      <c r="B4" s="2"/>
      <c r="C4" s="2"/>
      <c r="D4" s="2"/>
      <c r="E4">
        <v>6</v>
      </c>
      <c r="F4">
        <v>10</v>
      </c>
      <c r="G4">
        <v>30</v>
      </c>
      <c r="H4">
        <v>50</v>
      </c>
      <c r="I4">
        <v>93</v>
      </c>
      <c r="J4">
        <v>99</v>
      </c>
      <c r="K4">
        <v>100</v>
      </c>
      <c r="L4">
        <v>101</v>
      </c>
      <c r="M4">
        <v>102</v>
      </c>
      <c r="N4">
        <v>121</v>
      </c>
      <c r="O4">
        <v>122</v>
      </c>
      <c r="P4">
        <v>142</v>
      </c>
      <c r="Q4">
        <v>164</v>
      </c>
      <c r="R4">
        <v>167</v>
      </c>
      <c r="S4">
        <v>169</v>
      </c>
      <c r="T4">
        <v>425</v>
      </c>
      <c r="U4">
        <v>426</v>
      </c>
      <c r="V4">
        <v>499</v>
      </c>
      <c r="W4">
        <v>519</v>
      </c>
      <c r="X4">
        <v>525</v>
      </c>
      <c r="Y4">
        <v>526</v>
      </c>
      <c r="Z4">
        <v>570</v>
      </c>
      <c r="AA4">
        <v>571</v>
      </c>
      <c r="AB4">
        <v>572</v>
      </c>
      <c r="AC4">
        <v>573</v>
      </c>
      <c r="AD4">
        <v>574</v>
      </c>
      <c r="AE4">
        <v>628</v>
      </c>
      <c r="AF4">
        <v>629</v>
      </c>
      <c r="AG4">
        <v>631</v>
      </c>
      <c r="AH4">
        <v>632</v>
      </c>
      <c r="AI4">
        <v>658</v>
      </c>
      <c r="AJ4">
        <v>660</v>
      </c>
      <c r="AK4">
        <v>662</v>
      </c>
      <c r="AL4">
        <v>664</v>
      </c>
      <c r="AM4">
        <v>666</v>
      </c>
      <c r="AN4">
        <v>726</v>
      </c>
      <c r="AO4">
        <v>737</v>
      </c>
      <c r="AP4">
        <v>805</v>
      </c>
      <c r="AQ4">
        <v>807</v>
      </c>
      <c r="AR4">
        <v>827</v>
      </c>
      <c r="AS4">
        <v>575</v>
      </c>
      <c r="AT4">
        <v>576</v>
      </c>
      <c r="AU4">
        <v>359</v>
      </c>
      <c r="AV4">
        <v>360</v>
      </c>
      <c r="AW4" s="9">
        <v>828</v>
      </c>
      <c r="AX4" s="9">
        <v>844</v>
      </c>
      <c r="AY4" s="9">
        <v>839</v>
      </c>
      <c r="AZ4" s="9">
        <v>857</v>
      </c>
      <c r="BA4" s="9">
        <v>851</v>
      </c>
      <c r="BB4" s="9">
        <v>849</v>
      </c>
      <c r="BC4" s="9">
        <v>846</v>
      </c>
      <c r="BD4" s="9">
        <v>834</v>
      </c>
      <c r="BE4" s="9">
        <v>488</v>
      </c>
      <c r="BF4" s="9">
        <v>506</v>
      </c>
      <c r="BG4" s="21"/>
    </row>
    <row r="5" spans="1:59">
      <c r="E5" s="10">
        <v>401</v>
      </c>
      <c r="F5" s="10">
        <v>242</v>
      </c>
      <c r="G5" s="10">
        <v>385</v>
      </c>
      <c r="H5" s="10">
        <v>528</v>
      </c>
      <c r="I5" s="10">
        <v>384</v>
      </c>
      <c r="J5" s="10">
        <v>716</v>
      </c>
      <c r="K5" s="10">
        <v>686</v>
      </c>
      <c r="L5" s="10">
        <v>1190</v>
      </c>
      <c r="M5" s="10">
        <v>715</v>
      </c>
      <c r="N5" s="10">
        <v>211</v>
      </c>
      <c r="O5" s="10">
        <v>9916</v>
      </c>
      <c r="P5" s="10">
        <v>1100</v>
      </c>
      <c r="Q5" s="10">
        <v>801</v>
      </c>
      <c r="R5" s="10">
        <v>804</v>
      </c>
      <c r="S5" s="10">
        <v>806</v>
      </c>
      <c r="T5" s="10">
        <v>8765</v>
      </c>
      <c r="U5" s="10">
        <v>8766</v>
      </c>
      <c r="V5" s="10">
        <v>9418</v>
      </c>
      <c r="W5" s="10">
        <v>9475</v>
      </c>
      <c r="X5" s="10">
        <v>9905</v>
      </c>
      <c r="Y5" s="10">
        <v>9906</v>
      </c>
      <c r="Z5" s="10">
        <v>7905</v>
      </c>
      <c r="AA5" s="10">
        <v>7906</v>
      </c>
      <c r="AB5" s="10">
        <v>7907</v>
      </c>
      <c r="AC5" s="10">
        <v>7908</v>
      </c>
      <c r="AD5" s="10">
        <v>7909</v>
      </c>
      <c r="AE5" s="10">
        <v>11310</v>
      </c>
      <c r="AF5" s="10">
        <v>11311</v>
      </c>
      <c r="AG5" s="10">
        <v>11312</v>
      </c>
      <c r="AH5" s="10">
        <v>11335</v>
      </c>
      <c r="AI5" s="10">
        <v>9529</v>
      </c>
      <c r="AJ5" s="10">
        <v>961</v>
      </c>
      <c r="AK5" s="10">
        <v>9528</v>
      </c>
      <c r="AL5" s="10">
        <v>964</v>
      </c>
      <c r="AM5" s="10">
        <v>968</v>
      </c>
      <c r="AN5" s="10">
        <v>8629</v>
      </c>
      <c r="AO5" s="10">
        <v>13264</v>
      </c>
      <c r="AP5" s="10">
        <v>9917</v>
      </c>
      <c r="AQ5" s="10">
        <v>8624</v>
      </c>
      <c r="AR5" s="10">
        <v>13263</v>
      </c>
      <c r="AS5" s="10">
        <v>13209</v>
      </c>
      <c r="AT5" s="10">
        <v>13250</v>
      </c>
      <c r="AU5" s="10">
        <v>14281</v>
      </c>
      <c r="AV5" s="10">
        <v>14282</v>
      </c>
      <c r="AW5" s="11">
        <v>2049</v>
      </c>
      <c r="AX5" s="12">
        <v>7975</v>
      </c>
      <c r="AY5" s="12">
        <v>8004</v>
      </c>
      <c r="AZ5" s="11">
        <v>1008</v>
      </c>
      <c r="BA5" s="11">
        <v>9484</v>
      </c>
      <c r="BB5" s="11">
        <v>682</v>
      </c>
      <c r="BC5" s="11">
        <v>11352</v>
      </c>
      <c r="BD5" s="11">
        <v>2058</v>
      </c>
      <c r="BE5" s="11">
        <v>12088</v>
      </c>
      <c r="BF5" s="11">
        <v>15007</v>
      </c>
      <c r="BG5" s="21"/>
    </row>
    <row r="6" spans="1:59" ht="15.75">
      <c r="A6" s="3">
        <v>45444</v>
      </c>
      <c r="B6" s="2"/>
      <c r="C6" s="2"/>
      <c r="D6" s="2"/>
      <c r="E6" t="s">
        <v>614</v>
      </c>
      <c r="F6" t="s">
        <v>615</v>
      </c>
      <c r="G6" t="s">
        <v>616</v>
      </c>
      <c r="H6" t="s">
        <v>617</v>
      </c>
      <c r="I6" t="s">
        <v>618</v>
      </c>
      <c r="J6" t="s">
        <v>619</v>
      </c>
      <c r="K6" t="s">
        <v>620</v>
      </c>
      <c r="L6" t="s">
        <v>621</v>
      </c>
      <c r="M6" t="s">
        <v>622</v>
      </c>
      <c r="N6" t="s">
        <v>623</v>
      </c>
      <c r="O6" t="s">
        <v>624</v>
      </c>
      <c r="P6" t="s">
        <v>625</v>
      </c>
      <c r="Q6" t="s">
        <v>626</v>
      </c>
      <c r="R6" t="s">
        <v>627</v>
      </c>
      <c r="S6" t="s">
        <v>628</v>
      </c>
      <c r="T6" t="s">
        <v>629</v>
      </c>
      <c r="U6" t="s">
        <v>630</v>
      </c>
      <c r="V6" t="s">
        <v>631</v>
      </c>
      <c r="W6" t="s">
        <v>632</v>
      </c>
      <c r="X6" t="s">
        <v>633</v>
      </c>
      <c r="Y6" t="s">
        <v>634</v>
      </c>
      <c r="Z6" t="s">
        <v>635</v>
      </c>
      <c r="AA6" t="s">
        <v>636</v>
      </c>
      <c r="AB6" t="s">
        <v>637</v>
      </c>
      <c r="AC6" t="s">
        <v>638</v>
      </c>
      <c r="AD6" t="s">
        <v>639</v>
      </c>
      <c r="AE6" t="s">
        <v>640</v>
      </c>
      <c r="AF6" t="s">
        <v>641</v>
      </c>
      <c r="AG6" t="s">
        <v>642</v>
      </c>
      <c r="AH6" t="s">
        <v>643</v>
      </c>
      <c r="AI6" t="s">
        <v>644</v>
      </c>
      <c r="AJ6" t="s">
        <v>645</v>
      </c>
      <c r="AK6" t="s">
        <v>646</v>
      </c>
      <c r="AL6" t="s">
        <v>647</v>
      </c>
      <c r="AM6" t="s">
        <v>648</v>
      </c>
      <c r="AN6" t="s">
        <v>649</v>
      </c>
      <c r="AO6" t="s">
        <v>650</v>
      </c>
      <c r="AP6" t="s">
        <v>651</v>
      </c>
      <c r="AQ6" t="s">
        <v>652</v>
      </c>
      <c r="AR6" t="s">
        <v>653</v>
      </c>
      <c r="AS6" t="s">
        <v>654</v>
      </c>
      <c r="AT6" t="s">
        <v>655</v>
      </c>
      <c r="AU6" t="s">
        <v>656</v>
      </c>
      <c r="AV6" t="s">
        <v>657</v>
      </c>
      <c r="AW6" s="13" t="s">
        <v>658</v>
      </c>
      <c r="AX6" s="14" t="s">
        <v>659</v>
      </c>
      <c r="AY6" s="13" t="s">
        <v>660</v>
      </c>
      <c r="AZ6" s="13" t="s">
        <v>661</v>
      </c>
      <c r="BA6" s="13" t="s">
        <v>662</v>
      </c>
      <c r="BB6" s="13" t="s">
        <v>663</v>
      </c>
      <c r="BC6" s="13" t="s">
        <v>664</v>
      </c>
      <c r="BD6" s="13" t="s">
        <v>665</v>
      </c>
      <c r="BE6" s="13" t="s">
        <v>666</v>
      </c>
      <c r="BF6" s="13" t="s">
        <v>667</v>
      </c>
      <c r="BG6" s="21"/>
    </row>
    <row r="7" spans="1:59" ht="15.75">
      <c r="A7" s="4"/>
      <c r="B7" s="5"/>
      <c r="C7" s="5"/>
      <c r="D7" s="6" t="s">
        <v>0</v>
      </c>
      <c r="E7" s="15" t="s">
        <v>668</v>
      </c>
      <c r="F7" s="15" t="s">
        <v>669</v>
      </c>
      <c r="G7" s="15" t="s">
        <v>670</v>
      </c>
      <c r="H7" s="15" t="s">
        <v>671</v>
      </c>
      <c r="I7" s="15" t="s">
        <v>672</v>
      </c>
      <c r="J7" s="15" t="s">
        <v>673</v>
      </c>
      <c r="K7" s="15" t="s">
        <v>674</v>
      </c>
      <c r="L7" s="15" t="s">
        <v>675</v>
      </c>
      <c r="M7" s="15" t="s">
        <v>676</v>
      </c>
      <c r="N7" s="15" t="s">
        <v>677</v>
      </c>
      <c r="O7" s="15" t="s">
        <v>678</v>
      </c>
      <c r="P7" s="15" t="s">
        <v>679</v>
      </c>
      <c r="Q7" s="15" t="s">
        <v>680</v>
      </c>
      <c r="R7" s="15" t="s">
        <v>681</v>
      </c>
      <c r="S7" s="15" t="s">
        <v>682</v>
      </c>
      <c r="T7" s="15" t="s">
        <v>683</v>
      </c>
      <c r="U7" s="15" t="s">
        <v>684</v>
      </c>
      <c r="V7" s="15" t="s">
        <v>685</v>
      </c>
      <c r="W7" s="15" t="s">
        <v>686</v>
      </c>
      <c r="X7" s="15" t="s">
        <v>687</v>
      </c>
      <c r="Y7" s="15" t="s">
        <v>688</v>
      </c>
      <c r="Z7" s="15" t="s">
        <v>689</v>
      </c>
      <c r="AA7" s="15" t="s">
        <v>690</v>
      </c>
      <c r="AB7" s="15" t="s">
        <v>691</v>
      </c>
      <c r="AC7" s="15" t="s">
        <v>692</v>
      </c>
      <c r="AD7" s="15" t="s">
        <v>693</v>
      </c>
      <c r="AE7" s="15" t="s">
        <v>694</v>
      </c>
      <c r="AF7" s="15" t="s">
        <v>695</v>
      </c>
      <c r="AG7" s="15" t="s">
        <v>696</v>
      </c>
      <c r="AH7" s="15" t="s">
        <v>697</v>
      </c>
      <c r="AI7" s="15" t="s">
        <v>698</v>
      </c>
      <c r="AJ7" s="15" t="s">
        <v>699</v>
      </c>
      <c r="AK7" s="15" t="s">
        <v>700</v>
      </c>
      <c r="AL7" s="15" t="s">
        <v>701</v>
      </c>
      <c r="AM7" s="15" t="s">
        <v>702</v>
      </c>
      <c r="AN7" s="15" t="s">
        <v>703</v>
      </c>
      <c r="AO7" s="15" t="s">
        <v>704</v>
      </c>
      <c r="AP7" s="15" t="s">
        <v>705</v>
      </c>
      <c r="AQ7" s="15" t="s">
        <v>706</v>
      </c>
      <c r="AR7" s="15" t="s">
        <v>707</v>
      </c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21"/>
    </row>
    <row r="8" spans="1:59" ht="15.75">
      <c r="A8" s="5" t="s">
        <v>1</v>
      </c>
      <c r="B8" s="5" t="s">
        <v>2</v>
      </c>
      <c r="C8" s="7">
        <v>1</v>
      </c>
      <c r="D8" s="7">
        <v>1</v>
      </c>
      <c r="E8" s="7">
        <v>97270.194000000003</v>
      </c>
      <c r="F8" s="7">
        <v>20889.544999999998</v>
      </c>
      <c r="G8" s="7">
        <v>13637.311</v>
      </c>
      <c r="H8" s="7">
        <v>-155.459</v>
      </c>
      <c r="I8" s="7">
        <v>2250.652</v>
      </c>
      <c r="J8" s="7">
        <v>9139.7909999999993</v>
      </c>
      <c r="K8" s="7">
        <v>83965.532999999996</v>
      </c>
      <c r="L8" s="7">
        <v>12987.647999999999</v>
      </c>
      <c r="M8" s="7">
        <v>3060</v>
      </c>
      <c r="N8" s="7">
        <v>27709.224999999999</v>
      </c>
      <c r="O8" s="7">
        <v>203069.861</v>
      </c>
      <c r="P8" s="7">
        <v>31592.081999999999</v>
      </c>
      <c r="Q8" s="7">
        <v>3.6999999999999998E-2</v>
      </c>
      <c r="R8" s="7">
        <v>336.00599999999997</v>
      </c>
      <c r="S8" s="7">
        <v>50.712000000000003</v>
      </c>
      <c r="T8" s="7">
        <v>495.02600000000001</v>
      </c>
      <c r="U8" s="7">
        <v>340.01299999999998</v>
      </c>
      <c r="V8" s="7">
        <v>6352.3090000000002</v>
      </c>
      <c r="W8" s="7">
        <v>3.0489999999999999</v>
      </c>
      <c r="X8" s="7">
        <v>7485.518</v>
      </c>
      <c r="Y8" s="7">
        <v>2232.5630000000001</v>
      </c>
      <c r="Z8" s="7">
        <v>1012.149</v>
      </c>
      <c r="AA8" s="7">
        <v>3427.7040000000002</v>
      </c>
      <c r="AB8" s="7">
        <v>22227.313999999998</v>
      </c>
      <c r="AC8" s="7">
        <v>36401.074999999997</v>
      </c>
      <c r="AD8" s="7">
        <v>5324.2340000000004</v>
      </c>
      <c r="AE8" s="7">
        <v>10675.938</v>
      </c>
      <c r="AF8" s="7">
        <v>13240.272000000001</v>
      </c>
      <c r="AG8" s="7">
        <v>3549.643</v>
      </c>
      <c r="AH8" s="7">
        <v>1143.1179999999999</v>
      </c>
      <c r="AI8" s="7">
        <v>101691.795</v>
      </c>
      <c r="AJ8" s="7">
        <v>35920.913999999997</v>
      </c>
      <c r="AK8" s="7">
        <v>4448.1629999999996</v>
      </c>
      <c r="AL8" s="7">
        <v>298402.24</v>
      </c>
      <c r="AM8" s="7">
        <v>65624.009999999995</v>
      </c>
      <c r="AN8" s="7">
        <v>30796.682000000001</v>
      </c>
      <c r="AO8" s="7">
        <v>139736.51699999999</v>
      </c>
      <c r="AP8" s="7">
        <v>15788.87</v>
      </c>
      <c r="AQ8" s="7">
        <v>8032.2889999999998</v>
      </c>
      <c r="AR8" s="7">
        <v>84096.53</v>
      </c>
      <c r="AS8" s="7">
        <v>400.30700000000002</v>
      </c>
      <c r="AT8" s="7">
        <v>45721.372000000003</v>
      </c>
      <c r="AU8" s="7">
        <v>352.65199999999999</v>
      </c>
      <c r="AV8" s="7">
        <v>1819.7249999999999</v>
      </c>
      <c r="AW8" s="7">
        <v>1174.3340000000001</v>
      </c>
      <c r="AX8" s="7">
        <v>13531.120999999999</v>
      </c>
      <c r="AY8" s="7">
        <v>423.63299999999998</v>
      </c>
      <c r="AZ8" s="7">
        <v>111.886</v>
      </c>
      <c r="BA8" s="7">
        <v>0</v>
      </c>
      <c r="BB8" s="7">
        <v>5249.2929999999997</v>
      </c>
      <c r="BC8" s="7">
        <v>1996.3520000000001</v>
      </c>
      <c r="BD8" s="7">
        <v>2863.3380000000002</v>
      </c>
      <c r="BE8" s="7">
        <v>11980.255999999999</v>
      </c>
      <c r="BF8" s="7">
        <v>1599.9480000000001</v>
      </c>
      <c r="BG8" s="21"/>
    </row>
    <row r="9" spans="1:59" ht="15.75">
      <c r="A9" s="5" t="s">
        <v>3</v>
      </c>
      <c r="B9" s="5" t="s">
        <v>4</v>
      </c>
      <c r="C9" s="7">
        <v>1</v>
      </c>
      <c r="D9" s="7">
        <v>1</v>
      </c>
      <c r="E9" s="7">
        <v>37205.11</v>
      </c>
      <c r="F9" s="7">
        <v>14702.727000000001</v>
      </c>
      <c r="G9" s="7">
        <v>6516.5370000000003</v>
      </c>
      <c r="H9" s="7">
        <v>1216.162</v>
      </c>
      <c r="I9" s="7">
        <v>3431.665</v>
      </c>
      <c r="J9" s="7">
        <v>3756.797</v>
      </c>
      <c r="K9" s="7">
        <v>38656.502999999997</v>
      </c>
      <c r="L9" s="7">
        <v>10271.998</v>
      </c>
      <c r="M9" s="7">
        <v>0</v>
      </c>
      <c r="N9" s="7">
        <v>17100.737000000001</v>
      </c>
      <c r="O9" s="7">
        <v>102135.67</v>
      </c>
      <c r="P9" s="7">
        <v>14015.905000000001</v>
      </c>
      <c r="Q9" s="7">
        <v>0</v>
      </c>
      <c r="R9" s="7">
        <v>83.027000000000001</v>
      </c>
      <c r="S9" s="7">
        <v>554.81600000000003</v>
      </c>
      <c r="T9" s="7">
        <v>67.084000000000003</v>
      </c>
      <c r="U9" s="7">
        <v>200.25</v>
      </c>
      <c r="V9" s="7">
        <v>2913.24</v>
      </c>
      <c r="W9" s="7">
        <v>0</v>
      </c>
      <c r="X9" s="7">
        <v>851.13199999999995</v>
      </c>
      <c r="Y9" s="7">
        <v>0</v>
      </c>
      <c r="Z9" s="7">
        <v>580.49099999999999</v>
      </c>
      <c r="AA9" s="7">
        <v>2344.2550000000001</v>
      </c>
      <c r="AB9" s="7">
        <v>-1424.087</v>
      </c>
      <c r="AC9" s="7">
        <v>19503.3</v>
      </c>
      <c r="AD9" s="7">
        <v>1377.4449999999999</v>
      </c>
      <c r="AE9" s="7">
        <v>5555.6220000000003</v>
      </c>
      <c r="AF9" s="7">
        <v>1941.095</v>
      </c>
      <c r="AG9" s="7">
        <v>2215.462</v>
      </c>
      <c r="AH9" s="7">
        <v>490.62299999999999</v>
      </c>
      <c r="AI9" s="7">
        <v>49982.741999999998</v>
      </c>
      <c r="AJ9" s="7">
        <v>17602.938999999998</v>
      </c>
      <c r="AK9" s="7">
        <v>2409.3090000000002</v>
      </c>
      <c r="AL9" s="7">
        <v>138105.522</v>
      </c>
      <c r="AM9" s="7">
        <v>31535.234</v>
      </c>
      <c r="AN9" s="7">
        <v>24631.598000000002</v>
      </c>
      <c r="AO9" s="7">
        <v>561754.09499999997</v>
      </c>
      <c r="AP9" s="7">
        <v>1968.2560000000001</v>
      </c>
      <c r="AQ9" s="7">
        <v>920.28399999999999</v>
      </c>
      <c r="AR9" s="7">
        <v>336168.065</v>
      </c>
      <c r="AS9" s="7">
        <v>0</v>
      </c>
      <c r="AT9" s="7">
        <v>182524.01199999999</v>
      </c>
      <c r="AU9" s="7">
        <v>148.38499999999999</v>
      </c>
      <c r="AV9" s="7">
        <v>211.52</v>
      </c>
      <c r="AW9" s="7">
        <v>2885.4580000000001</v>
      </c>
      <c r="AX9" s="7">
        <v>5080.6009999999997</v>
      </c>
      <c r="AY9" s="7">
        <v>1320.5250000000001</v>
      </c>
      <c r="AZ9" s="7">
        <v>51.853999999999999</v>
      </c>
      <c r="BA9" s="7">
        <v>0</v>
      </c>
      <c r="BB9" s="7">
        <v>2759.5770000000002</v>
      </c>
      <c r="BC9" s="7">
        <v>4533.6139999999996</v>
      </c>
      <c r="BD9" s="7">
        <v>3914.7570000000001</v>
      </c>
      <c r="BE9" s="7">
        <v>7446.5069999999996</v>
      </c>
      <c r="BF9" s="7">
        <v>-106.545</v>
      </c>
      <c r="BG9" s="21"/>
    </row>
    <row r="10" spans="1:59" ht="15.75">
      <c r="A10" s="5" t="s">
        <v>5</v>
      </c>
      <c r="B10" s="5" t="s">
        <v>6</v>
      </c>
      <c r="C10" s="7">
        <v>1</v>
      </c>
      <c r="D10" s="7">
        <v>1</v>
      </c>
      <c r="E10" s="7">
        <v>47769.161999999997</v>
      </c>
      <c r="F10" s="7">
        <v>12833.213</v>
      </c>
      <c r="G10" s="7">
        <v>2552.3440000000001</v>
      </c>
      <c r="H10" s="7">
        <v>19826.760999999999</v>
      </c>
      <c r="I10" s="7">
        <v>883.899</v>
      </c>
      <c r="J10" s="7">
        <v>3227.7660000000001</v>
      </c>
      <c r="K10" s="7">
        <v>35163.332999999999</v>
      </c>
      <c r="L10" s="7">
        <v>7126.0860000000002</v>
      </c>
      <c r="M10" s="7">
        <v>4949.1419999999998</v>
      </c>
      <c r="N10" s="7">
        <v>13867.847</v>
      </c>
      <c r="O10" s="7">
        <v>105369.31200000001</v>
      </c>
      <c r="P10" s="7">
        <v>15655.196</v>
      </c>
      <c r="Q10" s="7">
        <v>341.76</v>
      </c>
      <c r="R10" s="7">
        <v>359.48899999999998</v>
      </c>
      <c r="S10" s="7">
        <v>119.498</v>
      </c>
      <c r="T10" s="7">
        <v>168.15199999999999</v>
      </c>
      <c r="U10" s="7">
        <v>249.71899999999999</v>
      </c>
      <c r="V10" s="7">
        <v>6252.8119999999999</v>
      </c>
      <c r="W10" s="7">
        <v>173.15299999999999</v>
      </c>
      <c r="X10" s="7">
        <v>7416.6170000000002</v>
      </c>
      <c r="Y10" s="7">
        <v>8080.1030000000001</v>
      </c>
      <c r="Z10" s="7">
        <v>4936.72</v>
      </c>
      <c r="AA10" s="7">
        <v>2755.59</v>
      </c>
      <c r="AB10" s="7">
        <v>2137.5439999999999</v>
      </c>
      <c r="AC10" s="7">
        <v>18336.383999999998</v>
      </c>
      <c r="AD10" s="7">
        <v>11210.748</v>
      </c>
      <c r="AE10" s="7">
        <v>45091.124000000003</v>
      </c>
      <c r="AF10" s="7">
        <v>19521.025000000001</v>
      </c>
      <c r="AG10" s="7">
        <v>2228.7649999999999</v>
      </c>
      <c r="AH10" s="7">
        <v>3196.337</v>
      </c>
      <c r="AI10" s="7">
        <v>51619.947</v>
      </c>
      <c r="AJ10" s="7">
        <v>21372.871999999999</v>
      </c>
      <c r="AK10" s="7">
        <v>14441.243</v>
      </c>
      <c r="AL10" s="7">
        <v>142702.01199999999</v>
      </c>
      <c r="AM10" s="7">
        <v>35665.277000000002</v>
      </c>
      <c r="AN10" s="7">
        <v>29762.667000000001</v>
      </c>
      <c r="AO10" s="7">
        <v>181511.546</v>
      </c>
      <c r="AP10" s="7">
        <v>15264.642</v>
      </c>
      <c r="AQ10" s="7">
        <v>5552.951</v>
      </c>
      <c r="AR10" s="7">
        <v>103163.29399999999</v>
      </c>
      <c r="AS10" s="7">
        <v>1378.076</v>
      </c>
      <c r="AT10" s="7">
        <v>59721.529000000002</v>
      </c>
      <c r="AU10" s="7">
        <v>1990.4949999999999</v>
      </c>
      <c r="AV10" s="7">
        <v>1633.126</v>
      </c>
      <c r="AW10" s="7">
        <v>0</v>
      </c>
      <c r="AX10" s="7">
        <v>6738.97</v>
      </c>
      <c r="AY10" s="7">
        <v>0</v>
      </c>
      <c r="AZ10" s="7">
        <v>28.478000000000002</v>
      </c>
      <c r="BA10" s="7">
        <v>0</v>
      </c>
      <c r="BB10" s="7">
        <v>294.80700000000002</v>
      </c>
      <c r="BC10" s="7">
        <v>0</v>
      </c>
      <c r="BD10" s="7">
        <v>0</v>
      </c>
      <c r="BE10" s="7">
        <v>42259.989000000001</v>
      </c>
      <c r="BF10" s="7">
        <v>35352.277999999998</v>
      </c>
      <c r="BG10" s="21"/>
    </row>
    <row r="11" spans="1:59" ht="15.75">
      <c r="A11" s="5" t="s">
        <v>7</v>
      </c>
      <c r="B11" s="5" t="s">
        <v>8</v>
      </c>
      <c r="C11" s="7">
        <v>1</v>
      </c>
      <c r="D11" s="7">
        <v>1</v>
      </c>
      <c r="E11" s="7">
        <v>331562.34499999997</v>
      </c>
      <c r="F11" s="7">
        <v>96870.926000000007</v>
      </c>
      <c r="G11" s="7">
        <v>0</v>
      </c>
      <c r="H11" s="7">
        <v>0</v>
      </c>
      <c r="I11" s="7">
        <v>3914.2379999999998</v>
      </c>
      <c r="J11" s="7">
        <v>2.1000000000000001E-2</v>
      </c>
      <c r="K11" s="7">
        <v>391284.45299999998</v>
      </c>
      <c r="L11" s="7">
        <v>35281.976000000002</v>
      </c>
      <c r="M11" s="7">
        <v>0</v>
      </c>
      <c r="N11" s="7">
        <v>35602.819000000003</v>
      </c>
      <c r="O11" s="7">
        <v>1139413.078</v>
      </c>
      <c r="P11" s="7">
        <v>58608.023000000001</v>
      </c>
      <c r="Q11" s="7">
        <v>0</v>
      </c>
      <c r="R11" s="7">
        <v>3244.3</v>
      </c>
      <c r="S11" s="7">
        <v>0</v>
      </c>
      <c r="T11" s="7">
        <v>3561.1860000000001</v>
      </c>
      <c r="U11" s="7">
        <v>686.95899999999995</v>
      </c>
      <c r="V11" s="7">
        <v>29914.831999999999</v>
      </c>
      <c r="W11" s="7">
        <v>0</v>
      </c>
      <c r="X11" s="7">
        <v>58661.434000000001</v>
      </c>
      <c r="Y11" s="7">
        <v>0</v>
      </c>
      <c r="Z11" s="7">
        <v>0</v>
      </c>
      <c r="AA11" s="7">
        <v>5998.6980000000003</v>
      </c>
      <c r="AB11" s="7">
        <v>156245.57199999999</v>
      </c>
      <c r="AC11" s="7">
        <v>191857.255</v>
      </c>
      <c r="AD11" s="7">
        <v>40558.464</v>
      </c>
      <c r="AE11" s="7">
        <v>0</v>
      </c>
      <c r="AF11" s="7">
        <v>116953.234</v>
      </c>
      <c r="AG11" s="7">
        <v>16402.080000000002</v>
      </c>
      <c r="AH11" s="7">
        <v>7928.1390000000001</v>
      </c>
      <c r="AI11" s="7">
        <v>484697.95699999999</v>
      </c>
      <c r="AJ11" s="7">
        <v>231450.91899999999</v>
      </c>
      <c r="AK11" s="7">
        <v>34447.631000000001</v>
      </c>
      <c r="AL11" s="7">
        <v>1458576.28</v>
      </c>
      <c r="AM11" s="7">
        <v>421949.25699999998</v>
      </c>
      <c r="AN11" s="7">
        <v>233862.65299999999</v>
      </c>
      <c r="AO11" s="7">
        <v>6039749.0669999998</v>
      </c>
      <c r="AP11" s="7">
        <v>118308.666</v>
      </c>
      <c r="AQ11" s="7">
        <v>54455.8</v>
      </c>
      <c r="AR11" s="7">
        <v>3634930.4610000001</v>
      </c>
      <c r="AS11" s="7">
        <v>0</v>
      </c>
      <c r="AT11" s="7">
        <v>1976227.459</v>
      </c>
      <c r="AU11" s="7">
        <v>1813.4780000000001</v>
      </c>
      <c r="AV11" s="7">
        <v>13272.222</v>
      </c>
      <c r="AW11" s="7">
        <v>0</v>
      </c>
      <c r="AX11" s="7">
        <v>69630.222999999998</v>
      </c>
      <c r="AY11" s="7">
        <v>0</v>
      </c>
      <c r="AZ11" s="7">
        <v>301.40300000000002</v>
      </c>
      <c r="BA11" s="7">
        <v>0</v>
      </c>
      <c r="BB11" s="7">
        <v>2184.1030000000001</v>
      </c>
      <c r="BC11" s="7">
        <v>0</v>
      </c>
      <c r="BD11" s="7">
        <v>0</v>
      </c>
      <c r="BE11" s="7">
        <v>63332.826000000001</v>
      </c>
      <c r="BF11" s="7">
        <v>11246.733</v>
      </c>
      <c r="BG11" s="21"/>
    </row>
    <row r="12" spans="1:59" ht="15.75">
      <c r="A12" s="5" t="s">
        <v>9</v>
      </c>
      <c r="B12" s="5" t="s">
        <v>10</v>
      </c>
      <c r="C12" s="7">
        <v>1</v>
      </c>
      <c r="D12" s="7">
        <v>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21"/>
    </row>
    <row r="13" spans="1:59" ht="15.75">
      <c r="A13" s="5" t="s">
        <v>11</v>
      </c>
      <c r="B13" s="5" t="s">
        <v>12</v>
      </c>
      <c r="C13" s="7">
        <v>1</v>
      </c>
      <c r="D13" s="7">
        <v>1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21"/>
    </row>
    <row r="14" spans="1:59" ht="15.75">
      <c r="A14" s="5" t="s">
        <v>13</v>
      </c>
      <c r="B14" s="5" t="s">
        <v>14</v>
      </c>
      <c r="C14" s="7">
        <v>1</v>
      </c>
      <c r="D14" s="7">
        <v>1</v>
      </c>
      <c r="E14" s="7">
        <v>58923.904000000002</v>
      </c>
      <c r="F14" s="7">
        <v>16152.688</v>
      </c>
      <c r="G14" s="7">
        <v>2005.6110000000001</v>
      </c>
      <c r="H14" s="7">
        <v>383.42599999999999</v>
      </c>
      <c r="I14" s="7">
        <v>932.56299999999999</v>
      </c>
      <c r="J14" s="7">
        <v>1805.7460000000001</v>
      </c>
      <c r="K14" s="7">
        <v>66396.875</v>
      </c>
      <c r="L14" s="7">
        <v>12102.367</v>
      </c>
      <c r="M14" s="7">
        <v>0</v>
      </c>
      <c r="N14" s="7">
        <v>24948.743999999999</v>
      </c>
      <c r="O14" s="7">
        <v>195284.61199999999</v>
      </c>
      <c r="P14" s="7">
        <v>17034.613000000001</v>
      </c>
      <c r="Q14" s="7">
        <v>0</v>
      </c>
      <c r="R14" s="7">
        <v>32.393000000000001</v>
      </c>
      <c r="S14" s="7">
        <v>17.564</v>
      </c>
      <c r="T14" s="7">
        <v>56.116999999999997</v>
      </c>
      <c r="U14" s="7">
        <v>1.026</v>
      </c>
      <c r="V14" s="7">
        <v>4978.3890000000001</v>
      </c>
      <c r="W14" s="7">
        <v>0</v>
      </c>
      <c r="X14" s="7">
        <v>1055.165</v>
      </c>
      <c r="Y14" s="7">
        <v>0</v>
      </c>
      <c r="Z14" s="7">
        <v>231.81200000000001</v>
      </c>
      <c r="AA14" s="7">
        <v>1370.6890000000001</v>
      </c>
      <c r="AB14" s="7">
        <v>5925.058</v>
      </c>
      <c r="AC14" s="7">
        <v>31711.061000000002</v>
      </c>
      <c r="AD14" s="7">
        <v>49.823999999999998</v>
      </c>
      <c r="AE14" s="7">
        <v>3214.7730000000001</v>
      </c>
      <c r="AF14" s="7">
        <v>2039.047</v>
      </c>
      <c r="AG14" s="7">
        <v>2772.68</v>
      </c>
      <c r="AH14" s="7">
        <v>6.2610000000000001</v>
      </c>
      <c r="AI14" s="7">
        <v>79090.076000000001</v>
      </c>
      <c r="AJ14" s="7">
        <v>33891.896999999997</v>
      </c>
      <c r="AK14" s="7">
        <v>63.091000000000001</v>
      </c>
      <c r="AL14" s="7">
        <v>240908.56700000001</v>
      </c>
      <c r="AM14" s="7">
        <v>62129.923000000003</v>
      </c>
      <c r="AN14" s="7">
        <v>283.31700000000001</v>
      </c>
      <c r="AO14" s="7">
        <v>0</v>
      </c>
      <c r="AP14" s="7">
        <v>2071.1170000000002</v>
      </c>
      <c r="AQ14" s="7">
        <v>950.62699999999995</v>
      </c>
      <c r="AR14" s="7">
        <v>-1.6E-2</v>
      </c>
      <c r="AS14" s="7">
        <v>0</v>
      </c>
      <c r="AT14" s="7">
        <v>0</v>
      </c>
      <c r="AU14" s="7">
        <v>295.48099999999999</v>
      </c>
      <c r="AV14" s="7">
        <v>215.73599999999999</v>
      </c>
      <c r="AW14" s="7">
        <v>0</v>
      </c>
      <c r="AX14" s="7">
        <v>10174.538</v>
      </c>
      <c r="AY14" s="7">
        <v>0</v>
      </c>
      <c r="AZ14" s="7">
        <v>47.215000000000003</v>
      </c>
      <c r="BA14" s="7">
        <v>0</v>
      </c>
      <c r="BB14" s="7">
        <v>372.911</v>
      </c>
      <c r="BC14" s="7">
        <v>0</v>
      </c>
      <c r="BD14" s="7">
        <v>0</v>
      </c>
      <c r="BE14" s="7">
        <v>11022.013999999999</v>
      </c>
      <c r="BF14" s="7">
        <v>426.49099999999999</v>
      </c>
      <c r="BG14" s="21"/>
    </row>
    <row r="15" spans="1:59" ht="15.75">
      <c r="A15" s="5" t="s">
        <v>3</v>
      </c>
      <c r="B15" s="5" t="s">
        <v>15</v>
      </c>
      <c r="C15" s="7">
        <v>1</v>
      </c>
      <c r="D15" s="7">
        <v>1</v>
      </c>
      <c r="E15" s="7">
        <v>19.221</v>
      </c>
      <c r="F15" s="7">
        <v>4.7480000000000002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5.3689999999999998</v>
      </c>
      <c r="M15" s="7">
        <v>0</v>
      </c>
      <c r="N15" s="7">
        <v>15.1</v>
      </c>
      <c r="O15" s="7">
        <v>153</v>
      </c>
      <c r="P15" s="7">
        <v>5.9870000000000001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10.481999999999999</v>
      </c>
      <c r="AJ15" s="7">
        <v>1.56</v>
      </c>
      <c r="AK15" s="7">
        <v>0</v>
      </c>
      <c r="AL15" s="7">
        <v>98.242999999999995</v>
      </c>
      <c r="AM15" s="7">
        <v>1.0580000000000001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21"/>
    </row>
    <row r="16" spans="1:59" ht="15.75">
      <c r="A16" s="5" t="s">
        <v>16</v>
      </c>
      <c r="B16" s="5" t="s">
        <v>17</v>
      </c>
      <c r="C16" s="7">
        <v>1</v>
      </c>
      <c r="D16" s="7">
        <v>1</v>
      </c>
      <c r="E16" s="7">
        <v>108.776</v>
      </c>
      <c r="F16" s="7">
        <v>31.78</v>
      </c>
      <c r="G16" s="7">
        <v>0</v>
      </c>
      <c r="H16" s="7">
        <v>0</v>
      </c>
      <c r="I16" s="7">
        <v>1.284</v>
      </c>
      <c r="J16" s="7">
        <v>0</v>
      </c>
      <c r="K16" s="7">
        <v>128.369</v>
      </c>
      <c r="L16" s="7">
        <v>11.574999999999999</v>
      </c>
      <c r="M16" s="7">
        <v>0</v>
      </c>
      <c r="N16" s="7">
        <v>11.68</v>
      </c>
      <c r="O16" s="7">
        <v>373.80700000000002</v>
      </c>
      <c r="P16" s="7">
        <v>19.228000000000002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9.8140000000000001</v>
      </c>
      <c r="W16" s="7">
        <v>0</v>
      </c>
      <c r="X16" s="7">
        <v>0</v>
      </c>
      <c r="Y16" s="7">
        <v>0</v>
      </c>
      <c r="Z16" s="7">
        <v>0</v>
      </c>
      <c r="AA16" s="7">
        <v>1.968</v>
      </c>
      <c r="AB16" s="7">
        <v>0</v>
      </c>
      <c r="AC16" s="7">
        <v>62.942999999999998</v>
      </c>
      <c r="AD16" s="7">
        <v>0</v>
      </c>
      <c r="AE16" s="7">
        <v>0</v>
      </c>
      <c r="AF16" s="7">
        <v>2.3E-2</v>
      </c>
      <c r="AG16" s="7">
        <v>5.3810000000000002</v>
      </c>
      <c r="AH16" s="7">
        <v>0</v>
      </c>
      <c r="AI16" s="7">
        <v>159.01499999999999</v>
      </c>
      <c r="AJ16" s="7">
        <v>75.932000000000002</v>
      </c>
      <c r="AK16" s="7">
        <v>0</v>
      </c>
      <c r="AL16" s="7">
        <v>478.51499999999999</v>
      </c>
      <c r="AM16" s="7">
        <v>138.429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0.59499999999999997</v>
      </c>
      <c r="AV16" s="7">
        <v>0</v>
      </c>
      <c r="AW16" s="7">
        <v>0</v>
      </c>
      <c r="AX16" s="7">
        <v>22.844000000000001</v>
      </c>
      <c r="AY16" s="7">
        <v>0</v>
      </c>
      <c r="AZ16" s="7">
        <v>9.9000000000000005E-2</v>
      </c>
      <c r="BA16" s="7">
        <v>0</v>
      </c>
      <c r="BB16" s="7">
        <v>0.71699999999999997</v>
      </c>
      <c r="BC16" s="7">
        <v>0</v>
      </c>
      <c r="BD16" s="7">
        <v>0</v>
      </c>
      <c r="BE16" s="7">
        <v>20.777999999999999</v>
      </c>
      <c r="BF16" s="7">
        <v>0</v>
      </c>
      <c r="BG16" s="21"/>
    </row>
    <row r="17" spans="1:59" ht="15.75">
      <c r="A17" s="5" t="s">
        <v>18</v>
      </c>
      <c r="B17" s="5" t="s">
        <v>19</v>
      </c>
      <c r="C17" s="7">
        <v>2</v>
      </c>
      <c r="D17" s="7">
        <v>2</v>
      </c>
      <c r="E17" s="7">
        <v>627434.17500000005</v>
      </c>
      <c r="F17" s="7">
        <v>62254.881000000001</v>
      </c>
      <c r="G17" s="7">
        <v>170701.68400000001</v>
      </c>
      <c r="H17" s="7">
        <v>0</v>
      </c>
      <c r="I17" s="7">
        <v>24701.446</v>
      </c>
      <c r="J17" s="7">
        <v>116867.245</v>
      </c>
      <c r="K17" s="7">
        <v>286485.78999999998</v>
      </c>
      <c r="L17" s="7">
        <v>69573.521999999997</v>
      </c>
      <c r="M17" s="7">
        <v>0</v>
      </c>
      <c r="N17" s="7">
        <v>267789.09000000003</v>
      </c>
      <c r="O17" s="7">
        <v>191169.96100000001</v>
      </c>
      <c r="P17" s="7">
        <v>264792.87800000003</v>
      </c>
      <c r="Q17" s="7">
        <v>0</v>
      </c>
      <c r="R17" s="7">
        <v>0</v>
      </c>
      <c r="S17" s="7">
        <v>16146.449000000001</v>
      </c>
      <c r="T17" s="7">
        <v>642.08699999999999</v>
      </c>
      <c r="U17" s="7">
        <v>1776.529</v>
      </c>
      <c r="V17" s="7">
        <v>20552.219000000001</v>
      </c>
      <c r="W17" s="7">
        <v>0</v>
      </c>
      <c r="X17" s="7">
        <v>2830.549</v>
      </c>
      <c r="Y17" s="7">
        <v>0</v>
      </c>
      <c r="Z17" s="7">
        <v>10842.172</v>
      </c>
      <c r="AA17" s="7">
        <v>22845.651000000002</v>
      </c>
      <c r="AB17" s="7">
        <v>0</v>
      </c>
      <c r="AC17" s="7">
        <v>103939.57</v>
      </c>
      <c r="AD17" s="7">
        <v>0</v>
      </c>
      <c r="AE17" s="7">
        <v>129349.13</v>
      </c>
      <c r="AF17" s="7">
        <v>0</v>
      </c>
      <c r="AG17" s="7">
        <v>7956.8689999999997</v>
      </c>
      <c r="AH17" s="7">
        <v>3890.4270000000001</v>
      </c>
      <c r="AI17" s="7">
        <v>246204.79</v>
      </c>
      <c r="AJ17" s="7">
        <v>0</v>
      </c>
      <c r="AK17" s="7">
        <v>12225.924999999999</v>
      </c>
      <c r="AL17" s="7">
        <v>650575.098</v>
      </c>
      <c r="AM17" s="7">
        <v>0</v>
      </c>
      <c r="AN17" s="7">
        <v>0</v>
      </c>
      <c r="AO17" s="7">
        <v>0</v>
      </c>
      <c r="AP17" s="7">
        <v>16731.682000000001</v>
      </c>
      <c r="AQ17" s="7">
        <v>19882.388999999999</v>
      </c>
      <c r="AR17" s="7">
        <v>0</v>
      </c>
      <c r="AS17" s="7">
        <v>0</v>
      </c>
      <c r="AT17" s="7">
        <v>0</v>
      </c>
      <c r="AU17" s="7">
        <v>1048.431</v>
      </c>
      <c r="AV17" s="7">
        <v>3094.7530000000002</v>
      </c>
      <c r="AW17" s="7">
        <v>0</v>
      </c>
      <c r="AX17" s="7">
        <v>0</v>
      </c>
      <c r="AY17" s="7">
        <v>0</v>
      </c>
      <c r="AZ17" s="7">
        <v>540.55700000000002</v>
      </c>
      <c r="BA17" s="7">
        <v>0</v>
      </c>
      <c r="BB17" s="7">
        <v>14179.983</v>
      </c>
      <c r="BC17" s="7">
        <v>0</v>
      </c>
      <c r="BD17" s="7">
        <v>0</v>
      </c>
      <c r="BE17" s="7">
        <v>0</v>
      </c>
      <c r="BF17" s="7">
        <v>0</v>
      </c>
      <c r="BG17" s="21"/>
    </row>
    <row r="18" spans="1:59" ht="15.75">
      <c r="A18" s="5" t="s">
        <v>20</v>
      </c>
      <c r="B18" s="5" t="s">
        <v>21</v>
      </c>
      <c r="C18" s="7">
        <v>2</v>
      </c>
      <c r="D18" s="7">
        <v>2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21"/>
    </row>
    <row r="19" spans="1:59" ht="15.75">
      <c r="A19" s="5" t="s">
        <v>22</v>
      </c>
      <c r="B19" s="5" t="s">
        <v>23</v>
      </c>
      <c r="C19" s="7">
        <v>2</v>
      </c>
      <c r="D19" s="7">
        <v>2</v>
      </c>
      <c r="E19" s="7">
        <v>618395.50100000005</v>
      </c>
      <c r="F19" s="7">
        <v>61358.052000000003</v>
      </c>
      <c r="G19" s="7">
        <v>168826.027</v>
      </c>
      <c r="H19" s="7">
        <v>0</v>
      </c>
      <c r="I19" s="7">
        <v>24345.602999999999</v>
      </c>
      <c r="J19" s="7">
        <v>115319.22100000001</v>
      </c>
      <c r="K19" s="7">
        <v>282707.61700000003</v>
      </c>
      <c r="L19" s="7">
        <v>75425.948000000004</v>
      </c>
      <c r="M19" s="7">
        <v>86395.695999999996</v>
      </c>
      <c r="N19" s="7">
        <v>263931.38199999998</v>
      </c>
      <c r="O19" s="7">
        <v>188416.01</v>
      </c>
      <c r="P19" s="7">
        <v>260978.33199999999</v>
      </c>
      <c r="Q19" s="7">
        <v>12189.92</v>
      </c>
      <c r="R19" s="7">
        <v>0</v>
      </c>
      <c r="S19" s="7">
        <v>0</v>
      </c>
      <c r="T19" s="7">
        <v>1007.9880000000001</v>
      </c>
      <c r="U19" s="7">
        <v>2788.9059999999999</v>
      </c>
      <c r="V19" s="7">
        <v>20256.149000000001</v>
      </c>
      <c r="W19" s="7">
        <v>0</v>
      </c>
      <c r="X19" s="7">
        <v>4443.5739999999996</v>
      </c>
      <c r="Y19" s="7">
        <v>63011.222000000002</v>
      </c>
      <c r="Z19" s="7">
        <v>10685.982</v>
      </c>
      <c r="AA19" s="7">
        <v>26965.738000000001</v>
      </c>
      <c r="AB19" s="7">
        <v>0</v>
      </c>
      <c r="AC19" s="7">
        <v>102442.24000000001</v>
      </c>
      <c r="AD19" s="7">
        <v>0</v>
      </c>
      <c r="AE19" s="7">
        <v>127485.75599999999</v>
      </c>
      <c r="AF19" s="7">
        <v>0</v>
      </c>
      <c r="AG19" s="7">
        <v>7842.2439999999997</v>
      </c>
      <c r="AH19" s="7">
        <v>3834.3820000000001</v>
      </c>
      <c r="AI19" s="7">
        <v>242658.02</v>
      </c>
      <c r="AJ19" s="7">
        <v>0</v>
      </c>
      <c r="AK19" s="7">
        <v>12049.802</v>
      </c>
      <c r="AL19" s="7">
        <v>641119.98300000001</v>
      </c>
      <c r="AM19" s="7">
        <v>0</v>
      </c>
      <c r="AN19" s="7">
        <v>0</v>
      </c>
      <c r="AO19" s="7">
        <v>0</v>
      </c>
      <c r="AP19" s="7">
        <v>26266.446</v>
      </c>
      <c r="AQ19" s="7">
        <v>31212.624</v>
      </c>
      <c r="AR19" s="7">
        <v>0</v>
      </c>
      <c r="AS19" s="7">
        <v>11313.084000000001</v>
      </c>
      <c r="AT19" s="7">
        <v>0</v>
      </c>
      <c r="AU19" s="7">
        <v>1033.328</v>
      </c>
      <c r="AV19" s="7">
        <v>4858.3370000000004</v>
      </c>
      <c r="AW19" s="7">
        <v>0</v>
      </c>
      <c r="AX19" s="7">
        <v>0</v>
      </c>
      <c r="AY19" s="7">
        <v>0</v>
      </c>
      <c r="AZ19" s="7">
        <v>532.77</v>
      </c>
      <c r="BA19" s="7">
        <v>0</v>
      </c>
      <c r="BB19" s="7">
        <v>13927.956</v>
      </c>
      <c r="BC19" s="7">
        <v>0</v>
      </c>
      <c r="BD19" s="7">
        <v>0</v>
      </c>
      <c r="BE19" s="7">
        <v>0</v>
      </c>
      <c r="BF19" s="7">
        <v>0</v>
      </c>
      <c r="BG19" s="21"/>
    </row>
    <row r="20" spans="1:59" ht="15.75">
      <c r="A20" s="5" t="s">
        <v>24</v>
      </c>
      <c r="B20" s="5" t="s">
        <v>25</v>
      </c>
      <c r="C20" s="7">
        <v>2</v>
      </c>
      <c r="D20" s="7">
        <v>2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114.473</v>
      </c>
      <c r="L20" s="7">
        <v>0</v>
      </c>
      <c r="M20" s="7">
        <v>28348.194</v>
      </c>
      <c r="N20" s="7">
        <v>0</v>
      </c>
      <c r="O20" s="7">
        <v>0</v>
      </c>
      <c r="P20" s="7">
        <v>0</v>
      </c>
      <c r="Q20" s="7">
        <v>278.62700000000001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20675.27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3712.0540000000001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6.9960000000000004</v>
      </c>
      <c r="BC20" s="7">
        <v>0</v>
      </c>
      <c r="BD20" s="7">
        <v>0</v>
      </c>
      <c r="BE20" s="7">
        <v>0</v>
      </c>
      <c r="BF20" s="7">
        <v>0</v>
      </c>
      <c r="BG20" s="21"/>
    </row>
    <row r="21" spans="1:59" ht="15.75">
      <c r="A21" s="5" t="s">
        <v>26</v>
      </c>
      <c r="B21" s="5" t="s">
        <v>27</v>
      </c>
      <c r="C21" s="7">
        <v>2</v>
      </c>
      <c r="D21" s="7">
        <v>2</v>
      </c>
      <c r="E21" s="7">
        <v>22141.223000000002</v>
      </c>
      <c r="F21" s="7">
        <v>6492.0749999999998</v>
      </c>
      <c r="G21" s="7">
        <v>0</v>
      </c>
      <c r="H21" s="7">
        <v>0</v>
      </c>
      <c r="I21" s="7">
        <v>283.82499999999999</v>
      </c>
      <c r="J21" s="7">
        <v>0</v>
      </c>
      <c r="K21" s="7">
        <v>27691.17</v>
      </c>
      <c r="L21" s="7">
        <v>2268.4859999999999</v>
      </c>
      <c r="M21" s="7">
        <v>105230.622</v>
      </c>
      <c r="N21" s="7">
        <v>2825.3330000000001</v>
      </c>
      <c r="O21" s="7">
        <v>76979.019</v>
      </c>
      <c r="P21" s="7">
        <v>3941.3229999999999</v>
      </c>
      <c r="Q21" s="7">
        <v>0</v>
      </c>
      <c r="R21" s="7">
        <v>0</v>
      </c>
      <c r="S21" s="7">
        <v>0.48599999999999999</v>
      </c>
      <c r="T21" s="7">
        <v>0</v>
      </c>
      <c r="U21" s="7">
        <v>0</v>
      </c>
      <c r="V21" s="7">
        <v>1880.2850000000001</v>
      </c>
      <c r="W21" s="7">
        <v>2511.9549999999999</v>
      </c>
      <c r="X21" s="7">
        <v>0</v>
      </c>
      <c r="Y21" s="7">
        <v>76748.153000000006</v>
      </c>
      <c r="Z21" s="7">
        <v>0</v>
      </c>
      <c r="AA21" s="7">
        <v>418.565</v>
      </c>
      <c r="AB21" s="7">
        <v>0</v>
      </c>
      <c r="AC21" s="7">
        <v>12601.849</v>
      </c>
      <c r="AD21" s="7">
        <v>0</v>
      </c>
      <c r="AE21" s="7">
        <v>0</v>
      </c>
      <c r="AF21" s="7">
        <v>3.2280000000000002</v>
      </c>
      <c r="AG21" s="7">
        <v>1089.184</v>
      </c>
      <c r="AH21" s="7">
        <v>0</v>
      </c>
      <c r="AI21" s="7">
        <v>31730.304</v>
      </c>
      <c r="AJ21" s="7">
        <v>15525.083000000001</v>
      </c>
      <c r="AK21" s="7">
        <v>0</v>
      </c>
      <c r="AL21" s="7">
        <v>98024.74</v>
      </c>
      <c r="AM21" s="7">
        <v>28332.846000000001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13779.423000000001</v>
      </c>
      <c r="AT21" s="7">
        <v>0</v>
      </c>
      <c r="AU21" s="7">
        <v>104.431</v>
      </c>
      <c r="AV21" s="7">
        <v>0</v>
      </c>
      <c r="AW21" s="7">
        <v>0</v>
      </c>
      <c r="AX21" s="7">
        <v>4659.3220000000001</v>
      </c>
      <c r="AY21" s="7">
        <v>0</v>
      </c>
      <c r="AZ21" s="7">
        <v>19.457999999999998</v>
      </c>
      <c r="BA21" s="7">
        <v>0</v>
      </c>
      <c r="BB21" s="7">
        <v>195.23099999999999</v>
      </c>
      <c r="BC21" s="7">
        <v>0</v>
      </c>
      <c r="BD21" s="7">
        <v>0</v>
      </c>
      <c r="BE21" s="7">
        <v>2872.1979999999999</v>
      </c>
      <c r="BF21" s="7">
        <v>0</v>
      </c>
      <c r="BG21" s="21"/>
    </row>
    <row r="22" spans="1:59" ht="15.75">
      <c r="A22" s="5" t="s">
        <v>28</v>
      </c>
      <c r="B22" s="5" t="s">
        <v>29</v>
      </c>
      <c r="C22" s="7">
        <v>6</v>
      </c>
      <c r="D22" s="7">
        <v>6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21"/>
    </row>
    <row r="23" spans="1:59" ht="15.75">
      <c r="A23" s="5" t="s">
        <v>30</v>
      </c>
      <c r="B23" s="5" t="s">
        <v>31</v>
      </c>
      <c r="C23" s="7">
        <v>5</v>
      </c>
      <c r="D23" s="7">
        <v>5</v>
      </c>
      <c r="E23" s="7">
        <v>0</v>
      </c>
      <c r="F23" s="7">
        <v>0</v>
      </c>
      <c r="G23" s="7">
        <v>0</v>
      </c>
      <c r="H23" s="7">
        <v>931784.52300000004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21"/>
    </row>
    <row r="24" spans="1:59" ht="15.75">
      <c r="A24" s="5" t="s">
        <v>32</v>
      </c>
      <c r="B24" s="5" t="s">
        <v>33</v>
      </c>
      <c r="C24" s="7">
        <v>2</v>
      </c>
      <c r="D24" s="7">
        <v>2</v>
      </c>
      <c r="E24" s="7">
        <v>3116.1480000000001</v>
      </c>
      <c r="F24" s="7">
        <v>0</v>
      </c>
      <c r="G24" s="7">
        <v>1774.2049999999999</v>
      </c>
      <c r="H24" s="7">
        <v>0</v>
      </c>
      <c r="I24" s="7">
        <v>0</v>
      </c>
      <c r="J24" s="7">
        <v>1361.299</v>
      </c>
      <c r="K24" s="7">
        <v>0</v>
      </c>
      <c r="L24" s="7">
        <v>1198.953</v>
      </c>
      <c r="M24" s="7">
        <v>0</v>
      </c>
      <c r="N24" s="7">
        <v>4245.1049999999996</v>
      </c>
      <c r="O24" s="7">
        <v>4329.0590000000002</v>
      </c>
      <c r="P24" s="7">
        <v>1296.7819999999999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806.45699999999999</v>
      </c>
      <c r="AJ24" s="7">
        <v>0</v>
      </c>
      <c r="AK24" s="7">
        <v>0</v>
      </c>
      <c r="AL24" s="7">
        <v>4070.9929999999999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21"/>
    </row>
    <row r="25" spans="1:59" ht="15.75">
      <c r="A25" s="5" t="s">
        <v>34</v>
      </c>
      <c r="B25" s="5" t="s">
        <v>35</v>
      </c>
      <c r="C25" s="7">
        <v>2</v>
      </c>
      <c r="D25" s="7">
        <v>2</v>
      </c>
      <c r="E25" s="7">
        <v>15262.9</v>
      </c>
      <c r="F25" s="7">
        <v>5055.0630000000001</v>
      </c>
      <c r="G25" s="7">
        <v>4696.9210000000003</v>
      </c>
      <c r="H25" s="7">
        <v>0</v>
      </c>
      <c r="I25" s="7">
        <v>947.78200000000004</v>
      </c>
      <c r="J25" s="7">
        <v>3676.681</v>
      </c>
      <c r="K25" s="7">
        <v>30013.003000000001</v>
      </c>
      <c r="L25" s="7">
        <v>4843.6350000000002</v>
      </c>
      <c r="M25" s="7">
        <v>0</v>
      </c>
      <c r="N25" s="7">
        <v>8530.9439999999995</v>
      </c>
      <c r="O25" s="7">
        <v>23583.332999999999</v>
      </c>
      <c r="P25" s="7">
        <v>12863.848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1564.43</v>
      </c>
      <c r="W25" s="7">
        <v>0</v>
      </c>
      <c r="X25" s="7">
        <v>0</v>
      </c>
      <c r="Y25" s="7">
        <v>0</v>
      </c>
      <c r="Z25" s="7">
        <v>499.68799999999999</v>
      </c>
      <c r="AA25" s="7">
        <v>1356.537</v>
      </c>
      <c r="AB25" s="7">
        <v>0</v>
      </c>
      <c r="AC25" s="7">
        <v>4963.3209999999999</v>
      </c>
      <c r="AD25" s="7">
        <v>0</v>
      </c>
      <c r="AE25" s="7">
        <v>4562.7610000000004</v>
      </c>
      <c r="AF25" s="7">
        <v>0.19800000000000001</v>
      </c>
      <c r="AG25" s="7">
        <v>702.07399999999996</v>
      </c>
      <c r="AH25" s="7">
        <v>0</v>
      </c>
      <c r="AI25" s="7">
        <v>12779.696</v>
      </c>
      <c r="AJ25" s="7">
        <v>644.72500000000002</v>
      </c>
      <c r="AK25" s="7">
        <v>0</v>
      </c>
      <c r="AL25" s="7">
        <v>45370.63</v>
      </c>
      <c r="AM25" s="7">
        <v>1175.373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59.228999999999999</v>
      </c>
      <c r="AV25" s="7">
        <v>0</v>
      </c>
      <c r="AW25" s="7">
        <v>0</v>
      </c>
      <c r="AX25" s="7">
        <v>193.96</v>
      </c>
      <c r="AY25" s="7">
        <v>0</v>
      </c>
      <c r="AZ25" s="7">
        <v>2.6179999999999999</v>
      </c>
      <c r="BA25" s="7">
        <v>0</v>
      </c>
      <c r="BB25" s="7">
        <v>1154.385</v>
      </c>
      <c r="BC25" s="7">
        <v>0</v>
      </c>
      <c r="BD25" s="7">
        <v>0</v>
      </c>
      <c r="BE25" s="7">
        <v>34506.817000000003</v>
      </c>
      <c r="BF25" s="7">
        <v>0</v>
      </c>
      <c r="BG25" s="21"/>
    </row>
    <row r="26" spans="1:59" ht="15.75">
      <c r="A26" s="5" t="s">
        <v>36</v>
      </c>
      <c r="B26" s="5" t="s">
        <v>37</v>
      </c>
      <c r="C26" s="7">
        <v>6</v>
      </c>
      <c r="D26" s="7">
        <v>6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21"/>
    </row>
    <row r="27" spans="1:59" ht="15.75">
      <c r="A27" s="5" t="s">
        <v>38</v>
      </c>
      <c r="B27" s="5" t="s">
        <v>39</v>
      </c>
      <c r="C27" s="7">
        <v>6</v>
      </c>
      <c r="D27" s="7">
        <v>6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21"/>
    </row>
    <row r="28" spans="1:59" ht="15.75">
      <c r="A28" s="5" t="s">
        <v>40</v>
      </c>
      <c r="B28" s="5" t="s">
        <v>41</v>
      </c>
      <c r="C28" s="7">
        <v>6</v>
      </c>
      <c r="D28" s="7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21"/>
    </row>
    <row r="29" spans="1:59" ht="15.75">
      <c r="A29" s="5" t="s">
        <v>42</v>
      </c>
      <c r="B29" s="5" t="s">
        <v>43</v>
      </c>
      <c r="C29" s="7">
        <v>6</v>
      </c>
      <c r="D29" s="7">
        <v>6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21"/>
    </row>
    <row r="30" spans="1:59" ht="15.75">
      <c r="A30" s="5" t="s">
        <v>44</v>
      </c>
      <c r="B30" s="5" t="s">
        <v>45</v>
      </c>
      <c r="C30" s="7">
        <v>6</v>
      </c>
      <c r="D30" s="7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21"/>
    </row>
    <row r="31" spans="1:59" ht="15.75">
      <c r="A31" s="5" t="s">
        <v>46</v>
      </c>
      <c r="B31" s="5" t="s">
        <v>47</v>
      </c>
      <c r="C31" s="7">
        <v>6</v>
      </c>
      <c r="D31" s="7">
        <v>6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21"/>
    </row>
    <row r="32" spans="1:59" ht="15.75">
      <c r="A32" s="5" t="s">
        <v>48</v>
      </c>
      <c r="B32" s="5" t="s">
        <v>49</v>
      </c>
      <c r="C32" s="7">
        <v>6</v>
      </c>
      <c r="D32" s="7">
        <v>6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21"/>
    </row>
    <row r="33" spans="1:59" ht="15.75">
      <c r="A33" s="5" t="s">
        <v>50</v>
      </c>
      <c r="B33" s="5" t="s">
        <v>51</v>
      </c>
      <c r="C33" s="7">
        <v>6</v>
      </c>
      <c r="D33" s="7">
        <v>6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21"/>
    </row>
    <row r="34" spans="1:59" ht="15.75">
      <c r="A34" s="5" t="s">
        <v>52</v>
      </c>
      <c r="B34" s="5" t="s">
        <v>53</v>
      </c>
      <c r="C34" s="7">
        <v>6</v>
      </c>
      <c r="D34" s="7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21"/>
    </row>
    <row r="35" spans="1:59" ht="15.75">
      <c r="A35" s="5" t="s">
        <v>54</v>
      </c>
      <c r="B35" s="5" t="s">
        <v>55</v>
      </c>
      <c r="C35" s="7">
        <v>6</v>
      </c>
      <c r="D35" s="7">
        <v>6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21"/>
    </row>
    <row r="36" spans="1:59" ht="15.75">
      <c r="A36" s="5" t="s">
        <v>56</v>
      </c>
      <c r="B36" s="5" t="s">
        <v>57</v>
      </c>
      <c r="C36" s="7">
        <v>6</v>
      </c>
      <c r="D36" s="7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19.943000000000001</v>
      </c>
      <c r="L36" s="7">
        <v>0</v>
      </c>
      <c r="M36" s="7">
        <v>4938.665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3601.93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646.69299999999998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21"/>
    </row>
    <row r="37" spans="1:59" ht="15.75">
      <c r="A37" s="5" t="s">
        <v>58</v>
      </c>
      <c r="B37" s="5" t="s">
        <v>59</v>
      </c>
      <c r="C37" s="7">
        <v>6</v>
      </c>
      <c r="D37" s="7">
        <v>6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21"/>
    </row>
    <row r="38" spans="1:59" ht="15.75">
      <c r="A38" s="5" t="s">
        <v>60</v>
      </c>
      <c r="B38" s="5" t="s">
        <v>61</v>
      </c>
      <c r="C38" s="7">
        <v>6</v>
      </c>
      <c r="D38" s="7">
        <v>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21"/>
    </row>
    <row r="39" spans="1:59" ht="15.75">
      <c r="A39" s="5" t="s">
        <v>62</v>
      </c>
      <c r="B39" s="5" t="s">
        <v>63</v>
      </c>
      <c r="C39" s="7">
        <v>6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21"/>
    </row>
    <row r="40" spans="1:59" ht="15.75">
      <c r="A40" s="5" t="s">
        <v>64</v>
      </c>
      <c r="B40" s="5" t="s">
        <v>65</v>
      </c>
      <c r="C40" s="7">
        <v>6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21"/>
    </row>
    <row r="41" spans="1:59" ht="15.75">
      <c r="A41" s="5" t="s">
        <v>66</v>
      </c>
      <c r="B41" s="5" t="s">
        <v>67</v>
      </c>
      <c r="C41" s="7">
        <v>6</v>
      </c>
      <c r="D41" s="7">
        <v>6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21"/>
    </row>
    <row r="42" spans="1:59" ht="15.75">
      <c r="A42" s="5" t="s">
        <v>68</v>
      </c>
      <c r="B42" s="5" t="s">
        <v>69</v>
      </c>
      <c r="C42" s="7">
        <v>6</v>
      </c>
      <c r="D42" s="7">
        <v>6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21"/>
    </row>
    <row r="43" spans="1:59" ht="15.75">
      <c r="A43" s="5" t="s">
        <v>70</v>
      </c>
      <c r="B43" s="5" t="s">
        <v>71</v>
      </c>
      <c r="C43" s="7">
        <v>6</v>
      </c>
      <c r="D43" s="7">
        <v>6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21"/>
    </row>
    <row r="44" spans="1:59" ht="15.75">
      <c r="A44" s="5" t="s">
        <v>72</v>
      </c>
      <c r="B44" s="5" t="s">
        <v>73</v>
      </c>
      <c r="C44" s="7">
        <v>6</v>
      </c>
      <c r="D44" s="7">
        <v>6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21"/>
    </row>
    <row r="45" spans="1:59" ht="15.75">
      <c r="A45" s="5" t="s">
        <v>74</v>
      </c>
      <c r="B45" s="5" t="s">
        <v>75</v>
      </c>
      <c r="C45" s="7">
        <v>6</v>
      </c>
      <c r="D45" s="7">
        <v>6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21"/>
    </row>
    <row r="46" spans="1:59" ht="15.75">
      <c r="A46" s="5" t="s">
        <v>76</v>
      </c>
      <c r="B46" s="5" t="s">
        <v>77</v>
      </c>
      <c r="C46" s="7">
        <v>6</v>
      </c>
      <c r="D46" s="7">
        <v>6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21"/>
    </row>
    <row r="47" spans="1:59" ht="15.75">
      <c r="A47" s="5" t="s">
        <v>78</v>
      </c>
      <c r="B47" s="5" t="s">
        <v>79</v>
      </c>
      <c r="C47" s="7">
        <v>6</v>
      </c>
      <c r="D47" s="7">
        <v>6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21"/>
    </row>
    <row r="48" spans="1:59" ht="15.75">
      <c r="A48" s="5" t="s">
        <v>80</v>
      </c>
      <c r="B48" s="5" t="s">
        <v>81</v>
      </c>
      <c r="C48" s="7">
        <v>6</v>
      </c>
      <c r="D48" s="7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21"/>
    </row>
    <row r="49" spans="1:59" ht="15.75">
      <c r="A49" s="5" t="s">
        <v>82</v>
      </c>
      <c r="B49" s="5" t="s">
        <v>83</v>
      </c>
      <c r="C49" s="7">
        <v>6</v>
      </c>
      <c r="D49" s="7">
        <v>6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21"/>
    </row>
    <row r="50" spans="1:59" ht="15.75">
      <c r="A50" s="5" t="s">
        <v>84</v>
      </c>
      <c r="B50" s="5" t="s">
        <v>85</v>
      </c>
      <c r="C50" s="7">
        <v>6</v>
      </c>
      <c r="D50" s="7">
        <v>6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21"/>
    </row>
    <row r="51" spans="1:59" ht="15.75">
      <c r="A51" s="5" t="s">
        <v>86</v>
      </c>
      <c r="B51" s="5" t="s">
        <v>87</v>
      </c>
      <c r="C51" s="7">
        <v>6</v>
      </c>
      <c r="D51" s="7">
        <v>6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21"/>
    </row>
    <row r="52" spans="1:59" ht="15.75">
      <c r="A52" s="5" t="s">
        <v>88</v>
      </c>
      <c r="B52" s="5" t="s">
        <v>89</v>
      </c>
      <c r="C52" s="7">
        <v>6</v>
      </c>
      <c r="D52" s="7">
        <v>6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21"/>
    </row>
    <row r="53" spans="1:59" ht="15.75">
      <c r="A53" s="5" t="s">
        <v>90</v>
      </c>
      <c r="B53" s="5" t="s">
        <v>91</v>
      </c>
      <c r="C53" s="7">
        <v>6</v>
      </c>
      <c r="D53" s="7">
        <v>6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21"/>
    </row>
    <row r="54" spans="1:59" ht="15.75">
      <c r="A54" s="5" t="s">
        <v>92</v>
      </c>
      <c r="B54" s="5" t="s">
        <v>93</v>
      </c>
      <c r="C54" s="7">
        <v>6</v>
      </c>
      <c r="D54" s="7">
        <v>6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21"/>
    </row>
    <row r="55" spans="1:59" ht="15.75">
      <c r="A55" s="5" t="s">
        <v>94</v>
      </c>
      <c r="B55" s="5" t="s">
        <v>95</v>
      </c>
      <c r="C55" s="7">
        <v>6</v>
      </c>
      <c r="D55" s="7">
        <v>6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21"/>
    </row>
    <row r="56" spans="1:59" ht="15.75">
      <c r="A56" s="5" t="s">
        <v>96</v>
      </c>
      <c r="B56" s="5" t="s">
        <v>97</v>
      </c>
      <c r="C56" s="7">
        <v>6</v>
      </c>
      <c r="D56" s="7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21"/>
    </row>
    <row r="57" spans="1:59" ht="15.75">
      <c r="A57" s="5" t="s">
        <v>98</v>
      </c>
      <c r="B57" s="5" t="s">
        <v>99</v>
      </c>
      <c r="C57" s="7">
        <v>6</v>
      </c>
      <c r="D57" s="7">
        <v>6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21"/>
    </row>
    <row r="58" spans="1:59" ht="15.75">
      <c r="A58" s="5" t="s">
        <v>100</v>
      </c>
      <c r="B58" s="5" t="s">
        <v>101</v>
      </c>
      <c r="C58" s="7">
        <v>6</v>
      </c>
      <c r="D58" s="7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21"/>
    </row>
    <row r="59" spans="1:59" ht="15.75">
      <c r="A59" s="5" t="s">
        <v>102</v>
      </c>
      <c r="B59" s="5" t="s">
        <v>103</v>
      </c>
      <c r="C59" s="7">
        <v>6</v>
      </c>
      <c r="D59" s="7">
        <v>6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21"/>
    </row>
    <row r="60" spans="1:59" ht="15.75">
      <c r="A60" s="5" t="s">
        <v>104</v>
      </c>
      <c r="B60" s="5" t="s">
        <v>105</v>
      </c>
      <c r="C60" s="7">
        <v>6</v>
      </c>
      <c r="D60" s="7">
        <v>6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21"/>
    </row>
    <row r="61" spans="1:59" ht="15.75">
      <c r="A61" s="5" t="s">
        <v>106</v>
      </c>
      <c r="B61" s="5" t="s">
        <v>107</v>
      </c>
      <c r="C61" s="7">
        <v>6</v>
      </c>
      <c r="D61" s="7">
        <v>6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21"/>
    </row>
    <row r="62" spans="1:59" ht="15.75">
      <c r="A62" s="5" t="s">
        <v>108</v>
      </c>
      <c r="B62" s="5" t="s">
        <v>109</v>
      </c>
      <c r="C62" s="7">
        <v>6</v>
      </c>
      <c r="D62" s="7">
        <v>6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21"/>
    </row>
    <row r="63" spans="1:59" ht="15.75">
      <c r="A63" s="5" t="s">
        <v>110</v>
      </c>
      <c r="B63" s="5" t="s">
        <v>111</v>
      </c>
      <c r="C63" s="7">
        <v>3</v>
      </c>
      <c r="D63" s="7">
        <v>3</v>
      </c>
      <c r="E63" s="7">
        <v>565111.83499999996</v>
      </c>
      <c r="F63" s="7">
        <v>90040.981</v>
      </c>
      <c r="G63" s="7">
        <v>247161.09</v>
      </c>
      <c r="H63" s="7">
        <v>4913.0389999999998</v>
      </c>
      <c r="I63" s="7">
        <v>19305.623</v>
      </c>
      <c r="J63" s="7">
        <v>165852.739</v>
      </c>
      <c r="K63" s="7">
        <v>143754.04</v>
      </c>
      <c r="L63" s="7">
        <v>179030.83600000001</v>
      </c>
      <c r="M63" s="7">
        <v>0</v>
      </c>
      <c r="N63" s="7">
        <v>392330.92300000001</v>
      </c>
      <c r="O63" s="7">
        <v>323229.571</v>
      </c>
      <c r="P63" s="7">
        <v>376233.99800000002</v>
      </c>
      <c r="Q63" s="7">
        <v>0</v>
      </c>
      <c r="R63" s="7">
        <v>0</v>
      </c>
      <c r="S63" s="7">
        <v>42.222999999999999</v>
      </c>
      <c r="T63" s="7">
        <v>1377.703</v>
      </c>
      <c r="U63" s="7">
        <v>5388.3649999999998</v>
      </c>
      <c r="V63" s="7">
        <v>39095.228000000003</v>
      </c>
      <c r="W63" s="7">
        <v>0</v>
      </c>
      <c r="X63" s="7">
        <v>11384.723</v>
      </c>
      <c r="Y63" s="7">
        <v>0</v>
      </c>
      <c r="Z63" s="7">
        <v>18211.348999999998</v>
      </c>
      <c r="AA63" s="7">
        <v>51318.906000000003</v>
      </c>
      <c r="AB63" s="7">
        <v>0</v>
      </c>
      <c r="AC63" s="7">
        <v>93757.608999999997</v>
      </c>
      <c r="AD63" s="7">
        <v>0</v>
      </c>
      <c r="AE63" s="7">
        <v>190332.83</v>
      </c>
      <c r="AF63" s="7">
        <v>0</v>
      </c>
      <c r="AG63" s="7">
        <v>16071.503000000001</v>
      </c>
      <c r="AH63" s="7">
        <v>252.83699999999999</v>
      </c>
      <c r="AI63" s="7">
        <v>161033.133</v>
      </c>
      <c r="AJ63" s="7">
        <v>0</v>
      </c>
      <c r="AK63" s="7">
        <v>443.85</v>
      </c>
      <c r="AL63" s="7">
        <v>850217.04099999997</v>
      </c>
      <c r="AM63" s="7">
        <v>0</v>
      </c>
      <c r="AN63" s="7">
        <v>0</v>
      </c>
      <c r="AO63" s="7">
        <v>0</v>
      </c>
      <c r="AP63" s="7">
        <v>33385.663</v>
      </c>
      <c r="AQ63" s="7">
        <v>28643.996999999999</v>
      </c>
      <c r="AR63" s="7">
        <v>0</v>
      </c>
      <c r="AS63" s="7">
        <v>0</v>
      </c>
      <c r="AT63" s="7">
        <v>0</v>
      </c>
      <c r="AU63" s="7">
        <v>1423.4880000000001</v>
      </c>
      <c r="AV63" s="7">
        <v>3522.6350000000002</v>
      </c>
      <c r="AW63" s="7">
        <v>0</v>
      </c>
      <c r="AX63" s="7">
        <v>0</v>
      </c>
      <c r="AY63" s="7">
        <v>0</v>
      </c>
      <c r="AZ63" s="7">
        <v>249.78299999999999</v>
      </c>
      <c r="BA63" s="7">
        <v>0</v>
      </c>
      <c r="BB63" s="7">
        <v>9681.1970000000001</v>
      </c>
      <c r="BC63" s="7">
        <v>0</v>
      </c>
      <c r="BD63" s="7">
        <v>0</v>
      </c>
      <c r="BE63" s="7">
        <v>0</v>
      </c>
      <c r="BF63" s="7">
        <v>0</v>
      </c>
      <c r="BG63" s="21"/>
    </row>
    <row r="64" spans="1:59" ht="15.75">
      <c r="A64" s="5" t="s">
        <v>112</v>
      </c>
      <c r="B64" s="5" t="s">
        <v>113</v>
      </c>
      <c r="C64" s="7">
        <v>3</v>
      </c>
      <c r="D64" s="7">
        <v>3</v>
      </c>
      <c r="E64" s="7">
        <v>4224.6859999999997</v>
      </c>
      <c r="F64" s="7">
        <v>862.91099999999994</v>
      </c>
      <c r="G64" s="7">
        <v>1680.07</v>
      </c>
      <c r="H64" s="7">
        <v>0</v>
      </c>
      <c r="I64" s="7">
        <v>161.208</v>
      </c>
      <c r="J64" s="7">
        <v>1085.9110000000001</v>
      </c>
      <c r="K64" s="7">
        <v>1275.652</v>
      </c>
      <c r="L64" s="7">
        <v>1404.2919999999999</v>
      </c>
      <c r="M64" s="7">
        <v>0</v>
      </c>
      <c r="N64" s="7">
        <v>3054.913</v>
      </c>
      <c r="O64" s="7">
        <v>3077.3690000000001</v>
      </c>
      <c r="P64" s="7">
        <v>2862.1959999999999</v>
      </c>
      <c r="Q64" s="7">
        <v>0</v>
      </c>
      <c r="R64" s="7">
        <v>0</v>
      </c>
      <c r="S64" s="7">
        <v>0.188</v>
      </c>
      <c r="T64" s="7">
        <v>136.78299999999999</v>
      </c>
      <c r="U64" s="7">
        <v>534.97299999999996</v>
      </c>
      <c r="V64" s="7">
        <v>365.34699999999998</v>
      </c>
      <c r="W64" s="7">
        <v>0</v>
      </c>
      <c r="X64" s="7">
        <v>1130.31</v>
      </c>
      <c r="Y64" s="7">
        <v>0</v>
      </c>
      <c r="Z64" s="7">
        <v>158.34899999999999</v>
      </c>
      <c r="AA64" s="7">
        <v>360.22199999999998</v>
      </c>
      <c r="AB64" s="7">
        <v>0</v>
      </c>
      <c r="AC64" s="7">
        <v>824.947</v>
      </c>
      <c r="AD64" s="7">
        <v>0</v>
      </c>
      <c r="AE64" s="7">
        <v>1211.3900000000001</v>
      </c>
      <c r="AF64" s="7">
        <v>0</v>
      </c>
      <c r="AG64" s="7">
        <v>151.45099999999999</v>
      </c>
      <c r="AH64" s="7">
        <v>0</v>
      </c>
      <c r="AI64" s="7">
        <v>984.17399999999998</v>
      </c>
      <c r="AJ64" s="7">
        <v>0</v>
      </c>
      <c r="AK64" s="7">
        <v>0</v>
      </c>
      <c r="AL64" s="7">
        <v>5984.723</v>
      </c>
      <c r="AM64" s="7">
        <v>0</v>
      </c>
      <c r="AN64" s="7">
        <v>0</v>
      </c>
      <c r="AO64" s="7">
        <v>0</v>
      </c>
      <c r="AP64" s="7">
        <v>3314.6309999999999</v>
      </c>
      <c r="AQ64" s="7">
        <v>2843.864</v>
      </c>
      <c r="AR64" s="7">
        <v>0</v>
      </c>
      <c r="AS64" s="7">
        <v>0</v>
      </c>
      <c r="AT64" s="7">
        <v>0</v>
      </c>
      <c r="AU64" s="7">
        <v>9.4979999999999993</v>
      </c>
      <c r="AV64" s="7">
        <v>349.738</v>
      </c>
      <c r="AW64" s="7">
        <v>0</v>
      </c>
      <c r="AX64" s="7">
        <v>0</v>
      </c>
      <c r="AY64" s="7">
        <v>0</v>
      </c>
      <c r="AZ64" s="7">
        <v>3.403</v>
      </c>
      <c r="BA64" s="7">
        <v>0</v>
      </c>
      <c r="BB64" s="7">
        <v>101.01900000000001</v>
      </c>
      <c r="BC64" s="7">
        <v>0</v>
      </c>
      <c r="BD64" s="7">
        <v>0</v>
      </c>
      <c r="BE64" s="7">
        <v>0</v>
      </c>
      <c r="BF64" s="7">
        <v>0</v>
      </c>
      <c r="BG64" s="21"/>
    </row>
    <row r="65" spans="1:59" ht="15.75">
      <c r="A65" s="5" t="s">
        <v>114</v>
      </c>
      <c r="B65" s="5" t="s">
        <v>115</v>
      </c>
      <c r="C65" s="7">
        <v>3</v>
      </c>
      <c r="D65" s="7">
        <v>3</v>
      </c>
      <c r="E65" s="7">
        <v>104278.317</v>
      </c>
      <c r="F65" s="7">
        <v>19441.330999999998</v>
      </c>
      <c r="G65" s="7">
        <v>43110.834999999999</v>
      </c>
      <c r="H65" s="7">
        <v>192.01499999999999</v>
      </c>
      <c r="I65" s="7">
        <v>3813.837</v>
      </c>
      <c r="J65" s="7">
        <v>28311.127</v>
      </c>
      <c r="K65" s="7">
        <v>29730.143</v>
      </c>
      <c r="L65" s="7">
        <v>34017.226999999999</v>
      </c>
      <c r="M65" s="7">
        <v>52167.034</v>
      </c>
      <c r="N65" s="7">
        <v>74211.173999999999</v>
      </c>
      <c r="O65" s="7">
        <v>69488.043999999994</v>
      </c>
      <c r="P65" s="7">
        <v>70162.941999999995</v>
      </c>
      <c r="Q65" s="7">
        <v>945.95899999999995</v>
      </c>
      <c r="R65" s="7">
        <v>0</v>
      </c>
      <c r="S65" s="7">
        <v>5.8959999999999999</v>
      </c>
      <c r="T65" s="7">
        <v>551.90099999999995</v>
      </c>
      <c r="U65" s="7">
        <v>2158.5529999999999</v>
      </c>
      <c r="V65" s="7">
        <v>8302.4470000000001</v>
      </c>
      <c r="W65" s="7">
        <v>0</v>
      </c>
      <c r="X65" s="7">
        <v>4560.665</v>
      </c>
      <c r="Y65" s="7">
        <v>38047.133999999998</v>
      </c>
      <c r="Z65" s="7">
        <v>3691.1559999999999</v>
      </c>
      <c r="AA65" s="7">
        <v>9120.7739999999994</v>
      </c>
      <c r="AB65" s="7">
        <v>0</v>
      </c>
      <c r="AC65" s="7">
        <v>19147.955999999998</v>
      </c>
      <c r="AD65" s="7">
        <v>0</v>
      </c>
      <c r="AE65" s="7">
        <v>31971.574000000001</v>
      </c>
      <c r="AF65" s="7">
        <v>0</v>
      </c>
      <c r="AG65" s="7">
        <v>3431.8150000000001</v>
      </c>
      <c r="AH65" s="7">
        <v>0</v>
      </c>
      <c r="AI65" s="7">
        <v>26443.232</v>
      </c>
      <c r="AJ65" s="7">
        <v>0</v>
      </c>
      <c r="AK65" s="7">
        <v>212.815</v>
      </c>
      <c r="AL65" s="7">
        <v>151357.239</v>
      </c>
      <c r="AM65" s="7">
        <v>0</v>
      </c>
      <c r="AN65" s="7">
        <v>0</v>
      </c>
      <c r="AO65" s="7">
        <v>0</v>
      </c>
      <c r="AP65" s="7">
        <v>13374.135</v>
      </c>
      <c r="AQ65" s="7">
        <v>11474.647000000001</v>
      </c>
      <c r="AR65" s="7">
        <v>0</v>
      </c>
      <c r="AS65" s="7">
        <v>6831.0119999999997</v>
      </c>
      <c r="AT65" s="7">
        <v>0</v>
      </c>
      <c r="AU65" s="7">
        <v>245.636</v>
      </c>
      <c r="AV65" s="7">
        <v>1411.1510000000001</v>
      </c>
      <c r="AW65" s="7">
        <v>0</v>
      </c>
      <c r="AX65" s="7">
        <v>0</v>
      </c>
      <c r="AY65" s="7">
        <v>0</v>
      </c>
      <c r="AZ65" s="7">
        <v>68.962999999999994</v>
      </c>
      <c r="BA65" s="7">
        <v>0</v>
      </c>
      <c r="BB65" s="7">
        <v>2368.3809999999999</v>
      </c>
      <c r="BC65" s="7">
        <v>0</v>
      </c>
      <c r="BD65" s="7">
        <v>0</v>
      </c>
      <c r="BE65" s="7">
        <v>0</v>
      </c>
      <c r="BF65" s="7">
        <v>0</v>
      </c>
      <c r="BG65" s="21"/>
    </row>
    <row r="66" spans="1:59" ht="15.75">
      <c r="A66" s="5" t="s">
        <v>116</v>
      </c>
      <c r="B66" s="5" t="s">
        <v>117</v>
      </c>
      <c r="C66" s="7">
        <v>3</v>
      </c>
      <c r="D66" s="7">
        <v>3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21"/>
    </row>
    <row r="67" spans="1:59" ht="15.75">
      <c r="A67" s="5" t="s">
        <v>118</v>
      </c>
      <c r="B67" s="5" t="s">
        <v>119</v>
      </c>
      <c r="C67" s="7">
        <v>3</v>
      </c>
      <c r="D67" s="7">
        <v>3</v>
      </c>
      <c r="E67" s="7">
        <v>115709.05</v>
      </c>
      <c r="F67" s="7">
        <v>24159.57</v>
      </c>
      <c r="G67" s="7">
        <v>45495.781999999999</v>
      </c>
      <c r="H67" s="7">
        <v>26049.937999999998</v>
      </c>
      <c r="I67" s="7">
        <v>4402.5739999999996</v>
      </c>
      <c r="J67" s="7">
        <v>29409.017</v>
      </c>
      <c r="K67" s="7">
        <v>35049.482000000004</v>
      </c>
      <c r="L67" s="7">
        <v>38690.712</v>
      </c>
      <c r="M67" s="7">
        <v>0</v>
      </c>
      <c r="N67" s="7">
        <v>82807.099000000002</v>
      </c>
      <c r="O67" s="7">
        <v>89297.846000000005</v>
      </c>
      <c r="P67" s="7">
        <v>77995.118000000002</v>
      </c>
      <c r="Q67" s="7">
        <v>0</v>
      </c>
      <c r="R67" s="7">
        <v>0</v>
      </c>
      <c r="S67" s="7">
        <v>4.6840000000000002</v>
      </c>
      <c r="T67" s="7">
        <v>462.15499999999997</v>
      </c>
      <c r="U67" s="7">
        <v>1807.5450000000001</v>
      </c>
      <c r="V67" s="7">
        <v>10086.932000000001</v>
      </c>
      <c r="W67" s="7">
        <v>0</v>
      </c>
      <c r="X67" s="7">
        <v>3819.0430000000001</v>
      </c>
      <c r="Y67" s="7">
        <v>0</v>
      </c>
      <c r="Z67" s="7">
        <v>4342.13</v>
      </c>
      <c r="AA67" s="7">
        <v>9645.482</v>
      </c>
      <c r="AB67" s="7">
        <v>0</v>
      </c>
      <c r="AC67" s="7">
        <v>22813.822</v>
      </c>
      <c r="AD67" s="7">
        <v>0</v>
      </c>
      <c r="AE67" s="7">
        <v>32128.050999999999</v>
      </c>
      <c r="AF67" s="7">
        <v>0</v>
      </c>
      <c r="AG67" s="7">
        <v>4184.6099999999997</v>
      </c>
      <c r="AH67" s="7">
        <v>0</v>
      </c>
      <c r="AI67" s="7">
        <v>26888.532999999999</v>
      </c>
      <c r="AJ67" s="7">
        <v>0</v>
      </c>
      <c r="AK67" s="7">
        <v>0</v>
      </c>
      <c r="AL67" s="7">
        <v>163837.701</v>
      </c>
      <c r="AM67" s="7">
        <v>0</v>
      </c>
      <c r="AN67" s="7">
        <v>0</v>
      </c>
      <c r="AO67" s="7">
        <v>0</v>
      </c>
      <c r="AP67" s="7">
        <v>11199.33</v>
      </c>
      <c r="AQ67" s="7">
        <v>9608.723</v>
      </c>
      <c r="AR67" s="7">
        <v>0</v>
      </c>
      <c r="AS67" s="7">
        <v>0</v>
      </c>
      <c r="AT67" s="7">
        <v>0</v>
      </c>
      <c r="AU67" s="7">
        <v>252.667</v>
      </c>
      <c r="AV67" s="7">
        <v>1181.6790000000001</v>
      </c>
      <c r="AW67" s="7">
        <v>0</v>
      </c>
      <c r="AX67" s="7">
        <v>0</v>
      </c>
      <c r="AY67" s="7">
        <v>0</v>
      </c>
      <c r="AZ67" s="7">
        <v>96.641999999999996</v>
      </c>
      <c r="BA67" s="7">
        <v>0</v>
      </c>
      <c r="BB67" s="7">
        <v>2927.9540000000002</v>
      </c>
      <c r="BC67" s="7">
        <v>0</v>
      </c>
      <c r="BD67" s="7">
        <v>0</v>
      </c>
      <c r="BE67" s="7">
        <v>0</v>
      </c>
      <c r="BF67" s="7">
        <v>0</v>
      </c>
      <c r="BG67" s="21"/>
    </row>
    <row r="68" spans="1:59" ht="15.75">
      <c r="A68" s="5" t="s">
        <v>120</v>
      </c>
      <c r="B68" s="5" t="s">
        <v>121</v>
      </c>
      <c r="C68" s="7">
        <v>3</v>
      </c>
      <c r="D68" s="7">
        <v>3</v>
      </c>
      <c r="E68" s="7">
        <v>19815.501</v>
      </c>
      <c r="F68" s="7">
        <v>4151.0450000000001</v>
      </c>
      <c r="G68" s="7">
        <v>7788.6540000000005</v>
      </c>
      <c r="H68" s="7">
        <v>539.96600000000001</v>
      </c>
      <c r="I68" s="7">
        <v>765.35299999999995</v>
      </c>
      <c r="J68" s="7">
        <v>5009.2790000000005</v>
      </c>
      <c r="K68" s="7">
        <v>6093.0770000000002</v>
      </c>
      <c r="L68" s="7">
        <v>6622.6819999999998</v>
      </c>
      <c r="M68" s="7">
        <v>0</v>
      </c>
      <c r="N68" s="7">
        <v>14395.362999999999</v>
      </c>
      <c r="O68" s="7">
        <v>14795.063</v>
      </c>
      <c r="P68" s="7">
        <v>13451.919</v>
      </c>
      <c r="Q68" s="7">
        <v>0</v>
      </c>
      <c r="R68" s="7">
        <v>0</v>
      </c>
      <c r="S68" s="7">
        <v>0.81399999999999995</v>
      </c>
      <c r="T68" s="7">
        <v>96.25</v>
      </c>
      <c r="U68" s="7">
        <v>376.44400000000002</v>
      </c>
      <c r="V68" s="7">
        <v>1753.5340000000001</v>
      </c>
      <c r="W68" s="7">
        <v>0</v>
      </c>
      <c r="X68" s="7">
        <v>795.36500000000001</v>
      </c>
      <c r="Y68" s="7">
        <v>0</v>
      </c>
      <c r="Z68" s="7">
        <v>754.84500000000003</v>
      </c>
      <c r="AA68" s="7">
        <v>1676.7909999999999</v>
      </c>
      <c r="AB68" s="7">
        <v>0</v>
      </c>
      <c r="AC68" s="7">
        <v>3937.0709999999999</v>
      </c>
      <c r="AD68" s="7">
        <v>0</v>
      </c>
      <c r="AE68" s="7">
        <v>5566.41</v>
      </c>
      <c r="AF68" s="7">
        <v>0</v>
      </c>
      <c r="AG68" s="7">
        <v>727.46199999999999</v>
      </c>
      <c r="AH68" s="7">
        <v>0</v>
      </c>
      <c r="AI68" s="7">
        <v>4496.2110000000002</v>
      </c>
      <c r="AJ68" s="7">
        <v>0</v>
      </c>
      <c r="AK68" s="7">
        <v>0</v>
      </c>
      <c r="AL68" s="7">
        <v>27867.993999999999</v>
      </c>
      <c r="AM68" s="7">
        <v>0</v>
      </c>
      <c r="AN68" s="7">
        <v>0</v>
      </c>
      <c r="AO68" s="7">
        <v>0</v>
      </c>
      <c r="AP68" s="7">
        <v>2332.4050000000002</v>
      </c>
      <c r="AQ68" s="7">
        <v>2001.14</v>
      </c>
      <c r="AR68" s="7">
        <v>0</v>
      </c>
      <c r="AS68" s="7">
        <v>0</v>
      </c>
      <c r="AT68" s="7">
        <v>0</v>
      </c>
      <c r="AU68" s="7">
        <v>43.923999999999999</v>
      </c>
      <c r="AV68" s="7">
        <v>246.1</v>
      </c>
      <c r="AW68" s="7">
        <v>0</v>
      </c>
      <c r="AX68" s="7">
        <v>0</v>
      </c>
      <c r="AY68" s="7">
        <v>0</v>
      </c>
      <c r="AZ68" s="7">
        <v>16.8</v>
      </c>
      <c r="BA68" s="7">
        <v>0</v>
      </c>
      <c r="BB68" s="7">
        <v>518.64099999999996</v>
      </c>
      <c r="BC68" s="7">
        <v>0</v>
      </c>
      <c r="BD68" s="7">
        <v>0</v>
      </c>
      <c r="BE68" s="7">
        <v>0</v>
      </c>
      <c r="BF68" s="7">
        <v>0</v>
      </c>
      <c r="BG68" s="21"/>
    </row>
    <row r="69" spans="1:59" ht="15.75">
      <c r="A69" s="5" t="s">
        <v>122</v>
      </c>
      <c r="B69" s="5" t="s">
        <v>123</v>
      </c>
      <c r="C69" s="7">
        <v>3</v>
      </c>
      <c r="D69" s="7">
        <v>3</v>
      </c>
      <c r="E69" s="7">
        <v>104752.52099999999</v>
      </c>
      <c r="F69" s="7">
        <v>21944.053</v>
      </c>
      <c r="G69" s="7">
        <v>41173.881000000001</v>
      </c>
      <c r="H69" s="7">
        <v>0</v>
      </c>
      <c r="I69" s="7">
        <v>4045.9560000000001</v>
      </c>
      <c r="J69" s="7">
        <v>26481.018</v>
      </c>
      <c r="K69" s="7">
        <v>32235.23</v>
      </c>
      <c r="L69" s="7">
        <v>35010.099000000002</v>
      </c>
      <c r="M69" s="7">
        <v>6149.6559999999999</v>
      </c>
      <c r="N69" s="7">
        <v>76099.542000000001</v>
      </c>
      <c r="O69" s="7">
        <v>78212.514999999999</v>
      </c>
      <c r="P69" s="7">
        <v>71112.127999999997</v>
      </c>
      <c r="Q69" s="7">
        <v>0</v>
      </c>
      <c r="R69" s="7">
        <v>0</v>
      </c>
      <c r="S69" s="7">
        <v>4.3040000000000003</v>
      </c>
      <c r="T69" s="7">
        <v>714.14099999999996</v>
      </c>
      <c r="U69" s="7">
        <v>2793.0940000000001</v>
      </c>
      <c r="V69" s="7">
        <v>9269.8690000000006</v>
      </c>
      <c r="W69" s="7">
        <v>0</v>
      </c>
      <c r="X69" s="7">
        <v>5901.3450000000003</v>
      </c>
      <c r="Y69" s="7">
        <v>4485.1469999999999</v>
      </c>
      <c r="Z69" s="7">
        <v>3990.4079999999999</v>
      </c>
      <c r="AA69" s="7">
        <v>8864.1769999999997</v>
      </c>
      <c r="AB69" s="7">
        <v>0</v>
      </c>
      <c r="AC69" s="7">
        <v>20812.902999999998</v>
      </c>
      <c r="AD69" s="7">
        <v>0</v>
      </c>
      <c r="AE69" s="7">
        <v>29426.23</v>
      </c>
      <c r="AF69" s="7">
        <v>0</v>
      </c>
      <c r="AG69" s="7">
        <v>3845.6480000000001</v>
      </c>
      <c r="AH69" s="7">
        <v>0</v>
      </c>
      <c r="AI69" s="7">
        <v>23768.738000000001</v>
      </c>
      <c r="AJ69" s="7">
        <v>0</v>
      </c>
      <c r="AK69" s="7">
        <v>0</v>
      </c>
      <c r="AL69" s="7">
        <v>147321.16399999999</v>
      </c>
      <c r="AM69" s="7">
        <v>0</v>
      </c>
      <c r="AN69" s="7">
        <v>0</v>
      </c>
      <c r="AO69" s="7">
        <v>0</v>
      </c>
      <c r="AP69" s="7">
        <v>17305.674999999999</v>
      </c>
      <c r="AQ69" s="7">
        <v>14847.802</v>
      </c>
      <c r="AR69" s="7">
        <v>0</v>
      </c>
      <c r="AS69" s="7">
        <v>805.26700000000005</v>
      </c>
      <c r="AT69" s="7">
        <v>0</v>
      </c>
      <c r="AU69" s="7">
        <v>232.20099999999999</v>
      </c>
      <c r="AV69" s="7">
        <v>1825.981</v>
      </c>
      <c r="AW69" s="7">
        <v>0</v>
      </c>
      <c r="AX69" s="7">
        <v>0</v>
      </c>
      <c r="AY69" s="7">
        <v>0</v>
      </c>
      <c r="AZ69" s="7">
        <v>88.813999999999993</v>
      </c>
      <c r="BA69" s="7">
        <v>0</v>
      </c>
      <c r="BB69" s="7">
        <v>2701.3229999999999</v>
      </c>
      <c r="BC69" s="7">
        <v>0</v>
      </c>
      <c r="BD69" s="7">
        <v>0</v>
      </c>
      <c r="BE69" s="7">
        <v>0</v>
      </c>
      <c r="BF69" s="7">
        <v>0</v>
      </c>
      <c r="BG69" s="21"/>
    </row>
    <row r="70" spans="1:59" ht="15.75">
      <c r="A70" s="5" t="s">
        <v>124</v>
      </c>
      <c r="B70" s="5" t="s">
        <v>125</v>
      </c>
      <c r="C70" s="7">
        <v>3</v>
      </c>
      <c r="D70" s="7">
        <v>3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21"/>
    </row>
    <row r="71" spans="1:59" ht="15.75">
      <c r="A71" s="5" t="s">
        <v>126</v>
      </c>
      <c r="B71" s="5" t="s">
        <v>127</v>
      </c>
      <c r="C71" s="7">
        <v>3</v>
      </c>
      <c r="D71" s="7">
        <v>3</v>
      </c>
      <c r="E71" s="7">
        <v>29983.562000000002</v>
      </c>
      <c r="F71" s="7">
        <v>6281.098</v>
      </c>
      <c r="G71" s="7">
        <v>11785.298000000001</v>
      </c>
      <c r="H71" s="7">
        <v>10482.364</v>
      </c>
      <c r="I71" s="7">
        <v>1158.0840000000001</v>
      </c>
      <c r="J71" s="7">
        <v>7579.7240000000002</v>
      </c>
      <c r="K71" s="7">
        <v>9219.6579999999994</v>
      </c>
      <c r="L71" s="7">
        <v>10021.022999999999</v>
      </c>
      <c r="M71" s="7">
        <v>0</v>
      </c>
      <c r="N71" s="7">
        <v>21782.151999999998</v>
      </c>
      <c r="O71" s="7">
        <v>22386.954000000002</v>
      </c>
      <c r="P71" s="7">
        <v>20354.593000000001</v>
      </c>
      <c r="Q71" s="7">
        <v>0</v>
      </c>
      <c r="R71" s="7">
        <v>0</v>
      </c>
      <c r="S71" s="7">
        <v>1.232</v>
      </c>
      <c r="T71" s="7">
        <v>0</v>
      </c>
      <c r="U71" s="7">
        <v>0</v>
      </c>
      <c r="V71" s="7">
        <v>2653.3359999999998</v>
      </c>
      <c r="W71" s="7">
        <v>0</v>
      </c>
      <c r="X71" s="7">
        <v>0</v>
      </c>
      <c r="Y71" s="7">
        <v>0</v>
      </c>
      <c r="Z71" s="7">
        <v>1142.184</v>
      </c>
      <c r="AA71" s="7">
        <v>2537.2139999999999</v>
      </c>
      <c r="AB71" s="7">
        <v>0</v>
      </c>
      <c r="AC71" s="7">
        <v>5957.3270000000002</v>
      </c>
      <c r="AD71" s="7">
        <v>0</v>
      </c>
      <c r="AE71" s="7">
        <v>8422.74</v>
      </c>
      <c r="AF71" s="7">
        <v>0</v>
      </c>
      <c r="AG71" s="7">
        <v>1100.749</v>
      </c>
      <c r="AH71" s="7">
        <v>0</v>
      </c>
      <c r="AI71" s="7">
        <v>6803.3819999999996</v>
      </c>
      <c r="AJ71" s="7">
        <v>0</v>
      </c>
      <c r="AK71" s="7">
        <v>0</v>
      </c>
      <c r="AL71" s="7">
        <v>42168.086000000003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66.462999999999994</v>
      </c>
      <c r="AV71" s="7">
        <v>0</v>
      </c>
      <c r="AW71" s="7">
        <v>0</v>
      </c>
      <c r="AX71" s="7">
        <v>0</v>
      </c>
      <c r="AY71" s="7">
        <v>0</v>
      </c>
      <c r="AZ71" s="7">
        <v>25.420999999999999</v>
      </c>
      <c r="BA71" s="7">
        <v>0</v>
      </c>
      <c r="BB71" s="7">
        <v>743.14499999999998</v>
      </c>
      <c r="BC71" s="7">
        <v>0</v>
      </c>
      <c r="BD71" s="7">
        <v>0</v>
      </c>
      <c r="BE71" s="7">
        <v>0</v>
      </c>
      <c r="BF71" s="7">
        <v>0</v>
      </c>
      <c r="BG71" s="21"/>
    </row>
    <row r="72" spans="1:59" ht="15.75">
      <c r="A72" s="5" t="s">
        <v>128</v>
      </c>
      <c r="B72" s="5" t="s">
        <v>129</v>
      </c>
      <c r="C72" s="7">
        <v>3</v>
      </c>
      <c r="D72" s="7">
        <v>3</v>
      </c>
      <c r="E72" s="7">
        <v>8731.8259999999991</v>
      </c>
      <c r="F72" s="7">
        <v>1829.184</v>
      </c>
      <c r="G72" s="7">
        <v>3432.1190000000001</v>
      </c>
      <c r="H72" s="7">
        <v>2448</v>
      </c>
      <c r="I72" s="7">
        <v>337.25799999999998</v>
      </c>
      <c r="J72" s="7">
        <v>2207.3710000000001</v>
      </c>
      <c r="K72" s="7">
        <v>2684.953</v>
      </c>
      <c r="L72" s="7">
        <v>2918.3270000000002</v>
      </c>
      <c r="M72" s="7">
        <v>0</v>
      </c>
      <c r="N72" s="7">
        <v>6343.4080000000004</v>
      </c>
      <c r="O72" s="7">
        <v>6519.5379999999996</v>
      </c>
      <c r="P72" s="7">
        <v>5927.6729999999998</v>
      </c>
      <c r="Q72" s="7">
        <v>0</v>
      </c>
      <c r="R72" s="7">
        <v>0</v>
      </c>
      <c r="S72" s="7">
        <v>0.35899999999999999</v>
      </c>
      <c r="T72" s="7">
        <v>0</v>
      </c>
      <c r="U72" s="7">
        <v>0</v>
      </c>
      <c r="V72" s="7">
        <v>772.70600000000002</v>
      </c>
      <c r="W72" s="7">
        <v>0</v>
      </c>
      <c r="X72" s="7">
        <v>0</v>
      </c>
      <c r="Y72" s="7">
        <v>0</v>
      </c>
      <c r="Z72" s="7">
        <v>332.62700000000001</v>
      </c>
      <c r="AA72" s="7">
        <v>738.88900000000001</v>
      </c>
      <c r="AB72" s="7">
        <v>0</v>
      </c>
      <c r="AC72" s="7">
        <v>1734.895</v>
      </c>
      <c r="AD72" s="7">
        <v>0</v>
      </c>
      <c r="AE72" s="7">
        <v>2452.8739999999998</v>
      </c>
      <c r="AF72" s="7">
        <v>0</v>
      </c>
      <c r="AG72" s="7">
        <v>320.56099999999998</v>
      </c>
      <c r="AH72" s="7">
        <v>0</v>
      </c>
      <c r="AI72" s="7">
        <v>1981.2840000000001</v>
      </c>
      <c r="AJ72" s="7">
        <v>0</v>
      </c>
      <c r="AK72" s="7">
        <v>0</v>
      </c>
      <c r="AL72" s="7">
        <v>12280.208000000001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19.355</v>
      </c>
      <c r="AV72" s="7">
        <v>0</v>
      </c>
      <c r="AW72" s="7">
        <v>0</v>
      </c>
      <c r="AX72" s="7">
        <v>0</v>
      </c>
      <c r="AY72" s="7">
        <v>0</v>
      </c>
      <c r="AZ72" s="7">
        <v>7.4029999999999996</v>
      </c>
      <c r="BA72" s="7">
        <v>0</v>
      </c>
      <c r="BB72" s="7">
        <v>216.41900000000001</v>
      </c>
      <c r="BC72" s="7">
        <v>0</v>
      </c>
      <c r="BD72" s="7">
        <v>0</v>
      </c>
      <c r="BE72" s="7">
        <v>0</v>
      </c>
      <c r="BF72" s="7">
        <v>0</v>
      </c>
      <c r="BG72" s="21"/>
    </row>
    <row r="73" spans="1:59" ht="15.75">
      <c r="A73" s="5" t="s">
        <v>130</v>
      </c>
      <c r="B73" s="5" t="s">
        <v>131</v>
      </c>
      <c r="C73" s="7">
        <v>3</v>
      </c>
      <c r="D73" s="7">
        <v>3</v>
      </c>
      <c r="E73" s="7">
        <v>31609.843000000001</v>
      </c>
      <c r="F73" s="7">
        <v>6621.7790000000005</v>
      </c>
      <c r="G73" s="7">
        <v>12424.521000000001</v>
      </c>
      <c r="H73" s="7">
        <v>4400.4080000000004</v>
      </c>
      <c r="I73" s="7">
        <v>1220.8969999999999</v>
      </c>
      <c r="J73" s="7">
        <v>7990.8419999999996</v>
      </c>
      <c r="K73" s="7">
        <v>9719.7240000000002</v>
      </c>
      <c r="L73" s="7">
        <v>10564.554</v>
      </c>
      <c r="M73" s="7">
        <v>0</v>
      </c>
      <c r="N73" s="7">
        <v>22963.596000000001</v>
      </c>
      <c r="O73" s="7">
        <v>23601.201000000001</v>
      </c>
      <c r="P73" s="7">
        <v>21458.607</v>
      </c>
      <c r="Q73" s="7">
        <v>0</v>
      </c>
      <c r="R73" s="7">
        <v>0</v>
      </c>
      <c r="S73" s="7">
        <v>1.2989999999999999</v>
      </c>
      <c r="T73" s="7">
        <v>0.22900000000000001</v>
      </c>
      <c r="U73" s="7">
        <v>0.89400000000000002</v>
      </c>
      <c r="V73" s="7">
        <v>2797.2510000000002</v>
      </c>
      <c r="W73" s="7">
        <v>0</v>
      </c>
      <c r="X73" s="7">
        <v>1.889</v>
      </c>
      <c r="Y73" s="7">
        <v>0</v>
      </c>
      <c r="Z73" s="7">
        <v>1204.135</v>
      </c>
      <c r="AA73" s="7">
        <v>2674.8310000000001</v>
      </c>
      <c r="AB73" s="7">
        <v>0</v>
      </c>
      <c r="AC73" s="7">
        <v>6280.4459999999999</v>
      </c>
      <c r="AD73" s="7">
        <v>0</v>
      </c>
      <c r="AE73" s="7">
        <v>8879.5810000000001</v>
      </c>
      <c r="AF73" s="7">
        <v>0</v>
      </c>
      <c r="AG73" s="7">
        <v>1160.452</v>
      </c>
      <c r="AH73" s="7">
        <v>0</v>
      </c>
      <c r="AI73" s="7">
        <v>7172.3909999999996</v>
      </c>
      <c r="AJ73" s="7">
        <v>6.6440000000000001</v>
      </c>
      <c r="AK73" s="7">
        <v>0</v>
      </c>
      <c r="AL73" s="7">
        <v>44455.243000000002</v>
      </c>
      <c r="AM73" s="7">
        <v>23.058</v>
      </c>
      <c r="AN73" s="7">
        <v>0</v>
      </c>
      <c r="AO73" s="7">
        <v>0</v>
      </c>
      <c r="AP73" s="7">
        <v>5.54</v>
      </c>
      <c r="AQ73" s="7">
        <v>4.7530000000000001</v>
      </c>
      <c r="AR73" s="7">
        <v>0</v>
      </c>
      <c r="AS73" s="7">
        <v>0</v>
      </c>
      <c r="AT73" s="7">
        <v>0</v>
      </c>
      <c r="AU73" s="7">
        <v>70.067999999999998</v>
      </c>
      <c r="AV73" s="7">
        <v>0.58499999999999996</v>
      </c>
      <c r="AW73" s="7">
        <v>0</v>
      </c>
      <c r="AX73" s="7">
        <v>0</v>
      </c>
      <c r="AY73" s="7">
        <v>0</v>
      </c>
      <c r="AZ73" s="7">
        <v>26.8</v>
      </c>
      <c r="BA73" s="7">
        <v>0</v>
      </c>
      <c r="BB73" s="7">
        <v>783.45299999999997</v>
      </c>
      <c r="BC73" s="7">
        <v>0</v>
      </c>
      <c r="BD73" s="7">
        <v>0</v>
      </c>
      <c r="BE73" s="7">
        <v>0</v>
      </c>
      <c r="BF73" s="7">
        <v>0</v>
      </c>
      <c r="BG73" s="21"/>
    </row>
    <row r="74" spans="1:59" ht="15.75">
      <c r="A74" s="5" t="s">
        <v>132</v>
      </c>
      <c r="B74" s="5" t="s">
        <v>133</v>
      </c>
      <c r="C74" s="7">
        <v>3</v>
      </c>
      <c r="D74" s="7">
        <v>3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21"/>
    </row>
    <row r="75" spans="1:59" ht="15.75">
      <c r="A75" s="5" t="s">
        <v>134</v>
      </c>
      <c r="B75" s="5" t="s">
        <v>135</v>
      </c>
      <c r="C75" s="7">
        <v>6</v>
      </c>
      <c r="D75" s="7">
        <v>6</v>
      </c>
      <c r="E75" s="7">
        <v>38848.18</v>
      </c>
      <c r="F75" s="7">
        <v>5913.0690000000004</v>
      </c>
      <c r="G75" s="7">
        <v>16815.758999999998</v>
      </c>
      <c r="H75" s="7">
        <v>1968.787</v>
      </c>
      <c r="I75" s="7">
        <v>1125.6310000000001</v>
      </c>
      <c r="J75" s="7">
        <v>11362.182000000001</v>
      </c>
      <c r="K75" s="7">
        <v>13840.039000000001</v>
      </c>
      <c r="L75" s="7">
        <v>9324.3340000000007</v>
      </c>
      <c r="M75" s="7">
        <v>0</v>
      </c>
      <c r="N75" s="7">
        <v>23368.071</v>
      </c>
      <c r="O75" s="7">
        <v>24407.764999999999</v>
      </c>
      <c r="P75" s="7">
        <v>23808.047999999999</v>
      </c>
      <c r="Q75" s="7">
        <v>0</v>
      </c>
      <c r="R75" s="7">
        <v>0</v>
      </c>
      <c r="S75" s="7">
        <v>43.917000000000002</v>
      </c>
      <c r="T75" s="7">
        <v>0</v>
      </c>
      <c r="U75" s="7">
        <v>135.73400000000001</v>
      </c>
      <c r="V75" s="7">
        <v>1690.008</v>
      </c>
      <c r="W75" s="7">
        <v>0</v>
      </c>
      <c r="X75" s="7">
        <v>0</v>
      </c>
      <c r="Y75" s="7">
        <v>0</v>
      </c>
      <c r="Z75" s="7">
        <v>935.423</v>
      </c>
      <c r="AA75" s="7">
        <v>2992.7359999999999</v>
      </c>
      <c r="AB75" s="7">
        <v>0</v>
      </c>
      <c r="AC75" s="7">
        <v>6833.4470000000001</v>
      </c>
      <c r="AD75" s="7">
        <v>0</v>
      </c>
      <c r="AE75" s="7">
        <v>11264.929</v>
      </c>
      <c r="AF75" s="7">
        <v>0</v>
      </c>
      <c r="AG75" s="7">
        <v>849.00900000000001</v>
      </c>
      <c r="AH75" s="7">
        <v>0</v>
      </c>
      <c r="AI75" s="7">
        <v>22443.357</v>
      </c>
      <c r="AJ75" s="7">
        <v>0</v>
      </c>
      <c r="AK75" s="7">
        <v>0</v>
      </c>
      <c r="AL75" s="7">
        <v>63681.792000000001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75.846999999999994</v>
      </c>
      <c r="AV75" s="7">
        <v>0</v>
      </c>
      <c r="AW75" s="7">
        <v>0</v>
      </c>
      <c r="AX75" s="7">
        <v>0</v>
      </c>
      <c r="AY75" s="7">
        <v>0</v>
      </c>
      <c r="AZ75" s="7">
        <v>6.7770000000000001</v>
      </c>
      <c r="BA75" s="7">
        <v>0</v>
      </c>
      <c r="BB75" s="7">
        <v>346.88400000000001</v>
      </c>
      <c r="BC75" s="7">
        <v>0</v>
      </c>
      <c r="BD75" s="7">
        <v>0</v>
      </c>
      <c r="BE75" s="7">
        <v>0</v>
      </c>
      <c r="BF75" s="7">
        <v>0</v>
      </c>
      <c r="BG75" s="21"/>
    </row>
    <row r="76" spans="1:59" ht="15.75">
      <c r="A76" s="5" t="s">
        <v>136</v>
      </c>
      <c r="B76" s="5" t="s">
        <v>137</v>
      </c>
      <c r="C76" s="7">
        <v>6</v>
      </c>
      <c r="D76" s="7">
        <v>6</v>
      </c>
      <c r="E76" s="7">
        <v>988.56299999999999</v>
      </c>
      <c r="F76" s="7">
        <v>134.52099999999999</v>
      </c>
      <c r="G76" s="7">
        <v>192.98500000000001</v>
      </c>
      <c r="H76" s="7">
        <v>0</v>
      </c>
      <c r="I76" s="7">
        <v>33.899000000000001</v>
      </c>
      <c r="J76" s="7">
        <v>113.379</v>
      </c>
      <c r="K76" s="7">
        <v>949.69200000000001</v>
      </c>
      <c r="L76" s="7">
        <v>88.935000000000002</v>
      </c>
      <c r="M76" s="7">
        <v>0</v>
      </c>
      <c r="N76" s="7">
        <v>442.85700000000003</v>
      </c>
      <c r="O76" s="7">
        <v>1060.443</v>
      </c>
      <c r="P76" s="7">
        <v>436.10599999999999</v>
      </c>
      <c r="Q76" s="7">
        <v>0</v>
      </c>
      <c r="R76" s="7">
        <v>0</v>
      </c>
      <c r="S76" s="7">
        <v>6.4</v>
      </c>
      <c r="T76" s="7">
        <v>0</v>
      </c>
      <c r="U76" s="7">
        <v>0.21</v>
      </c>
      <c r="V76" s="7">
        <v>0</v>
      </c>
      <c r="W76" s="7">
        <v>0</v>
      </c>
      <c r="X76" s="7">
        <v>0</v>
      </c>
      <c r="Y76" s="7">
        <v>0</v>
      </c>
      <c r="Z76" s="7">
        <v>16.056000000000001</v>
      </c>
      <c r="AA76" s="7">
        <v>50.392000000000003</v>
      </c>
      <c r="AB76" s="7">
        <v>0</v>
      </c>
      <c r="AC76" s="7">
        <v>400.84399999999999</v>
      </c>
      <c r="AD76" s="7">
        <v>0</v>
      </c>
      <c r="AE76" s="7">
        <v>139.90299999999999</v>
      </c>
      <c r="AF76" s="7">
        <v>0</v>
      </c>
      <c r="AG76" s="7">
        <v>24.632000000000001</v>
      </c>
      <c r="AH76" s="7">
        <v>0</v>
      </c>
      <c r="AI76" s="7">
        <v>1268.367</v>
      </c>
      <c r="AJ76" s="7">
        <v>0</v>
      </c>
      <c r="AK76" s="7">
        <v>0</v>
      </c>
      <c r="AL76" s="7">
        <v>2057.1089999999999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21"/>
    </row>
    <row r="77" spans="1:59" ht="15.75">
      <c r="A77" s="5" t="s">
        <v>138</v>
      </c>
      <c r="B77" s="5" t="s">
        <v>139</v>
      </c>
      <c r="C77" s="7">
        <v>6</v>
      </c>
      <c r="D77" s="7">
        <v>6</v>
      </c>
      <c r="E77" s="7">
        <v>7596.6719999999996</v>
      </c>
      <c r="F77" s="7">
        <v>1963.171</v>
      </c>
      <c r="G77" s="7">
        <v>1124.4939999999999</v>
      </c>
      <c r="H77" s="7">
        <v>0</v>
      </c>
      <c r="I77" s="7">
        <v>128.9</v>
      </c>
      <c r="J77" s="7">
        <v>1583.8989999999999</v>
      </c>
      <c r="K77" s="7">
        <v>1863.809</v>
      </c>
      <c r="L77" s="7">
        <v>1056.0119999999999</v>
      </c>
      <c r="M77" s="7">
        <v>0</v>
      </c>
      <c r="N77" s="7">
        <v>3086.3789999999999</v>
      </c>
      <c r="O77" s="7">
        <v>23077.46</v>
      </c>
      <c r="P77" s="7">
        <v>3393.6350000000002</v>
      </c>
      <c r="Q77" s="7">
        <v>0</v>
      </c>
      <c r="R77" s="7">
        <v>0</v>
      </c>
      <c r="S77" s="7">
        <v>7.9779999999999998</v>
      </c>
      <c r="T77" s="7">
        <v>0</v>
      </c>
      <c r="U77" s="7">
        <v>354.95699999999999</v>
      </c>
      <c r="V77" s="7">
        <v>199.63399999999999</v>
      </c>
      <c r="W77" s="7">
        <v>0</v>
      </c>
      <c r="X77" s="7">
        <v>0</v>
      </c>
      <c r="Y77" s="7">
        <v>0</v>
      </c>
      <c r="Z77" s="7">
        <v>105.71899999999999</v>
      </c>
      <c r="AA77" s="7">
        <v>252.98599999999999</v>
      </c>
      <c r="AB77" s="7">
        <v>0</v>
      </c>
      <c r="AC77" s="7">
        <v>942.11</v>
      </c>
      <c r="AD77" s="7">
        <v>0</v>
      </c>
      <c r="AE77" s="7">
        <v>806.09500000000003</v>
      </c>
      <c r="AF77" s="7">
        <v>0</v>
      </c>
      <c r="AG77" s="7">
        <v>113.16800000000001</v>
      </c>
      <c r="AH77" s="7">
        <v>0</v>
      </c>
      <c r="AI77" s="7">
        <v>4326.4110000000001</v>
      </c>
      <c r="AJ77" s="7">
        <v>0</v>
      </c>
      <c r="AK77" s="7">
        <v>0</v>
      </c>
      <c r="AL77" s="7">
        <v>18881.868999999999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5.0010000000000003</v>
      </c>
      <c r="AV77" s="7">
        <v>0</v>
      </c>
      <c r="AW77" s="7">
        <v>0</v>
      </c>
      <c r="AX77" s="7">
        <v>0</v>
      </c>
      <c r="AY77" s="7">
        <v>0</v>
      </c>
      <c r="AZ77" s="7">
        <v>1.913</v>
      </c>
      <c r="BA77" s="7">
        <v>0</v>
      </c>
      <c r="BB77" s="7">
        <v>55.914000000000001</v>
      </c>
      <c r="BC77" s="7">
        <v>0</v>
      </c>
      <c r="BD77" s="7">
        <v>0</v>
      </c>
      <c r="BE77" s="7">
        <v>0</v>
      </c>
      <c r="BF77" s="7">
        <v>0</v>
      </c>
      <c r="BG77" s="21"/>
    </row>
    <row r="78" spans="1:59" ht="15.75">
      <c r="A78" s="5" t="s">
        <v>140</v>
      </c>
      <c r="B78" s="5" t="s">
        <v>141</v>
      </c>
      <c r="C78" s="7">
        <v>6</v>
      </c>
      <c r="D78" s="7">
        <v>6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21"/>
    </row>
    <row r="79" spans="1:59" ht="15.75">
      <c r="A79" s="5" t="s">
        <v>142</v>
      </c>
      <c r="B79" s="5" t="s">
        <v>143</v>
      </c>
      <c r="C79" s="7">
        <v>6</v>
      </c>
      <c r="D79" s="7">
        <v>6</v>
      </c>
      <c r="E79" s="7">
        <v>2673.1750000000002</v>
      </c>
      <c r="F79" s="7">
        <v>363.75799999999998</v>
      </c>
      <c r="G79" s="7">
        <v>521.851</v>
      </c>
      <c r="H79" s="7">
        <v>0</v>
      </c>
      <c r="I79" s="7">
        <v>91.665999999999997</v>
      </c>
      <c r="J79" s="7">
        <v>306.589</v>
      </c>
      <c r="K79" s="7">
        <v>2568.0639999999999</v>
      </c>
      <c r="L79" s="7">
        <v>240.489</v>
      </c>
      <c r="M79" s="7">
        <v>0</v>
      </c>
      <c r="N79" s="7">
        <v>1197.5309999999999</v>
      </c>
      <c r="O79" s="7">
        <v>2867.5459999999998</v>
      </c>
      <c r="P79" s="7">
        <v>1179.2750000000001</v>
      </c>
      <c r="Q79" s="7">
        <v>0</v>
      </c>
      <c r="R79" s="7">
        <v>0</v>
      </c>
      <c r="S79" s="7">
        <v>17.306000000000001</v>
      </c>
      <c r="T79" s="7">
        <v>0</v>
      </c>
      <c r="U79" s="7">
        <v>0.56699999999999995</v>
      </c>
      <c r="V79" s="7">
        <v>0</v>
      </c>
      <c r="W79" s="7">
        <v>0</v>
      </c>
      <c r="X79" s="7">
        <v>0</v>
      </c>
      <c r="Y79" s="7">
        <v>0</v>
      </c>
      <c r="Z79" s="7">
        <v>43.415999999999997</v>
      </c>
      <c r="AA79" s="7">
        <v>136.26400000000001</v>
      </c>
      <c r="AB79" s="7">
        <v>0</v>
      </c>
      <c r="AC79" s="7">
        <v>1083.924</v>
      </c>
      <c r="AD79" s="7">
        <v>0</v>
      </c>
      <c r="AE79" s="7">
        <v>378.31200000000001</v>
      </c>
      <c r="AF79" s="7">
        <v>0</v>
      </c>
      <c r="AG79" s="7">
        <v>66.605999999999995</v>
      </c>
      <c r="AH79" s="7">
        <v>0</v>
      </c>
      <c r="AI79" s="7">
        <v>3429.7939999999999</v>
      </c>
      <c r="AJ79" s="7">
        <v>0</v>
      </c>
      <c r="AK79" s="7">
        <v>0</v>
      </c>
      <c r="AL79" s="7">
        <v>5562.634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21"/>
    </row>
    <row r="80" spans="1:59" ht="15.75">
      <c r="A80" s="5" t="s">
        <v>144</v>
      </c>
      <c r="B80" s="5" t="s">
        <v>145</v>
      </c>
      <c r="C80" s="7">
        <v>6</v>
      </c>
      <c r="D80" s="7">
        <v>6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21"/>
    </row>
    <row r="81" spans="1:59" ht="15.75">
      <c r="A81" s="5" t="s">
        <v>146</v>
      </c>
      <c r="B81" s="5" t="s">
        <v>147</v>
      </c>
      <c r="C81" s="7">
        <v>6</v>
      </c>
      <c r="D81" s="7">
        <v>6</v>
      </c>
      <c r="E81" s="7">
        <v>8974.1620000000003</v>
      </c>
      <c r="F81" s="7">
        <v>1619.028</v>
      </c>
      <c r="G81" s="7">
        <v>2441.0160000000001</v>
      </c>
      <c r="H81" s="7">
        <v>0</v>
      </c>
      <c r="I81" s="7">
        <v>219.99</v>
      </c>
      <c r="J81" s="7">
        <v>1856.837</v>
      </c>
      <c r="K81" s="7">
        <v>4814.5029999999997</v>
      </c>
      <c r="L81" s="7">
        <v>1002.451</v>
      </c>
      <c r="M81" s="7">
        <v>0</v>
      </c>
      <c r="N81" s="7">
        <v>3552.9160000000002</v>
      </c>
      <c r="O81" s="7">
        <v>15393.86</v>
      </c>
      <c r="P81" s="7">
        <v>4195.6130000000003</v>
      </c>
      <c r="Q81" s="7">
        <v>0</v>
      </c>
      <c r="R81" s="7">
        <v>0</v>
      </c>
      <c r="S81" s="7">
        <v>28.908000000000001</v>
      </c>
      <c r="T81" s="7">
        <v>0</v>
      </c>
      <c r="U81" s="7">
        <v>153.89099999999999</v>
      </c>
      <c r="V81" s="7">
        <v>154.077</v>
      </c>
      <c r="W81" s="7">
        <v>0</v>
      </c>
      <c r="X81" s="7">
        <v>0</v>
      </c>
      <c r="Y81" s="7">
        <v>0</v>
      </c>
      <c r="Z81" s="7">
        <v>138.66900000000001</v>
      </c>
      <c r="AA81" s="7">
        <v>374.38900000000001</v>
      </c>
      <c r="AB81" s="7">
        <v>0</v>
      </c>
      <c r="AC81" s="7">
        <v>2363.9319999999998</v>
      </c>
      <c r="AD81" s="7">
        <v>0</v>
      </c>
      <c r="AE81" s="7">
        <v>1216.2380000000001</v>
      </c>
      <c r="AF81" s="7">
        <v>0</v>
      </c>
      <c r="AG81" s="7">
        <v>174.905</v>
      </c>
      <c r="AH81" s="7">
        <v>0</v>
      </c>
      <c r="AI81" s="7">
        <v>8122.1229999999996</v>
      </c>
      <c r="AJ81" s="7">
        <v>0</v>
      </c>
      <c r="AK81" s="7">
        <v>0</v>
      </c>
      <c r="AL81" s="7">
        <v>19185.375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3.859</v>
      </c>
      <c r="AV81" s="7">
        <v>0</v>
      </c>
      <c r="AW81" s="7">
        <v>0</v>
      </c>
      <c r="AX81" s="7">
        <v>0</v>
      </c>
      <c r="AY81" s="7">
        <v>0</v>
      </c>
      <c r="AZ81" s="7">
        <v>1.476</v>
      </c>
      <c r="BA81" s="7">
        <v>0</v>
      </c>
      <c r="BB81" s="7">
        <v>43.154000000000003</v>
      </c>
      <c r="BC81" s="7">
        <v>0</v>
      </c>
      <c r="BD81" s="7">
        <v>0</v>
      </c>
      <c r="BE81" s="7">
        <v>0</v>
      </c>
      <c r="BF81" s="7">
        <v>0</v>
      </c>
      <c r="BG81" s="21"/>
    </row>
    <row r="82" spans="1:59" ht="15.75">
      <c r="A82" s="5" t="s">
        <v>148</v>
      </c>
      <c r="B82" s="5" t="s">
        <v>149</v>
      </c>
      <c r="C82" s="7">
        <v>6</v>
      </c>
      <c r="D82" s="7">
        <v>6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21"/>
    </row>
    <row r="83" spans="1:59" ht="15.75">
      <c r="A83" s="5" t="s">
        <v>150</v>
      </c>
      <c r="B83" s="5" t="s">
        <v>151</v>
      </c>
      <c r="C83" s="7">
        <v>6</v>
      </c>
      <c r="D83" s="7">
        <v>6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21"/>
    </row>
    <row r="84" spans="1:59" ht="15.75">
      <c r="A84" s="5" t="s">
        <v>152</v>
      </c>
      <c r="B84" s="5" t="s">
        <v>153</v>
      </c>
      <c r="C84" s="7">
        <v>6</v>
      </c>
      <c r="D84" s="7">
        <v>6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21"/>
    </row>
    <row r="85" spans="1:59" ht="15.75">
      <c r="A85" s="5" t="s">
        <v>154</v>
      </c>
      <c r="B85" s="5" t="s">
        <v>155</v>
      </c>
      <c r="C85" s="7">
        <v>6</v>
      </c>
      <c r="D85" s="7">
        <v>6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21"/>
    </row>
    <row r="86" spans="1:59" ht="15.75">
      <c r="A86" s="5" t="s">
        <v>156</v>
      </c>
      <c r="B86" s="5" t="s">
        <v>157</v>
      </c>
      <c r="C86" s="7">
        <v>6</v>
      </c>
      <c r="D86" s="7">
        <v>6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21"/>
    </row>
    <row r="87" spans="1:59" ht="15.75">
      <c r="A87" s="5" t="s">
        <v>158</v>
      </c>
      <c r="B87" s="5" t="s">
        <v>159</v>
      </c>
      <c r="C87" s="7">
        <v>6</v>
      </c>
      <c r="D87" s="7">
        <v>6</v>
      </c>
      <c r="E87" s="7">
        <v>2.347</v>
      </c>
      <c r="F87" s="7">
        <v>1.1200000000000001</v>
      </c>
      <c r="G87" s="7">
        <v>1.0740000000000001</v>
      </c>
      <c r="H87" s="7">
        <v>2379.5709999999999</v>
      </c>
      <c r="I87" s="7">
        <v>0.13500000000000001</v>
      </c>
      <c r="J87" s="7">
        <v>0.58099999999999996</v>
      </c>
      <c r="K87" s="7">
        <v>25.64</v>
      </c>
      <c r="L87" s="7">
        <v>1.5649999999999999</v>
      </c>
      <c r="M87" s="7">
        <v>0</v>
      </c>
      <c r="N87" s="7">
        <v>1.8380000000000001</v>
      </c>
      <c r="O87" s="7">
        <v>18.155000000000001</v>
      </c>
      <c r="P87" s="7">
        <v>2.3410000000000002</v>
      </c>
      <c r="Q87" s="7">
        <v>0</v>
      </c>
      <c r="R87" s="7">
        <v>0</v>
      </c>
      <c r="S87" s="7">
        <v>2.3E-2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0.01</v>
      </c>
      <c r="AA87" s="7">
        <v>4.1000000000000002E-2</v>
      </c>
      <c r="AB87" s="7">
        <v>0</v>
      </c>
      <c r="AC87" s="7">
        <v>0.115</v>
      </c>
      <c r="AD87" s="7">
        <v>0</v>
      </c>
      <c r="AE87" s="7">
        <v>0.105</v>
      </c>
      <c r="AF87" s="7">
        <v>0</v>
      </c>
      <c r="AG87" s="7">
        <v>1.2999999999999999E-2</v>
      </c>
      <c r="AH87" s="7">
        <v>0</v>
      </c>
      <c r="AI87" s="7">
        <v>0.27500000000000002</v>
      </c>
      <c r="AJ87" s="7">
        <v>0</v>
      </c>
      <c r="AK87" s="7">
        <v>0</v>
      </c>
      <c r="AL87" s="7">
        <v>0.999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21"/>
    </row>
    <row r="88" spans="1:59" ht="15.75">
      <c r="A88" s="5" t="s">
        <v>160</v>
      </c>
      <c r="B88" s="5" t="s">
        <v>161</v>
      </c>
      <c r="C88" s="7">
        <v>6</v>
      </c>
      <c r="D88" s="7">
        <v>6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21"/>
    </row>
    <row r="89" spans="1:59" ht="15.75">
      <c r="A89" s="5" t="s">
        <v>162</v>
      </c>
      <c r="B89" s="5" t="s">
        <v>163</v>
      </c>
      <c r="C89" s="7">
        <v>6</v>
      </c>
      <c r="D89" s="7">
        <v>6</v>
      </c>
      <c r="E89" s="7">
        <v>16024.981</v>
      </c>
      <c r="F89" s="7">
        <v>3784.6950000000002</v>
      </c>
      <c r="G89" s="7">
        <v>5683.8410000000003</v>
      </c>
      <c r="H89" s="7">
        <v>0</v>
      </c>
      <c r="I89" s="7">
        <v>750.577</v>
      </c>
      <c r="J89" s="7">
        <v>3857.83</v>
      </c>
      <c r="K89" s="7">
        <v>9315.3809999999994</v>
      </c>
      <c r="L89" s="7">
        <v>4825.6469999999999</v>
      </c>
      <c r="M89" s="7">
        <v>0</v>
      </c>
      <c r="N89" s="7">
        <v>11300.695</v>
      </c>
      <c r="O89" s="7">
        <v>22125.892</v>
      </c>
      <c r="P89" s="7">
        <v>9893.1419999999998</v>
      </c>
      <c r="Q89" s="7">
        <v>0</v>
      </c>
      <c r="R89" s="7">
        <v>0</v>
      </c>
      <c r="S89" s="7">
        <v>71.53</v>
      </c>
      <c r="T89" s="7">
        <v>0</v>
      </c>
      <c r="U89" s="7">
        <v>111.265</v>
      </c>
      <c r="V89" s="7">
        <v>1179.9760000000001</v>
      </c>
      <c r="W89" s="7">
        <v>0</v>
      </c>
      <c r="X89" s="7">
        <v>0</v>
      </c>
      <c r="Y89" s="7">
        <v>0</v>
      </c>
      <c r="Z89" s="7">
        <v>514.375</v>
      </c>
      <c r="AA89" s="7">
        <v>1148.5139999999999</v>
      </c>
      <c r="AB89" s="7">
        <v>0</v>
      </c>
      <c r="AC89" s="7">
        <v>2910.5329999999999</v>
      </c>
      <c r="AD89" s="7">
        <v>0</v>
      </c>
      <c r="AE89" s="7">
        <v>3801.7350000000001</v>
      </c>
      <c r="AF89" s="7">
        <v>0</v>
      </c>
      <c r="AG89" s="7">
        <v>499.38200000000001</v>
      </c>
      <c r="AH89" s="7">
        <v>0</v>
      </c>
      <c r="AI89" s="7">
        <v>4645.9809999999998</v>
      </c>
      <c r="AJ89" s="7">
        <v>0</v>
      </c>
      <c r="AK89" s="7">
        <v>0</v>
      </c>
      <c r="AL89" s="7">
        <v>26512.991000000002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29.556999999999999</v>
      </c>
      <c r="AV89" s="7">
        <v>0</v>
      </c>
      <c r="AW89" s="7">
        <v>0</v>
      </c>
      <c r="AX89" s="7">
        <v>0</v>
      </c>
      <c r="AY89" s="7">
        <v>0</v>
      </c>
      <c r="AZ89" s="7">
        <v>11.305</v>
      </c>
      <c r="BA89" s="7">
        <v>0</v>
      </c>
      <c r="BB89" s="7">
        <v>330.48700000000002</v>
      </c>
      <c r="BC89" s="7">
        <v>0</v>
      </c>
      <c r="BD89" s="7">
        <v>0</v>
      </c>
      <c r="BE89" s="7">
        <v>0</v>
      </c>
      <c r="BF89" s="7">
        <v>0</v>
      </c>
      <c r="BG89" s="21"/>
    </row>
    <row r="90" spans="1:59" ht="15.75">
      <c r="A90" s="5" t="s">
        <v>164</v>
      </c>
      <c r="B90" s="5" t="s">
        <v>165</v>
      </c>
      <c r="C90" s="7">
        <v>6</v>
      </c>
      <c r="D90" s="7">
        <v>6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21"/>
    </row>
    <row r="91" spans="1:59" ht="15.75">
      <c r="A91" s="5" t="s">
        <v>166</v>
      </c>
      <c r="B91" s="5" t="s">
        <v>167</v>
      </c>
      <c r="C91" s="7">
        <v>3</v>
      </c>
      <c r="D91" s="7">
        <v>3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21"/>
    </row>
    <row r="92" spans="1:59" ht="15.75">
      <c r="A92" s="5" t="s">
        <v>168</v>
      </c>
      <c r="B92" s="5" t="s">
        <v>169</v>
      </c>
      <c r="C92" s="7">
        <v>3</v>
      </c>
      <c r="D92" s="7">
        <v>3</v>
      </c>
      <c r="E92" s="7">
        <v>37979.974999999999</v>
      </c>
      <c r="F92" s="7">
        <v>7702.1170000000002</v>
      </c>
      <c r="G92" s="7">
        <v>15528.626</v>
      </c>
      <c r="H92" s="7">
        <v>10311.175999999999</v>
      </c>
      <c r="I92" s="7">
        <v>1375.6579999999999</v>
      </c>
      <c r="J92" s="7">
        <v>10602.44</v>
      </c>
      <c r="K92" s="7">
        <v>10951.798000000001</v>
      </c>
      <c r="L92" s="7">
        <v>11903.718999999999</v>
      </c>
      <c r="M92" s="7">
        <v>0</v>
      </c>
      <c r="N92" s="7">
        <v>25874.466</v>
      </c>
      <c r="O92" s="7">
        <v>27579.903999999999</v>
      </c>
      <c r="P92" s="7">
        <v>26055.413</v>
      </c>
      <c r="Q92" s="7">
        <v>0</v>
      </c>
      <c r="R92" s="7">
        <v>0</v>
      </c>
      <c r="S92" s="7">
        <v>1.464</v>
      </c>
      <c r="T92" s="7">
        <v>0</v>
      </c>
      <c r="U92" s="7">
        <v>139.01499999999999</v>
      </c>
      <c r="V92" s="7">
        <v>3151.8310000000001</v>
      </c>
      <c r="W92" s="7">
        <v>0</v>
      </c>
      <c r="X92" s="7">
        <v>0</v>
      </c>
      <c r="Y92" s="7">
        <v>0</v>
      </c>
      <c r="Z92" s="7">
        <v>1356.771</v>
      </c>
      <c r="AA92" s="7">
        <v>3013.893</v>
      </c>
      <c r="AB92" s="7">
        <v>0</v>
      </c>
      <c r="AC92" s="7">
        <v>7076.5569999999998</v>
      </c>
      <c r="AD92" s="7">
        <v>0</v>
      </c>
      <c r="AE92" s="7">
        <v>10005.159</v>
      </c>
      <c r="AF92" s="7">
        <v>0</v>
      </c>
      <c r="AG92" s="7">
        <v>1307.5519999999999</v>
      </c>
      <c r="AH92" s="7">
        <v>0</v>
      </c>
      <c r="AI92" s="7">
        <v>12414.213</v>
      </c>
      <c r="AJ92" s="7">
        <v>0</v>
      </c>
      <c r="AK92" s="7">
        <v>0</v>
      </c>
      <c r="AL92" s="7">
        <v>54724.247000000003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78.95</v>
      </c>
      <c r="AV92" s="7">
        <v>0</v>
      </c>
      <c r="AW92" s="7">
        <v>0</v>
      </c>
      <c r="AX92" s="7">
        <v>0</v>
      </c>
      <c r="AY92" s="7">
        <v>0</v>
      </c>
      <c r="AZ92" s="7">
        <v>30.196999999999999</v>
      </c>
      <c r="BA92" s="7">
        <v>0</v>
      </c>
      <c r="BB92" s="7">
        <v>882.76300000000003</v>
      </c>
      <c r="BC92" s="7">
        <v>0</v>
      </c>
      <c r="BD92" s="7">
        <v>0</v>
      </c>
      <c r="BE92" s="7">
        <v>0</v>
      </c>
      <c r="BF92" s="7">
        <v>0</v>
      </c>
      <c r="BG92" s="21"/>
    </row>
    <row r="93" spans="1:59" ht="15.75">
      <c r="A93" s="5" t="s">
        <v>170</v>
      </c>
      <c r="B93" s="5" t="s">
        <v>171</v>
      </c>
      <c r="C93" s="7">
        <v>3</v>
      </c>
      <c r="D93" s="7">
        <v>3</v>
      </c>
      <c r="E93" s="7">
        <v>53850.116000000002</v>
      </c>
      <c r="F93" s="7">
        <v>11280.777</v>
      </c>
      <c r="G93" s="7">
        <v>21166.252</v>
      </c>
      <c r="H93" s="7">
        <v>0</v>
      </c>
      <c r="I93" s="7">
        <v>2079.904</v>
      </c>
      <c r="J93" s="7">
        <v>13613.093999999999</v>
      </c>
      <c r="K93" s="7">
        <v>16558.395</v>
      </c>
      <c r="L93" s="7">
        <v>17997.636999999999</v>
      </c>
      <c r="M93" s="7">
        <v>0</v>
      </c>
      <c r="N93" s="7">
        <v>39120.483</v>
      </c>
      <c r="O93" s="7">
        <v>40206.699000000001</v>
      </c>
      <c r="P93" s="7">
        <v>36556.603999999999</v>
      </c>
      <c r="Q93" s="7">
        <v>0</v>
      </c>
      <c r="R93" s="7">
        <v>0</v>
      </c>
      <c r="S93" s="7">
        <v>2.2130000000000001</v>
      </c>
      <c r="T93" s="7">
        <v>0</v>
      </c>
      <c r="U93" s="7">
        <v>0</v>
      </c>
      <c r="V93" s="7">
        <v>4765.3599999999997</v>
      </c>
      <c r="W93" s="7">
        <v>0</v>
      </c>
      <c r="X93" s="7">
        <v>0</v>
      </c>
      <c r="Y93" s="7">
        <v>0</v>
      </c>
      <c r="Z93" s="7">
        <v>2051.3490000000002</v>
      </c>
      <c r="AA93" s="7">
        <v>4556.8059999999996</v>
      </c>
      <c r="AB93" s="7">
        <v>0</v>
      </c>
      <c r="AC93" s="7">
        <v>10699.287</v>
      </c>
      <c r="AD93" s="7">
        <v>0</v>
      </c>
      <c r="AE93" s="7">
        <v>15127.138999999999</v>
      </c>
      <c r="AF93" s="7">
        <v>0</v>
      </c>
      <c r="AG93" s="7">
        <v>1976.932</v>
      </c>
      <c r="AH93" s="7">
        <v>0</v>
      </c>
      <c r="AI93" s="7">
        <v>12218.791999999999</v>
      </c>
      <c r="AJ93" s="7">
        <v>0</v>
      </c>
      <c r="AK93" s="7">
        <v>0</v>
      </c>
      <c r="AL93" s="7">
        <v>75733.373999999996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119.367</v>
      </c>
      <c r="AV93" s="7">
        <v>0</v>
      </c>
      <c r="AW93" s="7">
        <v>0</v>
      </c>
      <c r="AX93" s="7">
        <v>0</v>
      </c>
      <c r="AY93" s="7">
        <v>0</v>
      </c>
      <c r="AZ93" s="7">
        <v>45.655999999999999</v>
      </c>
      <c r="BA93" s="7">
        <v>0</v>
      </c>
      <c r="BB93" s="7">
        <v>1334.6790000000001</v>
      </c>
      <c r="BC93" s="7">
        <v>0</v>
      </c>
      <c r="BD93" s="7">
        <v>0</v>
      </c>
      <c r="BE93" s="7">
        <v>0</v>
      </c>
      <c r="BF93" s="7">
        <v>0</v>
      </c>
      <c r="BG93" s="21"/>
    </row>
    <row r="94" spans="1:59" ht="15.75">
      <c r="A94" s="5" t="s">
        <v>172</v>
      </c>
      <c r="B94" s="5" t="s">
        <v>173</v>
      </c>
      <c r="C94" s="7">
        <v>3</v>
      </c>
      <c r="D94" s="7">
        <v>3</v>
      </c>
      <c r="E94" s="7">
        <v>6660.7020000000002</v>
      </c>
      <c r="F94" s="7">
        <v>2374.8829999999998</v>
      </c>
      <c r="G94" s="7">
        <v>4866.7219999999998</v>
      </c>
      <c r="H94" s="7">
        <v>0</v>
      </c>
      <c r="I94" s="7">
        <v>282.65800000000002</v>
      </c>
      <c r="J94" s="7">
        <v>1883.5170000000001</v>
      </c>
      <c r="K94" s="7">
        <v>5868.9030000000002</v>
      </c>
      <c r="L94" s="7">
        <v>1475.664</v>
      </c>
      <c r="M94" s="7">
        <v>0</v>
      </c>
      <c r="N94" s="7">
        <v>2600.6709999999998</v>
      </c>
      <c r="O94" s="7">
        <v>16848.103999999999</v>
      </c>
      <c r="P94" s="7">
        <v>3781.9180000000001</v>
      </c>
      <c r="Q94" s="7">
        <v>0</v>
      </c>
      <c r="R94" s="7">
        <v>0</v>
      </c>
      <c r="S94" s="7">
        <v>0.47699999999999998</v>
      </c>
      <c r="T94" s="7">
        <v>0</v>
      </c>
      <c r="U94" s="7">
        <v>0</v>
      </c>
      <c r="V94" s="7">
        <v>871.58299999999997</v>
      </c>
      <c r="W94" s="7">
        <v>0</v>
      </c>
      <c r="X94" s="7">
        <v>0</v>
      </c>
      <c r="Y94" s="7">
        <v>0</v>
      </c>
      <c r="Z94" s="7">
        <v>243.77799999999999</v>
      </c>
      <c r="AA94" s="7">
        <v>336.01499999999999</v>
      </c>
      <c r="AB94" s="7">
        <v>0</v>
      </c>
      <c r="AC94" s="7">
        <v>3203.9360000000001</v>
      </c>
      <c r="AD94" s="7">
        <v>0</v>
      </c>
      <c r="AE94" s="7">
        <v>2684.924</v>
      </c>
      <c r="AF94" s="7">
        <v>0</v>
      </c>
      <c r="AG94" s="7">
        <v>627.11400000000003</v>
      </c>
      <c r="AH94" s="7">
        <v>0</v>
      </c>
      <c r="AI94" s="7">
        <v>5159.0309999999999</v>
      </c>
      <c r="AJ94" s="7">
        <v>2194.4169999999999</v>
      </c>
      <c r="AK94" s="7">
        <v>0</v>
      </c>
      <c r="AL94" s="7">
        <v>37034.595000000001</v>
      </c>
      <c r="AM94" s="7">
        <v>4013.5030000000002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55.923000000000002</v>
      </c>
      <c r="AV94" s="7">
        <v>0</v>
      </c>
      <c r="AW94" s="7">
        <v>0</v>
      </c>
      <c r="AX94" s="7">
        <v>655.25099999999998</v>
      </c>
      <c r="AY94" s="7">
        <v>0</v>
      </c>
      <c r="AZ94" s="7">
        <v>4.5670000000000002</v>
      </c>
      <c r="BA94" s="7">
        <v>0</v>
      </c>
      <c r="BB94" s="7">
        <v>324.19</v>
      </c>
      <c r="BC94" s="7">
        <v>0</v>
      </c>
      <c r="BD94" s="7">
        <v>0</v>
      </c>
      <c r="BE94" s="7">
        <v>13421.337</v>
      </c>
      <c r="BF94" s="7">
        <v>0</v>
      </c>
      <c r="BG94" s="21"/>
    </row>
    <row r="95" spans="1:59" ht="15.75">
      <c r="A95" s="5" t="s">
        <v>174</v>
      </c>
      <c r="B95" s="5" t="s">
        <v>175</v>
      </c>
      <c r="C95" s="7">
        <v>3</v>
      </c>
      <c r="D95" s="7">
        <v>3</v>
      </c>
      <c r="E95" s="7">
        <v>12213.013999999999</v>
      </c>
      <c r="F95" s="7">
        <v>14809.076999999999</v>
      </c>
      <c r="G95" s="7">
        <v>24499.219000000001</v>
      </c>
      <c r="H95" s="7">
        <v>2978.886</v>
      </c>
      <c r="I95" s="7">
        <v>1915.3989999999999</v>
      </c>
      <c r="J95" s="7">
        <v>11633.991</v>
      </c>
      <c r="K95" s="7">
        <v>12939.13</v>
      </c>
      <c r="L95" s="7">
        <v>5488.1970000000001</v>
      </c>
      <c r="M95" s="7">
        <v>0</v>
      </c>
      <c r="N95" s="7">
        <v>11442.057000000001</v>
      </c>
      <c r="O95" s="7">
        <v>61943.557000000001</v>
      </c>
      <c r="P95" s="7">
        <v>19185.402999999998</v>
      </c>
      <c r="Q95" s="7">
        <v>0</v>
      </c>
      <c r="R95" s="7">
        <v>0</v>
      </c>
      <c r="S95" s="7">
        <v>0.308</v>
      </c>
      <c r="T95" s="7">
        <v>0</v>
      </c>
      <c r="U95" s="7">
        <v>0</v>
      </c>
      <c r="V95" s="7">
        <v>6115.31</v>
      </c>
      <c r="W95" s="7">
        <v>0</v>
      </c>
      <c r="X95" s="7">
        <v>0</v>
      </c>
      <c r="Y95" s="7">
        <v>0</v>
      </c>
      <c r="Z95" s="7">
        <v>1553.2850000000001</v>
      </c>
      <c r="AA95" s="7">
        <v>691.84699999999998</v>
      </c>
      <c r="AB95" s="7">
        <v>0</v>
      </c>
      <c r="AC95" s="7">
        <v>9583.52</v>
      </c>
      <c r="AD95" s="7">
        <v>0</v>
      </c>
      <c r="AE95" s="7">
        <v>21272.843000000001</v>
      </c>
      <c r="AF95" s="7">
        <v>0</v>
      </c>
      <c r="AG95" s="7">
        <v>4098.3149999999996</v>
      </c>
      <c r="AH95" s="7">
        <v>0</v>
      </c>
      <c r="AI95" s="7">
        <v>5721.8010000000004</v>
      </c>
      <c r="AJ95" s="7">
        <v>3017.529</v>
      </c>
      <c r="AK95" s="7">
        <v>0</v>
      </c>
      <c r="AL95" s="7">
        <v>189427.38699999999</v>
      </c>
      <c r="AM95" s="7">
        <v>5298.375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459.30099999999999</v>
      </c>
      <c r="AV95" s="7">
        <v>0</v>
      </c>
      <c r="AW95" s="7">
        <v>0</v>
      </c>
      <c r="AX95" s="7">
        <v>881.66899999999998</v>
      </c>
      <c r="AY95" s="7">
        <v>0</v>
      </c>
      <c r="AZ95" s="7">
        <v>22.702999999999999</v>
      </c>
      <c r="BA95" s="7">
        <v>0</v>
      </c>
      <c r="BB95" s="7">
        <v>26.155000000000001</v>
      </c>
      <c r="BC95" s="7">
        <v>0</v>
      </c>
      <c r="BD95" s="7">
        <v>0</v>
      </c>
      <c r="BE95" s="7">
        <v>98581.123999999996</v>
      </c>
      <c r="BF95" s="7">
        <v>0</v>
      </c>
      <c r="BG95" s="21"/>
    </row>
    <row r="96" spans="1:59" ht="15.75">
      <c r="A96" s="5" t="s">
        <v>176</v>
      </c>
      <c r="B96" s="5" t="s">
        <v>177</v>
      </c>
      <c r="C96" s="7">
        <v>3</v>
      </c>
      <c r="D96" s="7">
        <v>3</v>
      </c>
      <c r="E96" s="7">
        <v>23953.028999999999</v>
      </c>
      <c r="F96" s="7">
        <v>25423.397000000001</v>
      </c>
      <c r="G96" s="7">
        <v>4103.5690000000004</v>
      </c>
      <c r="H96" s="7">
        <v>12186.210999999999</v>
      </c>
      <c r="I96" s="7">
        <v>3339.8119999999999</v>
      </c>
      <c r="J96" s="7">
        <v>18727.013999999999</v>
      </c>
      <c r="K96" s="7">
        <v>13233.224</v>
      </c>
      <c r="L96" s="7">
        <v>12683.159</v>
      </c>
      <c r="M96" s="7">
        <v>0</v>
      </c>
      <c r="N96" s="7">
        <v>38420.124000000003</v>
      </c>
      <c r="O96" s="7">
        <v>93893.676999999996</v>
      </c>
      <c r="P96" s="7">
        <v>37165.726000000002</v>
      </c>
      <c r="Q96" s="7">
        <v>0</v>
      </c>
      <c r="R96" s="7">
        <v>0</v>
      </c>
      <c r="S96" s="7">
        <v>0.88900000000000001</v>
      </c>
      <c r="T96" s="7">
        <v>0</v>
      </c>
      <c r="U96" s="7">
        <v>0</v>
      </c>
      <c r="V96" s="7">
        <v>10122.736000000001</v>
      </c>
      <c r="W96" s="7">
        <v>0</v>
      </c>
      <c r="X96" s="7">
        <v>0</v>
      </c>
      <c r="Y96" s="7">
        <v>0</v>
      </c>
      <c r="Z96" s="7">
        <v>1798.7629999999999</v>
      </c>
      <c r="AA96" s="7">
        <v>2550.5889999999999</v>
      </c>
      <c r="AB96" s="7">
        <v>0</v>
      </c>
      <c r="AC96" s="7">
        <v>5651.24</v>
      </c>
      <c r="AD96" s="7">
        <v>0</v>
      </c>
      <c r="AE96" s="7">
        <v>37288.273000000001</v>
      </c>
      <c r="AF96" s="7">
        <v>0</v>
      </c>
      <c r="AG96" s="7">
        <v>4616.2380000000003</v>
      </c>
      <c r="AH96" s="7">
        <v>0</v>
      </c>
      <c r="AI96" s="7">
        <v>12737.57</v>
      </c>
      <c r="AJ96" s="7">
        <v>6327.4560000000001</v>
      </c>
      <c r="AK96" s="7">
        <v>0</v>
      </c>
      <c r="AL96" s="7">
        <v>204046.91200000001</v>
      </c>
      <c r="AM96" s="7">
        <v>10799.656000000001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694.32299999999998</v>
      </c>
      <c r="AV96" s="7">
        <v>0</v>
      </c>
      <c r="AW96" s="7">
        <v>0</v>
      </c>
      <c r="AX96" s="7">
        <v>1821.5129999999999</v>
      </c>
      <c r="AY96" s="7">
        <v>0</v>
      </c>
      <c r="AZ96" s="7">
        <v>44.029000000000003</v>
      </c>
      <c r="BA96" s="7">
        <v>0</v>
      </c>
      <c r="BB96" s="7">
        <v>189.047</v>
      </c>
      <c r="BC96" s="7">
        <v>0</v>
      </c>
      <c r="BD96" s="7">
        <v>0</v>
      </c>
      <c r="BE96" s="7">
        <v>30521.295999999998</v>
      </c>
      <c r="BF96" s="7">
        <v>0</v>
      </c>
      <c r="BG96" s="21"/>
    </row>
    <row r="97" spans="1:59" ht="15.75">
      <c r="A97" s="5" t="s">
        <v>178</v>
      </c>
      <c r="B97" s="5" t="s">
        <v>179</v>
      </c>
      <c r="C97" s="7">
        <v>6</v>
      </c>
      <c r="D97" s="7">
        <v>6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21"/>
    </row>
    <row r="98" spans="1:59" ht="15.75">
      <c r="A98" s="5" t="s">
        <v>180</v>
      </c>
      <c r="B98" s="5" t="s">
        <v>181</v>
      </c>
      <c r="C98" s="7">
        <v>6</v>
      </c>
      <c r="D98" s="7">
        <v>6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21"/>
    </row>
    <row r="99" spans="1:59" ht="15.75">
      <c r="A99" s="5" t="s">
        <v>182</v>
      </c>
      <c r="B99" s="5" t="s">
        <v>183</v>
      </c>
      <c r="C99" s="7">
        <v>6</v>
      </c>
      <c r="D99" s="7">
        <v>6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21"/>
    </row>
    <row r="100" spans="1:59" ht="15.75">
      <c r="A100" s="5" t="s">
        <v>184</v>
      </c>
      <c r="B100" s="5" t="s">
        <v>185</v>
      </c>
      <c r="C100" s="7">
        <v>6</v>
      </c>
      <c r="D100" s="7">
        <v>6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21"/>
    </row>
    <row r="101" spans="1:59" ht="15.75">
      <c r="A101" s="5" t="s">
        <v>186</v>
      </c>
      <c r="B101" s="5" t="s">
        <v>187</v>
      </c>
      <c r="C101" s="7">
        <v>6</v>
      </c>
      <c r="D101" s="7">
        <v>6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21"/>
    </row>
    <row r="102" spans="1:59" ht="15.75">
      <c r="A102" s="5" t="s">
        <v>188</v>
      </c>
      <c r="B102" s="5" t="s">
        <v>189</v>
      </c>
      <c r="C102" s="7">
        <v>6</v>
      </c>
      <c r="D102" s="7">
        <v>6</v>
      </c>
      <c r="E102" s="7">
        <v>4050.2710000000002</v>
      </c>
      <c r="F102" s="7">
        <v>551.149</v>
      </c>
      <c r="G102" s="7">
        <v>790.68499999999995</v>
      </c>
      <c r="H102" s="7">
        <v>0</v>
      </c>
      <c r="I102" s="7">
        <v>138.88800000000001</v>
      </c>
      <c r="J102" s="7">
        <v>464.529</v>
      </c>
      <c r="K102" s="7">
        <v>3891.0120000000002</v>
      </c>
      <c r="L102" s="7">
        <v>364.37799999999999</v>
      </c>
      <c r="M102" s="7">
        <v>0</v>
      </c>
      <c r="N102" s="7">
        <v>1814.444</v>
      </c>
      <c r="O102" s="7">
        <v>4344.7740000000003</v>
      </c>
      <c r="P102" s="7">
        <v>1786.7840000000001</v>
      </c>
      <c r="Q102" s="7">
        <v>0</v>
      </c>
      <c r="R102" s="7">
        <v>0</v>
      </c>
      <c r="S102" s="7">
        <v>26.221</v>
      </c>
      <c r="T102" s="7">
        <v>0</v>
      </c>
      <c r="U102" s="7">
        <v>0.85899999999999999</v>
      </c>
      <c r="V102" s="7">
        <v>0</v>
      </c>
      <c r="W102" s="7">
        <v>0</v>
      </c>
      <c r="X102" s="7">
        <v>0</v>
      </c>
      <c r="Y102" s="7">
        <v>0</v>
      </c>
      <c r="Z102" s="7">
        <v>65.781000000000006</v>
      </c>
      <c r="AA102" s="7">
        <v>206.46100000000001</v>
      </c>
      <c r="AB102" s="7">
        <v>0</v>
      </c>
      <c r="AC102" s="7">
        <v>1642.3109999999999</v>
      </c>
      <c r="AD102" s="7">
        <v>0</v>
      </c>
      <c r="AE102" s="7">
        <v>573.20100000000002</v>
      </c>
      <c r="AF102" s="7">
        <v>0</v>
      </c>
      <c r="AG102" s="7">
        <v>100.919</v>
      </c>
      <c r="AH102" s="7">
        <v>0</v>
      </c>
      <c r="AI102" s="7">
        <v>5196.6660000000002</v>
      </c>
      <c r="AJ102" s="7">
        <v>0</v>
      </c>
      <c r="AK102" s="7">
        <v>0</v>
      </c>
      <c r="AL102" s="7">
        <v>8428.2469999999994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21"/>
    </row>
    <row r="103" spans="1:59" ht="15.75">
      <c r="A103" s="5" t="s">
        <v>190</v>
      </c>
      <c r="B103" s="5" t="s">
        <v>191</v>
      </c>
      <c r="C103" s="7">
        <v>6</v>
      </c>
      <c r="D103" s="7">
        <v>6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21"/>
    </row>
    <row r="104" spans="1:59" ht="15.75">
      <c r="A104" s="5" t="s">
        <v>192</v>
      </c>
      <c r="B104" s="5" t="s">
        <v>193</v>
      </c>
      <c r="C104" s="7">
        <v>6</v>
      </c>
      <c r="D104" s="7">
        <v>6</v>
      </c>
      <c r="E104" s="7">
        <v>0</v>
      </c>
      <c r="F104" s="7">
        <v>0</v>
      </c>
      <c r="G104" s="7">
        <v>0</v>
      </c>
      <c r="H104" s="7">
        <v>1909.702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21"/>
    </row>
    <row r="105" spans="1:59" ht="15.75">
      <c r="A105" s="5" t="s">
        <v>194</v>
      </c>
      <c r="B105" s="5" t="s">
        <v>195</v>
      </c>
      <c r="C105" s="7">
        <v>4</v>
      </c>
      <c r="D105" s="7">
        <v>4</v>
      </c>
      <c r="E105" s="7">
        <v>190233.587</v>
      </c>
      <c r="F105" s="7">
        <v>58169.569000000003</v>
      </c>
      <c r="G105" s="7">
        <v>0</v>
      </c>
      <c r="H105" s="7">
        <v>0</v>
      </c>
      <c r="I105" s="7">
        <v>2824.6660000000002</v>
      </c>
      <c r="J105" s="7">
        <v>0</v>
      </c>
      <c r="K105" s="7">
        <v>259560.55799999999</v>
      </c>
      <c r="L105" s="7">
        <v>17759.761999999999</v>
      </c>
      <c r="M105" s="7">
        <v>0</v>
      </c>
      <c r="N105" s="7">
        <v>32168.476999999999</v>
      </c>
      <c r="O105" s="7">
        <v>678675.95799999998</v>
      </c>
      <c r="P105" s="7">
        <v>34099.688000000002</v>
      </c>
      <c r="Q105" s="7">
        <v>0</v>
      </c>
      <c r="R105" s="7">
        <v>46.536000000000001</v>
      </c>
      <c r="S105" s="7">
        <v>12.917</v>
      </c>
      <c r="T105" s="7">
        <v>85.158000000000001</v>
      </c>
      <c r="U105" s="7">
        <v>0</v>
      </c>
      <c r="V105" s="7">
        <v>13912.537</v>
      </c>
      <c r="W105" s="7">
        <v>0</v>
      </c>
      <c r="X105" s="7">
        <v>1584.396</v>
      </c>
      <c r="Y105" s="7">
        <v>0</v>
      </c>
      <c r="Z105" s="7">
        <v>0</v>
      </c>
      <c r="AA105" s="7">
        <v>3892.9749999999999</v>
      </c>
      <c r="AB105" s="7">
        <v>9148.4609999999993</v>
      </c>
      <c r="AC105" s="7">
        <v>103647.795</v>
      </c>
      <c r="AD105" s="7">
        <v>0</v>
      </c>
      <c r="AE105" s="7">
        <v>0</v>
      </c>
      <c r="AF105" s="7">
        <v>3038.8339999999998</v>
      </c>
      <c r="AG105" s="7">
        <v>9175.4969999999994</v>
      </c>
      <c r="AH105" s="7">
        <v>0</v>
      </c>
      <c r="AI105" s="7">
        <v>259024.951</v>
      </c>
      <c r="AJ105" s="7">
        <v>133608.66500000001</v>
      </c>
      <c r="AK105" s="7">
        <v>0</v>
      </c>
      <c r="AL105" s="7">
        <v>847121.527</v>
      </c>
      <c r="AM105" s="7">
        <v>244365.02900000001</v>
      </c>
      <c r="AN105" s="7">
        <v>0</v>
      </c>
      <c r="AO105" s="7">
        <v>0</v>
      </c>
      <c r="AP105" s="7">
        <v>3110.58</v>
      </c>
      <c r="AQ105" s="7">
        <v>1432.575</v>
      </c>
      <c r="AR105" s="7">
        <v>0</v>
      </c>
      <c r="AS105" s="7">
        <v>0</v>
      </c>
      <c r="AT105" s="7">
        <v>0</v>
      </c>
      <c r="AU105" s="7">
        <v>589.54200000000003</v>
      </c>
      <c r="AV105" s="7">
        <v>327.63</v>
      </c>
      <c r="AW105" s="7">
        <v>0</v>
      </c>
      <c r="AX105" s="7">
        <v>39895.442000000003</v>
      </c>
      <c r="AY105" s="7">
        <v>0</v>
      </c>
      <c r="AZ105" s="7">
        <v>153.82</v>
      </c>
      <c r="BA105" s="7">
        <v>0</v>
      </c>
      <c r="BB105" s="7">
        <v>1148.4369999999999</v>
      </c>
      <c r="BC105" s="7">
        <v>0</v>
      </c>
      <c r="BD105" s="7">
        <v>0</v>
      </c>
      <c r="BE105" s="7">
        <v>0</v>
      </c>
      <c r="BF105" s="7">
        <v>658.51700000000005</v>
      </c>
      <c r="BG105" s="21"/>
    </row>
    <row r="106" spans="1:59" ht="15.75">
      <c r="A106" s="5" t="s">
        <v>196</v>
      </c>
      <c r="B106" s="5" t="s">
        <v>197</v>
      </c>
      <c r="C106" s="7">
        <v>4</v>
      </c>
      <c r="D106" s="7">
        <v>4</v>
      </c>
      <c r="E106" s="7">
        <v>91540.543999999994</v>
      </c>
      <c r="F106" s="7">
        <v>27043.66</v>
      </c>
      <c r="G106" s="7">
        <v>0</v>
      </c>
      <c r="H106" s="7">
        <v>378.31</v>
      </c>
      <c r="I106" s="7">
        <v>1369.787</v>
      </c>
      <c r="J106" s="7">
        <v>0</v>
      </c>
      <c r="K106" s="7">
        <v>122677.29700000001</v>
      </c>
      <c r="L106" s="7">
        <v>8612.3770000000004</v>
      </c>
      <c r="M106" s="7">
        <v>0</v>
      </c>
      <c r="N106" s="7">
        <v>15599.705</v>
      </c>
      <c r="O106" s="7">
        <v>326056.11800000002</v>
      </c>
      <c r="P106" s="7">
        <v>16536.222000000002</v>
      </c>
      <c r="Q106" s="7">
        <v>0</v>
      </c>
      <c r="R106" s="7">
        <v>5.5309999999999997</v>
      </c>
      <c r="S106" s="7">
        <v>6.2640000000000002</v>
      </c>
      <c r="T106" s="7">
        <v>10.122</v>
      </c>
      <c r="U106" s="7">
        <v>0</v>
      </c>
      <c r="V106" s="7">
        <v>6746.7129999999997</v>
      </c>
      <c r="W106" s="7">
        <v>0</v>
      </c>
      <c r="X106" s="7">
        <v>188.322</v>
      </c>
      <c r="Y106" s="7">
        <v>0</v>
      </c>
      <c r="Z106" s="7">
        <v>0</v>
      </c>
      <c r="AA106" s="7">
        <v>1887.85</v>
      </c>
      <c r="AB106" s="7">
        <v>1087.3920000000001</v>
      </c>
      <c r="AC106" s="7">
        <v>50262.716999999997</v>
      </c>
      <c r="AD106" s="7">
        <v>0</v>
      </c>
      <c r="AE106" s="7">
        <v>0</v>
      </c>
      <c r="AF106" s="7">
        <v>361.19799999999998</v>
      </c>
      <c r="AG106" s="7">
        <v>4449.5439999999999</v>
      </c>
      <c r="AH106" s="7">
        <v>0</v>
      </c>
      <c r="AI106" s="7">
        <v>125610.948</v>
      </c>
      <c r="AJ106" s="7">
        <v>64791.870999999999</v>
      </c>
      <c r="AK106" s="7">
        <v>0</v>
      </c>
      <c r="AL106" s="7">
        <v>410726.67599999998</v>
      </c>
      <c r="AM106" s="7">
        <v>118501.80100000001</v>
      </c>
      <c r="AN106" s="7">
        <v>0</v>
      </c>
      <c r="AO106" s="7">
        <v>0</v>
      </c>
      <c r="AP106" s="7">
        <v>369.72500000000002</v>
      </c>
      <c r="AQ106" s="7">
        <v>170.27699999999999</v>
      </c>
      <c r="AR106" s="7">
        <v>0</v>
      </c>
      <c r="AS106" s="7">
        <v>0</v>
      </c>
      <c r="AT106" s="7">
        <v>0</v>
      </c>
      <c r="AU106" s="7">
        <v>285.89100000000002</v>
      </c>
      <c r="AV106" s="7">
        <v>38.942</v>
      </c>
      <c r="AW106" s="7">
        <v>0</v>
      </c>
      <c r="AX106" s="7">
        <v>19346.800999999999</v>
      </c>
      <c r="AY106" s="7">
        <v>0</v>
      </c>
      <c r="AZ106" s="7">
        <v>74.593000000000004</v>
      </c>
      <c r="BA106" s="7">
        <v>0</v>
      </c>
      <c r="BB106" s="7">
        <v>556.92100000000005</v>
      </c>
      <c r="BC106" s="7">
        <v>0</v>
      </c>
      <c r="BD106" s="7">
        <v>0</v>
      </c>
      <c r="BE106" s="7">
        <v>0</v>
      </c>
      <c r="BF106" s="7">
        <v>78.272000000000006</v>
      </c>
      <c r="BG106" s="21"/>
    </row>
    <row r="107" spans="1:59" ht="15.75">
      <c r="A107" s="5" t="s">
        <v>198</v>
      </c>
      <c r="B107" s="5" t="s">
        <v>199</v>
      </c>
      <c r="C107" s="7">
        <v>4</v>
      </c>
      <c r="D107" s="7">
        <v>4</v>
      </c>
      <c r="E107" s="7">
        <v>40701.260999999999</v>
      </c>
      <c r="F107" s="7">
        <v>12652.007</v>
      </c>
      <c r="G107" s="7">
        <v>53.067</v>
      </c>
      <c r="H107" s="7">
        <v>3.6859999999999999</v>
      </c>
      <c r="I107" s="7">
        <v>690.51</v>
      </c>
      <c r="J107" s="7">
        <v>34.130000000000003</v>
      </c>
      <c r="K107" s="7">
        <v>62150.209000000003</v>
      </c>
      <c r="L107" s="7">
        <v>4200.5519999999997</v>
      </c>
      <c r="M107" s="7">
        <v>0</v>
      </c>
      <c r="N107" s="7">
        <v>8757.5709999999999</v>
      </c>
      <c r="O107" s="7">
        <v>146369.902</v>
      </c>
      <c r="P107" s="7">
        <v>9884.8150000000005</v>
      </c>
      <c r="Q107" s="7">
        <v>0</v>
      </c>
      <c r="R107" s="7">
        <v>47.603000000000002</v>
      </c>
      <c r="S107" s="7">
        <v>2.673</v>
      </c>
      <c r="T107" s="7">
        <v>87.111000000000004</v>
      </c>
      <c r="U107" s="7">
        <v>0</v>
      </c>
      <c r="V107" s="7">
        <v>2885.3249999999998</v>
      </c>
      <c r="W107" s="7">
        <v>0</v>
      </c>
      <c r="X107" s="7">
        <v>1620.7349999999999</v>
      </c>
      <c r="Y107" s="7">
        <v>0</v>
      </c>
      <c r="Z107" s="7">
        <v>5.1429999999999998</v>
      </c>
      <c r="AA107" s="7">
        <v>815.447</v>
      </c>
      <c r="AB107" s="7">
        <v>9358.2900000000009</v>
      </c>
      <c r="AC107" s="7">
        <v>21433.360000000001</v>
      </c>
      <c r="AD107" s="7">
        <v>0</v>
      </c>
      <c r="AE107" s="7">
        <v>37.926000000000002</v>
      </c>
      <c r="AF107" s="7">
        <v>3108.5329999999999</v>
      </c>
      <c r="AG107" s="7">
        <v>1899.9860000000001</v>
      </c>
      <c r="AH107" s="7">
        <v>0</v>
      </c>
      <c r="AI107" s="7">
        <v>53527.449000000001</v>
      </c>
      <c r="AJ107" s="7">
        <v>27596.651000000002</v>
      </c>
      <c r="AK107" s="7">
        <v>0</v>
      </c>
      <c r="AL107" s="7">
        <v>175115.462</v>
      </c>
      <c r="AM107" s="7">
        <v>50476.892999999996</v>
      </c>
      <c r="AN107" s="7">
        <v>0</v>
      </c>
      <c r="AO107" s="7">
        <v>0</v>
      </c>
      <c r="AP107" s="7">
        <v>3181.924</v>
      </c>
      <c r="AQ107" s="7">
        <v>1465.432</v>
      </c>
      <c r="AR107" s="7">
        <v>0</v>
      </c>
      <c r="AS107" s="7">
        <v>0</v>
      </c>
      <c r="AT107" s="7">
        <v>0</v>
      </c>
      <c r="AU107" s="7">
        <v>122.05800000000001</v>
      </c>
      <c r="AV107" s="7">
        <v>335.14400000000001</v>
      </c>
      <c r="AW107" s="7">
        <v>0</v>
      </c>
      <c r="AX107" s="7">
        <v>8239.6659999999993</v>
      </c>
      <c r="AY107" s="7">
        <v>0</v>
      </c>
      <c r="AZ107" s="7">
        <v>31.882999999999999</v>
      </c>
      <c r="BA107" s="7">
        <v>0</v>
      </c>
      <c r="BB107" s="7">
        <v>240.535</v>
      </c>
      <c r="BC107" s="7">
        <v>0</v>
      </c>
      <c r="BD107" s="7">
        <v>0</v>
      </c>
      <c r="BE107" s="7">
        <v>0</v>
      </c>
      <c r="BF107" s="7">
        <v>673.62</v>
      </c>
      <c r="BG107" s="21"/>
    </row>
    <row r="108" spans="1:59" ht="15.75">
      <c r="A108" s="5" t="s">
        <v>200</v>
      </c>
      <c r="B108" s="5" t="s">
        <v>201</v>
      </c>
      <c r="C108" s="7">
        <v>4</v>
      </c>
      <c r="D108" s="7">
        <v>4</v>
      </c>
      <c r="E108" s="7">
        <v>2360.652</v>
      </c>
      <c r="F108" s="7">
        <v>697.13400000000001</v>
      </c>
      <c r="G108" s="7">
        <v>1.2290000000000001</v>
      </c>
      <c r="H108" s="7">
        <v>0</v>
      </c>
      <c r="I108" s="7">
        <v>35.398000000000003</v>
      </c>
      <c r="J108" s="7">
        <v>0.79</v>
      </c>
      <c r="K108" s="7">
        <v>3160.3789999999999</v>
      </c>
      <c r="L108" s="7">
        <v>222.84700000000001</v>
      </c>
      <c r="M108" s="7">
        <v>0</v>
      </c>
      <c r="N108" s="7">
        <v>404.024</v>
      </c>
      <c r="O108" s="7">
        <v>8399.5480000000007</v>
      </c>
      <c r="P108" s="7">
        <v>427.99400000000003</v>
      </c>
      <c r="Q108" s="7">
        <v>0</v>
      </c>
      <c r="R108" s="7">
        <v>3.2909999999999999</v>
      </c>
      <c r="S108" s="7">
        <v>0.161</v>
      </c>
      <c r="T108" s="7">
        <v>6.0220000000000002</v>
      </c>
      <c r="U108" s="7">
        <v>0</v>
      </c>
      <c r="V108" s="7">
        <v>174.03100000000001</v>
      </c>
      <c r="W108" s="7">
        <v>0</v>
      </c>
      <c r="X108" s="7">
        <v>112.05</v>
      </c>
      <c r="Y108" s="7">
        <v>0</v>
      </c>
      <c r="Z108" s="7">
        <v>0.11899999999999999</v>
      </c>
      <c r="AA108" s="7">
        <v>48.884</v>
      </c>
      <c r="AB108" s="7">
        <v>646.98699999999997</v>
      </c>
      <c r="AC108" s="7">
        <v>1295.0820000000001</v>
      </c>
      <c r="AD108" s="7">
        <v>0</v>
      </c>
      <c r="AE108" s="7">
        <v>0.878</v>
      </c>
      <c r="AF108" s="7">
        <v>214.90899999999999</v>
      </c>
      <c r="AG108" s="7">
        <v>114.708</v>
      </c>
      <c r="AH108" s="7">
        <v>0</v>
      </c>
      <c r="AI108" s="7">
        <v>3235.68</v>
      </c>
      <c r="AJ108" s="7">
        <v>1668.643</v>
      </c>
      <c r="AK108" s="7">
        <v>0</v>
      </c>
      <c r="AL108" s="7">
        <v>10582.207</v>
      </c>
      <c r="AM108" s="7">
        <v>3051.8829999999998</v>
      </c>
      <c r="AN108" s="7">
        <v>0</v>
      </c>
      <c r="AO108" s="7">
        <v>0</v>
      </c>
      <c r="AP108" s="7">
        <v>219.983</v>
      </c>
      <c r="AQ108" s="7">
        <v>101.313</v>
      </c>
      <c r="AR108" s="7">
        <v>0</v>
      </c>
      <c r="AS108" s="7">
        <v>0</v>
      </c>
      <c r="AT108" s="7">
        <v>0</v>
      </c>
      <c r="AU108" s="7">
        <v>7.37</v>
      </c>
      <c r="AV108" s="7">
        <v>23.17</v>
      </c>
      <c r="AW108" s="7">
        <v>0</v>
      </c>
      <c r="AX108" s="7">
        <v>498.255</v>
      </c>
      <c r="AY108" s="7">
        <v>0</v>
      </c>
      <c r="AZ108" s="7">
        <v>1.9239999999999999</v>
      </c>
      <c r="BA108" s="7">
        <v>0</v>
      </c>
      <c r="BB108" s="7">
        <v>14.42</v>
      </c>
      <c r="BC108" s="7">
        <v>0</v>
      </c>
      <c r="BD108" s="7">
        <v>0</v>
      </c>
      <c r="BE108" s="7">
        <v>0</v>
      </c>
      <c r="BF108" s="7">
        <v>46.570999999999998</v>
      </c>
      <c r="BG108" s="21"/>
    </row>
    <row r="109" spans="1:59" ht="15.75">
      <c r="A109" s="5" t="s">
        <v>202</v>
      </c>
      <c r="B109" s="5" t="s">
        <v>203</v>
      </c>
      <c r="C109" s="7">
        <v>4</v>
      </c>
      <c r="D109" s="7">
        <v>4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21"/>
    </row>
    <row r="110" spans="1:59" ht="15.75">
      <c r="A110" s="5" t="s">
        <v>204</v>
      </c>
      <c r="B110" s="5" t="s">
        <v>205</v>
      </c>
      <c r="C110" s="7">
        <v>4</v>
      </c>
      <c r="D110" s="7">
        <v>4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21"/>
    </row>
    <row r="111" spans="1:59" ht="15.75">
      <c r="A111" s="5" t="s">
        <v>206</v>
      </c>
      <c r="B111" s="5" t="s">
        <v>207</v>
      </c>
      <c r="C111" s="7">
        <v>6</v>
      </c>
      <c r="D111" s="7">
        <v>6</v>
      </c>
      <c r="E111" s="7">
        <v>60070.341</v>
      </c>
      <c r="F111" s="7">
        <v>650.45100000000002</v>
      </c>
      <c r="G111" s="7">
        <v>0</v>
      </c>
      <c r="H111" s="7">
        <v>8965.7139999999999</v>
      </c>
      <c r="I111" s="7">
        <v>0.29599999999999999</v>
      </c>
      <c r="J111" s="7">
        <v>0</v>
      </c>
      <c r="K111" s="7">
        <v>71735.251999999993</v>
      </c>
      <c r="L111" s="7">
        <v>596.48299999999995</v>
      </c>
      <c r="M111" s="7">
        <v>0</v>
      </c>
      <c r="N111" s="7">
        <v>21935.87</v>
      </c>
      <c r="O111" s="7">
        <v>120004.33900000001</v>
      </c>
      <c r="P111" s="7">
        <v>19165.722000000002</v>
      </c>
      <c r="Q111" s="7">
        <v>0</v>
      </c>
      <c r="R111" s="7">
        <v>0</v>
      </c>
      <c r="S111" s="7">
        <v>1E-3</v>
      </c>
      <c r="T111" s="7">
        <v>0</v>
      </c>
      <c r="U111" s="7">
        <v>2E-3</v>
      </c>
      <c r="V111" s="7">
        <v>1.4490000000000001</v>
      </c>
      <c r="W111" s="7">
        <v>0</v>
      </c>
      <c r="X111" s="7">
        <v>0</v>
      </c>
      <c r="Y111" s="7">
        <v>0</v>
      </c>
      <c r="Z111" s="7">
        <v>0</v>
      </c>
      <c r="AA111" s="7">
        <v>0.40500000000000003</v>
      </c>
      <c r="AB111" s="7">
        <v>0</v>
      </c>
      <c r="AC111" s="7">
        <v>26731.580999999998</v>
      </c>
      <c r="AD111" s="7">
        <v>0</v>
      </c>
      <c r="AE111" s="7">
        <v>0</v>
      </c>
      <c r="AF111" s="7">
        <v>0</v>
      </c>
      <c r="AG111" s="7">
        <v>0.95599999999999996</v>
      </c>
      <c r="AH111" s="7">
        <v>0</v>
      </c>
      <c r="AI111" s="7">
        <v>92642.129000000001</v>
      </c>
      <c r="AJ111" s="7">
        <v>3847.4389999999999</v>
      </c>
      <c r="AK111" s="7">
        <v>0</v>
      </c>
      <c r="AL111" s="7">
        <v>218650.60800000001</v>
      </c>
      <c r="AM111" s="7">
        <v>5254.4750000000004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6.0999999999999999E-2</v>
      </c>
      <c r="AV111" s="7">
        <v>0</v>
      </c>
      <c r="AW111" s="7">
        <v>0</v>
      </c>
      <c r="AX111" s="7">
        <v>4.1550000000000002</v>
      </c>
      <c r="AY111" s="7">
        <v>0</v>
      </c>
      <c r="AZ111" s="7">
        <v>2.1999999999999999E-2</v>
      </c>
      <c r="BA111" s="7">
        <v>0</v>
      </c>
      <c r="BB111" s="7">
        <v>0.11899999999999999</v>
      </c>
      <c r="BC111" s="7">
        <v>0</v>
      </c>
      <c r="BD111" s="7">
        <v>0</v>
      </c>
      <c r="BE111" s="7">
        <v>0</v>
      </c>
      <c r="BF111" s="7">
        <v>0</v>
      </c>
      <c r="BG111" s="21"/>
    </row>
    <row r="112" spans="1:59" ht="15.75">
      <c r="A112" s="5" t="s">
        <v>208</v>
      </c>
      <c r="B112" s="5" t="s">
        <v>209</v>
      </c>
      <c r="C112" s="7">
        <v>4</v>
      </c>
      <c r="D112" s="7">
        <v>4</v>
      </c>
      <c r="E112" s="7">
        <v>60791.38</v>
      </c>
      <c r="F112" s="7">
        <v>17951.205000000002</v>
      </c>
      <c r="G112" s="7">
        <v>0</v>
      </c>
      <c r="H112" s="7">
        <v>0</v>
      </c>
      <c r="I112" s="7">
        <v>906.721</v>
      </c>
      <c r="J112" s="7">
        <v>0</v>
      </c>
      <c r="K112" s="7">
        <v>81217.841</v>
      </c>
      <c r="L112" s="7">
        <v>5704.1540000000005</v>
      </c>
      <c r="M112" s="7">
        <v>0</v>
      </c>
      <c r="N112" s="7">
        <v>10323.395</v>
      </c>
      <c r="O112" s="7">
        <v>216972.842</v>
      </c>
      <c r="P112" s="7">
        <v>10964.13</v>
      </c>
      <c r="Q112" s="7">
        <v>0</v>
      </c>
      <c r="R112" s="7">
        <v>0</v>
      </c>
      <c r="S112" s="7">
        <v>4.1420000000000003</v>
      </c>
      <c r="T112" s="7">
        <v>0</v>
      </c>
      <c r="U112" s="7">
        <v>0</v>
      </c>
      <c r="V112" s="7">
        <v>4469.1790000000001</v>
      </c>
      <c r="W112" s="7">
        <v>0</v>
      </c>
      <c r="X112" s="7">
        <v>0</v>
      </c>
      <c r="Y112" s="7">
        <v>0</v>
      </c>
      <c r="Z112" s="7">
        <v>0</v>
      </c>
      <c r="AA112" s="7">
        <v>1249.8340000000001</v>
      </c>
      <c r="AB112" s="7">
        <v>0</v>
      </c>
      <c r="AC112" s="7">
        <v>33329.624000000003</v>
      </c>
      <c r="AD112" s="7">
        <v>0</v>
      </c>
      <c r="AE112" s="7">
        <v>0</v>
      </c>
      <c r="AF112" s="7">
        <v>29.26</v>
      </c>
      <c r="AG112" s="7">
        <v>2946.4679999999998</v>
      </c>
      <c r="AH112" s="7">
        <v>0</v>
      </c>
      <c r="AI112" s="7">
        <v>83390.273000000001</v>
      </c>
      <c r="AJ112" s="7">
        <v>42975.737999999998</v>
      </c>
      <c r="AK112" s="7">
        <v>0</v>
      </c>
      <c r="AL112" s="7">
        <v>273959.99800000002</v>
      </c>
      <c r="AM112" s="7">
        <v>78539.944000000003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189.548</v>
      </c>
      <c r="AV112" s="7">
        <v>0</v>
      </c>
      <c r="AW112" s="7">
        <v>0</v>
      </c>
      <c r="AX112" s="7">
        <v>12840.093999999999</v>
      </c>
      <c r="AY112" s="7">
        <v>0</v>
      </c>
      <c r="AZ112" s="7">
        <v>49.402999999999999</v>
      </c>
      <c r="BA112" s="7">
        <v>0</v>
      </c>
      <c r="BB112" s="7">
        <v>590.50699999999995</v>
      </c>
      <c r="BC112" s="7">
        <v>0</v>
      </c>
      <c r="BD112" s="7">
        <v>0</v>
      </c>
      <c r="BE112" s="7">
        <v>19.266999999999999</v>
      </c>
      <c r="BF112" s="7">
        <v>0</v>
      </c>
      <c r="BG112" s="21"/>
    </row>
    <row r="113" spans="1:59" ht="15.75">
      <c r="A113" s="5" t="s">
        <v>210</v>
      </c>
      <c r="B113" s="5" t="s">
        <v>211</v>
      </c>
      <c r="C113" s="7">
        <v>4</v>
      </c>
      <c r="D113" s="7">
        <v>4</v>
      </c>
      <c r="E113" s="7">
        <v>187016.696</v>
      </c>
      <c r="F113" s="7">
        <v>54288.870999999999</v>
      </c>
      <c r="G113" s="7">
        <v>0</v>
      </c>
      <c r="H113" s="7">
        <v>0</v>
      </c>
      <c r="I113" s="7">
        <v>2307.471</v>
      </c>
      <c r="J113" s="7">
        <v>0</v>
      </c>
      <c r="K113" s="7">
        <v>228220.20499999999</v>
      </c>
      <c r="L113" s="7">
        <v>20045.550999999999</v>
      </c>
      <c r="M113" s="7">
        <v>0</v>
      </c>
      <c r="N113" s="7">
        <v>22213.118999999999</v>
      </c>
      <c r="O113" s="7">
        <v>642773.37899999996</v>
      </c>
      <c r="P113" s="7">
        <v>34041.955000000002</v>
      </c>
      <c r="Q113" s="7">
        <v>0</v>
      </c>
      <c r="R113" s="7">
        <v>0</v>
      </c>
      <c r="S113" s="7">
        <v>0.55300000000000005</v>
      </c>
      <c r="T113" s="7">
        <v>0</v>
      </c>
      <c r="U113" s="7">
        <v>0</v>
      </c>
      <c r="V113" s="7">
        <v>16564.062999999998</v>
      </c>
      <c r="W113" s="7">
        <v>0</v>
      </c>
      <c r="X113" s="7">
        <v>0</v>
      </c>
      <c r="Y113" s="7">
        <v>0</v>
      </c>
      <c r="Z113" s="7">
        <v>0</v>
      </c>
      <c r="AA113" s="7">
        <v>3514.5590000000002</v>
      </c>
      <c r="AB113" s="7">
        <v>0</v>
      </c>
      <c r="AC113" s="7">
        <v>100801.85</v>
      </c>
      <c r="AD113" s="7">
        <v>0</v>
      </c>
      <c r="AE113" s="7">
        <v>0</v>
      </c>
      <c r="AF113" s="7">
        <v>35.747</v>
      </c>
      <c r="AG113" s="7">
        <v>9088.3289999999997</v>
      </c>
      <c r="AH113" s="7">
        <v>0</v>
      </c>
      <c r="AI113" s="7">
        <v>254539.36199999999</v>
      </c>
      <c r="AJ113" s="7">
        <v>128715.092</v>
      </c>
      <c r="AK113" s="7">
        <v>0</v>
      </c>
      <c r="AL113" s="7">
        <v>856881.38300000003</v>
      </c>
      <c r="AM113" s="7">
        <v>233856.73800000001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936.03700000000003</v>
      </c>
      <c r="AV113" s="7">
        <v>0</v>
      </c>
      <c r="AW113" s="7">
        <v>36983.305999999997</v>
      </c>
      <c r="AX113" s="7">
        <v>37516.726999999999</v>
      </c>
      <c r="AY113" s="7">
        <v>16902.642</v>
      </c>
      <c r="AZ113" s="7">
        <v>157.96100000000001</v>
      </c>
      <c r="BA113" s="7">
        <v>0</v>
      </c>
      <c r="BB113" s="7">
        <v>1146.107</v>
      </c>
      <c r="BC113" s="7">
        <v>61078.398000000001</v>
      </c>
      <c r="BD113" s="7">
        <v>56527.72</v>
      </c>
      <c r="BE113" s="7">
        <v>31808.216</v>
      </c>
      <c r="BF113" s="7">
        <v>0</v>
      </c>
      <c r="BG113" s="21"/>
    </row>
    <row r="114" spans="1:59" ht="15.75">
      <c r="A114" s="5" t="s">
        <v>212</v>
      </c>
      <c r="B114" s="5" t="s">
        <v>213</v>
      </c>
      <c r="C114" s="7">
        <v>4</v>
      </c>
      <c r="D114" s="7">
        <v>4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21"/>
    </row>
    <row r="115" spans="1:59" ht="15.75">
      <c r="A115" s="5" t="s">
        <v>214</v>
      </c>
      <c r="B115" s="5" t="s">
        <v>215</v>
      </c>
      <c r="C115" s="7">
        <v>6</v>
      </c>
      <c r="D115" s="7">
        <v>6</v>
      </c>
      <c r="E115" s="7">
        <v>0</v>
      </c>
      <c r="F115" s="7">
        <v>43.603999999999999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0.752</v>
      </c>
      <c r="O115" s="7">
        <v>-0.23899999999999999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365.375</v>
      </c>
      <c r="AJ115" s="7">
        <v>24.434000000000001</v>
      </c>
      <c r="AK115" s="7">
        <v>0</v>
      </c>
      <c r="AL115" s="7">
        <v>305.10399999999998</v>
      </c>
      <c r="AM115" s="7">
        <v>12.781000000000001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21"/>
    </row>
    <row r="116" spans="1:59" ht="15.75">
      <c r="A116" s="5" t="s">
        <v>216</v>
      </c>
      <c r="B116" s="5" t="s">
        <v>217</v>
      </c>
      <c r="C116" s="7">
        <v>6</v>
      </c>
      <c r="D116" s="7">
        <v>6</v>
      </c>
      <c r="E116" s="7">
        <v>55078.413999999997</v>
      </c>
      <c r="F116" s="7">
        <v>1177.529</v>
      </c>
      <c r="G116" s="7">
        <v>0</v>
      </c>
      <c r="H116" s="7">
        <v>0</v>
      </c>
      <c r="I116" s="7">
        <v>77.78</v>
      </c>
      <c r="J116" s="7">
        <v>0</v>
      </c>
      <c r="K116" s="7">
        <v>60935.658000000003</v>
      </c>
      <c r="L116" s="7">
        <v>4723.7709999999997</v>
      </c>
      <c r="M116" s="7">
        <v>0</v>
      </c>
      <c r="N116" s="7">
        <v>32598.031999999999</v>
      </c>
      <c r="O116" s="7">
        <v>187345.13099999999</v>
      </c>
      <c r="P116" s="7">
        <v>34805.294999999998</v>
      </c>
      <c r="Q116" s="7">
        <v>0</v>
      </c>
      <c r="R116" s="7">
        <v>0</v>
      </c>
      <c r="S116" s="7">
        <v>25.927</v>
      </c>
      <c r="T116" s="7">
        <v>0</v>
      </c>
      <c r="U116" s="7">
        <v>25.927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259.26799999999997</v>
      </c>
      <c r="AB116" s="7">
        <v>0</v>
      </c>
      <c r="AC116" s="7">
        <v>18730.078000000001</v>
      </c>
      <c r="AD116" s="7">
        <v>0</v>
      </c>
      <c r="AE116" s="7">
        <v>2437.116</v>
      </c>
      <c r="AF116" s="7">
        <v>0</v>
      </c>
      <c r="AG116" s="7">
        <v>207.41399999999999</v>
      </c>
      <c r="AH116" s="7">
        <v>0</v>
      </c>
      <c r="AI116" s="7">
        <v>55974.01</v>
      </c>
      <c r="AJ116" s="7">
        <v>114.319</v>
      </c>
      <c r="AK116" s="7">
        <v>0</v>
      </c>
      <c r="AL116" s="7">
        <v>219632.962</v>
      </c>
      <c r="AM116" s="7">
        <v>77.491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21"/>
    </row>
    <row r="117" spans="1:59" ht="15.75">
      <c r="A117" s="5" t="s">
        <v>218</v>
      </c>
      <c r="B117" s="5" t="s">
        <v>219</v>
      </c>
      <c r="C117" s="7">
        <v>4</v>
      </c>
      <c r="D117" s="7">
        <v>4</v>
      </c>
      <c r="E117" s="7">
        <v>19631.114000000001</v>
      </c>
      <c r="F117" s="7">
        <v>5799.585</v>
      </c>
      <c r="G117" s="7">
        <v>0</v>
      </c>
      <c r="H117" s="7">
        <v>10776.135</v>
      </c>
      <c r="I117" s="7">
        <v>293.75400000000002</v>
      </c>
      <c r="J117" s="7">
        <v>0</v>
      </c>
      <c r="K117" s="7">
        <v>26308.473000000002</v>
      </c>
      <c r="L117" s="7">
        <v>1846.9469999999999</v>
      </c>
      <c r="M117" s="7">
        <v>0</v>
      </c>
      <c r="N117" s="7">
        <v>3345.3980000000001</v>
      </c>
      <c r="O117" s="7">
        <v>69923.604000000007</v>
      </c>
      <c r="P117" s="7">
        <v>3546.2370000000001</v>
      </c>
      <c r="Q117" s="7">
        <v>0</v>
      </c>
      <c r="R117" s="7">
        <v>0</v>
      </c>
      <c r="S117" s="7">
        <v>1.343</v>
      </c>
      <c r="T117" s="7">
        <v>0</v>
      </c>
      <c r="U117" s="7">
        <v>0</v>
      </c>
      <c r="V117" s="7">
        <v>1446.8510000000001</v>
      </c>
      <c r="W117" s="7">
        <v>0</v>
      </c>
      <c r="X117" s="7">
        <v>0</v>
      </c>
      <c r="Y117" s="7">
        <v>0</v>
      </c>
      <c r="Z117" s="7">
        <v>0</v>
      </c>
      <c r="AA117" s="7">
        <v>404.85399999999998</v>
      </c>
      <c r="AB117" s="7">
        <v>0</v>
      </c>
      <c r="AC117" s="7">
        <v>10778.974</v>
      </c>
      <c r="AD117" s="7">
        <v>0</v>
      </c>
      <c r="AE117" s="7">
        <v>0</v>
      </c>
      <c r="AF117" s="7">
        <v>0</v>
      </c>
      <c r="AG117" s="7">
        <v>954.21600000000001</v>
      </c>
      <c r="AH117" s="7">
        <v>7228.6570000000002</v>
      </c>
      <c r="AI117" s="7">
        <v>26937.602999999999</v>
      </c>
      <c r="AJ117" s="7">
        <v>13894.789000000001</v>
      </c>
      <c r="AK117" s="7">
        <v>33556.796000000002</v>
      </c>
      <c r="AL117" s="7">
        <v>88081.43</v>
      </c>
      <c r="AM117" s="7">
        <v>25413.026999999998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61.31</v>
      </c>
      <c r="AV117" s="7">
        <v>0</v>
      </c>
      <c r="AW117" s="7">
        <v>0</v>
      </c>
      <c r="AX117" s="7">
        <v>4148.973</v>
      </c>
      <c r="AY117" s="7">
        <v>0</v>
      </c>
      <c r="AZ117" s="7">
        <v>15.997</v>
      </c>
      <c r="BA117" s="7">
        <v>0</v>
      </c>
      <c r="BB117" s="7">
        <v>2056.7150000000001</v>
      </c>
      <c r="BC117" s="7">
        <v>0</v>
      </c>
      <c r="BD117" s="7">
        <v>0</v>
      </c>
      <c r="BE117" s="7">
        <v>0</v>
      </c>
      <c r="BF117" s="7">
        <v>0</v>
      </c>
      <c r="BG117" s="21"/>
    </row>
    <row r="118" spans="1:59" ht="15.75">
      <c r="A118" s="5" t="s">
        <v>220</v>
      </c>
      <c r="B118" s="5" t="s">
        <v>221</v>
      </c>
      <c r="C118" s="7">
        <v>4</v>
      </c>
      <c r="D118" s="7">
        <v>4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432792.29800000001</v>
      </c>
      <c r="AP118" s="7">
        <v>0</v>
      </c>
      <c r="AQ118" s="7">
        <v>0</v>
      </c>
      <c r="AR118" s="7">
        <v>260469.41500000001</v>
      </c>
      <c r="AS118" s="7">
        <v>0</v>
      </c>
      <c r="AT118" s="7">
        <v>141611.185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1578.1479999999999</v>
      </c>
      <c r="BC118" s="7">
        <v>0</v>
      </c>
      <c r="BD118" s="7">
        <v>0</v>
      </c>
      <c r="BE118" s="7">
        <v>0</v>
      </c>
      <c r="BF118" s="7">
        <v>0</v>
      </c>
      <c r="BG118" s="21"/>
    </row>
    <row r="119" spans="1:59" ht="15.75">
      <c r="A119" s="5" t="s">
        <v>222</v>
      </c>
      <c r="B119" s="5" t="s">
        <v>223</v>
      </c>
      <c r="C119" s="7">
        <v>4</v>
      </c>
      <c r="D119" s="7">
        <v>3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2316.6909999999998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10599.849</v>
      </c>
      <c r="AI119" s="7">
        <v>0</v>
      </c>
      <c r="AJ119" s="7">
        <v>0</v>
      </c>
      <c r="AK119" s="7">
        <v>44014.567000000003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41.287999999999997</v>
      </c>
      <c r="BA119" s="7">
        <v>0</v>
      </c>
      <c r="BB119" s="7">
        <v>2062.7020000000002</v>
      </c>
      <c r="BC119" s="7">
        <v>0</v>
      </c>
      <c r="BD119" s="7">
        <v>0</v>
      </c>
      <c r="BE119" s="7">
        <v>0</v>
      </c>
      <c r="BF119" s="7">
        <v>0</v>
      </c>
      <c r="BG119" s="21"/>
    </row>
    <row r="120" spans="1:59" ht="15.75">
      <c r="A120" s="5" t="s">
        <v>224</v>
      </c>
      <c r="B120" s="5" t="s">
        <v>225</v>
      </c>
      <c r="C120" s="7">
        <v>4</v>
      </c>
      <c r="D120" s="7">
        <v>3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21"/>
    </row>
    <row r="121" spans="1:59" ht="15.75">
      <c r="A121" s="5" t="s">
        <v>226</v>
      </c>
      <c r="B121" s="5" t="s">
        <v>227</v>
      </c>
      <c r="C121" s="7">
        <v>4</v>
      </c>
      <c r="D121" s="7">
        <v>4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21"/>
    </row>
    <row r="122" spans="1:59" ht="15.75">
      <c r="A122" s="5" t="s">
        <v>228</v>
      </c>
      <c r="B122" s="5" t="s">
        <v>229</v>
      </c>
      <c r="C122" s="7">
        <v>4</v>
      </c>
      <c r="D122" s="7">
        <v>6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21"/>
    </row>
    <row r="123" spans="1:59" ht="15.75">
      <c r="A123" s="5" t="s">
        <v>230</v>
      </c>
      <c r="B123" s="5" t="s">
        <v>231</v>
      </c>
      <c r="C123" s="7">
        <v>4</v>
      </c>
      <c r="D123" s="7">
        <v>4</v>
      </c>
      <c r="E123" s="7">
        <v>151501.071</v>
      </c>
      <c r="F123" s="7">
        <v>44260.624000000003</v>
      </c>
      <c r="G123" s="7">
        <v>0</v>
      </c>
      <c r="H123" s="7">
        <v>0</v>
      </c>
      <c r="I123" s="7">
        <v>1789.0650000000001</v>
      </c>
      <c r="J123" s="7">
        <v>0</v>
      </c>
      <c r="K123" s="7">
        <v>178834.372</v>
      </c>
      <c r="L123" s="7">
        <v>16123.169</v>
      </c>
      <c r="M123" s="7">
        <v>0</v>
      </c>
      <c r="N123" s="7">
        <v>16279.605</v>
      </c>
      <c r="O123" s="7">
        <v>520626.42700000003</v>
      </c>
      <c r="P123" s="7">
        <v>26786.616999999998</v>
      </c>
      <c r="Q123" s="7">
        <v>0</v>
      </c>
      <c r="R123" s="7">
        <v>2217.4569999999999</v>
      </c>
      <c r="S123" s="7">
        <v>0</v>
      </c>
      <c r="T123" s="7">
        <v>1337.7339999999999</v>
      </c>
      <c r="U123" s="7">
        <v>0</v>
      </c>
      <c r="V123" s="7">
        <v>13667.755999999999</v>
      </c>
      <c r="W123" s="7">
        <v>0</v>
      </c>
      <c r="X123" s="7">
        <v>25098.705000000002</v>
      </c>
      <c r="Y123" s="7">
        <v>0</v>
      </c>
      <c r="Z123" s="7">
        <v>0</v>
      </c>
      <c r="AA123" s="7">
        <v>2741.78</v>
      </c>
      <c r="AB123" s="7">
        <v>0</v>
      </c>
      <c r="AC123" s="7">
        <v>87614.285999999993</v>
      </c>
      <c r="AD123" s="7">
        <v>34360.078999999998</v>
      </c>
      <c r="AE123" s="7">
        <v>0</v>
      </c>
      <c r="AF123" s="7">
        <v>58970.470999999998</v>
      </c>
      <c r="AG123" s="7">
        <v>7493.5010000000002</v>
      </c>
      <c r="AH123" s="7">
        <v>10120.215</v>
      </c>
      <c r="AI123" s="7">
        <v>221344.06599999999</v>
      </c>
      <c r="AJ123" s="7">
        <v>105743.417</v>
      </c>
      <c r="AK123" s="7">
        <v>45649.392999999996</v>
      </c>
      <c r="AL123" s="7">
        <v>666707.40399999998</v>
      </c>
      <c r="AM123" s="7">
        <v>192770.81</v>
      </c>
      <c r="AN123" s="7">
        <v>206318.32800000001</v>
      </c>
      <c r="AO123" s="7">
        <v>1317265.9380000001</v>
      </c>
      <c r="AP123" s="7">
        <v>49218.983999999997</v>
      </c>
      <c r="AQ123" s="7">
        <v>21144.662</v>
      </c>
      <c r="AR123" s="7">
        <v>792776.32499999995</v>
      </c>
      <c r="AS123" s="7">
        <v>0</v>
      </c>
      <c r="AT123" s="7">
        <v>431014.12</v>
      </c>
      <c r="AU123" s="7">
        <v>828.149</v>
      </c>
      <c r="AV123" s="7">
        <v>4655.652</v>
      </c>
      <c r="AW123" s="7">
        <v>0</v>
      </c>
      <c r="AX123" s="7">
        <v>31803.573</v>
      </c>
      <c r="AY123" s="7">
        <v>0</v>
      </c>
      <c r="AZ123" s="7">
        <v>137.63999999999999</v>
      </c>
      <c r="BA123" s="7">
        <v>0</v>
      </c>
      <c r="BB123" s="7">
        <v>997.40099999999995</v>
      </c>
      <c r="BC123" s="7">
        <v>0</v>
      </c>
      <c r="BD123" s="7">
        <v>0</v>
      </c>
      <c r="BE123" s="7">
        <v>44783.936999999998</v>
      </c>
      <c r="BF123" s="7">
        <v>0</v>
      </c>
      <c r="BG123" s="21"/>
    </row>
    <row r="124" spans="1:59" ht="15.75">
      <c r="A124" s="5" t="s">
        <v>232</v>
      </c>
      <c r="B124" s="5" t="s">
        <v>233</v>
      </c>
      <c r="C124" s="7">
        <v>4</v>
      </c>
      <c r="D124" s="7">
        <v>3</v>
      </c>
      <c r="E124" s="7">
        <v>406.608</v>
      </c>
      <c r="F124" s="7">
        <v>746.11900000000003</v>
      </c>
      <c r="G124" s="7">
        <v>827.87199999999996</v>
      </c>
      <c r="H124" s="7">
        <v>241.63300000000001</v>
      </c>
      <c r="I124" s="7">
        <v>102.139</v>
      </c>
      <c r="J124" s="7">
        <v>620.12099999999998</v>
      </c>
      <c r="K124" s="7">
        <v>249.23</v>
      </c>
      <c r="L124" s="7">
        <v>306.26100000000002</v>
      </c>
      <c r="M124" s="7">
        <v>0</v>
      </c>
      <c r="N124" s="7">
        <v>808.24800000000005</v>
      </c>
      <c r="O124" s="7">
        <v>2379.63</v>
      </c>
      <c r="P124" s="7">
        <v>1044.93</v>
      </c>
      <c r="Q124" s="7">
        <v>0</v>
      </c>
      <c r="R124" s="7">
        <v>0</v>
      </c>
      <c r="S124" s="7">
        <v>2E-3</v>
      </c>
      <c r="T124" s="7">
        <v>570.48900000000003</v>
      </c>
      <c r="U124" s="7">
        <v>676.22199999999998</v>
      </c>
      <c r="V124" s="7">
        <v>314.78100000000001</v>
      </c>
      <c r="W124" s="7">
        <v>0</v>
      </c>
      <c r="X124" s="7">
        <v>4248.4939999999997</v>
      </c>
      <c r="Y124" s="7">
        <v>0</v>
      </c>
      <c r="Z124" s="7">
        <v>72.771000000000001</v>
      </c>
      <c r="AA124" s="7">
        <v>46.408999999999999</v>
      </c>
      <c r="AB124" s="7">
        <v>0</v>
      </c>
      <c r="AC124" s="7">
        <v>239.773</v>
      </c>
      <c r="AD124" s="7">
        <v>18533.093000000001</v>
      </c>
      <c r="AE124" s="7">
        <v>1189.499</v>
      </c>
      <c r="AF124" s="7">
        <v>0</v>
      </c>
      <c r="AG124" s="7">
        <v>182.87799999999999</v>
      </c>
      <c r="AH124" s="7">
        <v>2603.8449999999998</v>
      </c>
      <c r="AI124" s="7">
        <v>4.5979999999999999</v>
      </c>
      <c r="AJ124" s="7">
        <v>9.9169999999999998</v>
      </c>
      <c r="AK124" s="7">
        <v>8061.0569999999998</v>
      </c>
      <c r="AL124" s="7">
        <v>7788.1959999999999</v>
      </c>
      <c r="AM124" s="7">
        <v>0.246</v>
      </c>
      <c r="AN124" s="7">
        <v>108567.405</v>
      </c>
      <c r="AO124" s="7">
        <v>0</v>
      </c>
      <c r="AP124" s="7">
        <v>11446.227000000001</v>
      </c>
      <c r="AQ124" s="7">
        <v>6690.6260000000002</v>
      </c>
      <c r="AR124" s="7">
        <v>0</v>
      </c>
      <c r="AS124" s="7">
        <v>0</v>
      </c>
      <c r="AT124" s="7">
        <v>0</v>
      </c>
      <c r="AU124" s="7">
        <v>23.661999999999999</v>
      </c>
      <c r="AV124" s="7">
        <v>2347.989</v>
      </c>
      <c r="AW124" s="7">
        <v>0</v>
      </c>
      <c r="AX124" s="7">
        <v>1.391</v>
      </c>
      <c r="AY124" s="7">
        <v>0</v>
      </c>
      <c r="AZ124" s="7">
        <v>1.0840000000000001</v>
      </c>
      <c r="BA124" s="7">
        <v>0</v>
      </c>
      <c r="BB124" s="7">
        <v>47.399000000000001</v>
      </c>
      <c r="BC124" s="7">
        <v>0</v>
      </c>
      <c r="BD124" s="7">
        <v>0</v>
      </c>
      <c r="BE124" s="7">
        <v>3642.9609999999998</v>
      </c>
      <c r="BF124" s="7">
        <v>0</v>
      </c>
      <c r="BG124" s="21"/>
    </row>
    <row r="125" spans="1:59" ht="15.75">
      <c r="A125" s="5" t="s">
        <v>234</v>
      </c>
      <c r="B125" s="5" t="s">
        <v>235</v>
      </c>
      <c r="C125" s="7">
        <v>4</v>
      </c>
      <c r="D125" s="7">
        <v>4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21"/>
    </row>
    <row r="126" spans="1:59" ht="15.75">
      <c r="A126" s="5" t="s">
        <v>228</v>
      </c>
      <c r="B126" s="5" t="s">
        <v>236</v>
      </c>
      <c r="C126" s="7">
        <v>4</v>
      </c>
      <c r="D126" s="7">
        <v>6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21"/>
    </row>
    <row r="127" spans="1:59" ht="15.75">
      <c r="A127" s="5" t="s">
        <v>237</v>
      </c>
      <c r="B127" s="5" t="s">
        <v>238</v>
      </c>
      <c r="C127" s="7">
        <v>4</v>
      </c>
      <c r="D127" s="7">
        <v>4</v>
      </c>
      <c r="E127" s="7">
        <v>11.092000000000001</v>
      </c>
      <c r="F127" s="7">
        <v>1.427</v>
      </c>
      <c r="G127" s="7">
        <v>5.1520000000000001</v>
      </c>
      <c r="H127" s="7">
        <v>0</v>
      </c>
      <c r="I127" s="7">
        <v>0.34899999999999998</v>
      </c>
      <c r="J127" s="7">
        <v>3.5310000000000001</v>
      </c>
      <c r="K127" s="7">
        <v>2.4609999999999999</v>
      </c>
      <c r="L127" s="7">
        <v>3.3959999999999999</v>
      </c>
      <c r="M127" s="7">
        <v>0</v>
      </c>
      <c r="N127" s="7">
        <v>7.4820000000000002</v>
      </c>
      <c r="O127" s="7">
        <v>5.16</v>
      </c>
      <c r="P127" s="7">
        <v>7.2960000000000003</v>
      </c>
      <c r="Q127" s="7">
        <v>0</v>
      </c>
      <c r="R127" s="7">
        <v>0</v>
      </c>
      <c r="S127" s="7">
        <v>1E-3</v>
      </c>
      <c r="T127" s="7">
        <v>0</v>
      </c>
      <c r="U127" s="7">
        <v>101.74299999999999</v>
      </c>
      <c r="V127" s="7">
        <v>0.63600000000000001</v>
      </c>
      <c r="W127" s="7">
        <v>0</v>
      </c>
      <c r="X127" s="7">
        <v>0</v>
      </c>
      <c r="Y127" s="7">
        <v>0</v>
      </c>
      <c r="Z127" s="7">
        <v>0.318</v>
      </c>
      <c r="AA127" s="7">
        <v>1.0489999999999999</v>
      </c>
      <c r="AB127" s="7">
        <v>0</v>
      </c>
      <c r="AC127" s="7">
        <v>1.6180000000000001</v>
      </c>
      <c r="AD127" s="7">
        <v>0</v>
      </c>
      <c r="AE127" s="7">
        <v>4.1150000000000002</v>
      </c>
      <c r="AF127" s="7">
        <v>0</v>
      </c>
      <c r="AG127" s="7">
        <v>0.25900000000000001</v>
      </c>
      <c r="AH127" s="7">
        <v>0</v>
      </c>
      <c r="AI127" s="7">
        <v>3.5539999999999998</v>
      </c>
      <c r="AJ127" s="7">
        <v>0</v>
      </c>
      <c r="AK127" s="7">
        <v>0</v>
      </c>
      <c r="AL127" s="7">
        <v>17.353000000000002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0.03</v>
      </c>
      <c r="AV127" s="7">
        <v>0</v>
      </c>
      <c r="AW127" s="7">
        <v>0</v>
      </c>
      <c r="AX127" s="7">
        <v>0</v>
      </c>
      <c r="AY127" s="7">
        <v>0</v>
      </c>
      <c r="AZ127" s="7">
        <v>2E-3</v>
      </c>
      <c r="BA127" s="7">
        <v>0</v>
      </c>
      <c r="BB127" s="7">
        <v>0.125</v>
      </c>
      <c r="BC127" s="7">
        <v>0</v>
      </c>
      <c r="BD127" s="7">
        <v>0</v>
      </c>
      <c r="BE127" s="7">
        <v>0</v>
      </c>
      <c r="BF127" s="7">
        <v>0</v>
      </c>
      <c r="BG127" s="21"/>
    </row>
    <row r="128" spans="1:59" ht="15.75">
      <c r="A128" s="5" t="s">
        <v>239</v>
      </c>
      <c r="B128" s="5" t="s">
        <v>240</v>
      </c>
      <c r="C128" s="7">
        <v>4</v>
      </c>
      <c r="D128" s="7">
        <v>3</v>
      </c>
      <c r="E128" s="7">
        <v>1616.1020000000001</v>
      </c>
      <c r="F128" s="7">
        <v>3448.402</v>
      </c>
      <c r="G128" s="7">
        <v>313.95</v>
      </c>
      <c r="H128" s="7">
        <v>1649.078</v>
      </c>
      <c r="I128" s="7">
        <v>474.892</v>
      </c>
      <c r="J128" s="7">
        <v>2743.585</v>
      </c>
      <c r="K128" s="7">
        <v>63.640999999999998</v>
      </c>
      <c r="L128" s="7">
        <v>1594.35</v>
      </c>
      <c r="M128" s="7">
        <v>0</v>
      </c>
      <c r="N128" s="7">
        <v>5224.5020000000004</v>
      </c>
      <c r="O128" s="7">
        <v>9505.7309999999998</v>
      </c>
      <c r="P128" s="7">
        <v>5055.1480000000001</v>
      </c>
      <c r="Q128" s="7">
        <v>0</v>
      </c>
      <c r="R128" s="7">
        <v>0</v>
      </c>
      <c r="S128" s="7">
        <v>1.4999999999999999E-2</v>
      </c>
      <c r="T128" s="7">
        <v>0</v>
      </c>
      <c r="U128" s="7">
        <v>0.10199999999999999</v>
      </c>
      <c r="V128" s="7">
        <v>1426.4280000000001</v>
      </c>
      <c r="W128" s="7">
        <v>0</v>
      </c>
      <c r="X128" s="7">
        <v>0</v>
      </c>
      <c r="Y128" s="7">
        <v>0</v>
      </c>
      <c r="Z128" s="7">
        <v>251.62299999999999</v>
      </c>
      <c r="AA128" s="7">
        <v>303.52699999999999</v>
      </c>
      <c r="AB128" s="7">
        <v>0</v>
      </c>
      <c r="AC128" s="7">
        <v>0.37</v>
      </c>
      <c r="AD128" s="7">
        <v>0</v>
      </c>
      <c r="AE128" s="7">
        <v>5650.2730000000001</v>
      </c>
      <c r="AF128" s="7">
        <v>0</v>
      </c>
      <c r="AG128" s="7">
        <v>633.85400000000004</v>
      </c>
      <c r="AH128" s="7">
        <v>0</v>
      </c>
      <c r="AI128" s="7">
        <v>16.148</v>
      </c>
      <c r="AJ128" s="7">
        <v>67.680999999999997</v>
      </c>
      <c r="AK128" s="7">
        <v>0</v>
      </c>
      <c r="AL128" s="7">
        <v>25128.294999999998</v>
      </c>
      <c r="AM128" s="7">
        <v>1.6819999999999999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103.67100000000001</v>
      </c>
      <c r="AV128" s="7">
        <v>0</v>
      </c>
      <c r="AW128" s="7">
        <v>0</v>
      </c>
      <c r="AX128" s="7">
        <v>9.49</v>
      </c>
      <c r="AY128" s="7">
        <v>0</v>
      </c>
      <c r="AZ128" s="7">
        <v>5.1589999999999998</v>
      </c>
      <c r="BA128" s="7">
        <v>0</v>
      </c>
      <c r="BB128" s="7">
        <v>0.70199999999999996</v>
      </c>
      <c r="BC128" s="7">
        <v>0</v>
      </c>
      <c r="BD128" s="7">
        <v>0</v>
      </c>
      <c r="BE128" s="7">
        <v>4821.0879999999997</v>
      </c>
      <c r="BF128" s="7">
        <v>0</v>
      </c>
      <c r="BG128" s="21"/>
    </row>
    <row r="129" spans="1:59" ht="15.75">
      <c r="A129" s="5" t="s">
        <v>241</v>
      </c>
      <c r="B129" s="5" t="s">
        <v>242</v>
      </c>
      <c r="C129" s="7">
        <v>2</v>
      </c>
      <c r="D129" s="7">
        <v>2</v>
      </c>
      <c r="E129" s="7">
        <v>34554.387999999999</v>
      </c>
      <c r="F129" s="7">
        <v>11531.268</v>
      </c>
      <c r="G129" s="7">
        <v>11318.485000000001</v>
      </c>
      <c r="H129" s="7">
        <v>0</v>
      </c>
      <c r="I129" s="7">
        <v>2257.6590000000001</v>
      </c>
      <c r="J129" s="7">
        <v>8859.9439999999995</v>
      </c>
      <c r="K129" s="7">
        <v>69697.807000000001</v>
      </c>
      <c r="L129" s="7">
        <v>11435.198</v>
      </c>
      <c r="M129" s="7">
        <v>0</v>
      </c>
      <c r="N129" s="7">
        <v>20318.600999999999</v>
      </c>
      <c r="O129" s="7">
        <v>49181.919000000002</v>
      </c>
      <c r="P129" s="7">
        <v>30605.465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3569.1060000000002</v>
      </c>
      <c r="W129" s="7">
        <v>0</v>
      </c>
      <c r="X129" s="7">
        <v>0</v>
      </c>
      <c r="Y129" s="7">
        <v>0</v>
      </c>
      <c r="Z129" s="7">
        <v>1204.1300000000001</v>
      </c>
      <c r="AA129" s="7">
        <v>3228.6709999999998</v>
      </c>
      <c r="AB129" s="7">
        <v>0</v>
      </c>
      <c r="AC129" s="7">
        <v>10672.587</v>
      </c>
      <c r="AD129" s="7">
        <v>0</v>
      </c>
      <c r="AE129" s="7">
        <v>10995.189</v>
      </c>
      <c r="AF129" s="7">
        <v>0</v>
      </c>
      <c r="AG129" s="7">
        <v>1581.7339999999999</v>
      </c>
      <c r="AH129" s="7">
        <v>0</v>
      </c>
      <c r="AI129" s="7">
        <v>27542.510999999999</v>
      </c>
      <c r="AJ129" s="7">
        <v>0</v>
      </c>
      <c r="AK129" s="7">
        <v>0</v>
      </c>
      <c r="AL129" s="7">
        <v>99541.816000000006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130.55799999999999</v>
      </c>
      <c r="AV129" s="7">
        <v>0</v>
      </c>
      <c r="AW129" s="7">
        <v>0</v>
      </c>
      <c r="AX129" s="7">
        <v>0</v>
      </c>
      <c r="AY129" s="7">
        <v>0</v>
      </c>
      <c r="AZ129" s="7">
        <v>4.2859999999999996</v>
      </c>
      <c r="BA129" s="7">
        <v>0</v>
      </c>
      <c r="BB129" s="7">
        <v>0</v>
      </c>
      <c r="BC129" s="7">
        <v>0</v>
      </c>
      <c r="BD129" s="7">
        <v>0</v>
      </c>
      <c r="BE129" s="7">
        <v>22.861999999999998</v>
      </c>
      <c r="BF129" s="7">
        <v>0</v>
      </c>
      <c r="BG129" s="21"/>
    </row>
    <row r="130" spans="1:59" ht="15.75">
      <c r="A130" s="5" t="s">
        <v>243</v>
      </c>
      <c r="B130" s="5" t="s">
        <v>244</v>
      </c>
      <c r="C130" s="7">
        <v>4</v>
      </c>
      <c r="D130" s="7">
        <v>4</v>
      </c>
      <c r="E130" s="7">
        <v>29159.579000000002</v>
      </c>
      <c r="F130" s="7">
        <v>8519.4359999999997</v>
      </c>
      <c r="G130" s="7">
        <v>0</v>
      </c>
      <c r="H130" s="7">
        <v>0</v>
      </c>
      <c r="I130" s="7">
        <v>344.18900000000002</v>
      </c>
      <c r="J130" s="7">
        <v>0</v>
      </c>
      <c r="K130" s="7">
        <v>34411.925000000003</v>
      </c>
      <c r="L130" s="7">
        <v>3102.8910000000001</v>
      </c>
      <c r="M130" s="7">
        <v>0</v>
      </c>
      <c r="N130" s="7">
        <v>3131.1149999999998</v>
      </c>
      <c r="O130" s="7">
        <v>100206.901</v>
      </c>
      <c r="P130" s="7">
        <v>5154.3850000000002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2630.8679999999999</v>
      </c>
      <c r="W130" s="7">
        <v>0</v>
      </c>
      <c r="X130" s="7">
        <v>0</v>
      </c>
      <c r="Y130" s="7">
        <v>0</v>
      </c>
      <c r="Z130" s="7">
        <v>0</v>
      </c>
      <c r="AA130" s="7">
        <v>527.59500000000003</v>
      </c>
      <c r="AB130" s="7">
        <v>0</v>
      </c>
      <c r="AC130" s="7">
        <v>16873.138999999999</v>
      </c>
      <c r="AD130" s="7">
        <v>0</v>
      </c>
      <c r="AE130" s="7">
        <v>0</v>
      </c>
      <c r="AF130" s="7">
        <v>6.25</v>
      </c>
      <c r="AG130" s="7">
        <v>1442.453</v>
      </c>
      <c r="AH130" s="7">
        <v>0</v>
      </c>
      <c r="AI130" s="7">
        <v>42627.338000000003</v>
      </c>
      <c r="AJ130" s="7">
        <v>20355.161</v>
      </c>
      <c r="AK130" s="7">
        <v>0</v>
      </c>
      <c r="AL130" s="7">
        <v>128276.088</v>
      </c>
      <c r="AM130" s="7">
        <v>37108.788999999997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159.48599999999999</v>
      </c>
      <c r="AV130" s="7">
        <v>0</v>
      </c>
      <c r="AW130" s="7">
        <v>0</v>
      </c>
      <c r="AX130" s="7">
        <v>6123.7160000000003</v>
      </c>
      <c r="AY130" s="7">
        <v>0</v>
      </c>
      <c r="AZ130" s="7">
        <v>26.545000000000002</v>
      </c>
      <c r="BA130" s="7">
        <v>0</v>
      </c>
      <c r="BB130" s="7">
        <v>191.684</v>
      </c>
      <c r="BC130" s="7">
        <v>0</v>
      </c>
      <c r="BD130" s="7">
        <v>0</v>
      </c>
      <c r="BE130" s="7">
        <v>5569.9160000000002</v>
      </c>
      <c r="BF130" s="7">
        <v>0</v>
      </c>
      <c r="BG130" s="21"/>
    </row>
    <row r="131" spans="1:59" ht="15.75">
      <c r="A131" s="5" t="s">
        <v>245</v>
      </c>
      <c r="B131" s="5" t="s">
        <v>246</v>
      </c>
      <c r="C131" s="7">
        <v>4</v>
      </c>
      <c r="D131" s="7">
        <v>6</v>
      </c>
      <c r="E131" s="7">
        <v>2449.3290000000002</v>
      </c>
      <c r="F131" s="7">
        <v>913.274</v>
      </c>
      <c r="G131" s="7">
        <v>20.77</v>
      </c>
      <c r="H131" s="7">
        <v>109.50700000000001</v>
      </c>
      <c r="I131" s="7">
        <v>59.186</v>
      </c>
      <c r="J131" s="7">
        <v>182.107</v>
      </c>
      <c r="K131" s="7">
        <v>2768.2719999999999</v>
      </c>
      <c r="L131" s="7">
        <v>355.10599999999999</v>
      </c>
      <c r="M131" s="7">
        <v>0</v>
      </c>
      <c r="N131" s="7">
        <v>598.43399999999997</v>
      </c>
      <c r="O131" s="7">
        <v>8680.0329999999994</v>
      </c>
      <c r="P131" s="7">
        <v>749.58900000000006</v>
      </c>
      <c r="Q131" s="7">
        <v>0</v>
      </c>
      <c r="R131" s="7">
        <v>0</v>
      </c>
      <c r="S131" s="7">
        <v>1E-3</v>
      </c>
      <c r="T131" s="7">
        <v>0</v>
      </c>
      <c r="U131" s="7">
        <v>0</v>
      </c>
      <c r="V131" s="7">
        <v>306.04199999999997</v>
      </c>
      <c r="W131" s="7">
        <v>0</v>
      </c>
      <c r="X131" s="7">
        <v>0</v>
      </c>
      <c r="Y131" s="7">
        <v>0</v>
      </c>
      <c r="Z131" s="7">
        <v>16.709</v>
      </c>
      <c r="AA131" s="7">
        <v>62.530999999999999</v>
      </c>
      <c r="AB131" s="7">
        <v>0</v>
      </c>
      <c r="AC131" s="7">
        <v>1355.3030000000001</v>
      </c>
      <c r="AD131" s="7">
        <v>0</v>
      </c>
      <c r="AE131" s="7">
        <v>375.20800000000003</v>
      </c>
      <c r="AF131" s="7">
        <v>0.503</v>
      </c>
      <c r="AG131" s="7">
        <v>157.95599999999999</v>
      </c>
      <c r="AH131" s="7">
        <v>0</v>
      </c>
      <c r="AI131" s="7">
        <v>3424.7130000000002</v>
      </c>
      <c r="AJ131" s="7">
        <v>1639.471</v>
      </c>
      <c r="AK131" s="7">
        <v>0</v>
      </c>
      <c r="AL131" s="7">
        <v>11971.791999999999</v>
      </c>
      <c r="AM131" s="7">
        <v>2980.7739999999999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19.695</v>
      </c>
      <c r="AV131" s="7">
        <v>0</v>
      </c>
      <c r="AW131" s="7">
        <v>0</v>
      </c>
      <c r="AX131" s="7">
        <v>492.5</v>
      </c>
      <c r="AY131" s="7">
        <v>0</v>
      </c>
      <c r="AZ131" s="7">
        <v>2.472</v>
      </c>
      <c r="BA131" s="7">
        <v>0</v>
      </c>
      <c r="BB131" s="7">
        <v>15.475</v>
      </c>
      <c r="BC131" s="7">
        <v>0</v>
      </c>
      <c r="BD131" s="7">
        <v>0</v>
      </c>
      <c r="BE131" s="7">
        <v>767.53099999999995</v>
      </c>
      <c r="BF131" s="7">
        <v>0</v>
      </c>
      <c r="BG131" s="21"/>
    </row>
    <row r="132" spans="1:59" ht="15.75">
      <c r="A132" s="5" t="s">
        <v>247</v>
      </c>
      <c r="B132" s="5" t="s">
        <v>248</v>
      </c>
      <c r="C132" s="7">
        <v>6</v>
      </c>
      <c r="D132" s="7">
        <v>6</v>
      </c>
      <c r="E132" s="7">
        <v>32617.512999999999</v>
      </c>
      <c r="F132" s="7">
        <v>454.89400000000001</v>
      </c>
      <c r="G132" s="7">
        <v>0</v>
      </c>
      <c r="H132" s="7">
        <v>0</v>
      </c>
      <c r="I132" s="7">
        <v>0</v>
      </c>
      <c r="J132" s="7">
        <v>0</v>
      </c>
      <c r="K132" s="7">
        <v>23005.727999999999</v>
      </c>
      <c r="L132" s="7">
        <v>1786.3150000000001</v>
      </c>
      <c r="M132" s="7">
        <v>0</v>
      </c>
      <c r="N132" s="7">
        <v>12814.105</v>
      </c>
      <c r="O132" s="7">
        <v>79125.501000000004</v>
      </c>
      <c r="P132" s="7">
        <v>10158.705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3812.8820000000001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23050.687999999998</v>
      </c>
      <c r="AJ132" s="7">
        <v>92.051000000000002</v>
      </c>
      <c r="AK132" s="7">
        <v>0</v>
      </c>
      <c r="AL132" s="7">
        <v>93444.646999999997</v>
      </c>
      <c r="AM132" s="7">
        <v>58.741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21"/>
    </row>
    <row r="133" spans="1:59" ht="15.75">
      <c r="A133" s="5" t="s">
        <v>249</v>
      </c>
      <c r="B133" s="5" t="s">
        <v>250</v>
      </c>
      <c r="C133" s="7">
        <v>6</v>
      </c>
      <c r="D133" s="7">
        <v>6</v>
      </c>
      <c r="E133" s="7">
        <v>44770.463000000003</v>
      </c>
      <c r="F133" s="7">
        <v>5612.5609999999997</v>
      </c>
      <c r="G133" s="7">
        <v>8051.848</v>
      </c>
      <c r="H133" s="7">
        <v>0</v>
      </c>
      <c r="I133" s="7">
        <v>1414.346</v>
      </c>
      <c r="J133" s="7">
        <v>4730.4769999999999</v>
      </c>
      <c r="K133" s="7">
        <v>39623.675000000003</v>
      </c>
      <c r="L133" s="7">
        <v>4457.183</v>
      </c>
      <c r="M133" s="7">
        <v>0</v>
      </c>
      <c r="N133" s="7">
        <v>23518.358</v>
      </c>
      <c r="O133" s="7">
        <v>65541.275999999998</v>
      </c>
      <c r="P133" s="7">
        <v>18195.508999999998</v>
      </c>
      <c r="Q133" s="7">
        <v>0</v>
      </c>
      <c r="R133" s="7">
        <v>0</v>
      </c>
      <c r="S133" s="7">
        <v>267.01799999999997</v>
      </c>
      <c r="T133" s="7">
        <v>0</v>
      </c>
      <c r="U133" s="7">
        <v>8.7469999999999999</v>
      </c>
      <c r="V133" s="7">
        <v>0</v>
      </c>
      <c r="W133" s="7">
        <v>0</v>
      </c>
      <c r="X133" s="7">
        <v>0</v>
      </c>
      <c r="Y133" s="7">
        <v>0</v>
      </c>
      <c r="Z133" s="7">
        <v>669.87800000000004</v>
      </c>
      <c r="AA133" s="7">
        <v>2102.473</v>
      </c>
      <c r="AB133" s="7">
        <v>0</v>
      </c>
      <c r="AC133" s="7">
        <v>16724.288</v>
      </c>
      <c r="AD133" s="7">
        <v>0</v>
      </c>
      <c r="AE133" s="7">
        <v>5837.1229999999996</v>
      </c>
      <c r="AF133" s="7">
        <v>0</v>
      </c>
      <c r="AG133" s="7">
        <v>1027.694</v>
      </c>
      <c r="AH133" s="7">
        <v>0</v>
      </c>
      <c r="AI133" s="7">
        <v>54175.957000000002</v>
      </c>
      <c r="AJ133" s="7">
        <v>0</v>
      </c>
      <c r="AK133" s="7">
        <v>0</v>
      </c>
      <c r="AL133" s="7">
        <v>95208.173999999999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21"/>
    </row>
    <row r="134" spans="1:59" ht="15.75">
      <c r="A134" s="5" t="s">
        <v>251</v>
      </c>
      <c r="B134" s="5" t="s">
        <v>252</v>
      </c>
      <c r="C134" s="7">
        <v>6</v>
      </c>
      <c r="D134" s="7">
        <v>6</v>
      </c>
      <c r="E134" s="7">
        <v>17430.447</v>
      </c>
      <c r="F134" s="7">
        <v>4197.29</v>
      </c>
      <c r="G134" s="7">
        <v>781.38800000000003</v>
      </c>
      <c r="H134" s="7">
        <v>0</v>
      </c>
      <c r="I134" s="7">
        <v>246.98</v>
      </c>
      <c r="J134" s="7">
        <v>502.55</v>
      </c>
      <c r="K134" s="7">
        <v>16728.411</v>
      </c>
      <c r="L134" s="7">
        <v>3166.8960000000002</v>
      </c>
      <c r="M134" s="7">
        <v>0</v>
      </c>
      <c r="N134" s="7">
        <v>6103.5320000000002</v>
      </c>
      <c r="O134" s="7">
        <v>60448.298999999999</v>
      </c>
      <c r="P134" s="7">
        <v>4372.3370000000004</v>
      </c>
      <c r="Q134" s="7">
        <v>0</v>
      </c>
      <c r="R134" s="7">
        <v>0</v>
      </c>
      <c r="S134" s="7">
        <v>0.47599999999999998</v>
      </c>
      <c r="T134" s="7">
        <v>0</v>
      </c>
      <c r="U134" s="7">
        <v>0</v>
      </c>
      <c r="V134" s="7">
        <v>1242.56</v>
      </c>
      <c r="W134" s="7">
        <v>0</v>
      </c>
      <c r="X134" s="7">
        <v>0</v>
      </c>
      <c r="Y134" s="7">
        <v>0</v>
      </c>
      <c r="Z134" s="7">
        <v>75.728999999999999</v>
      </c>
      <c r="AA134" s="7">
        <v>415.75799999999998</v>
      </c>
      <c r="AB134" s="7">
        <v>0</v>
      </c>
      <c r="AC134" s="7">
        <v>7675.6469999999999</v>
      </c>
      <c r="AD134" s="7">
        <v>0</v>
      </c>
      <c r="AE134" s="7">
        <v>781.91700000000003</v>
      </c>
      <c r="AF134" s="7">
        <v>1.528</v>
      </c>
      <c r="AG134" s="7">
        <v>705.00699999999995</v>
      </c>
      <c r="AH134" s="7">
        <v>0</v>
      </c>
      <c r="AI134" s="7">
        <v>19887.377</v>
      </c>
      <c r="AJ134" s="7">
        <v>9044.6020000000008</v>
      </c>
      <c r="AK134" s="7">
        <v>0</v>
      </c>
      <c r="AL134" s="7">
        <v>66166.797000000006</v>
      </c>
      <c r="AM134" s="7">
        <v>16512.905999999999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61.325000000000003</v>
      </c>
      <c r="AV134" s="7">
        <v>0</v>
      </c>
      <c r="AW134" s="7">
        <v>0</v>
      </c>
      <c r="AX134" s="7">
        <v>2711.8580000000002</v>
      </c>
      <c r="AY134" s="7">
        <v>0</v>
      </c>
      <c r="AZ134" s="7">
        <v>12.848000000000001</v>
      </c>
      <c r="BA134" s="7">
        <v>0</v>
      </c>
      <c r="BB134" s="7">
        <v>131.19499999999999</v>
      </c>
      <c r="BC134" s="7">
        <v>0</v>
      </c>
      <c r="BD134" s="7">
        <v>0</v>
      </c>
      <c r="BE134" s="7">
        <v>1359.808</v>
      </c>
      <c r="BF134" s="7">
        <v>0</v>
      </c>
      <c r="BG134" s="21"/>
    </row>
    <row r="135" spans="1:59" ht="15.75">
      <c r="A135" s="5" t="s">
        <v>253</v>
      </c>
      <c r="B135" s="5" t="s">
        <v>254</v>
      </c>
      <c r="C135" s="7">
        <v>6</v>
      </c>
      <c r="D135" s="7">
        <v>6</v>
      </c>
      <c r="E135" s="7">
        <v>122887.47900000001</v>
      </c>
      <c r="F135" s="7">
        <v>13595.755999999999</v>
      </c>
      <c r="G135" s="7">
        <v>7842.3649999999998</v>
      </c>
      <c r="H135" s="7">
        <v>6294.1030000000001</v>
      </c>
      <c r="I135" s="7">
        <v>1153.989</v>
      </c>
      <c r="J135" s="7">
        <v>5359.8639999999996</v>
      </c>
      <c r="K135" s="7">
        <v>125345.796</v>
      </c>
      <c r="L135" s="7">
        <v>10036.73</v>
      </c>
      <c r="M135" s="7">
        <v>0</v>
      </c>
      <c r="N135" s="7">
        <v>59264.385999999999</v>
      </c>
      <c r="O135" s="7">
        <v>306371.24900000001</v>
      </c>
      <c r="P135" s="7">
        <v>53415.985000000001</v>
      </c>
      <c r="Q135" s="7">
        <v>0</v>
      </c>
      <c r="R135" s="7">
        <v>0</v>
      </c>
      <c r="S135" s="7">
        <v>199.114</v>
      </c>
      <c r="T135" s="7">
        <v>0</v>
      </c>
      <c r="U135" s="7">
        <v>108.024</v>
      </c>
      <c r="V135" s="7">
        <v>3206.65</v>
      </c>
      <c r="W135" s="7">
        <v>0</v>
      </c>
      <c r="X135" s="7">
        <v>0</v>
      </c>
      <c r="Y135" s="7">
        <v>0</v>
      </c>
      <c r="Z135" s="7">
        <v>772.52200000000005</v>
      </c>
      <c r="AA135" s="7">
        <v>2441.652</v>
      </c>
      <c r="AB135" s="7">
        <v>0</v>
      </c>
      <c r="AC135" s="7">
        <v>26113.954000000002</v>
      </c>
      <c r="AD135" s="7">
        <v>0</v>
      </c>
      <c r="AE135" s="7">
        <v>7290.6729999999998</v>
      </c>
      <c r="AF135" s="7">
        <v>0</v>
      </c>
      <c r="AG135" s="7">
        <v>1264.9839999999999</v>
      </c>
      <c r="AH135" s="7">
        <v>0</v>
      </c>
      <c r="AI135" s="7">
        <v>98077.294999999998</v>
      </c>
      <c r="AJ135" s="7">
        <v>235.58199999999999</v>
      </c>
      <c r="AK135" s="7">
        <v>0</v>
      </c>
      <c r="AL135" s="7">
        <v>305800.78399999999</v>
      </c>
      <c r="AM135" s="7">
        <v>439.26600000000002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160.041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21"/>
    </row>
    <row r="136" spans="1:59" ht="15.75">
      <c r="A136" s="5" t="s">
        <v>255</v>
      </c>
      <c r="B136" s="5" t="s">
        <v>256</v>
      </c>
      <c r="C136" s="7">
        <v>6</v>
      </c>
      <c r="D136" s="7">
        <v>6</v>
      </c>
      <c r="E136" s="7">
        <v>3904.5</v>
      </c>
      <c r="F136" s="7">
        <v>32.887999999999998</v>
      </c>
      <c r="G136" s="7">
        <v>0</v>
      </c>
      <c r="H136" s="7">
        <v>0</v>
      </c>
      <c r="I136" s="7">
        <v>0</v>
      </c>
      <c r="J136" s="7">
        <v>0</v>
      </c>
      <c r="K136" s="7">
        <v>1961.3579999999999</v>
      </c>
      <c r="L136" s="7">
        <v>0</v>
      </c>
      <c r="M136" s="7">
        <v>0</v>
      </c>
      <c r="N136" s="7">
        <v>648.45799999999997</v>
      </c>
      <c r="O136" s="7">
        <v>7978.3310000000001</v>
      </c>
      <c r="P136" s="7">
        <v>470.06099999999998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277.87099999999998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1752.5429999999999</v>
      </c>
      <c r="AJ136" s="7">
        <v>154.31100000000001</v>
      </c>
      <c r="AK136" s="7">
        <v>0</v>
      </c>
      <c r="AL136" s="7">
        <v>7568.4340000000002</v>
      </c>
      <c r="AM136" s="7">
        <v>509.43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21"/>
    </row>
    <row r="137" spans="1:59" ht="15.75">
      <c r="A137" s="5" t="s">
        <v>257</v>
      </c>
      <c r="B137" s="5" t="s">
        <v>258</v>
      </c>
      <c r="C137" s="7">
        <v>6</v>
      </c>
      <c r="D137" s="7">
        <v>6</v>
      </c>
      <c r="E137" s="7">
        <v>33295.650999999998</v>
      </c>
      <c r="F137" s="7">
        <v>1861.4649999999999</v>
      </c>
      <c r="G137" s="7">
        <v>0</v>
      </c>
      <c r="H137" s="7">
        <v>0</v>
      </c>
      <c r="I137" s="7">
        <v>1.1399999999999999</v>
      </c>
      <c r="J137" s="7">
        <v>0</v>
      </c>
      <c r="K137" s="7">
        <v>54818.904999999999</v>
      </c>
      <c r="L137" s="7">
        <v>1149.3579999999999</v>
      </c>
      <c r="M137" s="7">
        <v>0</v>
      </c>
      <c r="N137" s="7">
        <v>11197.182000000001</v>
      </c>
      <c r="O137" s="7">
        <v>88889.554999999993</v>
      </c>
      <c r="P137" s="7">
        <v>23066.696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1755.6130000000001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24642.857</v>
      </c>
      <c r="AJ137" s="7">
        <v>1665.4739999999999</v>
      </c>
      <c r="AK137" s="7">
        <v>0</v>
      </c>
      <c r="AL137" s="7">
        <v>83682.284</v>
      </c>
      <c r="AM137" s="7">
        <v>2209.8649999999998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21"/>
    </row>
    <row r="138" spans="1:59" ht="15.75">
      <c r="A138" s="5" t="s">
        <v>259</v>
      </c>
      <c r="B138" s="5" t="s">
        <v>260</v>
      </c>
      <c r="C138" s="7">
        <v>6</v>
      </c>
      <c r="D138" s="7">
        <v>6</v>
      </c>
      <c r="E138" s="7">
        <v>17699.352999999999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16961.881000000001</v>
      </c>
      <c r="L138" s="7">
        <v>0</v>
      </c>
      <c r="M138" s="7">
        <v>0</v>
      </c>
      <c r="N138" s="7">
        <v>2581.1570000000002</v>
      </c>
      <c r="O138" s="7">
        <v>21386.723000000002</v>
      </c>
      <c r="P138" s="7">
        <v>3318.6419999999998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4424.8419999999996</v>
      </c>
      <c r="AJ138" s="7">
        <v>0</v>
      </c>
      <c r="AK138" s="7">
        <v>0</v>
      </c>
      <c r="AL138" s="7">
        <v>27286.507000000001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21"/>
    </row>
    <row r="139" spans="1:59" ht="15.75">
      <c r="A139" s="5" t="s">
        <v>261</v>
      </c>
      <c r="B139" s="5" t="s">
        <v>262</v>
      </c>
      <c r="C139" s="7">
        <v>6</v>
      </c>
      <c r="D139" s="7">
        <v>6</v>
      </c>
      <c r="E139" s="7">
        <v>706592.06499999994</v>
      </c>
      <c r="F139" s="7">
        <v>19294.216</v>
      </c>
      <c r="G139" s="7">
        <v>23551.101999999999</v>
      </c>
      <c r="H139" s="7">
        <v>1899.0409999999999</v>
      </c>
      <c r="I139" s="7">
        <v>4568.1030000000001</v>
      </c>
      <c r="J139" s="7">
        <v>13664.174999999999</v>
      </c>
      <c r="K139" s="7">
        <v>618401.929</v>
      </c>
      <c r="L139" s="7">
        <v>45907.718999999997</v>
      </c>
      <c r="M139" s="7">
        <v>0</v>
      </c>
      <c r="N139" s="7">
        <v>273069.7</v>
      </c>
      <c r="O139" s="7">
        <v>998277.37</v>
      </c>
      <c r="P139" s="7">
        <v>268026.17800000001</v>
      </c>
      <c r="Q139" s="7">
        <v>0</v>
      </c>
      <c r="R139" s="7">
        <v>0</v>
      </c>
      <c r="S139" s="7">
        <v>787.65</v>
      </c>
      <c r="T139" s="7">
        <v>0</v>
      </c>
      <c r="U139" s="7">
        <v>18.827999999999999</v>
      </c>
      <c r="V139" s="7">
        <v>0</v>
      </c>
      <c r="W139" s="7">
        <v>0</v>
      </c>
      <c r="X139" s="7">
        <v>0</v>
      </c>
      <c r="Y139" s="7">
        <v>0</v>
      </c>
      <c r="Z139" s="7">
        <v>1413.3050000000001</v>
      </c>
      <c r="AA139" s="7">
        <v>4551.7209999999995</v>
      </c>
      <c r="AB139" s="7">
        <v>0</v>
      </c>
      <c r="AC139" s="7">
        <v>118635.53</v>
      </c>
      <c r="AD139" s="7">
        <v>0</v>
      </c>
      <c r="AE139" s="7">
        <v>15050.411</v>
      </c>
      <c r="AF139" s="7">
        <v>0</v>
      </c>
      <c r="AG139" s="7">
        <v>2172.2069999999999</v>
      </c>
      <c r="AH139" s="7">
        <v>0</v>
      </c>
      <c r="AI139" s="7">
        <v>505361.40600000002</v>
      </c>
      <c r="AJ139" s="7">
        <v>6519.63</v>
      </c>
      <c r="AK139" s="7">
        <v>0</v>
      </c>
      <c r="AL139" s="7">
        <v>1436119.4709999999</v>
      </c>
      <c r="AM139" s="7">
        <v>14995.512000000001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150.02199999999999</v>
      </c>
      <c r="BC139" s="7">
        <v>0</v>
      </c>
      <c r="BD139" s="7">
        <v>0</v>
      </c>
      <c r="BE139" s="7">
        <v>0</v>
      </c>
      <c r="BF139" s="7">
        <v>0</v>
      </c>
      <c r="BG139" s="21"/>
    </row>
    <row r="140" spans="1:59" ht="15.75">
      <c r="A140" s="5" t="s">
        <v>263</v>
      </c>
      <c r="B140" s="5" t="s">
        <v>264</v>
      </c>
      <c r="C140" s="7">
        <v>4</v>
      </c>
      <c r="D140" s="7">
        <v>4</v>
      </c>
      <c r="E140" s="7">
        <v>164.85599999999999</v>
      </c>
      <c r="F140" s="7">
        <v>47.250999999999998</v>
      </c>
      <c r="G140" s="7">
        <v>6.6390000000000002</v>
      </c>
      <c r="H140" s="7">
        <v>0</v>
      </c>
      <c r="I140" s="7">
        <v>2.8660000000000001</v>
      </c>
      <c r="J140" s="7">
        <v>4.2699999999999996</v>
      </c>
      <c r="K140" s="7">
        <v>118.06399999999999</v>
      </c>
      <c r="L140" s="7">
        <v>13.569000000000001</v>
      </c>
      <c r="M140" s="7">
        <v>0</v>
      </c>
      <c r="N140" s="7">
        <v>26.623000000000001</v>
      </c>
      <c r="O140" s="7">
        <v>539.64700000000005</v>
      </c>
      <c r="P140" s="7">
        <v>38.195</v>
      </c>
      <c r="Q140" s="7">
        <v>0</v>
      </c>
      <c r="R140" s="7">
        <v>0</v>
      </c>
      <c r="S140" s="7">
        <v>1.0999999999999999E-2</v>
      </c>
      <c r="T140" s="7">
        <v>0</v>
      </c>
      <c r="U140" s="7">
        <v>0</v>
      </c>
      <c r="V140" s="7">
        <v>12.4</v>
      </c>
      <c r="W140" s="7">
        <v>0</v>
      </c>
      <c r="X140" s="7">
        <v>0</v>
      </c>
      <c r="Y140" s="7">
        <v>0</v>
      </c>
      <c r="Z140" s="7">
        <v>0.64300000000000002</v>
      </c>
      <c r="AA140" s="7">
        <v>4.4809999999999999</v>
      </c>
      <c r="AB140" s="7">
        <v>0</v>
      </c>
      <c r="AC140" s="7">
        <v>84.6</v>
      </c>
      <c r="AD140" s="7">
        <v>0</v>
      </c>
      <c r="AE140" s="7">
        <v>4.7450000000000001</v>
      </c>
      <c r="AF140" s="7">
        <v>0</v>
      </c>
      <c r="AG140" s="7">
        <v>7.8120000000000003</v>
      </c>
      <c r="AH140" s="7">
        <v>0</v>
      </c>
      <c r="AI140" s="7">
        <v>206.87</v>
      </c>
      <c r="AJ140" s="7">
        <v>105.011</v>
      </c>
      <c r="AK140" s="7">
        <v>0</v>
      </c>
      <c r="AL140" s="7">
        <v>687.65099999999995</v>
      </c>
      <c r="AM140" s="7">
        <v>192.524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0.5</v>
      </c>
      <c r="AV140" s="7">
        <v>0</v>
      </c>
      <c r="AW140" s="7">
        <v>0</v>
      </c>
      <c r="AX140" s="7">
        <v>17.8</v>
      </c>
      <c r="AY140" s="7">
        <v>0</v>
      </c>
      <c r="AZ140" s="7">
        <v>8.3000000000000004E-2</v>
      </c>
      <c r="BA140" s="7">
        <v>0</v>
      </c>
      <c r="BB140" s="7">
        <v>0.93100000000000005</v>
      </c>
      <c r="BC140" s="7">
        <v>0</v>
      </c>
      <c r="BD140" s="7">
        <v>0</v>
      </c>
      <c r="BE140" s="7">
        <v>0</v>
      </c>
      <c r="BF140" s="7">
        <v>0</v>
      </c>
      <c r="BG140" s="21"/>
    </row>
    <row r="141" spans="1:59" ht="15.75">
      <c r="A141" s="5" t="s">
        <v>265</v>
      </c>
      <c r="B141" s="5" t="s">
        <v>266</v>
      </c>
      <c r="C141" s="7">
        <v>6</v>
      </c>
      <c r="D141" s="7">
        <v>6</v>
      </c>
      <c r="E141" s="7">
        <v>1982.4839999999999</v>
      </c>
      <c r="F141" s="7">
        <v>7.7850000000000001</v>
      </c>
      <c r="G141" s="7">
        <v>0</v>
      </c>
      <c r="H141" s="7">
        <v>0</v>
      </c>
      <c r="I141" s="7">
        <v>0.39400000000000002</v>
      </c>
      <c r="J141" s="7">
        <v>0</v>
      </c>
      <c r="K141" s="7">
        <v>4160.6270000000004</v>
      </c>
      <c r="L141" s="7">
        <v>2.4790000000000001</v>
      </c>
      <c r="M141" s="7">
        <v>0</v>
      </c>
      <c r="N141" s="7">
        <v>1037.902</v>
      </c>
      <c r="O141" s="7">
        <v>5757.2160000000003</v>
      </c>
      <c r="P141" s="7">
        <v>955.80700000000002</v>
      </c>
      <c r="Q141" s="7">
        <v>0</v>
      </c>
      <c r="R141" s="7">
        <v>0</v>
      </c>
      <c r="S141" s="7">
        <v>2E-3</v>
      </c>
      <c r="T141" s="7">
        <v>0</v>
      </c>
      <c r="U141" s="7">
        <v>0</v>
      </c>
      <c r="V141" s="7">
        <v>1.9419999999999999</v>
      </c>
      <c r="W141" s="7">
        <v>0</v>
      </c>
      <c r="X141" s="7">
        <v>0</v>
      </c>
      <c r="Y141" s="7">
        <v>0</v>
      </c>
      <c r="Z141" s="7">
        <v>0</v>
      </c>
      <c r="AA141" s="7">
        <v>0.54300000000000004</v>
      </c>
      <c r="AB141" s="7">
        <v>0</v>
      </c>
      <c r="AC141" s="7">
        <v>853.68600000000004</v>
      </c>
      <c r="AD141" s="7">
        <v>0</v>
      </c>
      <c r="AE141" s="7">
        <v>0</v>
      </c>
      <c r="AF141" s="7">
        <v>0</v>
      </c>
      <c r="AG141" s="7">
        <v>1.2809999999999999</v>
      </c>
      <c r="AH141" s="7">
        <v>0</v>
      </c>
      <c r="AI141" s="7">
        <v>3326.4140000000002</v>
      </c>
      <c r="AJ141" s="7">
        <v>18.651</v>
      </c>
      <c r="AK141" s="7">
        <v>0</v>
      </c>
      <c r="AL141" s="7">
        <v>9000.6010000000006</v>
      </c>
      <c r="AM141" s="7">
        <v>34.113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8.2000000000000003E-2</v>
      </c>
      <c r="AV141" s="7">
        <v>0</v>
      </c>
      <c r="AW141" s="7">
        <v>0</v>
      </c>
      <c r="AX141" s="7">
        <v>5.569</v>
      </c>
      <c r="AY141" s="7">
        <v>0</v>
      </c>
      <c r="AZ141" s="7">
        <v>2.1000000000000001E-2</v>
      </c>
      <c r="BA141" s="7">
        <v>0</v>
      </c>
      <c r="BB141" s="7">
        <v>0.16</v>
      </c>
      <c r="BC141" s="7">
        <v>0</v>
      </c>
      <c r="BD141" s="7">
        <v>0</v>
      </c>
      <c r="BE141" s="7">
        <v>0</v>
      </c>
      <c r="BF141" s="7">
        <v>0</v>
      </c>
      <c r="BG141" s="21"/>
    </row>
    <row r="142" spans="1:59" ht="15.75">
      <c r="A142" s="5" t="s">
        <v>267</v>
      </c>
      <c r="B142" s="5" t="s">
        <v>268</v>
      </c>
      <c r="C142" s="7">
        <v>4</v>
      </c>
      <c r="D142" s="7">
        <v>4</v>
      </c>
      <c r="E142" s="7">
        <v>171.148</v>
      </c>
      <c r="F142" s="7">
        <v>50.076000000000001</v>
      </c>
      <c r="G142" s="7">
        <v>0</v>
      </c>
      <c r="H142" s="7">
        <v>0</v>
      </c>
      <c r="I142" s="7">
        <v>2.0910000000000002</v>
      </c>
      <c r="J142" s="7">
        <v>0</v>
      </c>
      <c r="K142" s="7">
        <v>205.54599999999999</v>
      </c>
      <c r="L142" s="7">
        <v>17.937000000000001</v>
      </c>
      <c r="M142" s="7">
        <v>0</v>
      </c>
      <c r="N142" s="7">
        <v>19.783999999999999</v>
      </c>
      <c r="O142" s="7">
        <v>590.94799999999998</v>
      </c>
      <c r="P142" s="7">
        <v>30.338999999999999</v>
      </c>
      <c r="Q142" s="7">
        <v>0</v>
      </c>
      <c r="R142" s="7">
        <v>0</v>
      </c>
      <c r="S142" s="7">
        <v>2E-3</v>
      </c>
      <c r="T142" s="7">
        <v>0</v>
      </c>
      <c r="U142" s="7">
        <v>0</v>
      </c>
      <c r="V142" s="7">
        <v>15.073</v>
      </c>
      <c r="W142" s="7">
        <v>0</v>
      </c>
      <c r="X142" s="7">
        <v>0</v>
      </c>
      <c r="Y142" s="7">
        <v>0</v>
      </c>
      <c r="Z142" s="7">
        <v>0</v>
      </c>
      <c r="AA142" s="7">
        <v>3.153</v>
      </c>
      <c r="AB142" s="7">
        <v>0</v>
      </c>
      <c r="AC142" s="7">
        <v>98.375</v>
      </c>
      <c r="AD142" s="7">
        <v>0</v>
      </c>
      <c r="AE142" s="7">
        <v>0</v>
      </c>
      <c r="AF142" s="7">
        <v>3.2000000000000001E-2</v>
      </c>
      <c r="AG142" s="7">
        <v>8.4469999999999992</v>
      </c>
      <c r="AH142" s="7">
        <v>0</v>
      </c>
      <c r="AI142" s="7">
        <v>248.19499999999999</v>
      </c>
      <c r="AJ142" s="7">
        <v>119.68899999999999</v>
      </c>
      <c r="AK142" s="7">
        <v>0</v>
      </c>
      <c r="AL142" s="7">
        <v>754.85599999999999</v>
      </c>
      <c r="AM142" s="7">
        <v>218.29400000000001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0.88400000000000001</v>
      </c>
      <c r="AV142" s="7">
        <v>0</v>
      </c>
      <c r="AW142" s="7">
        <v>0</v>
      </c>
      <c r="AX142" s="7">
        <v>35.972000000000001</v>
      </c>
      <c r="AY142" s="7">
        <v>0</v>
      </c>
      <c r="AZ142" s="7">
        <v>0.153</v>
      </c>
      <c r="BA142" s="7">
        <v>0</v>
      </c>
      <c r="BB142" s="7">
        <v>1.1160000000000001</v>
      </c>
      <c r="BC142" s="7">
        <v>0</v>
      </c>
      <c r="BD142" s="7">
        <v>0</v>
      </c>
      <c r="BE142" s="7">
        <v>28.43</v>
      </c>
      <c r="BF142" s="7">
        <v>0</v>
      </c>
      <c r="BG142" s="21"/>
    </row>
    <row r="143" spans="1:59" ht="15.75">
      <c r="A143" s="5" t="s">
        <v>269</v>
      </c>
      <c r="B143" s="5" t="s">
        <v>270</v>
      </c>
      <c r="C143" s="7">
        <v>6</v>
      </c>
      <c r="D143" s="7">
        <v>6</v>
      </c>
      <c r="E143" s="7">
        <v>1423.9829999999999</v>
      </c>
      <c r="F143" s="7">
        <v>13.772</v>
      </c>
      <c r="G143" s="7">
        <v>19.757000000000001</v>
      </c>
      <c r="H143" s="7">
        <v>0</v>
      </c>
      <c r="I143" s="7">
        <v>3.47</v>
      </c>
      <c r="J143" s="7">
        <v>11.606999999999999</v>
      </c>
      <c r="K143" s="7">
        <v>1757.857</v>
      </c>
      <c r="L143" s="7">
        <v>9.1050000000000004</v>
      </c>
      <c r="M143" s="7">
        <v>0</v>
      </c>
      <c r="N143" s="7">
        <v>755.40099999999995</v>
      </c>
      <c r="O143" s="7">
        <v>3315.299</v>
      </c>
      <c r="P143" s="7">
        <v>714.62900000000002</v>
      </c>
      <c r="Q143" s="7">
        <v>0</v>
      </c>
      <c r="R143" s="7">
        <v>0</v>
      </c>
      <c r="S143" s="7">
        <v>0.65500000000000003</v>
      </c>
      <c r="T143" s="7">
        <v>0</v>
      </c>
      <c r="U143" s="7">
        <v>2.1000000000000001E-2</v>
      </c>
      <c r="V143" s="7">
        <v>0</v>
      </c>
      <c r="W143" s="7">
        <v>0</v>
      </c>
      <c r="X143" s="7">
        <v>0</v>
      </c>
      <c r="Y143" s="7">
        <v>0</v>
      </c>
      <c r="Z143" s="7">
        <v>1.6439999999999999</v>
      </c>
      <c r="AA143" s="7">
        <v>5.1589999999999998</v>
      </c>
      <c r="AB143" s="7">
        <v>0</v>
      </c>
      <c r="AC143" s="7">
        <v>653.75099999999998</v>
      </c>
      <c r="AD143" s="7">
        <v>0</v>
      </c>
      <c r="AE143" s="7">
        <v>14.323</v>
      </c>
      <c r="AF143" s="7">
        <v>0</v>
      </c>
      <c r="AG143" s="7">
        <v>2.5219999999999998</v>
      </c>
      <c r="AH143" s="7">
        <v>0</v>
      </c>
      <c r="AI143" s="7">
        <v>2563.5369999999998</v>
      </c>
      <c r="AJ143" s="7">
        <v>0</v>
      </c>
      <c r="AK143" s="7">
        <v>0</v>
      </c>
      <c r="AL143" s="7">
        <v>5209.6710000000003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21"/>
    </row>
    <row r="144" spans="1:59" ht="15.75">
      <c r="A144" s="5" t="s">
        <v>271</v>
      </c>
      <c r="B144" s="5" t="s">
        <v>272</v>
      </c>
      <c r="C144" s="7">
        <v>4</v>
      </c>
      <c r="D144" s="7">
        <v>4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21"/>
    </row>
    <row r="145" spans="1:59" ht="15.75">
      <c r="A145" s="5" t="s">
        <v>273</v>
      </c>
      <c r="B145" s="5" t="s">
        <v>274</v>
      </c>
      <c r="C145" s="7">
        <v>6</v>
      </c>
      <c r="D145" s="7">
        <v>6</v>
      </c>
      <c r="E145" s="7">
        <v>-1105.0809999999999</v>
      </c>
      <c r="F145" s="7">
        <v>-326.47199999999998</v>
      </c>
      <c r="G145" s="7">
        <v>0</v>
      </c>
      <c r="H145" s="7">
        <v>0</v>
      </c>
      <c r="I145" s="7">
        <v>-16.536000000000001</v>
      </c>
      <c r="J145" s="7">
        <v>0</v>
      </c>
      <c r="K145" s="7">
        <v>-1480.9649999999999</v>
      </c>
      <c r="L145" s="7">
        <v>-103.96899999999999</v>
      </c>
      <c r="M145" s="7">
        <v>0</v>
      </c>
      <c r="N145" s="7">
        <v>-188.32</v>
      </c>
      <c r="O145" s="7">
        <v>-3936.163</v>
      </c>
      <c r="P145" s="7">
        <v>-199.626</v>
      </c>
      <c r="Q145" s="7">
        <v>0</v>
      </c>
      <c r="R145" s="7">
        <v>-18.254000000000001</v>
      </c>
      <c r="S145" s="7">
        <v>-7.5999999999999998E-2</v>
      </c>
      <c r="T145" s="7">
        <v>-33.404000000000003</v>
      </c>
      <c r="U145" s="7">
        <v>0</v>
      </c>
      <c r="V145" s="7">
        <v>-81.447000000000003</v>
      </c>
      <c r="W145" s="7">
        <v>0</v>
      </c>
      <c r="X145" s="7">
        <v>-621.5</v>
      </c>
      <c r="Y145" s="7">
        <v>0</v>
      </c>
      <c r="Z145" s="7">
        <v>0</v>
      </c>
      <c r="AA145" s="7">
        <v>-22.79</v>
      </c>
      <c r="AB145" s="7">
        <v>-3588.6060000000002</v>
      </c>
      <c r="AC145" s="7">
        <v>-606.774</v>
      </c>
      <c r="AD145" s="7">
        <v>0</v>
      </c>
      <c r="AE145" s="7">
        <v>0</v>
      </c>
      <c r="AF145" s="7">
        <v>-1192.0229999999999</v>
      </c>
      <c r="AG145" s="7">
        <v>-53.715000000000003</v>
      </c>
      <c r="AH145" s="7">
        <v>0</v>
      </c>
      <c r="AI145" s="7">
        <v>-1516.3810000000001</v>
      </c>
      <c r="AJ145" s="7">
        <v>-782.17</v>
      </c>
      <c r="AK145" s="7">
        <v>0</v>
      </c>
      <c r="AL145" s="7">
        <v>-4958.3100000000004</v>
      </c>
      <c r="AM145" s="7">
        <v>-1430.559</v>
      </c>
      <c r="AN145" s="7">
        <v>0</v>
      </c>
      <c r="AO145" s="7">
        <v>0</v>
      </c>
      <c r="AP145" s="7">
        <v>-1220.1659999999999</v>
      </c>
      <c r="AQ145" s="7">
        <v>-561.94600000000003</v>
      </c>
      <c r="AR145" s="7">
        <v>0</v>
      </c>
      <c r="AS145" s="7">
        <v>0</v>
      </c>
      <c r="AT145" s="7">
        <v>0</v>
      </c>
      <c r="AU145" s="7">
        <v>-3.4510000000000001</v>
      </c>
      <c r="AV145" s="7">
        <v>-128.517</v>
      </c>
      <c r="AW145" s="7">
        <v>0</v>
      </c>
      <c r="AX145" s="7">
        <v>-233.55500000000001</v>
      </c>
      <c r="AY145" s="7">
        <v>0</v>
      </c>
      <c r="AZ145" s="7">
        <v>-0.90100000000000002</v>
      </c>
      <c r="BA145" s="7">
        <v>0</v>
      </c>
      <c r="BB145" s="7">
        <v>-6.7229999999999999</v>
      </c>
      <c r="BC145" s="7">
        <v>0</v>
      </c>
      <c r="BD145" s="7">
        <v>0</v>
      </c>
      <c r="BE145" s="7">
        <v>0</v>
      </c>
      <c r="BF145" s="7">
        <v>-258.31200000000001</v>
      </c>
      <c r="BG145" s="21"/>
    </row>
    <row r="146" spans="1:59" ht="15.75">
      <c r="A146" s="5" t="s">
        <v>275</v>
      </c>
      <c r="B146" s="5" t="s">
        <v>276</v>
      </c>
      <c r="C146" s="7">
        <v>6</v>
      </c>
      <c r="D146" s="7">
        <v>6</v>
      </c>
      <c r="E146" s="7">
        <v>-5814.3109999999997</v>
      </c>
      <c r="F146" s="7">
        <v>-1533.0650000000001</v>
      </c>
      <c r="G146" s="7">
        <v>2742.5990000000002</v>
      </c>
      <c r="H146" s="7">
        <v>-376.56200000000001</v>
      </c>
      <c r="I146" s="7">
        <v>197.291</v>
      </c>
      <c r="J146" s="7">
        <v>1402.4829999999999</v>
      </c>
      <c r="K146" s="7">
        <v>-12107.371999999999</v>
      </c>
      <c r="L146" s="7">
        <v>1049.941</v>
      </c>
      <c r="M146" s="7">
        <v>0</v>
      </c>
      <c r="N146" s="7">
        <v>2350.4380000000001</v>
      </c>
      <c r="O146" s="7">
        <v>-37475.798999999999</v>
      </c>
      <c r="P146" s="7">
        <v>855.76300000000003</v>
      </c>
      <c r="Q146" s="7">
        <v>0</v>
      </c>
      <c r="R146" s="7">
        <v>3.1269999999999998</v>
      </c>
      <c r="S146" s="7">
        <v>23.765999999999998</v>
      </c>
      <c r="T146" s="7">
        <v>4.6680000000000001</v>
      </c>
      <c r="U146" s="7">
        <v>19.021999999999998</v>
      </c>
      <c r="V146" s="7">
        <v>-430.11900000000003</v>
      </c>
      <c r="W146" s="7">
        <v>0</v>
      </c>
      <c r="X146" s="7">
        <v>124.20699999999999</v>
      </c>
      <c r="Y146" s="7">
        <v>0</v>
      </c>
      <c r="Z146" s="7">
        <v>261.59899999999999</v>
      </c>
      <c r="AA146" s="7">
        <v>536.46900000000005</v>
      </c>
      <c r="AB146" s="7">
        <v>-48.417000000000002</v>
      </c>
      <c r="AC146" s="7">
        <v>-3722.683</v>
      </c>
      <c r="AD146" s="7">
        <v>572.83699999999999</v>
      </c>
      <c r="AE146" s="7">
        <v>928.29100000000005</v>
      </c>
      <c r="AF146" s="7">
        <v>82.510999999999996</v>
      </c>
      <c r="AG146" s="7">
        <v>-325.12200000000001</v>
      </c>
      <c r="AH146" s="7">
        <v>15.015000000000001</v>
      </c>
      <c r="AI146" s="7">
        <v>-12995.538</v>
      </c>
      <c r="AJ146" s="7">
        <v>-6406.2839999999997</v>
      </c>
      <c r="AK146" s="7">
        <v>11.834</v>
      </c>
      <c r="AL146" s="7">
        <v>-46054.273000000001</v>
      </c>
      <c r="AM146" s="7">
        <v>-10494.61</v>
      </c>
      <c r="AN146" s="7">
        <v>3298.971</v>
      </c>
      <c r="AO146" s="7">
        <v>89562.298999999999</v>
      </c>
      <c r="AP146" s="7">
        <v>280.07799999999997</v>
      </c>
      <c r="AQ146" s="7">
        <v>126.68899999999999</v>
      </c>
      <c r="AR146" s="7">
        <v>53901.697999999997</v>
      </c>
      <c r="AS146" s="7">
        <v>0</v>
      </c>
      <c r="AT146" s="7">
        <v>29305.103999999999</v>
      </c>
      <c r="AU146" s="7">
        <v>-63.194000000000003</v>
      </c>
      <c r="AV146" s="7">
        <v>22.919</v>
      </c>
      <c r="AW146" s="7">
        <v>0</v>
      </c>
      <c r="AX146" s="7">
        <v>-1877.751</v>
      </c>
      <c r="AY146" s="7">
        <v>0</v>
      </c>
      <c r="AZ146" s="7">
        <v>-2.2869999999999999</v>
      </c>
      <c r="BA146" s="7">
        <v>0</v>
      </c>
      <c r="BB146" s="7">
        <v>126.09699999999999</v>
      </c>
      <c r="BC146" s="7">
        <v>0</v>
      </c>
      <c r="BD146" s="7">
        <v>0</v>
      </c>
      <c r="BE146" s="7">
        <v>-4266.3490000000002</v>
      </c>
      <c r="BF146" s="7">
        <v>-3.4849999999999999</v>
      </c>
      <c r="BG146" s="21"/>
    </row>
    <row r="147" spans="1:59" ht="15.75">
      <c r="A147" s="5" t="s">
        <v>277</v>
      </c>
      <c r="B147" s="5" t="s">
        <v>278</v>
      </c>
      <c r="C147" s="7">
        <v>6</v>
      </c>
      <c r="D147" s="7">
        <v>6</v>
      </c>
      <c r="E147" s="7">
        <v>4015.2190000000001</v>
      </c>
      <c r="F147" s="7">
        <v>833.78499999999997</v>
      </c>
      <c r="G147" s="7">
        <v>198.92599999999999</v>
      </c>
      <c r="H147" s="7">
        <v>134.41300000000001</v>
      </c>
      <c r="I147" s="7">
        <v>164.90899999999999</v>
      </c>
      <c r="J147" s="7">
        <v>153.81</v>
      </c>
      <c r="K147" s="7">
        <v>4262.29</v>
      </c>
      <c r="L147" s="7">
        <v>565.22699999999998</v>
      </c>
      <c r="M147" s="7">
        <v>0</v>
      </c>
      <c r="N147" s="7">
        <v>2116.9760000000001</v>
      </c>
      <c r="O147" s="7">
        <v>11917.617</v>
      </c>
      <c r="P147" s="7">
        <v>1782.9690000000001</v>
      </c>
      <c r="Q147" s="7">
        <v>0</v>
      </c>
      <c r="R147" s="7">
        <v>0</v>
      </c>
      <c r="S147" s="7">
        <v>13.406000000000001</v>
      </c>
      <c r="T147" s="7">
        <v>0</v>
      </c>
      <c r="U147" s="7">
        <v>0.36399999999999999</v>
      </c>
      <c r="V147" s="7">
        <v>339.77600000000001</v>
      </c>
      <c r="W147" s="7">
        <v>0</v>
      </c>
      <c r="X147" s="7">
        <v>0</v>
      </c>
      <c r="Y147" s="7">
        <v>0</v>
      </c>
      <c r="Z147" s="7">
        <v>50.433</v>
      </c>
      <c r="AA147" s="7">
        <v>126.977</v>
      </c>
      <c r="AB147" s="7">
        <v>0</v>
      </c>
      <c r="AC147" s="7">
        <v>1519.9179999999999</v>
      </c>
      <c r="AD147" s="7">
        <v>0</v>
      </c>
      <c r="AE147" s="7">
        <v>532.303</v>
      </c>
      <c r="AF147" s="7">
        <v>0.35499999999999998</v>
      </c>
      <c r="AG147" s="7">
        <v>138.45699999999999</v>
      </c>
      <c r="AH147" s="7">
        <v>0</v>
      </c>
      <c r="AI147" s="7">
        <v>4730.29</v>
      </c>
      <c r="AJ147" s="7">
        <v>548.08600000000001</v>
      </c>
      <c r="AK147" s="7">
        <v>0</v>
      </c>
      <c r="AL147" s="7">
        <v>15840.621999999999</v>
      </c>
      <c r="AM147" s="7">
        <v>888.84400000000005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16.276</v>
      </c>
      <c r="AV147" s="7">
        <v>0</v>
      </c>
      <c r="AW147" s="7">
        <v>0</v>
      </c>
      <c r="AX147" s="7">
        <v>210.27500000000001</v>
      </c>
      <c r="AY147" s="7">
        <v>0</v>
      </c>
      <c r="AZ147" s="7">
        <v>1.004</v>
      </c>
      <c r="BA147" s="7">
        <v>0</v>
      </c>
      <c r="BB147" s="7">
        <v>14.334</v>
      </c>
      <c r="BC147" s="7">
        <v>0</v>
      </c>
      <c r="BD147" s="7">
        <v>0</v>
      </c>
      <c r="BE147" s="7">
        <v>898.76199999999994</v>
      </c>
      <c r="BF147" s="7">
        <v>0</v>
      </c>
      <c r="BG147" s="21"/>
    </row>
    <row r="148" spans="1:59" ht="15.75">
      <c r="A148" s="5" t="s">
        <v>279</v>
      </c>
      <c r="B148" s="5" t="s">
        <v>280</v>
      </c>
      <c r="C148" s="7">
        <v>6</v>
      </c>
      <c r="D148" s="7">
        <v>6</v>
      </c>
      <c r="E148" s="7">
        <v>-15975.118</v>
      </c>
      <c r="F148" s="7">
        <v>-3240.627</v>
      </c>
      <c r="G148" s="7">
        <v>-4535.5780000000004</v>
      </c>
      <c r="H148" s="7">
        <v>-54.366999999999997</v>
      </c>
      <c r="I148" s="7">
        <v>-559.58699999999999</v>
      </c>
      <c r="J148" s="7">
        <v>-2924.5889999999999</v>
      </c>
      <c r="K148" s="7">
        <v>-10147.02</v>
      </c>
      <c r="L148" s="7">
        <v>-3739.8150000000001</v>
      </c>
      <c r="M148" s="7">
        <v>0</v>
      </c>
      <c r="N148" s="7">
        <v>-9304.6409999999996</v>
      </c>
      <c r="O148" s="7">
        <v>-18998.87</v>
      </c>
      <c r="P148" s="7">
        <v>-8941.7839999999997</v>
      </c>
      <c r="Q148" s="7">
        <v>0</v>
      </c>
      <c r="R148" s="7">
        <v>0</v>
      </c>
      <c r="S148" s="7">
        <v>-39.462000000000003</v>
      </c>
      <c r="T148" s="7">
        <v>0</v>
      </c>
      <c r="U148" s="7">
        <v>-1.28</v>
      </c>
      <c r="V148" s="7">
        <v>-974.34199999999998</v>
      </c>
      <c r="W148" s="7">
        <v>0</v>
      </c>
      <c r="X148" s="7">
        <v>0</v>
      </c>
      <c r="Y148" s="7">
        <v>0</v>
      </c>
      <c r="Z148" s="7">
        <v>-438.67099999999999</v>
      </c>
      <c r="AA148" s="7">
        <v>-1098.3969999999999</v>
      </c>
      <c r="AB148" s="7">
        <v>0</v>
      </c>
      <c r="AC148" s="7">
        <v>-5067.8810000000003</v>
      </c>
      <c r="AD148" s="7">
        <v>0</v>
      </c>
      <c r="AE148" s="7">
        <v>-3421.02</v>
      </c>
      <c r="AF148" s="7">
        <v>-0.35399999999999998</v>
      </c>
      <c r="AG148" s="7">
        <v>-576.69100000000003</v>
      </c>
      <c r="AH148" s="7">
        <v>5.5369999999999999</v>
      </c>
      <c r="AI148" s="7">
        <v>-11877.723</v>
      </c>
      <c r="AJ148" s="7">
        <v>-1152.9860000000001</v>
      </c>
      <c r="AK148" s="7">
        <v>17.399000000000001</v>
      </c>
      <c r="AL148" s="7">
        <v>-32556.593000000001</v>
      </c>
      <c r="AM148" s="7">
        <v>-2097.9520000000002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-31.178000000000001</v>
      </c>
      <c r="AV148" s="7">
        <v>0</v>
      </c>
      <c r="AW148" s="7">
        <v>0</v>
      </c>
      <c r="AX148" s="7">
        <v>-346.50900000000001</v>
      </c>
      <c r="AY148" s="7">
        <v>0</v>
      </c>
      <c r="AZ148" s="7">
        <v>-8.6389999999999993</v>
      </c>
      <c r="BA148" s="7">
        <v>0</v>
      </c>
      <c r="BB148" s="7">
        <v>-221.50200000000001</v>
      </c>
      <c r="BC148" s="7">
        <v>0</v>
      </c>
      <c r="BD148" s="7">
        <v>0</v>
      </c>
      <c r="BE148" s="7">
        <v>-473.82799999999997</v>
      </c>
      <c r="BF148" s="7">
        <v>0</v>
      </c>
      <c r="BG148" s="21"/>
    </row>
    <row r="149" spans="1:59" ht="15.75">
      <c r="A149" s="5" t="s">
        <v>281</v>
      </c>
      <c r="B149" s="5" t="s">
        <v>282</v>
      </c>
      <c r="C149" s="7">
        <v>6</v>
      </c>
      <c r="D149" s="7">
        <v>6</v>
      </c>
      <c r="E149" s="7">
        <v>-856.45299999999997</v>
      </c>
      <c r="F149" s="7">
        <v>-285.81</v>
      </c>
      <c r="G149" s="7">
        <v>-280.536</v>
      </c>
      <c r="H149" s="7">
        <v>0</v>
      </c>
      <c r="I149" s="7">
        <v>-55.957999999999998</v>
      </c>
      <c r="J149" s="7">
        <v>-219.62</v>
      </c>
      <c r="K149" s="7">
        <v>-1727.5050000000001</v>
      </c>
      <c r="L149" s="7">
        <v>-283.42899999999997</v>
      </c>
      <c r="M149" s="7">
        <v>0</v>
      </c>
      <c r="N149" s="7">
        <v>-503.61</v>
      </c>
      <c r="O149" s="7">
        <v>-1219.0050000000001</v>
      </c>
      <c r="P149" s="7">
        <v>-758.57600000000002</v>
      </c>
      <c r="Q149" s="7">
        <v>0</v>
      </c>
      <c r="R149" s="7">
        <v>0</v>
      </c>
      <c r="S149" s="7">
        <v>0</v>
      </c>
      <c r="T149" s="7">
        <v>-555.92999999999995</v>
      </c>
      <c r="U149" s="7">
        <v>-658.96299999999997</v>
      </c>
      <c r="V149" s="7">
        <v>-88.462999999999994</v>
      </c>
      <c r="W149" s="7">
        <v>0</v>
      </c>
      <c r="X149" s="7">
        <v>-4140.0640000000003</v>
      </c>
      <c r="Y149" s="7">
        <v>0</v>
      </c>
      <c r="Z149" s="7">
        <v>-29.844999999999999</v>
      </c>
      <c r="AA149" s="7">
        <v>-80.025000000000006</v>
      </c>
      <c r="AB149" s="7">
        <v>0</v>
      </c>
      <c r="AC149" s="7">
        <v>-264.52699999999999</v>
      </c>
      <c r="AD149" s="7">
        <v>-18060.088</v>
      </c>
      <c r="AE149" s="7">
        <v>-272.52300000000002</v>
      </c>
      <c r="AF149" s="7">
        <v>0</v>
      </c>
      <c r="AG149" s="7">
        <v>-39.204000000000001</v>
      </c>
      <c r="AH149" s="7">
        <v>-4101.9430000000002</v>
      </c>
      <c r="AI149" s="7">
        <v>-682.65899999999999</v>
      </c>
      <c r="AJ149" s="7">
        <v>0</v>
      </c>
      <c r="AK149" s="7">
        <v>-13444.59</v>
      </c>
      <c r="AL149" s="7">
        <v>-2467.2080000000001</v>
      </c>
      <c r="AM149" s="7">
        <v>0</v>
      </c>
      <c r="AN149" s="7">
        <v>-105796.535</v>
      </c>
      <c r="AO149" s="7">
        <v>0</v>
      </c>
      <c r="AP149" s="7">
        <v>-11154.093000000001</v>
      </c>
      <c r="AQ149" s="7">
        <v>-6519.8680000000004</v>
      </c>
      <c r="AR149" s="7">
        <v>0</v>
      </c>
      <c r="AS149" s="7">
        <v>0</v>
      </c>
      <c r="AT149" s="7">
        <v>0</v>
      </c>
      <c r="AU149" s="7">
        <v>-3.2360000000000002</v>
      </c>
      <c r="AV149" s="7">
        <v>-2288.0619999999999</v>
      </c>
      <c r="AW149" s="7">
        <v>0</v>
      </c>
      <c r="AX149" s="7">
        <v>0</v>
      </c>
      <c r="AY149" s="7">
        <v>0</v>
      </c>
      <c r="AZ149" s="7">
        <v>-0.106</v>
      </c>
      <c r="BA149" s="7">
        <v>0</v>
      </c>
      <c r="BB149" s="7">
        <v>0</v>
      </c>
      <c r="BC149" s="7">
        <v>0</v>
      </c>
      <c r="BD149" s="7">
        <v>0</v>
      </c>
      <c r="BE149" s="7">
        <v>-0.56699999999999995</v>
      </c>
      <c r="BF149" s="7">
        <v>0</v>
      </c>
      <c r="BG149" s="21"/>
    </row>
    <row r="150" spans="1:59" ht="15.75">
      <c r="A150" s="5" t="s">
        <v>283</v>
      </c>
      <c r="B150" s="5" t="s">
        <v>284</v>
      </c>
      <c r="C150" s="7">
        <v>4</v>
      </c>
      <c r="D150" s="7">
        <v>4</v>
      </c>
      <c r="E150" s="7">
        <v>-1207.7460000000001</v>
      </c>
      <c r="F150" s="7">
        <v>-389.96300000000002</v>
      </c>
      <c r="G150" s="7">
        <v>51.814</v>
      </c>
      <c r="H150" s="7">
        <v>0</v>
      </c>
      <c r="I150" s="7">
        <v>-8.9510000000000005</v>
      </c>
      <c r="J150" s="7">
        <v>35.612000000000002</v>
      </c>
      <c r="K150" s="7">
        <v>-1561.585</v>
      </c>
      <c r="L150" s="7">
        <v>-124.649</v>
      </c>
      <c r="M150" s="7">
        <v>0</v>
      </c>
      <c r="N150" s="7">
        <v>-31.751999999999999</v>
      </c>
      <c r="O150" s="7">
        <v>-4803.05</v>
      </c>
      <c r="P150" s="7">
        <v>-112.298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-120.041</v>
      </c>
      <c r="W150" s="7">
        <v>0</v>
      </c>
      <c r="X150" s="7">
        <v>-1.4530000000000001</v>
      </c>
      <c r="Y150" s="7">
        <v>0</v>
      </c>
      <c r="Z150" s="7">
        <v>3.31</v>
      </c>
      <c r="AA150" s="7">
        <v>-20.625</v>
      </c>
      <c r="AB150" s="7">
        <v>0</v>
      </c>
      <c r="AC150" s="7">
        <v>-780.63800000000003</v>
      </c>
      <c r="AD150" s="7">
        <v>-1.4530000000000001</v>
      </c>
      <c r="AE150" s="7">
        <v>39.493000000000002</v>
      </c>
      <c r="AF150" s="7">
        <v>-3.415</v>
      </c>
      <c r="AG150" s="7">
        <v>-66.852000000000004</v>
      </c>
      <c r="AH150" s="7">
        <v>0.98</v>
      </c>
      <c r="AI150" s="7">
        <v>-1977.163</v>
      </c>
      <c r="AJ150" s="7">
        <v>-977.52</v>
      </c>
      <c r="AK150" s="7">
        <v>2.903</v>
      </c>
      <c r="AL150" s="7">
        <v>-5944.7020000000002</v>
      </c>
      <c r="AM150" s="7">
        <v>-1782.3879999999999</v>
      </c>
      <c r="AN150" s="7">
        <v>-8.3019999999999996</v>
      </c>
      <c r="AO150" s="7">
        <v>8705.6110000000008</v>
      </c>
      <c r="AP150" s="7">
        <v>-2.4910000000000001</v>
      </c>
      <c r="AQ150" s="7">
        <v>-1.038</v>
      </c>
      <c r="AR150" s="7">
        <v>5239.473</v>
      </c>
      <c r="AS150" s="7">
        <v>0</v>
      </c>
      <c r="AT150" s="7">
        <v>2848.46</v>
      </c>
      <c r="AU150" s="7">
        <v>-7.359</v>
      </c>
      <c r="AV150" s="7">
        <v>-0.20799999999999999</v>
      </c>
      <c r="AW150" s="7">
        <v>0</v>
      </c>
      <c r="AX150" s="7">
        <v>-294.52199999999999</v>
      </c>
      <c r="AY150" s="7">
        <v>0</v>
      </c>
      <c r="AZ150" s="7">
        <v>-1.1120000000000001</v>
      </c>
      <c r="BA150" s="7">
        <v>0</v>
      </c>
      <c r="BB150" s="7">
        <v>-5.891</v>
      </c>
      <c r="BC150" s="7">
        <v>0</v>
      </c>
      <c r="BD150" s="7">
        <v>0</v>
      </c>
      <c r="BE150" s="7">
        <v>-268.16800000000001</v>
      </c>
      <c r="BF150" s="7">
        <v>0</v>
      </c>
      <c r="BG150" s="21"/>
    </row>
    <row r="151" spans="1:59" ht="15.75">
      <c r="A151" s="5" t="s">
        <v>285</v>
      </c>
      <c r="B151" s="5" t="s">
        <v>286</v>
      </c>
      <c r="C151" s="7">
        <v>6</v>
      </c>
      <c r="D151" s="7">
        <v>6</v>
      </c>
      <c r="E151" s="7">
        <v>502.20600000000002</v>
      </c>
      <c r="F151" s="7">
        <v>-407.09800000000001</v>
      </c>
      <c r="G151" s="7">
        <v>-58.194000000000003</v>
      </c>
      <c r="H151" s="7">
        <v>-306.82</v>
      </c>
      <c r="I151" s="7">
        <v>-78.882999999999996</v>
      </c>
      <c r="J151" s="7">
        <v>-510.238</v>
      </c>
      <c r="K151" s="7">
        <v>935.15700000000004</v>
      </c>
      <c r="L151" s="7">
        <v>-211.24799999999999</v>
      </c>
      <c r="M151" s="7">
        <v>0</v>
      </c>
      <c r="N151" s="7">
        <v>-885.88199999999995</v>
      </c>
      <c r="O151" s="7">
        <v>989.17499999999995</v>
      </c>
      <c r="P151" s="7">
        <v>-798.39200000000005</v>
      </c>
      <c r="Q151" s="7">
        <v>0</v>
      </c>
      <c r="R151" s="7">
        <v>110.21299999999999</v>
      </c>
      <c r="S151" s="7">
        <v>-3.0000000000000001E-3</v>
      </c>
      <c r="T151" s="7">
        <v>-69.569000000000003</v>
      </c>
      <c r="U151" s="7">
        <v>-164.94900000000001</v>
      </c>
      <c r="V151" s="7">
        <v>-192.994</v>
      </c>
      <c r="W151" s="7">
        <v>0</v>
      </c>
      <c r="X151" s="7">
        <v>183.619</v>
      </c>
      <c r="Y151" s="7">
        <v>0</v>
      </c>
      <c r="Z151" s="7">
        <v>-46.816000000000003</v>
      </c>
      <c r="AA151" s="7">
        <v>-41.954999999999998</v>
      </c>
      <c r="AB151" s="7">
        <v>0</v>
      </c>
      <c r="AC151" s="7">
        <v>464.28800000000001</v>
      </c>
      <c r="AD151" s="7">
        <v>-3601.9850000000001</v>
      </c>
      <c r="AE151" s="7">
        <v>-1051.2660000000001</v>
      </c>
      <c r="AF151" s="7">
        <v>2921.797</v>
      </c>
      <c r="AG151" s="7">
        <v>-78.234999999999999</v>
      </c>
      <c r="AH151" s="7">
        <v>-327.62</v>
      </c>
      <c r="AI151" s="7">
        <v>1170.8599999999999</v>
      </c>
      <c r="AJ151" s="7">
        <v>547.57100000000003</v>
      </c>
      <c r="AK151" s="7">
        <v>-530.44600000000003</v>
      </c>
      <c r="AL151" s="7">
        <v>-1144.375</v>
      </c>
      <c r="AM151" s="7">
        <v>1020.9</v>
      </c>
      <c r="AN151" s="7">
        <v>-21258.233</v>
      </c>
      <c r="AO151" s="7">
        <v>189291.78099999999</v>
      </c>
      <c r="AP151" s="7">
        <v>-396.738</v>
      </c>
      <c r="AQ151" s="7">
        <v>-591.43799999999999</v>
      </c>
      <c r="AR151" s="7">
        <v>113922.359</v>
      </c>
      <c r="AS151" s="7">
        <v>0</v>
      </c>
      <c r="AT151" s="7">
        <v>61936.947</v>
      </c>
      <c r="AU151" s="7">
        <v>-14.9</v>
      </c>
      <c r="AV151" s="7">
        <v>-332.03899999999999</v>
      </c>
      <c r="AW151" s="7">
        <v>0</v>
      </c>
      <c r="AX151" s="7">
        <v>166.755</v>
      </c>
      <c r="AY151" s="7">
        <v>0</v>
      </c>
      <c r="AZ151" s="7">
        <v>-0.23</v>
      </c>
      <c r="BA151" s="7">
        <v>0</v>
      </c>
      <c r="BB151" s="7">
        <v>5.1550000000000002</v>
      </c>
      <c r="BC151" s="7">
        <v>0</v>
      </c>
      <c r="BD151" s="7">
        <v>0</v>
      </c>
      <c r="BE151" s="7">
        <v>-743.71199999999999</v>
      </c>
      <c r="BF151" s="7">
        <v>0</v>
      </c>
      <c r="BG151" s="21"/>
    </row>
    <row r="152" spans="1:59" ht="15.75">
      <c r="A152" s="5" t="s">
        <v>287</v>
      </c>
      <c r="B152" s="5" t="s">
        <v>288</v>
      </c>
      <c r="C152" s="7">
        <v>6</v>
      </c>
      <c r="D152" s="7">
        <v>6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21"/>
    </row>
    <row r="153" spans="1:59" ht="15.75">
      <c r="A153" s="5" t="s">
        <v>289</v>
      </c>
      <c r="B153" s="5" t="s">
        <v>290</v>
      </c>
      <c r="C153" s="7">
        <v>6</v>
      </c>
      <c r="D153" s="7">
        <v>6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21"/>
    </row>
    <row r="154" spans="1:59" ht="15.75">
      <c r="A154" s="5" t="s">
        <v>291</v>
      </c>
      <c r="B154" s="5" t="s">
        <v>292</v>
      </c>
      <c r="C154" s="7">
        <v>6</v>
      </c>
      <c r="D154" s="7">
        <v>6</v>
      </c>
      <c r="E154" s="7">
        <v>1128.932</v>
      </c>
      <c r="F154" s="7">
        <v>916.42899999999997</v>
      </c>
      <c r="G154" s="7">
        <v>329.75700000000001</v>
      </c>
      <c r="H154" s="7">
        <v>305.87900000000002</v>
      </c>
      <c r="I154" s="7">
        <v>142.28899999999999</v>
      </c>
      <c r="J154" s="7">
        <v>721.40700000000004</v>
      </c>
      <c r="K154" s="7">
        <v>1685.155</v>
      </c>
      <c r="L154" s="7">
        <v>570.27099999999996</v>
      </c>
      <c r="M154" s="7">
        <v>0</v>
      </c>
      <c r="N154" s="7">
        <v>1456.8879999999999</v>
      </c>
      <c r="O154" s="7">
        <v>2943.8270000000002</v>
      </c>
      <c r="P154" s="7">
        <v>1672.1469999999999</v>
      </c>
      <c r="Q154" s="7">
        <v>0</v>
      </c>
      <c r="R154" s="7">
        <v>0</v>
      </c>
      <c r="S154" s="7">
        <v>3.0000000000000001E-3</v>
      </c>
      <c r="T154" s="7">
        <v>699.65099999999995</v>
      </c>
      <c r="U154" s="7">
        <v>829.322</v>
      </c>
      <c r="V154" s="7">
        <v>350.27</v>
      </c>
      <c r="W154" s="7">
        <v>0</v>
      </c>
      <c r="X154" s="7">
        <v>5210.3720000000003</v>
      </c>
      <c r="Y154" s="7">
        <v>0</v>
      </c>
      <c r="Z154" s="7">
        <v>75.581999999999994</v>
      </c>
      <c r="AA154" s="7">
        <v>133.816</v>
      </c>
      <c r="AB154" s="7">
        <v>0</v>
      </c>
      <c r="AC154" s="7">
        <v>256.28399999999999</v>
      </c>
      <c r="AD154" s="7">
        <v>22729.062000000002</v>
      </c>
      <c r="AE154" s="7">
        <v>1312.019</v>
      </c>
      <c r="AF154" s="7">
        <v>0</v>
      </c>
      <c r="AG154" s="7">
        <v>155.54599999999999</v>
      </c>
      <c r="AH154" s="7">
        <v>4611.42</v>
      </c>
      <c r="AI154" s="7">
        <v>663.471</v>
      </c>
      <c r="AJ154" s="7">
        <v>12.554</v>
      </c>
      <c r="AK154" s="7">
        <v>14952.022999999999</v>
      </c>
      <c r="AL154" s="7">
        <v>7049.9780000000001</v>
      </c>
      <c r="AM154" s="7">
        <v>0.312</v>
      </c>
      <c r="AN154" s="7">
        <v>133147.527</v>
      </c>
      <c r="AO154" s="7">
        <v>561.56700000000001</v>
      </c>
      <c r="AP154" s="7">
        <v>14037.699000000001</v>
      </c>
      <c r="AQ154" s="7">
        <v>8205.4140000000007</v>
      </c>
      <c r="AR154" s="7">
        <v>337.971</v>
      </c>
      <c r="AS154" s="7">
        <v>0</v>
      </c>
      <c r="AT154" s="7">
        <v>183.74700000000001</v>
      </c>
      <c r="AU154" s="7">
        <v>22.364000000000001</v>
      </c>
      <c r="AV154" s="7">
        <v>2879.5819999999999</v>
      </c>
      <c r="AW154" s="7">
        <v>0</v>
      </c>
      <c r="AX154" s="7">
        <v>1.76</v>
      </c>
      <c r="AY154" s="7">
        <v>0</v>
      </c>
      <c r="AZ154" s="7">
        <v>1.06</v>
      </c>
      <c r="BA154" s="7">
        <v>0</v>
      </c>
      <c r="BB154" s="7">
        <v>0.13</v>
      </c>
      <c r="BC154" s="7">
        <v>0</v>
      </c>
      <c r="BD154" s="7">
        <v>0</v>
      </c>
      <c r="BE154" s="7">
        <v>894.78700000000003</v>
      </c>
      <c r="BF154" s="7">
        <v>0</v>
      </c>
      <c r="BG154" s="21"/>
    </row>
    <row r="155" spans="1:59" ht="15.75">
      <c r="A155" s="5" t="s">
        <v>293</v>
      </c>
      <c r="B155" s="5" t="s">
        <v>294</v>
      </c>
      <c r="C155" s="7">
        <v>4</v>
      </c>
      <c r="D155" s="7">
        <v>4</v>
      </c>
      <c r="E155" s="7">
        <v>13840.704</v>
      </c>
      <c r="F155" s="7">
        <v>4088.933</v>
      </c>
      <c r="G155" s="7">
        <v>0</v>
      </c>
      <c r="H155" s="7">
        <v>0</v>
      </c>
      <c r="I155" s="7">
        <v>207.108</v>
      </c>
      <c r="J155" s="7">
        <v>0</v>
      </c>
      <c r="K155" s="7">
        <v>18633.927</v>
      </c>
      <c r="L155" s="7">
        <v>1308.1669999999999</v>
      </c>
      <c r="M155" s="7">
        <v>0</v>
      </c>
      <c r="N155" s="7">
        <v>2369.502</v>
      </c>
      <c r="O155" s="7">
        <v>49298.873</v>
      </c>
      <c r="P155" s="7">
        <v>2500.2359999999999</v>
      </c>
      <c r="Q155" s="7">
        <v>0</v>
      </c>
      <c r="R155" s="7">
        <v>0</v>
      </c>
      <c r="S155" s="7">
        <v>0.94899999999999995</v>
      </c>
      <c r="T155" s="7">
        <v>0</v>
      </c>
      <c r="U155" s="7">
        <v>0</v>
      </c>
      <c r="V155" s="7">
        <v>1020.087</v>
      </c>
      <c r="W155" s="7">
        <v>0</v>
      </c>
      <c r="X155" s="7">
        <v>0</v>
      </c>
      <c r="Y155" s="7">
        <v>0</v>
      </c>
      <c r="Z155" s="7">
        <v>0</v>
      </c>
      <c r="AA155" s="7">
        <v>285.43799999999999</v>
      </c>
      <c r="AB155" s="7">
        <v>0</v>
      </c>
      <c r="AC155" s="7">
        <v>7599.5950000000003</v>
      </c>
      <c r="AD155" s="7">
        <v>0</v>
      </c>
      <c r="AE155" s="7">
        <v>0</v>
      </c>
      <c r="AF155" s="7">
        <v>0</v>
      </c>
      <c r="AG155" s="7">
        <v>672.76</v>
      </c>
      <c r="AH155" s="7">
        <v>0</v>
      </c>
      <c r="AI155" s="7">
        <v>18992.062999999998</v>
      </c>
      <c r="AJ155" s="7">
        <v>9796.3700000000008</v>
      </c>
      <c r="AK155" s="7">
        <v>0</v>
      </c>
      <c r="AL155" s="7">
        <v>62100.847999999998</v>
      </c>
      <c r="AM155" s="7">
        <v>17917.177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43.222999999999999</v>
      </c>
      <c r="AV155" s="7">
        <v>0</v>
      </c>
      <c r="AW155" s="7">
        <v>0</v>
      </c>
      <c r="AX155" s="7">
        <v>2938.6590000000001</v>
      </c>
      <c r="AY155" s="7">
        <v>0</v>
      </c>
      <c r="AZ155" s="7">
        <v>11.331</v>
      </c>
      <c r="BA155" s="7">
        <v>0</v>
      </c>
      <c r="BB155" s="7">
        <v>84.587000000000003</v>
      </c>
      <c r="BC155" s="7">
        <v>0</v>
      </c>
      <c r="BD155" s="7">
        <v>0</v>
      </c>
      <c r="BE155" s="7">
        <v>0</v>
      </c>
      <c r="BF155" s="7">
        <v>0</v>
      </c>
      <c r="BG155" s="21"/>
    </row>
    <row r="156" spans="1:59" ht="15.75">
      <c r="A156" s="5" t="s">
        <v>295</v>
      </c>
      <c r="B156" s="5" t="s">
        <v>296</v>
      </c>
      <c r="C156" s="7">
        <v>4</v>
      </c>
      <c r="D156" s="7">
        <v>4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21"/>
    </row>
    <row r="157" spans="1:59" ht="15.75">
      <c r="A157" s="5" t="s">
        <v>297</v>
      </c>
      <c r="B157" s="5" t="s">
        <v>298</v>
      </c>
      <c r="C157" s="7">
        <v>4</v>
      </c>
      <c r="D157" s="7">
        <v>4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21"/>
    </row>
    <row r="158" spans="1:59" ht="15.75">
      <c r="A158" s="5" t="s">
        <v>299</v>
      </c>
      <c r="B158" s="5" t="s">
        <v>300</v>
      </c>
      <c r="C158" s="7">
        <v>4</v>
      </c>
      <c r="D158" s="7">
        <v>4</v>
      </c>
      <c r="E158" s="7">
        <v>314.96899999999999</v>
      </c>
      <c r="F158" s="7">
        <v>31.251999999999999</v>
      </c>
      <c r="G158" s="7">
        <v>85.19</v>
      </c>
      <c r="H158" s="7">
        <v>0</v>
      </c>
      <c r="I158" s="7">
        <v>12.4</v>
      </c>
      <c r="J158" s="7">
        <v>58.55</v>
      </c>
      <c r="K158" s="7">
        <v>143.815</v>
      </c>
      <c r="L158" s="7">
        <v>29.036000000000001</v>
      </c>
      <c r="M158" s="7">
        <v>0</v>
      </c>
      <c r="N158" s="7">
        <v>134.429</v>
      </c>
      <c r="O158" s="7">
        <v>95.966999999999999</v>
      </c>
      <c r="P158" s="7">
        <v>132.92500000000001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10.317</v>
      </c>
      <c r="W158" s="7">
        <v>0</v>
      </c>
      <c r="X158" s="7">
        <v>0</v>
      </c>
      <c r="Y158" s="7">
        <v>0</v>
      </c>
      <c r="Z158" s="7">
        <v>5.4429999999999996</v>
      </c>
      <c r="AA158" s="7">
        <v>7.6459999999999999</v>
      </c>
      <c r="AB158" s="7">
        <v>0</v>
      </c>
      <c r="AC158" s="7">
        <v>52.177</v>
      </c>
      <c r="AD158" s="7">
        <v>0</v>
      </c>
      <c r="AE158" s="7">
        <v>64.933000000000007</v>
      </c>
      <c r="AF158" s="7">
        <v>0</v>
      </c>
      <c r="AG158" s="7">
        <v>3.9940000000000002</v>
      </c>
      <c r="AH158" s="7">
        <v>1.9530000000000001</v>
      </c>
      <c r="AI158" s="7">
        <v>123.59399999999999</v>
      </c>
      <c r="AJ158" s="7">
        <v>0</v>
      </c>
      <c r="AK158" s="7">
        <v>6.1369999999999996</v>
      </c>
      <c r="AL158" s="7">
        <v>326.54399999999998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0.52600000000000002</v>
      </c>
      <c r="AV158" s="7">
        <v>0</v>
      </c>
      <c r="AW158" s="7">
        <v>0</v>
      </c>
      <c r="AX158" s="7">
        <v>0</v>
      </c>
      <c r="AY158" s="7">
        <v>0</v>
      </c>
      <c r="AZ158" s="7">
        <v>0.27100000000000002</v>
      </c>
      <c r="BA158" s="7">
        <v>0</v>
      </c>
      <c r="BB158" s="7">
        <v>5.516</v>
      </c>
      <c r="BC158" s="7">
        <v>0</v>
      </c>
      <c r="BD158" s="7">
        <v>0</v>
      </c>
      <c r="BE158" s="7">
        <v>0</v>
      </c>
      <c r="BF158" s="7">
        <v>0</v>
      </c>
      <c r="BG158" s="21"/>
    </row>
    <row r="159" spans="1:59" ht="15.75">
      <c r="A159" s="5" t="s">
        <v>301</v>
      </c>
      <c r="B159" s="5" t="s">
        <v>302</v>
      </c>
      <c r="C159" s="7">
        <v>4</v>
      </c>
      <c r="D159" s="7">
        <v>4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21"/>
    </row>
    <row r="160" spans="1:59" ht="15.75">
      <c r="A160" s="5" t="s">
        <v>303</v>
      </c>
      <c r="B160" s="5" t="s">
        <v>304</v>
      </c>
      <c r="C160" s="7">
        <v>4</v>
      </c>
      <c r="D160" s="7">
        <v>4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21"/>
    </row>
    <row r="161" spans="1:59" ht="15.75">
      <c r="A161" s="5" t="s">
        <v>305</v>
      </c>
      <c r="B161" s="5" t="s">
        <v>306</v>
      </c>
      <c r="C161" s="7">
        <v>4</v>
      </c>
      <c r="D161" s="7">
        <v>4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21"/>
    </row>
    <row r="162" spans="1:59" ht="15.75">
      <c r="A162" s="5" t="s">
        <v>307</v>
      </c>
      <c r="B162" s="5" t="s">
        <v>308</v>
      </c>
      <c r="C162" s="7">
        <v>4</v>
      </c>
      <c r="D162" s="7">
        <v>4</v>
      </c>
      <c r="E162" s="7">
        <v>-430.09</v>
      </c>
      <c r="F162" s="7">
        <v>-42.673999999999999</v>
      </c>
      <c r="G162" s="7">
        <v>-116.327</v>
      </c>
      <c r="H162" s="7">
        <v>0</v>
      </c>
      <c r="I162" s="7">
        <v>-16.931999999999999</v>
      </c>
      <c r="J162" s="7">
        <v>-79.95</v>
      </c>
      <c r="K162" s="7">
        <v>-196.37899999999999</v>
      </c>
      <c r="L162" s="7">
        <v>-39.649000000000001</v>
      </c>
      <c r="M162" s="7">
        <v>0</v>
      </c>
      <c r="N162" s="7">
        <v>-183.56299999999999</v>
      </c>
      <c r="O162" s="7">
        <v>-131.042</v>
      </c>
      <c r="P162" s="7">
        <v>-181.50899999999999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-14.087999999999999</v>
      </c>
      <c r="W162" s="7">
        <v>0</v>
      </c>
      <c r="X162" s="7">
        <v>0</v>
      </c>
      <c r="Y162" s="7">
        <v>0</v>
      </c>
      <c r="Z162" s="7">
        <v>-7.4320000000000004</v>
      </c>
      <c r="AA162" s="7">
        <v>-10.44</v>
      </c>
      <c r="AB162" s="7">
        <v>0</v>
      </c>
      <c r="AC162" s="7">
        <v>-71.248000000000005</v>
      </c>
      <c r="AD162" s="7">
        <v>0</v>
      </c>
      <c r="AE162" s="7">
        <v>-88.665000000000006</v>
      </c>
      <c r="AF162" s="7">
        <v>0</v>
      </c>
      <c r="AG162" s="7">
        <v>-5.4539999999999997</v>
      </c>
      <c r="AH162" s="7">
        <v>-2.6669999999999998</v>
      </c>
      <c r="AI162" s="7">
        <v>-168.767</v>
      </c>
      <c r="AJ162" s="7">
        <v>0</v>
      </c>
      <c r="AK162" s="7">
        <v>-8.3810000000000002</v>
      </c>
      <c r="AL162" s="7">
        <v>-445.89499999999998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-0.71899999999999997</v>
      </c>
      <c r="AV162" s="7">
        <v>0</v>
      </c>
      <c r="AW162" s="7">
        <v>0</v>
      </c>
      <c r="AX162" s="7">
        <v>0</v>
      </c>
      <c r="AY162" s="7">
        <v>0</v>
      </c>
      <c r="AZ162" s="7">
        <v>-0.371</v>
      </c>
      <c r="BA162" s="7">
        <v>0</v>
      </c>
      <c r="BB162" s="7">
        <v>-7.532</v>
      </c>
      <c r="BC162" s="7">
        <v>0</v>
      </c>
      <c r="BD162" s="7">
        <v>0</v>
      </c>
      <c r="BE162" s="7">
        <v>0</v>
      </c>
      <c r="BF162" s="7">
        <v>0</v>
      </c>
      <c r="BG162" s="21"/>
    </row>
    <row r="163" spans="1:59" ht="15.75">
      <c r="A163" s="5" t="s">
        <v>293</v>
      </c>
      <c r="B163" s="5" t="s">
        <v>309</v>
      </c>
      <c r="C163" s="7">
        <v>6</v>
      </c>
      <c r="D163" s="7">
        <v>6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21"/>
    </row>
    <row r="164" spans="1:59" ht="15.75">
      <c r="A164" s="5" t="s">
        <v>310</v>
      </c>
      <c r="B164" s="5" t="s">
        <v>311</v>
      </c>
      <c r="C164" s="7">
        <v>6</v>
      </c>
      <c r="D164" s="7">
        <v>6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21"/>
    </row>
    <row r="165" spans="1:59" ht="15.75">
      <c r="A165" s="5" t="s">
        <v>312</v>
      </c>
      <c r="B165" s="5" t="s">
        <v>313</v>
      </c>
      <c r="C165" s="7">
        <v>6</v>
      </c>
      <c r="D165" s="7">
        <v>6</v>
      </c>
      <c r="E165" s="7">
        <v>74.269000000000005</v>
      </c>
      <c r="F165" s="7">
        <v>24.783999999999999</v>
      </c>
      <c r="G165" s="7">
        <v>24.327000000000002</v>
      </c>
      <c r="H165" s="7">
        <v>0</v>
      </c>
      <c r="I165" s="7">
        <v>4.8520000000000003</v>
      </c>
      <c r="J165" s="7">
        <v>19.042999999999999</v>
      </c>
      <c r="K165" s="7">
        <v>149.803</v>
      </c>
      <c r="L165" s="7">
        <v>24.577999999999999</v>
      </c>
      <c r="M165" s="7">
        <v>0</v>
      </c>
      <c r="N165" s="7">
        <v>43.670999999999999</v>
      </c>
      <c r="O165" s="7">
        <v>105.708</v>
      </c>
      <c r="P165" s="7">
        <v>65.781000000000006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7.6710000000000003</v>
      </c>
      <c r="W165" s="7">
        <v>0</v>
      </c>
      <c r="X165" s="7">
        <v>0</v>
      </c>
      <c r="Y165" s="7">
        <v>0</v>
      </c>
      <c r="Z165" s="7">
        <v>2.5880000000000001</v>
      </c>
      <c r="AA165" s="7">
        <v>6.9390000000000001</v>
      </c>
      <c r="AB165" s="7">
        <v>0</v>
      </c>
      <c r="AC165" s="7">
        <v>22.939</v>
      </c>
      <c r="AD165" s="7">
        <v>0</v>
      </c>
      <c r="AE165" s="7">
        <v>23.632000000000001</v>
      </c>
      <c r="AF165" s="7">
        <v>0</v>
      </c>
      <c r="AG165" s="7">
        <v>3.4</v>
      </c>
      <c r="AH165" s="7">
        <v>0</v>
      </c>
      <c r="AI165" s="7">
        <v>59.198</v>
      </c>
      <c r="AJ165" s="7">
        <v>0</v>
      </c>
      <c r="AK165" s="7">
        <v>0</v>
      </c>
      <c r="AL165" s="7">
        <v>213.94800000000001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0.28100000000000003</v>
      </c>
      <c r="AV165" s="7">
        <v>0</v>
      </c>
      <c r="AW165" s="7">
        <v>0</v>
      </c>
      <c r="AX165" s="7">
        <v>0</v>
      </c>
      <c r="AY165" s="7">
        <v>0</v>
      </c>
      <c r="AZ165" s="7">
        <v>8.9999999999999993E-3</v>
      </c>
      <c r="BA165" s="7">
        <v>0</v>
      </c>
      <c r="BB165" s="7">
        <v>0</v>
      </c>
      <c r="BC165" s="7">
        <v>0</v>
      </c>
      <c r="BD165" s="7">
        <v>0</v>
      </c>
      <c r="BE165" s="7">
        <v>4.9000000000000002E-2</v>
      </c>
      <c r="BF165" s="7">
        <v>0</v>
      </c>
      <c r="BG165" s="21"/>
    </row>
    <row r="166" spans="1:59" ht="15.75">
      <c r="A166" s="5" t="s">
        <v>297</v>
      </c>
      <c r="B166" s="5" t="s">
        <v>314</v>
      </c>
      <c r="C166" s="7">
        <v>6</v>
      </c>
      <c r="D166" s="7">
        <v>6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21"/>
    </row>
    <row r="167" spans="1:59" ht="15.75">
      <c r="A167" s="5" t="s">
        <v>299</v>
      </c>
      <c r="B167" s="5" t="s">
        <v>315</v>
      </c>
      <c r="C167" s="7">
        <v>6</v>
      </c>
      <c r="D167" s="7">
        <v>6</v>
      </c>
      <c r="E167" s="7">
        <v>887.83299999999997</v>
      </c>
      <c r="F167" s="7">
        <v>120.81399999999999</v>
      </c>
      <c r="G167" s="7">
        <v>173.321</v>
      </c>
      <c r="H167" s="7">
        <v>0</v>
      </c>
      <c r="I167" s="7">
        <v>30.445</v>
      </c>
      <c r="J167" s="7">
        <v>101.82599999999999</v>
      </c>
      <c r="K167" s="7">
        <v>852.923</v>
      </c>
      <c r="L167" s="7">
        <v>79.873000000000005</v>
      </c>
      <c r="M167" s="7">
        <v>0</v>
      </c>
      <c r="N167" s="7">
        <v>397.73200000000003</v>
      </c>
      <c r="O167" s="7">
        <v>952.38900000000001</v>
      </c>
      <c r="P167" s="7">
        <v>391.66899999999998</v>
      </c>
      <c r="Q167" s="7">
        <v>0</v>
      </c>
      <c r="R167" s="7">
        <v>0</v>
      </c>
      <c r="S167" s="7">
        <v>5.7480000000000002</v>
      </c>
      <c r="T167" s="7">
        <v>0</v>
      </c>
      <c r="U167" s="7">
        <v>0.188</v>
      </c>
      <c r="V167" s="7">
        <v>0</v>
      </c>
      <c r="W167" s="7">
        <v>0</v>
      </c>
      <c r="X167" s="7">
        <v>0</v>
      </c>
      <c r="Y167" s="7">
        <v>0</v>
      </c>
      <c r="Z167" s="7">
        <v>14.42</v>
      </c>
      <c r="AA167" s="7">
        <v>45.256999999999998</v>
      </c>
      <c r="AB167" s="7">
        <v>0</v>
      </c>
      <c r="AC167" s="7">
        <v>360</v>
      </c>
      <c r="AD167" s="7">
        <v>0</v>
      </c>
      <c r="AE167" s="7">
        <v>125.648</v>
      </c>
      <c r="AF167" s="7">
        <v>0</v>
      </c>
      <c r="AG167" s="7">
        <v>22.122</v>
      </c>
      <c r="AH167" s="7">
        <v>0</v>
      </c>
      <c r="AI167" s="7">
        <v>1139.127</v>
      </c>
      <c r="AJ167" s="7">
        <v>0</v>
      </c>
      <c r="AK167" s="7">
        <v>0</v>
      </c>
      <c r="AL167" s="7">
        <v>1847.501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21"/>
    </row>
    <row r="168" spans="1:59" ht="15.75">
      <c r="A168" s="5" t="s">
        <v>301</v>
      </c>
      <c r="B168" s="5" t="s">
        <v>316</v>
      </c>
      <c r="C168" s="7">
        <v>6</v>
      </c>
      <c r="D168" s="7">
        <v>6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21"/>
    </row>
    <row r="169" spans="1:59" ht="15.75">
      <c r="A169" s="5" t="s">
        <v>317</v>
      </c>
      <c r="B169" s="5" t="s">
        <v>318</v>
      </c>
      <c r="C169" s="7">
        <v>6</v>
      </c>
      <c r="D169" s="7">
        <v>6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21"/>
    </row>
    <row r="170" spans="1:59" ht="15.75">
      <c r="A170" s="5" t="s">
        <v>319</v>
      </c>
      <c r="B170" s="5" t="s">
        <v>320</v>
      </c>
      <c r="C170" s="7">
        <v>6</v>
      </c>
      <c r="D170" s="7">
        <v>6</v>
      </c>
      <c r="E170" s="7">
        <v>-45.65</v>
      </c>
      <c r="F170" s="7">
        <v>-15.234</v>
      </c>
      <c r="G170" s="7">
        <v>-14.952999999999999</v>
      </c>
      <c r="H170" s="7">
        <v>0</v>
      </c>
      <c r="I170" s="7">
        <v>-2.9830000000000001</v>
      </c>
      <c r="J170" s="7">
        <v>-11.705</v>
      </c>
      <c r="K170" s="7">
        <v>-92.078000000000003</v>
      </c>
      <c r="L170" s="7">
        <v>-15.106999999999999</v>
      </c>
      <c r="M170" s="7">
        <v>0</v>
      </c>
      <c r="N170" s="7">
        <v>-26.843</v>
      </c>
      <c r="O170" s="7">
        <v>-64.974999999999994</v>
      </c>
      <c r="P170" s="7">
        <v>-40.433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-4.7149999999999999</v>
      </c>
      <c r="W170" s="7">
        <v>0</v>
      </c>
      <c r="X170" s="7">
        <v>0</v>
      </c>
      <c r="Y170" s="7">
        <v>0</v>
      </c>
      <c r="Z170" s="7">
        <v>-1.591</v>
      </c>
      <c r="AA170" s="7">
        <v>-4.2649999999999997</v>
      </c>
      <c r="AB170" s="7">
        <v>0</v>
      </c>
      <c r="AC170" s="7">
        <v>-14.1</v>
      </c>
      <c r="AD170" s="7">
        <v>0</v>
      </c>
      <c r="AE170" s="7">
        <v>-14.526</v>
      </c>
      <c r="AF170" s="7">
        <v>0</v>
      </c>
      <c r="AG170" s="7">
        <v>-2.09</v>
      </c>
      <c r="AH170" s="7">
        <v>0</v>
      </c>
      <c r="AI170" s="7">
        <v>-36.387</v>
      </c>
      <c r="AJ170" s="7">
        <v>0</v>
      </c>
      <c r="AK170" s="7">
        <v>0</v>
      </c>
      <c r="AL170" s="7">
        <v>-131.505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-0.17199999999999999</v>
      </c>
      <c r="AV170" s="7">
        <v>0</v>
      </c>
      <c r="AW170" s="7">
        <v>0</v>
      </c>
      <c r="AX170" s="7">
        <v>0</v>
      </c>
      <c r="AY170" s="7">
        <v>0</v>
      </c>
      <c r="AZ170" s="7">
        <v>-6.0000000000000001E-3</v>
      </c>
      <c r="BA170" s="7">
        <v>0</v>
      </c>
      <c r="BB170" s="7">
        <v>0</v>
      </c>
      <c r="BC170" s="7">
        <v>0</v>
      </c>
      <c r="BD170" s="7">
        <v>0</v>
      </c>
      <c r="BE170" s="7">
        <v>-0.03</v>
      </c>
      <c r="BF170" s="7">
        <v>0</v>
      </c>
      <c r="BG170" s="21"/>
    </row>
    <row r="171" spans="1:59" ht="15.75">
      <c r="A171" s="5" t="s">
        <v>305</v>
      </c>
      <c r="B171" s="5" t="s">
        <v>321</v>
      </c>
      <c r="C171" s="7">
        <v>6</v>
      </c>
      <c r="D171" s="7">
        <v>6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21"/>
    </row>
    <row r="172" spans="1:59" ht="15.75">
      <c r="A172" s="5" t="s">
        <v>307</v>
      </c>
      <c r="B172" s="5" t="s">
        <v>322</v>
      </c>
      <c r="C172" s="7">
        <v>6</v>
      </c>
      <c r="D172" s="7">
        <v>6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21"/>
    </row>
    <row r="173" spans="1:59" ht="15.75">
      <c r="A173" s="5" t="s">
        <v>323</v>
      </c>
      <c r="B173" s="5" t="s">
        <v>324</v>
      </c>
      <c r="C173" s="7">
        <v>4</v>
      </c>
      <c r="D173" s="7">
        <v>4</v>
      </c>
      <c r="E173" s="7">
        <v>4800.8329999999996</v>
      </c>
      <c r="F173" s="7">
        <v>1408.9369999999999</v>
      </c>
      <c r="G173" s="7">
        <v>0</v>
      </c>
      <c r="H173" s="7">
        <v>0</v>
      </c>
      <c r="I173" s="7">
        <v>64.622</v>
      </c>
      <c r="J173" s="7">
        <v>0</v>
      </c>
      <c r="K173" s="7">
        <v>6078.7280000000001</v>
      </c>
      <c r="L173" s="7">
        <v>482.08600000000001</v>
      </c>
      <c r="M173" s="7">
        <v>0</v>
      </c>
      <c r="N173" s="7">
        <v>674.75800000000004</v>
      </c>
      <c r="O173" s="7">
        <v>16797.328000000001</v>
      </c>
      <c r="P173" s="7">
        <v>862.01199999999994</v>
      </c>
      <c r="Q173" s="7">
        <v>0</v>
      </c>
      <c r="R173" s="7">
        <v>0</v>
      </c>
      <c r="S173" s="7">
        <v>0.16500000000000001</v>
      </c>
      <c r="T173" s="7">
        <v>0</v>
      </c>
      <c r="U173" s="7">
        <v>0</v>
      </c>
      <c r="V173" s="7">
        <v>392.459</v>
      </c>
      <c r="W173" s="7">
        <v>0</v>
      </c>
      <c r="X173" s="7">
        <v>0</v>
      </c>
      <c r="Y173" s="7">
        <v>0</v>
      </c>
      <c r="Z173" s="7">
        <v>0</v>
      </c>
      <c r="AA173" s="7">
        <v>93.44</v>
      </c>
      <c r="AB173" s="7">
        <v>0</v>
      </c>
      <c r="AC173" s="7">
        <v>2676.2420000000002</v>
      </c>
      <c r="AD173" s="7">
        <v>0</v>
      </c>
      <c r="AE173" s="7">
        <v>0</v>
      </c>
      <c r="AF173" s="7">
        <v>0.501</v>
      </c>
      <c r="AG173" s="7">
        <v>234.74799999999999</v>
      </c>
      <c r="AH173" s="7">
        <v>0</v>
      </c>
      <c r="AI173" s="7">
        <v>6724.915</v>
      </c>
      <c r="AJ173" s="7">
        <v>3366.7489999999998</v>
      </c>
      <c r="AK173" s="7">
        <v>0</v>
      </c>
      <c r="AL173" s="7">
        <v>21472.538</v>
      </c>
      <c r="AM173" s="7">
        <v>6144.375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20.295999999999999</v>
      </c>
      <c r="AV173" s="7">
        <v>0</v>
      </c>
      <c r="AW173" s="7">
        <v>0</v>
      </c>
      <c r="AX173" s="7">
        <v>1003.992</v>
      </c>
      <c r="AY173" s="7">
        <v>0</v>
      </c>
      <c r="AZ173" s="7">
        <v>4.0880000000000001</v>
      </c>
      <c r="BA173" s="7">
        <v>0</v>
      </c>
      <c r="BB173" s="7">
        <v>30.07</v>
      </c>
      <c r="BC173" s="7">
        <v>0</v>
      </c>
      <c r="BD173" s="7">
        <v>0</v>
      </c>
      <c r="BE173" s="7">
        <v>445.16399999999999</v>
      </c>
      <c r="BF173" s="7">
        <v>0</v>
      </c>
      <c r="BG173" s="21"/>
    </row>
    <row r="174" spans="1:59" ht="15.75">
      <c r="A174" s="5" t="s">
        <v>325</v>
      </c>
      <c r="B174" s="5" t="s">
        <v>326</v>
      </c>
      <c r="C174" s="7">
        <v>4</v>
      </c>
      <c r="D174" s="7">
        <v>4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21"/>
    </row>
    <row r="175" spans="1:59" ht="15.75">
      <c r="A175" s="5" t="s">
        <v>327</v>
      </c>
      <c r="B175" s="5" t="s">
        <v>328</v>
      </c>
      <c r="C175" s="7">
        <v>4</v>
      </c>
      <c r="D175" s="7">
        <v>4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21"/>
    </row>
    <row r="176" spans="1:59" ht="15.75">
      <c r="A176" s="5" t="s">
        <v>329</v>
      </c>
      <c r="B176" s="5" t="s">
        <v>330</v>
      </c>
      <c r="C176" s="7">
        <v>4</v>
      </c>
      <c r="D176" s="7">
        <v>4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21"/>
    </row>
    <row r="177" spans="1:59" ht="15.75">
      <c r="A177" s="5" t="s">
        <v>331</v>
      </c>
      <c r="B177" s="5" t="s">
        <v>332</v>
      </c>
      <c r="C177" s="7">
        <v>4</v>
      </c>
      <c r="D177" s="7">
        <v>4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21"/>
    </row>
    <row r="178" spans="1:59" ht="15.75">
      <c r="A178" s="5" t="s">
        <v>333</v>
      </c>
      <c r="B178" s="5" t="s">
        <v>334</v>
      </c>
      <c r="C178" s="7">
        <v>4</v>
      </c>
      <c r="D178" s="7">
        <v>4</v>
      </c>
      <c r="E178" s="7">
        <v>-7422.8639999999996</v>
      </c>
      <c r="F178" s="7">
        <v>-2179.5320000000002</v>
      </c>
      <c r="G178" s="7">
        <v>0</v>
      </c>
      <c r="H178" s="7">
        <v>0</v>
      </c>
      <c r="I178" s="7">
        <v>-99.275000000000006</v>
      </c>
      <c r="J178" s="7">
        <v>0</v>
      </c>
      <c r="K178" s="7">
        <v>-9356.4069999999992</v>
      </c>
      <c r="L178" s="7">
        <v>-745.83799999999997</v>
      </c>
      <c r="M178" s="7">
        <v>0</v>
      </c>
      <c r="N178" s="7">
        <v>-1029.837</v>
      </c>
      <c r="O178" s="7">
        <v>-25960.673999999999</v>
      </c>
      <c r="P178" s="7">
        <v>-1328.681</v>
      </c>
      <c r="Q178" s="7">
        <v>0</v>
      </c>
      <c r="R178" s="7">
        <v>0</v>
      </c>
      <c r="S178" s="7">
        <v>-0.248</v>
      </c>
      <c r="T178" s="7">
        <v>0</v>
      </c>
      <c r="U178" s="7">
        <v>0</v>
      </c>
      <c r="V178" s="7">
        <v>-609.36500000000001</v>
      </c>
      <c r="W178" s="7">
        <v>0</v>
      </c>
      <c r="X178" s="7">
        <v>0</v>
      </c>
      <c r="Y178" s="7">
        <v>0</v>
      </c>
      <c r="Z178" s="7">
        <v>0</v>
      </c>
      <c r="AA178" s="7">
        <v>-143.76300000000001</v>
      </c>
      <c r="AB178" s="7">
        <v>0</v>
      </c>
      <c r="AC178" s="7">
        <v>-4169.0150000000003</v>
      </c>
      <c r="AD178" s="7">
        <v>0</v>
      </c>
      <c r="AE178" s="7">
        <v>0</v>
      </c>
      <c r="AF178" s="7">
        <v>-0.80800000000000005</v>
      </c>
      <c r="AG178" s="7">
        <v>-363.666</v>
      </c>
      <c r="AH178" s="7">
        <v>0</v>
      </c>
      <c r="AI178" s="7">
        <v>-10478.127</v>
      </c>
      <c r="AJ178" s="7">
        <v>-5211.8270000000002</v>
      </c>
      <c r="AK178" s="7">
        <v>0</v>
      </c>
      <c r="AL178" s="7">
        <v>-33060.595000000001</v>
      </c>
      <c r="AM178" s="7">
        <v>-9514.4089999999997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-31.914000000000001</v>
      </c>
      <c r="AV178" s="7">
        <v>0</v>
      </c>
      <c r="AW178" s="7">
        <v>0</v>
      </c>
      <c r="AX178" s="7">
        <v>-1559.019</v>
      </c>
      <c r="AY178" s="7">
        <v>0</v>
      </c>
      <c r="AZ178" s="7">
        <v>-6.3780000000000001</v>
      </c>
      <c r="BA178" s="7">
        <v>0</v>
      </c>
      <c r="BB178" s="7">
        <v>-46.848999999999997</v>
      </c>
      <c r="BC178" s="7">
        <v>0</v>
      </c>
      <c r="BD178" s="7">
        <v>0</v>
      </c>
      <c r="BE178" s="7">
        <v>-719.21799999999996</v>
      </c>
      <c r="BF178" s="7">
        <v>0</v>
      </c>
      <c r="BG178" s="21"/>
    </row>
    <row r="179" spans="1:59" ht="15.75">
      <c r="A179" s="5" t="s">
        <v>335</v>
      </c>
      <c r="B179" s="5" t="s">
        <v>336</v>
      </c>
      <c r="C179" s="7">
        <v>4</v>
      </c>
      <c r="D179" s="7">
        <v>4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21"/>
    </row>
    <row r="180" spans="1:59" ht="15.75">
      <c r="A180" s="5" t="s">
        <v>337</v>
      </c>
      <c r="B180" s="5" t="s">
        <v>338</v>
      </c>
      <c r="C180" s="7">
        <v>4</v>
      </c>
      <c r="D180" s="7">
        <v>4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21"/>
    </row>
    <row r="181" spans="1:59" ht="15.75">
      <c r="A181" s="5" t="s">
        <v>339</v>
      </c>
      <c r="B181" s="5" t="s">
        <v>340</v>
      </c>
      <c r="C181" s="7">
        <v>4</v>
      </c>
      <c r="D181" s="7">
        <v>4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21"/>
    </row>
    <row r="182" spans="1:59" ht="15.75">
      <c r="A182" s="5" t="s">
        <v>341</v>
      </c>
      <c r="B182" s="5" t="s">
        <v>342</v>
      </c>
      <c r="C182" s="7">
        <v>4</v>
      </c>
      <c r="D182" s="7">
        <v>4</v>
      </c>
      <c r="E182" s="7">
        <v>-6.4489999999999998</v>
      </c>
      <c r="F182" s="7">
        <v>-1.905</v>
      </c>
      <c r="G182" s="7">
        <v>0</v>
      </c>
      <c r="H182" s="7">
        <v>0</v>
      </c>
      <c r="I182" s="7">
        <v>-9.7000000000000003E-2</v>
      </c>
      <c r="J182" s="7">
        <v>0</v>
      </c>
      <c r="K182" s="7">
        <v>-8.6430000000000007</v>
      </c>
      <c r="L182" s="7">
        <v>-0.60699999999999998</v>
      </c>
      <c r="M182" s="7">
        <v>0</v>
      </c>
      <c r="N182" s="7">
        <v>-1.099</v>
      </c>
      <c r="O182" s="7">
        <v>-22.972000000000001</v>
      </c>
      <c r="P182" s="7">
        <v>-1.165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-0.47499999999999998</v>
      </c>
      <c r="W182" s="7">
        <v>0</v>
      </c>
      <c r="X182" s="7">
        <v>0</v>
      </c>
      <c r="Y182" s="7">
        <v>0</v>
      </c>
      <c r="Z182" s="7">
        <v>0</v>
      </c>
      <c r="AA182" s="7">
        <v>-0.13300000000000001</v>
      </c>
      <c r="AB182" s="7">
        <v>0</v>
      </c>
      <c r="AC182" s="7">
        <v>-3.5409999999999999</v>
      </c>
      <c r="AD182" s="7">
        <v>0</v>
      </c>
      <c r="AE182" s="7">
        <v>0</v>
      </c>
      <c r="AF182" s="7">
        <v>0</v>
      </c>
      <c r="AG182" s="7">
        <v>-0.313</v>
      </c>
      <c r="AH182" s="7">
        <v>0</v>
      </c>
      <c r="AI182" s="7">
        <v>-8.85</v>
      </c>
      <c r="AJ182" s="7">
        <v>-4.5650000000000004</v>
      </c>
      <c r="AK182" s="7">
        <v>0</v>
      </c>
      <c r="AL182" s="7">
        <v>-28.937999999999999</v>
      </c>
      <c r="AM182" s="7">
        <v>-8.3490000000000002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-0.02</v>
      </c>
      <c r="AV182" s="7">
        <v>0</v>
      </c>
      <c r="AW182" s="7">
        <v>0</v>
      </c>
      <c r="AX182" s="7">
        <v>-1.363</v>
      </c>
      <c r="AY182" s="7">
        <v>0</v>
      </c>
      <c r="AZ182" s="7">
        <v>-5.0000000000000001E-3</v>
      </c>
      <c r="BA182" s="7">
        <v>0</v>
      </c>
      <c r="BB182" s="7">
        <v>-3.9E-2</v>
      </c>
      <c r="BC182" s="7">
        <v>0</v>
      </c>
      <c r="BD182" s="7">
        <v>0</v>
      </c>
      <c r="BE182" s="7">
        <v>0</v>
      </c>
      <c r="BF182" s="7">
        <v>0</v>
      </c>
      <c r="BG182" s="21"/>
    </row>
    <row r="183" spans="1:59" ht="15.75">
      <c r="A183" s="5" t="s">
        <v>323</v>
      </c>
      <c r="B183" s="5" t="s">
        <v>343</v>
      </c>
      <c r="C183" s="7">
        <v>6</v>
      </c>
      <c r="D183" s="7">
        <v>6</v>
      </c>
      <c r="E183" s="7">
        <v>43.991999999999997</v>
      </c>
      <c r="F183" s="7">
        <v>12.996</v>
      </c>
      <c r="G183" s="7">
        <v>0</v>
      </c>
      <c r="H183" s="7">
        <v>0</v>
      </c>
      <c r="I183" s="7">
        <v>0.65800000000000003</v>
      </c>
      <c r="J183" s="7">
        <v>0</v>
      </c>
      <c r="K183" s="7">
        <v>58.954999999999998</v>
      </c>
      <c r="L183" s="7">
        <v>4.1390000000000002</v>
      </c>
      <c r="M183" s="7">
        <v>0</v>
      </c>
      <c r="N183" s="7">
        <v>7.4969999999999999</v>
      </c>
      <c r="O183" s="7">
        <v>156.69300000000001</v>
      </c>
      <c r="P183" s="7">
        <v>7.9470000000000001</v>
      </c>
      <c r="Q183" s="7">
        <v>0</v>
      </c>
      <c r="R183" s="7">
        <v>0</v>
      </c>
      <c r="S183" s="7">
        <v>3.0000000000000001E-3</v>
      </c>
      <c r="T183" s="7">
        <v>0</v>
      </c>
      <c r="U183" s="7">
        <v>0</v>
      </c>
      <c r="V183" s="7">
        <v>3.242</v>
      </c>
      <c r="W183" s="7">
        <v>0</v>
      </c>
      <c r="X183" s="7">
        <v>0</v>
      </c>
      <c r="Y183" s="7">
        <v>0</v>
      </c>
      <c r="Z183" s="7">
        <v>0</v>
      </c>
      <c r="AA183" s="7">
        <v>0.90700000000000003</v>
      </c>
      <c r="AB183" s="7">
        <v>0</v>
      </c>
      <c r="AC183" s="7">
        <v>24.155000000000001</v>
      </c>
      <c r="AD183" s="7">
        <v>0</v>
      </c>
      <c r="AE183" s="7">
        <v>0</v>
      </c>
      <c r="AF183" s="7">
        <v>0</v>
      </c>
      <c r="AG183" s="7">
        <v>2.1379999999999999</v>
      </c>
      <c r="AH183" s="7">
        <v>0</v>
      </c>
      <c r="AI183" s="7">
        <v>60.365000000000002</v>
      </c>
      <c r="AJ183" s="7">
        <v>31.137</v>
      </c>
      <c r="AK183" s="7">
        <v>0</v>
      </c>
      <c r="AL183" s="7">
        <v>197.38300000000001</v>
      </c>
      <c r="AM183" s="7">
        <v>56.948999999999998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0.13700000000000001</v>
      </c>
      <c r="AV183" s="7">
        <v>0</v>
      </c>
      <c r="AW183" s="7">
        <v>0</v>
      </c>
      <c r="AX183" s="7">
        <v>9.298</v>
      </c>
      <c r="AY183" s="7">
        <v>0</v>
      </c>
      <c r="AZ183" s="7">
        <v>3.5999999999999997E-2</v>
      </c>
      <c r="BA183" s="7">
        <v>0</v>
      </c>
      <c r="BB183" s="7">
        <v>0.26800000000000002</v>
      </c>
      <c r="BC183" s="7">
        <v>0</v>
      </c>
      <c r="BD183" s="7">
        <v>0</v>
      </c>
      <c r="BE183" s="7">
        <v>0</v>
      </c>
      <c r="BF183" s="7">
        <v>0</v>
      </c>
      <c r="BG183" s="21"/>
    </row>
    <row r="184" spans="1:59" ht="15.75">
      <c r="A184" s="5" t="s">
        <v>325</v>
      </c>
      <c r="B184" s="5" t="s">
        <v>344</v>
      </c>
      <c r="C184" s="7">
        <v>6</v>
      </c>
      <c r="D184" s="7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21"/>
    </row>
    <row r="185" spans="1:59" ht="15.75">
      <c r="A185" s="5" t="s">
        <v>327</v>
      </c>
      <c r="B185" s="5" t="s">
        <v>345</v>
      </c>
      <c r="C185" s="7">
        <v>6</v>
      </c>
      <c r="D185" s="7">
        <v>6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21"/>
    </row>
    <row r="186" spans="1:59" ht="15.75">
      <c r="A186" s="5" t="s">
        <v>329</v>
      </c>
      <c r="B186" s="5" t="s">
        <v>346</v>
      </c>
      <c r="C186" s="7">
        <v>6</v>
      </c>
      <c r="D186" s="7">
        <v>6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21"/>
    </row>
    <row r="187" spans="1:59" ht="15.75">
      <c r="A187" s="5" t="s">
        <v>331</v>
      </c>
      <c r="B187" s="5" t="s">
        <v>347</v>
      </c>
      <c r="C187" s="7">
        <v>6</v>
      </c>
      <c r="D187" s="7">
        <v>6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21"/>
    </row>
    <row r="188" spans="1:59" ht="15.75">
      <c r="A188" s="5" t="s">
        <v>333</v>
      </c>
      <c r="B188" s="5" t="s">
        <v>348</v>
      </c>
      <c r="C188" s="7">
        <v>6</v>
      </c>
      <c r="D188" s="7">
        <v>6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21"/>
    </row>
    <row r="189" spans="1:59" ht="15.75">
      <c r="A189" s="5" t="s">
        <v>335</v>
      </c>
      <c r="B189" s="5" t="s">
        <v>349</v>
      </c>
      <c r="C189" s="7">
        <v>6</v>
      </c>
      <c r="D189" s="7">
        <v>6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21"/>
    </row>
    <row r="190" spans="1:59" ht="15.75">
      <c r="A190" s="5" t="s">
        <v>337</v>
      </c>
      <c r="B190" s="5" t="s">
        <v>350</v>
      </c>
      <c r="C190" s="7">
        <v>6</v>
      </c>
      <c r="D190" s="7">
        <v>6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21"/>
    </row>
    <row r="191" spans="1:59" ht="15.75">
      <c r="A191" s="5" t="s">
        <v>339</v>
      </c>
      <c r="B191" s="5" t="s">
        <v>351</v>
      </c>
      <c r="C191" s="7">
        <v>6</v>
      </c>
      <c r="D191" s="7">
        <v>6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21"/>
    </row>
    <row r="192" spans="1:59" ht="15.75">
      <c r="A192" s="5" t="s">
        <v>341</v>
      </c>
      <c r="B192" s="5" t="s">
        <v>352</v>
      </c>
      <c r="C192" s="7">
        <v>6</v>
      </c>
      <c r="D192" s="7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21"/>
    </row>
    <row r="193" spans="1:59" ht="15.75">
      <c r="A193" s="5" t="s">
        <v>353</v>
      </c>
      <c r="B193" s="5" t="s">
        <v>354</v>
      </c>
      <c r="C193" s="7">
        <v>6</v>
      </c>
      <c r="D193" s="7">
        <v>6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21"/>
    </row>
    <row r="194" spans="1:59" ht="15.75">
      <c r="A194" s="5" t="s">
        <v>355</v>
      </c>
      <c r="B194" s="5" t="s">
        <v>356</v>
      </c>
      <c r="C194" s="7">
        <v>6</v>
      </c>
      <c r="D194" s="7">
        <v>6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21"/>
    </row>
    <row r="195" spans="1:59" ht="15.75">
      <c r="A195" s="5" t="s">
        <v>357</v>
      </c>
      <c r="B195" s="5" t="s">
        <v>358</v>
      </c>
      <c r="C195" s="7">
        <v>6</v>
      </c>
      <c r="D195" s="7">
        <v>6</v>
      </c>
      <c r="E195" s="7">
        <v>27.132999999999999</v>
      </c>
      <c r="F195" s="7">
        <v>3.4910000000000001</v>
      </c>
      <c r="G195" s="7">
        <v>12.602</v>
      </c>
      <c r="H195" s="7">
        <v>0</v>
      </c>
      <c r="I195" s="7">
        <v>0.85299999999999998</v>
      </c>
      <c r="J195" s="7">
        <v>8.6379999999999999</v>
      </c>
      <c r="K195" s="7">
        <v>6.0209999999999999</v>
      </c>
      <c r="L195" s="7">
        <v>8.3070000000000004</v>
      </c>
      <c r="M195" s="7">
        <v>0</v>
      </c>
      <c r="N195" s="7">
        <v>18.303000000000001</v>
      </c>
      <c r="O195" s="7">
        <v>12.622</v>
      </c>
      <c r="P195" s="7">
        <v>17.847000000000001</v>
      </c>
      <c r="Q195" s="7">
        <v>0</v>
      </c>
      <c r="R195" s="7">
        <v>0</v>
      </c>
      <c r="S195" s="7">
        <v>3.0000000000000001E-3</v>
      </c>
      <c r="T195" s="7">
        <v>0</v>
      </c>
      <c r="U195" s="7">
        <v>0</v>
      </c>
      <c r="V195" s="7">
        <v>1.5569999999999999</v>
      </c>
      <c r="W195" s="7">
        <v>0</v>
      </c>
      <c r="X195" s="7">
        <v>0</v>
      </c>
      <c r="Y195" s="7">
        <v>0</v>
      </c>
      <c r="Z195" s="7">
        <v>0.77700000000000002</v>
      </c>
      <c r="AA195" s="7">
        <v>2.5670000000000002</v>
      </c>
      <c r="AB195" s="7">
        <v>0</v>
      </c>
      <c r="AC195" s="7">
        <v>3.9580000000000002</v>
      </c>
      <c r="AD195" s="7">
        <v>0</v>
      </c>
      <c r="AE195" s="7">
        <v>10.066000000000001</v>
      </c>
      <c r="AF195" s="7">
        <v>0</v>
      </c>
      <c r="AG195" s="7">
        <v>0.63400000000000001</v>
      </c>
      <c r="AH195" s="7">
        <v>0</v>
      </c>
      <c r="AI195" s="7">
        <v>8.6950000000000003</v>
      </c>
      <c r="AJ195" s="7">
        <v>0</v>
      </c>
      <c r="AK195" s="7">
        <v>0</v>
      </c>
      <c r="AL195" s="7">
        <v>42.45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7.2999999999999995E-2</v>
      </c>
      <c r="AV195" s="7">
        <v>0</v>
      </c>
      <c r="AW195" s="7">
        <v>0</v>
      </c>
      <c r="AX195" s="7">
        <v>0</v>
      </c>
      <c r="AY195" s="7">
        <v>0</v>
      </c>
      <c r="AZ195" s="7">
        <v>5.0000000000000001E-3</v>
      </c>
      <c r="BA195" s="7">
        <v>0</v>
      </c>
      <c r="BB195" s="7">
        <v>0.30599999999999999</v>
      </c>
      <c r="BC195" s="7">
        <v>0</v>
      </c>
      <c r="BD195" s="7">
        <v>0</v>
      </c>
      <c r="BE195" s="7">
        <v>0</v>
      </c>
      <c r="BF195" s="7">
        <v>0</v>
      </c>
      <c r="BG195" s="21"/>
    </row>
    <row r="196" spans="1:59" ht="15.75">
      <c r="A196" s="5" t="s">
        <v>359</v>
      </c>
      <c r="B196" s="5" t="s">
        <v>360</v>
      </c>
      <c r="C196" s="7">
        <v>6</v>
      </c>
      <c r="D196" s="7">
        <v>6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21"/>
    </row>
    <row r="197" spans="1:59" ht="15.75">
      <c r="A197" s="5" t="s">
        <v>361</v>
      </c>
      <c r="B197" s="5" t="s">
        <v>362</v>
      </c>
      <c r="C197" s="7">
        <v>6</v>
      </c>
      <c r="D197" s="7">
        <v>6</v>
      </c>
      <c r="E197" s="7">
        <v>163.35300000000001</v>
      </c>
      <c r="F197" s="7">
        <v>0</v>
      </c>
      <c r="G197" s="7">
        <v>39.776000000000003</v>
      </c>
      <c r="H197" s="7">
        <v>0</v>
      </c>
      <c r="I197" s="7">
        <v>0</v>
      </c>
      <c r="J197" s="7">
        <v>69.188000000000002</v>
      </c>
      <c r="K197" s="7">
        <v>0</v>
      </c>
      <c r="L197" s="7">
        <v>0</v>
      </c>
      <c r="M197" s="7">
        <v>0</v>
      </c>
      <c r="N197" s="7">
        <v>0</v>
      </c>
      <c r="O197" s="7">
        <v>587.54600000000005</v>
      </c>
      <c r="P197" s="7">
        <v>85.194999999999993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503.666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21"/>
    </row>
    <row r="198" spans="1:59" ht="15.75">
      <c r="A198" s="5" t="s">
        <v>363</v>
      </c>
      <c r="B198" s="5" t="s">
        <v>364</v>
      </c>
      <c r="C198" s="7">
        <v>6</v>
      </c>
      <c r="D198" s="7">
        <v>6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21"/>
    </row>
    <row r="199" spans="1:59" ht="15.75">
      <c r="A199" s="5" t="s">
        <v>365</v>
      </c>
      <c r="B199" s="5" t="s">
        <v>366</v>
      </c>
      <c r="C199" s="7">
        <v>6</v>
      </c>
      <c r="D199" s="7">
        <v>6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21"/>
    </row>
    <row r="200" spans="1:59" ht="15.75">
      <c r="A200" s="5" t="s">
        <v>367</v>
      </c>
      <c r="B200" s="5" t="s">
        <v>368</v>
      </c>
      <c r="C200" s="7">
        <v>6</v>
      </c>
      <c r="D200" s="7">
        <v>6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21"/>
    </row>
    <row r="201" spans="1:59" ht="15.75">
      <c r="A201" s="5" t="s">
        <v>369</v>
      </c>
      <c r="B201" s="5" t="s">
        <v>370</v>
      </c>
      <c r="C201" s="7">
        <v>6</v>
      </c>
      <c r="D201" s="7">
        <v>6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21"/>
    </row>
    <row r="202" spans="1:59" ht="15.75">
      <c r="A202" s="5" t="s">
        <v>371</v>
      </c>
      <c r="B202" s="5" t="s">
        <v>372</v>
      </c>
      <c r="C202" s="7">
        <v>6</v>
      </c>
      <c r="D202" s="7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21"/>
    </row>
    <row r="203" spans="1:59" ht="15.75">
      <c r="A203" s="5" t="s">
        <v>373</v>
      </c>
      <c r="B203" s="5" t="s">
        <v>374</v>
      </c>
      <c r="C203" s="7">
        <v>3</v>
      </c>
      <c r="D203" s="7">
        <v>6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21"/>
    </row>
    <row r="204" spans="1:59" ht="15.75">
      <c r="A204" s="5" t="s">
        <v>375</v>
      </c>
      <c r="B204" s="5" t="s">
        <v>376</v>
      </c>
      <c r="C204" s="7">
        <v>6</v>
      </c>
      <c r="D204" s="7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21"/>
    </row>
    <row r="205" spans="1:59" ht="15.75">
      <c r="A205" s="5" t="s">
        <v>377</v>
      </c>
      <c r="B205" s="5" t="s">
        <v>378</v>
      </c>
      <c r="C205" s="7">
        <v>6</v>
      </c>
      <c r="D205" s="7">
        <v>6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21"/>
    </row>
    <row r="206" spans="1:59" ht="15.75">
      <c r="A206" s="5" t="s">
        <v>379</v>
      </c>
      <c r="B206" s="5" t="s">
        <v>380</v>
      </c>
      <c r="C206" s="7">
        <v>6</v>
      </c>
      <c r="D206" s="7">
        <v>6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21"/>
    </row>
    <row r="207" spans="1:59" ht="15.75">
      <c r="A207" s="5" t="s">
        <v>381</v>
      </c>
      <c r="B207" s="5" t="s">
        <v>382</v>
      </c>
      <c r="C207" s="7">
        <v>6</v>
      </c>
      <c r="D207" s="7">
        <v>6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21"/>
    </row>
    <row r="208" spans="1:59" ht="15.75">
      <c r="A208" s="5" t="s">
        <v>383</v>
      </c>
      <c r="B208" s="5" t="s">
        <v>384</v>
      </c>
      <c r="C208" s="7">
        <v>6</v>
      </c>
      <c r="D208" s="7">
        <v>6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21"/>
    </row>
    <row r="209" spans="1:59" ht="15.75">
      <c r="A209" s="5" t="s">
        <v>385</v>
      </c>
      <c r="B209" s="5" t="s">
        <v>386</v>
      </c>
      <c r="C209" s="7">
        <v>6</v>
      </c>
      <c r="D209" s="7">
        <v>6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21"/>
    </row>
    <row r="210" spans="1:59" ht="15.75">
      <c r="A210" s="5" t="s">
        <v>387</v>
      </c>
      <c r="B210" s="5" t="s">
        <v>388</v>
      </c>
      <c r="C210" s="7">
        <v>6</v>
      </c>
      <c r="D210" s="7">
        <v>6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21"/>
    </row>
    <row r="211" spans="1:59" ht="15.75">
      <c r="A211" s="5" t="s">
        <v>389</v>
      </c>
      <c r="B211" s="5" t="s">
        <v>390</v>
      </c>
      <c r="C211" s="7">
        <v>6</v>
      </c>
      <c r="D211" s="7">
        <v>6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21"/>
    </row>
    <row r="212" spans="1:59" ht="15.75">
      <c r="A212" s="5" t="s">
        <v>391</v>
      </c>
      <c r="B212" s="5" t="s">
        <v>392</v>
      </c>
      <c r="C212" s="7">
        <v>6</v>
      </c>
      <c r="D212" s="7">
        <v>6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21"/>
    </row>
    <row r="213" spans="1:59" ht="15.75">
      <c r="A213" s="5" t="s">
        <v>393</v>
      </c>
      <c r="B213" s="5" t="s">
        <v>394</v>
      </c>
      <c r="C213" s="7">
        <v>6</v>
      </c>
      <c r="D213" s="7">
        <v>6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21"/>
    </row>
    <row r="214" spans="1:59" ht="15.75">
      <c r="A214" s="5" t="s">
        <v>395</v>
      </c>
      <c r="B214" s="5" t="s">
        <v>396</v>
      </c>
      <c r="C214" s="7">
        <v>6</v>
      </c>
      <c r="D214" s="7">
        <v>6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21"/>
    </row>
    <row r="215" spans="1:59" ht="15.75">
      <c r="A215" s="5" t="s">
        <v>353</v>
      </c>
      <c r="B215" s="5" t="s">
        <v>397</v>
      </c>
      <c r="C215" s="7">
        <v>6</v>
      </c>
      <c r="D215" s="7">
        <v>6</v>
      </c>
      <c r="E215" s="7">
        <v>1015.576</v>
      </c>
      <c r="F215" s="7">
        <v>137.624</v>
      </c>
      <c r="G215" s="7">
        <v>203.27099999999999</v>
      </c>
      <c r="H215" s="7">
        <v>2.9860000000000002</v>
      </c>
      <c r="I215" s="7">
        <v>34.680999999999997</v>
      </c>
      <c r="J215" s="7">
        <v>117.214</v>
      </c>
      <c r="K215" s="7">
        <v>987.83699999999999</v>
      </c>
      <c r="L215" s="7">
        <v>92.334999999999994</v>
      </c>
      <c r="M215" s="7">
        <v>0</v>
      </c>
      <c r="N215" s="7">
        <v>460.173</v>
      </c>
      <c r="O215" s="7">
        <v>1096.3779999999999</v>
      </c>
      <c r="P215" s="7">
        <v>454.95100000000002</v>
      </c>
      <c r="Q215" s="7">
        <v>0</v>
      </c>
      <c r="R215" s="7">
        <v>0</v>
      </c>
      <c r="S215" s="7">
        <v>6.5469999999999997</v>
      </c>
      <c r="T215" s="7">
        <v>0</v>
      </c>
      <c r="U215" s="7">
        <v>0.214</v>
      </c>
      <c r="V215" s="7">
        <v>0</v>
      </c>
      <c r="W215" s="7">
        <v>0</v>
      </c>
      <c r="X215" s="7">
        <v>0</v>
      </c>
      <c r="Y215" s="7">
        <v>0</v>
      </c>
      <c r="Z215" s="7">
        <v>16.425999999999998</v>
      </c>
      <c r="AA215" s="7">
        <v>51.554000000000002</v>
      </c>
      <c r="AB215" s="7">
        <v>0</v>
      </c>
      <c r="AC215" s="7">
        <v>410.09199999999998</v>
      </c>
      <c r="AD215" s="7">
        <v>0</v>
      </c>
      <c r="AE215" s="7">
        <v>143.131</v>
      </c>
      <c r="AF215" s="7">
        <v>0</v>
      </c>
      <c r="AG215" s="7">
        <v>25.2</v>
      </c>
      <c r="AH215" s="7">
        <v>0</v>
      </c>
      <c r="AI215" s="7">
        <v>1297.6300000000001</v>
      </c>
      <c r="AJ215" s="7">
        <v>0</v>
      </c>
      <c r="AK215" s="7">
        <v>0</v>
      </c>
      <c r="AL215" s="7">
        <v>2104.5709999999999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21"/>
    </row>
    <row r="216" spans="1:59" ht="15.75">
      <c r="A216" s="5" t="s">
        <v>355</v>
      </c>
      <c r="B216" s="5" t="s">
        <v>398</v>
      </c>
      <c r="C216" s="7">
        <v>6</v>
      </c>
      <c r="D216" s="7">
        <v>6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21"/>
    </row>
    <row r="217" spans="1:59" ht="15.75">
      <c r="A217" s="5" t="s">
        <v>357</v>
      </c>
      <c r="B217" s="5" t="s">
        <v>399</v>
      </c>
      <c r="C217" s="7">
        <v>6</v>
      </c>
      <c r="D217" s="7">
        <v>6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21"/>
    </row>
    <row r="218" spans="1:59" ht="15.75">
      <c r="A218" s="5" t="s">
        <v>359</v>
      </c>
      <c r="B218" s="5" t="s">
        <v>400</v>
      </c>
      <c r="C218" s="7">
        <v>6</v>
      </c>
      <c r="D218" s="7">
        <v>6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21"/>
    </row>
    <row r="219" spans="1:59" ht="15.75">
      <c r="A219" s="5" t="s">
        <v>361</v>
      </c>
      <c r="B219" s="5" t="s">
        <v>401</v>
      </c>
      <c r="C219" s="7">
        <v>6</v>
      </c>
      <c r="D219" s="7">
        <v>6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21"/>
    </row>
    <row r="220" spans="1:59" ht="15.75">
      <c r="A220" s="5" t="s">
        <v>363</v>
      </c>
      <c r="B220" s="5" t="s">
        <v>402</v>
      </c>
      <c r="C220" s="7">
        <v>6</v>
      </c>
      <c r="D220" s="7">
        <v>6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-2E-3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21"/>
    </row>
    <row r="221" spans="1:59" ht="15.75">
      <c r="A221" s="5" t="s">
        <v>365</v>
      </c>
      <c r="B221" s="5" t="s">
        <v>403</v>
      </c>
      <c r="C221" s="7">
        <v>6</v>
      </c>
      <c r="D221" s="7">
        <v>6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21"/>
    </row>
    <row r="222" spans="1:59" ht="15.75">
      <c r="A222" s="5" t="s">
        <v>367</v>
      </c>
      <c r="B222" s="5" t="s">
        <v>404</v>
      </c>
      <c r="C222" s="7">
        <v>6</v>
      </c>
      <c r="D222" s="7">
        <v>6</v>
      </c>
      <c r="E222" s="7">
        <v>5826.9690000000001</v>
      </c>
      <c r="F222" s="7">
        <v>1721.451</v>
      </c>
      <c r="G222" s="7">
        <v>0</v>
      </c>
      <c r="H222" s="7">
        <v>0</v>
      </c>
      <c r="I222" s="7">
        <v>87.192999999999998</v>
      </c>
      <c r="J222" s="7">
        <v>0</v>
      </c>
      <c r="K222" s="7">
        <v>7808.9639999999999</v>
      </c>
      <c r="L222" s="7">
        <v>548.21699999999998</v>
      </c>
      <c r="M222" s="7">
        <v>0</v>
      </c>
      <c r="N222" s="7">
        <v>992.99199999999996</v>
      </c>
      <c r="O222" s="7">
        <v>20754.946</v>
      </c>
      <c r="P222" s="7">
        <v>1052.605</v>
      </c>
      <c r="Q222" s="7">
        <v>0</v>
      </c>
      <c r="R222" s="7">
        <v>0</v>
      </c>
      <c r="S222" s="7">
        <v>0.39900000000000002</v>
      </c>
      <c r="T222" s="7">
        <v>0</v>
      </c>
      <c r="U222" s="7">
        <v>0</v>
      </c>
      <c r="V222" s="7">
        <v>429.459</v>
      </c>
      <c r="W222" s="7">
        <v>0</v>
      </c>
      <c r="X222" s="7">
        <v>0</v>
      </c>
      <c r="Y222" s="7">
        <v>0</v>
      </c>
      <c r="Z222" s="7">
        <v>0</v>
      </c>
      <c r="AA222" s="7">
        <v>120.17</v>
      </c>
      <c r="AB222" s="7">
        <v>0</v>
      </c>
      <c r="AC222" s="7">
        <v>3199.4490000000001</v>
      </c>
      <c r="AD222" s="7">
        <v>0</v>
      </c>
      <c r="AE222" s="7">
        <v>0</v>
      </c>
      <c r="AF222" s="7">
        <v>0</v>
      </c>
      <c r="AG222" s="7">
        <v>283.23399999999998</v>
      </c>
      <c r="AH222" s="7">
        <v>0</v>
      </c>
      <c r="AI222" s="7">
        <v>7995.7049999999999</v>
      </c>
      <c r="AJ222" s="7">
        <v>4124.2950000000001</v>
      </c>
      <c r="AK222" s="7">
        <v>0</v>
      </c>
      <c r="AL222" s="7">
        <v>26144.61</v>
      </c>
      <c r="AM222" s="7">
        <v>7543.1750000000002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18.198</v>
      </c>
      <c r="AV222" s="7">
        <v>0</v>
      </c>
      <c r="AW222" s="7">
        <v>0</v>
      </c>
      <c r="AX222" s="7">
        <v>1231.511</v>
      </c>
      <c r="AY222" s="7">
        <v>0</v>
      </c>
      <c r="AZ222" s="7">
        <v>4.7480000000000002</v>
      </c>
      <c r="BA222" s="7">
        <v>0</v>
      </c>
      <c r="BB222" s="7">
        <v>35.450000000000003</v>
      </c>
      <c r="BC222" s="7">
        <v>0</v>
      </c>
      <c r="BD222" s="7">
        <v>0</v>
      </c>
      <c r="BE222" s="7">
        <v>0</v>
      </c>
      <c r="BF222" s="7">
        <v>0</v>
      </c>
      <c r="BG222" s="21"/>
    </row>
    <row r="223" spans="1:59" ht="15.75">
      <c r="A223" s="5" t="s">
        <v>369</v>
      </c>
      <c r="B223" s="5" t="s">
        <v>405</v>
      </c>
      <c r="C223" s="7">
        <v>6</v>
      </c>
      <c r="D223" s="7">
        <v>6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21"/>
    </row>
    <row r="224" spans="1:59" ht="15.75">
      <c r="A224" s="5" t="s">
        <v>371</v>
      </c>
      <c r="B224" s="5" t="s">
        <v>406</v>
      </c>
      <c r="C224" s="7">
        <v>6</v>
      </c>
      <c r="D224" s="7">
        <v>6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21"/>
    </row>
    <row r="225" spans="1:59" ht="15.75">
      <c r="A225" s="5" t="s">
        <v>373</v>
      </c>
      <c r="B225" s="5" t="s">
        <v>407</v>
      </c>
      <c r="C225" s="7">
        <v>6</v>
      </c>
      <c r="D225" s="7">
        <v>6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21"/>
    </row>
    <row r="226" spans="1:59" ht="15.75">
      <c r="A226" s="5" t="s">
        <v>375</v>
      </c>
      <c r="B226" s="5" t="s">
        <v>408</v>
      </c>
      <c r="C226" s="7">
        <v>6</v>
      </c>
      <c r="D226" s="7">
        <v>6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21"/>
    </row>
    <row r="227" spans="1:59" ht="15.75">
      <c r="A227" s="5" t="s">
        <v>377</v>
      </c>
      <c r="B227" s="5" t="s">
        <v>409</v>
      </c>
      <c r="C227" s="7">
        <v>6</v>
      </c>
      <c r="D227" s="7">
        <v>6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21"/>
    </row>
    <row r="228" spans="1:59" ht="15.75">
      <c r="A228" s="5" t="s">
        <v>379</v>
      </c>
      <c r="B228" s="5" t="s">
        <v>410</v>
      </c>
      <c r="C228" s="7">
        <v>6</v>
      </c>
      <c r="D228" s="7">
        <v>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21"/>
    </row>
    <row r="229" spans="1:59" ht="15.75">
      <c r="A229" s="5" t="s">
        <v>381</v>
      </c>
      <c r="B229" s="5" t="s">
        <v>411</v>
      </c>
      <c r="C229" s="7">
        <v>6</v>
      </c>
      <c r="D229" s="7">
        <v>6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21"/>
    </row>
    <row r="230" spans="1:59" ht="15.75">
      <c r="A230" s="5" t="s">
        <v>383</v>
      </c>
      <c r="B230" s="5" t="s">
        <v>412</v>
      </c>
      <c r="C230" s="7">
        <v>6</v>
      </c>
      <c r="D230" s="7">
        <v>6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21"/>
    </row>
    <row r="231" spans="1:59" ht="15.75">
      <c r="A231" s="5" t="s">
        <v>385</v>
      </c>
      <c r="B231" s="5" t="s">
        <v>413</v>
      </c>
      <c r="C231" s="7">
        <v>6</v>
      </c>
      <c r="D231" s="7">
        <v>6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21"/>
    </row>
    <row r="232" spans="1:59" ht="15.75">
      <c r="A232" s="5" t="s">
        <v>387</v>
      </c>
      <c r="B232" s="5" t="s">
        <v>414</v>
      </c>
      <c r="C232" s="7">
        <v>6</v>
      </c>
      <c r="D232" s="7">
        <v>6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21"/>
    </row>
    <row r="233" spans="1:59" ht="15.75">
      <c r="A233" s="5" t="s">
        <v>389</v>
      </c>
      <c r="B233" s="5" t="s">
        <v>415</v>
      </c>
      <c r="C233" s="7">
        <v>6</v>
      </c>
      <c r="D233" s="7">
        <v>6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21"/>
    </row>
    <row r="234" spans="1:59" ht="15.75">
      <c r="A234" s="5" t="s">
        <v>391</v>
      </c>
      <c r="B234" s="5" t="s">
        <v>416</v>
      </c>
      <c r="C234" s="7">
        <v>6</v>
      </c>
      <c r="D234" s="7">
        <v>6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21"/>
    </row>
    <row r="235" spans="1:59" ht="15.75">
      <c r="A235" s="5" t="s">
        <v>393</v>
      </c>
      <c r="B235" s="5" t="s">
        <v>417</v>
      </c>
      <c r="C235" s="7">
        <v>6</v>
      </c>
      <c r="D235" s="7">
        <v>6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21"/>
    </row>
    <row r="236" spans="1:59" ht="15.75">
      <c r="A236" s="5" t="s">
        <v>395</v>
      </c>
      <c r="B236" s="5" t="s">
        <v>418</v>
      </c>
      <c r="C236" s="7">
        <v>6</v>
      </c>
      <c r="D236" s="7">
        <v>6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21"/>
    </row>
    <row r="237" spans="1:59" ht="15.75">
      <c r="A237" s="5" t="s">
        <v>419</v>
      </c>
      <c r="B237" s="5" t="s">
        <v>420</v>
      </c>
      <c r="C237" s="7">
        <v>6</v>
      </c>
      <c r="D237" s="7">
        <v>6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21"/>
    </row>
    <row r="238" spans="1:59" ht="15.75">
      <c r="A238" s="5" t="s">
        <v>421</v>
      </c>
      <c r="B238" s="5" t="s">
        <v>422</v>
      </c>
      <c r="C238" s="7">
        <v>6</v>
      </c>
      <c r="D238" s="7">
        <v>6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21"/>
    </row>
    <row r="239" spans="1:59" ht="15.75">
      <c r="A239" s="5" t="s">
        <v>423</v>
      </c>
      <c r="B239" s="5" t="s">
        <v>424</v>
      </c>
      <c r="C239" s="7">
        <v>6</v>
      </c>
      <c r="D239" s="7">
        <v>6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21"/>
    </row>
    <row r="240" spans="1:59" ht="15.75">
      <c r="A240" s="5" t="s">
        <v>425</v>
      </c>
      <c r="B240" s="5" t="s">
        <v>426</v>
      </c>
      <c r="C240" s="7">
        <v>6</v>
      </c>
      <c r="D240" s="7">
        <v>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21"/>
    </row>
    <row r="241" spans="1:59" ht="15.75">
      <c r="A241" s="5" t="s">
        <v>427</v>
      </c>
      <c r="B241" s="5" t="s">
        <v>428</v>
      </c>
      <c r="C241" s="7">
        <v>6</v>
      </c>
      <c r="D241" s="7">
        <v>6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21"/>
    </row>
    <row r="242" spans="1:59" ht="15.75">
      <c r="A242" s="5" t="s">
        <v>429</v>
      </c>
      <c r="B242" s="5" t="s">
        <v>430</v>
      </c>
      <c r="C242" s="7">
        <v>6</v>
      </c>
      <c r="D242" s="7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21"/>
    </row>
    <row r="243" spans="1:59" ht="15.75">
      <c r="A243" s="5" t="s">
        <v>431</v>
      </c>
      <c r="B243" s="5" t="s">
        <v>432</v>
      </c>
      <c r="C243" s="7">
        <v>6</v>
      </c>
      <c r="D243" s="7">
        <v>6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21"/>
    </row>
    <row r="244" spans="1:59" ht="15.75">
      <c r="A244" s="5" t="s">
        <v>433</v>
      </c>
      <c r="B244" s="5" t="s">
        <v>434</v>
      </c>
      <c r="C244" s="7">
        <v>6</v>
      </c>
      <c r="D244" s="7">
        <v>6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21"/>
    </row>
    <row r="245" spans="1:59" ht="15.75">
      <c r="A245" s="5" t="s">
        <v>435</v>
      </c>
      <c r="B245" s="5" t="s">
        <v>436</v>
      </c>
      <c r="C245" s="7">
        <v>6</v>
      </c>
      <c r="D245" s="7">
        <v>6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21"/>
    </row>
    <row r="246" spans="1:59" ht="15.75">
      <c r="A246" s="5" t="s">
        <v>437</v>
      </c>
      <c r="B246" s="5" t="s">
        <v>438</v>
      </c>
      <c r="C246" s="7">
        <v>6</v>
      </c>
      <c r="D246" s="7">
        <v>6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21"/>
    </row>
    <row r="247" spans="1:59" ht="15.75">
      <c r="A247" s="5" t="s">
        <v>439</v>
      </c>
      <c r="B247" s="5" t="s">
        <v>440</v>
      </c>
      <c r="C247" s="7">
        <v>6</v>
      </c>
      <c r="D247" s="7">
        <v>6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21"/>
    </row>
    <row r="248" spans="1:59" ht="15.75">
      <c r="A248" s="5" t="s">
        <v>441</v>
      </c>
      <c r="B248" s="5" t="s">
        <v>442</v>
      </c>
      <c r="C248" s="7">
        <v>6</v>
      </c>
      <c r="D248" s="7">
        <v>6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21"/>
    </row>
    <row r="249" spans="1:59" ht="15.75">
      <c r="A249" s="5" t="s">
        <v>443</v>
      </c>
      <c r="B249" s="5" t="s">
        <v>444</v>
      </c>
      <c r="C249" s="7">
        <v>6</v>
      </c>
      <c r="D249" s="7">
        <v>6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21"/>
    </row>
    <row r="250" spans="1:59" ht="15.75">
      <c r="A250" s="5" t="s">
        <v>445</v>
      </c>
      <c r="B250" s="5" t="s">
        <v>446</v>
      </c>
      <c r="C250" s="7">
        <v>6</v>
      </c>
      <c r="D250" s="7">
        <v>6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21"/>
    </row>
    <row r="251" spans="1:59" ht="15.75">
      <c r="A251" s="5" t="s">
        <v>447</v>
      </c>
      <c r="B251" s="5" t="s">
        <v>448</v>
      </c>
      <c r="C251" s="7">
        <v>6</v>
      </c>
      <c r="D251" s="7">
        <v>6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21"/>
    </row>
    <row r="252" spans="1:59" ht="15.75">
      <c r="A252" s="5" t="s">
        <v>449</v>
      </c>
      <c r="B252" s="5" t="s">
        <v>450</v>
      </c>
      <c r="C252" s="7">
        <v>6</v>
      </c>
      <c r="D252" s="7">
        <v>6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21"/>
    </row>
    <row r="253" spans="1:59" ht="15.75">
      <c r="A253" s="5" t="s">
        <v>451</v>
      </c>
      <c r="B253" s="5" t="s">
        <v>452</v>
      </c>
      <c r="C253" s="7">
        <v>6</v>
      </c>
      <c r="D253" s="7">
        <v>6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21"/>
    </row>
    <row r="254" spans="1:59" ht="15.75">
      <c r="A254" s="5" t="s">
        <v>453</v>
      </c>
      <c r="B254" s="5" t="s">
        <v>454</v>
      </c>
      <c r="C254" s="7">
        <v>6</v>
      </c>
      <c r="D254" s="7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21"/>
    </row>
    <row r="255" spans="1:59" ht="15.75">
      <c r="A255" s="5" t="s">
        <v>455</v>
      </c>
      <c r="B255" s="5" t="s">
        <v>456</v>
      </c>
      <c r="C255" s="7">
        <v>6</v>
      </c>
      <c r="D255" s="7">
        <v>6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21"/>
    </row>
    <row r="256" spans="1:59" ht="15.75">
      <c r="A256" s="5" t="s">
        <v>457</v>
      </c>
      <c r="B256" s="5" t="s">
        <v>458</v>
      </c>
      <c r="C256" s="7">
        <v>6</v>
      </c>
      <c r="D256" s="7">
        <v>6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21"/>
    </row>
    <row r="257" spans="1:59" ht="15.75">
      <c r="A257" s="5" t="s">
        <v>459</v>
      </c>
      <c r="B257" s="5" t="s">
        <v>460</v>
      </c>
      <c r="C257" s="7">
        <v>6</v>
      </c>
      <c r="D257" s="7">
        <v>6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21"/>
    </row>
    <row r="258" spans="1:59" ht="15.75">
      <c r="A258" s="5" t="s">
        <v>461</v>
      </c>
      <c r="B258" s="5" t="s">
        <v>462</v>
      </c>
      <c r="C258" s="7">
        <v>6</v>
      </c>
      <c r="D258" s="7">
        <v>6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532.96799999999996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418.17500000000001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21"/>
    </row>
    <row r="259" spans="1:59" ht="15.75">
      <c r="A259" s="5" t="s">
        <v>419</v>
      </c>
      <c r="B259" s="5" t="s">
        <v>463</v>
      </c>
      <c r="C259" s="7">
        <v>6</v>
      </c>
      <c r="D259" s="7">
        <v>6</v>
      </c>
      <c r="E259" s="7">
        <v>0</v>
      </c>
      <c r="F259" s="7">
        <v>0</v>
      </c>
      <c r="G259" s="7">
        <v>0</v>
      </c>
      <c r="H259" s="7">
        <v>0</v>
      </c>
      <c r="I259" s="7">
        <v>7.0000000000000001E-3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4.1000000000000002E-2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4.7E-2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21"/>
    </row>
    <row r="260" spans="1:59" ht="15.75">
      <c r="A260" s="5" t="s">
        <v>421</v>
      </c>
      <c r="B260" s="5" t="s">
        <v>464</v>
      </c>
      <c r="C260" s="7">
        <v>6</v>
      </c>
      <c r="D260" s="7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21"/>
    </row>
    <row r="261" spans="1:59" ht="15.75">
      <c r="A261" s="5" t="s">
        <v>423</v>
      </c>
      <c r="B261" s="5" t="s">
        <v>465</v>
      </c>
      <c r="C261" s="7">
        <v>6</v>
      </c>
      <c r="D261" s="7">
        <v>6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21"/>
    </row>
    <row r="262" spans="1:59" ht="15.75">
      <c r="A262" s="5" t="s">
        <v>425</v>
      </c>
      <c r="B262" s="5" t="s">
        <v>466</v>
      </c>
      <c r="C262" s="7">
        <v>6</v>
      </c>
      <c r="D262" s="7">
        <v>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21"/>
    </row>
    <row r="263" spans="1:59" ht="15.75">
      <c r="A263" s="5" t="s">
        <v>427</v>
      </c>
      <c r="B263" s="5" t="s">
        <v>467</v>
      </c>
      <c r="C263" s="7">
        <v>6</v>
      </c>
      <c r="D263" s="7">
        <v>6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21"/>
    </row>
    <row r="264" spans="1:59" ht="15.75">
      <c r="A264" s="5" t="s">
        <v>429</v>
      </c>
      <c r="B264" s="5" t="s">
        <v>468</v>
      </c>
      <c r="C264" s="7">
        <v>6</v>
      </c>
      <c r="D264" s="7">
        <v>6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21"/>
    </row>
    <row r="265" spans="1:59" ht="15.75">
      <c r="A265" s="5" t="s">
        <v>431</v>
      </c>
      <c r="B265" s="5" t="s">
        <v>469</v>
      </c>
      <c r="C265" s="7">
        <v>6</v>
      </c>
      <c r="D265" s="7">
        <v>6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21"/>
    </row>
    <row r="266" spans="1:59" ht="15.75">
      <c r="A266" s="5" t="s">
        <v>433</v>
      </c>
      <c r="B266" s="5" t="s">
        <v>470</v>
      </c>
      <c r="C266" s="7">
        <v>6</v>
      </c>
      <c r="D266" s="7">
        <v>6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21"/>
    </row>
    <row r="267" spans="1:59" ht="15.75">
      <c r="A267" s="5" t="s">
        <v>435</v>
      </c>
      <c r="B267" s="5" t="s">
        <v>471</v>
      </c>
      <c r="C267" s="7">
        <v>6</v>
      </c>
      <c r="D267" s="7">
        <v>6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21"/>
    </row>
    <row r="268" spans="1:59" ht="15.75">
      <c r="A268" s="5" t="s">
        <v>437</v>
      </c>
      <c r="B268" s="5" t="s">
        <v>472</v>
      </c>
      <c r="C268" s="7">
        <v>6</v>
      </c>
      <c r="D268" s="7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21"/>
    </row>
    <row r="269" spans="1:59" ht="15.75">
      <c r="A269" s="5" t="s">
        <v>439</v>
      </c>
      <c r="B269" s="5" t="s">
        <v>473</v>
      </c>
      <c r="C269" s="7">
        <v>6</v>
      </c>
      <c r="D269" s="7">
        <v>6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21"/>
    </row>
    <row r="270" spans="1:59" ht="15.75">
      <c r="A270" s="5" t="s">
        <v>441</v>
      </c>
      <c r="B270" s="5" t="s">
        <v>474</v>
      </c>
      <c r="C270" s="7">
        <v>6</v>
      </c>
      <c r="D270" s="7">
        <v>6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21"/>
    </row>
    <row r="271" spans="1:59" ht="15.75">
      <c r="A271" s="5" t="s">
        <v>443</v>
      </c>
      <c r="B271" s="5" t="s">
        <v>475</v>
      </c>
      <c r="C271" s="7">
        <v>6</v>
      </c>
      <c r="D271" s="7">
        <v>6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21"/>
    </row>
    <row r="272" spans="1:59" ht="15.75">
      <c r="A272" s="5" t="s">
        <v>445</v>
      </c>
      <c r="B272" s="5" t="s">
        <v>476</v>
      </c>
      <c r="C272" s="7">
        <v>6</v>
      </c>
      <c r="D272" s="7">
        <v>6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21"/>
    </row>
    <row r="273" spans="1:59" ht="15.75">
      <c r="A273" s="5" t="s">
        <v>447</v>
      </c>
      <c r="B273" s="5" t="s">
        <v>477</v>
      </c>
      <c r="C273" s="7">
        <v>6</v>
      </c>
      <c r="D273" s="7">
        <v>6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21"/>
    </row>
    <row r="274" spans="1:59" ht="15.75">
      <c r="A274" s="5" t="s">
        <v>449</v>
      </c>
      <c r="B274" s="5" t="s">
        <v>478</v>
      </c>
      <c r="C274" s="7">
        <v>6</v>
      </c>
      <c r="D274" s="7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21"/>
    </row>
    <row r="275" spans="1:59" ht="15.75">
      <c r="A275" s="5" t="s">
        <v>451</v>
      </c>
      <c r="B275" s="5" t="s">
        <v>479</v>
      </c>
      <c r="C275" s="7">
        <v>6</v>
      </c>
      <c r="D275" s="7">
        <v>6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21"/>
    </row>
    <row r="276" spans="1:59" ht="15.75">
      <c r="A276" s="5" t="s">
        <v>453</v>
      </c>
      <c r="B276" s="5" t="s">
        <v>480</v>
      </c>
      <c r="C276" s="7">
        <v>6</v>
      </c>
      <c r="D276" s="7">
        <v>6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21"/>
    </row>
    <row r="277" spans="1:59" ht="15.75">
      <c r="A277" s="5" t="s">
        <v>455</v>
      </c>
      <c r="B277" s="5" t="s">
        <v>481</v>
      </c>
      <c r="C277" s="7">
        <v>6</v>
      </c>
      <c r="D277" s="7">
        <v>6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21"/>
    </row>
    <row r="278" spans="1:59" ht="15.75">
      <c r="A278" s="5" t="s">
        <v>457</v>
      </c>
      <c r="B278" s="5" t="s">
        <v>482</v>
      </c>
      <c r="C278" s="7">
        <v>6</v>
      </c>
      <c r="D278" s="7">
        <v>6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21"/>
    </row>
    <row r="279" spans="1:59" ht="15.75">
      <c r="A279" s="5" t="s">
        <v>459</v>
      </c>
      <c r="B279" s="5" t="s">
        <v>483</v>
      </c>
      <c r="C279" s="7">
        <v>6</v>
      </c>
      <c r="D279" s="7">
        <v>6</v>
      </c>
      <c r="E279" s="7">
        <v>1081.7829999999999</v>
      </c>
      <c r="F279" s="7">
        <v>2311.46</v>
      </c>
      <c r="G279" s="7">
        <v>209.67099999999999</v>
      </c>
      <c r="H279" s="7">
        <v>1105.4559999999999</v>
      </c>
      <c r="I279" s="7">
        <v>318.34300000000002</v>
      </c>
      <c r="J279" s="7">
        <v>1838.3389999999999</v>
      </c>
      <c r="K279" s="7">
        <v>42.661000000000001</v>
      </c>
      <c r="L279" s="7">
        <v>1068.77</v>
      </c>
      <c r="M279" s="7">
        <v>0</v>
      </c>
      <c r="N279" s="7">
        <v>3502.2359999999999</v>
      </c>
      <c r="O279" s="7">
        <v>6371.6729999999998</v>
      </c>
      <c r="P279" s="7">
        <v>3387.6190000000001</v>
      </c>
      <c r="Q279" s="7">
        <v>0</v>
      </c>
      <c r="R279" s="7">
        <v>0</v>
      </c>
      <c r="S279" s="7">
        <v>0.01</v>
      </c>
      <c r="T279" s="7">
        <v>0</v>
      </c>
      <c r="U279" s="7">
        <v>0</v>
      </c>
      <c r="V279" s="7">
        <v>956.20299999999997</v>
      </c>
      <c r="W279" s="7">
        <v>0</v>
      </c>
      <c r="X279" s="7">
        <v>0</v>
      </c>
      <c r="Y279" s="7">
        <v>0</v>
      </c>
      <c r="Z279" s="7">
        <v>168.67500000000001</v>
      </c>
      <c r="AA279" s="7">
        <v>203.46899999999999</v>
      </c>
      <c r="AB279" s="7">
        <v>0</v>
      </c>
      <c r="AC279" s="7">
        <v>0.18</v>
      </c>
      <c r="AD279" s="7">
        <v>0</v>
      </c>
      <c r="AE279" s="7">
        <v>3787.6509999999998</v>
      </c>
      <c r="AF279" s="7">
        <v>0</v>
      </c>
      <c r="AG279" s="7">
        <v>424.90300000000002</v>
      </c>
      <c r="AH279" s="7">
        <v>0</v>
      </c>
      <c r="AI279" s="7">
        <v>7.9950000000000001</v>
      </c>
      <c r="AJ279" s="7">
        <v>45.37</v>
      </c>
      <c r="AK279" s="7">
        <v>0</v>
      </c>
      <c r="AL279" s="7">
        <v>16841.812000000002</v>
      </c>
      <c r="AM279" s="7">
        <v>1.1279999999999999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69.495999999999995</v>
      </c>
      <c r="AV279" s="7">
        <v>0</v>
      </c>
      <c r="AW279" s="7">
        <v>0</v>
      </c>
      <c r="AX279" s="7">
        <v>6.3620000000000001</v>
      </c>
      <c r="AY279" s="7">
        <v>0</v>
      </c>
      <c r="AZ279" s="7">
        <v>3.4580000000000002</v>
      </c>
      <c r="BA279" s="7">
        <v>0</v>
      </c>
      <c r="BB279" s="7">
        <v>0.47099999999999997</v>
      </c>
      <c r="BC279" s="7">
        <v>0</v>
      </c>
      <c r="BD279" s="7">
        <v>0</v>
      </c>
      <c r="BE279" s="7">
        <v>3231.808</v>
      </c>
      <c r="BF279" s="7">
        <v>0</v>
      </c>
      <c r="BG279" s="21"/>
    </row>
    <row r="280" spans="1:59" ht="15.75">
      <c r="A280" s="5" t="s">
        <v>461</v>
      </c>
      <c r="B280" s="5" t="s">
        <v>484</v>
      </c>
      <c r="C280" s="7">
        <v>6</v>
      </c>
      <c r="D280" s="7">
        <v>6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21"/>
    </row>
    <row r="281" spans="1:59" ht="15.75">
      <c r="A281" s="5" t="s">
        <v>485</v>
      </c>
      <c r="B281" s="5" t="s">
        <v>486</v>
      </c>
      <c r="C281" s="7">
        <v>5</v>
      </c>
      <c r="D281" s="7">
        <v>5</v>
      </c>
      <c r="E281" s="7">
        <v>101062.717</v>
      </c>
      <c r="F281" s="7">
        <v>0</v>
      </c>
      <c r="G281" s="7">
        <v>15036.008</v>
      </c>
      <c r="H281" s="7">
        <v>501.36099999999999</v>
      </c>
      <c r="I281" s="7">
        <v>0</v>
      </c>
      <c r="J281" s="7">
        <v>23190.637999999999</v>
      </c>
      <c r="K281" s="7">
        <v>135953.253</v>
      </c>
      <c r="L281" s="7">
        <v>34023.03</v>
      </c>
      <c r="M281" s="7">
        <v>6638.7650000000003</v>
      </c>
      <c r="N281" s="7">
        <v>31929.383000000002</v>
      </c>
      <c r="O281" s="7">
        <v>190518.63800000001</v>
      </c>
      <c r="P281" s="7">
        <v>97170.578999999998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0.45100000000000001</v>
      </c>
      <c r="Y281" s="7">
        <v>2257.7170000000001</v>
      </c>
      <c r="Z281" s="7">
        <v>513.45500000000004</v>
      </c>
      <c r="AA281" s="7">
        <v>3664.8560000000002</v>
      </c>
      <c r="AB281" s="7">
        <v>0</v>
      </c>
      <c r="AC281" s="7">
        <v>37729.652000000002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90338.702000000005</v>
      </c>
      <c r="AJ281" s="7">
        <v>13666.555</v>
      </c>
      <c r="AK281" s="7">
        <v>2519.8000000000002</v>
      </c>
      <c r="AL281" s="7">
        <v>480071.03100000002</v>
      </c>
      <c r="AM281" s="7">
        <v>105597.79300000001</v>
      </c>
      <c r="AN281" s="7">
        <v>26.911000000000001</v>
      </c>
      <c r="AO281" s="7">
        <v>87.778999999999996</v>
      </c>
      <c r="AP281" s="7">
        <v>12.231999999999999</v>
      </c>
      <c r="AQ281" s="7">
        <v>0</v>
      </c>
      <c r="AR281" s="7">
        <v>116.491</v>
      </c>
      <c r="AS281" s="7">
        <v>593.16800000000001</v>
      </c>
      <c r="AT281" s="7">
        <v>643.33600000000001</v>
      </c>
      <c r="AU281" s="7">
        <v>0</v>
      </c>
      <c r="AV281" s="7">
        <v>0</v>
      </c>
      <c r="AW281" s="7">
        <v>0</v>
      </c>
      <c r="AX281" s="7">
        <v>3146.087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21"/>
    </row>
    <row r="282" spans="1:59" ht="15.75">
      <c r="A282" s="5" t="s">
        <v>487</v>
      </c>
      <c r="B282" s="5" t="s">
        <v>488</v>
      </c>
      <c r="C282" s="7">
        <v>5</v>
      </c>
      <c r="D282" s="7">
        <v>5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21"/>
    </row>
    <row r="283" spans="1:59" ht="15.75">
      <c r="A283" s="5" t="s">
        <v>489</v>
      </c>
      <c r="B283" s="5" t="s">
        <v>490</v>
      </c>
      <c r="C283" s="7">
        <v>5</v>
      </c>
      <c r="D283" s="7">
        <v>5</v>
      </c>
      <c r="E283" s="7">
        <v>12595.403</v>
      </c>
      <c r="F283" s="7">
        <v>1713.9449999999999</v>
      </c>
      <c r="G283" s="7">
        <v>2458.846</v>
      </c>
      <c r="H283" s="7">
        <v>0</v>
      </c>
      <c r="I283" s="7">
        <v>431.90800000000002</v>
      </c>
      <c r="J283" s="7">
        <v>1444.577</v>
      </c>
      <c r="K283" s="7">
        <v>12100.143</v>
      </c>
      <c r="L283" s="7">
        <v>1133.1300000000001</v>
      </c>
      <c r="M283" s="7">
        <v>0</v>
      </c>
      <c r="N283" s="7">
        <v>5642.5</v>
      </c>
      <c r="O283" s="7">
        <v>13511.237999999999</v>
      </c>
      <c r="P283" s="7">
        <v>5556.4830000000002</v>
      </c>
      <c r="Q283" s="7">
        <v>0</v>
      </c>
      <c r="R283" s="7">
        <v>0</v>
      </c>
      <c r="S283" s="7">
        <v>81.540999999999997</v>
      </c>
      <c r="T283" s="7">
        <v>0</v>
      </c>
      <c r="U283" s="7">
        <v>2.6709999999999998</v>
      </c>
      <c r="V283" s="7">
        <v>0</v>
      </c>
      <c r="W283" s="7">
        <v>0</v>
      </c>
      <c r="X283" s="7">
        <v>0</v>
      </c>
      <c r="Y283" s="7">
        <v>0</v>
      </c>
      <c r="Z283" s="7">
        <v>204.565</v>
      </c>
      <c r="AA283" s="7">
        <v>642.04600000000005</v>
      </c>
      <c r="AB283" s="7">
        <v>0</v>
      </c>
      <c r="AC283" s="7">
        <v>5107.2060000000001</v>
      </c>
      <c r="AD283" s="7">
        <v>0</v>
      </c>
      <c r="AE283" s="7">
        <v>1782.521</v>
      </c>
      <c r="AF283" s="7">
        <v>0</v>
      </c>
      <c r="AG283" s="7">
        <v>313.834</v>
      </c>
      <c r="AH283" s="7">
        <v>0</v>
      </c>
      <c r="AI283" s="7">
        <v>16160.422</v>
      </c>
      <c r="AJ283" s="7">
        <v>0</v>
      </c>
      <c r="AK283" s="7">
        <v>0</v>
      </c>
      <c r="AL283" s="7">
        <v>26209.89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21"/>
    </row>
    <row r="284" spans="1:59" ht="15.75">
      <c r="A284" s="5" t="s">
        <v>491</v>
      </c>
      <c r="B284" s="5" t="s">
        <v>492</v>
      </c>
      <c r="C284" s="7">
        <v>5</v>
      </c>
      <c r="D284" s="7">
        <v>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21"/>
    </row>
    <row r="285" spans="1:59" ht="15.75">
      <c r="A285" s="5" t="s">
        <v>493</v>
      </c>
      <c r="B285" s="5" t="s">
        <v>494</v>
      </c>
      <c r="C285" s="7">
        <v>5</v>
      </c>
      <c r="D285" s="7">
        <v>5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21"/>
    </row>
    <row r="286" spans="1:59" ht="15.75">
      <c r="A286" s="5" t="s">
        <v>495</v>
      </c>
      <c r="B286" s="5" t="s">
        <v>496</v>
      </c>
      <c r="C286" s="7">
        <v>5</v>
      </c>
      <c r="D286" s="7">
        <v>5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21"/>
    </row>
    <row r="287" spans="1:59" ht="15.75">
      <c r="A287" s="5" t="s">
        <v>497</v>
      </c>
      <c r="B287" s="5" t="s">
        <v>498</v>
      </c>
      <c r="C287" s="7">
        <v>5</v>
      </c>
      <c r="D287" s="7">
        <v>5</v>
      </c>
      <c r="E287" s="7">
        <v>39573.256999999998</v>
      </c>
      <c r="F287" s="7">
        <v>5911.8090000000002</v>
      </c>
      <c r="G287" s="7">
        <v>9558.6329999999998</v>
      </c>
      <c r="H287" s="7">
        <v>0</v>
      </c>
      <c r="I287" s="7">
        <v>1548.5889999999999</v>
      </c>
      <c r="J287" s="7">
        <v>5250.7529999999997</v>
      </c>
      <c r="K287" s="7">
        <v>55696.985000000001</v>
      </c>
      <c r="L287" s="7">
        <v>3760.4270000000001</v>
      </c>
      <c r="M287" s="7">
        <v>0</v>
      </c>
      <c r="N287" s="7">
        <v>21582.35</v>
      </c>
      <c r="O287" s="7">
        <v>58327.165999999997</v>
      </c>
      <c r="P287" s="7">
        <v>22632.328000000001</v>
      </c>
      <c r="Q287" s="7">
        <v>0</v>
      </c>
      <c r="R287" s="7">
        <v>0</v>
      </c>
      <c r="S287" s="7">
        <v>317.10300000000001</v>
      </c>
      <c r="T287" s="7">
        <v>0</v>
      </c>
      <c r="U287" s="7">
        <v>7.3940000000000001</v>
      </c>
      <c r="V287" s="7">
        <v>0.159</v>
      </c>
      <c r="W287" s="7">
        <v>0</v>
      </c>
      <c r="X287" s="7">
        <v>0</v>
      </c>
      <c r="Y287" s="7">
        <v>0</v>
      </c>
      <c r="Z287" s="7">
        <v>566.29399999999998</v>
      </c>
      <c r="AA287" s="7">
        <v>1777.3019999999999</v>
      </c>
      <c r="AB287" s="7">
        <v>0</v>
      </c>
      <c r="AC287" s="7">
        <v>15327.89</v>
      </c>
      <c r="AD287" s="7">
        <v>0</v>
      </c>
      <c r="AE287" s="7">
        <v>4934.43</v>
      </c>
      <c r="AF287" s="7">
        <v>0</v>
      </c>
      <c r="AG287" s="7">
        <v>868.74099999999999</v>
      </c>
      <c r="AH287" s="7">
        <v>0</v>
      </c>
      <c r="AI287" s="7">
        <v>49469.709000000003</v>
      </c>
      <c r="AJ287" s="7">
        <v>0</v>
      </c>
      <c r="AK287" s="7">
        <v>0</v>
      </c>
      <c r="AL287" s="7">
        <v>89894.149000000005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4.0000000000000001E-3</v>
      </c>
      <c r="AV287" s="7">
        <v>0</v>
      </c>
      <c r="AW287" s="7">
        <v>0</v>
      </c>
      <c r="AX287" s="7">
        <v>0</v>
      </c>
      <c r="AY287" s="7">
        <v>0</v>
      </c>
      <c r="AZ287" s="7">
        <v>2E-3</v>
      </c>
      <c r="BA287" s="7">
        <v>0</v>
      </c>
      <c r="BB287" s="7">
        <v>4.4999999999999998E-2</v>
      </c>
      <c r="BC287" s="7">
        <v>0</v>
      </c>
      <c r="BD287" s="7">
        <v>0</v>
      </c>
      <c r="BE287" s="7">
        <v>0</v>
      </c>
      <c r="BF287" s="7">
        <v>0</v>
      </c>
      <c r="BG287" s="21"/>
    </row>
    <row r="288" spans="1:59" ht="15.75">
      <c r="A288" s="5" t="s">
        <v>499</v>
      </c>
      <c r="B288" s="5" t="s">
        <v>500</v>
      </c>
      <c r="C288" s="7">
        <v>5</v>
      </c>
      <c r="D288" s="7">
        <v>5</v>
      </c>
      <c r="E288" s="7">
        <v>121682.629</v>
      </c>
      <c r="F288" s="7">
        <v>18562.782999999999</v>
      </c>
      <c r="G288" s="7">
        <v>27679.940999999999</v>
      </c>
      <c r="H288" s="7">
        <v>14333.531999999999</v>
      </c>
      <c r="I288" s="7">
        <v>4864.5159999999996</v>
      </c>
      <c r="J288" s="7">
        <v>15824.453</v>
      </c>
      <c r="K288" s="7">
        <v>130484.00599999999</v>
      </c>
      <c r="L288" s="7">
        <v>11843.019</v>
      </c>
      <c r="M288" s="7">
        <v>0</v>
      </c>
      <c r="N288" s="7">
        <v>60430.938999999998</v>
      </c>
      <c r="O288" s="7">
        <v>143455.329</v>
      </c>
      <c r="P288" s="7">
        <v>62329.762000000002</v>
      </c>
      <c r="Q288" s="7">
        <v>0</v>
      </c>
      <c r="R288" s="7">
        <v>0</v>
      </c>
      <c r="S288" s="7">
        <v>912.46600000000001</v>
      </c>
      <c r="T288" s="7">
        <v>0</v>
      </c>
      <c r="U288" s="7">
        <v>108.877</v>
      </c>
      <c r="V288" s="7">
        <v>0</v>
      </c>
      <c r="W288" s="7">
        <v>0</v>
      </c>
      <c r="X288" s="7">
        <v>0</v>
      </c>
      <c r="Y288" s="7">
        <v>0</v>
      </c>
      <c r="Z288" s="7">
        <v>1866.241</v>
      </c>
      <c r="AA288" s="7">
        <v>5941.6490000000003</v>
      </c>
      <c r="AB288" s="7">
        <v>0</v>
      </c>
      <c r="AC288" s="7">
        <v>46930.002999999997</v>
      </c>
      <c r="AD288" s="7">
        <v>0</v>
      </c>
      <c r="AE288" s="7">
        <v>16529.262999999999</v>
      </c>
      <c r="AF288" s="7">
        <v>0</v>
      </c>
      <c r="AG288" s="7">
        <v>2863.0929999999998</v>
      </c>
      <c r="AH288" s="7">
        <v>0</v>
      </c>
      <c r="AI288" s="7">
        <v>149537.272</v>
      </c>
      <c r="AJ288" s="7">
        <v>0</v>
      </c>
      <c r="AK288" s="7">
        <v>0</v>
      </c>
      <c r="AL288" s="7">
        <v>248632.15100000001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78.634</v>
      </c>
      <c r="BC288" s="7">
        <v>0</v>
      </c>
      <c r="BD288" s="7">
        <v>0</v>
      </c>
      <c r="BE288" s="7">
        <v>0</v>
      </c>
      <c r="BF288" s="7">
        <v>0</v>
      </c>
      <c r="BG288" s="21"/>
    </row>
    <row r="289" spans="1:59" ht="15.75">
      <c r="A289" s="5" t="s">
        <v>501</v>
      </c>
      <c r="B289" s="5" t="s">
        <v>502</v>
      </c>
      <c r="C289" s="7">
        <v>5</v>
      </c>
      <c r="D289" s="7">
        <v>5</v>
      </c>
      <c r="E289" s="7">
        <v>1265.039</v>
      </c>
      <c r="F289" s="7">
        <v>0</v>
      </c>
      <c r="G289" s="7">
        <v>62.533999999999999</v>
      </c>
      <c r="H289" s="7">
        <v>0</v>
      </c>
      <c r="I289" s="7">
        <v>0</v>
      </c>
      <c r="J289" s="7">
        <v>35.216000000000001</v>
      </c>
      <c r="K289" s="7">
        <v>3165.9609999999998</v>
      </c>
      <c r="L289" s="7">
        <v>86.974999999999994</v>
      </c>
      <c r="M289" s="7">
        <v>0</v>
      </c>
      <c r="N289" s="7">
        <v>874.84799999999996</v>
      </c>
      <c r="O289" s="7">
        <v>6245.2759999999998</v>
      </c>
      <c r="P289" s="7">
        <v>263.745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2257.3049999999998</v>
      </c>
      <c r="AD289" s="7">
        <v>0</v>
      </c>
      <c r="AE289" s="7">
        <v>25.638999999999999</v>
      </c>
      <c r="AF289" s="7">
        <v>0</v>
      </c>
      <c r="AG289" s="7">
        <v>0</v>
      </c>
      <c r="AH289" s="7">
        <v>0</v>
      </c>
      <c r="AI289" s="7">
        <v>4568.3959999999997</v>
      </c>
      <c r="AJ289" s="7">
        <v>0</v>
      </c>
      <c r="AK289" s="7">
        <v>0</v>
      </c>
      <c r="AL289" s="7">
        <v>7958.3530000000001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21"/>
    </row>
    <row r="290" spans="1:59" ht="15.75">
      <c r="A290" s="5" t="s">
        <v>503</v>
      </c>
      <c r="B290" s="5" t="s">
        <v>504</v>
      </c>
      <c r="C290" s="7">
        <v>5</v>
      </c>
      <c r="D290" s="7">
        <v>5</v>
      </c>
      <c r="E290" s="7">
        <v>31166.475999999999</v>
      </c>
      <c r="F290" s="7">
        <v>3981.2950000000001</v>
      </c>
      <c r="G290" s="7">
        <v>5711.6149999999998</v>
      </c>
      <c r="H290" s="7">
        <v>104.402</v>
      </c>
      <c r="I290" s="7">
        <v>1003.272</v>
      </c>
      <c r="J290" s="7">
        <v>3355.585</v>
      </c>
      <c r="K290" s="7">
        <v>30699.852999999999</v>
      </c>
      <c r="L290" s="7">
        <v>2632.13</v>
      </c>
      <c r="M290" s="7">
        <v>0</v>
      </c>
      <c r="N290" s="7">
        <v>14506.634</v>
      </c>
      <c r="O290" s="7">
        <v>38467.822999999997</v>
      </c>
      <c r="P290" s="7">
        <v>14000.338</v>
      </c>
      <c r="Q290" s="7">
        <v>0</v>
      </c>
      <c r="R290" s="7">
        <v>0</v>
      </c>
      <c r="S290" s="7">
        <v>189.41</v>
      </c>
      <c r="T290" s="7">
        <v>0</v>
      </c>
      <c r="U290" s="7">
        <v>6.2050000000000001</v>
      </c>
      <c r="V290" s="7">
        <v>0</v>
      </c>
      <c r="W290" s="7">
        <v>0</v>
      </c>
      <c r="X290" s="7">
        <v>0</v>
      </c>
      <c r="Y290" s="7">
        <v>0</v>
      </c>
      <c r="Z290" s="7">
        <v>475.18099999999998</v>
      </c>
      <c r="AA290" s="7">
        <v>1491.3989999999999</v>
      </c>
      <c r="AB290" s="7">
        <v>0</v>
      </c>
      <c r="AC290" s="7">
        <v>14456.071</v>
      </c>
      <c r="AD290" s="7">
        <v>0</v>
      </c>
      <c r="AE290" s="7">
        <v>4140.59</v>
      </c>
      <c r="AF290" s="7">
        <v>0</v>
      </c>
      <c r="AG290" s="7">
        <v>728.99900000000002</v>
      </c>
      <c r="AH290" s="7">
        <v>0</v>
      </c>
      <c r="AI290" s="7">
        <v>42714.807999999997</v>
      </c>
      <c r="AJ290" s="7">
        <v>0</v>
      </c>
      <c r="AK290" s="7">
        <v>0</v>
      </c>
      <c r="AL290" s="7">
        <v>70110.853000000003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21"/>
    </row>
    <row r="291" spans="1:59" ht="15.75">
      <c r="A291" s="5" t="s">
        <v>505</v>
      </c>
      <c r="B291" s="5" t="s">
        <v>506</v>
      </c>
      <c r="C291" s="7">
        <v>5</v>
      </c>
      <c r="D291" s="7">
        <v>5</v>
      </c>
      <c r="E291" s="7">
        <v>25649.887999999999</v>
      </c>
      <c r="F291" s="7">
        <v>1094.204</v>
      </c>
      <c r="G291" s="7">
        <v>1569.758</v>
      </c>
      <c r="H291" s="7">
        <v>3786.2930000000001</v>
      </c>
      <c r="I291" s="7">
        <v>275.73500000000001</v>
      </c>
      <c r="J291" s="7">
        <v>922.23599999999999</v>
      </c>
      <c r="K291" s="7">
        <v>28482.545999999998</v>
      </c>
      <c r="L291" s="7">
        <v>723.404</v>
      </c>
      <c r="M291" s="7">
        <v>0</v>
      </c>
      <c r="N291" s="7">
        <v>11701.053</v>
      </c>
      <c r="O291" s="7">
        <v>51167.218000000001</v>
      </c>
      <c r="P291" s="7">
        <v>10362.733</v>
      </c>
      <c r="Q291" s="7">
        <v>0</v>
      </c>
      <c r="R291" s="7">
        <v>0</v>
      </c>
      <c r="S291" s="7">
        <v>52.057000000000002</v>
      </c>
      <c r="T291" s="7">
        <v>0</v>
      </c>
      <c r="U291" s="7">
        <v>1.7050000000000001</v>
      </c>
      <c r="V291" s="7">
        <v>0</v>
      </c>
      <c r="W291" s="7">
        <v>0</v>
      </c>
      <c r="X291" s="7">
        <v>0</v>
      </c>
      <c r="Y291" s="7">
        <v>0</v>
      </c>
      <c r="Z291" s="7">
        <v>130.59700000000001</v>
      </c>
      <c r="AA291" s="7">
        <v>409.89</v>
      </c>
      <c r="AB291" s="7">
        <v>0</v>
      </c>
      <c r="AC291" s="7">
        <v>15100.514999999999</v>
      </c>
      <c r="AD291" s="7">
        <v>0</v>
      </c>
      <c r="AE291" s="7">
        <v>1137.9829999999999</v>
      </c>
      <c r="AF291" s="7">
        <v>0</v>
      </c>
      <c r="AG291" s="7">
        <v>200.35499999999999</v>
      </c>
      <c r="AH291" s="7">
        <v>0</v>
      </c>
      <c r="AI291" s="7">
        <v>49288.446000000004</v>
      </c>
      <c r="AJ291" s="7">
        <v>0</v>
      </c>
      <c r="AK291" s="7">
        <v>0</v>
      </c>
      <c r="AL291" s="7">
        <v>81271.175000000003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21"/>
    </row>
    <row r="292" spans="1:59" ht="15.75">
      <c r="A292" s="5" t="s">
        <v>507</v>
      </c>
      <c r="B292" s="5" t="s">
        <v>508</v>
      </c>
      <c r="C292" s="7">
        <v>5</v>
      </c>
      <c r="D292" s="7">
        <v>5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21"/>
    </row>
    <row r="293" spans="1:59" ht="15.75">
      <c r="A293" s="5" t="s">
        <v>509</v>
      </c>
      <c r="B293" s="5" t="s">
        <v>510</v>
      </c>
      <c r="C293" s="7">
        <v>5</v>
      </c>
      <c r="D293" s="7">
        <v>5</v>
      </c>
      <c r="E293" s="7">
        <v>0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21"/>
    </row>
    <row r="294" spans="1:59" ht="15.75">
      <c r="A294" s="5" t="s">
        <v>511</v>
      </c>
      <c r="B294" s="5" t="s">
        <v>512</v>
      </c>
      <c r="C294" s="7">
        <v>5</v>
      </c>
      <c r="D294" s="7">
        <v>5</v>
      </c>
      <c r="E294" s="7">
        <v>178060.63099999999</v>
      </c>
      <c r="F294" s="7">
        <v>20940.276999999998</v>
      </c>
      <c r="G294" s="7">
        <v>29738.999</v>
      </c>
      <c r="H294" s="7">
        <v>0</v>
      </c>
      <c r="I294" s="7">
        <v>4861.2569999999996</v>
      </c>
      <c r="J294" s="7">
        <v>18069.595000000001</v>
      </c>
      <c r="K294" s="7">
        <v>144231.57800000001</v>
      </c>
      <c r="L294" s="7">
        <v>14475.791999999999</v>
      </c>
      <c r="M294" s="7">
        <v>0</v>
      </c>
      <c r="N294" s="7">
        <v>69855.664000000004</v>
      </c>
      <c r="O294" s="7">
        <v>171699.193</v>
      </c>
      <c r="P294" s="7">
        <v>66254.948999999993</v>
      </c>
      <c r="Q294" s="7">
        <v>0</v>
      </c>
      <c r="R294" s="7">
        <v>0</v>
      </c>
      <c r="S294" s="7">
        <v>920.226</v>
      </c>
      <c r="T294" s="7">
        <v>0</v>
      </c>
      <c r="U294" s="7">
        <v>56.420999999999999</v>
      </c>
      <c r="V294" s="7">
        <v>0</v>
      </c>
      <c r="W294" s="7">
        <v>0</v>
      </c>
      <c r="X294" s="7">
        <v>0</v>
      </c>
      <c r="Y294" s="7">
        <v>0</v>
      </c>
      <c r="Z294" s="7">
        <v>2958.1179999999999</v>
      </c>
      <c r="AA294" s="7">
        <v>9324.8179999999993</v>
      </c>
      <c r="AB294" s="7">
        <v>0</v>
      </c>
      <c r="AC294" s="7">
        <v>75714.675000000003</v>
      </c>
      <c r="AD294" s="7">
        <v>0</v>
      </c>
      <c r="AE294" s="7">
        <v>27106.488000000001</v>
      </c>
      <c r="AF294" s="7">
        <v>0</v>
      </c>
      <c r="AG294" s="7">
        <v>4728.1019999999999</v>
      </c>
      <c r="AH294" s="7">
        <v>0</v>
      </c>
      <c r="AI294" s="7">
        <v>233052.30799999999</v>
      </c>
      <c r="AJ294" s="7">
        <v>0</v>
      </c>
      <c r="AK294" s="7">
        <v>0</v>
      </c>
      <c r="AL294" s="7">
        <v>380732.44500000001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21"/>
    </row>
    <row r="295" spans="1:59" ht="15.75">
      <c r="A295" s="5" t="s">
        <v>513</v>
      </c>
      <c r="B295" s="5" t="s">
        <v>514</v>
      </c>
      <c r="C295" s="7">
        <v>5</v>
      </c>
      <c r="D295" s="7">
        <v>5</v>
      </c>
      <c r="E295" s="7">
        <v>11780.754999999999</v>
      </c>
      <c r="F295" s="7">
        <v>389.74799999999999</v>
      </c>
      <c r="G295" s="7">
        <v>513.12</v>
      </c>
      <c r="H295" s="7">
        <v>0</v>
      </c>
      <c r="I295" s="7">
        <v>34.923000000000002</v>
      </c>
      <c r="J295" s="7">
        <v>392.50599999999997</v>
      </c>
      <c r="K295" s="7">
        <v>1854.944</v>
      </c>
      <c r="L295" s="7">
        <v>2359.556</v>
      </c>
      <c r="M295" s="7">
        <v>0</v>
      </c>
      <c r="N295" s="7">
        <v>6564.3059999999996</v>
      </c>
      <c r="O295" s="7">
        <v>23224.982</v>
      </c>
      <c r="P295" s="7">
        <v>2487.279</v>
      </c>
      <c r="Q295" s="7">
        <v>0</v>
      </c>
      <c r="R295" s="7">
        <v>0</v>
      </c>
      <c r="S295" s="7">
        <v>6.9669999999999996</v>
      </c>
      <c r="T295" s="7">
        <v>0</v>
      </c>
      <c r="U295" s="7">
        <v>4.2300000000000004</v>
      </c>
      <c r="V295" s="7">
        <v>0</v>
      </c>
      <c r="W295" s="7">
        <v>0</v>
      </c>
      <c r="X295" s="7">
        <v>0</v>
      </c>
      <c r="Y295" s="7">
        <v>0</v>
      </c>
      <c r="Z295" s="7">
        <v>116.389</v>
      </c>
      <c r="AA295" s="7">
        <v>371.46600000000001</v>
      </c>
      <c r="AB295" s="7">
        <v>0</v>
      </c>
      <c r="AC295" s="7">
        <v>3060.95</v>
      </c>
      <c r="AD295" s="7">
        <v>0</v>
      </c>
      <c r="AE295" s="7">
        <v>1216.768</v>
      </c>
      <c r="AF295" s="7">
        <v>0</v>
      </c>
      <c r="AG295" s="7">
        <v>207.47800000000001</v>
      </c>
      <c r="AH295" s="7">
        <v>0</v>
      </c>
      <c r="AI295" s="7">
        <v>11088.125</v>
      </c>
      <c r="AJ295" s="7">
        <v>0</v>
      </c>
      <c r="AK295" s="7">
        <v>0</v>
      </c>
      <c r="AL295" s="7">
        <v>27357.057000000001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21"/>
    </row>
    <row r="296" spans="1:59" ht="15.75">
      <c r="A296" s="5" t="s">
        <v>515</v>
      </c>
      <c r="B296" s="5" t="s">
        <v>516</v>
      </c>
      <c r="C296" s="7">
        <v>5</v>
      </c>
      <c r="D296" s="7">
        <v>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21"/>
    </row>
    <row r="297" spans="1:59" ht="15.75">
      <c r="A297" s="5" t="s">
        <v>517</v>
      </c>
      <c r="B297" s="5" t="s">
        <v>518</v>
      </c>
      <c r="C297" s="7">
        <v>5</v>
      </c>
      <c r="D297" s="7">
        <v>5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21"/>
    </row>
    <row r="298" spans="1:59" ht="15.75">
      <c r="A298" s="5" t="s">
        <v>519</v>
      </c>
      <c r="B298" s="5" t="s">
        <v>520</v>
      </c>
      <c r="C298" s="7">
        <v>5</v>
      </c>
      <c r="D298" s="7">
        <v>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21"/>
    </row>
    <row r="299" spans="1:59" ht="15.75">
      <c r="A299" s="5" t="s">
        <v>521</v>
      </c>
      <c r="B299" s="5" t="s">
        <v>522</v>
      </c>
      <c r="C299" s="7">
        <v>5</v>
      </c>
      <c r="D299" s="7">
        <v>5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21"/>
    </row>
    <row r="300" spans="1:59" ht="15.75">
      <c r="A300" s="5" t="s">
        <v>523</v>
      </c>
      <c r="B300" s="5" t="s">
        <v>524</v>
      </c>
      <c r="C300" s="7">
        <v>5</v>
      </c>
      <c r="D300" s="7">
        <v>5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21"/>
    </row>
    <row r="301" spans="1:59" ht="15.75">
      <c r="A301" s="5" t="s">
        <v>525</v>
      </c>
      <c r="B301" s="5" t="s">
        <v>526</v>
      </c>
      <c r="C301" s="7">
        <v>5</v>
      </c>
      <c r="D301" s="7">
        <v>5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21"/>
    </row>
    <row r="302" spans="1:59" ht="15.75">
      <c r="A302" s="5" t="s">
        <v>527</v>
      </c>
      <c r="B302" s="5" t="s">
        <v>528</v>
      </c>
      <c r="C302" s="7">
        <v>5</v>
      </c>
      <c r="D302" s="7">
        <v>5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21"/>
    </row>
    <row r="303" spans="1:59" ht="15.75">
      <c r="A303" s="5" t="s">
        <v>529</v>
      </c>
      <c r="B303" s="5" t="s">
        <v>530</v>
      </c>
      <c r="C303" s="7">
        <v>5</v>
      </c>
      <c r="D303" s="7">
        <v>5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21"/>
    </row>
    <row r="304" spans="1:59" ht="15.75">
      <c r="A304" s="5" t="s">
        <v>531</v>
      </c>
      <c r="B304" s="5" t="s">
        <v>532</v>
      </c>
      <c r="C304" s="7">
        <v>5</v>
      </c>
      <c r="D304" s="7">
        <v>5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21"/>
    </row>
    <row r="305" spans="1:59" ht="15.75">
      <c r="A305" s="5" t="s">
        <v>533</v>
      </c>
      <c r="B305" s="5" t="s">
        <v>534</v>
      </c>
      <c r="C305" s="7">
        <v>5</v>
      </c>
      <c r="D305" s="7">
        <v>5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21"/>
    </row>
    <row r="306" spans="1:59" ht="15.75">
      <c r="A306" s="5" t="s">
        <v>535</v>
      </c>
      <c r="B306" s="5" t="s">
        <v>536</v>
      </c>
      <c r="C306" s="7">
        <v>5</v>
      </c>
      <c r="D306" s="7">
        <v>5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21"/>
    </row>
    <row r="307" spans="1:59" ht="15.75">
      <c r="A307" s="5" t="s">
        <v>537</v>
      </c>
      <c r="B307" s="5" t="s">
        <v>538</v>
      </c>
      <c r="C307" s="7">
        <v>5</v>
      </c>
      <c r="D307" s="7">
        <v>5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21"/>
    </row>
    <row r="308" spans="1:59" ht="15.75">
      <c r="A308" s="5" t="s">
        <v>539</v>
      </c>
      <c r="B308" s="5" t="s">
        <v>540</v>
      </c>
      <c r="C308" s="7">
        <v>5</v>
      </c>
      <c r="D308" s="7">
        <v>5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21"/>
    </row>
    <row r="309" spans="1:59" ht="15.75">
      <c r="A309" s="5" t="s">
        <v>541</v>
      </c>
      <c r="B309" s="5" t="s">
        <v>542</v>
      </c>
      <c r="C309" s="7">
        <v>5</v>
      </c>
      <c r="D309" s="7">
        <v>5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21"/>
    </row>
    <row r="310" spans="1:59" ht="15.75">
      <c r="A310" s="5" t="s">
        <v>543</v>
      </c>
      <c r="B310" s="5" t="s">
        <v>544</v>
      </c>
      <c r="C310" s="7">
        <v>5</v>
      </c>
      <c r="D310" s="7">
        <v>5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21"/>
    </row>
    <row r="311" spans="1:59" ht="15.75">
      <c r="A311" s="5" t="s">
        <v>545</v>
      </c>
      <c r="B311" s="5" t="s">
        <v>546</v>
      </c>
      <c r="C311" s="7">
        <v>5</v>
      </c>
      <c r="D311" s="7">
        <v>5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21"/>
    </row>
    <row r="312" spans="1:59" ht="15.75">
      <c r="A312" s="5" t="s">
        <v>547</v>
      </c>
      <c r="B312" s="5" t="s">
        <v>548</v>
      </c>
      <c r="C312" s="7">
        <v>5</v>
      </c>
      <c r="D312" s="7">
        <v>5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21"/>
    </row>
    <row r="313" spans="1:59" ht="15.75">
      <c r="A313" s="5" t="s">
        <v>549</v>
      </c>
      <c r="B313" s="5" t="s">
        <v>550</v>
      </c>
      <c r="C313" s="7">
        <v>5</v>
      </c>
      <c r="D313" s="7">
        <v>5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21"/>
    </row>
    <row r="314" spans="1:59" ht="15.75">
      <c r="A314" s="5" t="s">
        <v>551</v>
      </c>
      <c r="B314" s="5" t="s">
        <v>552</v>
      </c>
      <c r="C314" s="7">
        <v>5</v>
      </c>
      <c r="D314" s="7">
        <v>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21"/>
    </row>
    <row r="315" spans="1:59" ht="15.75">
      <c r="A315" s="5" t="s">
        <v>553</v>
      </c>
      <c r="B315" s="5" t="s">
        <v>554</v>
      </c>
      <c r="C315" s="7">
        <v>5</v>
      </c>
      <c r="D315" s="7">
        <v>5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21"/>
    </row>
    <row r="316" spans="1:59" ht="15.75">
      <c r="A316" s="5" t="s">
        <v>555</v>
      </c>
      <c r="B316" s="5" t="s">
        <v>556</v>
      </c>
      <c r="C316" s="7">
        <v>5</v>
      </c>
      <c r="D316" s="7">
        <v>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21"/>
    </row>
    <row r="317" spans="1:59" ht="15.75">
      <c r="A317" s="5" t="s">
        <v>557</v>
      </c>
      <c r="B317" s="5" t="s">
        <v>558</v>
      </c>
      <c r="C317" s="7">
        <v>5</v>
      </c>
      <c r="D317" s="7">
        <v>5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21"/>
    </row>
    <row r="318" spans="1:59" ht="15.75">
      <c r="A318" s="5" t="s">
        <v>559</v>
      </c>
      <c r="B318" s="5" t="s">
        <v>560</v>
      </c>
      <c r="C318" s="7">
        <v>5</v>
      </c>
      <c r="D318" s="7">
        <v>5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21"/>
    </row>
    <row r="319" spans="1:59" ht="15.75">
      <c r="A319" s="5" t="s">
        <v>561</v>
      </c>
      <c r="B319" s="5" t="s">
        <v>562</v>
      </c>
      <c r="C319" s="7">
        <v>5</v>
      </c>
      <c r="D319" s="7">
        <v>5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21"/>
    </row>
    <row r="320" spans="1:59" ht="15.75">
      <c r="A320" s="5" t="s">
        <v>563</v>
      </c>
      <c r="B320" s="5" t="s">
        <v>564</v>
      </c>
      <c r="C320" s="7">
        <v>5</v>
      </c>
      <c r="D320" s="7">
        <v>5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21"/>
    </row>
    <row r="321" spans="1:59" ht="15.75">
      <c r="A321" s="5" t="s">
        <v>565</v>
      </c>
      <c r="B321" s="5" t="s">
        <v>566</v>
      </c>
      <c r="C321" s="7">
        <v>5</v>
      </c>
      <c r="D321" s="7">
        <v>5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21"/>
    </row>
    <row r="322" spans="1:59" ht="15.75">
      <c r="A322" s="5" t="s">
        <v>567</v>
      </c>
      <c r="B322" s="5" t="s">
        <v>568</v>
      </c>
      <c r="C322" s="7">
        <v>5</v>
      </c>
      <c r="D322" s="7">
        <v>5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21"/>
    </row>
    <row r="323" spans="1:59" ht="15.75">
      <c r="A323" s="5" t="s">
        <v>569</v>
      </c>
      <c r="B323" s="5" t="s">
        <v>570</v>
      </c>
      <c r="C323" s="7">
        <v>5</v>
      </c>
      <c r="D323" s="7">
        <v>5</v>
      </c>
      <c r="E323" s="7">
        <v>0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21"/>
    </row>
    <row r="324" spans="1:59" ht="15.75">
      <c r="A324" s="5" t="s">
        <v>571</v>
      </c>
      <c r="B324" s="5" t="s">
        <v>572</v>
      </c>
      <c r="C324" s="7">
        <v>5</v>
      </c>
      <c r="D324" s="7">
        <v>5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21"/>
    </row>
    <row r="325" spans="1:59" ht="15.75">
      <c r="A325" s="5" t="s">
        <v>573</v>
      </c>
      <c r="B325" s="5" t="s">
        <v>574</v>
      </c>
      <c r="C325" s="7">
        <v>5</v>
      </c>
      <c r="D325" s="7">
        <v>5</v>
      </c>
      <c r="E325" s="7">
        <v>0</v>
      </c>
      <c r="F325" s="7">
        <v>0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21"/>
    </row>
    <row r="326" spans="1:59" ht="15.75">
      <c r="A326" s="5" t="s">
        <v>575</v>
      </c>
      <c r="B326" s="5" t="s">
        <v>576</v>
      </c>
      <c r="C326" s="7">
        <v>6</v>
      </c>
      <c r="D326" s="7">
        <v>6</v>
      </c>
      <c r="E326" s="7">
        <v>71.510999999999996</v>
      </c>
      <c r="F326" s="7">
        <v>0</v>
      </c>
      <c r="G326" s="7">
        <v>0</v>
      </c>
      <c r="H326" s="7">
        <v>0</v>
      </c>
      <c r="I326" s="7">
        <v>100.851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10627.398999999999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21"/>
    </row>
    <row r="327" spans="1:59" ht="15.75">
      <c r="A327" s="5" t="s">
        <v>577</v>
      </c>
      <c r="B327" s="5" t="s">
        <v>578</v>
      </c>
      <c r="C327" s="7">
        <v>6</v>
      </c>
      <c r="D327" s="7">
        <v>6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21"/>
    </row>
    <row r="328" spans="1:59" ht="15.75">
      <c r="A328" s="5" t="s">
        <v>579</v>
      </c>
      <c r="B328" s="5" t="s">
        <v>580</v>
      </c>
      <c r="C328" s="7">
        <v>6</v>
      </c>
      <c r="D328" s="7">
        <v>6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21"/>
    </row>
    <row r="329" spans="1:59" ht="15.75">
      <c r="A329" s="5" t="s">
        <v>581</v>
      </c>
      <c r="B329" s="5" t="s">
        <v>582</v>
      </c>
      <c r="C329" s="7">
        <v>6</v>
      </c>
      <c r="D329" s="7">
        <v>6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21"/>
    </row>
    <row r="330" spans="1:59" ht="15.75">
      <c r="A330" s="5" t="s">
        <v>583</v>
      </c>
      <c r="B330" s="5" t="s">
        <v>584</v>
      </c>
      <c r="C330" s="7">
        <v>6</v>
      </c>
      <c r="D330" s="7">
        <v>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21"/>
    </row>
    <row r="331" spans="1:59" ht="15.75">
      <c r="A331" s="5" t="s">
        <v>585</v>
      </c>
      <c r="B331" s="5" t="s">
        <v>586</v>
      </c>
      <c r="C331" s="7">
        <v>6</v>
      </c>
      <c r="D331" s="7">
        <v>6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21"/>
    </row>
    <row r="332" spans="1:59" ht="15.75">
      <c r="A332" s="5" t="s">
        <v>587</v>
      </c>
      <c r="B332" s="5" t="s">
        <v>588</v>
      </c>
      <c r="C332" s="7">
        <v>6</v>
      </c>
      <c r="D332" s="7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21"/>
    </row>
    <row r="333" spans="1:59" ht="15.75">
      <c r="A333" s="5" t="s">
        <v>589</v>
      </c>
      <c r="B333" s="5" t="s">
        <v>590</v>
      </c>
      <c r="C333" s="7">
        <v>6</v>
      </c>
      <c r="D333" s="7">
        <v>6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21"/>
    </row>
    <row r="334" spans="1:59" ht="15.75">
      <c r="A334" s="5" t="s">
        <v>591</v>
      </c>
      <c r="B334" s="5" t="s">
        <v>592</v>
      </c>
      <c r="C334" s="7">
        <v>6</v>
      </c>
      <c r="D334" s="7">
        <v>6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21"/>
    </row>
    <row r="335" spans="1:59" ht="15.75">
      <c r="A335" s="5" t="s">
        <v>593</v>
      </c>
      <c r="B335" s="5" t="s">
        <v>594</v>
      </c>
      <c r="C335" s="7">
        <v>6</v>
      </c>
      <c r="D335" s="7">
        <v>6</v>
      </c>
      <c r="E335" s="7">
        <v>0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AZ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21"/>
    </row>
    <row r="336" spans="1:59" ht="15.75">
      <c r="A336" s="5" t="s">
        <v>595</v>
      </c>
      <c r="B336" s="5" t="s">
        <v>596</v>
      </c>
      <c r="C336" s="7">
        <v>6</v>
      </c>
      <c r="D336" s="7">
        <v>6</v>
      </c>
      <c r="E336" s="7">
        <v>9261.8649999999998</v>
      </c>
      <c r="F336" s="7">
        <v>2127.114</v>
      </c>
      <c r="G336" s="7">
        <v>2861.7220000000002</v>
      </c>
      <c r="H336" s="7">
        <v>2566.7550000000001</v>
      </c>
      <c r="I336" s="7">
        <v>339.416</v>
      </c>
      <c r="J336" s="7">
        <v>2453.741</v>
      </c>
      <c r="K336" s="7">
        <v>6387.107</v>
      </c>
      <c r="L336" s="7">
        <v>1983.0650000000001</v>
      </c>
      <c r="M336" s="7">
        <v>0</v>
      </c>
      <c r="N336" s="7">
        <v>5188.9070000000002</v>
      </c>
      <c r="O336" s="7">
        <v>11724.25</v>
      </c>
      <c r="P336" s="7">
        <v>5009.5690000000004</v>
      </c>
      <c r="Q336" s="7">
        <v>2.7509999999999999</v>
      </c>
      <c r="R336" s="7">
        <v>0.218</v>
      </c>
      <c r="S336" s="7">
        <v>28.384</v>
      </c>
      <c r="T336" s="7">
        <v>12.334</v>
      </c>
      <c r="U336" s="7">
        <v>100.41800000000001</v>
      </c>
      <c r="V336" s="7">
        <v>510.65300000000002</v>
      </c>
      <c r="W336" s="7">
        <v>0</v>
      </c>
      <c r="X336" s="7">
        <v>259.51499999999999</v>
      </c>
      <c r="Y336" s="7">
        <v>4.5289999999999999</v>
      </c>
      <c r="Z336" s="7">
        <v>233.297</v>
      </c>
      <c r="AA336" s="7">
        <v>586.46400000000006</v>
      </c>
      <c r="AB336" s="7">
        <v>42.951999999999998</v>
      </c>
      <c r="AC336" s="7">
        <v>14167.013999999999</v>
      </c>
      <c r="AD336" s="7">
        <v>0</v>
      </c>
      <c r="AE336" s="7">
        <v>1882.835</v>
      </c>
      <c r="AF336" s="7">
        <v>14.388</v>
      </c>
      <c r="AG336" s="7">
        <v>314.02499999999998</v>
      </c>
      <c r="AH336" s="7">
        <v>1.5840000000000001</v>
      </c>
      <c r="AI336" s="7">
        <v>7258.3450000000003</v>
      </c>
      <c r="AJ336" s="7">
        <v>1506.0229999999999</v>
      </c>
      <c r="AK336" s="7">
        <v>34.204999999999998</v>
      </c>
      <c r="AL336" s="7">
        <v>24501.735000000001</v>
      </c>
      <c r="AM336" s="7">
        <v>1326.453</v>
      </c>
      <c r="AN336" s="7">
        <v>364.35700000000003</v>
      </c>
      <c r="AO336" s="7">
        <v>0</v>
      </c>
      <c r="AP336" s="7">
        <v>450.92599999999999</v>
      </c>
      <c r="AQ336" s="7">
        <v>257.76400000000001</v>
      </c>
      <c r="AR336" s="7">
        <v>0</v>
      </c>
      <c r="AS336" s="7">
        <v>0</v>
      </c>
      <c r="AT336" s="7">
        <v>0</v>
      </c>
      <c r="AU336" s="7">
        <v>23.033999999999999</v>
      </c>
      <c r="AV336" s="7">
        <v>32.802</v>
      </c>
      <c r="AW336" s="7">
        <v>14.766999999999999</v>
      </c>
      <c r="AX336" s="7">
        <v>409.54</v>
      </c>
      <c r="AY336" s="7">
        <v>3.7040000000000002</v>
      </c>
      <c r="AZ336" s="7">
        <v>4.9059999999999997</v>
      </c>
      <c r="BA336" s="7">
        <v>0</v>
      </c>
      <c r="BB336" s="7">
        <v>120.81699999999999</v>
      </c>
      <c r="BC336" s="7">
        <v>13.507999999999999</v>
      </c>
      <c r="BD336" s="7">
        <v>36.774999999999999</v>
      </c>
      <c r="BE336" s="7">
        <v>214.63399999999999</v>
      </c>
      <c r="BF336" s="7">
        <v>3.0920000000000001</v>
      </c>
      <c r="BG336" s="21"/>
    </row>
    <row r="337" spans="1:59" ht="15.75">
      <c r="A337" s="5" t="s">
        <v>597</v>
      </c>
      <c r="B337" s="5" t="s">
        <v>598</v>
      </c>
      <c r="C337" s="7">
        <v>6</v>
      </c>
      <c r="D337" s="7">
        <v>6</v>
      </c>
      <c r="E337" s="7">
        <v>-9089.7009999999991</v>
      </c>
      <c r="F337" s="7">
        <v>-2235.5439999999999</v>
      </c>
      <c r="G337" s="7">
        <v>-1225.8119999999999</v>
      </c>
      <c r="H337" s="7">
        <v>-7255.6930000000002</v>
      </c>
      <c r="I337" s="7">
        <v>-380.61799999999999</v>
      </c>
      <c r="J337" s="7">
        <v>-1034.6669999999999</v>
      </c>
      <c r="K337" s="7">
        <v>-11736.812</v>
      </c>
      <c r="L337" s="7">
        <v>-1363.99</v>
      </c>
      <c r="M337" s="7">
        <v>-145.11699999999999</v>
      </c>
      <c r="N337" s="7">
        <v>-4170.201</v>
      </c>
      <c r="O337" s="7">
        <v>-21163.916000000001</v>
      </c>
      <c r="P337" s="7">
        <v>-3436.0419999999999</v>
      </c>
      <c r="Q337" s="7">
        <v>-6.306</v>
      </c>
      <c r="R337" s="7">
        <v>-11.398</v>
      </c>
      <c r="S337" s="7">
        <v>-82.028000000000006</v>
      </c>
      <c r="T337" s="7">
        <v>-11.23</v>
      </c>
      <c r="U337" s="7">
        <v>-147.40100000000001</v>
      </c>
      <c r="V337" s="7">
        <v>-46.881</v>
      </c>
      <c r="W337" s="7">
        <v>-1.7230000000000001</v>
      </c>
      <c r="X337" s="7">
        <v>-78.141000000000005</v>
      </c>
      <c r="Y337" s="7">
        <v>-102.803</v>
      </c>
      <c r="Z337" s="7">
        <v>-309.51499999999999</v>
      </c>
      <c r="AA337" s="7">
        <v>-952.23900000000003</v>
      </c>
      <c r="AB337" s="7">
        <v>-652.57299999999998</v>
      </c>
      <c r="AC337" s="7">
        <v>-2187.5369999999998</v>
      </c>
      <c r="AD337" s="7">
        <v>-324.53399999999999</v>
      </c>
      <c r="AE337" s="7">
        <v>-340.69900000000001</v>
      </c>
      <c r="AF337" s="7">
        <v>-2.145</v>
      </c>
      <c r="AG337" s="7">
        <v>-59.978999999999999</v>
      </c>
      <c r="AH337" s="7">
        <v>-0.36199999999999999</v>
      </c>
      <c r="AI337" s="7">
        <v>-6860.0690000000004</v>
      </c>
      <c r="AJ337" s="7">
        <v>-494.89699999999999</v>
      </c>
      <c r="AK337" s="7">
        <v>-158.524</v>
      </c>
      <c r="AL337" s="7">
        <v>-23789.813999999998</v>
      </c>
      <c r="AM337" s="7">
        <v>-1588.9259999999999</v>
      </c>
      <c r="AN337" s="7">
        <v>-320.92200000000003</v>
      </c>
      <c r="AO337" s="7">
        <v>-9563.6679999999997</v>
      </c>
      <c r="AP337" s="7">
        <v>-169.70400000000001</v>
      </c>
      <c r="AQ337" s="7">
        <v>-160.154</v>
      </c>
      <c r="AR337" s="7">
        <v>-3197.0010000000002</v>
      </c>
      <c r="AS337" s="7">
        <v>-1078.3330000000001</v>
      </c>
      <c r="AT337" s="7">
        <v>-9912.4459999999999</v>
      </c>
      <c r="AU337" s="7">
        <v>-4.782</v>
      </c>
      <c r="AV337" s="7">
        <v>-20.672000000000001</v>
      </c>
      <c r="AW337" s="7">
        <v>-20.181000000000001</v>
      </c>
      <c r="AX337" s="7">
        <v>-150.86199999999999</v>
      </c>
      <c r="AY337" s="7">
        <v>-84.747</v>
      </c>
      <c r="AZ337" s="7">
        <v>-3.6909999999999998</v>
      </c>
      <c r="BA337" s="7">
        <v>0</v>
      </c>
      <c r="BB337" s="7">
        <v>-26.492999999999999</v>
      </c>
      <c r="BC337" s="7">
        <v>-0.21299999999999999</v>
      </c>
      <c r="BD337" s="7">
        <v>-36.981999999999999</v>
      </c>
      <c r="BE337" s="7">
        <v>-199.38399999999999</v>
      </c>
      <c r="BF337" s="7">
        <v>-21.006</v>
      </c>
      <c r="BG337" s="21"/>
    </row>
    <row r="338" spans="1:59" ht="15.75">
      <c r="A338" s="5" t="s">
        <v>599</v>
      </c>
      <c r="B338" s="5" t="s">
        <v>600</v>
      </c>
      <c r="C338" s="7">
        <v>6</v>
      </c>
      <c r="D338" s="7">
        <v>6</v>
      </c>
      <c r="E338" s="7">
        <v>-804.10900000000004</v>
      </c>
      <c r="F338" s="7">
        <v>-669.97900000000004</v>
      </c>
      <c r="G338" s="7">
        <v>-115.876</v>
      </c>
      <c r="H338" s="7">
        <v>0</v>
      </c>
      <c r="I338" s="7">
        <v>-58.116999999999997</v>
      </c>
      <c r="J338" s="7">
        <v>-22.616</v>
      </c>
      <c r="K338" s="7">
        <v>-183.89</v>
      </c>
      <c r="L338" s="7">
        <v>-86.238</v>
      </c>
      <c r="M338" s="7">
        <v>-10.37</v>
      </c>
      <c r="N338" s="7">
        <v>-326.28800000000001</v>
      </c>
      <c r="O338" s="7">
        <v>-2207.75</v>
      </c>
      <c r="P338" s="7">
        <v>-53.204000000000001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-17.122</v>
      </c>
      <c r="Y338" s="7">
        <v>-9.9710000000000001</v>
      </c>
      <c r="Z338" s="7">
        <v>-7.2439999999999998</v>
      </c>
      <c r="AA338" s="7">
        <v>-10.981</v>
      </c>
      <c r="AB338" s="7">
        <v>-30.658999999999999</v>
      </c>
      <c r="AC338" s="7">
        <v>-171.59100000000001</v>
      </c>
      <c r="AD338" s="7">
        <v>-4.2510000000000003</v>
      </c>
      <c r="AE338" s="7">
        <v>-0.182</v>
      </c>
      <c r="AF338" s="7">
        <v>-21.74</v>
      </c>
      <c r="AG338" s="7">
        <v>-8.0559999999999992</v>
      </c>
      <c r="AH338" s="7">
        <v>-1.607</v>
      </c>
      <c r="AI338" s="7">
        <v>-602.32799999999997</v>
      </c>
      <c r="AJ338" s="7">
        <v>-95.266000000000005</v>
      </c>
      <c r="AK338" s="7">
        <v>-1.7050000000000001</v>
      </c>
      <c r="AL338" s="7">
        <v>-1323.4169999999999</v>
      </c>
      <c r="AM338" s="7">
        <v>-75.905000000000001</v>
      </c>
      <c r="AN338" s="7">
        <v>-36.773000000000003</v>
      </c>
      <c r="AO338" s="7">
        <v>-602.38499999999999</v>
      </c>
      <c r="AP338" s="7">
        <v>-28.846</v>
      </c>
      <c r="AQ338" s="7">
        <v>-61.420999999999999</v>
      </c>
      <c r="AR338" s="7">
        <v>-759.73</v>
      </c>
      <c r="AS338" s="7">
        <v>-24.216999999999999</v>
      </c>
      <c r="AT338" s="7">
        <v>-1026.26</v>
      </c>
      <c r="AU338" s="7">
        <v>-19.401</v>
      </c>
      <c r="AV338" s="7">
        <v>-1.1220000000000001</v>
      </c>
      <c r="AW338" s="7">
        <v>-36.262999999999998</v>
      </c>
      <c r="AX338" s="7">
        <v>-42.052999999999997</v>
      </c>
      <c r="AY338" s="7">
        <v>-5.6420000000000003</v>
      </c>
      <c r="AZ338" s="7">
        <v>0</v>
      </c>
      <c r="BA338" s="7">
        <v>0</v>
      </c>
      <c r="BB338" s="7">
        <v>0</v>
      </c>
      <c r="BC338" s="7">
        <v>-9.8019999999999996</v>
      </c>
      <c r="BD338" s="7">
        <v>-32.186</v>
      </c>
      <c r="BE338" s="7">
        <v>-4.8579999999999997</v>
      </c>
      <c r="BF338" s="7">
        <v>-8.9999999999999993E-3</v>
      </c>
      <c r="BG338" s="21"/>
    </row>
    <row r="339" spans="1:59" ht="15.75">
      <c r="A339" s="5" t="s">
        <v>601</v>
      </c>
      <c r="B339" s="5" t="s">
        <v>602</v>
      </c>
      <c r="C339" s="7">
        <v>6</v>
      </c>
      <c r="D339" s="7">
        <v>6</v>
      </c>
      <c r="E339" s="7">
        <v>0</v>
      </c>
      <c r="F339" s="7">
        <v>0</v>
      </c>
      <c r="G339" s="7">
        <v>0</v>
      </c>
      <c r="H339" s="7">
        <v>13.4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F339" s="7">
        <v>0</v>
      </c>
      <c r="BG339" s="21"/>
    </row>
    <row r="340" spans="1:59" ht="15.75">
      <c r="A340" s="5" t="s">
        <v>603</v>
      </c>
      <c r="B340" s="5" t="s">
        <v>604</v>
      </c>
      <c r="C340" s="7">
        <v>6</v>
      </c>
      <c r="D340" s="7">
        <v>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 s="21"/>
    </row>
    <row r="341" spans="1:59" ht="15.75">
      <c r="A341" s="5" t="s">
        <v>605</v>
      </c>
      <c r="B341" s="5" t="s">
        <v>606</v>
      </c>
      <c r="C341" s="5"/>
      <c r="D341" s="5"/>
      <c r="E341">
        <v>5490439.4570000004</v>
      </c>
      <c r="F341">
        <v>895965.75899999996</v>
      </c>
      <c r="G341">
        <v>1028207.7610000001</v>
      </c>
      <c r="H341">
        <v>1078993.7180000001</v>
      </c>
      <c r="I341">
        <v>142762.28599999999</v>
      </c>
      <c r="J341">
        <v>712466.65300000005</v>
      </c>
      <c r="K341">
        <v>4256395.9239999996</v>
      </c>
      <c r="L341">
        <v>851146.54399999999</v>
      </c>
      <c r="M341">
        <v>297722.28700000001</v>
      </c>
      <c r="N341">
        <v>2333689.7689999999</v>
      </c>
      <c r="O341">
        <v>8635578.5030000005</v>
      </c>
      <c r="P341">
        <v>2406927.6710000001</v>
      </c>
      <c r="Q341">
        <v>16069.439</v>
      </c>
      <c r="R341">
        <v>6459.5389999999998</v>
      </c>
      <c r="S341">
        <v>20904.421999999999</v>
      </c>
      <c r="T341">
        <v>11479.958000000001</v>
      </c>
      <c r="U341">
        <v>21103.822</v>
      </c>
      <c r="V341">
        <v>272074.95699999999</v>
      </c>
      <c r="W341">
        <v>2686.4340000000002</v>
      </c>
      <c r="X341">
        <v>144109.91500000001</v>
      </c>
      <c r="Y341">
        <v>219030.99400000001</v>
      </c>
      <c r="Z341">
        <v>82746.402000000002</v>
      </c>
      <c r="AA341">
        <v>222683.11799999999</v>
      </c>
      <c r="AB341">
        <v>201075.228</v>
      </c>
      <c r="AC341">
        <v>1639313.0870000001</v>
      </c>
      <c r="AD341">
        <v>112723.47500000001</v>
      </c>
      <c r="AE341">
        <v>851089.83900000004</v>
      </c>
      <c r="AF341">
        <v>221264.454</v>
      </c>
      <c r="AG341">
        <v>146345.511</v>
      </c>
      <c r="AH341">
        <v>51496.98</v>
      </c>
      <c r="AI341">
        <v>4295861.8779999996</v>
      </c>
      <c r="AJ341">
        <v>949560.37100000004</v>
      </c>
      <c r="AK341">
        <v>215424.29699999999</v>
      </c>
      <c r="AL341">
        <v>13480555.835999999</v>
      </c>
      <c r="AM341">
        <v>1807773.0209999999</v>
      </c>
      <c r="AN341">
        <v>643639.65099999995</v>
      </c>
      <c r="AO341">
        <v>8950852.4450000003</v>
      </c>
      <c r="AP341">
        <v>346673.37800000003</v>
      </c>
      <c r="AQ341">
        <v>222130.777</v>
      </c>
      <c r="AR341">
        <v>5381165.335</v>
      </c>
      <c r="AS341">
        <v>38356.534</v>
      </c>
      <c r="AT341">
        <v>2920798.5649999999</v>
      </c>
      <c r="AU341">
        <v>14285.374</v>
      </c>
      <c r="AV341">
        <v>41536.498</v>
      </c>
      <c r="AW341">
        <v>41001.421000000002</v>
      </c>
      <c r="AX341">
        <v>281700.59899999999</v>
      </c>
      <c r="AY341">
        <v>18560.115000000002</v>
      </c>
      <c r="AZ341">
        <v>3273.4070000000002</v>
      </c>
      <c r="BA341">
        <v>0</v>
      </c>
      <c r="BB341">
        <v>75018.436000000002</v>
      </c>
      <c r="BC341">
        <v>67611.857000000004</v>
      </c>
      <c r="BD341">
        <v>63273.421999999999</v>
      </c>
      <c r="BE341">
        <v>407798.24800000002</v>
      </c>
      <c r="BF341">
        <v>49696.165000000001</v>
      </c>
      <c r="BG341" s="21"/>
    </row>
    <row r="342" spans="1:59">
      <c r="BG342" s="21"/>
    </row>
    <row r="343" spans="1:59" ht="15.75">
      <c r="A343" s="5" t="s">
        <v>607</v>
      </c>
      <c r="E343">
        <f t="shared" ref="E343:BF343" si="0">SUM(E8:E340)-E341</f>
        <v>0</v>
      </c>
      <c r="F343">
        <f t="shared" si="0"/>
        <v>0</v>
      </c>
      <c r="G343">
        <f t="shared" si="0"/>
        <v>0</v>
      </c>
      <c r="H343">
        <f t="shared" si="0"/>
        <v>0</v>
      </c>
      <c r="I343">
        <f t="shared" si="0"/>
        <v>0</v>
      </c>
      <c r="J343">
        <f t="shared" si="0"/>
        <v>0</v>
      </c>
      <c r="K343">
        <f t="shared" si="0"/>
        <v>0</v>
      </c>
      <c r="L343">
        <f t="shared" si="0"/>
        <v>0</v>
      </c>
      <c r="M343">
        <f t="shared" si="0"/>
        <v>0</v>
      </c>
      <c r="N343">
        <f t="shared" si="0"/>
        <v>0</v>
      </c>
      <c r="O343">
        <f t="shared" si="0"/>
        <v>0</v>
      </c>
      <c r="P343">
        <f t="shared" si="0"/>
        <v>0</v>
      </c>
      <c r="Q343">
        <f t="shared" si="0"/>
        <v>0</v>
      </c>
      <c r="R343">
        <f t="shared" si="0"/>
        <v>0</v>
      </c>
      <c r="S343">
        <f t="shared" si="0"/>
        <v>0</v>
      </c>
      <c r="T343">
        <f t="shared" si="0"/>
        <v>0</v>
      </c>
      <c r="U343">
        <f t="shared" si="0"/>
        <v>0</v>
      </c>
      <c r="V343">
        <f t="shared" si="0"/>
        <v>0</v>
      </c>
      <c r="W343">
        <f t="shared" si="0"/>
        <v>0</v>
      </c>
      <c r="X343">
        <f t="shared" si="0"/>
        <v>0</v>
      </c>
      <c r="Y343">
        <f t="shared" si="0"/>
        <v>0</v>
      </c>
      <c r="Z343">
        <f t="shared" si="0"/>
        <v>0</v>
      </c>
      <c r="AA343">
        <f t="shared" si="0"/>
        <v>0</v>
      </c>
      <c r="AB343">
        <f t="shared" si="0"/>
        <v>0</v>
      </c>
      <c r="AC343">
        <f t="shared" si="0"/>
        <v>0</v>
      </c>
      <c r="AD343">
        <f t="shared" si="0"/>
        <v>0</v>
      </c>
      <c r="AE343">
        <f t="shared" si="0"/>
        <v>0</v>
      </c>
      <c r="AF343">
        <f t="shared" si="0"/>
        <v>0</v>
      </c>
      <c r="AG343">
        <f t="shared" si="0"/>
        <v>0</v>
      </c>
      <c r="AH343">
        <f t="shared" si="0"/>
        <v>0</v>
      </c>
      <c r="AI343">
        <f t="shared" si="0"/>
        <v>0</v>
      </c>
      <c r="AJ343">
        <f t="shared" si="0"/>
        <v>0</v>
      </c>
      <c r="AK343">
        <f t="shared" si="0"/>
        <v>0</v>
      </c>
      <c r="AL343">
        <f t="shared" si="0"/>
        <v>0</v>
      </c>
      <c r="AM343">
        <f t="shared" si="0"/>
        <v>0</v>
      </c>
      <c r="AN343">
        <f t="shared" si="0"/>
        <v>0</v>
      </c>
      <c r="AO343">
        <f t="shared" si="0"/>
        <v>0</v>
      </c>
      <c r="AP343">
        <f t="shared" si="0"/>
        <v>0</v>
      </c>
      <c r="AQ343">
        <f t="shared" si="0"/>
        <v>0</v>
      </c>
      <c r="AR343">
        <f t="shared" si="0"/>
        <v>0</v>
      </c>
      <c r="AS343">
        <f>SUM(AS8:AS340)-AS341</f>
        <v>0</v>
      </c>
      <c r="AT343">
        <f>SUM(AT8:AT340)-AT341</f>
        <v>0</v>
      </c>
      <c r="AU343">
        <f>SUM(AU8:AU340)-AU341</f>
        <v>0</v>
      </c>
      <c r="AV343">
        <f>SUM(AV8:AV340)-AV341</f>
        <v>0</v>
      </c>
      <c r="AW343">
        <f t="shared" si="0"/>
        <v>0</v>
      </c>
      <c r="AX343">
        <f t="shared" si="0"/>
        <v>0</v>
      </c>
      <c r="AY343">
        <f t="shared" si="0"/>
        <v>0</v>
      </c>
      <c r="AZ343">
        <f t="shared" si="0"/>
        <v>0</v>
      </c>
      <c r="BA343">
        <f t="shared" si="0"/>
        <v>0</v>
      </c>
      <c r="BB343">
        <f t="shared" si="0"/>
        <v>0</v>
      </c>
      <c r="BC343">
        <f t="shared" si="0"/>
        <v>0</v>
      </c>
      <c r="BD343">
        <f t="shared" si="0"/>
        <v>0</v>
      </c>
      <c r="BE343">
        <f t="shared" si="0"/>
        <v>0</v>
      </c>
      <c r="BF343">
        <f t="shared" si="0"/>
        <v>0</v>
      </c>
      <c r="BG343" s="21"/>
    </row>
    <row r="344" spans="1:59">
      <c r="BG344" s="21"/>
    </row>
    <row r="345" spans="1:59">
      <c r="A345" t="s">
        <v>608</v>
      </c>
      <c r="D345">
        <v>1</v>
      </c>
      <c r="E345" s="16">
        <f t="shared" ref="E345:BF345" si="1">SUMIF($D$7:$D$339,$D$345,E7:E339)</f>
        <v>572858.71199999994</v>
      </c>
      <c r="F345" s="16">
        <f t="shared" si="1"/>
        <v>161485.62700000001</v>
      </c>
      <c r="G345" s="16">
        <f t="shared" si="1"/>
        <v>24711.803</v>
      </c>
      <c r="H345" s="16">
        <f t="shared" si="1"/>
        <v>21270.89</v>
      </c>
      <c r="I345" s="16">
        <f t="shared" si="1"/>
        <v>11414.300999999999</v>
      </c>
      <c r="J345" s="16">
        <f t="shared" si="1"/>
        <v>17930.120999999999</v>
      </c>
      <c r="K345" s="16">
        <f t="shared" si="1"/>
        <v>615595.06599999988</v>
      </c>
      <c r="L345" s="16">
        <f t="shared" si="1"/>
        <v>77787.019</v>
      </c>
      <c r="M345" s="16">
        <f t="shared" si="1"/>
        <v>8009.1419999999998</v>
      </c>
      <c r="N345" s="16">
        <f t="shared" si="1"/>
        <v>119256.152</v>
      </c>
      <c r="O345" s="16">
        <f t="shared" si="1"/>
        <v>1745799.34</v>
      </c>
      <c r="P345" s="16">
        <f t="shared" si="1"/>
        <v>136931.03400000001</v>
      </c>
      <c r="Q345" s="16">
        <f>SUMIF($D$7:$D$339,$D$345,Q7:Q339)</f>
        <v>341.79699999999997</v>
      </c>
      <c r="R345" s="16">
        <f t="shared" si="1"/>
        <v>4055.2150000000001</v>
      </c>
      <c r="S345" s="16">
        <f t="shared" si="1"/>
        <v>742.59</v>
      </c>
      <c r="T345" s="16">
        <f t="shared" si="1"/>
        <v>4347.5650000000005</v>
      </c>
      <c r="U345" s="16">
        <f t="shared" si="1"/>
        <v>1477.9669999999999</v>
      </c>
      <c r="V345" s="16">
        <f t="shared" si="1"/>
        <v>50421.396000000001</v>
      </c>
      <c r="W345" s="16">
        <f t="shared" si="1"/>
        <v>176.202</v>
      </c>
      <c r="X345" s="16">
        <f t="shared" si="1"/>
        <v>75469.865999999995</v>
      </c>
      <c r="Y345" s="16">
        <f t="shared" si="1"/>
        <v>10312.666000000001</v>
      </c>
      <c r="Z345" s="16">
        <f t="shared" si="1"/>
        <v>6761.1720000000005</v>
      </c>
      <c r="AA345" s="16">
        <f t="shared" si="1"/>
        <v>15898.904000000002</v>
      </c>
      <c r="AB345" s="16">
        <f t="shared" si="1"/>
        <v>185111.40099999998</v>
      </c>
      <c r="AC345" s="16">
        <f t="shared" si="1"/>
        <v>297872.01799999998</v>
      </c>
      <c r="AD345" s="16">
        <f t="shared" si="1"/>
        <v>58520.715000000004</v>
      </c>
      <c r="AE345" s="16">
        <f t="shared" si="1"/>
        <v>64537.457000000009</v>
      </c>
      <c r="AF345" s="16">
        <f t="shared" si="1"/>
        <v>153694.69599999997</v>
      </c>
      <c r="AG345" s="16">
        <f t="shared" si="1"/>
        <v>27174.011000000002</v>
      </c>
      <c r="AH345" s="16">
        <f t="shared" si="1"/>
        <v>12764.478000000001</v>
      </c>
      <c r="AI345" s="16">
        <f t="shared" si="1"/>
        <v>767252.01399999997</v>
      </c>
      <c r="AJ345" s="16">
        <f t="shared" si="1"/>
        <v>340317.03299999994</v>
      </c>
      <c r="AK345" s="16">
        <f t="shared" si="1"/>
        <v>55809.437000000005</v>
      </c>
      <c r="AL345" s="16">
        <f t="shared" si="1"/>
        <v>2279271.3789999997</v>
      </c>
      <c r="AM345" s="16">
        <f t="shared" si="1"/>
        <v>617043.18799999985</v>
      </c>
      <c r="AN345" s="16">
        <f t="shared" si="1"/>
        <v>319336.91699999996</v>
      </c>
      <c r="AO345" s="16">
        <f t="shared" si="1"/>
        <v>6922751.2249999996</v>
      </c>
      <c r="AP345" s="16">
        <f t="shared" si="1"/>
        <v>153401.55100000001</v>
      </c>
      <c r="AQ345" s="16">
        <f t="shared" si="1"/>
        <v>69911.951000000001</v>
      </c>
      <c r="AR345" s="16">
        <f t="shared" si="1"/>
        <v>4158358.3340000003</v>
      </c>
      <c r="AS345" s="16">
        <f>SUMIF($D$7:$D$339,$D$345,AS7:AS339)</f>
        <v>1778.383</v>
      </c>
      <c r="AT345" s="16">
        <f>SUMIF($D$7:$D$339,$D$345,AT7:AT339)</f>
        <v>2264194.372</v>
      </c>
      <c r="AU345" s="16">
        <f>SUMIF($D$7:$D$339,$D$345,AU7:AU339)</f>
        <v>4601.0860000000002</v>
      </c>
      <c r="AV345" s="16">
        <f>SUMIF($D$7:$D$339,$D$345,AV7:AV339)</f>
        <v>17152.329000000002</v>
      </c>
      <c r="AW345" s="16">
        <f t="shared" si="1"/>
        <v>4059.7920000000004</v>
      </c>
      <c r="AX345" s="16">
        <f t="shared" si="1"/>
        <v>105178.29699999999</v>
      </c>
      <c r="AY345" s="16">
        <f t="shared" si="1"/>
        <v>1744.1580000000001</v>
      </c>
      <c r="AZ345" s="16">
        <f t="shared" si="1"/>
        <v>540.93500000000006</v>
      </c>
      <c r="BA345" s="16">
        <f t="shared" si="1"/>
        <v>0</v>
      </c>
      <c r="BB345" s="16">
        <f t="shared" si="1"/>
        <v>10861.407999999999</v>
      </c>
      <c r="BC345" s="16">
        <f t="shared" si="1"/>
        <v>6529.9659999999994</v>
      </c>
      <c r="BD345" s="16">
        <f t="shared" si="1"/>
        <v>6778.0950000000003</v>
      </c>
      <c r="BE345" s="16">
        <f t="shared" si="1"/>
        <v>136062.37</v>
      </c>
      <c r="BF345" s="16">
        <f t="shared" si="1"/>
        <v>48518.904999999999</v>
      </c>
      <c r="BG345" s="21"/>
    </row>
    <row r="346" spans="1:59">
      <c r="A346" t="s">
        <v>609</v>
      </c>
      <c r="D346">
        <v>2</v>
      </c>
      <c r="E346" s="16">
        <f t="shared" ref="E346:BF346" si="2">SUMIF($D$7:$D$339,$D$346,E7:E339)</f>
        <v>1320904.335</v>
      </c>
      <c r="F346" s="16">
        <f t="shared" si="2"/>
        <v>146691.33900000001</v>
      </c>
      <c r="G346" s="16">
        <f t="shared" si="2"/>
        <v>357317.32199999999</v>
      </c>
      <c r="H346" s="16">
        <f t="shared" si="2"/>
        <v>0</v>
      </c>
      <c r="I346" s="16">
        <f t="shared" si="2"/>
        <v>52536.314999999995</v>
      </c>
      <c r="J346" s="16">
        <f t="shared" si="2"/>
        <v>246084.39</v>
      </c>
      <c r="K346" s="16">
        <f t="shared" si="2"/>
        <v>696709.8600000001</v>
      </c>
      <c r="L346" s="16">
        <f t="shared" si="2"/>
        <v>164745.74200000003</v>
      </c>
      <c r="M346" s="16">
        <f t="shared" si="2"/>
        <v>219974.51199999999</v>
      </c>
      <c r="N346" s="16">
        <f t="shared" si="2"/>
        <v>567640.45500000007</v>
      </c>
      <c r="O346" s="16">
        <f t="shared" si="2"/>
        <v>533659.30099999998</v>
      </c>
      <c r="P346" s="16">
        <f t="shared" si="2"/>
        <v>574478.62799999991</v>
      </c>
      <c r="Q346" s="16">
        <f>SUMIF($D$7:$D$339,$D$346,Q7:Q339)</f>
        <v>12468.547</v>
      </c>
      <c r="R346" s="16">
        <f t="shared" si="2"/>
        <v>0</v>
      </c>
      <c r="S346" s="16">
        <f t="shared" si="2"/>
        <v>16146.935000000001</v>
      </c>
      <c r="T346" s="16">
        <f t="shared" si="2"/>
        <v>1650.075</v>
      </c>
      <c r="U346" s="16">
        <f t="shared" si="2"/>
        <v>4565.4349999999995</v>
      </c>
      <c r="V346" s="16">
        <f t="shared" si="2"/>
        <v>47822.189000000006</v>
      </c>
      <c r="W346" s="16">
        <f t="shared" si="2"/>
        <v>2511.9549999999999</v>
      </c>
      <c r="X346" s="16">
        <f t="shared" si="2"/>
        <v>7274.1229999999996</v>
      </c>
      <c r="Y346" s="16">
        <f t="shared" si="2"/>
        <v>160434.64500000002</v>
      </c>
      <c r="Z346" s="16">
        <f t="shared" si="2"/>
        <v>23231.972000000002</v>
      </c>
      <c r="AA346" s="16">
        <f t="shared" si="2"/>
        <v>54815.162000000004</v>
      </c>
      <c r="AB346" s="16">
        <f t="shared" si="2"/>
        <v>0</v>
      </c>
      <c r="AC346" s="16">
        <f t="shared" si="2"/>
        <v>234619.56699999998</v>
      </c>
      <c r="AD346" s="16">
        <f t="shared" si="2"/>
        <v>0</v>
      </c>
      <c r="AE346" s="16">
        <f t="shared" si="2"/>
        <v>272392.83600000001</v>
      </c>
      <c r="AF346" s="16">
        <f t="shared" si="2"/>
        <v>3.4260000000000002</v>
      </c>
      <c r="AG346" s="16">
        <f t="shared" si="2"/>
        <v>19172.105</v>
      </c>
      <c r="AH346" s="16">
        <f t="shared" si="2"/>
        <v>7724.8090000000002</v>
      </c>
      <c r="AI346" s="16">
        <f t="shared" si="2"/>
        <v>561721.77799999993</v>
      </c>
      <c r="AJ346" s="16">
        <f t="shared" si="2"/>
        <v>16169.808000000001</v>
      </c>
      <c r="AK346" s="16">
        <f t="shared" si="2"/>
        <v>24275.726999999999</v>
      </c>
      <c r="AL346" s="16">
        <f t="shared" si="2"/>
        <v>1538703.26</v>
      </c>
      <c r="AM346" s="16">
        <f t="shared" si="2"/>
        <v>29508.219000000001</v>
      </c>
      <c r="AN346" s="16">
        <f t="shared" si="2"/>
        <v>0</v>
      </c>
      <c r="AO346" s="16">
        <f t="shared" si="2"/>
        <v>0</v>
      </c>
      <c r="AP346" s="16">
        <f t="shared" si="2"/>
        <v>42998.127999999997</v>
      </c>
      <c r="AQ346" s="16">
        <f t="shared" si="2"/>
        <v>51095.012999999999</v>
      </c>
      <c r="AR346" s="16">
        <f t="shared" si="2"/>
        <v>0</v>
      </c>
      <c r="AS346" s="16">
        <f>SUMIF($D$7:$D$339,$D$346,AS7:AS339)</f>
        <v>28804.561000000002</v>
      </c>
      <c r="AT346" s="16">
        <f>SUMIF($D$7:$D$339,$D$346,AT7:AT339)</f>
        <v>0</v>
      </c>
      <c r="AU346" s="16">
        <f>SUMIF($D$7:$D$339,$D$346,AU7:AU339)</f>
        <v>2375.9769999999999</v>
      </c>
      <c r="AV346" s="16">
        <f>SUMIF($D$7:$D$339,$D$346,AV7:AV339)</f>
        <v>7953.09</v>
      </c>
      <c r="AW346" s="16">
        <f t="shared" si="2"/>
        <v>0</v>
      </c>
      <c r="AX346" s="16">
        <f t="shared" si="2"/>
        <v>4853.2820000000002</v>
      </c>
      <c r="AY346" s="16">
        <f t="shared" si="2"/>
        <v>0</v>
      </c>
      <c r="AZ346" s="16">
        <f t="shared" si="2"/>
        <v>1099.6890000000001</v>
      </c>
      <c r="BA346" s="16">
        <f t="shared" si="2"/>
        <v>0</v>
      </c>
      <c r="BB346" s="16">
        <f t="shared" si="2"/>
        <v>29464.550999999996</v>
      </c>
      <c r="BC346" s="16">
        <f t="shared" si="2"/>
        <v>0</v>
      </c>
      <c r="BD346" s="16">
        <f t="shared" si="2"/>
        <v>0</v>
      </c>
      <c r="BE346" s="16">
        <f t="shared" si="2"/>
        <v>37401.877</v>
      </c>
      <c r="BF346" s="16">
        <f t="shared" si="2"/>
        <v>0</v>
      </c>
      <c r="BG346" s="21"/>
    </row>
    <row r="347" spans="1:59">
      <c r="A347" t="s">
        <v>610</v>
      </c>
      <c r="D347">
        <v>3</v>
      </c>
      <c r="E347" s="16">
        <f t="shared" ref="E347:BF347" si="3">SUMIF($D$7:$D$339,$D$347,E7:E339)</f>
        <v>1120896.6870000002</v>
      </c>
      <c r="F347" s="16">
        <f t="shared" si="3"/>
        <v>241116.72400000002</v>
      </c>
      <c r="G347" s="16">
        <f t="shared" si="3"/>
        <v>485358.45999999996</v>
      </c>
      <c r="H347" s="16">
        <f t="shared" si="3"/>
        <v>76392.713999999993</v>
      </c>
      <c r="I347" s="16">
        <f t="shared" si="3"/>
        <v>44781.252000000008</v>
      </c>
      <c r="J347" s="16">
        <f t="shared" si="3"/>
        <v>333750.78999999998</v>
      </c>
      <c r="K347" s="16">
        <f t="shared" si="3"/>
        <v>329626.28000000003</v>
      </c>
      <c r="L347" s="16">
        <f t="shared" si="3"/>
        <v>369728.73899999988</v>
      </c>
      <c r="M347" s="16">
        <f t="shared" si="3"/>
        <v>58316.69</v>
      </c>
      <c r="N347" s="16">
        <f t="shared" si="3"/>
        <v>817478.72100000014</v>
      </c>
      <c r="O347" s="16">
        <f t="shared" si="3"/>
        <v>882965.40300000017</v>
      </c>
      <c r="P347" s="16">
        <f t="shared" si="3"/>
        <v>788404.31599999999</v>
      </c>
      <c r="Q347" s="16">
        <f>SUMIF($D$7:$D$339,$D$347,Q7:Q339)</f>
        <v>3262.6499999999996</v>
      </c>
      <c r="R347" s="16">
        <f t="shared" si="3"/>
        <v>0</v>
      </c>
      <c r="S347" s="16">
        <f t="shared" si="3"/>
        <v>66.367000000000004</v>
      </c>
      <c r="T347" s="16">
        <f t="shared" si="3"/>
        <v>3909.6509999999994</v>
      </c>
      <c r="U347" s="16">
        <f t="shared" si="3"/>
        <v>13875.206999999999</v>
      </c>
      <c r="V347" s="16">
        <f t="shared" si="3"/>
        <v>101864.67900000002</v>
      </c>
      <c r="W347" s="16">
        <f t="shared" si="3"/>
        <v>0</v>
      </c>
      <c r="X347" s="16">
        <f t="shared" si="3"/>
        <v>31841.834000000003</v>
      </c>
      <c r="Y347" s="16">
        <f t="shared" si="3"/>
        <v>42532.280999999995</v>
      </c>
      <c r="Z347" s="16">
        <f t="shared" si="3"/>
        <v>41155.523000000001</v>
      </c>
      <c r="AA347" s="16">
        <f t="shared" si="3"/>
        <v>98436.371999999988</v>
      </c>
      <c r="AB347" s="16">
        <f t="shared" si="3"/>
        <v>0</v>
      </c>
      <c r="AC347" s="16">
        <f t="shared" si="3"/>
        <v>211721.6589999999</v>
      </c>
      <c r="AD347" s="16">
        <f t="shared" si="3"/>
        <v>18533.093000000001</v>
      </c>
      <c r="AE347" s="16">
        <f t="shared" si="3"/>
        <v>403609.79</v>
      </c>
      <c r="AF347" s="16">
        <f t="shared" si="3"/>
        <v>0</v>
      </c>
      <c r="AG347" s="16">
        <f t="shared" si="3"/>
        <v>44437.133999999998</v>
      </c>
      <c r="AH347" s="16">
        <f t="shared" si="3"/>
        <v>13456.530999999999</v>
      </c>
      <c r="AI347" s="16">
        <f t="shared" si="3"/>
        <v>307843.23100000003</v>
      </c>
      <c r="AJ347" s="16">
        <f t="shared" si="3"/>
        <v>11623.644</v>
      </c>
      <c r="AK347" s="16">
        <f t="shared" si="3"/>
        <v>52732.289000000004</v>
      </c>
      <c r="AL347" s="16">
        <f t="shared" si="3"/>
        <v>2039372.4049999998</v>
      </c>
      <c r="AM347" s="16">
        <f t="shared" si="3"/>
        <v>20136.52</v>
      </c>
      <c r="AN347" s="16">
        <f t="shared" si="3"/>
        <v>108567.405</v>
      </c>
      <c r="AO347" s="16">
        <f t="shared" si="3"/>
        <v>0</v>
      </c>
      <c r="AP347" s="16">
        <f t="shared" si="3"/>
        <v>92363.606</v>
      </c>
      <c r="AQ347" s="16">
        <f t="shared" si="3"/>
        <v>76115.551999999996</v>
      </c>
      <c r="AR347" s="16">
        <f t="shared" si="3"/>
        <v>0</v>
      </c>
      <c r="AS347" s="16">
        <f>SUMIF($D$7:$D$339,$D$347,AS7:AS339)</f>
        <v>7636.2789999999995</v>
      </c>
      <c r="AT347" s="16">
        <f>SUMIF($D$7:$D$339,$D$347,AT7:AT339)</f>
        <v>0</v>
      </c>
      <c r="AU347" s="16">
        <f>SUMIF($D$7:$D$339,$D$347,AU7:AU339)</f>
        <v>3898.4969999999994</v>
      </c>
      <c r="AV347" s="16">
        <f>SUMIF($D$7:$D$339,$D$347,AV7:AV339)</f>
        <v>10885.858</v>
      </c>
      <c r="AW347" s="16">
        <f t="shared" si="3"/>
        <v>0</v>
      </c>
      <c r="AX347" s="16">
        <f t="shared" si="3"/>
        <v>3369.3139999999999</v>
      </c>
      <c r="AY347" s="16">
        <f t="shared" si="3"/>
        <v>0</v>
      </c>
      <c r="AZ347" s="16">
        <f t="shared" si="3"/>
        <v>778.71199999999988</v>
      </c>
      <c r="BA347" s="16">
        <f t="shared" si="3"/>
        <v>0</v>
      </c>
      <c r="BB347" s="16">
        <f t="shared" si="3"/>
        <v>24909.169000000002</v>
      </c>
      <c r="BC347" s="16">
        <f t="shared" si="3"/>
        <v>0</v>
      </c>
      <c r="BD347" s="16">
        <f t="shared" si="3"/>
        <v>0</v>
      </c>
      <c r="BE347" s="16">
        <f t="shared" si="3"/>
        <v>150987.80599999998</v>
      </c>
      <c r="BF347" s="16">
        <f t="shared" si="3"/>
        <v>0</v>
      </c>
      <c r="BG347" s="21"/>
    </row>
    <row r="348" spans="1:59">
      <c r="A348" t="s">
        <v>611</v>
      </c>
      <c r="B348">
        <v>7</v>
      </c>
      <c r="D348">
        <v>4</v>
      </c>
      <c r="E348" s="16">
        <f t="shared" ref="E348:BF348" si="4">SUMIF($D$7:$D$339,$D$348,E7:E339)</f>
        <v>783172.33700000006</v>
      </c>
      <c r="F348" s="16">
        <f t="shared" si="4"/>
        <v>232395.89299999998</v>
      </c>
      <c r="G348" s="16">
        <f t="shared" si="4"/>
        <v>86.76400000000001</v>
      </c>
      <c r="H348" s="16">
        <f t="shared" si="4"/>
        <v>11158.130999999999</v>
      </c>
      <c r="I348" s="16">
        <f t="shared" si="4"/>
        <v>10725.742000000002</v>
      </c>
      <c r="J348" s="16">
        <f t="shared" si="4"/>
        <v>56.932999999999979</v>
      </c>
      <c r="K348" s="16">
        <f t="shared" si="4"/>
        <v>1010600.786</v>
      </c>
      <c r="L348" s="16">
        <f t="shared" si="4"/>
        <v>78561.697999999975</v>
      </c>
      <c r="M348" s="16">
        <f t="shared" si="4"/>
        <v>0</v>
      </c>
      <c r="N348" s="16">
        <f t="shared" si="4"/>
        <v>114208.73600000002</v>
      </c>
      <c r="O348" s="16">
        <f t="shared" si="4"/>
        <v>2746414.8640000005</v>
      </c>
      <c r="P348" s="16">
        <f t="shared" si="4"/>
        <v>143389.39299999998</v>
      </c>
      <c r="Q348" s="16">
        <f>SUMIF($D$7:$D$339,$D$348,Q7:Q339)</f>
        <v>0</v>
      </c>
      <c r="R348" s="16">
        <f t="shared" si="4"/>
        <v>2320.4179999999997</v>
      </c>
      <c r="S348" s="16">
        <f t="shared" si="4"/>
        <v>28.933</v>
      </c>
      <c r="T348" s="16">
        <f t="shared" si="4"/>
        <v>1526.1469999999999</v>
      </c>
      <c r="U348" s="16">
        <f t="shared" si="4"/>
        <v>101.74299999999999</v>
      </c>
      <c r="V348" s="16">
        <f t="shared" si="4"/>
        <v>63204.326000000008</v>
      </c>
      <c r="W348" s="16">
        <f t="shared" si="4"/>
        <v>0</v>
      </c>
      <c r="X348" s="16">
        <f t="shared" si="4"/>
        <v>28602.755000000001</v>
      </c>
      <c r="Y348" s="16">
        <f t="shared" si="4"/>
        <v>0</v>
      </c>
      <c r="Z348" s="16">
        <f t="shared" si="4"/>
        <v>7.5439999999999987</v>
      </c>
      <c r="AA348" s="16">
        <f t="shared" si="4"/>
        <v>15304.023999999999</v>
      </c>
      <c r="AB348" s="16">
        <f t="shared" si="4"/>
        <v>20241.13</v>
      </c>
      <c r="AC348" s="16">
        <f t="shared" si="4"/>
        <v>431524.99199999997</v>
      </c>
      <c r="AD348" s="16">
        <f t="shared" si="4"/>
        <v>34358.625999999997</v>
      </c>
      <c r="AE348" s="16">
        <f t="shared" si="4"/>
        <v>63.425000000000026</v>
      </c>
      <c r="AF348" s="16">
        <f t="shared" si="4"/>
        <v>65761.512000000002</v>
      </c>
      <c r="AG348" s="16">
        <f t="shared" si="4"/>
        <v>38056.436999999998</v>
      </c>
      <c r="AH348" s="16">
        <f t="shared" si="4"/>
        <v>17349.137999999999</v>
      </c>
      <c r="AI348" s="16">
        <f t="shared" si="4"/>
        <v>1083903.9540000001</v>
      </c>
      <c r="AJ348" s="16">
        <f t="shared" si="4"/>
        <v>546543.93400000001</v>
      </c>
      <c r="AK348" s="16">
        <f t="shared" si="4"/>
        <v>79206.848000000013</v>
      </c>
      <c r="AL348" s="16">
        <f t="shared" si="4"/>
        <v>3503331.8350000009</v>
      </c>
      <c r="AM348" s="16">
        <f t="shared" si="4"/>
        <v>997252.13799999992</v>
      </c>
      <c r="AN348" s="16">
        <f t="shared" si="4"/>
        <v>206310.02600000001</v>
      </c>
      <c r="AO348" s="16">
        <f t="shared" si="4"/>
        <v>1758763.8470000001</v>
      </c>
      <c r="AP348" s="16">
        <f t="shared" si="4"/>
        <v>56098.704999999994</v>
      </c>
      <c r="AQ348" s="16">
        <f t="shared" si="4"/>
        <v>24313.221000000001</v>
      </c>
      <c r="AR348" s="16">
        <f t="shared" si="4"/>
        <v>1058485.213</v>
      </c>
      <c r="AS348" s="16">
        <f>SUMIF($D$7:$D$339,$D$348,AS7:AS339)</f>
        <v>0</v>
      </c>
      <c r="AT348" s="16">
        <f>SUMIF($D$7:$D$339,$D$348,AT7:AT339)</f>
        <v>575473.7649999999</v>
      </c>
      <c r="AU348" s="16">
        <f>SUMIF($D$7:$D$339,$D$348,AU7:AU339)</f>
        <v>3204.8379999999993</v>
      </c>
      <c r="AV348" s="16">
        <f>SUMIF($D$7:$D$339,$D$348,AV7:AV339)</f>
        <v>5380.3300000000008</v>
      </c>
      <c r="AW348" s="16">
        <f t="shared" si="4"/>
        <v>36983.305999999997</v>
      </c>
      <c r="AX348" s="16">
        <f t="shared" si="4"/>
        <v>162554.76599999997</v>
      </c>
      <c r="AY348" s="16">
        <f t="shared" si="4"/>
        <v>16902.642</v>
      </c>
      <c r="AZ348" s="16">
        <f t="shared" si="4"/>
        <v>657.82799999999986</v>
      </c>
      <c r="BA348" s="16">
        <f t="shared" si="4"/>
        <v>0</v>
      </c>
      <c r="BB348" s="16">
        <f t="shared" si="4"/>
        <v>8582.9089999999997</v>
      </c>
      <c r="BC348" s="16">
        <f t="shared" si="4"/>
        <v>61078.398000000001</v>
      </c>
      <c r="BD348" s="16">
        <f t="shared" si="4"/>
        <v>56527.72</v>
      </c>
      <c r="BE348" s="16">
        <f t="shared" si="4"/>
        <v>81667.543999999994</v>
      </c>
      <c r="BF348" s="16">
        <f t="shared" si="4"/>
        <v>1456.98</v>
      </c>
      <c r="BG348" s="21"/>
    </row>
    <row r="349" spans="1:59">
      <c r="A349" t="s">
        <v>612</v>
      </c>
      <c r="D349">
        <v>5</v>
      </c>
      <c r="E349" s="16">
        <f t="shared" ref="E349:BF349" si="5">SUMIF($D$7:$D$339,$D$349,E7:E339)</f>
        <v>522836.79499999998</v>
      </c>
      <c r="F349" s="16">
        <f t="shared" si="5"/>
        <v>52594.061000000002</v>
      </c>
      <c r="G349" s="16">
        <f t="shared" si="5"/>
        <v>92329.453999999998</v>
      </c>
      <c r="H349" s="16">
        <f t="shared" si="5"/>
        <v>950510.11100000003</v>
      </c>
      <c r="I349" s="16">
        <f t="shared" si="5"/>
        <v>13020.199999999999</v>
      </c>
      <c r="J349" s="16">
        <f t="shared" si="5"/>
        <v>68485.558999999994</v>
      </c>
      <c r="K349" s="16">
        <f t="shared" si="5"/>
        <v>542669.26899999997</v>
      </c>
      <c r="L349" s="16">
        <f t="shared" si="5"/>
        <v>71037.462999999989</v>
      </c>
      <c r="M349" s="16">
        <f t="shared" si="5"/>
        <v>6638.7650000000003</v>
      </c>
      <c r="N349" s="16">
        <f t="shared" si="5"/>
        <v>223087.677</v>
      </c>
      <c r="O349" s="16">
        <f t="shared" si="5"/>
        <v>696616.86300000001</v>
      </c>
      <c r="P349" s="16">
        <f t="shared" si="5"/>
        <v>281058.196</v>
      </c>
      <c r="Q349" s="16">
        <f>SUMIF($D$7:$D$339,$D$349,Q7:Q339)</f>
        <v>0</v>
      </c>
      <c r="R349" s="16">
        <f t="shared" si="5"/>
        <v>0</v>
      </c>
      <c r="S349" s="16">
        <f t="shared" si="5"/>
        <v>2479.7700000000004</v>
      </c>
      <c r="T349" s="16">
        <f t="shared" si="5"/>
        <v>0</v>
      </c>
      <c r="U349" s="16">
        <f t="shared" si="5"/>
        <v>187.50299999999999</v>
      </c>
      <c r="V349" s="16">
        <f t="shared" si="5"/>
        <v>0.159</v>
      </c>
      <c r="W349" s="16">
        <f t="shared" si="5"/>
        <v>0</v>
      </c>
      <c r="X349" s="16">
        <f t="shared" si="5"/>
        <v>0.45100000000000001</v>
      </c>
      <c r="Y349" s="16">
        <f t="shared" si="5"/>
        <v>2257.7170000000001</v>
      </c>
      <c r="Z349" s="16">
        <f t="shared" si="5"/>
        <v>6830.84</v>
      </c>
      <c r="AA349" s="16">
        <f t="shared" si="5"/>
        <v>23623.425999999999</v>
      </c>
      <c r="AB349" s="16">
        <f t="shared" si="5"/>
        <v>0</v>
      </c>
      <c r="AC349" s="16">
        <f t="shared" si="5"/>
        <v>215684.26699999999</v>
      </c>
      <c r="AD349" s="16">
        <f t="shared" si="5"/>
        <v>0</v>
      </c>
      <c r="AE349" s="16">
        <f t="shared" si="5"/>
        <v>56873.682000000001</v>
      </c>
      <c r="AF349" s="16">
        <f t="shared" si="5"/>
        <v>0</v>
      </c>
      <c r="AG349" s="16">
        <f t="shared" si="5"/>
        <v>9910.601999999999</v>
      </c>
      <c r="AH349" s="16">
        <f t="shared" si="5"/>
        <v>0</v>
      </c>
      <c r="AI349" s="16">
        <f t="shared" si="5"/>
        <v>646218.18799999997</v>
      </c>
      <c r="AJ349" s="16">
        <f t="shared" si="5"/>
        <v>13666.555</v>
      </c>
      <c r="AK349" s="16">
        <f t="shared" si="5"/>
        <v>2519.8000000000002</v>
      </c>
      <c r="AL349" s="16">
        <f t="shared" si="5"/>
        <v>1412237.1040000003</v>
      </c>
      <c r="AM349" s="16">
        <f t="shared" si="5"/>
        <v>105597.79300000001</v>
      </c>
      <c r="AN349" s="16">
        <f t="shared" si="5"/>
        <v>26.911000000000001</v>
      </c>
      <c r="AO349" s="16">
        <f t="shared" si="5"/>
        <v>87.778999999999996</v>
      </c>
      <c r="AP349" s="16">
        <f t="shared" si="5"/>
        <v>12.231999999999999</v>
      </c>
      <c r="AQ349" s="16">
        <f t="shared" si="5"/>
        <v>0</v>
      </c>
      <c r="AR349" s="16">
        <f t="shared" si="5"/>
        <v>116.491</v>
      </c>
      <c r="AS349" s="16">
        <f>SUMIF($D$7:$D$339,$D$349,AS7:AS339)</f>
        <v>593.16800000000001</v>
      </c>
      <c r="AT349" s="16">
        <f>SUMIF($D$7:$D$339,$D$349,AT7:AT339)</f>
        <v>643.33600000000001</v>
      </c>
      <c r="AU349" s="16">
        <f>SUMIF($D$7:$D$339,$D$349,AU7:AU339)</f>
        <v>4.0000000000000001E-3</v>
      </c>
      <c r="AV349" s="16">
        <f>SUMIF($D$7:$D$339,$D$349,AV7:AV339)</f>
        <v>0</v>
      </c>
      <c r="AW349" s="16">
        <f t="shared" si="5"/>
        <v>0</v>
      </c>
      <c r="AX349" s="16">
        <f t="shared" si="5"/>
        <v>3146.087</v>
      </c>
      <c r="AY349" s="16">
        <f t="shared" si="5"/>
        <v>0</v>
      </c>
      <c r="AZ349" s="16">
        <f t="shared" si="5"/>
        <v>2E-3</v>
      </c>
      <c r="BA349" s="16">
        <f t="shared" si="5"/>
        <v>0</v>
      </c>
      <c r="BB349" s="16">
        <f t="shared" si="5"/>
        <v>78.679000000000002</v>
      </c>
      <c r="BC349" s="16">
        <f t="shared" si="5"/>
        <v>0</v>
      </c>
      <c r="BD349" s="16">
        <f t="shared" si="5"/>
        <v>0</v>
      </c>
      <c r="BE349" s="16">
        <f t="shared" si="5"/>
        <v>0</v>
      </c>
      <c r="BF349" s="16">
        <f t="shared" si="5"/>
        <v>0</v>
      </c>
      <c r="BG349" s="21"/>
    </row>
    <row r="350" spans="1:59">
      <c r="A350" t="s">
        <v>613</v>
      </c>
      <c r="B350">
        <v>7</v>
      </c>
      <c r="D350">
        <v>6</v>
      </c>
      <c r="E350" s="16">
        <f t="shared" ref="E350:BF350" si="6">SUMIF($D$7:$D$339,$D$350,E7:E339)+SUMIF($D$7:$D$339,$B$350,E7:E339)</f>
        <v>1169770.5910000002</v>
      </c>
      <c r="F350" s="16">
        <f t="shared" si="6"/>
        <v>61682.115000000005</v>
      </c>
      <c r="G350" s="16">
        <f t="shared" si="6"/>
        <v>68403.957999999984</v>
      </c>
      <c r="H350" s="16">
        <f t="shared" si="6"/>
        <v>19661.872000000007</v>
      </c>
      <c r="I350" s="16">
        <f t="shared" si="6"/>
        <v>10284.475999999999</v>
      </c>
      <c r="J350" s="16">
        <f t="shared" si="6"/>
        <v>46158.859999999993</v>
      </c>
      <c r="K350" s="16">
        <f t="shared" si="6"/>
        <v>1061194.6630000006</v>
      </c>
      <c r="L350" s="16">
        <f t="shared" si="6"/>
        <v>89285.883000000002</v>
      </c>
      <c r="M350" s="16">
        <f t="shared" si="6"/>
        <v>4783.1779999999999</v>
      </c>
      <c r="N350" s="16">
        <f t="shared" si="6"/>
        <v>492018.02800000011</v>
      </c>
      <c r="O350" s="16">
        <f t="shared" si="6"/>
        <v>2030122.7320000005</v>
      </c>
      <c r="P350" s="16">
        <f t="shared" si="6"/>
        <v>482666.10399999993</v>
      </c>
      <c r="Q350" s="16">
        <f>SUMIF($D$7:$D$339,$D$350,Q7:Q339)+SUMIF($D$7:$D$339,$B$350,Q7:Q339)</f>
        <v>-3.5550000000000002</v>
      </c>
      <c r="R350" s="16">
        <f t="shared" si="6"/>
        <v>83.905999999999992</v>
      </c>
      <c r="S350" s="16">
        <f t="shared" si="6"/>
        <v>1439.8269999999998</v>
      </c>
      <c r="T350" s="16">
        <f t="shared" si="6"/>
        <v>46.520000000000053</v>
      </c>
      <c r="U350" s="16">
        <f t="shared" si="6"/>
        <v>895.96699999999987</v>
      </c>
      <c r="V350" s="16">
        <f t="shared" si="6"/>
        <v>8762.2080000000024</v>
      </c>
      <c r="W350" s="16">
        <f t="shared" si="6"/>
        <v>-1.7230000000000001</v>
      </c>
      <c r="X350" s="16">
        <f t="shared" si="6"/>
        <v>920.88600000000008</v>
      </c>
      <c r="Y350" s="16">
        <f t="shared" si="6"/>
        <v>3493.6849999999999</v>
      </c>
      <c r="Z350" s="16">
        <f t="shared" si="6"/>
        <v>4759.3509999999997</v>
      </c>
      <c r="AA350" s="16">
        <f t="shared" si="6"/>
        <v>14605.23</v>
      </c>
      <c r="AB350" s="16">
        <f t="shared" si="6"/>
        <v>-4277.3029999999999</v>
      </c>
      <c r="AC350" s="16">
        <f t="shared" si="6"/>
        <v>247890.584</v>
      </c>
      <c r="AD350" s="16">
        <f t="shared" si="6"/>
        <v>1311.0410000000008</v>
      </c>
      <c r="AE350" s="16">
        <f t="shared" si="6"/>
        <v>53612.64899999999</v>
      </c>
      <c r="AF350" s="16">
        <f t="shared" si="6"/>
        <v>1804.82</v>
      </c>
      <c r="AG350" s="16">
        <f t="shared" si="6"/>
        <v>7595.2220000000016</v>
      </c>
      <c r="AH350" s="16">
        <f t="shared" si="6"/>
        <v>202.02399999999966</v>
      </c>
      <c r="AI350" s="16">
        <f t="shared" si="6"/>
        <v>928922.71299999976</v>
      </c>
      <c r="AJ350" s="16">
        <f t="shared" si="6"/>
        <v>21239.397000000004</v>
      </c>
      <c r="AK350" s="16">
        <f t="shared" si="6"/>
        <v>880.19599999999923</v>
      </c>
      <c r="AL350" s="16">
        <f t="shared" si="6"/>
        <v>2707639.8530000001</v>
      </c>
      <c r="AM350" s="16">
        <f t="shared" si="6"/>
        <v>38235.163</v>
      </c>
      <c r="AN350" s="16">
        <f t="shared" si="6"/>
        <v>9398.3920000000107</v>
      </c>
      <c r="AO350" s="16">
        <f t="shared" si="6"/>
        <v>269249.59399999992</v>
      </c>
      <c r="AP350" s="16">
        <f t="shared" si="6"/>
        <v>1799.1560000000006</v>
      </c>
      <c r="AQ350" s="16">
        <f t="shared" si="6"/>
        <v>695.04000000000053</v>
      </c>
      <c r="AR350" s="16">
        <f t="shared" si="6"/>
        <v>164205.29699999999</v>
      </c>
      <c r="AS350" s="16">
        <f>SUMIF($D$7:$D$339,$D$350,AS7:AS339)+SUMIF($D$7:$D$339,$B$350,AS7:AS339)</f>
        <v>-455.85700000000008</v>
      </c>
      <c r="AT350" s="16">
        <f>SUMIF($D$7:$D$339,$D$350,AT7:AT339)+SUMIF($D$7:$D$339,$B$350,AT7:AT339)</f>
        <v>80487.092000000019</v>
      </c>
      <c r="AU350" s="16">
        <f>SUMIF($D$7:$D$339,$D$350,AU7:AU339)+SUMIF($D$7:$D$339,$B$350,AU7:AU339)</f>
        <v>204.97200000000001</v>
      </c>
      <c r="AV350" s="16">
        <f>SUMIF($D$7:$D$339,$D$350,AV7:AV339)+SUMIF($D$7:$D$339,$B$350,AV7:AV339)</f>
        <v>164.89100000000025</v>
      </c>
      <c r="AW350" s="16">
        <f t="shared" si="6"/>
        <v>-41.677</v>
      </c>
      <c r="AX350" s="16">
        <f t="shared" si="6"/>
        <v>2598.8530000000001</v>
      </c>
      <c r="AY350" s="16">
        <f t="shared" si="6"/>
        <v>-86.685000000000002</v>
      </c>
      <c r="AZ350" s="16">
        <f t="shared" si="6"/>
        <v>196.24099999999993</v>
      </c>
      <c r="BA350" s="16">
        <f t="shared" si="6"/>
        <v>0</v>
      </c>
      <c r="BB350" s="16">
        <f t="shared" si="6"/>
        <v>1121.7200000000003</v>
      </c>
      <c r="BC350" s="16">
        <f t="shared" si="6"/>
        <v>3.4930000000000003</v>
      </c>
      <c r="BD350" s="16">
        <f t="shared" si="6"/>
        <v>-32.393000000000001</v>
      </c>
      <c r="BE350" s="16">
        <f t="shared" si="6"/>
        <v>1678.6509999999996</v>
      </c>
      <c r="BF350" s="16">
        <f t="shared" si="6"/>
        <v>-279.72000000000003</v>
      </c>
      <c r="BG350" s="21"/>
    </row>
    <row r="351" spans="1:59"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21"/>
    </row>
    <row r="352" spans="1:59">
      <c r="E352">
        <f t="shared" ref="E352:P352" si="7">SUM(E345:E351)</f>
        <v>5490439.4570000004</v>
      </c>
      <c r="F352">
        <f t="shared" si="7"/>
        <v>895965.75900000008</v>
      </c>
      <c r="G352">
        <f t="shared" si="7"/>
        <v>1028207.7609999999</v>
      </c>
      <c r="H352">
        <f t="shared" si="7"/>
        <v>1078993.7179999999</v>
      </c>
      <c r="I352">
        <f t="shared" si="7"/>
        <v>142762.28599999999</v>
      </c>
      <c r="J352">
        <f t="shared" si="7"/>
        <v>712466.65299999993</v>
      </c>
      <c r="K352">
        <f t="shared" si="7"/>
        <v>4256395.9240000006</v>
      </c>
      <c r="L352">
        <f t="shared" si="7"/>
        <v>851146.54399999988</v>
      </c>
      <c r="M352">
        <f t="shared" si="7"/>
        <v>297722.28700000001</v>
      </c>
      <c r="N352">
        <f t="shared" si="7"/>
        <v>2333689.7690000003</v>
      </c>
      <c r="O352" s="17">
        <f t="shared" si="7"/>
        <v>8635578.5030000005</v>
      </c>
      <c r="P352">
        <f t="shared" si="7"/>
        <v>2406927.6709999996</v>
      </c>
      <c r="Q352">
        <f>SUM(Q345:Q351)</f>
        <v>16069.439</v>
      </c>
      <c r="R352">
        <f t="shared" ref="R352:AR352" si="8">SUM(R345:R351)</f>
        <v>6459.5389999999998</v>
      </c>
      <c r="S352">
        <f t="shared" si="8"/>
        <v>20904.422000000002</v>
      </c>
      <c r="T352">
        <f t="shared" si="8"/>
        <v>11479.957999999999</v>
      </c>
      <c r="U352">
        <f t="shared" si="8"/>
        <v>21103.821999999996</v>
      </c>
      <c r="V352">
        <f t="shared" si="8"/>
        <v>272074.95699999999</v>
      </c>
      <c r="W352">
        <f t="shared" si="8"/>
        <v>2686.4340000000002</v>
      </c>
      <c r="X352">
        <f t="shared" si="8"/>
        <v>144109.91500000001</v>
      </c>
      <c r="Y352">
        <f t="shared" si="8"/>
        <v>219030.99400000001</v>
      </c>
      <c r="Z352">
        <f t="shared" si="8"/>
        <v>82746.401999999987</v>
      </c>
      <c r="AA352">
        <f t="shared" si="8"/>
        <v>222683.11800000002</v>
      </c>
      <c r="AB352">
        <f t="shared" si="8"/>
        <v>201075.228</v>
      </c>
      <c r="AC352">
        <f t="shared" si="8"/>
        <v>1639313.0869999998</v>
      </c>
      <c r="AD352">
        <f t="shared" si="8"/>
        <v>112723.47500000001</v>
      </c>
      <c r="AE352">
        <f t="shared" si="8"/>
        <v>851089.83900000004</v>
      </c>
      <c r="AF352">
        <f t="shared" si="8"/>
        <v>221264.45399999997</v>
      </c>
      <c r="AG352">
        <f t="shared" si="8"/>
        <v>146345.511</v>
      </c>
      <c r="AH352">
        <f t="shared" si="8"/>
        <v>51496.979999999996</v>
      </c>
      <c r="AI352">
        <f t="shared" si="8"/>
        <v>4295861.8779999996</v>
      </c>
      <c r="AJ352">
        <f t="shared" si="8"/>
        <v>949560.37100000004</v>
      </c>
      <c r="AK352">
        <f t="shared" si="8"/>
        <v>215424.29700000002</v>
      </c>
      <c r="AL352">
        <f t="shared" si="8"/>
        <v>13480555.836000001</v>
      </c>
      <c r="AM352">
        <f t="shared" si="8"/>
        <v>1807773.0209999999</v>
      </c>
      <c r="AN352">
        <f t="shared" si="8"/>
        <v>643639.65099999995</v>
      </c>
      <c r="AO352">
        <f t="shared" si="8"/>
        <v>8950852.4450000003</v>
      </c>
      <c r="AP352">
        <f t="shared" si="8"/>
        <v>346673.37800000008</v>
      </c>
      <c r="AQ352">
        <f t="shared" si="8"/>
        <v>222130.777</v>
      </c>
      <c r="AR352">
        <f t="shared" si="8"/>
        <v>5381165.3350000009</v>
      </c>
      <c r="AS352">
        <f>SUM(AS345:AS351)</f>
        <v>38356.534</v>
      </c>
      <c r="AT352">
        <f>SUM(AT345:AT351)</f>
        <v>2920798.5650000004</v>
      </c>
      <c r="AU352">
        <f>SUM(AU345:AU351)</f>
        <v>14285.374</v>
      </c>
      <c r="AV352">
        <f>SUM(AV345:AV351)</f>
        <v>41536.498000000007</v>
      </c>
      <c r="AW352">
        <f>SUM(AW345:AW351)</f>
        <v>41001.420999999995</v>
      </c>
      <c r="AX352">
        <f t="shared" ref="AX352:BF352" si="9">SUM(AX345:AX351)</f>
        <v>281700.59899999999</v>
      </c>
      <c r="AY352">
        <f t="shared" si="9"/>
        <v>18560.114999999998</v>
      </c>
      <c r="AZ352">
        <f t="shared" si="9"/>
        <v>3273.4070000000002</v>
      </c>
      <c r="BA352">
        <f t="shared" si="9"/>
        <v>0</v>
      </c>
      <c r="BB352">
        <f t="shared" si="9"/>
        <v>75018.436000000002</v>
      </c>
      <c r="BC352">
        <f t="shared" si="9"/>
        <v>67611.857000000004</v>
      </c>
      <c r="BD352">
        <f t="shared" si="9"/>
        <v>63273.422000000006</v>
      </c>
      <c r="BE352">
        <f t="shared" si="9"/>
        <v>407798.24799999996</v>
      </c>
      <c r="BF352">
        <f t="shared" si="9"/>
        <v>49696.165000000001</v>
      </c>
      <c r="BG352" s="21"/>
    </row>
    <row r="353" spans="1:59"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21"/>
    </row>
    <row r="354" spans="1:59">
      <c r="A354" s="8"/>
      <c r="B354" s="8"/>
      <c r="C354" s="8"/>
      <c r="D354" s="8"/>
      <c r="E354" s="8">
        <f t="shared" ref="E354:AT354" si="10">E352-E340</f>
        <v>5490439.4570000004</v>
      </c>
      <c r="F354" s="8">
        <f t="shared" si="10"/>
        <v>895965.75900000008</v>
      </c>
      <c r="G354" s="8">
        <f t="shared" si="10"/>
        <v>1028207.7609999999</v>
      </c>
      <c r="H354" s="8">
        <f t="shared" si="10"/>
        <v>1078993.7179999999</v>
      </c>
      <c r="I354" s="8">
        <f t="shared" si="10"/>
        <v>142762.28599999999</v>
      </c>
      <c r="J354" s="8">
        <f t="shared" si="10"/>
        <v>712466.65299999993</v>
      </c>
      <c r="K354" s="8">
        <f t="shared" si="10"/>
        <v>4256395.9240000006</v>
      </c>
      <c r="L354" s="8">
        <f t="shared" si="10"/>
        <v>851146.54399999988</v>
      </c>
      <c r="M354" s="8">
        <f t="shared" si="10"/>
        <v>297722.28700000001</v>
      </c>
      <c r="N354" s="8">
        <f t="shared" si="10"/>
        <v>2333689.7690000003</v>
      </c>
      <c r="O354" s="18">
        <f t="shared" si="10"/>
        <v>8635578.5030000005</v>
      </c>
      <c r="P354" s="8">
        <f t="shared" si="10"/>
        <v>2406927.6709999996</v>
      </c>
      <c r="Q354" s="8">
        <f>Q352-Q340</f>
        <v>16069.439</v>
      </c>
      <c r="R354" s="8">
        <f t="shared" si="10"/>
        <v>6459.5389999999998</v>
      </c>
      <c r="S354" s="8">
        <f t="shared" si="10"/>
        <v>20904.422000000002</v>
      </c>
      <c r="T354" s="8">
        <f t="shared" si="10"/>
        <v>11479.957999999999</v>
      </c>
      <c r="U354" s="8">
        <f t="shared" si="10"/>
        <v>21103.821999999996</v>
      </c>
      <c r="V354" s="8">
        <f t="shared" si="10"/>
        <v>272074.95699999999</v>
      </c>
      <c r="W354" s="8">
        <f t="shared" si="10"/>
        <v>2686.4340000000002</v>
      </c>
      <c r="X354" s="8">
        <f t="shared" si="10"/>
        <v>144109.91500000001</v>
      </c>
      <c r="Y354" s="8">
        <f t="shared" si="10"/>
        <v>219030.99400000001</v>
      </c>
      <c r="Z354" s="8">
        <f t="shared" si="10"/>
        <v>82746.401999999987</v>
      </c>
      <c r="AA354" s="8">
        <f t="shared" si="10"/>
        <v>222683.11800000002</v>
      </c>
      <c r="AB354" s="8">
        <f t="shared" si="10"/>
        <v>201075.228</v>
      </c>
      <c r="AC354" s="8">
        <f t="shared" si="10"/>
        <v>1639313.0869999998</v>
      </c>
      <c r="AD354" s="8">
        <f t="shared" si="10"/>
        <v>112723.47500000001</v>
      </c>
      <c r="AE354" s="8">
        <f t="shared" si="10"/>
        <v>851089.83900000004</v>
      </c>
      <c r="AF354" s="8">
        <f t="shared" si="10"/>
        <v>221264.45399999997</v>
      </c>
      <c r="AG354" s="8">
        <f t="shared" si="10"/>
        <v>146345.511</v>
      </c>
      <c r="AH354" s="8">
        <f t="shared" si="10"/>
        <v>51496.979999999996</v>
      </c>
      <c r="AI354" s="8">
        <f t="shared" si="10"/>
        <v>4295861.8779999996</v>
      </c>
      <c r="AJ354" s="8">
        <f t="shared" si="10"/>
        <v>949560.37100000004</v>
      </c>
      <c r="AK354" s="8">
        <f t="shared" si="10"/>
        <v>215424.29700000002</v>
      </c>
      <c r="AL354" s="8">
        <f t="shared" si="10"/>
        <v>13480555.836000001</v>
      </c>
      <c r="AM354" s="8">
        <f t="shared" si="10"/>
        <v>1807773.0209999999</v>
      </c>
      <c r="AN354" s="8">
        <f t="shared" si="10"/>
        <v>643639.65099999995</v>
      </c>
      <c r="AO354" s="8">
        <f t="shared" si="10"/>
        <v>8950852.4450000003</v>
      </c>
      <c r="AP354" s="8">
        <f t="shared" si="10"/>
        <v>346673.37800000008</v>
      </c>
      <c r="AQ354" s="8">
        <f t="shared" si="10"/>
        <v>222130.777</v>
      </c>
      <c r="AR354" s="8">
        <f t="shared" si="10"/>
        <v>5381165.3350000009</v>
      </c>
      <c r="AS354" s="8">
        <f t="shared" si="10"/>
        <v>38356.534</v>
      </c>
      <c r="AT354" s="8">
        <f t="shared" si="10"/>
        <v>2920798.5650000004</v>
      </c>
      <c r="AU354" s="8">
        <f>AU352-AU340</f>
        <v>14285.374</v>
      </c>
      <c r="AV354" s="8">
        <f>AV352-AV340</f>
        <v>41536.498000000007</v>
      </c>
      <c r="AW354" s="8">
        <f t="shared" ref="AW354:BF354" si="11">AW352-AW340</f>
        <v>41001.420999999995</v>
      </c>
      <c r="AX354" s="8">
        <f t="shared" si="11"/>
        <v>281700.59899999999</v>
      </c>
      <c r="AY354" s="8">
        <f t="shared" si="11"/>
        <v>18560.114999999998</v>
      </c>
      <c r="AZ354" s="8">
        <f t="shared" si="11"/>
        <v>3273.4070000000002</v>
      </c>
      <c r="BA354" s="8">
        <f t="shared" si="11"/>
        <v>0</v>
      </c>
      <c r="BB354" s="8">
        <f t="shared" si="11"/>
        <v>75018.436000000002</v>
      </c>
      <c r="BC354" s="8">
        <f t="shared" si="11"/>
        <v>67611.857000000004</v>
      </c>
      <c r="BD354" s="8">
        <f t="shared" si="11"/>
        <v>63273.422000000006</v>
      </c>
      <c r="BE354" s="8">
        <f t="shared" si="11"/>
        <v>407798.24799999996</v>
      </c>
      <c r="BF354" s="8">
        <f t="shared" si="11"/>
        <v>49696.165000000001</v>
      </c>
      <c r="BG354" s="21"/>
    </row>
    <row r="355" spans="1:59">
      <c r="E355" s="19">
        <f t="shared" ref="E355:P355" si="12">E5</f>
        <v>401</v>
      </c>
      <c r="F355" s="19">
        <f t="shared" si="12"/>
        <v>242</v>
      </c>
      <c r="G355" s="19">
        <f t="shared" si="12"/>
        <v>385</v>
      </c>
      <c r="H355" s="19">
        <f t="shared" si="12"/>
        <v>528</v>
      </c>
      <c r="I355" s="19">
        <f t="shared" si="12"/>
        <v>384</v>
      </c>
      <c r="J355" s="19">
        <f t="shared" si="12"/>
        <v>716</v>
      </c>
      <c r="K355" s="19">
        <f t="shared" si="12"/>
        <v>686</v>
      </c>
      <c r="L355" s="19">
        <f t="shared" si="12"/>
        <v>1190</v>
      </c>
      <c r="M355" s="19">
        <f t="shared" si="12"/>
        <v>715</v>
      </c>
      <c r="N355" s="19">
        <f t="shared" si="12"/>
        <v>211</v>
      </c>
      <c r="O355" s="19">
        <f t="shared" si="12"/>
        <v>9916</v>
      </c>
      <c r="P355" s="19">
        <f t="shared" si="12"/>
        <v>1100</v>
      </c>
      <c r="Q355" s="19">
        <f>Q5</f>
        <v>801</v>
      </c>
      <c r="R355" s="19">
        <f t="shared" ref="R355:W355" si="13">R5</f>
        <v>804</v>
      </c>
      <c r="S355" s="19">
        <f t="shared" si="13"/>
        <v>806</v>
      </c>
      <c r="T355" s="19">
        <f t="shared" si="13"/>
        <v>8765</v>
      </c>
      <c r="U355" s="19">
        <f t="shared" si="13"/>
        <v>8766</v>
      </c>
      <c r="V355" s="19">
        <f t="shared" si="13"/>
        <v>9418</v>
      </c>
      <c r="W355" s="19">
        <f t="shared" si="13"/>
        <v>9475</v>
      </c>
      <c r="X355" s="19">
        <f>X5</f>
        <v>9905</v>
      </c>
      <c r="Y355" s="19">
        <f>Y5</f>
        <v>9906</v>
      </c>
      <c r="Z355" s="19">
        <f>Z5</f>
        <v>7905</v>
      </c>
      <c r="AA355" s="19">
        <f t="shared" ref="AA355:AT355" si="14">AA5</f>
        <v>7906</v>
      </c>
      <c r="AB355" s="19">
        <f t="shared" si="14"/>
        <v>7907</v>
      </c>
      <c r="AC355" s="19">
        <f t="shared" si="14"/>
        <v>7908</v>
      </c>
      <c r="AD355" s="19">
        <f t="shared" si="14"/>
        <v>7909</v>
      </c>
      <c r="AE355" s="19">
        <f t="shared" si="14"/>
        <v>11310</v>
      </c>
      <c r="AF355" s="19">
        <f t="shared" si="14"/>
        <v>11311</v>
      </c>
      <c r="AG355" s="19">
        <f t="shared" si="14"/>
        <v>11312</v>
      </c>
      <c r="AH355" s="19">
        <f t="shared" si="14"/>
        <v>11335</v>
      </c>
      <c r="AI355" s="19">
        <f t="shared" si="14"/>
        <v>9529</v>
      </c>
      <c r="AJ355" s="19">
        <f t="shared" si="14"/>
        <v>961</v>
      </c>
      <c r="AK355" s="19">
        <f t="shared" si="14"/>
        <v>9528</v>
      </c>
      <c r="AL355" s="19">
        <f t="shared" si="14"/>
        <v>964</v>
      </c>
      <c r="AM355" s="19">
        <f t="shared" si="14"/>
        <v>968</v>
      </c>
      <c r="AN355" s="19">
        <f t="shared" si="14"/>
        <v>8629</v>
      </c>
      <c r="AO355" s="19">
        <f t="shared" si="14"/>
        <v>13264</v>
      </c>
      <c r="AP355" s="19">
        <f t="shared" si="14"/>
        <v>9917</v>
      </c>
      <c r="AQ355" s="19">
        <f t="shared" si="14"/>
        <v>8624</v>
      </c>
      <c r="AR355" s="19">
        <f t="shared" si="14"/>
        <v>13263</v>
      </c>
      <c r="AS355" s="19">
        <f t="shared" si="14"/>
        <v>13209</v>
      </c>
      <c r="AT355" s="19">
        <f t="shared" si="14"/>
        <v>13250</v>
      </c>
      <c r="AU355" s="19">
        <f>AU5</f>
        <v>14281</v>
      </c>
      <c r="AV355" s="19">
        <f>AV5</f>
        <v>14282</v>
      </c>
      <c r="AW355" s="19">
        <f t="shared" ref="AW355:BF355" si="15">AW5</f>
        <v>2049</v>
      </c>
      <c r="AX355" s="19">
        <f t="shared" si="15"/>
        <v>7975</v>
      </c>
      <c r="AY355" s="19">
        <f t="shared" si="15"/>
        <v>8004</v>
      </c>
      <c r="AZ355" s="19">
        <f t="shared" si="15"/>
        <v>1008</v>
      </c>
      <c r="BA355" s="19">
        <f t="shared" si="15"/>
        <v>9484</v>
      </c>
      <c r="BB355" s="19">
        <f t="shared" si="15"/>
        <v>682</v>
      </c>
      <c r="BC355" s="19">
        <f t="shared" si="15"/>
        <v>11352</v>
      </c>
      <c r="BD355" s="19">
        <f t="shared" si="15"/>
        <v>2058</v>
      </c>
      <c r="BE355" s="19">
        <f t="shared" si="15"/>
        <v>12088</v>
      </c>
      <c r="BF355" s="19">
        <f t="shared" si="15"/>
        <v>15007</v>
      </c>
      <c r="BG355" s="21"/>
    </row>
    <row r="356" spans="1:59">
      <c r="A356" t="s">
        <v>608</v>
      </c>
      <c r="E356" s="20">
        <f t="shared" ref="E356:AR356" si="16">E345/E352</f>
        <v>0.10433749729625694</v>
      </c>
      <c r="F356" s="20">
        <f t="shared" si="16"/>
        <v>0.180236382225406</v>
      </c>
      <c r="G356" s="20">
        <f t="shared" si="16"/>
        <v>2.4033861576736339E-2</v>
      </c>
      <c r="H356" s="20">
        <f t="shared" si="16"/>
        <v>1.9713636553350167E-2</v>
      </c>
      <c r="I356" s="20">
        <f t="shared" si="16"/>
        <v>7.9953195762079626E-2</v>
      </c>
      <c r="J356" s="20">
        <f t="shared" si="16"/>
        <v>2.5166259956871273E-2</v>
      </c>
      <c r="K356" s="20">
        <f t="shared" si="16"/>
        <v>0.14462824346976791</v>
      </c>
      <c r="L356" s="20">
        <f t="shared" si="16"/>
        <v>9.1390865119931705E-2</v>
      </c>
      <c r="M356" s="20">
        <f t="shared" si="16"/>
        <v>2.6901385451200702E-2</v>
      </c>
      <c r="N356" s="20">
        <f t="shared" si="16"/>
        <v>5.1101973186051183E-2</v>
      </c>
      <c r="O356" s="20">
        <f t="shared" si="16"/>
        <v>0.20216356546275496</v>
      </c>
      <c r="P356" s="20">
        <f t="shared" si="16"/>
        <v>5.6890381730128871E-2</v>
      </c>
      <c r="Q356" s="20">
        <f>Q345/Q352</f>
        <v>2.1270002020605694E-2</v>
      </c>
      <c r="R356" s="20">
        <f t="shared" si="16"/>
        <v>0.62778706034594733</v>
      </c>
      <c r="S356" s="20">
        <f t="shared" si="16"/>
        <v>3.552310606818021E-2</v>
      </c>
      <c r="T356" s="20">
        <f t="shared" si="16"/>
        <v>0.3787091381344776</v>
      </c>
      <c r="U356" s="20">
        <f t="shared" si="16"/>
        <v>7.003314375945742E-2</v>
      </c>
      <c r="V356" s="20">
        <f t="shared" si="16"/>
        <v>0.18532170897301659</v>
      </c>
      <c r="W356" s="20">
        <f t="shared" si="16"/>
        <v>6.5589551055413975E-2</v>
      </c>
      <c r="X356" s="20">
        <f t="shared" si="16"/>
        <v>0.52369655481373356</v>
      </c>
      <c r="Y356" s="20">
        <f t="shared" si="16"/>
        <v>4.7083135640611673E-2</v>
      </c>
      <c r="Z356" s="20">
        <f t="shared" si="16"/>
        <v>8.170955880353567E-2</v>
      </c>
      <c r="AA356" s="20">
        <f t="shared" si="16"/>
        <v>7.139698843268398E-2</v>
      </c>
      <c r="AB356" s="20">
        <f t="shared" si="16"/>
        <v>0.92060768917790303</v>
      </c>
      <c r="AC356" s="20">
        <f t="shared" si="16"/>
        <v>0.18170538645861492</v>
      </c>
      <c r="AD356" s="20">
        <f t="shared" si="16"/>
        <v>0.51915286500881919</v>
      </c>
      <c r="AE356" s="20">
        <f t="shared" si="16"/>
        <v>7.5829194572254788E-2</v>
      </c>
      <c r="AF356" s="20">
        <f t="shared" si="16"/>
        <v>0.69461991396051348</v>
      </c>
      <c r="AG356" s="20">
        <f t="shared" si="16"/>
        <v>0.18568393942742803</v>
      </c>
      <c r="AH356" s="20">
        <f t="shared" si="16"/>
        <v>0.24786847694758027</v>
      </c>
      <c r="AI356" s="20">
        <f t="shared" si="16"/>
        <v>0.17860257982903427</v>
      </c>
      <c r="AJ356" s="20">
        <f t="shared" si="16"/>
        <v>0.35839430898069768</v>
      </c>
      <c r="AK356" s="20">
        <f t="shared" si="16"/>
        <v>0.25906751363333913</v>
      </c>
      <c r="AL356" s="20">
        <f t="shared" si="16"/>
        <v>0.1690784420708511</v>
      </c>
      <c r="AM356" s="20">
        <f t="shared" si="16"/>
        <v>0.34132779991299578</v>
      </c>
      <c r="AN356" s="20">
        <f t="shared" si="16"/>
        <v>0.49614239350210571</v>
      </c>
      <c r="AO356" s="20">
        <f t="shared" si="16"/>
        <v>0.77341809258257743</v>
      </c>
      <c r="AP356" s="20">
        <f t="shared" si="16"/>
        <v>0.4424959074878832</v>
      </c>
      <c r="AQ356" s="20">
        <f t="shared" si="16"/>
        <v>0.3147332933517808</v>
      </c>
      <c r="AR356" s="20">
        <f t="shared" si="16"/>
        <v>0.77276167430748521</v>
      </c>
      <c r="AS356" s="20">
        <f>AS345/AS352</f>
        <v>4.6364538568578695E-2</v>
      </c>
      <c r="AT356" s="20">
        <f>AT345/AT352</f>
        <v>0.7751970297205345</v>
      </c>
      <c r="AU356" s="20">
        <f>AU345/AU352</f>
        <v>0.32208369203354426</v>
      </c>
      <c r="AV356" s="20">
        <f>AV345/AV352</f>
        <v>0.41294595899731362</v>
      </c>
      <c r="AW356" s="20">
        <f>AW345/AW352</f>
        <v>9.9015885327486591E-2</v>
      </c>
      <c r="AX356" s="20">
        <f t="shared" ref="AX356:BF356" si="17">AX345/AX352</f>
        <v>0.37336909248105643</v>
      </c>
      <c r="AY356" s="20">
        <f t="shared" si="17"/>
        <v>9.3973447901588986E-2</v>
      </c>
      <c r="AZ356" s="20">
        <f t="shared" si="17"/>
        <v>0.16525137265240772</v>
      </c>
      <c r="BA356" s="20" t="e">
        <f t="shared" si="17"/>
        <v>#DIV/0!</v>
      </c>
      <c r="BB356" s="20">
        <f t="shared" si="17"/>
        <v>0.1447831836963383</v>
      </c>
      <c r="BC356" s="20">
        <f t="shared" si="17"/>
        <v>9.6580190069324667E-2</v>
      </c>
      <c r="BD356" s="20">
        <f t="shared" si="17"/>
        <v>0.10712388844719035</v>
      </c>
      <c r="BE356" s="20">
        <f t="shared" si="17"/>
        <v>0.33365118822187784</v>
      </c>
      <c r="BF356" s="20">
        <f t="shared" si="17"/>
        <v>0.97631084813083657</v>
      </c>
      <c r="BG356" s="21"/>
    </row>
    <row r="357" spans="1:59">
      <c r="A357" t="s">
        <v>609</v>
      </c>
      <c r="E357" s="20">
        <f t="shared" ref="E357:AR357" si="18">E346/E352</f>
        <v>0.24058262464144314</v>
      </c>
      <c r="F357" s="20">
        <f t="shared" si="18"/>
        <v>0.16372426906551013</v>
      </c>
      <c r="G357" s="20">
        <f t="shared" si="18"/>
        <v>0.34751471011314417</v>
      </c>
      <c r="H357" s="20">
        <f t="shared" si="18"/>
        <v>0</v>
      </c>
      <c r="I357" s="20">
        <f t="shared" si="18"/>
        <v>0.36799855530472519</v>
      </c>
      <c r="J357" s="20">
        <f t="shared" si="18"/>
        <v>0.34539776558496704</v>
      </c>
      <c r="K357" s="20">
        <f t="shared" si="18"/>
        <v>0.16368539779665478</v>
      </c>
      <c r="L357" s="20">
        <f t="shared" si="18"/>
        <v>0.19355743515772303</v>
      </c>
      <c r="M357" s="20">
        <f t="shared" si="18"/>
        <v>0.73885806204357141</v>
      </c>
      <c r="N357" s="20">
        <f t="shared" si="18"/>
        <v>0.24323732423236244</v>
      </c>
      <c r="O357" s="20">
        <f t="shared" si="18"/>
        <v>6.1797747633769606E-2</v>
      </c>
      <c r="P357" s="20">
        <f t="shared" si="18"/>
        <v>0.23867714635617732</v>
      </c>
      <c r="Q357" s="20">
        <f>Q346/Q352</f>
        <v>0.77591675726825315</v>
      </c>
      <c r="R357" s="20">
        <f t="shared" si="18"/>
        <v>0</v>
      </c>
      <c r="S357" s="20">
        <f t="shared" si="18"/>
        <v>0.77241719479256588</v>
      </c>
      <c r="T357" s="20">
        <f t="shared" si="18"/>
        <v>0.14373528195834864</v>
      </c>
      <c r="U357" s="20">
        <f t="shared" si="18"/>
        <v>0.21633214116381386</v>
      </c>
      <c r="V357" s="20">
        <f t="shared" si="18"/>
        <v>0.17576843354972949</v>
      </c>
      <c r="W357" s="20">
        <f t="shared" si="18"/>
        <v>0.93505181962408146</v>
      </c>
      <c r="X357" s="20">
        <f t="shared" si="18"/>
        <v>5.0476214631033536E-2</v>
      </c>
      <c r="Y357" s="20">
        <f t="shared" si="18"/>
        <v>0.73247462411643904</v>
      </c>
      <c r="Z357" s="20">
        <f t="shared" si="18"/>
        <v>0.28076111393943154</v>
      </c>
      <c r="AA357" s="20">
        <f t="shared" si="18"/>
        <v>0.24615769031938919</v>
      </c>
      <c r="AB357" s="20">
        <f t="shared" si="18"/>
        <v>0</v>
      </c>
      <c r="AC357" s="20">
        <f t="shared" si="18"/>
        <v>0.14312065758552686</v>
      </c>
      <c r="AD357" s="20">
        <f t="shared" si="18"/>
        <v>0</v>
      </c>
      <c r="AE357" s="20">
        <f t="shared" si="18"/>
        <v>0.32005180125291099</v>
      </c>
      <c r="AF357" s="20">
        <f t="shared" si="18"/>
        <v>1.5483734228725237E-5</v>
      </c>
      <c r="AG357" s="20">
        <f t="shared" si="18"/>
        <v>0.13100576074383313</v>
      </c>
      <c r="AH357" s="20">
        <f t="shared" si="18"/>
        <v>0.15000508767698612</v>
      </c>
      <c r="AI357" s="20">
        <f t="shared" si="18"/>
        <v>0.1307588078836272</v>
      </c>
      <c r="AJ357" s="20">
        <f t="shared" si="18"/>
        <v>1.7028730867286793E-2</v>
      </c>
      <c r="AK357" s="20">
        <f t="shared" si="18"/>
        <v>0.11268797131086841</v>
      </c>
      <c r="AL357" s="20">
        <f t="shared" si="18"/>
        <v>0.11414241955000645</v>
      </c>
      <c r="AM357" s="20">
        <f t="shared" si="18"/>
        <v>1.6322966797942939E-2</v>
      </c>
      <c r="AN357" s="20">
        <f t="shared" si="18"/>
        <v>0</v>
      </c>
      <c r="AO357" s="20">
        <f t="shared" si="18"/>
        <v>0</v>
      </c>
      <c r="AP357" s="20">
        <f t="shared" si="18"/>
        <v>0.12403066035258117</v>
      </c>
      <c r="AQ357" s="20">
        <f t="shared" si="18"/>
        <v>0.23002221344591073</v>
      </c>
      <c r="AR357" s="20">
        <f t="shared" si="18"/>
        <v>0</v>
      </c>
      <c r="AS357" s="20">
        <f>AS346/AS352</f>
        <v>0.75096881798548332</v>
      </c>
      <c r="AT357" s="20">
        <f>AT346/AT352</f>
        <v>0</v>
      </c>
      <c r="AU357" s="20">
        <f>AU346/AU352</f>
        <v>0.16632235179841984</v>
      </c>
      <c r="AV357" s="20">
        <f>AV346/AV352</f>
        <v>0.19147232874567324</v>
      </c>
      <c r="AW357" s="20">
        <f>AW346/AW352</f>
        <v>0</v>
      </c>
      <c r="AX357" s="20">
        <f t="shared" ref="AX357:BF357" si="19">AX346/AX352</f>
        <v>1.7228511466530465E-2</v>
      </c>
      <c r="AY357" s="20">
        <f t="shared" si="19"/>
        <v>0</v>
      </c>
      <c r="AZ357" s="20">
        <f t="shared" si="19"/>
        <v>0.33594630915129098</v>
      </c>
      <c r="BA357" s="20" t="e">
        <f t="shared" si="19"/>
        <v>#DIV/0!</v>
      </c>
      <c r="BB357" s="20">
        <f t="shared" si="19"/>
        <v>0.39276413333917004</v>
      </c>
      <c r="BC357" s="20">
        <f t="shared" si="19"/>
        <v>0</v>
      </c>
      <c r="BD357" s="20">
        <f t="shared" si="19"/>
        <v>0</v>
      </c>
      <c r="BE357" s="20">
        <f t="shared" si="19"/>
        <v>9.1716620126332679E-2</v>
      </c>
      <c r="BF357" s="20">
        <f t="shared" si="19"/>
        <v>0</v>
      </c>
      <c r="BG357" s="21"/>
    </row>
    <row r="358" spans="1:59">
      <c r="A358" t="s">
        <v>610</v>
      </c>
      <c r="E358" s="20">
        <f t="shared" ref="E358:AR358" si="20">E347/E352</f>
        <v>0.20415427504093869</v>
      </c>
      <c r="F358" s="20">
        <f t="shared" si="20"/>
        <v>0.2691137708980238</v>
      </c>
      <c r="G358" s="20">
        <f t="shared" si="20"/>
        <v>0.47204317882988628</v>
      </c>
      <c r="H358" s="20">
        <f t="shared" si="20"/>
        <v>7.0799961784392892E-2</v>
      </c>
      <c r="I358" s="20">
        <f t="shared" si="20"/>
        <v>0.31367704493047982</v>
      </c>
      <c r="J358" s="20">
        <f t="shared" si="20"/>
        <v>0.46844408590165976</v>
      </c>
      <c r="K358" s="20">
        <f t="shared" si="20"/>
        <v>7.7442579563940017E-2</v>
      </c>
      <c r="L358" s="20">
        <f t="shared" si="20"/>
        <v>0.43438905040070275</v>
      </c>
      <c r="M358" s="20">
        <f t="shared" si="20"/>
        <v>0.19587613204113269</v>
      </c>
      <c r="N358" s="20">
        <f t="shared" si="20"/>
        <v>0.35029451294646352</v>
      </c>
      <c r="O358" s="20">
        <f t="shared" si="20"/>
        <v>0.102247394623679</v>
      </c>
      <c r="P358" s="20">
        <f t="shared" si="20"/>
        <v>0.32755629739070796</v>
      </c>
      <c r="Q358" s="20">
        <f>Q347/Q352</f>
        <v>0.20303446809810843</v>
      </c>
      <c r="R358" s="20">
        <f t="shared" si="20"/>
        <v>0</v>
      </c>
      <c r="S358" s="20">
        <f t="shared" si="20"/>
        <v>3.174782828245622E-3</v>
      </c>
      <c r="T358" s="20">
        <f t="shared" si="20"/>
        <v>0.34056317976076217</v>
      </c>
      <c r="U358" s="20">
        <f t="shared" si="20"/>
        <v>0.65747365571980287</v>
      </c>
      <c r="V358" s="20">
        <f t="shared" si="20"/>
        <v>0.37439932040492807</v>
      </c>
      <c r="W358" s="20">
        <f t="shared" si="20"/>
        <v>0</v>
      </c>
      <c r="X358" s="20">
        <f t="shared" si="20"/>
        <v>0.22095519243072206</v>
      </c>
      <c r="Y358" s="20">
        <f t="shared" si="20"/>
        <v>0.19418384687602702</v>
      </c>
      <c r="Z358" s="20">
        <f t="shared" si="20"/>
        <v>0.49736933576882303</v>
      </c>
      <c r="AA358" s="20">
        <f t="shared" si="20"/>
        <v>0.44204685511903052</v>
      </c>
      <c r="AB358" s="20">
        <f t="shared" si="20"/>
        <v>0</v>
      </c>
      <c r="AC358" s="20">
        <f t="shared" si="20"/>
        <v>0.1291526680772481</v>
      </c>
      <c r="AD358" s="20">
        <f t="shared" si="20"/>
        <v>0.16441200912232345</v>
      </c>
      <c r="AE358" s="20">
        <f t="shared" si="20"/>
        <v>0.47422701048132238</v>
      </c>
      <c r="AF358" s="20">
        <f t="shared" si="20"/>
        <v>0</v>
      </c>
      <c r="AG358" s="20">
        <f t="shared" si="20"/>
        <v>0.30364535062506975</v>
      </c>
      <c r="AH358" s="20">
        <f t="shared" si="20"/>
        <v>0.26130718733409219</v>
      </c>
      <c r="AI358" s="20">
        <f t="shared" si="20"/>
        <v>7.1660411750323991E-2</v>
      </c>
      <c r="AJ358" s="20">
        <f t="shared" si="20"/>
        <v>1.2241079508993115E-2</v>
      </c>
      <c r="AK358" s="20">
        <f t="shared" si="20"/>
        <v>0.2447833867133381</v>
      </c>
      <c r="AL358" s="20">
        <f t="shared" si="20"/>
        <v>0.1512825160779965</v>
      </c>
      <c r="AM358" s="20">
        <f t="shared" si="20"/>
        <v>1.1138854140472318E-2</v>
      </c>
      <c r="AN358" s="20">
        <f t="shared" si="20"/>
        <v>0.16867731009319065</v>
      </c>
      <c r="AO358" s="20">
        <f t="shared" si="20"/>
        <v>0</v>
      </c>
      <c r="AP358" s="20">
        <f t="shared" si="20"/>
        <v>0.26642832089633367</v>
      </c>
      <c r="AQ358" s="20">
        <f t="shared" si="20"/>
        <v>0.34266099019677942</v>
      </c>
      <c r="AR358" s="20">
        <f t="shared" si="20"/>
        <v>0</v>
      </c>
      <c r="AS358" s="20">
        <f>AS347/AS352</f>
        <v>0.19908678401442631</v>
      </c>
      <c r="AT358" s="20">
        <f>AT347/AT352</f>
        <v>0</v>
      </c>
      <c r="AU358" s="20">
        <f>AU347/AU352</f>
        <v>0.2729012905087399</v>
      </c>
      <c r="AV358" s="20">
        <f>AV347/AV352</f>
        <v>0.26207934043934078</v>
      </c>
      <c r="AW358" s="20">
        <f>AW347/AW352</f>
        <v>0</v>
      </c>
      <c r="AX358" s="20">
        <f t="shared" ref="AX358:BF358" si="21">AX347/AX352</f>
        <v>1.1960620644615668E-2</v>
      </c>
      <c r="AY358" s="20">
        <f t="shared" si="21"/>
        <v>0</v>
      </c>
      <c r="AZ358" s="20">
        <f t="shared" si="21"/>
        <v>0.23789036926969356</v>
      </c>
      <c r="BA358" s="20" t="e">
        <f t="shared" si="21"/>
        <v>#DIV/0!</v>
      </c>
      <c r="BB358" s="20">
        <f t="shared" si="21"/>
        <v>0.33204063331845524</v>
      </c>
      <c r="BC358" s="20">
        <f t="shared" si="21"/>
        <v>0</v>
      </c>
      <c r="BD358" s="20">
        <f t="shared" si="21"/>
        <v>0</v>
      </c>
      <c r="BE358" s="20">
        <f t="shared" si="21"/>
        <v>0.3702512375678475</v>
      </c>
      <c r="BF358" s="20">
        <f t="shared" si="21"/>
        <v>0</v>
      </c>
      <c r="BG358" s="21"/>
    </row>
    <row r="359" spans="1:59">
      <c r="A359" t="s">
        <v>611</v>
      </c>
      <c r="E359" s="20">
        <f t="shared" ref="E359:AR359" si="22">E348/E352</f>
        <v>0.14264292378299509</v>
      </c>
      <c r="F359" s="20">
        <f t="shared" si="22"/>
        <v>0.25938032861811627</v>
      </c>
      <c r="G359" s="20">
        <f t="shared" si="22"/>
        <v>8.4383724078892664E-5</v>
      </c>
      <c r="H359" s="20">
        <f t="shared" si="22"/>
        <v>1.034123814982211E-2</v>
      </c>
      <c r="I359" s="20">
        <f t="shared" si="22"/>
        <v>7.5130080223007933E-2</v>
      </c>
      <c r="J359" s="20">
        <f t="shared" si="22"/>
        <v>7.990970491077844E-5</v>
      </c>
      <c r="K359" s="20">
        <f t="shared" si="22"/>
        <v>0.2374311046351805</v>
      </c>
      <c r="L359" s="20">
        <f t="shared" si="22"/>
        <v>9.2301024487270886E-2</v>
      </c>
      <c r="M359" s="20">
        <f t="shared" si="22"/>
        <v>0</v>
      </c>
      <c r="N359" s="20">
        <f t="shared" si="22"/>
        <v>4.893912529296434E-2</v>
      </c>
      <c r="O359" s="20">
        <f t="shared" si="22"/>
        <v>0.3180348442256527</v>
      </c>
      <c r="P359" s="20">
        <f t="shared" si="22"/>
        <v>5.9573619401876908E-2</v>
      </c>
      <c r="Q359" s="20">
        <f>Q348/Q352</f>
        <v>0</v>
      </c>
      <c r="R359" s="20">
        <f t="shared" si="22"/>
        <v>0.35922346780474579</v>
      </c>
      <c r="S359" s="20">
        <f t="shared" si="22"/>
        <v>1.3840612287677697E-3</v>
      </c>
      <c r="T359" s="20">
        <f t="shared" si="22"/>
        <v>0.13294012051263604</v>
      </c>
      <c r="U359" s="20">
        <f t="shared" si="22"/>
        <v>4.821069851707431E-3</v>
      </c>
      <c r="V359" s="20">
        <f t="shared" si="22"/>
        <v>0.23230482767291225</v>
      </c>
      <c r="W359" s="20">
        <f t="shared" si="22"/>
        <v>0</v>
      </c>
      <c r="X359" s="20">
        <f t="shared" si="22"/>
        <v>0.1984787445055394</v>
      </c>
      <c r="Y359" s="20">
        <f t="shared" si="22"/>
        <v>0</v>
      </c>
      <c r="Z359" s="20">
        <f t="shared" si="22"/>
        <v>9.1170127252179493E-5</v>
      </c>
      <c r="AA359" s="20">
        <f t="shared" si="22"/>
        <v>6.8725569039319798E-2</v>
      </c>
      <c r="AB359" s="20">
        <f t="shared" si="22"/>
        <v>0.10066446374985585</v>
      </c>
      <c r="AC359" s="20">
        <f t="shared" si="22"/>
        <v>0.26323525104634271</v>
      </c>
      <c r="AD359" s="20">
        <f t="shared" si="22"/>
        <v>0.30480453162040999</v>
      </c>
      <c r="AE359" s="20">
        <f t="shared" si="22"/>
        <v>7.4522097543218378E-5</v>
      </c>
      <c r="AF359" s="20">
        <f t="shared" si="22"/>
        <v>0.29720775665123333</v>
      </c>
      <c r="AG359" s="20">
        <f t="shared" si="22"/>
        <v>0.26004512704185373</v>
      </c>
      <c r="AH359" s="20">
        <f t="shared" si="22"/>
        <v>0.33689622187553525</v>
      </c>
      <c r="AI359" s="20">
        <f t="shared" si="22"/>
        <v>0.25231350187279</v>
      </c>
      <c r="AJ359" s="20">
        <f t="shared" si="22"/>
        <v>0.57557576189118365</v>
      </c>
      <c r="AK359" s="20">
        <f t="shared" si="22"/>
        <v>0.36767834038701774</v>
      </c>
      <c r="AL359" s="20">
        <f t="shared" si="22"/>
        <v>0.25988036974293799</v>
      </c>
      <c r="AM359" s="20">
        <f t="shared" si="22"/>
        <v>0.55164676450827499</v>
      </c>
      <c r="AN359" s="20">
        <f t="shared" si="22"/>
        <v>0.32053653885285577</v>
      </c>
      <c r="AO359" s="20">
        <f t="shared" si="22"/>
        <v>0.19649121218420443</v>
      </c>
      <c r="AP359" s="20">
        <f t="shared" si="22"/>
        <v>0.16182005472597893</v>
      </c>
      <c r="AQ359" s="20">
        <f t="shared" si="22"/>
        <v>0.10945453542441803</v>
      </c>
      <c r="AR359" s="20">
        <f t="shared" si="22"/>
        <v>0.19670185677355698</v>
      </c>
      <c r="AS359" s="20">
        <f>AS348/AS352</f>
        <v>0</v>
      </c>
      <c r="AT359" s="20">
        <f>AT348/AT352</f>
        <v>0.19702617355949018</v>
      </c>
      <c r="AU359" s="20">
        <f>AU348/AU352</f>
        <v>0.22434400387417225</v>
      </c>
      <c r="AV359" s="20">
        <f>AV348/AV352</f>
        <v>0.12953258601627898</v>
      </c>
      <c r="AW359" s="20">
        <f>AW348/AW352</f>
        <v>0.90200059163803137</v>
      </c>
      <c r="AX359" s="20">
        <f t="shared" ref="AX359:BF359" si="23">AX348/AX352</f>
        <v>0.57704799555644526</v>
      </c>
      <c r="AY359" s="20">
        <f t="shared" si="23"/>
        <v>0.91069705117667654</v>
      </c>
      <c r="AZ359" s="20">
        <f t="shared" si="23"/>
        <v>0.20096126146244564</v>
      </c>
      <c r="BA359" s="20" t="e">
        <f t="shared" si="23"/>
        <v>#DIV/0!</v>
      </c>
      <c r="BB359" s="20">
        <f t="shared" si="23"/>
        <v>0.1144106630002257</v>
      </c>
      <c r="BC359" s="20">
        <f t="shared" si="23"/>
        <v>0.90336814739462046</v>
      </c>
      <c r="BD359" s="20">
        <f t="shared" si="23"/>
        <v>0.89338806426496098</v>
      </c>
      <c r="BE359" s="20">
        <f t="shared" si="23"/>
        <v>0.20026457788999624</v>
      </c>
      <c r="BF359" s="20">
        <f t="shared" si="23"/>
        <v>2.9317755203042327E-2</v>
      </c>
      <c r="BG359" s="21"/>
    </row>
    <row r="360" spans="1:59">
      <c r="A360" t="s">
        <v>612</v>
      </c>
      <c r="E360" s="20">
        <f t="shared" ref="E360:AR360" si="24">E349/E352</f>
        <v>9.5226766289793541E-2</v>
      </c>
      <c r="F360" s="20">
        <f t="shared" si="24"/>
        <v>5.8700972075875948E-2</v>
      </c>
      <c r="G360" s="20">
        <f t="shared" si="24"/>
        <v>8.9796495904877732E-2</v>
      </c>
      <c r="H360" s="20">
        <f t="shared" si="24"/>
        <v>0.88092274787460823</v>
      </c>
      <c r="I360" s="20">
        <f t="shared" si="24"/>
        <v>9.1201957917653398E-2</v>
      </c>
      <c r="J360" s="20">
        <f t="shared" si="24"/>
        <v>9.6124581707264831E-2</v>
      </c>
      <c r="K360" s="20">
        <f t="shared" si="24"/>
        <v>0.12749501660315937</v>
      </c>
      <c r="L360" s="20">
        <f t="shared" si="24"/>
        <v>8.346090752616625E-2</v>
      </c>
      <c r="M360" s="20">
        <f t="shared" si="24"/>
        <v>2.2298515394650317E-2</v>
      </c>
      <c r="N360" s="20">
        <f t="shared" si="24"/>
        <v>9.5594401605314641E-2</v>
      </c>
      <c r="O360" s="20">
        <f t="shared" si="24"/>
        <v>8.0668233489857716E-2</v>
      </c>
      <c r="P360" s="20">
        <f t="shared" si="24"/>
        <v>0.11677052010591972</v>
      </c>
      <c r="Q360" s="20">
        <f>Q349/Q352</f>
        <v>0</v>
      </c>
      <c r="R360" s="20">
        <f t="shared" si="24"/>
        <v>0</v>
      </c>
      <c r="S360" s="20">
        <f t="shared" si="24"/>
        <v>0.11862418391668519</v>
      </c>
      <c r="T360" s="20">
        <f t="shared" si="24"/>
        <v>0</v>
      </c>
      <c r="U360" s="20">
        <f t="shared" si="24"/>
        <v>8.8847887363720183E-3</v>
      </c>
      <c r="V360" s="20">
        <f t="shared" si="24"/>
        <v>5.84397776822951E-7</v>
      </c>
      <c r="W360" s="20">
        <f t="shared" si="24"/>
        <v>0</v>
      </c>
      <c r="X360" s="20">
        <f t="shared" si="24"/>
        <v>3.1295556589565678E-6</v>
      </c>
      <c r="Y360" s="20">
        <f t="shared" si="24"/>
        <v>1.0307751239991177E-2</v>
      </c>
      <c r="Z360" s="20">
        <f t="shared" si="24"/>
        <v>8.2551504777210752E-2</v>
      </c>
      <c r="AA360" s="20">
        <f t="shared" si="24"/>
        <v>0.10608539260708573</v>
      </c>
      <c r="AB360" s="20">
        <f t="shared" si="24"/>
        <v>0</v>
      </c>
      <c r="AC360" s="20">
        <f t="shared" si="24"/>
        <v>0.13156990492567208</v>
      </c>
      <c r="AD360" s="20">
        <f t="shared" si="24"/>
        <v>0</v>
      </c>
      <c r="AE360" s="20">
        <f t="shared" si="24"/>
        <v>6.6824534137106525E-2</v>
      </c>
      <c r="AF360" s="20">
        <f t="shared" si="24"/>
        <v>0</v>
      </c>
      <c r="AG360" s="20">
        <f t="shared" si="24"/>
        <v>6.7720573950505389E-2</v>
      </c>
      <c r="AH360" s="20">
        <f t="shared" si="24"/>
        <v>0</v>
      </c>
      <c r="AI360" s="20">
        <f t="shared" si="24"/>
        <v>0.15042806457754554</v>
      </c>
      <c r="AJ360" s="20">
        <f t="shared" si="24"/>
        <v>1.4392507751358127E-2</v>
      </c>
      <c r="AK360" s="20">
        <f t="shared" si="24"/>
        <v>1.1696916434639682E-2</v>
      </c>
      <c r="AL360" s="20">
        <f t="shared" si="24"/>
        <v>0.10476104406827222</v>
      </c>
      <c r="AM360" s="20">
        <f t="shared" si="24"/>
        <v>5.8413192238916598E-2</v>
      </c>
      <c r="AN360" s="20">
        <f t="shared" si="24"/>
        <v>4.1810662158848261E-5</v>
      </c>
      <c r="AO360" s="20">
        <f t="shared" si="24"/>
        <v>9.8067754484137287E-6</v>
      </c>
      <c r="AP360" s="20">
        <f t="shared" si="24"/>
        <v>3.5283932301256765E-5</v>
      </c>
      <c r="AQ360" s="20">
        <f t="shared" si="24"/>
        <v>0</v>
      </c>
      <c r="AR360" s="20">
        <f t="shared" si="24"/>
        <v>2.1647913183845705E-5</v>
      </c>
      <c r="AS360" s="20">
        <f>AS349/AS352</f>
        <v>1.5464588119458344E-2</v>
      </c>
      <c r="AT360" s="20">
        <f>AT349/AT352</f>
        <v>2.2026031089891334E-4</v>
      </c>
      <c r="AU360" s="20">
        <f>AU349/AU352</f>
        <v>2.8000666975887367E-7</v>
      </c>
      <c r="AV360" s="20">
        <f>AV349/AV352</f>
        <v>0</v>
      </c>
      <c r="AW360" s="20">
        <f>AW349/AW352</f>
        <v>0</v>
      </c>
      <c r="AX360" s="20">
        <f t="shared" ref="AX360:BF360" si="25">AX349/AX352</f>
        <v>1.1168194214595901E-2</v>
      </c>
      <c r="AY360" s="20">
        <f t="shared" si="25"/>
        <v>0</v>
      </c>
      <c r="AZ360" s="20">
        <f t="shared" si="25"/>
        <v>6.1098421308441019E-7</v>
      </c>
      <c r="BA360" s="20" t="e">
        <f t="shared" si="25"/>
        <v>#DIV/0!</v>
      </c>
      <c r="BB360" s="20">
        <f t="shared" si="25"/>
        <v>1.0487955254092475E-3</v>
      </c>
      <c r="BC360" s="20">
        <f t="shared" si="25"/>
        <v>0</v>
      </c>
      <c r="BD360" s="20">
        <f t="shared" si="25"/>
        <v>0</v>
      </c>
      <c r="BE360" s="20">
        <f t="shared" si="25"/>
        <v>0</v>
      </c>
      <c r="BF360" s="20">
        <f t="shared" si="25"/>
        <v>0</v>
      </c>
      <c r="BG360" s="21"/>
    </row>
    <row r="361" spans="1:59">
      <c r="A361" t="s">
        <v>613</v>
      </c>
      <c r="E361" s="20">
        <f t="shared" ref="E361:P361" si="26">E350/E352</f>
        <v>0.2130559129485726</v>
      </c>
      <c r="F361" s="20">
        <f t="shared" si="26"/>
        <v>6.8844277117067823E-2</v>
      </c>
      <c r="G361" s="20">
        <f t="shared" si="26"/>
        <v>6.652736985127658E-2</v>
      </c>
      <c r="H361" s="20">
        <f t="shared" si="26"/>
        <v>1.8222415637826735E-2</v>
      </c>
      <c r="I361" s="20">
        <f t="shared" si="26"/>
        <v>7.2039165862054069E-2</v>
      </c>
      <c r="J361" s="20">
        <f t="shared" si="26"/>
        <v>6.4787397144326409E-2</v>
      </c>
      <c r="K361" s="20">
        <f t="shared" si="26"/>
        <v>0.2493176579312974</v>
      </c>
      <c r="L361" s="20">
        <f t="shared" si="26"/>
        <v>0.10490071730820541</v>
      </c>
      <c r="M361" s="20">
        <f t="shared" si="26"/>
        <v>1.6065905069444799E-2</v>
      </c>
      <c r="N361" s="20">
        <f t="shared" si="26"/>
        <v>0.21083266273684384</v>
      </c>
      <c r="O361" s="20">
        <f t="shared" si="26"/>
        <v>0.23508821456428608</v>
      </c>
      <c r="P361" s="20">
        <f t="shared" si="26"/>
        <v>0.20053203501518929</v>
      </c>
      <c r="Q361" s="20">
        <f>Q350/Q352</f>
        <v>-2.2122738696727371E-4</v>
      </c>
      <c r="R361" s="20">
        <f t="shared" ref="R361:AR361" si="27">R350/R352</f>
        <v>1.2989471849306893E-2</v>
      </c>
      <c r="S361" s="20">
        <f t="shared" si="27"/>
        <v>6.8876671165555292E-2</v>
      </c>
      <c r="T361" s="20">
        <f t="shared" si="27"/>
        <v>4.0522796337756689E-3</v>
      </c>
      <c r="U361" s="20">
        <f t="shared" si="27"/>
        <v>4.2455200768846513E-2</v>
      </c>
      <c r="V361" s="20">
        <f t="shared" si="27"/>
        <v>3.2205125001636969E-2</v>
      </c>
      <c r="W361" s="20">
        <f t="shared" si="27"/>
        <v>-6.4137067949556923E-4</v>
      </c>
      <c r="X361" s="20">
        <f t="shared" si="27"/>
        <v>6.3901640633123686E-3</v>
      </c>
      <c r="Y361" s="20">
        <f t="shared" si="27"/>
        <v>1.595064212693113E-2</v>
      </c>
      <c r="Z361" s="20">
        <f t="shared" si="27"/>
        <v>5.7517316583747057E-2</v>
      </c>
      <c r="AA361" s="20">
        <f t="shared" si="27"/>
        <v>6.5587504482490663E-2</v>
      </c>
      <c r="AB361" s="20">
        <f t="shared" si="27"/>
        <v>-2.1272152927758955E-2</v>
      </c>
      <c r="AC361" s="20">
        <f t="shared" si="27"/>
        <v>0.15121613190659536</v>
      </c>
      <c r="AD361" s="20">
        <f t="shared" si="27"/>
        <v>1.163059424844737E-2</v>
      </c>
      <c r="AE361" s="20">
        <f t="shared" si="27"/>
        <v>6.2992937458862072E-2</v>
      </c>
      <c r="AF361" s="20">
        <f t="shared" si="27"/>
        <v>8.1568456540244832E-3</v>
      </c>
      <c r="AG361" s="20">
        <f t="shared" si="27"/>
        <v>5.1899248211310027E-2</v>
      </c>
      <c r="AH361" s="20">
        <f t="shared" si="27"/>
        <v>3.9230261658062216E-3</v>
      </c>
      <c r="AI361" s="20">
        <f t="shared" si="27"/>
        <v>0.21623663408667904</v>
      </c>
      <c r="AJ361" s="20">
        <f t="shared" si="27"/>
        <v>2.2367611000480563E-2</v>
      </c>
      <c r="AK361" s="20">
        <f t="shared" si="27"/>
        <v>4.0858715207969286E-3</v>
      </c>
      <c r="AL361" s="20">
        <f t="shared" si="27"/>
        <v>0.20085520848993574</v>
      </c>
      <c r="AM361" s="20">
        <f t="shared" si="27"/>
        <v>2.1150422401397261E-2</v>
      </c>
      <c r="AN361" s="20">
        <f t="shared" si="27"/>
        <v>1.4601946889689075E-2</v>
      </c>
      <c r="AO361" s="20">
        <f t="shared" si="27"/>
        <v>3.0080888457769669E-2</v>
      </c>
      <c r="AP361" s="20">
        <f t="shared" si="27"/>
        <v>5.1897726049215127E-3</v>
      </c>
      <c r="AQ361" s="20">
        <f t="shared" si="27"/>
        <v>3.1289675811110159E-3</v>
      </c>
      <c r="AR361" s="20">
        <f t="shared" si="27"/>
        <v>3.051482100577383E-2</v>
      </c>
      <c r="AS361" s="20">
        <f>AS350/AS352</f>
        <v>-1.1884728687946624E-2</v>
      </c>
      <c r="AT361" s="20">
        <f>AT350/AT352</f>
        <v>2.7556536409076196E-2</v>
      </c>
      <c r="AU361" s="20">
        <f>AU350/AU352</f>
        <v>1.4348381778453963E-2</v>
      </c>
      <c r="AV361" s="20">
        <f>AV350/AV352</f>
        <v>3.9697858013932764E-3</v>
      </c>
      <c r="AW361" s="20">
        <f>AW350/AW352</f>
        <v>-1.0164769655178537E-3</v>
      </c>
      <c r="AX361" s="20">
        <f t="shared" ref="AX361:BF361" si="28">AX350/AX352</f>
        <v>9.2255856367561371E-3</v>
      </c>
      <c r="AY361" s="20">
        <f t="shared" si="28"/>
        <v>-4.6704990782654105E-3</v>
      </c>
      <c r="AZ361" s="20">
        <f t="shared" si="28"/>
        <v>5.9950076479948849E-2</v>
      </c>
      <c r="BA361" s="20" t="e">
        <f t="shared" si="28"/>
        <v>#DIV/0!</v>
      </c>
      <c r="BB361" s="20">
        <f t="shared" si="28"/>
        <v>1.4952591120401393E-2</v>
      </c>
      <c r="BC361" s="20">
        <f t="shared" si="28"/>
        <v>5.1662536054881617E-5</v>
      </c>
      <c r="BD361" s="20">
        <f t="shared" si="28"/>
        <v>-5.1195271215139903E-4</v>
      </c>
      <c r="BE361" s="20">
        <f t="shared" si="28"/>
        <v>4.1163761939457862E-3</v>
      </c>
      <c r="BF361" s="20">
        <f t="shared" si="28"/>
        <v>-5.6286033338789829E-3</v>
      </c>
      <c r="BG361" s="21"/>
    </row>
    <row r="362" spans="1:59">
      <c r="A362" s="21" t="s">
        <v>710</v>
      </c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</row>
  </sheetData>
  <mergeCells count="3">
    <mergeCell ref="A3:BF3"/>
    <mergeCell ref="BG3:BG362"/>
    <mergeCell ref="A362:BF362"/>
  </mergeCells>
  <conditionalFormatting sqref="A19:A35">
    <cfRule type="cellIs" dxfId="3" priority="8" stopIfTrue="1" operator="lessThan">
      <formula>0</formula>
    </cfRule>
  </conditionalFormatting>
  <conditionalFormatting sqref="B25:B35">
    <cfRule type="cellIs" dxfId="2" priority="17" stopIfTrue="1" operator="lessThan">
      <formula>0</formula>
    </cfRule>
  </conditionalFormatting>
  <conditionalFormatting sqref="C18:D26">
    <cfRule type="cellIs" dxfId="1" priority="9" stopIfTrue="1" operator="lessThan">
      <formula>0</formula>
    </cfRule>
  </conditionalFormatting>
  <conditionalFormatting sqref="E17:BF25">
    <cfRule type="cellIs" dxfId="0" priority="1" stopIfTrue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1</Category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ktp xmlns="e7c93c0b-31f4-4d6d-a404-57fd37393f5c">
      <Value>17</Value>
      <Value>14</Value>
      <Value>15</Value>
      <Value>16</Value>
      <Value>6</Value>
      <Value>1</Value>
      <Value>2</Value>
      <Value>3</Value>
      <Value>4</Value>
      <Value>8</Value>
      <Value>9</Value>
      <Value>5</Value>
      <Value>10</Value>
      <Value>11</Value>
      <Value>12</Value>
      <Value>13</Value>
    </kupa_ktp>
    <Kupa_Hishtalmut xmlns="e7c93c0b-31f4-4d6d-a404-57fd37393f5c">
      <Value>6</Value>
      <Value>7</Value>
      <Value>13</Value>
      <Value>14</Value>
      <Value>9</Value>
      <Value>1</Value>
      <Value>2</Value>
      <Value>3</Value>
      <Value>11</Value>
      <Value>12</Value>
      <Value>4</Value>
      <Value>5</Value>
    </Kupa_Hishtalmut>
    <kupa_tagmulim xmlns="e7c93c0b-31f4-4d6d-a404-57fd37393f5c"/>
    <Kupa_hly xmlns="e7c93c0b-31f4-4d6d-a404-57fd37393f5c">
      <Value>1</Value>
      <Value>2</Value>
      <Value>3</Value>
      <Value>4</Value>
      <Value>5</Value>
    </Kupa_hly>
    <Kupa_kgl xmlns="e7c93c0b-31f4-4d6d-a404-57fd37393f5c">
      <Value>8</Value>
      <Value>9</Value>
      <Value>1</Value>
      <Value>2</Value>
      <Value>3</Value>
      <Value>4</Value>
      <Value>5</Value>
      <Value>6</Value>
      <Value>7</Value>
    </Kupa_kgl>
  </documentManagement>
</p:properties>
</file>

<file path=customXml/itemProps1.xml><?xml version="1.0" encoding="utf-8"?>
<ds:datastoreItem xmlns:ds="http://schemas.openxmlformats.org/officeDocument/2006/customXml" ds:itemID="{3A9004B9-4EFB-453A-8357-1FEC7B7BB44C}"/>
</file>

<file path=customXml/itemProps2.xml><?xml version="1.0" encoding="utf-8"?>
<ds:datastoreItem xmlns:ds="http://schemas.openxmlformats.org/officeDocument/2006/customXml" ds:itemID="{1A373192-2D27-48A7-BF25-C7BF74D4F228}"/>
</file>

<file path=customXml/itemProps3.xml><?xml version="1.0" encoding="utf-8"?>
<ds:datastoreItem xmlns:ds="http://schemas.openxmlformats.org/officeDocument/2006/customXml" ds:itemID="{78149A3D-7E0C-423B-BE16-DB31FEAA21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UMTB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6/2024</dc:title>
  <dc:creator>פרידמן אמיר</dc:creator>
  <cp:lastModifiedBy>שרון מוזס</cp:lastModifiedBy>
  <dcterms:created xsi:type="dcterms:W3CDTF">2024-07-17T15:10:25Z</dcterms:created>
  <dcterms:modified xsi:type="dcterms:W3CDTF">2024-07-22T11:57:20Z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