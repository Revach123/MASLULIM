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filterPrivacy="1"/>
  <xr:revisionPtr revIDLastSave="0" documentId="8_{AE04AE3F-9FB9-42D2-8509-D887B28DA521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נספח 1" sheetId="1" r:id="rId1"/>
    <sheet name="נספח 2" sheetId="2" r:id="rId2"/>
    <sheet name="נספח 3" sheetId="3" r:id="rId3"/>
    <sheet name="מסלולים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3" l="1"/>
  <c r="C30" i="3"/>
  <c r="C14" i="3"/>
  <c r="C47" i="3" s="1"/>
  <c r="C39" i="2"/>
  <c r="C31" i="2"/>
  <c r="C27" i="2"/>
  <c r="C23" i="2"/>
  <c r="C14" i="2"/>
  <c r="C49" i="2" l="1"/>
</calcChain>
</file>

<file path=xl/sharedStrings.xml><?xml version="1.0" encoding="utf-8"?>
<sst xmlns="http://schemas.openxmlformats.org/spreadsheetml/2006/main" count="244" uniqueCount="143">
  <si>
    <t>קוד אוצר</t>
  </si>
  <si>
    <t xml:space="preserve">אלפי ₪ </t>
  </si>
  <si>
    <t>1. סה"כ עמלות קנייה ומכירה</t>
  </si>
  <si>
    <t>YT100</t>
  </si>
  <si>
    <t>סך עמלות קנייה ומכירה לצדדים קשורים</t>
  </si>
  <si>
    <t>YT101</t>
  </si>
  <si>
    <t>סך עמלות קנייה ומכירה לצדדים שאינם קשורים</t>
  </si>
  <si>
    <t>2. סה"כ עמלות קסטודיאן</t>
  </si>
  <si>
    <t>YT102</t>
  </si>
  <si>
    <t>סך עמלות קסטודיאן לצדדים קשורים</t>
  </si>
  <si>
    <t>YT103</t>
  </si>
  <si>
    <t>סך עמלות קסטודיאן לצדדים שאינם קשורים</t>
  </si>
  <si>
    <t>3. סה"כ מהשקעות לא סחירות</t>
  </si>
  <si>
    <t>YT104</t>
  </si>
  <si>
    <t>א.סך הוצאות הנובעות מהשקעה בניירות ערך לא סחירים שאינם לצורך מימון פרויקטים לתשתיות</t>
  </si>
  <si>
    <t>YT105</t>
  </si>
  <si>
    <t>ב. סך הוצאות הנובעות ממימון פרוייקטים לתשתיות</t>
  </si>
  <si>
    <t>YT106</t>
  </si>
  <si>
    <t>ג. סך הוצאות הנובעות מהשקעה בזכויות מקרקעין</t>
  </si>
  <si>
    <t>4. סה"כ עמלות ניהול חיצוני</t>
  </si>
  <si>
    <t>YT107</t>
  </si>
  <si>
    <t>סך תשלומים הנובעים מהשקעה בקרנות השקעה בישראל</t>
  </si>
  <si>
    <t>YT108</t>
  </si>
  <si>
    <t>סך תשלומים הנובעים מהשקעה בקרנות השקעה בחו"ל</t>
  </si>
  <si>
    <t>YT109</t>
  </si>
  <si>
    <t>סך תשלומים למנהלי תיקים ישראלים בגין השקעה בחו"ל</t>
  </si>
  <si>
    <t>YT110</t>
  </si>
  <si>
    <t>סך תשלומים למנהלי תיקים זרים</t>
  </si>
  <si>
    <t>YT111</t>
  </si>
  <si>
    <t>סך תשלומים בגין השקעה בקרנות סל ישראליות</t>
  </si>
  <si>
    <t>YT112</t>
  </si>
  <si>
    <t>סך תשלומים בגין השקעה בקרנות סל זרות</t>
  </si>
  <si>
    <t>YT113</t>
  </si>
  <si>
    <t>סך תשלומים בגין השקעה בקרנות נאמנות ישראליות</t>
  </si>
  <si>
    <t>YT114</t>
  </si>
  <si>
    <t>סך תשלומים בגין השקעה בקרנות נאמנות זרות</t>
  </si>
  <si>
    <t>5. סה"כ הוצאות אחרות</t>
  </si>
  <si>
    <t>YT115</t>
  </si>
  <si>
    <t>א.סך הוצאות בעד ניהול תביעות</t>
  </si>
  <si>
    <t>YT116</t>
  </si>
  <si>
    <t>ב.סך הוצאות בעד מתן משכנתאות</t>
  </si>
  <si>
    <t>YT117</t>
  </si>
  <si>
    <t xml:space="preserve"> 6. סה"כ הוצאות ישירות (סיכום סעיפים 1 עד 5)</t>
  </si>
  <si>
    <t>7. שיעור הוצאות ישירות</t>
  </si>
  <si>
    <t>YT118</t>
  </si>
  <si>
    <t>א. שיעור סך ההוצאות הישירות, שההוצאה בגינן מוגבלת לשיעור של 0.25% לפי התקנות (סיכום סעיפים 3א,4, 5ב) חלקי סך הנכסים</t>
  </si>
  <si>
    <t>YT119</t>
  </si>
  <si>
    <t>ב. שיעור סך הוצאות ישירות מתוך יתרת נכסים ממוצעת (באחוזים)</t>
  </si>
  <si>
    <t>YT120</t>
  </si>
  <si>
    <t>סך נכסים לסוף שנה קודמת</t>
  </si>
  <si>
    <t>ברוקראז'- עמלות קנייה ומכירה בגין ביצוע עסקאות בניירות ערך סחירים</t>
  </si>
  <si>
    <t>צדדים קשורים</t>
  </si>
  <si>
    <t>אקסלנס</t>
  </si>
  <si>
    <t>צדדים שאינם קשורים</t>
  </si>
  <si>
    <t>איביאי</t>
  </si>
  <si>
    <t>אחרים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</si>
  <si>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</si>
  <si>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</si>
  <si>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</si>
  <si>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</si>
  <si>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הנובעת מהשקעה בניירות ערך לא סחירים וממתן הלוואה</t>
  </si>
  <si>
    <t>הוצאות הנובעות ממימון פרוייקטים לתשתיות</t>
  </si>
  <si>
    <t>סך הוצאות הנובעות ממימון פרוייקטים לתשתיות</t>
  </si>
  <si>
    <t>הוצאה הנובעת מהשקעה בזכויות מקרקעין</t>
  </si>
  <si>
    <t>סך הוצאות הנובעות מהשקעה בזכויות במקרקעין</t>
  </si>
  <si>
    <t>הוצאה הנובעת מניהול תביעה או תובענה</t>
  </si>
  <si>
    <t>סך הוצאות הנובעות מניהול תביעה או תובענה</t>
  </si>
  <si>
    <t>הוצאה הנובעת ממתן משכנתא</t>
  </si>
  <si>
    <t>סך הוצאות הנובעות  ממתן משכנתא</t>
  </si>
  <si>
    <t>סך הכל עמלות והוצאות</t>
  </si>
  <si>
    <t>תאור</t>
  </si>
  <si>
    <t xml:space="preserve">אלפי ש"ח </t>
  </si>
  <si>
    <t>תשלום הנובע מהשקעה בקרנות השקעה</t>
  </si>
  <si>
    <t>סך תשלומים הנובעים מהשקעה בקרנות השקעה</t>
  </si>
  <si>
    <t>תשלום למנהל תיקים ישראלי</t>
  </si>
  <si>
    <t xml:space="preserve">סך תשלומים למנהלי תיקים ישראליים </t>
  </si>
  <si>
    <t>תשלום למנהל תיקים זר</t>
  </si>
  <si>
    <t xml:space="preserve">סך תשלומים למנהלי תיקים זרים </t>
  </si>
  <si>
    <t>תשלום בגין השקעה בקרן נאמנות</t>
  </si>
  <si>
    <t>קרן נאמנות ישראלית</t>
  </si>
  <si>
    <t>קרן חוץ</t>
  </si>
  <si>
    <t>סך תשלומים בגין השקעה בקרנות נאמנות</t>
  </si>
  <si>
    <t xml:space="preserve">תשלומים בגין השקעה בקרנות סל </t>
  </si>
  <si>
    <t>קרן סל ישראלית</t>
  </si>
  <si>
    <t>קרן סל זרה</t>
  </si>
  <si>
    <t>iShares</t>
  </si>
  <si>
    <t>Invesco</t>
  </si>
  <si>
    <t>SPDR</t>
  </si>
  <si>
    <t>סך תשלומים בגין השקעה בקרנות סל</t>
  </si>
  <si>
    <t>סך הכול עמלות ניהול חיצוני</t>
  </si>
  <si>
    <t>קוד דיווח</t>
  </si>
  <si>
    <t>סה"כ</t>
  </si>
  <si>
    <t>בנק הפועלים</t>
  </si>
  <si>
    <t>PIMCO</t>
  </si>
  <si>
    <t>VanEck Vectors</t>
  </si>
  <si>
    <t>סך התשלומים ששולמו בעד כל סוג של הוצאה לתקופה המסתיימת ביום 31.12.2021 הפניקס מרכזית לפיצויים</t>
  </si>
  <si>
    <t>הפניקס מרכזית לפיצויים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</si>
  <si>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</si>
  <si>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</si>
  <si>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</si>
  <si>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</si>
  <si>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קופה לתשלום דמי מחלה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</si>
  <si>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</si>
  <si>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</si>
  <si>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</si>
  <si>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הפניקס חנ"י מרכזית</t>
  </si>
  <si>
    <t>הפניקס לקצבה חברת ניהול מערכות (חנ"ם)</t>
  </si>
  <si>
    <t>קופת גמל מרכזית לקצבה לעובדי חברת נמל אשדוד בע"מ</t>
  </si>
  <si>
    <t>הפניקס גמל מסלולית לפיצויים רבת מסלולים - כללית</t>
  </si>
  <si>
    <t xml:space="preserve">פועלים </t>
  </si>
  <si>
    <t>פסגות קרנות נאמנות בע"מ</t>
  </si>
  <si>
    <t>מיטב תכלית קרנות נאמנות בע"מ</t>
  </si>
  <si>
    <t>GLOBAL X FUNDS</t>
  </si>
  <si>
    <t>סך התשלומים ששולמו בעד כל סוג של הוצאה ישירה לתקופה המסתיימת ביום 31.12.2022</t>
  </si>
  <si>
    <t>פירוט עמלות והוצאות לשנה המסתיימת ביום 31.12.2022</t>
  </si>
  <si>
    <t>בנק מזרחי</t>
  </si>
  <si>
    <t>לידר שוקי הון</t>
  </si>
  <si>
    <t>OPPENHEIMER</t>
  </si>
  <si>
    <t>לאומי</t>
  </si>
  <si>
    <t>מזרחי</t>
  </si>
  <si>
    <t>בנק ירושלים</t>
  </si>
  <si>
    <t>מיקדן פטרה בע"מ</t>
  </si>
  <si>
    <t>הפניקס חברה לביטוח בע"מ</t>
  </si>
  <si>
    <t>א.ג בידוד צנרת בע"מ</t>
  </si>
  <si>
    <t>אברהם מורנו</t>
  </si>
  <si>
    <t>פירוט עמלות ניהול חיצוני לשנה המסתיימת ביום 31.12.2022</t>
  </si>
  <si>
    <t>GIZA ZINGER EVEN MEZZANINE</t>
  </si>
  <si>
    <t>Sprott Private RL III</t>
  </si>
  <si>
    <t>Audax DLS</t>
  </si>
  <si>
    <t>Crescent Direct Lending Fund II</t>
  </si>
  <si>
    <t>Arbel Fund - Halman</t>
  </si>
  <si>
    <t>APAX EUROPE  VII B</t>
  </si>
  <si>
    <t>Hamilton Lane Co-Investment II</t>
  </si>
  <si>
    <t>PSC Credit III</t>
  </si>
  <si>
    <t>Blackrock</t>
  </si>
  <si>
    <t>KraneShares CSI China</t>
  </si>
  <si>
    <t>תחילת מידע טבלה</t>
  </si>
  <si>
    <t>תחילת מידע טבלה צד ימין</t>
  </si>
  <si>
    <t>סוף טבלה צד שמאל</t>
  </si>
  <si>
    <t>סוף מידע טבלה</t>
  </si>
  <si>
    <t>שורת רווח</t>
  </si>
  <si>
    <t>תא ריק</t>
  </si>
  <si>
    <t>סוף מידע טבלה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</si>
</sst>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BC2E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0" fontId="10" fillId="0" borderId="0"/>
  </cellStyleXfs>
  <cellXfs count="86">
    <xf numFmtId="0" fontId="0" fillId="0" borderId="0" xfId="0"/>
    <xf numFmtId="0" fontId="5" fillId="0" borderId="0" xfId="0" applyFont="1"/>
    <xf numFmtId="0" fontId="4" fillId="2" borderId="1" xfId="3" applyFont="1" applyFill="1" applyBorder="1" applyAlignment="1">
      <alignment horizontal="center" wrapText="1"/>
    </xf>
    <xf numFmtId="0" fontId="2" fillId="2" borderId="2" xfId="3" applyFill="1" applyBorder="1"/>
    <xf numFmtId="0" fontId="6" fillId="2" borderId="1" xfId="3" applyFont="1" applyFill="1" applyBorder="1" applyAlignment="1">
      <alignment horizontal="right" readingOrder="2"/>
    </xf>
    <xf numFmtId="0" fontId="4" fillId="2" borderId="3" xfId="3" applyFont="1" applyFill="1" applyBorder="1"/>
    <xf numFmtId="164" fontId="4" fillId="0" borderId="1" xfId="4" applyNumberFormat="1" applyFont="1" applyFill="1" applyBorder="1" applyAlignment="1"/>
    <xf numFmtId="0" fontId="4" fillId="0" borderId="1" xfId="3" applyFont="1" applyBorder="1"/>
    <xf numFmtId="0" fontId="5" fillId="0" borderId="0" xfId="0" applyFont="1" applyAlignment="1">
      <alignment horizontal="right"/>
    </xf>
    <xf numFmtId="0" fontId="4" fillId="2" borderId="8" xfId="3" applyFont="1" applyFill="1" applyBorder="1"/>
    <xf numFmtId="0" fontId="2" fillId="2" borderId="8" xfId="3" applyFill="1" applyBorder="1"/>
    <xf numFmtId="0" fontId="2" fillId="2" borderId="3" xfId="3" applyFill="1" applyBorder="1"/>
    <xf numFmtId="0" fontId="7" fillId="2" borderId="8" xfId="3" applyFont="1" applyFill="1" applyBorder="1"/>
    <xf numFmtId="0" fontId="7" fillId="2" borderId="3" xfId="3" applyFont="1" applyFill="1" applyBorder="1"/>
    <xf numFmtId="0" fontId="6" fillId="2" borderId="2" xfId="3" applyFont="1" applyFill="1" applyBorder="1" applyAlignment="1">
      <alignment wrapText="1" readingOrder="2"/>
    </xf>
    <xf numFmtId="0" fontId="6" fillId="2" borderId="8" xfId="3" applyFont="1" applyFill="1" applyBorder="1" applyAlignment="1">
      <alignment wrapText="1" readingOrder="2"/>
    </xf>
    <xf numFmtId="0" fontId="6" fillId="2" borderId="3" xfId="3" applyFont="1" applyFill="1" applyBorder="1" applyAlignment="1">
      <alignment wrapText="1" readingOrder="2"/>
    </xf>
    <xf numFmtId="0" fontId="6" fillId="2" borderId="2" xfId="3" applyFont="1" applyFill="1" applyBorder="1" applyAlignment="1">
      <alignment horizontal="right" vertical="center" wrapText="1" readingOrder="2"/>
    </xf>
    <xf numFmtId="0" fontId="6" fillId="2" borderId="8" xfId="3" applyFont="1" applyFill="1" applyBorder="1" applyAlignment="1">
      <alignment horizontal="right" vertical="center" wrapText="1" readingOrder="2"/>
    </xf>
    <xf numFmtId="0" fontId="6" fillId="2" borderId="3" xfId="3" applyFont="1" applyFill="1" applyBorder="1" applyAlignment="1">
      <alignment horizontal="right" vertical="center" wrapText="1" readingOrder="2"/>
    </xf>
    <xf numFmtId="0" fontId="8" fillId="0" borderId="9" xfId="0" applyFont="1" applyBorder="1"/>
    <xf numFmtId="41" fontId="5" fillId="0" borderId="0" xfId="0" applyNumberFormat="1" applyFont="1"/>
    <xf numFmtId="0" fontId="8" fillId="0" borderId="0" xfId="0" applyFont="1"/>
    <xf numFmtId="0" fontId="3" fillId="3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 wrapText="1"/>
    </xf>
    <xf numFmtId="0" fontId="2" fillId="4" borderId="2" xfId="3" applyFill="1" applyBorder="1"/>
    <xf numFmtId="0" fontId="4" fillId="4" borderId="1" xfId="3" applyFont="1" applyFill="1" applyBorder="1" applyAlignment="1">
      <alignment horizontal="center"/>
    </xf>
    <xf numFmtId="0" fontId="9" fillId="4" borderId="1" xfId="3" applyFont="1" applyFill="1" applyBorder="1" applyAlignment="1">
      <alignment horizontal="right" readingOrder="2"/>
    </xf>
    <xf numFmtId="0" fontId="4" fillId="4" borderId="3" xfId="3" applyFont="1" applyFill="1" applyBorder="1"/>
    <xf numFmtId="164" fontId="4" fillId="5" borderId="1" xfId="1" applyNumberFormat="1" applyFont="1" applyFill="1" applyBorder="1" applyAlignment="1"/>
    <xf numFmtId="164" fontId="2" fillId="4" borderId="3" xfId="1" applyNumberFormat="1" applyFont="1" applyFill="1" applyBorder="1" applyAlignment="1"/>
    <xf numFmtId="164" fontId="4" fillId="4" borderId="1" xfId="4" applyNumberFormat="1" applyFont="1" applyFill="1" applyBorder="1" applyAlignment="1"/>
    <xf numFmtId="0" fontId="9" fillId="4" borderId="2" xfId="3" applyFont="1" applyFill="1" applyBorder="1" applyAlignment="1">
      <alignment horizontal="right" wrapText="1" readingOrder="2"/>
    </xf>
    <xf numFmtId="10" fontId="4" fillId="5" borderId="1" xfId="5" applyNumberFormat="1" applyFont="1" applyFill="1" applyBorder="1" applyAlignment="1"/>
    <xf numFmtId="164" fontId="4" fillId="5" borderId="1" xfId="4" applyNumberFormat="1" applyFont="1" applyFill="1" applyBorder="1" applyAlignment="1"/>
    <xf numFmtId="0" fontId="4" fillId="4" borderId="1" xfId="3" applyFont="1" applyFill="1" applyBorder="1"/>
    <xf numFmtId="0" fontId="4" fillId="4" borderId="2" xfId="3" applyFont="1" applyFill="1" applyBorder="1"/>
    <xf numFmtId="0" fontId="2" fillId="4" borderId="2" xfId="3" applyFill="1" applyBorder="1" applyAlignment="1">
      <alignment readingOrder="2"/>
    </xf>
    <xf numFmtId="164" fontId="2" fillId="0" borderId="1" xfId="1" applyNumberFormat="1" applyFont="1" applyBorder="1" applyAlignment="1"/>
    <xf numFmtId="0" fontId="2" fillId="4" borderId="2" xfId="3" applyFill="1" applyBorder="1" applyAlignment="1">
      <alignment horizontal="right" readingOrder="2"/>
    </xf>
    <xf numFmtId="164" fontId="4" fillId="0" borderId="1" xfId="4" applyNumberFormat="1" applyFont="1" applyBorder="1" applyAlignment="1"/>
    <xf numFmtId="0" fontId="2" fillId="4" borderId="2" xfId="3" applyFill="1" applyBorder="1" applyAlignment="1">
      <alignment horizontal="right"/>
    </xf>
    <xf numFmtId="164" fontId="2" fillId="5" borderId="1" xfId="4" applyNumberFormat="1" applyFont="1" applyFill="1" applyBorder="1" applyAlignment="1"/>
    <xf numFmtId="0" fontId="4" fillId="4" borderId="2" xfId="3" applyFont="1" applyFill="1" applyBorder="1" applyAlignment="1">
      <alignment readingOrder="2"/>
    </xf>
    <xf numFmtId="164" fontId="2" fillId="5" borderId="1" xfId="1" applyNumberFormat="1" applyFont="1" applyFill="1" applyBorder="1" applyAlignment="1"/>
    <xf numFmtId="0" fontId="4" fillId="4" borderId="2" xfId="3" applyFont="1" applyFill="1" applyBorder="1" applyAlignment="1">
      <alignment horizontal="right" readingOrder="2"/>
    </xf>
    <xf numFmtId="43" fontId="2" fillId="5" borderId="1" xfId="4" applyFont="1" applyFill="1" applyBorder="1" applyAlignment="1"/>
    <xf numFmtId="43" fontId="4" fillId="5" borderId="1" xfId="4" applyFont="1" applyFill="1" applyBorder="1" applyAlignment="1"/>
    <xf numFmtId="0" fontId="9" fillId="4" borderId="2" xfId="3" applyFont="1" applyFill="1" applyBorder="1" applyAlignment="1">
      <alignment horizontal="right" readingOrder="2"/>
    </xf>
    <xf numFmtId="0" fontId="12" fillId="4" borderId="1" xfId="6" applyFont="1" applyFill="1" applyBorder="1" applyAlignment="1">
      <alignment horizontal="center" wrapText="1"/>
    </xf>
    <xf numFmtId="0" fontId="12" fillId="4" borderId="3" xfId="6" applyFont="1" applyFill="1" applyBorder="1"/>
    <xf numFmtId="164" fontId="12" fillId="5" borderId="1" xfId="1" applyNumberFormat="1" applyFont="1" applyFill="1" applyBorder="1" applyAlignment="1"/>
    <xf numFmtId="164" fontId="11" fillId="4" borderId="3" xfId="1" applyNumberFormat="1" applyFont="1" applyFill="1" applyBorder="1" applyAlignment="1"/>
    <xf numFmtId="164" fontId="12" fillId="4" borderId="1" xfId="4" applyNumberFormat="1" applyFont="1" applyFill="1" applyBorder="1" applyAlignment="1"/>
    <xf numFmtId="10" fontId="12" fillId="5" borderId="1" xfId="5" applyNumberFormat="1" applyFont="1" applyFill="1" applyBorder="1" applyAlignment="1"/>
    <xf numFmtId="164" fontId="12" fillId="5" borderId="1" xfId="4" applyNumberFormat="1" applyFont="1" applyFill="1" applyBorder="1" applyAlignment="1"/>
    <xf numFmtId="164" fontId="2" fillId="0" borderId="1" xfId="4" applyNumberFormat="1" applyFont="1" applyFill="1" applyBorder="1" applyAlignment="1"/>
    <xf numFmtId="0" fontId="13" fillId="4" borderId="2" xfId="3" applyFont="1" applyFill="1" applyBorder="1" applyAlignment="1">
      <alignment horizontal="right" readingOrder="2"/>
    </xf>
    <xf numFmtId="0" fontId="17" fillId="4" borderId="2" xfId="3" applyFont="1" applyFill="1" applyBorder="1"/>
    <xf numFmtId="0" fontId="14" fillId="0" borderId="0" xfId="0" applyFont="1"/>
    <xf numFmtId="0" fontId="17" fillId="4" borderId="2" xfId="3" applyFont="1" applyFill="1" applyBorder="1" applyAlignment="1">
      <alignment horizontal="center"/>
    </xf>
    <xf numFmtId="0" fontId="15" fillId="0" borderId="0" xfId="0" applyFont="1"/>
    <xf numFmtId="0" fontId="16" fillId="4" borderId="2" xfId="3" applyFont="1" applyFill="1" applyBorder="1" applyAlignment="1">
      <alignment horizontal="center" vertical="center" wrapText="1"/>
    </xf>
    <xf numFmtId="0" fontId="16" fillId="4" borderId="8" xfId="3" applyFont="1" applyFill="1" applyBorder="1" applyAlignment="1">
      <alignment horizontal="center" vertical="center" wrapText="1"/>
    </xf>
    <xf numFmtId="0" fontId="16" fillId="4" borderId="3" xfId="3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7" fillId="4" borderId="2" xfId="3" applyFont="1" applyFill="1" applyBorder="1" applyAlignment="1">
      <alignment horizontal="center" vertical="center" wrapText="1"/>
    </xf>
    <xf numFmtId="0" fontId="17" fillId="4" borderId="3" xfId="3" applyFont="1" applyFill="1" applyBorder="1" applyAlignment="1">
      <alignment horizontal="center" vertical="center" wrapText="1"/>
    </xf>
    <xf numFmtId="0" fontId="17" fillId="4" borderId="2" xfId="3" applyFont="1" applyFill="1" applyBorder="1" applyAlignment="1">
      <alignment horizontal="center" vertical="center" wrapText="1" readingOrder="2"/>
    </xf>
    <xf numFmtId="0" fontId="17" fillId="4" borderId="3" xfId="3" applyFont="1" applyFill="1" applyBorder="1" applyAlignment="1">
      <alignment horizontal="center" vertical="center" wrapText="1" readingOrder="2"/>
    </xf>
    <xf numFmtId="0" fontId="16" fillId="4" borderId="2" xfId="3" applyFont="1" applyFill="1" applyBorder="1" applyAlignment="1">
      <alignment horizontal="center" vertical="center" wrapText="1" readingOrder="2"/>
    </xf>
    <xf numFmtId="0" fontId="16" fillId="4" borderId="3" xfId="3" applyFont="1" applyFill="1" applyBorder="1" applyAlignment="1">
      <alignment horizontal="center" vertical="center" wrapText="1" readingOrder="2"/>
    </xf>
    <xf numFmtId="0" fontId="3" fillId="2" borderId="4" xfId="3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3" fillId="2" borderId="6" xfId="3" applyFont="1" applyFill="1" applyBorder="1" applyAlignment="1">
      <alignment horizontal="center" vertical="center" wrapText="1"/>
    </xf>
    <xf numFmtId="0" fontId="3" fillId="2" borderId="7" xfId="3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2" borderId="2" xfId="3" applyFont="1" applyFill="1" applyBorder="1" applyAlignment="1">
      <alignment horizontal="center" vertical="center" wrapText="1"/>
    </xf>
    <xf numFmtId="0" fontId="16" fillId="2" borderId="8" xfId="3" applyFont="1" applyFill="1" applyBorder="1" applyAlignment="1">
      <alignment horizontal="center" vertical="center" wrapText="1"/>
    </xf>
    <xf numFmtId="0" fontId="16" fillId="2" borderId="3" xfId="3" applyFont="1" applyFill="1" applyBorder="1" applyAlignment="1">
      <alignment horizontal="center" vertical="center" wrapText="1"/>
    </xf>
  </cellXfs>
  <cellStyles count="8">
    <cellStyle name="Comma" xfId="1" builtinId="3"/>
    <cellStyle name="Comma 2 5 2" xfId="4" xr:uid="{00000000-0005-0000-0000-000001000000}"/>
    <cellStyle name="Normal" xfId="0" builtinId="0"/>
    <cellStyle name="Normal 10 2 2" xfId="3" xr:uid="{00000000-0005-0000-0000-000003000000}"/>
    <cellStyle name="Normal 10 2 2_מסלולים" xfId="6" xr:uid="{00000000-0005-0000-0000-000004000000}"/>
    <cellStyle name="Normal 2" xfId="7" xr:uid="{00000000-0005-0000-0000-000005000000}"/>
    <cellStyle name="Normal 2 2" xfId="2" xr:uid="{00000000-0005-0000-0000-000006000000}"/>
    <cellStyle name="Percent 2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400050</xdr:colOff>
      <xdr:row>0</xdr:row>
      <xdr:rowOff>400050</xdr:rowOff>
    </xdr:to>
    <xdr:pic>
      <xdr:nvPicPr>
        <xdr:cNvPr id="3" name="תמונה 2" descr="קוֹבֶץ זֶה הוּנְגַּש עַל יְדֵי חברת אֵיְי טוּ זִי - סֶמֶל הַנגישוּת">
          <a:extLst>
            <a:ext uri="{FF2B5EF4-FFF2-40B4-BE49-F238E27FC236}">
              <a16:creationId xmlns:a16="http://schemas.microsoft.com/office/drawing/2014/main" id="{BB8CBBAE-4720-8522-A215-430995C0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3375075" y="0"/>
          <a:ext cx="40005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rightToLeft="1" tabSelected="1" workbookViewId="0">
      <selection activeCell="B3" sqref="B3"/>
    </sheetView>
  </sheetViews>
  <sheetFormatPr defaultColWidth="8.625" defaultRowHeight="14.25" x14ac:dyDescent="0.2"/>
  <cols>
    <col min="1" max="1" width="8.625" style="1"/>
    <col min="3" max="3" width="67.25" customWidth="1"/>
    <col min="4" max="4" width="26.125" customWidth="1"/>
    <col min="5" max="16384" width="8.625" style="1"/>
  </cols>
  <sheetData>
    <row r="1" spans="1:5" ht="33.75" customHeight="1" x14ac:dyDescent="0.2"/>
    <row r="2" spans="1:5" x14ac:dyDescent="0.2">
      <c r="B2" s="66" t="s">
        <v>136</v>
      </c>
      <c r="C2" s="66"/>
      <c r="D2" s="66"/>
    </row>
    <row r="3" spans="1:5" ht="39" x14ac:dyDescent="0.25">
      <c r="A3" s="67" t="s">
        <v>137</v>
      </c>
      <c r="B3" s="60" t="s">
        <v>141</v>
      </c>
      <c r="C3" s="23" t="s">
        <v>96</v>
      </c>
      <c r="D3" s="24" t="s">
        <v>113</v>
      </c>
      <c r="E3" s="68" t="s">
        <v>138</v>
      </c>
    </row>
    <row r="4" spans="1:5" x14ac:dyDescent="0.2">
      <c r="A4" s="67"/>
      <c r="B4" s="25" t="s">
        <v>0</v>
      </c>
      <c r="C4" s="59" t="s">
        <v>141</v>
      </c>
      <c r="D4" s="27" t="s">
        <v>1</v>
      </c>
      <c r="E4" s="68"/>
    </row>
    <row r="5" spans="1:5" x14ac:dyDescent="0.2">
      <c r="A5" s="67"/>
      <c r="B5" s="25"/>
      <c r="C5" s="28" t="s">
        <v>2</v>
      </c>
      <c r="D5" s="29"/>
      <c r="E5" s="68"/>
    </row>
    <row r="6" spans="1:5" x14ac:dyDescent="0.2">
      <c r="A6" s="67"/>
      <c r="B6" s="25" t="s">
        <v>3</v>
      </c>
      <c r="C6" s="28" t="s">
        <v>4</v>
      </c>
      <c r="D6" s="30">
        <v>1.3246261172487321</v>
      </c>
      <c r="E6" s="68"/>
    </row>
    <row r="7" spans="1:5" x14ac:dyDescent="0.2">
      <c r="A7" s="67"/>
      <c r="B7" s="25" t="s">
        <v>5</v>
      </c>
      <c r="C7" s="28" t="s">
        <v>6</v>
      </c>
      <c r="D7" s="30">
        <v>337.36377716341775</v>
      </c>
      <c r="E7" s="68"/>
    </row>
    <row r="8" spans="1:5" x14ac:dyDescent="0.2">
      <c r="A8" s="67"/>
      <c r="B8" s="63" t="s">
        <v>140</v>
      </c>
      <c r="C8" s="64"/>
      <c r="D8" s="65"/>
      <c r="E8" s="68"/>
    </row>
    <row r="9" spans="1:5" x14ac:dyDescent="0.2">
      <c r="A9" s="67"/>
      <c r="B9" s="25"/>
      <c r="C9" s="28" t="s">
        <v>7</v>
      </c>
      <c r="D9" s="31"/>
      <c r="E9" s="68"/>
    </row>
    <row r="10" spans="1:5" x14ac:dyDescent="0.2">
      <c r="A10" s="67"/>
      <c r="B10" s="25" t="s">
        <v>8</v>
      </c>
      <c r="C10" s="28" t="s">
        <v>9</v>
      </c>
      <c r="D10" s="30">
        <v>0</v>
      </c>
      <c r="E10" s="68"/>
    </row>
    <row r="11" spans="1:5" x14ac:dyDescent="0.2">
      <c r="A11" s="67"/>
      <c r="B11" s="25" t="s">
        <v>10</v>
      </c>
      <c r="C11" s="28" t="s">
        <v>11</v>
      </c>
      <c r="D11" s="30">
        <v>146.16350274891931</v>
      </c>
      <c r="E11" s="68"/>
    </row>
    <row r="12" spans="1:5" x14ac:dyDescent="0.2">
      <c r="A12" s="67"/>
      <c r="B12" s="63" t="s">
        <v>140</v>
      </c>
      <c r="C12" s="64"/>
      <c r="D12" s="65"/>
      <c r="E12" s="68"/>
    </row>
    <row r="13" spans="1:5" x14ac:dyDescent="0.2">
      <c r="A13" s="67"/>
      <c r="B13" s="25"/>
      <c r="C13" s="28" t="s">
        <v>12</v>
      </c>
      <c r="D13" s="31"/>
      <c r="E13" s="68"/>
    </row>
    <row r="14" spans="1:5" x14ac:dyDescent="0.2">
      <c r="A14" s="67"/>
      <c r="B14" s="25" t="s">
        <v>13</v>
      </c>
      <c r="C14" s="28" t="s">
        <v>14</v>
      </c>
      <c r="D14" s="30">
        <v>31.921902939892941</v>
      </c>
      <c r="E14" s="68"/>
    </row>
    <row r="15" spans="1:5" x14ac:dyDescent="0.2">
      <c r="A15" s="67"/>
      <c r="B15" s="25" t="s">
        <v>15</v>
      </c>
      <c r="C15" s="28" t="s">
        <v>16</v>
      </c>
      <c r="D15" s="30">
        <v>0.13151116253774514</v>
      </c>
      <c r="E15" s="68"/>
    </row>
    <row r="16" spans="1:5" x14ac:dyDescent="0.2">
      <c r="A16" s="67"/>
      <c r="B16" s="25" t="s">
        <v>17</v>
      </c>
      <c r="C16" s="28" t="s">
        <v>18</v>
      </c>
      <c r="D16" s="30">
        <v>0.64077187554317805</v>
      </c>
      <c r="E16" s="68"/>
    </row>
    <row r="17" spans="1:5" x14ac:dyDescent="0.2">
      <c r="A17" s="67"/>
      <c r="B17" s="63" t="s">
        <v>140</v>
      </c>
      <c r="C17" s="64"/>
      <c r="D17" s="65"/>
      <c r="E17" s="68"/>
    </row>
    <row r="18" spans="1:5" x14ac:dyDescent="0.2">
      <c r="A18" s="67"/>
      <c r="B18" s="25"/>
      <c r="C18" s="28" t="s">
        <v>19</v>
      </c>
      <c r="D18" s="31"/>
      <c r="E18" s="68"/>
    </row>
    <row r="19" spans="1:5" x14ac:dyDescent="0.2">
      <c r="A19" s="67"/>
      <c r="B19" s="25" t="s">
        <v>20</v>
      </c>
      <c r="C19" s="28" t="s">
        <v>21</v>
      </c>
      <c r="D19" s="30">
        <v>40.247319867982952</v>
      </c>
      <c r="E19" s="68"/>
    </row>
    <row r="20" spans="1:5" x14ac:dyDescent="0.2">
      <c r="A20" s="67"/>
      <c r="B20" s="25" t="s">
        <v>22</v>
      </c>
      <c r="C20" s="28" t="s">
        <v>23</v>
      </c>
      <c r="D20" s="30">
        <v>246.40250652343448</v>
      </c>
      <c r="E20" s="68"/>
    </row>
    <row r="21" spans="1:5" x14ac:dyDescent="0.2">
      <c r="A21" s="67"/>
      <c r="B21" s="25" t="s">
        <v>24</v>
      </c>
      <c r="C21" s="28" t="s">
        <v>25</v>
      </c>
      <c r="D21" s="30">
        <v>0</v>
      </c>
      <c r="E21" s="68"/>
    </row>
    <row r="22" spans="1:5" x14ac:dyDescent="0.2">
      <c r="A22" s="67"/>
      <c r="B22" s="25" t="s">
        <v>26</v>
      </c>
      <c r="C22" s="28" t="s">
        <v>27</v>
      </c>
      <c r="D22" s="30">
        <v>10.073536523446805</v>
      </c>
      <c r="E22" s="68"/>
    </row>
    <row r="23" spans="1:5" x14ac:dyDescent="0.2">
      <c r="A23" s="67"/>
      <c r="B23" s="25" t="s">
        <v>28</v>
      </c>
      <c r="C23" s="28" t="s">
        <v>29</v>
      </c>
      <c r="D23" s="30">
        <v>52.427539213734164</v>
      </c>
      <c r="E23" s="68"/>
    </row>
    <row r="24" spans="1:5" x14ac:dyDescent="0.2">
      <c r="A24" s="67"/>
      <c r="B24" s="25" t="s">
        <v>30</v>
      </c>
      <c r="C24" s="28" t="s">
        <v>31</v>
      </c>
      <c r="D24" s="30">
        <v>355.18054744906027</v>
      </c>
      <c r="E24" s="68"/>
    </row>
    <row r="25" spans="1:5" x14ac:dyDescent="0.2">
      <c r="A25" s="67"/>
      <c r="B25" s="25" t="s">
        <v>32</v>
      </c>
      <c r="C25" s="28" t="s">
        <v>33</v>
      </c>
      <c r="D25" s="30">
        <v>0</v>
      </c>
      <c r="E25" s="68"/>
    </row>
    <row r="26" spans="1:5" x14ac:dyDescent="0.2">
      <c r="A26" s="67"/>
      <c r="B26" s="25" t="s">
        <v>34</v>
      </c>
      <c r="C26" s="28" t="s">
        <v>35</v>
      </c>
      <c r="D26" s="30">
        <v>302.35794490485728</v>
      </c>
      <c r="E26" s="68"/>
    </row>
    <row r="27" spans="1:5" x14ac:dyDescent="0.2">
      <c r="A27" s="67"/>
      <c r="B27" s="63" t="s">
        <v>140</v>
      </c>
      <c r="C27" s="64"/>
      <c r="D27" s="65"/>
      <c r="E27" s="68"/>
    </row>
    <row r="28" spans="1:5" x14ac:dyDescent="0.2">
      <c r="A28" s="67"/>
      <c r="B28" s="25"/>
      <c r="C28" s="28" t="s">
        <v>36</v>
      </c>
      <c r="D28" s="31"/>
      <c r="E28" s="68"/>
    </row>
    <row r="29" spans="1:5" x14ac:dyDescent="0.2">
      <c r="A29" s="67"/>
      <c r="B29" s="25" t="s">
        <v>37</v>
      </c>
      <c r="C29" s="28" t="s">
        <v>38</v>
      </c>
      <c r="D29" s="30">
        <v>0</v>
      </c>
      <c r="E29" s="68"/>
    </row>
    <row r="30" spans="1:5" x14ac:dyDescent="0.2">
      <c r="A30" s="67"/>
      <c r="B30" s="25" t="s">
        <v>39</v>
      </c>
      <c r="C30" s="28" t="s">
        <v>40</v>
      </c>
      <c r="D30" s="30">
        <v>0</v>
      </c>
      <c r="E30" s="68"/>
    </row>
    <row r="31" spans="1:5" x14ac:dyDescent="0.2">
      <c r="A31" s="67"/>
      <c r="B31" s="63" t="s">
        <v>140</v>
      </c>
      <c r="C31" s="64"/>
      <c r="D31" s="65"/>
      <c r="E31" s="68"/>
    </row>
    <row r="32" spans="1:5" x14ac:dyDescent="0.2">
      <c r="A32" s="67"/>
      <c r="B32" s="25" t="s">
        <v>41</v>
      </c>
      <c r="C32" s="28" t="s">
        <v>42</v>
      </c>
      <c r="D32" s="30">
        <v>1524.2354864900756</v>
      </c>
      <c r="E32" s="68"/>
    </row>
    <row r="33" spans="1:5" x14ac:dyDescent="0.2">
      <c r="A33" s="67"/>
      <c r="B33" s="63" t="s">
        <v>140</v>
      </c>
      <c r="C33" s="64"/>
      <c r="D33" s="65"/>
      <c r="E33" s="68"/>
    </row>
    <row r="34" spans="1:5" x14ac:dyDescent="0.2">
      <c r="A34" s="67"/>
      <c r="B34" s="25"/>
      <c r="C34" s="28" t="s">
        <v>43</v>
      </c>
      <c r="D34" s="32"/>
      <c r="E34" s="68"/>
    </row>
    <row r="35" spans="1:5" x14ac:dyDescent="0.2">
      <c r="A35" s="67"/>
      <c r="B35" s="63" t="s">
        <v>140</v>
      </c>
      <c r="C35" s="64"/>
      <c r="D35" s="65"/>
      <c r="E35" s="68"/>
    </row>
    <row r="36" spans="1:5" ht="25.5" x14ac:dyDescent="0.2">
      <c r="A36" s="67"/>
      <c r="B36" s="25" t="s">
        <v>44</v>
      </c>
      <c r="C36" s="33" t="s">
        <v>45</v>
      </c>
      <c r="D36" s="34">
        <v>1.9043905313727337E-4</v>
      </c>
      <c r="E36" s="68"/>
    </row>
    <row r="37" spans="1:5" x14ac:dyDescent="0.2">
      <c r="A37" s="67"/>
      <c r="B37" s="63" t="s">
        <v>140</v>
      </c>
      <c r="C37" s="64"/>
      <c r="D37" s="65"/>
      <c r="E37" s="68"/>
    </row>
    <row r="38" spans="1:5" x14ac:dyDescent="0.2">
      <c r="A38" s="67"/>
      <c r="B38" s="25" t="s">
        <v>46</v>
      </c>
      <c r="C38" s="28" t="s">
        <v>47</v>
      </c>
      <c r="D38" s="34">
        <v>2.7111439631712938E-4</v>
      </c>
      <c r="E38" s="68"/>
    </row>
    <row r="39" spans="1:5" x14ac:dyDescent="0.2">
      <c r="A39" s="67"/>
      <c r="B39" s="63" t="s">
        <v>140</v>
      </c>
      <c r="C39" s="64"/>
      <c r="D39" s="65"/>
      <c r="E39" s="68"/>
    </row>
    <row r="40" spans="1:5" x14ac:dyDescent="0.2">
      <c r="A40" s="67"/>
      <c r="B40" s="25" t="s">
        <v>48</v>
      </c>
      <c r="C40" s="28" t="s">
        <v>49</v>
      </c>
      <c r="D40" s="35">
        <v>5453772.6391327465</v>
      </c>
      <c r="E40" s="68"/>
    </row>
    <row r="41" spans="1:5" x14ac:dyDescent="0.2">
      <c r="B41" s="69" t="s">
        <v>139</v>
      </c>
      <c r="C41" s="69"/>
      <c r="D41" s="69"/>
    </row>
  </sheetData>
  <mergeCells count="13">
    <mergeCell ref="E3:E40"/>
    <mergeCell ref="B41:D41"/>
    <mergeCell ref="B39:D39"/>
    <mergeCell ref="B37:D37"/>
    <mergeCell ref="B35:D35"/>
    <mergeCell ref="B33:D33"/>
    <mergeCell ref="B31:D31"/>
    <mergeCell ref="B27:D27"/>
    <mergeCell ref="B17:D17"/>
    <mergeCell ref="B12:D12"/>
    <mergeCell ref="B8:D8"/>
    <mergeCell ref="B2:D2"/>
    <mergeCell ref="A3:A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rightToLeft="1" workbookViewId="0">
      <selection activeCell="B1" sqref="B1:C1"/>
    </sheetView>
  </sheetViews>
  <sheetFormatPr defaultColWidth="8.625" defaultRowHeight="14.25" x14ac:dyDescent="0.2"/>
  <cols>
    <col min="1" max="1" width="8.625" style="1"/>
    <col min="2" max="2" width="49.875" bestFit="1" customWidth="1"/>
    <col min="3" max="3" width="17.125" customWidth="1"/>
    <col min="4" max="10" width="8.625" style="1"/>
    <col min="11" max="11" width="25.75" style="1" bestFit="1" customWidth="1"/>
    <col min="12" max="16384" width="8.625" style="1"/>
  </cols>
  <sheetData>
    <row r="1" spans="1:12" x14ac:dyDescent="0.2">
      <c r="B1" s="70" t="s">
        <v>136</v>
      </c>
      <c r="C1" s="70"/>
    </row>
    <row r="2" spans="1:12" ht="39" x14ac:dyDescent="0.25">
      <c r="A2" s="71" t="s">
        <v>137</v>
      </c>
      <c r="B2" s="23" t="s">
        <v>96</v>
      </c>
      <c r="C2" s="24" t="s">
        <v>114</v>
      </c>
      <c r="D2" s="68" t="s">
        <v>142</v>
      </c>
    </row>
    <row r="3" spans="1:12" x14ac:dyDescent="0.2">
      <c r="A3" s="71"/>
      <c r="B3" s="61" t="s">
        <v>141</v>
      </c>
      <c r="C3" s="36" t="s">
        <v>1</v>
      </c>
      <c r="D3" s="68"/>
    </row>
    <row r="4" spans="1:12" x14ac:dyDescent="0.2">
      <c r="A4" s="71"/>
      <c r="B4" s="37" t="s">
        <v>50</v>
      </c>
      <c r="C4" s="32"/>
      <c r="D4" s="68"/>
    </row>
    <row r="5" spans="1:12" x14ac:dyDescent="0.2">
      <c r="A5" s="71"/>
      <c r="B5" s="37" t="s">
        <v>51</v>
      </c>
      <c r="C5" s="32"/>
      <c r="D5" s="68"/>
    </row>
    <row r="6" spans="1:12" x14ac:dyDescent="0.2">
      <c r="A6" s="71"/>
      <c r="B6" s="38" t="s">
        <v>52</v>
      </c>
      <c r="C6" s="39">
        <v>1.3246261172487321</v>
      </c>
      <c r="D6" s="68"/>
    </row>
    <row r="7" spans="1:12" x14ac:dyDescent="0.2">
      <c r="A7" s="71"/>
      <c r="B7" s="37" t="s">
        <v>53</v>
      </c>
      <c r="C7" s="32"/>
      <c r="D7" s="68"/>
    </row>
    <row r="8" spans="1:12" x14ac:dyDescent="0.2">
      <c r="A8" s="71"/>
      <c r="B8" s="40" t="s">
        <v>54</v>
      </c>
      <c r="C8" s="39">
        <v>83.009519761492726</v>
      </c>
      <c r="D8" s="68"/>
    </row>
    <row r="9" spans="1:12" x14ac:dyDescent="0.2">
      <c r="A9" s="71"/>
      <c r="B9" s="40" t="s">
        <v>115</v>
      </c>
      <c r="C9" s="39">
        <v>0.60462183211579956</v>
      </c>
      <c r="D9" s="68"/>
    </row>
    <row r="10" spans="1:12" ht="15" x14ac:dyDescent="0.25">
      <c r="A10" s="71"/>
      <c r="B10" s="40" t="s">
        <v>92</v>
      </c>
      <c r="C10" s="39">
        <v>11.652474709211639</v>
      </c>
      <c r="D10" s="68"/>
      <c r="J10" s="20"/>
      <c r="L10" s="21"/>
    </row>
    <row r="11" spans="1:12" ht="15" x14ac:dyDescent="0.25">
      <c r="A11" s="71"/>
      <c r="B11" s="40" t="s">
        <v>116</v>
      </c>
      <c r="C11" s="39">
        <v>3.8498943224527271</v>
      </c>
      <c r="D11" s="68"/>
      <c r="J11" s="20"/>
      <c r="L11" s="21"/>
    </row>
    <row r="12" spans="1:12" ht="15" x14ac:dyDescent="0.25">
      <c r="A12" s="71"/>
      <c r="B12" s="40" t="s">
        <v>117</v>
      </c>
      <c r="C12" s="39">
        <v>48.968888993100457</v>
      </c>
      <c r="D12" s="68"/>
      <c r="J12" s="22"/>
      <c r="L12" s="21"/>
    </row>
    <row r="13" spans="1:12" ht="15" x14ac:dyDescent="0.25">
      <c r="A13" s="71"/>
      <c r="B13" s="40" t="s">
        <v>55</v>
      </c>
      <c r="C13" s="39">
        <v>189.27837754504438</v>
      </c>
      <c r="D13" s="68"/>
      <c r="J13" s="22"/>
      <c r="L13" s="21"/>
    </row>
    <row r="14" spans="1:12" ht="15" x14ac:dyDescent="0.25">
      <c r="A14" s="71"/>
      <c r="B14" s="37" t="s">
        <v>56</v>
      </c>
      <c r="C14" s="30">
        <f>+SUM(C6:C13)</f>
        <v>338.68840328066642</v>
      </c>
      <c r="D14" s="68"/>
      <c r="J14" s="20"/>
      <c r="L14" s="21"/>
    </row>
    <row r="15" spans="1:12" ht="15" x14ac:dyDescent="0.25">
      <c r="A15" s="71"/>
      <c r="B15" s="63" t="s">
        <v>140</v>
      </c>
      <c r="C15" s="65"/>
      <c r="D15" s="68"/>
      <c r="J15" s="22"/>
      <c r="L15" s="21"/>
    </row>
    <row r="16" spans="1:12" ht="15" x14ac:dyDescent="0.25">
      <c r="A16" s="71"/>
      <c r="B16" s="37" t="s">
        <v>57</v>
      </c>
      <c r="C16" s="32"/>
      <c r="D16" s="68"/>
      <c r="J16" s="22"/>
      <c r="L16" s="21"/>
    </row>
    <row r="17" spans="1:12" ht="15" x14ac:dyDescent="0.25">
      <c r="A17" s="71"/>
      <c r="B17" s="37" t="s">
        <v>51</v>
      </c>
      <c r="C17" s="32"/>
      <c r="D17" s="68"/>
      <c r="J17" s="20"/>
      <c r="L17" s="21"/>
    </row>
    <row r="18" spans="1:12" ht="15" x14ac:dyDescent="0.25">
      <c r="A18" s="71"/>
      <c r="B18" s="38"/>
      <c r="C18" s="41">
        <v>0</v>
      </c>
      <c r="D18" s="68"/>
      <c r="J18" s="22"/>
      <c r="L18" s="21"/>
    </row>
    <row r="19" spans="1:12" ht="15" x14ac:dyDescent="0.25">
      <c r="A19" s="71"/>
      <c r="B19" s="37" t="s">
        <v>53</v>
      </c>
      <c r="C19" s="32"/>
      <c r="D19" s="68"/>
      <c r="J19" s="22"/>
      <c r="L19" s="21"/>
    </row>
    <row r="20" spans="1:12" ht="15" x14ac:dyDescent="0.25">
      <c r="A20" s="71"/>
      <c r="B20" s="40" t="s">
        <v>109</v>
      </c>
      <c r="C20" s="39">
        <v>13.638415334582545</v>
      </c>
      <c r="D20" s="68"/>
      <c r="J20" s="22"/>
      <c r="L20" s="21"/>
    </row>
    <row r="21" spans="1:12" ht="15" x14ac:dyDescent="0.25">
      <c r="A21" s="71"/>
      <c r="B21" s="40" t="s">
        <v>118</v>
      </c>
      <c r="C21" s="39">
        <v>20.858001387693427</v>
      </c>
      <c r="D21" s="68"/>
      <c r="J21" s="22"/>
      <c r="L21" s="21"/>
    </row>
    <row r="22" spans="1:12" ht="15" x14ac:dyDescent="0.25">
      <c r="A22" s="71"/>
      <c r="B22" s="40" t="s">
        <v>119</v>
      </c>
      <c r="C22" s="39">
        <v>106.13098602664334</v>
      </c>
      <c r="D22" s="68"/>
      <c r="J22" s="20"/>
      <c r="L22" s="21"/>
    </row>
    <row r="23" spans="1:12" ht="15" x14ac:dyDescent="0.25">
      <c r="A23" s="71"/>
      <c r="B23" s="37" t="s">
        <v>58</v>
      </c>
      <c r="C23" s="6">
        <f>+SUM(C18:C22)</f>
        <v>140.62740274891931</v>
      </c>
      <c r="D23" s="68"/>
      <c r="J23" s="22"/>
      <c r="L23" s="21"/>
    </row>
    <row r="24" spans="1:12" ht="15" x14ac:dyDescent="0.25">
      <c r="A24" s="71"/>
      <c r="B24" s="63" t="s">
        <v>140</v>
      </c>
      <c r="C24" s="65"/>
      <c r="D24" s="68"/>
      <c r="J24" s="22"/>
      <c r="L24" s="21"/>
    </row>
    <row r="25" spans="1:12" ht="15" x14ac:dyDescent="0.25">
      <c r="A25" s="71"/>
      <c r="B25" s="37" t="s">
        <v>59</v>
      </c>
      <c r="C25" s="32"/>
      <c r="D25" s="68"/>
      <c r="J25" s="22"/>
      <c r="L25" s="21"/>
    </row>
    <row r="26" spans="1:12" ht="15" x14ac:dyDescent="0.25">
      <c r="A26" s="71"/>
      <c r="B26" s="42" t="s">
        <v>120</v>
      </c>
      <c r="C26" s="43">
        <v>0.49859763952484004</v>
      </c>
      <c r="D26" s="68"/>
      <c r="J26" s="20"/>
      <c r="L26" s="21"/>
    </row>
    <row r="27" spans="1:12" ht="15" x14ac:dyDescent="0.25">
      <c r="A27" s="71"/>
      <c r="B27" s="37" t="s">
        <v>60</v>
      </c>
      <c r="C27" s="6">
        <f>+SUM(C26:C26)</f>
        <v>0.49859763952484004</v>
      </c>
      <c r="D27" s="68"/>
      <c r="J27" s="22"/>
      <c r="L27" s="21"/>
    </row>
    <row r="28" spans="1:12" ht="15" x14ac:dyDescent="0.25">
      <c r="A28" s="71"/>
      <c r="B28" s="72" t="s">
        <v>140</v>
      </c>
      <c r="C28" s="73"/>
      <c r="D28" s="68"/>
      <c r="J28" s="20"/>
      <c r="L28" s="21"/>
    </row>
    <row r="29" spans="1:12" ht="15" x14ac:dyDescent="0.25">
      <c r="A29" s="71"/>
      <c r="B29" s="37" t="s">
        <v>61</v>
      </c>
      <c r="C29" s="32"/>
      <c r="D29" s="68"/>
      <c r="J29" s="22"/>
      <c r="L29" s="21"/>
    </row>
    <row r="30" spans="1:12" ht="15" x14ac:dyDescent="0.25">
      <c r="A30" s="71"/>
      <c r="B30" s="26"/>
      <c r="C30" s="43"/>
      <c r="D30" s="68"/>
      <c r="J30" s="22"/>
      <c r="L30" s="21"/>
    </row>
    <row r="31" spans="1:12" ht="15" x14ac:dyDescent="0.25">
      <c r="A31" s="71"/>
      <c r="B31" s="37" t="s">
        <v>62</v>
      </c>
      <c r="C31" s="6">
        <f>+SUM(C30:C30)</f>
        <v>0</v>
      </c>
      <c r="D31" s="68"/>
      <c r="J31" s="22"/>
      <c r="L31" s="21"/>
    </row>
    <row r="32" spans="1:12" ht="15" x14ac:dyDescent="0.25">
      <c r="A32" s="71"/>
      <c r="B32" s="63" t="s">
        <v>140</v>
      </c>
      <c r="C32" s="65"/>
      <c r="D32" s="68"/>
      <c r="J32" s="22"/>
      <c r="L32" s="21"/>
    </row>
    <row r="33" spans="1:12" ht="15" x14ac:dyDescent="0.25">
      <c r="A33" s="71"/>
      <c r="B33" s="37" t="s">
        <v>63</v>
      </c>
      <c r="C33" s="32"/>
      <c r="D33" s="68"/>
      <c r="J33" s="22"/>
      <c r="L33" s="21"/>
    </row>
    <row r="34" spans="1:12" x14ac:dyDescent="0.2">
      <c r="A34" s="71"/>
      <c r="B34" s="26" t="s">
        <v>121</v>
      </c>
      <c r="C34" s="57">
        <v>0.13527617995920554</v>
      </c>
      <c r="D34" s="68"/>
    </row>
    <row r="35" spans="1:12" x14ac:dyDescent="0.2">
      <c r="A35" s="71"/>
      <c r="B35" s="26" t="s">
        <v>55</v>
      </c>
      <c r="C35" s="57">
        <v>0.22844931013848657</v>
      </c>
      <c r="D35" s="68"/>
    </row>
    <row r="36" spans="1:12" x14ac:dyDescent="0.2">
      <c r="A36" s="71"/>
      <c r="B36" s="26" t="s">
        <v>122</v>
      </c>
      <c r="C36" s="57">
        <v>0.10779977020449014</v>
      </c>
      <c r="D36" s="68"/>
    </row>
    <row r="37" spans="1:12" x14ac:dyDescent="0.2">
      <c r="A37" s="71"/>
      <c r="B37" s="26" t="s">
        <v>123</v>
      </c>
      <c r="C37" s="57">
        <v>6.0056037911257014E-2</v>
      </c>
      <c r="D37" s="68"/>
    </row>
    <row r="38" spans="1:12" x14ac:dyDescent="0.2">
      <c r="A38" s="71"/>
      <c r="B38" s="26" t="s">
        <v>124</v>
      </c>
      <c r="C38" s="57">
        <v>0.10919057732973871</v>
      </c>
      <c r="D38" s="68"/>
    </row>
    <row r="39" spans="1:12" x14ac:dyDescent="0.2">
      <c r="A39" s="71"/>
      <c r="B39" s="37" t="s">
        <v>64</v>
      </c>
      <c r="C39" s="6">
        <f>+SUM(C34:C38)</f>
        <v>0.64077187554317794</v>
      </c>
      <c r="D39" s="68"/>
    </row>
    <row r="40" spans="1:12" x14ac:dyDescent="0.2">
      <c r="A40" s="71"/>
      <c r="B40" s="63" t="s">
        <v>140</v>
      </c>
      <c r="C40" s="65"/>
      <c r="D40" s="68"/>
    </row>
    <row r="41" spans="1:12" x14ac:dyDescent="0.2">
      <c r="A41" s="71"/>
      <c r="B41" s="37" t="s">
        <v>65</v>
      </c>
      <c r="C41" s="32"/>
      <c r="D41" s="68"/>
    </row>
    <row r="42" spans="1:12" x14ac:dyDescent="0.2">
      <c r="A42" s="71"/>
      <c r="B42" s="40"/>
      <c r="C42" s="43"/>
      <c r="D42" s="68"/>
    </row>
    <row r="43" spans="1:12" x14ac:dyDescent="0.2">
      <c r="A43" s="71"/>
      <c r="B43" s="37" t="s">
        <v>66</v>
      </c>
      <c r="C43" s="6">
        <v>0</v>
      </c>
      <c r="D43" s="68"/>
    </row>
    <row r="44" spans="1:12" x14ac:dyDescent="0.2">
      <c r="A44" s="71"/>
      <c r="B44" s="63" t="s">
        <v>140</v>
      </c>
      <c r="C44" s="65"/>
      <c r="D44" s="68"/>
    </row>
    <row r="45" spans="1:12" x14ac:dyDescent="0.2">
      <c r="A45" s="71"/>
      <c r="B45" s="37" t="s">
        <v>67</v>
      </c>
      <c r="C45" s="32"/>
      <c r="D45" s="68"/>
    </row>
    <row r="46" spans="1:12" x14ac:dyDescent="0.2">
      <c r="A46" s="71"/>
      <c r="B46" s="38"/>
      <c r="C46" s="6">
        <v>0</v>
      </c>
      <c r="D46" s="68"/>
    </row>
    <row r="47" spans="1:12" x14ac:dyDescent="0.2">
      <c r="A47" s="71"/>
      <c r="B47" s="37" t="s">
        <v>68</v>
      </c>
      <c r="C47" s="6">
        <v>0</v>
      </c>
      <c r="D47" s="68"/>
    </row>
    <row r="48" spans="1:12" x14ac:dyDescent="0.2">
      <c r="A48" s="71"/>
      <c r="B48" s="63" t="s">
        <v>140</v>
      </c>
      <c r="C48" s="65"/>
      <c r="D48" s="68"/>
    </row>
    <row r="49" spans="1:4" x14ac:dyDescent="0.2">
      <c r="A49" s="71"/>
      <c r="B49" s="37" t="s">
        <v>69</v>
      </c>
      <c r="C49" s="30">
        <f>+C43+C47+C39+C31+C27+C23+C14</f>
        <v>480.45517554465374</v>
      </c>
      <c r="D49" s="68"/>
    </row>
    <row r="50" spans="1:4" x14ac:dyDescent="0.2">
      <c r="A50" s="71"/>
      <c r="B50" s="63" t="s">
        <v>140</v>
      </c>
      <c r="C50" s="65"/>
      <c r="D50" s="68"/>
    </row>
    <row r="51" spans="1:4" x14ac:dyDescent="0.2">
      <c r="A51" s="71"/>
      <c r="B51" s="28" t="s">
        <v>49</v>
      </c>
      <c r="C51" s="35">
        <v>5453772.6391327465</v>
      </c>
      <c r="D51" s="68"/>
    </row>
    <row r="52" spans="1:4" x14ac:dyDescent="0.2">
      <c r="B52" s="69" t="s">
        <v>139</v>
      </c>
      <c r="C52" s="69"/>
    </row>
  </sheetData>
  <mergeCells count="12">
    <mergeCell ref="B52:C52"/>
    <mergeCell ref="B50:C50"/>
    <mergeCell ref="B48:C48"/>
    <mergeCell ref="B44:C44"/>
    <mergeCell ref="B40:C40"/>
    <mergeCell ref="B24:C24"/>
    <mergeCell ref="B15:C15"/>
    <mergeCell ref="B1:C1"/>
    <mergeCell ref="A2:A51"/>
    <mergeCell ref="D2:D51"/>
    <mergeCell ref="B32:C32"/>
    <mergeCell ref="B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rightToLeft="1" workbookViewId="0">
      <selection activeCell="B15" sqref="B15:C15"/>
    </sheetView>
  </sheetViews>
  <sheetFormatPr defaultColWidth="8.625" defaultRowHeight="14.25" x14ac:dyDescent="0.2"/>
  <cols>
    <col min="1" max="1" width="8.625" style="1"/>
    <col min="2" max="2" width="33.75" bestFit="1" customWidth="1"/>
    <col min="3" max="3" width="28.375" customWidth="1"/>
    <col min="4" max="16384" width="8.625" style="1"/>
  </cols>
  <sheetData>
    <row r="1" spans="1:4" x14ac:dyDescent="0.2">
      <c r="B1" s="70" t="s">
        <v>136</v>
      </c>
      <c r="C1" s="70"/>
    </row>
    <row r="2" spans="1:4" ht="26.25" x14ac:dyDescent="0.25">
      <c r="A2" s="71" t="s">
        <v>137</v>
      </c>
      <c r="B2" s="23" t="s">
        <v>96</v>
      </c>
      <c r="C2" s="24" t="s">
        <v>125</v>
      </c>
      <c r="D2" s="68" t="s">
        <v>142</v>
      </c>
    </row>
    <row r="3" spans="1:4" x14ac:dyDescent="0.2">
      <c r="A3" s="71"/>
      <c r="B3" s="36" t="s">
        <v>70</v>
      </c>
      <c r="C3" s="36" t="s">
        <v>71</v>
      </c>
      <c r="D3" s="68"/>
    </row>
    <row r="4" spans="1:4" x14ac:dyDescent="0.2">
      <c r="A4" s="71"/>
      <c r="B4" s="44" t="s">
        <v>72</v>
      </c>
      <c r="C4" s="36"/>
      <c r="D4" s="68"/>
    </row>
    <row r="5" spans="1:4" x14ac:dyDescent="0.2">
      <c r="A5" s="71"/>
      <c r="B5" s="40" t="s">
        <v>55</v>
      </c>
      <c r="C5" s="45">
        <v>162.74389851547286</v>
      </c>
      <c r="D5" s="68"/>
    </row>
    <row r="6" spans="1:4" x14ac:dyDescent="0.2">
      <c r="A6" s="71"/>
      <c r="B6" s="40" t="s">
        <v>126</v>
      </c>
      <c r="C6" s="45">
        <v>4.1788760984322124</v>
      </c>
      <c r="D6" s="68"/>
    </row>
    <row r="7" spans="1:4" x14ac:dyDescent="0.2">
      <c r="A7" s="71"/>
      <c r="B7" s="40" t="s">
        <v>127</v>
      </c>
      <c r="C7" s="45">
        <v>0.57652678159449111</v>
      </c>
      <c r="D7" s="68"/>
    </row>
    <row r="8" spans="1:4" x14ac:dyDescent="0.2">
      <c r="A8" s="71"/>
      <c r="B8" s="40" t="s">
        <v>128</v>
      </c>
      <c r="C8" s="45">
        <v>6.0617900000000011</v>
      </c>
      <c r="D8" s="68"/>
    </row>
    <row r="9" spans="1:4" x14ac:dyDescent="0.2">
      <c r="A9" s="71"/>
      <c r="B9" s="40" t="s">
        <v>129</v>
      </c>
      <c r="C9" s="45">
        <v>5.3475226653829608</v>
      </c>
      <c r="D9" s="68"/>
    </row>
    <row r="10" spans="1:4" x14ac:dyDescent="0.2">
      <c r="A10" s="71"/>
      <c r="B10" s="40" t="s">
        <v>130</v>
      </c>
      <c r="C10" s="45">
        <v>0.10208</v>
      </c>
      <c r="D10" s="68"/>
    </row>
    <row r="11" spans="1:4" x14ac:dyDescent="0.2">
      <c r="A11" s="71"/>
      <c r="B11" s="40" t="s">
        <v>131</v>
      </c>
      <c r="C11" s="45">
        <v>80.308096506237618</v>
      </c>
      <c r="D11" s="68"/>
    </row>
    <row r="12" spans="1:4" x14ac:dyDescent="0.2">
      <c r="A12" s="71"/>
      <c r="B12" s="40" t="s">
        <v>132</v>
      </c>
      <c r="C12" s="45">
        <v>27.307850000000002</v>
      </c>
      <c r="D12" s="68"/>
    </row>
    <row r="13" spans="1:4" x14ac:dyDescent="0.2">
      <c r="A13" s="71"/>
      <c r="B13" s="40" t="s">
        <v>133</v>
      </c>
      <c r="C13" s="45">
        <v>2.3185824297251873E-2</v>
      </c>
      <c r="D13" s="68"/>
    </row>
    <row r="14" spans="1:4" x14ac:dyDescent="0.2">
      <c r="A14" s="71"/>
      <c r="B14" s="46" t="s">
        <v>73</v>
      </c>
      <c r="C14" s="30">
        <f>+SUM(C5:C13)</f>
        <v>286.64982639141738</v>
      </c>
      <c r="D14" s="68"/>
    </row>
    <row r="15" spans="1:4" x14ac:dyDescent="0.2">
      <c r="A15" s="71"/>
      <c r="B15" s="74" t="s">
        <v>140</v>
      </c>
      <c r="C15" s="75"/>
      <c r="D15" s="68"/>
    </row>
    <row r="16" spans="1:4" x14ac:dyDescent="0.2">
      <c r="A16" s="71"/>
      <c r="B16" s="46" t="s">
        <v>74</v>
      </c>
      <c r="C16" s="36"/>
      <c r="D16" s="68"/>
    </row>
    <row r="17" spans="1:4" x14ac:dyDescent="0.2">
      <c r="A17" s="71"/>
      <c r="B17" s="40"/>
      <c r="C17" s="47">
        <v>0</v>
      </c>
      <c r="D17" s="68"/>
    </row>
    <row r="18" spans="1:4" x14ac:dyDescent="0.2">
      <c r="A18" s="71"/>
      <c r="B18" s="46" t="s">
        <v>75</v>
      </c>
      <c r="C18" s="47">
        <v>0</v>
      </c>
      <c r="D18" s="68"/>
    </row>
    <row r="19" spans="1:4" x14ac:dyDescent="0.2">
      <c r="A19" s="71"/>
      <c r="B19" s="74" t="s">
        <v>140</v>
      </c>
      <c r="C19" s="75"/>
      <c r="D19" s="68"/>
    </row>
    <row r="20" spans="1:4" x14ac:dyDescent="0.2">
      <c r="A20" s="71"/>
      <c r="B20" s="46" t="s">
        <v>76</v>
      </c>
      <c r="C20" s="36"/>
      <c r="D20" s="68"/>
    </row>
    <row r="21" spans="1:4" x14ac:dyDescent="0.2">
      <c r="A21" s="71"/>
      <c r="B21" s="40"/>
      <c r="C21" s="47">
        <v>0</v>
      </c>
      <c r="D21" s="68"/>
    </row>
    <row r="22" spans="1:4" x14ac:dyDescent="0.2">
      <c r="A22" s="71"/>
      <c r="B22" s="46" t="s">
        <v>77</v>
      </c>
      <c r="C22" s="47">
        <v>0</v>
      </c>
      <c r="D22" s="68"/>
    </row>
    <row r="23" spans="1:4" x14ac:dyDescent="0.2">
      <c r="A23" s="71"/>
      <c r="B23" s="76" t="s">
        <v>140</v>
      </c>
      <c r="C23" s="77"/>
      <c r="D23" s="68"/>
    </row>
    <row r="24" spans="1:4" x14ac:dyDescent="0.2">
      <c r="A24" s="71"/>
      <c r="B24" s="46" t="s">
        <v>78</v>
      </c>
      <c r="C24" s="36"/>
      <c r="D24" s="68"/>
    </row>
    <row r="25" spans="1:4" x14ac:dyDescent="0.2">
      <c r="A25" s="71"/>
      <c r="B25" s="44" t="s">
        <v>79</v>
      </c>
      <c r="C25" s="48"/>
      <c r="D25" s="68"/>
    </row>
    <row r="26" spans="1:4" x14ac:dyDescent="0.2">
      <c r="A26" s="71"/>
      <c r="B26" s="40"/>
      <c r="C26" s="45"/>
      <c r="D26" s="68"/>
    </row>
    <row r="27" spans="1:4" x14ac:dyDescent="0.2">
      <c r="A27" s="71"/>
      <c r="B27" s="44" t="s">
        <v>80</v>
      </c>
      <c r="C27" s="7"/>
      <c r="D27" s="68"/>
    </row>
    <row r="28" spans="1:4" x14ac:dyDescent="0.2">
      <c r="A28" s="71"/>
      <c r="B28" s="40" t="s">
        <v>93</v>
      </c>
      <c r="C28" s="45">
        <v>55.251614512949047</v>
      </c>
      <c r="D28" s="68"/>
    </row>
    <row r="29" spans="1:4" x14ac:dyDescent="0.2">
      <c r="A29" s="71"/>
      <c r="B29" s="40" t="s">
        <v>55</v>
      </c>
      <c r="C29" s="45">
        <v>247.10633039190847</v>
      </c>
      <c r="D29" s="68"/>
    </row>
    <row r="30" spans="1:4" x14ac:dyDescent="0.2">
      <c r="A30" s="71"/>
      <c r="B30" s="46" t="s">
        <v>81</v>
      </c>
      <c r="C30" s="30">
        <f>+SUM(C26:C29)</f>
        <v>302.3579449048575</v>
      </c>
      <c r="D30" s="68"/>
    </row>
    <row r="31" spans="1:4" x14ac:dyDescent="0.2">
      <c r="A31" s="71"/>
      <c r="B31" s="74" t="s">
        <v>140</v>
      </c>
      <c r="C31" s="75"/>
      <c r="D31" s="68"/>
    </row>
    <row r="32" spans="1:4" x14ac:dyDescent="0.2">
      <c r="A32" s="71"/>
      <c r="B32" s="46" t="s">
        <v>82</v>
      </c>
      <c r="C32" s="36"/>
      <c r="D32" s="68"/>
    </row>
    <row r="33" spans="1:4" x14ac:dyDescent="0.2">
      <c r="A33" s="71"/>
      <c r="B33" s="49" t="s">
        <v>83</v>
      </c>
      <c r="C33" s="30"/>
      <c r="D33" s="68"/>
    </row>
    <row r="34" spans="1:4" x14ac:dyDescent="0.2">
      <c r="A34" s="71"/>
      <c r="B34" s="58" t="s">
        <v>111</v>
      </c>
      <c r="C34" s="45">
        <v>21.892785253734164</v>
      </c>
      <c r="D34" s="68"/>
    </row>
    <row r="35" spans="1:4" x14ac:dyDescent="0.2">
      <c r="A35" s="71"/>
      <c r="B35" s="58" t="s">
        <v>110</v>
      </c>
      <c r="C35" s="45">
        <v>30.53475396</v>
      </c>
      <c r="D35" s="68"/>
    </row>
    <row r="36" spans="1:4" x14ac:dyDescent="0.2">
      <c r="A36" s="71"/>
      <c r="B36" s="49" t="s">
        <v>84</v>
      </c>
      <c r="C36" s="30"/>
      <c r="D36" s="68"/>
    </row>
    <row r="37" spans="1:4" x14ac:dyDescent="0.2">
      <c r="A37" s="71"/>
      <c r="B37" s="40" t="s">
        <v>86</v>
      </c>
      <c r="C37" s="45">
        <v>70.010376877757921</v>
      </c>
      <c r="D37" s="68"/>
    </row>
    <row r="38" spans="1:4" x14ac:dyDescent="0.2">
      <c r="A38" s="71"/>
      <c r="B38" s="40" t="s">
        <v>85</v>
      </c>
      <c r="C38" s="45">
        <v>71.292583066449069</v>
      </c>
      <c r="D38" s="68"/>
    </row>
    <row r="39" spans="1:4" x14ac:dyDescent="0.2">
      <c r="A39" s="71"/>
      <c r="B39" s="40" t="s">
        <v>134</v>
      </c>
      <c r="C39" s="45">
        <v>1.3288999889363882</v>
      </c>
      <c r="D39" s="68"/>
    </row>
    <row r="40" spans="1:4" x14ac:dyDescent="0.2">
      <c r="A40" s="71"/>
      <c r="B40" s="40" t="s">
        <v>87</v>
      </c>
      <c r="C40" s="45">
        <v>52.507277006439367</v>
      </c>
      <c r="D40" s="68"/>
    </row>
    <row r="41" spans="1:4" x14ac:dyDescent="0.2">
      <c r="A41" s="71"/>
      <c r="B41" s="40" t="s">
        <v>94</v>
      </c>
      <c r="C41" s="45">
        <v>32.99255312695518</v>
      </c>
      <c r="D41" s="68"/>
    </row>
    <row r="42" spans="1:4" x14ac:dyDescent="0.2">
      <c r="A42" s="71"/>
      <c r="B42" s="40" t="s">
        <v>112</v>
      </c>
      <c r="C42" s="45">
        <v>44.843740120495049</v>
      </c>
      <c r="D42" s="68"/>
    </row>
    <row r="43" spans="1:4" x14ac:dyDescent="0.2">
      <c r="A43" s="71"/>
      <c r="B43" s="40" t="s">
        <v>55</v>
      </c>
      <c r="C43" s="45">
        <v>33.756357424707694</v>
      </c>
      <c r="D43" s="68"/>
    </row>
    <row r="44" spans="1:4" x14ac:dyDescent="0.2">
      <c r="A44" s="71"/>
      <c r="B44" s="40" t="s">
        <v>135</v>
      </c>
      <c r="C44" s="45">
        <v>49.77765982625597</v>
      </c>
      <c r="D44" s="68"/>
    </row>
    <row r="45" spans="1:4" x14ac:dyDescent="0.2">
      <c r="A45" s="71"/>
      <c r="B45" s="46" t="s">
        <v>88</v>
      </c>
      <c r="C45" s="30">
        <f>+SUM(C34:C44)</f>
        <v>408.93698665173076</v>
      </c>
      <c r="D45" s="68"/>
    </row>
    <row r="46" spans="1:4" x14ac:dyDescent="0.2">
      <c r="A46" s="71"/>
      <c r="B46" s="74" t="s">
        <v>140</v>
      </c>
      <c r="C46" s="75"/>
      <c r="D46" s="68"/>
    </row>
    <row r="47" spans="1:4" x14ac:dyDescent="0.2">
      <c r="A47" s="71"/>
      <c r="B47" s="44" t="s">
        <v>89</v>
      </c>
      <c r="C47" s="30">
        <f>+C45+C30+C14</f>
        <v>997.94475794800564</v>
      </c>
      <c r="D47" s="68"/>
    </row>
    <row r="48" spans="1:4" x14ac:dyDescent="0.2">
      <c r="A48" s="71"/>
      <c r="B48" s="28" t="s">
        <v>49</v>
      </c>
      <c r="C48" s="35">
        <v>5453772.6391327465</v>
      </c>
      <c r="D48" s="68"/>
    </row>
    <row r="49" spans="2:3" x14ac:dyDescent="0.2">
      <c r="B49" s="69" t="s">
        <v>139</v>
      </c>
      <c r="C49" s="69"/>
    </row>
  </sheetData>
  <mergeCells count="9">
    <mergeCell ref="B1:C1"/>
    <mergeCell ref="A2:A48"/>
    <mergeCell ref="D2:D48"/>
    <mergeCell ref="B49:C49"/>
    <mergeCell ref="B46:C46"/>
    <mergeCell ref="B31:C31"/>
    <mergeCell ref="B23:C23"/>
    <mergeCell ref="B19:C19"/>
    <mergeCell ref="B1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0"/>
  <sheetViews>
    <sheetView rightToLeft="1" zoomScale="90" zoomScaleNormal="90" workbookViewId="0">
      <selection activeCell="A2" sqref="A2:A39"/>
    </sheetView>
  </sheetViews>
  <sheetFormatPr defaultColWidth="8.625" defaultRowHeight="14.25" x14ac:dyDescent="0.2"/>
  <cols>
    <col min="1" max="1" width="8.625" style="1"/>
    <col min="2" max="2" width="8.25" style="1" customWidth="1"/>
    <col min="3" max="3" width="13.5" style="1" customWidth="1"/>
    <col min="4" max="4" width="8.625" style="8"/>
    <col min="5" max="6" width="8.625" style="1"/>
    <col min="7" max="7" width="17.375" style="1" customWidth="1"/>
    <col min="8" max="8" width="9.375" style="1" customWidth="1"/>
    <col min="9" max="10" width="11.375" style="1" customWidth="1"/>
    <col min="11" max="11" width="9" style="1" bestFit="1" customWidth="1"/>
    <col min="12" max="12" width="12.875" style="1" customWidth="1"/>
    <col min="13" max="13" width="12.25" style="1" customWidth="1"/>
    <col min="14" max="14" width="11.25" style="1" customWidth="1"/>
    <col min="15" max="15" width="13" style="1" customWidth="1"/>
    <col min="16" max="16" width="13.875" style="1" customWidth="1"/>
    <col min="17" max="17" width="12.875" style="1" customWidth="1"/>
    <col min="18" max="18" width="10.75" style="1" customWidth="1"/>
    <col min="19" max="19" width="9" style="1" bestFit="1" customWidth="1"/>
    <col min="20" max="21" width="8.625" style="1"/>
    <col min="22" max="22" width="9.375" style="1" bestFit="1" customWidth="1"/>
    <col min="23" max="16384" width="8.625" style="1"/>
  </cols>
  <sheetData>
    <row r="1" spans="1:23" x14ac:dyDescent="0.2">
      <c r="B1" s="67" t="s">
        <v>136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</row>
    <row r="2" spans="1:23" ht="14.25" customHeight="1" x14ac:dyDescent="0.2">
      <c r="A2" s="67" t="s">
        <v>137</v>
      </c>
      <c r="B2" s="62" t="s">
        <v>141</v>
      </c>
      <c r="C2" s="78" t="s">
        <v>95</v>
      </c>
      <c r="D2" s="78"/>
      <c r="E2" s="78"/>
      <c r="F2" s="78"/>
      <c r="G2" s="78"/>
      <c r="H2" s="79"/>
      <c r="I2" s="50">
        <v>242</v>
      </c>
      <c r="J2" s="50">
        <v>384</v>
      </c>
      <c r="K2" s="50">
        <v>801</v>
      </c>
      <c r="L2" s="50">
        <v>804</v>
      </c>
      <c r="M2" s="50">
        <v>806</v>
      </c>
      <c r="N2" s="50">
        <v>1008</v>
      </c>
      <c r="O2" s="50">
        <v>8765</v>
      </c>
      <c r="P2" s="50">
        <v>8766</v>
      </c>
      <c r="Q2" s="50">
        <v>9475</v>
      </c>
      <c r="R2" s="50">
        <v>12595</v>
      </c>
      <c r="S2" s="50">
        <v>13206</v>
      </c>
      <c r="T2" s="50">
        <v>13318</v>
      </c>
      <c r="U2" s="50">
        <v>9418</v>
      </c>
      <c r="V2" s="50"/>
      <c r="W2" s="68" t="s">
        <v>142</v>
      </c>
    </row>
    <row r="3" spans="1:23" ht="89.25" x14ac:dyDescent="0.2">
      <c r="A3" s="67"/>
      <c r="B3" s="2" t="s">
        <v>90</v>
      </c>
      <c r="C3" s="80"/>
      <c r="D3" s="80"/>
      <c r="E3" s="80"/>
      <c r="F3" s="80"/>
      <c r="G3" s="80"/>
      <c r="H3" s="81"/>
      <c r="I3" s="50" t="s">
        <v>96</v>
      </c>
      <c r="J3" s="50" t="s">
        <v>97</v>
      </c>
      <c r="K3" s="50" t="s">
        <v>98</v>
      </c>
      <c r="L3" s="50" t="s">
        <v>99</v>
      </c>
      <c r="M3" s="50" t="s">
        <v>100</v>
      </c>
      <c r="N3" s="50" t="s">
        <v>101</v>
      </c>
      <c r="O3" s="50" t="s">
        <v>102</v>
      </c>
      <c r="P3" s="50" t="s">
        <v>103</v>
      </c>
      <c r="Q3" s="50" t="s">
        <v>104</v>
      </c>
      <c r="R3" s="50" t="s">
        <v>105</v>
      </c>
      <c r="S3" s="50" t="s">
        <v>106</v>
      </c>
      <c r="T3" s="50" t="s">
        <v>107</v>
      </c>
      <c r="U3" s="50" t="s">
        <v>108</v>
      </c>
      <c r="V3" s="50" t="s">
        <v>91</v>
      </c>
      <c r="W3" s="68"/>
    </row>
    <row r="4" spans="1:23" ht="14.25" customHeight="1" x14ac:dyDescent="0.2">
      <c r="A4" s="67"/>
      <c r="B4" s="2"/>
      <c r="C4" s="4" t="s">
        <v>2</v>
      </c>
      <c r="D4" s="9"/>
      <c r="E4" s="9"/>
      <c r="F4" s="9"/>
      <c r="G4" s="9"/>
      <c r="H4" s="5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68"/>
    </row>
    <row r="5" spans="1:23" ht="14.25" customHeight="1" x14ac:dyDescent="0.2">
      <c r="A5" s="67"/>
      <c r="B5" s="2" t="s">
        <v>3</v>
      </c>
      <c r="C5" s="4" t="s">
        <v>4</v>
      </c>
      <c r="D5" s="9"/>
      <c r="E5" s="9"/>
      <c r="F5" s="9"/>
      <c r="G5" s="9"/>
      <c r="H5" s="5"/>
      <c r="I5" s="52">
        <v>0.7908743557812945</v>
      </c>
      <c r="J5" s="52">
        <v>0.23892802061769963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0.294823740849738</v>
      </c>
      <c r="S5" s="52">
        <v>0</v>
      </c>
      <c r="T5" s="52">
        <v>0</v>
      </c>
      <c r="U5" s="52">
        <v>0</v>
      </c>
      <c r="V5" s="52">
        <v>1.3246261172487321</v>
      </c>
      <c r="W5" s="68"/>
    </row>
    <row r="6" spans="1:23" ht="14.25" customHeight="1" x14ac:dyDescent="0.2">
      <c r="A6" s="67"/>
      <c r="B6" s="2" t="s">
        <v>5</v>
      </c>
      <c r="C6" s="4" t="s">
        <v>6</v>
      </c>
      <c r="D6" s="9"/>
      <c r="E6" s="9"/>
      <c r="F6" s="9"/>
      <c r="G6" s="9"/>
      <c r="H6" s="5"/>
      <c r="I6" s="52">
        <v>161.48755578400329</v>
      </c>
      <c r="J6" s="52">
        <v>22.341444767440564</v>
      </c>
      <c r="K6" s="52">
        <v>0.50734001100000004</v>
      </c>
      <c r="L6" s="52">
        <v>3.1315614517545494</v>
      </c>
      <c r="M6" s="52">
        <v>0.15905608104913863</v>
      </c>
      <c r="N6" s="52">
        <v>0.70652231840768132</v>
      </c>
      <c r="O6" s="52">
        <v>2.9830473926570686</v>
      </c>
      <c r="P6" s="52">
        <v>1.9496093832087622</v>
      </c>
      <c r="Q6" s="52">
        <v>0</v>
      </c>
      <c r="R6" s="52">
        <v>122.76946972646995</v>
      </c>
      <c r="S6" s="52">
        <v>15.023854324508454</v>
      </c>
      <c r="T6" s="52">
        <v>6.3043159229183328</v>
      </c>
      <c r="U6" s="52">
        <v>50.020416009956286</v>
      </c>
      <c r="V6" s="52">
        <v>387.38419317337406</v>
      </c>
      <c r="W6" s="68"/>
    </row>
    <row r="7" spans="1:23" ht="14.25" customHeight="1" x14ac:dyDescent="0.2">
      <c r="A7" s="67"/>
      <c r="B7" s="83" t="s">
        <v>140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5"/>
      <c r="W7" s="68"/>
    </row>
    <row r="8" spans="1:23" ht="14.25" customHeight="1" x14ac:dyDescent="0.2">
      <c r="A8" s="67"/>
      <c r="B8" s="2"/>
      <c r="C8" s="4" t="s">
        <v>7</v>
      </c>
      <c r="D8" s="9"/>
      <c r="E8" s="9"/>
      <c r="F8" s="9"/>
      <c r="G8" s="9"/>
      <c r="H8" s="11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68"/>
    </row>
    <row r="9" spans="1:23" x14ac:dyDescent="0.2">
      <c r="A9" s="67"/>
      <c r="B9" s="2" t="s">
        <v>8</v>
      </c>
      <c r="C9" s="4" t="s">
        <v>9</v>
      </c>
      <c r="D9" s="9"/>
      <c r="E9" s="9"/>
      <c r="F9" s="9"/>
      <c r="G9" s="9"/>
      <c r="H9" s="11"/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68"/>
    </row>
    <row r="10" spans="1:23" x14ac:dyDescent="0.2">
      <c r="A10" s="67"/>
      <c r="B10" s="2" t="s">
        <v>10</v>
      </c>
      <c r="C10" s="4" t="s">
        <v>11</v>
      </c>
      <c r="D10" s="9"/>
      <c r="E10" s="9"/>
      <c r="F10" s="9"/>
      <c r="G10" s="9"/>
      <c r="H10" s="5"/>
      <c r="I10" s="52">
        <v>22.46834504277491</v>
      </c>
      <c r="J10" s="52">
        <v>2.9760019231910579</v>
      </c>
      <c r="K10" s="52">
        <v>0.20100000000000004</v>
      </c>
      <c r="L10" s="52">
        <v>0.24295169422692137</v>
      </c>
      <c r="M10" s="52">
        <v>0.22855559670276693</v>
      </c>
      <c r="N10" s="52">
        <v>5.9823520489572686E-2</v>
      </c>
      <c r="O10" s="52">
        <v>0.27954403153428925</v>
      </c>
      <c r="P10" s="52">
        <v>0.37696863310371198</v>
      </c>
      <c r="Q10" s="52">
        <v>4.3699999999999998E-3</v>
      </c>
      <c r="R10" s="52">
        <v>106.16168055075352</v>
      </c>
      <c r="S10" s="52">
        <v>5.9809246287016782</v>
      </c>
      <c r="T10" s="52">
        <v>1.6472371274408963</v>
      </c>
      <c r="U10" s="52">
        <v>7.2356677652583157</v>
      </c>
      <c r="V10" s="52">
        <v>147.86307051417762</v>
      </c>
      <c r="W10" s="68"/>
    </row>
    <row r="11" spans="1:23" x14ac:dyDescent="0.2">
      <c r="A11" s="67"/>
      <c r="B11" s="83" t="s">
        <v>140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5"/>
      <c r="W11" s="68"/>
    </row>
    <row r="12" spans="1:23" x14ac:dyDescent="0.2">
      <c r="A12" s="67"/>
      <c r="B12" s="2"/>
      <c r="C12" s="4" t="s">
        <v>12</v>
      </c>
      <c r="D12" s="9"/>
      <c r="E12" s="9"/>
      <c r="F12" s="9"/>
      <c r="G12" s="9"/>
      <c r="H12" s="5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68"/>
    </row>
    <row r="13" spans="1:23" x14ac:dyDescent="0.2">
      <c r="A13" s="67"/>
      <c r="B13" s="2" t="s">
        <v>13</v>
      </c>
      <c r="C13" s="4" t="s">
        <v>14</v>
      </c>
      <c r="D13" s="12"/>
      <c r="E13" s="12"/>
      <c r="F13" s="12"/>
      <c r="G13" s="12"/>
      <c r="H13" s="13"/>
      <c r="I13" s="52">
        <v>24.088241911389336</v>
      </c>
      <c r="J13" s="52">
        <v>6.5895898628390803</v>
      </c>
      <c r="K13" s="52">
        <v>0</v>
      </c>
      <c r="L13" s="52">
        <v>0</v>
      </c>
      <c r="M13" s="52">
        <v>1.2220472915017901</v>
      </c>
      <c r="N13" s="52">
        <v>0</v>
      </c>
      <c r="O13" s="52">
        <v>0</v>
      </c>
      <c r="P13" s="52">
        <v>2.2023874162733919E-2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31.921902939892941</v>
      </c>
      <c r="W13" s="68"/>
    </row>
    <row r="14" spans="1:23" x14ac:dyDescent="0.2">
      <c r="A14" s="67"/>
      <c r="B14" s="2" t="s">
        <v>15</v>
      </c>
      <c r="C14" s="4" t="s">
        <v>16</v>
      </c>
      <c r="D14" s="9"/>
      <c r="E14" s="9"/>
      <c r="F14" s="9"/>
      <c r="G14" s="9"/>
      <c r="H14" s="5"/>
      <c r="I14" s="52">
        <v>9.7827295362832481E-2</v>
      </c>
      <c r="J14" s="52">
        <v>2.870802505506638E-2</v>
      </c>
      <c r="K14" s="52">
        <v>0</v>
      </c>
      <c r="L14" s="52">
        <v>0</v>
      </c>
      <c r="M14" s="52">
        <v>4.9023265354003007E-3</v>
      </c>
      <c r="N14" s="52">
        <v>0</v>
      </c>
      <c r="O14" s="52">
        <v>0</v>
      </c>
      <c r="P14" s="52">
        <v>7.3515584445993463E-5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0.13151116253774514</v>
      </c>
      <c r="W14" s="68"/>
    </row>
    <row r="15" spans="1:23" x14ac:dyDescent="0.2">
      <c r="A15" s="67"/>
      <c r="B15" s="2" t="s">
        <v>17</v>
      </c>
      <c r="C15" s="4" t="s">
        <v>18</v>
      </c>
      <c r="D15" s="9"/>
      <c r="E15" s="9"/>
      <c r="F15" s="9"/>
      <c r="G15" s="9"/>
      <c r="H15" s="5"/>
      <c r="I15" s="52">
        <v>0</v>
      </c>
      <c r="J15" s="52">
        <v>0.64077187554317805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0.64077187554317805</v>
      </c>
      <c r="W15" s="68"/>
    </row>
    <row r="16" spans="1:23" x14ac:dyDescent="0.2">
      <c r="A16" s="67"/>
      <c r="B16" s="83" t="s">
        <v>140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5"/>
      <c r="W16" s="68"/>
    </row>
    <row r="17" spans="1:23" x14ac:dyDescent="0.2">
      <c r="A17" s="67"/>
      <c r="B17" s="2"/>
      <c r="C17" s="4" t="s">
        <v>19</v>
      </c>
      <c r="D17" s="9"/>
      <c r="E17" s="9"/>
      <c r="F17" s="9"/>
      <c r="G17" s="9"/>
      <c r="H17" s="5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68"/>
    </row>
    <row r="18" spans="1:23" x14ac:dyDescent="0.2">
      <c r="A18" s="67"/>
      <c r="B18" s="2" t="s">
        <v>20</v>
      </c>
      <c r="C18" s="4" t="s">
        <v>21</v>
      </c>
      <c r="D18" s="9"/>
      <c r="E18" s="9"/>
      <c r="F18" s="9"/>
      <c r="G18" s="9"/>
      <c r="H18" s="5"/>
      <c r="I18" s="52">
        <v>32.204864467854733</v>
      </c>
      <c r="J18" s="52">
        <v>6.8549256243511181</v>
      </c>
      <c r="K18" s="52">
        <v>0</v>
      </c>
      <c r="L18" s="52">
        <v>0</v>
      </c>
      <c r="M18" s="52">
        <v>1.0559702930018224</v>
      </c>
      <c r="N18" s="52">
        <v>0</v>
      </c>
      <c r="O18" s="52">
        <v>0</v>
      </c>
      <c r="P18" s="52">
        <v>0.13155948277527721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40.247319867982952</v>
      </c>
      <c r="W18" s="68"/>
    </row>
    <row r="19" spans="1:23" x14ac:dyDescent="0.2">
      <c r="A19" s="67"/>
      <c r="B19" s="2" t="s">
        <v>22</v>
      </c>
      <c r="C19" s="4" t="s">
        <v>23</v>
      </c>
      <c r="D19" s="9"/>
      <c r="E19" s="9"/>
      <c r="F19" s="9"/>
      <c r="G19" s="9"/>
      <c r="H19" s="5"/>
      <c r="I19" s="52">
        <v>215.16458002989768</v>
      </c>
      <c r="J19" s="52">
        <v>26.705217598241369</v>
      </c>
      <c r="K19" s="52">
        <v>0</v>
      </c>
      <c r="L19" s="52">
        <v>0</v>
      </c>
      <c r="M19" s="52">
        <v>4.4634495189235537</v>
      </c>
      <c r="N19" s="52">
        <v>0</v>
      </c>
      <c r="O19" s="52">
        <v>0</v>
      </c>
      <c r="P19" s="52">
        <v>6.9259376371881093E-2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246.40250652343448</v>
      </c>
      <c r="W19" s="68"/>
    </row>
    <row r="20" spans="1:23" x14ac:dyDescent="0.2">
      <c r="A20" s="67"/>
      <c r="B20" s="2" t="s">
        <v>24</v>
      </c>
      <c r="C20" s="4" t="s">
        <v>25</v>
      </c>
      <c r="D20" s="9"/>
      <c r="E20" s="9"/>
      <c r="F20" s="9"/>
      <c r="G20" s="9"/>
      <c r="H20" s="5"/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68"/>
    </row>
    <row r="21" spans="1:23" x14ac:dyDescent="0.2">
      <c r="A21" s="67"/>
      <c r="B21" s="2" t="s">
        <v>26</v>
      </c>
      <c r="C21" s="4" t="s">
        <v>27</v>
      </c>
      <c r="D21" s="9"/>
      <c r="E21" s="9"/>
      <c r="F21" s="9"/>
      <c r="G21" s="9"/>
      <c r="H21" s="5"/>
      <c r="I21" s="52">
        <v>9.4328168859403601</v>
      </c>
      <c r="J21" s="52">
        <v>0.64071963750644512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2.7408562272197035</v>
      </c>
      <c r="V21" s="52">
        <v>12.814392750666508</v>
      </c>
      <c r="W21" s="68"/>
    </row>
    <row r="22" spans="1:23" x14ac:dyDescent="0.2">
      <c r="A22" s="67"/>
      <c r="B22" s="2" t="s">
        <v>28</v>
      </c>
      <c r="C22" s="4" t="s">
        <v>29</v>
      </c>
      <c r="D22" s="9"/>
      <c r="E22" s="9"/>
      <c r="F22" s="9"/>
      <c r="G22" s="9"/>
      <c r="H22" s="5"/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0.2346636856666667</v>
      </c>
      <c r="Q22" s="52">
        <v>0</v>
      </c>
      <c r="R22" s="52">
        <v>52.192875528067496</v>
      </c>
      <c r="S22" s="52">
        <v>0</v>
      </c>
      <c r="T22" s="52">
        <v>0</v>
      </c>
      <c r="U22" s="52">
        <v>0</v>
      </c>
      <c r="V22" s="52">
        <v>52.427539213734164</v>
      </c>
      <c r="W22" s="68"/>
    </row>
    <row r="23" spans="1:23" x14ac:dyDescent="0.2">
      <c r="A23" s="67"/>
      <c r="B23" s="2" t="s">
        <v>30</v>
      </c>
      <c r="C23" s="4" t="s">
        <v>31</v>
      </c>
      <c r="D23" s="9"/>
      <c r="E23" s="9"/>
      <c r="F23" s="9"/>
      <c r="G23" s="9"/>
      <c r="H23" s="5"/>
      <c r="I23" s="52">
        <v>111.04688921023534</v>
      </c>
      <c r="J23" s="52">
        <v>8.0551883049348358</v>
      </c>
      <c r="K23" s="52">
        <v>0</v>
      </c>
      <c r="L23" s="52">
        <v>2.5452476995764903</v>
      </c>
      <c r="M23" s="52">
        <v>9.2599083333333326E-6</v>
      </c>
      <c r="N23" s="52">
        <v>0.3282947050333625</v>
      </c>
      <c r="O23" s="52">
        <v>4.2325936072924186</v>
      </c>
      <c r="P23" s="52">
        <v>3.4185064619611709</v>
      </c>
      <c r="Q23" s="52">
        <v>0</v>
      </c>
      <c r="R23" s="52">
        <v>207.37882762541753</v>
      </c>
      <c r="S23" s="52">
        <v>13.030295479429325</v>
      </c>
      <c r="T23" s="52">
        <v>5.1446950952714934</v>
      </c>
      <c r="U23" s="52">
        <v>35.745513877038618</v>
      </c>
      <c r="V23" s="52">
        <v>390.92606132609887</v>
      </c>
      <c r="W23" s="68"/>
    </row>
    <row r="24" spans="1:23" x14ac:dyDescent="0.2">
      <c r="A24" s="67"/>
      <c r="B24" s="2" t="s">
        <v>32</v>
      </c>
      <c r="C24" s="4" t="s">
        <v>33</v>
      </c>
      <c r="D24" s="9"/>
      <c r="E24" s="9"/>
      <c r="F24" s="9"/>
      <c r="G24" s="9"/>
      <c r="H24" s="5"/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68"/>
    </row>
    <row r="25" spans="1:23" x14ac:dyDescent="0.2">
      <c r="A25" s="67"/>
      <c r="B25" s="2" t="s">
        <v>34</v>
      </c>
      <c r="C25" s="4" t="s">
        <v>35</v>
      </c>
      <c r="D25" s="9"/>
      <c r="E25" s="9"/>
      <c r="F25" s="9"/>
      <c r="G25" s="9"/>
      <c r="H25" s="5"/>
      <c r="I25" s="52">
        <v>195.63378213567631</v>
      </c>
      <c r="J25" s="52">
        <v>29.173619011581255</v>
      </c>
      <c r="K25" s="52">
        <v>0</v>
      </c>
      <c r="L25" s="52">
        <v>0</v>
      </c>
      <c r="M25" s="52">
        <v>1.2504476406058335E-4</v>
      </c>
      <c r="N25" s="52">
        <v>0.27299082226230414</v>
      </c>
      <c r="O25" s="52">
        <v>0</v>
      </c>
      <c r="P25" s="52">
        <v>0</v>
      </c>
      <c r="Q25" s="52">
        <v>0</v>
      </c>
      <c r="R25" s="52">
        <v>63.007642439382394</v>
      </c>
      <c r="S25" s="52">
        <v>10.217170835121951</v>
      </c>
      <c r="T25" s="52">
        <v>4.0526146160689978</v>
      </c>
      <c r="U25" s="52">
        <v>59.914183448838166</v>
      </c>
      <c r="V25" s="52">
        <v>362.27212835369545</v>
      </c>
      <c r="W25" s="68"/>
    </row>
    <row r="26" spans="1:23" x14ac:dyDescent="0.2">
      <c r="A26" s="67"/>
      <c r="B26" s="83" t="s">
        <v>140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5"/>
      <c r="W26" s="68"/>
    </row>
    <row r="27" spans="1:23" x14ac:dyDescent="0.2">
      <c r="A27" s="67"/>
      <c r="B27" s="2"/>
      <c r="C27" s="4" t="s">
        <v>36</v>
      </c>
      <c r="D27" s="9"/>
      <c r="E27" s="9"/>
      <c r="F27" s="9"/>
      <c r="G27" s="9"/>
      <c r="H27" s="5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68"/>
    </row>
    <row r="28" spans="1:23" x14ac:dyDescent="0.2">
      <c r="A28" s="67"/>
      <c r="B28" s="2" t="s">
        <v>37</v>
      </c>
      <c r="C28" s="4" t="s">
        <v>38</v>
      </c>
      <c r="D28" s="9"/>
      <c r="E28" s="9"/>
      <c r="F28" s="9"/>
      <c r="G28" s="9"/>
      <c r="H28" s="5"/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68"/>
    </row>
    <row r="29" spans="1:23" x14ac:dyDescent="0.2">
      <c r="A29" s="67"/>
      <c r="B29" s="2" t="s">
        <v>39</v>
      </c>
      <c r="C29" s="4" t="s">
        <v>40</v>
      </c>
      <c r="D29" s="9"/>
      <c r="E29" s="9"/>
      <c r="F29" s="9"/>
      <c r="G29" s="9"/>
      <c r="H29" s="5"/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68"/>
    </row>
    <row r="30" spans="1:23" x14ac:dyDescent="0.2">
      <c r="A30" s="67"/>
      <c r="B30" s="83" t="s">
        <v>140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5"/>
      <c r="W30" s="68"/>
    </row>
    <row r="31" spans="1:23" x14ac:dyDescent="0.2">
      <c r="A31" s="67"/>
      <c r="B31" s="2" t="s">
        <v>41</v>
      </c>
      <c r="C31" s="4" t="s">
        <v>42</v>
      </c>
      <c r="D31" s="9"/>
      <c r="E31" s="9"/>
      <c r="F31" s="9"/>
      <c r="G31" s="9"/>
      <c r="H31" s="5"/>
      <c r="I31" s="52">
        <v>772.41577711891614</v>
      </c>
      <c r="J31" s="52">
        <v>104.24511465130166</v>
      </c>
      <c r="K31" s="52">
        <v>0.7083400110000001</v>
      </c>
      <c r="L31" s="52">
        <v>5.9197608455579616</v>
      </c>
      <c r="M31" s="52">
        <v>7.1341154123868664</v>
      </c>
      <c r="N31" s="52">
        <v>1.3676313661929207</v>
      </c>
      <c r="O31" s="52">
        <v>7.4951850314837767</v>
      </c>
      <c r="P31" s="52">
        <v>6.2026644128346504</v>
      </c>
      <c r="Q31" s="52">
        <v>4.3699999999999998E-3</v>
      </c>
      <c r="R31" s="52">
        <v>551.80531961094061</v>
      </c>
      <c r="S31" s="52">
        <v>44.25224526776141</v>
      </c>
      <c r="T31" s="52">
        <v>17.148862761699721</v>
      </c>
      <c r="U31" s="52">
        <v>155.65663732831109</v>
      </c>
      <c r="V31" s="52">
        <v>1674.3560238183866</v>
      </c>
      <c r="W31" s="68"/>
    </row>
    <row r="32" spans="1:23" x14ac:dyDescent="0.2">
      <c r="A32" s="67"/>
      <c r="B32" s="2"/>
      <c r="C32" s="3"/>
      <c r="D32" s="10"/>
      <c r="E32" s="10"/>
      <c r="F32" s="10"/>
      <c r="G32" s="10"/>
      <c r="H32" s="1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>
        <v>0</v>
      </c>
      <c r="W32" s="68"/>
    </row>
    <row r="33" spans="1:23" x14ac:dyDescent="0.2">
      <c r="A33" s="67"/>
      <c r="B33" s="2"/>
      <c r="C33" s="4" t="s">
        <v>43</v>
      </c>
      <c r="D33" s="9"/>
      <c r="E33" s="9"/>
      <c r="F33" s="9"/>
      <c r="G33" s="9"/>
      <c r="H33" s="5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>
        <v>0</v>
      </c>
      <c r="W33" s="68"/>
    </row>
    <row r="34" spans="1:23" x14ac:dyDescent="0.2">
      <c r="A34" s="67"/>
      <c r="B34" s="2"/>
      <c r="C34" s="14"/>
      <c r="D34" s="15"/>
      <c r="E34" s="15"/>
      <c r="F34" s="15"/>
      <c r="G34" s="15"/>
      <c r="H34" s="16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>
        <v>0</v>
      </c>
      <c r="W34" s="68"/>
    </row>
    <row r="35" spans="1:23" ht="114.75" x14ac:dyDescent="0.2">
      <c r="A35" s="67"/>
      <c r="B35" s="2" t="s">
        <v>44</v>
      </c>
      <c r="C35" s="17" t="s">
        <v>45</v>
      </c>
      <c r="D35" s="18"/>
      <c r="E35" s="18"/>
      <c r="F35" s="18"/>
      <c r="G35" s="18"/>
      <c r="H35" s="19"/>
      <c r="I35" s="55">
        <v>6.3612054628120105E-4</v>
      </c>
      <c r="J35" s="55">
        <v>4.4817452953990452E-4</v>
      </c>
      <c r="K35" s="55">
        <v>0</v>
      </c>
      <c r="L35" s="55">
        <v>3.761313901128256E-4</v>
      </c>
      <c r="M35" s="55">
        <v>2.1354718181267119E-4</v>
      </c>
      <c r="N35" s="55">
        <v>1.6602528948060687E-4</v>
      </c>
      <c r="O35" s="55">
        <v>3.0592643706962239E-4</v>
      </c>
      <c r="P35" s="55">
        <v>8.6438113648863461E-5</v>
      </c>
      <c r="Q35" s="55">
        <v>0</v>
      </c>
      <c r="R35" s="55">
        <v>9.350702180085646E-5</v>
      </c>
      <c r="S35" s="55">
        <v>6.6318572977744309E-5</v>
      </c>
      <c r="T35" s="55">
        <v>5.4532735369141969E-5</v>
      </c>
      <c r="U35" s="55">
        <v>3.7454227603975394E-4</v>
      </c>
      <c r="V35" s="55">
        <v>2.0848171095675009E-4</v>
      </c>
      <c r="W35" s="68"/>
    </row>
    <row r="36" spans="1:23" x14ac:dyDescent="0.2">
      <c r="A36" s="67"/>
      <c r="B36" s="83" t="s">
        <v>140</v>
      </c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5"/>
      <c r="W36" s="68"/>
    </row>
    <row r="37" spans="1:23" x14ac:dyDescent="0.2">
      <c r="A37" s="67"/>
      <c r="B37" s="2" t="s">
        <v>46</v>
      </c>
      <c r="C37" s="4" t="s">
        <v>47</v>
      </c>
      <c r="D37" s="9"/>
      <c r="E37" s="9"/>
      <c r="F37" s="9"/>
      <c r="G37" s="9"/>
      <c r="H37" s="5"/>
      <c r="I37" s="55">
        <v>8.9876169610428032E-4</v>
      </c>
      <c r="J37" s="55">
        <v>6.4158161591658369E-4</v>
      </c>
      <c r="K37" s="55">
        <v>3.4206460119951747E-5</v>
      </c>
      <c r="L37" s="55">
        <v>1.020882695487709E-3</v>
      </c>
      <c r="M37" s="55">
        <v>2.5141055800135636E-4</v>
      </c>
      <c r="N37" s="55">
        <v>4.0685226274766133E-4</v>
      </c>
      <c r="O37" s="55">
        <v>6.1614930477612347E-4</v>
      </c>
      <c r="P37" s="55">
        <v>1.6856905605389536E-4</v>
      </c>
      <c r="Q37" s="55">
        <v>6.7546187062565023E-6</v>
      </c>
      <c r="R37" s="55">
        <v>1.4763304854207269E-4</v>
      </c>
      <c r="S37" s="55">
        <v>1.2131832620163856E-4</v>
      </c>
      <c r="T37" s="55">
        <v>1.2302214963863338E-4</v>
      </c>
      <c r="U37" s="55">
        <v>6.2134174165710734E-4</v>
      </c>
      <c r="V37" s="55">
        <v>2.9781620139469612E-4</v>
      </c>
      <c r="W37" s="68"/>
    </row>
    <row r="38" spans="1:23" x14ac:dyDescent="0.2">
      <c r="A38" s="67"/>
      <c r="B38" s="2"/>
      <c r="C38" s="3"/>
      <c r="D38" s="10"/>
      <c r="E38" s="10"/>
      <c r="F38" s="10"/>
      <c r="G38" s="10"/>
      <c r="H38" s="1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>
        <v>0</v>
      </c>
      <c r="W38" s="68"/>
    </row>
    <row r="39" spans="1:23" x14ac:dyDescent="0.2">
      <c r="A39" s="67"/>
      <c r="B39" s="2" t="s">
        <v>48</v>
      </c>
      <c r="C39" s="4" t="s">
        <v>49</v>
      </c>
      <c r="D39" s="9"/>
      <c r="E39" s="9"/>
      <c r="F39" s="9"/>
      <c r="G39" s="9"/>
      <c r="H39" s="5"/>
      <c r="I39" s="56">
        <v>923678.97574755328</v>
      </c>
      <c r="J39" s="56">
        <v>174082.31592176508</v>
      </c>
      <c r="K39" s="56">
        <v>23038.722610000004</v>
      </c>
      <c r="L39" s="56">
        <v>6766.9111552029981</v>
      </c>
      <c r="M39" s="56">
        <v>31569.610757090009</v>
      </c>
      <c r="N39" s="56">
        <v>3621.6502267620008</v>
      </c>
      <c r="O39" s="56">
        <v>13835.331290211998</v>
      </c>
      <c r="P39" s="56">
        <v>44841.479265538015</v>
      </c>
      <c r="Q39" s="56">
        <v>629.09723000000008</v>
      </c>
      <c r="R39" s="56">
        <v>3449787.3997085514</v>
      </c>
      <c r="S39" s="56">
        <v>350542.31824850693</v>
      </c>
      <c r="T39" s="56">
        <v>168656.67289715499</v>
      </c>
      <c r="U39" s="56">
        <v>262722.15407441015</v>
      </c>
      <c r="V39" s="56">
        <v>5453772.6391327465</v>
      </c>
      <c r="W39" s="68"/>
    </row>
    <row r="40" spans="1:23" x14ac:dyDescent="0.2">
      <c r="B40" s="82" t="s">
        <v>139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</row>
  </sheetData>
  <mergeCells count="11">
    <mergeCell ref="C2:H3"/>
    <mergeCell ref="B1:V1"/>
    <mergeCell ref="A2:A39"/>
    <mergeCell ref="W2:W39"/>
    <mergeCell ref="B40:V40"/>
    <mergeCell ref="B36:V36"/>
    <mergeCell ref="B30:V30"/>
    <mergeCell ref="B26:V26"/>
    <mergeCell ref="B16:V16"/>
    <mergeCell ref="B11:V11"/>
    <mergeCell ref="B7:V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5</Category>
    <Kupa_kml xmlns="e7c93c0b-31f4-4d6d-a404-57fd37393f5c">
      <Value>12</Value>
      <Value>1</Value>
      <Value>2</Value>
      <Value>4</Value>
      <Value>5</Value>
      <Value>6</Value>
      <Value>7</Value>
      <Value>8</Value>
      <Value>9</Value>
      <Value>10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0CEF848E-4D78-4603-BE94-93539C83DD3F}"/>
</file>

<file path=customXml/itemProps2.xml><?xml version="1.0" encoding="utf-8"?>
<ds:datastoreItem xmlns:ds="http://schemas.openxmlformats.org/officeDocument/2006/customXml" ds:itemID="{9E298021-C924-4C5D-B9CE-FF71D1A5F924}"/>
</file>

<file path=customXml/itemProps3.xml><?xml version="1.0" encoding="utf-8"?>
<ds:datastoreItem xmlns:ds="http://schemas.openxmlformats.org/officeDocument/2006/customXml" ds:itemID="{B660B7C3-2C6C-4518-B3E1-390C8EDA11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</vt:lpstr>
      <vt:lpstr>נספח 2</vt:lpstr>
      <vt:lpstr>נספח 3</vt:lpstr>
      <vt:lpstr>מסלולים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</dc:title>
  <dc:creator/>
  <cp:lastModifiedBy/>
  <dcterms:created xsi:type="dcterms:W3CDTF">2015-06-05T18:19:34Z</dcterms:created>
  <dcterms:modified xsi:type="dcterms:W3CDTF">2023-03-30T18:29:45Z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